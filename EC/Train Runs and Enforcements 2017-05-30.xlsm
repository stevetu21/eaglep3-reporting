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15300" windowHeight="7470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Enforcements!$A$6:$AC$54</definedName>
    <definedName name="_xlnm._FilterDatabase" localSheetId="2" hidden="1">'Missing Trips'!$A$2:$J$72</definedName>
    <definedName name="_xlnm._FilterDatabase" localSheetId="0" hidden="1">'Train Runs'!$A$12:$AG$276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Runs'!$A$12:$J$75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78" i="1" l="1"/>
  <c r="X179" i="1"/>
  <c r="X180" i="1"/>
  <c r="X181" i="1"/>
  <c r="X182" i="1"/>
  <c r="X183" i="1"/>
  <c r="P155" i="1"/>
  <c r="X158" i="1"/>
  <c r="K155" i="1"/>
  <c r="L155" i="1"/>
  <c r="M155" i="1"/>
  <c r="T155" i="1"/>
  <c r="V155" i="1"/>
  <c r="AA155" i="1"/>
  <c r="AB155" i="1"/>
  <c r="AC155" i="1"/>
  <c r="AD155" i="1"/>
  <c r="X155" i="1" s="1"/>
  <c r="AE155" i="1"/>
  <c r="AF155" i="1"/>
  <c r="AG155" i="1"/>
  <c r="AH155" i="1"/>
  <c r="AM155" i="1"/>
  <c r="AN155" i="1"/>
  <c r="P77" i="1"/>
  <c r="K14" i="1"/>
  <c r="L14" i="1"/>
  <c r="M14" i="1"/>
  <c r="N14" i="1" s="1"/>
  <c r="V14" i="1"/>
  <c r="Y14" i="1"/>
  <c r="Z14" i="1"/>
  <c r="AA14" i="1" s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AG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AM16" i="1"/>
  <c r="AN16" i="1"/>
  <c r="K17" i="1"/>
  <c r="L17" i="1"/>
  <c r="M17" i="1"/>
  <c r="N17" i="1" s="1"/>
  <c r="T17" i="1"/>
  <c r="V17" i="1"/>
  <c r="X17" i="1"/>
  <c r="Y17" i="1"/>
  <c r="Z17" i="1"/>
  <c r="AA17" i="1" s="1"/>
  <c r="AB17" i="1"/>
  <c r="AC17" i="1"/>
  <c r="AD17" i="1"/>
  <c r="AE17" i="1"/>
  <c r="AF17" i="1"/>
  <c r="AG17" i="1"/>
  <c r="AI17" i="1" s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G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A23" i="1" s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A24" i="1" s="1"/>
  <c r="AB24" i="1"/>
  <c r="AC24" i="1"/>
  <c r="AD24" i="1"/>
  <c r="AG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K26" i="1"/>
  <c r="L26" i="1"/>
  <c r="M26" i="1"/>
  <c r="N26" i="1" s="1"/>
  <c r="V26" i="1"/>
  <c r="Y26" i="1"/>
  <c r="Z26" i="1"/>
  <c r="AA26" i="1" s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/>
  <c r="V27" i="1"/>
  <c r="Y27" i="1"/>
  <c r="AA27" i="1" s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AH28" i="1"/>
  <c r="AM28" i="1"/>
  <c r="AN28" i="1"/>
  <c r="K29" i="1"/>
  <c r="L29" i="1"/>
  <c r="M29" i="1"/>
  <c r="N29" i="1" s="1"/>
  <c r="V29" i="1"/>
  <c r="Y29" i="1"/>
  <c r="AA29" i="1" s="1"/>
  <c r="Z29" i="1"/>
  <c r="AB29" i="1"/>
  <c r="AC29" i="1"/>
  <c r="AD29" i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AG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AG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AG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X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A42" i="1" s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/>
  <c r="V43" i="1"/>
  <c r="Y43" i="1"/>
  <c r="AA43" i="1" s="1"/>
  <c r="Z43" i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AG44" i="1" s="1"/>
  <c r="AE44" i="1"/>
  <c r="AF44" i="1"/>
  <c r="AH44" i="1"/>
  <c r="AM44" i="1"/>
  <c r="AN44" i="1"/>
  <c r="K45" i="1"/>
  <c r="L45" i="1"/>
  <c r="M45" i="1"/>
  <c r="N45" i="1" s="1"/>
  <c r="T45" i="1"/>
  <c r="V45" i="1"/>
  <c r="Y45" i="1"/>
  <c r="Z45" i="1"/>
  <c r="AB45" i="1"/>
  <c r="AC45" i="1"/>
  <c r="AD45" i="1"/>
  <c r="AE45" i="1"/>
  <c r="AF45" i="1"/>
  <c r="AH45" i="1"/>
  <c r="AM45" i="1"/>
  <c r="AN45" i="1"/>
  <c r="K46" i="1"/>
  <c r="L46" i="1"/>
  <c r="M46" i="1"/>
  <c r="N46" i="1" s="1"/>
  <c r="V46" i="1"/>
  <c r="Y46" i="1"/>
  <c r="Z46" i="1"/>
  <c r="AA46" i="1" s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/>
  <c r="V47" i="1"/>
  <c r="Y47" i="1"/>
  <c r="AA47" i="1" s="1"/>
  <c r="Z47" i="1"/>
  <c r="AB47" i="1"/>
  <c r="AC47" i="1"/>
  <c r="AD47" i="1"/>
  <c r="T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AG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A50" i="1" s="1"/>
  <c r="AB50" i="1"/>
  <c r="AC50" i="1"/>
  <c r="AD50" i="1"/>
  <c r="AE50" i="1"/>
  <c r="AF50" i="1"/>
  <c r="AH50" i="1"/>
  <c r="AM50" i="1"/>
  <c r="AN50" i="1"/>
  <c r="K51" i="1"/>
  <c r="L51" i="1"/>
  <c r="M51" i="1"/>
  <c r="N51" i="1"/>
  <c r="V51" i="1"/>
  <c r="Y51" i="1"/>
  <c r="Z51" i="1"/>
  <c r="AB51" i="1"/>
  <c r="AC51" i="1"/>
  <c r="AD51" i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A53" i="1" s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N54" i="1"/>
  <c r="V54" i="1"/>
  <c r="Y54" i="1"/>
  <c r="AA54" i="1" s="1"/>
  <c r="Z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N55" i="1" s="1"/>
  <c r="V55" i="1"/>
  <c r="X55" i="1"/>
  <c r="Y55" i="1"/>
  <c r="Z55" i="1"/>
  <c r="AA55" i="1" s="1"/>
  <c r="AB55" i="1"/>
  <c r="AC55" i="1"/>
  <c r="AD55" i="1"/>
  <c r="AG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AH60" i="1"/>
  <c r="AM60" i="1"/>
  <c r="AN60" i="1"/>
  <c r="K61" i="1"/>
  <c r="L61" i="1"/>
  <c r="M61" i="1"/>
  <c r="N61" i="1" s="1"/>
  <c r="V61" i="1"/>
  <c r="Y61" i="1"/>
  <c r="Z61" i="1"/>
  <c r="AA61" i="1" s="1"/>
  <c r="AB61" i="1"/>
  <c r="AC61" i="1"/>
  <c r="AD61" i="1"/>
  <c r="T61" i="1" s="1"/>
  <c r="AE61" i="1"/>
  <c r="AF61" i="1"/>
  <c r="AG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AG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R9" i="3" s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AM68" i="1"/>
  <c r="AN68" i="1"/>
  <c r="K69" i="1"/>
  <c r="L69" i="1"/>
  <c r="M69" i="1"/>
  <c r="N69" i="1" s="1"/>
  <c r="V69" i="1"/>
  <c r="Y69" i="1"/>
  <c r="Z69" i="1"/>
  <c r="AA69" i="1" s="1"/>
  <c r="AB69" i="1"/>
  <c r="AC69" i="1"/>
  <c r="AD69" i="1"/>
  <c r="T69" i="1" s="1"/>
  <c r="AE69" i="1"/>
  <c r="AF69" i="1"/>
  <c r="AG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AG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AM74" i="1"/>
  <c r="AN74" i="1"/>
  <c r="K75" i="1"/>
  <c r="L75" i="1"/>
  <c r="M75" i="1"/>
  <c r="N75" i="1" s="1"/>
  <c r="V75" i="1"/>
  <c r="Y75" i="1"/>
  <c r="Z75" i="1"/>
  <c r="AA75" i="1" s="1"/>
  <c r="AB75" i="1"/>
  <c r="AC75" i="1"/>
  <c r="AD75" i="1"/>
  <c r="T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X76" i="1" s="1"/>
  <c r="AE76" i="1"/>
  <c r="AF76" i="1"/>
  <c r="AH76" i="1"/>
  <c r="AM76" i="1"/>
  <c r="AN76" i="1"/>
  <c r="K77" i="1"/>
  <c r="L77" i="1"/>
  <c r="M77" i="1"/>
  <c r="V77" i="1"/>
  <c r="Y77" i="1"/>
  <c r="Z77" i="1"/>
  <c r="AB77" i="1"/>
  <c r="AC77" i="1"/>
  <c r="AD77" i="1"/>
  <c r="AE77" i="1"/>
  <c r="AF77" i="1"/>
  <c r="AH77" i="1"/>
  <c r="AM77" i="1"/>
  <c r="AN77" i="1"/>
  <c r="K78" i="1"/>
  <c r="L78" i="1"/>
  <c r="M78" i="1"/>
  <c r="V78" i="1"/>
  <c r="Y78" i="1"/>
  <c r="Z78" i="1"/>
  <c r="AB78" i="1"/>
  <c r="AC78" i="1"/>
  <c r="AD78" i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N84" i="1" s="1"/>
  <c r="V84" i="1"/>
  <c r="S13" i="3" s="1"/>
  <c r="Y84" i="1"/>
  <c r="Z84" i="1"/>
  <c r="AB84" i="1"/>
  <c r="AC84" i="1"/>
  <c r="AD84" i="1"/>
  <c r="T84" i="1" s="1"/>
  <c r="AE84" i="1"/>
  <c r="AF84" i="1"/>
  <c r="AG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K86" i="1"/>
  <c r="L86" i="1"/>
  <c r="M86" i="1"/>
  <c r="N86" i="1" s="1"/>
  <c r="T86" i="1"/>
  <c r="V86" i="1"/>
  <c r="Y86" i="1"/>
  <c r="AA86" i="1" s="1"/>
  <c r="Z86" i="1"/>
  <c r="AB86" i="1"/>
  <c r="AC86" i="1"/>
  <c r="AD86" i="1"/>
  <c r="AG86" i="1" s="1"/>
  <c r="AE86" i="1"/>
  <c r="AF86" i="1"/>
  <c r="AH86" i="1"/>
  <c r="AI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AG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K93" i="1"/>
  <c r="L93" i="1"/>
  <c r="M93" i="1"/>
  <c r="N93" i="1" s="1"/>
  <c r="V93" i="1"/>
  <c r="Y93" i="1"/>
  <c r="Z93" i="1"/>
  <c r="AA93" i="1" s="1"/>
  <c r="AB93" i="1"/>
  <c r="AC93" i="1"/>
  <c r="AD93" i="1"/>
  <c r="AE93" i="1"/>
  <c r="AF93" i="1"/>
  <c r="AH93" i="1"/>
  <c r="AM93" i="1"/>
  <c r="AN93" i="1"/>
  <c r="K94" i="1"/>
  <c r="L94" i="1"/>
  <c r="M94" i="1"/>
  <c r="N94" i="1"/>
  <c r="V94" i="1"/>
  <c r="Y94" i="1"/>
  <c r="Z94" i="1"/>
  <c r="AI94" i="1" s="1"/>
  <c r="AB94" i="1"/>
  <c r="AC94" i="1"/>
  <c r="AD94" i="1"/>
  <c r="AG94" i="1" s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97" i="1"/>
  <c r="AM97" i="1"/>
  <c r="AN97" i="1"/>
  <c r="K98" i="1"/>
  <c r="L98" i="1"/>
  <c r="M98" i="1"/>
  <c r="N98" i="1" s="1"/>
  <c r="T98" i="1"/>
  <c r="V98" i="1"/>
  <c r="Y98" i="1"/>
  <c r="AA98" i="1" s="1"/>
  <c r="Z98" i="1"/>
  <c r="AB98" i="1"/>
  <c r="AC98" i="1"/>
  <c r="AD98" i="1"/>
  <c r="AG98" i="1" s="1"/>
  <c r="AE98" i="1"/>
  <c r="AF98" i="1"/>
  <c r="AH98" i="1"/>
  <c r="AI98" i="1"/>
  <c r="AM98" i="1"/>
  <c r="AN98" i="1"/>
  <c r="K99" i="1"/>
  <c r="L99" i="1"/>
  <c r="M99" i="1"/>
  <c r="N99" i="1" s="1"/>
  <c r="V99" i="1"/>
  <c r="Y99" i="1"/>
  <c r="Z99" i="1"/>
  <c r="AA99" i="1" s="1"/>
  <c r="AB99" i="1"/>
  <c r="AC99" i="1"/>
  <c r="AD99" i="1"/>
  <c r="AE99" i="1"/>
  <c r="AF99" i="1"/>
  <c r="AG99" i="1"/>
  <c r="AI99" i="1" s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AG102" i="1" s="1"/>
  <c r="AE102" i="1"/>
  <c r="AF102" i="1"/>
  <c r="AH102" i="1"/>
  <c r="AI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04" i="1"/>
  <c r="AM104" i="1"/>
  <c r="AN104" i="1"/>
  <c r="K105" i="1"/>
  <c r="L105" i="1"/>
  <c r="M105" i="1"/>
  <c r="N105" i="1"/>
  <c r="V105" i="1"/>
  <c r="Y105" i="1"/>
  <c r="Z105" i="1"/>
  <c r="AB105" i="1"/>
  <c r="AC105" i="1"/>
  <c r="AD105" i="1"/>
  <c r="AE105" i="1"/>
  <c r="AF105" i="1"/>
  <c r="AH105" i="1"/>
  <c r="AM105" i="1"/>
  <c r="AN105" i="1"/>
  <c r="K106" i="1"/>
  <c r="L106" i="1"/>
  <c r="M106" i="1"/>
  <c r="N106" i="1" s="1"/>
  <c r="V106" i="1"/>
  <c r="Y106" i="1"/>
  <c r="AA106" i="1" s="1"/>
  <c r="Z106" i="1"/>
  <c r="AB106" i="1"/>
  <c r="AC106" i="1"/>
  <c r="AD106" i="1"/>
  <c r="AG106" i="1" s="1"/>
  <c r="AE106" i="1"/>
  <c r="AF106" i="1"/>
  <c r="AH106" i="1"/>
  <c r="AI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08" i="1"/>
  <c r="AM108" i="1"/>
  <c r="AN108" i="1"/>
  <c r="K109" i="1"/>
  <c r="L109" i="1"/>
  <c r="M109" i="1"/>
  <c r="N109" i="1"/>
  <c r="V109" i="1"/>
  <c r="Y109" i="1"/>
  <c r="Z109" i="1"/>
  <c r="AB109" i="1"/>
  <c r="AC109" i="1"/>
  <c r="AD109" i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AG110" i="1" s="1"/>
  <c r="AE110" i="1"/>
  <c r="AF110" i="1"/>
  <c r="AH110" i="1"/>
  <c r="AI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AG112" i="1" s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I114" i="1" s="1"/>
  <c r="AB114" i="1"/>
  <c r="AC114" i="1"/>
  <c r="AD114" i="1"/>
  <c r="AG114" i="1" s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AG118" i="1" s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X119" i="1" s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AG122" i="1" s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X123" i="1" s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AG126" i="1" s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G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A130" i="1" s="1"/>
  <c r="AB130" i="1"/>
  <c r="AC130" i="1"/>
  <c r="AD130" i="1"/>
  <c r="AG130" i="1" s="1"/>
  <c r="AI130" i="1" s="1"/>
  <c r="AE130" i="1"/>
  <c r="AF130" i="1"/>
  <c r="AH130" i="1"/>
  <c r="AM130" i="1"/>
  <c r="AN130" i="1"/>
  <c r="K131" i="1"/>
  <c r="L131" i="1"/>
  <c r="M131" i="1"/>
  <c r="N131" i="1" s="1"/>
  <c r="V131" i="1"/>
  <c r="X131" i="1"/>
  <c r="Y131" i="1"/>
  <c r="Z131" i="1"/>
  <c r="AB131" i="1"/>
  <c r="AC131" i="1"/>
  <c r="AD131" i="1"/>
  <c r="T131" i="1" s="1"/>
  <c r="AE131" i="1"/>
  <c r="AF131" i="1"/>
  <c r="AG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AE137" i="1"/>
  <c r="R18" i="3" s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AG138" i="1" s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40" i="1"/>
  <c r="AM140" i="1"/>
  <c r="AN140" i="1"/>
  <c r="K141" i="1"/>
  <c r="L141" i="1"/>
  <c r="M141" i="1"/>
  <c r="N141" i="1"/>
  <c r="V141" i="1"/>
  <c r="Y141" i="1"/>
  <c r="Z141" i="1"/>
  <c r="AB141" i="1"/>
  <c r="AC141" i="1"/>
  <c r="AD141" i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AG142" i="1" s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AH145" i="1"/>
  <c r="AM145" i="1"/>
  <c r="AN145" i="1"/>
  <c r="K146" i="1"/>
  <c r="L146" i="1"/>
  <c r="M146" i="1"/>
  <c r="N146" i="1" s="1"/>
  <c r="T146" i="1"/>
  <c r="V146" i="1"/>
  <c r="Y146" i="1"/>
  <c r="AA146" i="1" s="1"/>
  <c r="Z146" i="1"/>
  <c r="AB146" i="1"/>
  <c r="AC146" i="1"/>
  <c r="AD146" i="1"/>
  <c r="AG146" i="1" s="1"/>
  <c r="AI146" i="1" s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AH148" i="1"/>
  <c r="AM148" i="1"/>
  <c r="AN148" i="1"/>
  <c r="K149" i="1"/>
  <c r="L149" i="1"/>
  <c r="M149" i="1"/>
  <c r="N149" i="1"/>
  <c r="V149" i="1"/>
  <c r="Y149" i="1"/>
  <c r="Z149" i="1"/>
  <c r="AB149" i="1"/>
  <c r="AC149" i="1"/>
  <c r="AD149" i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AH153" i="1"/>
  <c r="AM153" i="1"/>
  <c r="AN153" i="1"/>
  <c r="K154" i="1"/>
  <c r="L154" i="1"/>
  <c r="M154" i="1"/>
  <c r="N154" i="1" s="1"/>
  <c r="T154" i="1"/>
  <c r="V154" i="1"/>
  <c r="Y154" i="1"/>
  <c r="Z154" i="1"/>
  <c r="AB154" i="1"/>
  <c r="AC154" i="1"/>
  <c r="AD154" i="1"/>
  <c r="AG154" i="1" s="1"/>
  <c r="AE154" i="1"/>
  <c r="AF154" i="1"/>
  <c r="AH154" i="1"/>
  <c r="AM154" i="1"/>
  <c r="AN154" i="1"/>
  <c r="K156" i="1"/>
  <c r="L156" i="1"/>
  <c r="M156" i="1"/>
  <c r="N156" i="1" s="1"/>
  <c r="V156" i="1"/>
  <c r="Y156" i="1"/>
  <c r="Z156" i="1"/>
  <c r="AB156" i="1"/>
  <c r="AC156" i="1"/>
  <c r="AD156" i="1"/>
  <c r="X156" i="1" s="1"/>
  <c r="AE156" i="1"/>
  <c r="AF156" i="1"/>
  <c r="AH156" i="1"/>
  <c r="AM156" i="1"/>
  <c r="AN156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57" i="1"/>
  <c r="AM157" i="1"/>
  <c r="AN157" i="1"/>
  <c r="K205" i="1"/>
  <c r="L205" i="1"/>
  <c r="M205" i="1"/>
  <c r="N205" i="1" s="1"/>
  <c r="V205" i="1"/>
  <c r="Y205" i="1"/>
  <c r="Z205" i="1"/>
  <c r="AB205" i="1"/>
  <c r="AC205" i="1"/>
  <c r="AD205" i="1"/>
  <c r="AE205" i="1"/>
  <c r="AF205" i="1"/>
  <c r="AH158" i="1"/>
  <c r="AM158" i="1"/>
  <c r="AN158" i="1"/>
  <c r="K206" i="1"/>
  <c r="L206" i="1"/>
  <c r="M206" i="1"/>
  <c r="N206" i="1" s="1"/>
  <c r="V206" i="1"/>
  <c r="Y206" i="1"/>
  <c r="Z206" i="1"/>
  <c r="AA206" i="1" s="1"/>
  <c r="W206" i="1" s="1"/>
  <c r="AB206" i="1"/>
  <c r="AC206" i="1"/>
  <c r="AD206" i="1"/>
  <c r="T206" i="1" s="1"/>
  <c r="AE206" i="1"/>
  <c r="AF206" i="1"/>
  <c r="AG206" i="1"/>
  <c r="AH159" i="1"/>
  <c r="AM159" i="1"/>
  <c r="AN159" i="1"/>
  <c r="K207" i="1"/>
  <c r="L207" i="1"/>
  <c r="M207" i="1"/>
  <c r="N207" i="1" s="1"/>
  <c r="V207" i="1"/>
  <c r="Y207" i="1"/>
  <c r="Z207" i="1"/>
  <c r="AB207" i="1"/>
  <c r="AC207" i="1"/>
  <c r="AD207" i="1"/>
  <c r="X207" i="1" s="1"/>
  <c r="AE207" i="1"/>
  <c r="AF207" i="1"/>
  <c r="AH160" i="1"/>
  <c r="AM160" i="1"/>
  <c r="AN160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AH161" i="1"/>
  <c r="AM161" i="1"/>
  <c r="AN161" i="1"/>
  <c r="K209" i="1"/>
  <c r="L209" i="1"/>
  <c r="M209" i="1"/>
  <c r="N209" i="1" s="1"/>
  <c r="V209" i="1"/>
  <c r="Y209" i="1"/>
  <c r="Z209" i="1"/>
  <c r="AB209" i="1"/>
  <c r="AC209" i="1"/>
  <c r="AD209" i="1"/>
  <c r="AE209" i="1"/>
  <c r="AF209" i="1"/>
  <c r="AH162" i="1"/>
  <c r="AM162" i="1"/>
  <c r="AN162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G210" i="1"/>
  <c r="AH163" i="1"/>
  <c r="AM163" i="1"/>
  <c r="AN163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4" i="1"/>
  <c r="AM164" i="1"/>
  <c r="AN164" i="1"/>
  <c r="K212" i="1"/>
  <c r="L212" i="1"/>
  <c r="M212" i="1"/>
  <c r="N212" i="1" s="1"/>
  <c r="V212" i="1"/>
  <c r="Y212" i="1"/>
  <c r="Z212" i="1"/>
  <c r="AI212" i="1" s="1"/>
  <c r="AB212" i="1"/>
  <c r="AC212" i="1"/>
  <c r="AD212" i="1"/>
  <c r="AG212" i="1" s="1"/>
  <c r="AE212" i="1"/>
  <c r="AF212" i="1"/>
  <c r="AH165" i="1"/>
  <c r="AM165" i="1"/>
  <c r="AN165" i="1"/>
  <c r="K213" i="1"/>
  <c r="L213" i="1"/>
  <c r="M213" i="1"/>
  <c r="N213" i="1" s="1"/>
  <c r="V213" i="1"/>
  <c r="Y213" i="1"/>
  <c r="Z213" i="1"/>
  <c r="AB213" i="1"/>
  <c r="AC213" i="1"/>
  <c r="AD213" i="1"/>
  <c r="AG213" i="1" s="1"/>
  <c r="AE213" i="1"/>
  <c r="AF213" i="1"/>
  <c r="AH166" i="1"/>
  <c r="AM166" i="1"/>
  <c r="AN166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AH167" i="1"/>
  <c r="AM167" i="1"/>
  <c r="AN167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168" i="1"/>
  <c r="AM168" i="1"/>
  <c r="AN168" i="1"/>
  <c r="K216" i="1"/>
  <c r="L216" i="1"/>
  <c r="M216" i="1"/>
  <c r="N216" i="1" s="1"/>
  <c r="V216" i="1"/>
  <c r="Y216" i="1"/>
  <c r="Z216" i="1"/>
  <c r="AA216" i="1" s="1"/>
  <c r="AB216" i="1"/>
  <c r="AC216" i="1"/>
  <c r="AD216" i="1"/>
  <c r="AG216" i="1" s="1"/>
  <c r="AE216" i="1"/>
  <c r="AF216" i="1"/>
  <c r="AH169" i="1"/>
  <c r="AM169" i="1"/>
  <c r="AN169" i="1"/>
  <c r="K217" i="1"/>
  <c r="L217" i="1"/>
  <c r="M217" i="1"/>
  <c r="N217" i="1" s="1"/>
  <c r="V217" i="1"/>
  <c r="Y217" i="1"/>
  <c r="Z217" i="1"/>
  <c r="AA217" i="1" s="1"/>
  <c r="W217" i="1" s="1"/>
  <c r="AB217" i="1"/>
  <c r="AC217" i="1"/>
  <c r="AD217" i="1"/>
  <c r="AG217" i="1" s="1"/>
  <c r="AE217" i="1"/>
  <c r="AF217" i="1"/>
  <c r="AH170" i="1"/>
  <c r="AM170" i="1"/>
  <c r="AN170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AH171" i="1"/>
  <c r="AM171" i="1"/>
  <c r="AN171" i="1"/>
  <c r="K226" i="1"/>
  <c r="L226" i="1"/>
  <c r="M226" i="1"/>
  <c r="N226" i="1"/>
  <c r="V226" i="1"/>
  <c r="Y226" i="1"/>
  <c r="Z226" i="1"/>
  <c r="AB226" i="1"/>
  <c r="AC226" i="1"/>
  <c r="AD226" i="1"/>
  <c r="T226" i="1" s="1"/>
  <c r="AE226" i="1"/>
  <c r="AF226" i="1"/>
  <c r="AH172" i="1"/>
  <c r="AM172" i="1"/>
  <c r="AN172" i="1"/>
  <c r="K227" i="1"/>
  <c r="L227" i="1"/>
  <c r="M227" i="1"/>
  <c r="N227" i="1" s="1"/>
  <c r="V227" i="1"/>
  <c r="Y227" i="1"/>
  <c r="Z227" i="1"/>
  <c r="AB227" i="1"/>
  <c r="AC227" i="1"/>
  <c r="AD227" i="1"/>
  <c r="AG227" i="1" s="1"/>
  <c r="AE227" i="1"/>
  <c r="AF227" i="1"/>
  <c r="AH173" i="1"/>
  <c r="AM173" i="1"/>
  <c r="AN173" i="1"/>
  <c r="K228" i="1"/>
  <c r="L228" i="1"/>
  <c r="M228" i="1"/>
  <c r="N228" i="1" s="1"/>
  <c r="V228" i="1"/>
  <c r="Y228" i="1"/>
  <c r="Z228" i="1"/>
  <c r="AB228" i="1"/>
  <c r="AC228" i="1"/>
  <c r="AD228" i="1"/>
  <c r="T228" i="1" s="1"/>
  <c r="AE228" i="1"/>
  <c r="AF228" i="1"/>
  <c r="AH174" i="1"/>
  <c r="AM174" i="1"/>
  <c r="AN174" i="1"/>
  <c r="K229" i="1"/>
  <c r="L229" i="1"/>
  <c r="M229" i="1"/>
  <c r="N229" i="1" s="1"/>
  <c r="V229" i="1"/>
  <c r="Y229" i="1"/>
  <c r="AA229" i="1" s="1"/>
  <c r="Z229" i="1"/>
  <c r="AB229" i="1"/>
  <c r="AC229" i="1"/>
  <c r="AD229" i="1"/>
  <c r="AE229" i="1"/>
  <c r="AF229" i="1"/>
  <c r="AH175" i="1"/>
  <c r="AM175" i="1"/>
  <c r="AN175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AF230" i="1"/>
  <c r="AH176" i="1"/>
  <c r="AM176" i="1"/>
  <c r="AN176" i="1"/>
  <c r="K231" i="1"/>
  <c r="L231" i="1"/>
  <c r="M231" i="1"/>
  <c r="N231" i="1" s="1"/>
  <c r="V231" i="1"/>
  <c r="Y231" i="1"/>
  <c r="Z231" i="1"/>
  <c r="AA231" i="1" s="1"/>
  <c r="AB231" i="1"/>
  <c r="AC231" i="1"/>
  <c r="AD231" i="1"/>
  <c r="AG231" i="1" s="1"/>
  <c r="AE231" i="1"/>
  <c r="AF231" i="1"/>
  <c r="AH177" i="1"/>
  <c r="AM177" i="1"/>
  <c r="AN177" i="1"/>
  <c r="K158" i="1"/>
  <c r="L158" i="1"/>
  <c r="M158" i="1"/>
  <c r="N158" i="1" s="1"/>
  <c r="V158" i="1"/>
  <c r="Y158" i="1"/>
  <c r="Z158" i="1"/>
  <c r="AB158" i="1"/>
  <c r="AC158" i="1"/>
  <c r="AD158" i="1"/>
  <c r="AG158" i="1" s="1"/>
  <c r="AE158" i="1"/>
  <c r="AF158" i="1"/>
  <c r="AH178" i="1"/>
  <c r="AM178" i="1"/>
  <c r="AN178" i="1"/>
  <c r="K159" i="1"/>
  <c r="L159" i="1"/>
  <c r="M159" i="1"/>
  <c r="N159" i="1" s="1"/>
  <c r="V159" i="1"/>
  <c r="Y159" i="1"/>
  <c r="Z159" i="1"/>
  <c r="AB159" i="1"/>
  <c r="AC159" i="1"/>
  <c r="AD159" i="1"/>
  <c r="X159" i="1" s="1"/>
  <c r="AE159" i="1"/>
  <c r="AF159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79" i="1"/>
  <c r="AM179" i="1"/>
  <c r="AN179" i="1"/>
  <c r="K161" i="1"/>
  <c r="L161" i="1"/>
  <c r="M161" i="1"/>
  <c r="N161" i="1" s="1"/>
  <c r="V161" i="1"/>
  <c r="Y161" i="1"/>
  <c r="Z161" i="1"/>
  <c r="AB161" i="1"/>
  <c r="AC161" i="1"/>
  <c r="AD161" i="1"/>
  <c r="AG161" i="1" s="1"/>
  <c r="AE161" i="1"/>
  <c r="AF161" i="1"/>
  <c r="AH180" i="1"/>
  <c r="AM180" i="1"/>
  <c r="AN180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181" i="1"/>
  <c r="AM181" i="1"/>
  <c r="AN181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AH182" i="1"/>
  <c r="AM182" i="1"/>
  <c r="AN182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183" i="1"/>
  <c r="AM183" i="1"/>
  <c r="AN183" i="1"/>
  <c r="K165" i="1"/>
  <c r="L165" i="1"/>
  <c r="M165" i="1"/>
  <c r="N165" i="1" s="1"/>
  <c r="V165" i="1"/>
  <c r="Y165" i="1"/>
  <c r="Z165" i="1"/>
  <c r="AB165" i="1"/>
  <c r="AC165" i="1"/>
  <c r="AD165" i="1"/>
  <c r="AG165" i="1" s="1"/>
  <c r="AE165" i="1"/>
  <c r="AF165" i="1"/>
  <c r="AH184" i="1"/>
  <c r="AM184" i="1"/>
  <c r="AN184" i="1"/>
  <c r="K166" i="1"/>
  <c r="L166" i="1"/>
  <c r="M166" i="1"/>
  <c r="N166" i="1" s="1"/>
  <c r="V166" i="1"/>
  <c r="Y166" i="1"/>
  <c r="Z166" i="1"/>
  <c r="AB166" i="1"/>
  <c r="AC166" i="1"/>
  <c r="AD166" i="1"/>
  <c r="AG166" i="1" s="1"/>
  <c r="AE166" i="1"/>
  <c r="AF166" i="1"/>
  <c r="AH185" i="1"/>
  <c r="AM185" i="1"/>
  <c r="AN185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AH186" i="1"/>
  <c r="AM186" i="1"/>
  <c r="AN186" i="1"/>
  <c r="K168" i="1"/>
  <c r="L168" i="1"/>
  <c r="M168" i="1"/>
  <c r="N168" i="1"/>
  <c r="V168" i="1"/>
  <c r="Y168" i="1"/>
  <c r="Z168" i="1"/>
  <c r="AB168" i="1"/>
  <c r="AC168" i="1"/>
  <c r="AD168" i="1"/>
  <c r="T168" i="1" s="1"/>
  <c r="AE168" i="1"/>
  <c r="AF168" i="1"/>
  <c r="AH187" i="1"/>
  <c r="AM187" i="1"/>
  <c r="AN187" i="1"/>
  <c r="K169" i="1"/>
  <c r="L169" i="1"/>
  <c r="M169" i="1"/>
  <c r="N169" i="1" s="1"/>
  <c r="V169" i="1"/>
  <c r="Y169" i="1"/>
  <c r="Z169" i="1"/>
  <c r="AB169" i="1"/>
  <c r="AC169" i="1"/>
  <c r="AD169" i="1"/>
  <c r="AG169" i="1" s="1"/>
  <c r="AE169" i="1"/>
  <c r="AF169" i="1"/>
  <c r="AH188" i="1"/>
  <c r="AM188" i="1"/>
  <c r="AN188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89" i="1"/>
  <c r="AM189" i="1"/>
  <c r="AN189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190" i="1"/>
  <c r="AM190" i="1"/>
  <c r="AN190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91" i="1"/>
  <c r="AM191" i="1"/>
  <c r="AN191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192" i="1"/>
  <c r="AM192" i="1"/>
  <c r="AN192" i="1"/>
  <c r="K174" i="1"/>
  <c r="L174" i="1"/>
  <c r="M174" i="1"/>
  <c r="N174" i="1" s="1"/>
  <c r="V174" i="1"/>
  <c r="Y174" i="1"/>
  <c r="Z174" i="1"/>
  <c r="AB174" i="1"/>
  <c r="AC174" i="1"/>
  <c r="AD174" i="1"/>
  <c r="AG174" i="1" s="1"/>
  <c r="AE174" i="1"/>
  <c r="AF174" i="1"/>
  <c r="AH193" i="1"/>
  <c r="AM193" i="1"/>
  <c r="AN193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194" i="1"/>
  <c r="AM194" i="1"/>
  <c r="AN194" i="1"/>
  <c r="K176" i="1"/>
  <c r="L176" i="1"/>
  <c r="M176" i="1"/>
  <c r="N176" i="1"/>
  <c r="V176" i="1"/>
  <c r="Y176" i="1"/>
  <c r="Z176" i="1"/>
  <c r="AB176" i="1"/>
  <c r="AC176" i="1"/>
  <c r="AD176" i="1"/>
  <c r="AE176" i="1"/>
  <c r="AF176" i="1"/>
  <c r="AH195" i="1"/>
  <c r="AM195" i="1"/>
  <c r="AN195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AH196" i="1"/>
  <c r="AM196" i="1"/>
  <c r="AN196" i="1"/>
  <c r="K178" i="1"/>
  <c r="L178" i="1"/>
  <c r="M178" i="1"/>
  <c r="N178" i="1" s="1"/>
  <c r="V178" i="1"/>
  <c r="Y178" i="1"/>
  <c r="Z178" i="1"/>
  <c r="AB178" i="1"/>
  <c r="AC178" i="1"/>
  <c r="AD178" i="1"/>
  <c r="AG178" i="1" s="1"/>
  <c r="AE178" i="1"/>
  <c r="AF178" i="1"/>
  <c r="AH197" i="1"/>
  <c r="AM197" i="1"/>
  <c r="AN197" i="1"/>
  <c r="AH198" i="1"/>
  <c r="AM198" i="1"/>
  <c r="AN198" i="1"/>
  <c r="K179" i="1"/>
  <c r="L179" i="1"/>
  <c r="M179" i="1"/>
  <c r="N179" i="1" s="1"/>
  <c r="V179" i="1"/>
  <c r="Y179" i="1"/>
  <c r="Z179" i="1"/>
  <c r="AA179" i="1" s="1"/>
  <c r="AB179" i="1"/>
  <c r="AC179" i="1"/>
  <c r="AD179" i="1"/>
  <c r="AE179" i="1"/>
  <c r="AF179" i="1"/>
  <c r="AH199" i="1"/>
  <c r="AM199" i="1"/>
  <c r="AN199" i="1"/>
  <c r="K180" i="1"/>
  <c r="L180" i="1"/>
  <c r="M180" i="1"/>
  <c r="N180" i="1"/>
  <c r="V180" i="1"/>
  <c r="Y180" i="1"/>
  <c r="AA180" i="1" s="1"/>
  <c r="Z180" i="1"/>
  <c r="AB180" i="1"/>
  <c r="AC180" i="1"/>
  <c r="AD180" i="1"/>
  <c r="AG180" i="1" s="1"/>
  <c r="AE180" i="1"/>
  <c r="AF180" i="1"/>
  <c r="AH200" i="1"/>
  <c r="AM200" i="1"/>
  <c r="AN200" i="1"/>
  <c r="K181" i="1"/>
  <c r="L181" i="1"/>
  <c r="M181" i="1"/>
  <c r="N181" i="1" s="1"/>
  <c r="V181" i="1"/>
  <c r="Y181" i="1"/>
  <c r="Z181" i="1"/>
  <c r="AB181" i="1"/>
  <c r="AC181" i="1"/>
  <c r="AD181" i="1"/>
  <c r="AG181" i="1" s="1"/>
  <c r="AE181" i="1"/>
  <c r="AF181" i="1"/>
  <c r="AH201" i="1"/>
  <c r="AM201" i="1"/>
  <c r="AN201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202" i="1"/>
  <c r="AM202" i="1"/>
  <c r="AN202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203" i="1"/>
  <c r="AM203" i="1"/>
  <c r="AN203" i="1"/>
  <c r="K184" i="1"/>
  <c r="L184" i="1"/>
  <c r="M184" i="1"/>
  <c r="N184" i="1" s="1"/>
  <c r="V184" i="1"/>
  <c r="Y184" i="1"/>
  <c r="Z184" i="1"/>
  <c r="AA184" i="1" s="1"/>
  <c r="W184" i="1" s="1"/>
  <c r="AB184" i="1"/>
  <c r="AC184" i="1"/>
  <c r="AD184" i="1"/>
  <c r="AG184" i="1" s="1"/>
  <c r="AE184" i="1"/>
  <c r="AF184" i="1"/>
  <c r="AH204" i="1"/>
  <c r="AM204" i="1"/>
  <c r="AN204" i="1"/>
  <c r="K185" i="1"/>
  <c r="L185" i="1"/>
  <c r="M185" i="1"/>
  <c r="N185" i="1"/>
  <c r="V185" i="1"/>
  <c r="Y185" i="1"/>
  <c r="Z185" i="1"/>
  <c r="AB185" i="1"/>
  <c r="AC185" i="1"/>
  <c r="AD185" i="1"/>
  <c r="AG185" i="1" s="1"/>
  <c r="AE185" i="1"/>
  <c r="AF185" i="1"/>
  <c r="AH205" i="1"/>
  <c r="AM205" i="1"/>
  <c r="AN205" i="1"/>
  <c r="K186" i="1"/>
  <c r="L186" i="1"/>
  <c r="M186" i="1"/>
  <c r="N186" i="1" s="1"/>
  <c r="V186" i="1"/>
  <c r="Y186" i="1"/>
  <c r="AA186" i="1" s="1"/>
  <c r="Z186" i="1"/>
  <c r="AB186" i="1"/>
  <c r="AC186" i="1"/>
  <c r="AD186" i="1"/>
  <c r="T186" i="1" s="1"/>
  <c r="AE186" i="1"/>
  <c r="AF186" i="1"/>
  <c r="AH206" i="1"/>
  <c r="AM206" i="1"/>
  <c r="AN206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AH207" i="1"/>
  <c r="AM207" i="1"/>
  <c r="AN207" i="1"/>
  <c r="K188" i="1"/>
  <c r="L188" i="1"/>
  <c r="M188" i="1"/>
  <c r="N188" i="1" s="1"/>
  <c r="V188" i="1"/>
  <c r="Y188" i="1"/>
  <c r="Z188" i="1"/>
  <c r="AB188" i="1"/>
  <c r="AC188" i="1"/>
  <c r="AD188" i="1"/>
  <c r="AG188" i="1" s="1"/>
  <c r="AE188" i="1"/>
  <c r="AF188" i="1"/>
  <c r="AH208" i="1"/>
  <c r="AM208" i="1"/>
  <c r="AN208" i="1"/>
  <c r="K189" i="1"/>
  <c r="L189" i="1"/>
  <c r="M189" i="1"/>
  <c r="N189" i="1" s="1"/>
  <c r="V189" i="1"/>
  <c r="Y189" i="1"/>
  <c r="Z189" i="1"/>
  <c r="AB189" i="1"/>
  <c r="AC189" i="1"/>
  <c r="AD189" i="1"/>
  <c r="AG189" i="1" s="1"/>
  <c r="AE189" i="1"/>
  <c r="AF189" i="1"/>
  <c r="AH209" i="1"/>
  <c r="AM209" i="1"/>
  <c r="AN209" i="1"/>
  <c r="K190" i="1"/>
  <c r="L190" i="1"/>
  <c r="M190" i="1"/>
  <c r="N190" i="1" s="1"/>
  <c r="V190" i="1"/>
  <c r="Y190" i="1"/>
  <c r="AA190" i="1" s="1"/>
  <c r="Z190" i="1"/>
  <c r="AB190" i="1"/>
  <c r="AC190" i="1"/>
  <c r="AD190" i="1"/>
  <c r="T190" i="1" s="1"/>
  <c r="AE190" i="1"/>
  <c r="AF190" i="1"/>
  <c r="AH210" i="1"/>
  <c r="AM210" i="1"/>
  <c r="AN210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AH211" i="1"/>
  <c r="AM211" i="1"/>
  <c r="AN211" i="1"/>
  <c r="K192" i="1"/>
  <c r="L192" i="1"/>
  <c r="M192" i="1"/>
  <c r="N192" i="1" s="1"/>
  <c r="V192" i="1"/>
  <c r="Y192" i="1"/>
  <c r="Z192" i="1"/>
  <c r="AB192" i="1"/>
  <c r="AC192" i="1"/>
  <c r="AD192" i="1"/>
  <c r="AG192" i="1" s="1"/>
  <c r="AE192" i="1"/>
  <c r="AF192" i="1"/>
  <c r="AH212" i="1"/>
  <c r="AM212" i="1"/>
  <c r="AN212" i="1"/>
  <c r="K193" i="1"/>
  <c r="L193" i="1"/>
  <c r="M193" i="1"/>
  <c r="N193" i="1" s="1"/>
  <c r="V193" i="1"/>
  <c r="Y193" i="1"/>
  <c r="Z193" i="1"/>
  <c r="AB193" i="1"/>
  <c r="AC193" i="1"/>
  <c r="AD193" i="1"/>
  <c r="AG193" i="1" s="1"/>
  <c r="AE193" i="1"/>
  <c r="AF193" i="1"/>
  <c r="AH213" i="1"/>
  <c r="AM213" i="1"/>
  <c r="AN213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214" i="1"/>
  <c r="AM214" i="1"/>
  <c r="AN214" i="1"/>
  <c r="K195" i="1"/>
  <c r="L195" i="1"/>
  <c r="M195" i="1"/>
  <c r="N195" i="1" s="1"/>
  <c r="V195" i="1"/>
  <c r="S38" i="3" s="1"/>
  <c r="Y195" i="1"/>
  <c r="Z195" i="1"/>
  <c r="AB195" i="1"/>
  <c r="AC195" i="1"/>
  <c r="AD195" i="1"/>
  <c r="AE195" i="1"/>
  <c r="AF195" i="1"/>
  <c r="AH215" i="1"/>
  <c r="AM215" i="1"/>
  <c r="AN215" i="1"/>
  <c r="K196" i="1"/>
  <c r="L196" i="1"/>
  <c r="M196" i="1"/>
  <c r="N196" i="1" s="1"/>
  <c r="V196" i="1"/>
  <c r="Y196" i="1"/>
  <c r="Z196" i="1"/>
  <c r="AB196" i="1"/>
  <c r="AC196" i="1"/>
  <c r="AD196" i="1"/>
  <c r="AG196" i="1" s="1"/>
  <c r="AE196" i="1"/>
  <c r="AF196" i="1"/>
  <c r="AH216" i="1"/>
  <c r="AI216" i="1"/>
  <c r="AM216" i="1"/>
  <c r="AN216" i="1"/>
  <c r="K197" i="1"/>
  <c r="L197" i="1"/>
  <c r="M197" i="1"/>
  <c r="N197" i="1" s="1"/>
  <c r="V197" i="1"/>
  <c r="Y197" i="1"/>
  <c r="Z197" i="1"/>
  <c r="AB197" i="1"/>
  <c r="AC197" i="1"/>
  <c r="AD197" i="1"/>
  <c r="AG197" i="1" s="1"/>
  <c r="AE197" i="1"/>
  <c r="AF197" i="1"/>
  <c r="AH217" i="1"/>
  <c r="AM217" i="1"/>
  <c r="AN217" i="1"/>
  <c r="K198" i="1"/>
  <c r="L198" i="1"/>
  <c r="M198" i="1"/>
  <c r="N198" i="1" s="1"/>
  <c r="V198" i="1"/>
  <c r="Y198" i="1"/>
  <c r="Z198" i="1"/>
  <c r="AB198" i="1"/>
  <c r="AC198" i="1"/>
  <c r="AD198" i="1"/>
  <c r="X198" i="1" s="1"/>
  <c r="AE198" i="1"/>
  <c r="AF198" i="1"/>
  <c r="AH218" i="1"/>
  <c r="AM218" i="1"/>
  <c r="AN218" i="1"/>
  <c r="K199" i="1"/>
  <c r="L199" i="1"/>
  <c r="M199" i="1"/>
  <c r="N199" i="1" s="1"/>
  <c r="V199" i="1"/>
  <c r="Y199" i="1"/>
  <c r="Z199" i="1"/>
  <c r="AB199" i="1"/>
  <c r="AC199" i="1"/>
  <c r="AD199" i="1"/>
  <c r="AE199" i="1"/>
  <c r="AF199" i="1"/>
  <c r="AH219" i="1"/>
  <c r="AM219" i="1"/>
  <c r="AN219" i="1"/>
  <c r="K200" i="1"/>
  <c r="L200" i="1"/>
  <c r="M200" i="1"/>
  <c r="N200" i="1" s="1"/>
  <c r="V200" i="1"/>
  <c r="Y200" i="1"/>
  <c r="Z200" i="1"/>
  <c r="AA200" i="1" s="1"/>
  <c r="W200" i="1" s="1"/>
  <c r="AB200" i="1"/>
  <c r="AC200" i="1"/>
  <c r="AD200" i="1"/>
  <c r="AG200" i="1" s="1"/>
  <c r="AE200" i="1"/>
  <c r="AF200" i="1"/>
  <c r="AH220" i="1"/>
  <c r="AM220" i="1"/>
  <c r="AN220" i="1"/>
  <c r="K201" i="1"/>
  <c r="L201" i="1"/>
  <c r="M201" i="1"/>
  <c r="N201" i="1" s="1"/>
  <c r="V201" i="1"/>
  <c r="Y201" i="1"/>
  <c r="Z201" i="1"/>
  <c r="AA201" i="1" s="1"/>
  <c r="AB201" i="1"/>
  <c r="AC201" i="1"/>
  <c r="AD201" i="1"/>
  <c r="AG201" i="1" s="1"/>
  <c r="AE201" i="1"/>
  <c r="AF201" i="1"/>
  <c r="AH221" i="1"/>
  <c r="AM221" i="1"/>
  <c r="AN221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22" i="1"/>
  <c r="AM222" i="1"/>
  <c r="AN222" i="1"/>
  <c r="K203" i="1"/>
  <c r="L203" i="1"/>
  <c r="M203" i="1"/>
  <c r="N203" i="1" s="1"/>
  <c r="V203" i="1"/>
  <c r="Y203" i="1"/>
  <c r="Z203" i="1"/>
  <c r="AB203" i="1"/>
  <c r="AC203" i="1"/>
  <c r="AD203" i="1"/>
  <c r="AG203" i="1" s="1"/>
  <c r="AE203" i="1"/>
  <c r="AF203" i="1"/>
  <c r="AH223" i="1"/>
  <c r="AM223" i="1"/>
  <c r="AN223" i="1"/>
  <c r="K204" i="1"/>
  <c r="L204" i="1"/>
  <c r="M204" i="1"/>
  <c r="N204" i="1" s="1"/>
  <c r="V204" i="1"/>
  <c r="Y204" i="1"/>
  <c r="Z204" i="1"/>
  <c r="AB204" i="1"/>
  <c r="AC204" i="1"/>
  <c r="AD204" i="1"/>
  <c r="AE204" i="1"/>
  <c r="AF204" i="1"/>
  <c r="AH224" i="1"/>
  <c r="AM224" i="1"/>
  <c r="AN224" i="1"/>
  <c r="K219" i="1"/>
  <c r="L219" i="1"/>
  <c r="M219" i="1"/>
  <c r="N219" i="1" s="1"/>
  <c r="V219" i="1"/>
  <c r="Y219" i="1"/>
  <c r="Z219" i="1"/>
  <c r="AA219" i="1" s="1"/>
  <c r="W219" i="1" s="1"/>
  <c r="AB219" i="1"/>
  <c r="AC219" i="1"/>
  <c r="AD219" i="1"/>
  <c r="AG219" i="1" s="1"/>
  <c r="AE219" i="1"/>
  <c r="AF219" i="1"/>
  <c r="AH225" i="1"/>
  <c r="AM225" i="1"/>
  <c r="AN225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226" i="1"/>
  <c r="AM226" i="1"/>
  <c r="AN226" i="1"/>
  <c r="K221" i="1"/>
  <c r="L221" i="1"/>
  <c r="M221" i="1"/>
  <c r="N221" i="1"/>
  <c r="V221" i="1"/>
  <c r="X221" i="1"/>
  <c r="Y221" i="1"/>
  <c r="Z221" i="1"/>
  <c r="AA221" i="1" s="1"/>
  <c r="AB221" i="1"/>
  <c r="AC221" i="1"/>
  <c r="AD221" i="1"/>
  <c r="T221" i="1" s="1"/>
  <c r="AE221" i="1"/>
  <c r="AF221" i="1"/>
  <c r="AG221" i="1"/>
  <c r="AH227" i="1"/>
  <c r="AM227" i="1"/>
  <c r="AN227" i="1"/>
  <c r="K222" i="1"/>
  <c r="L222" i="1"/>
  <c r="M222" i="1"/>
  <c r="N222" i="1" s="1"/>
  <c r="V222" i="1"/>
  <c r="Y222" i="1"/>
  <c r="AA222" i="1" s="1"/>
  <c r="Z222" i="1"/>
  <c r="AB222" i="1"/>
  <c r="AC222" i="1"/>
  <c r="AD222" i="1"/>
  <c r="AG222" i="1" s="1"/>
  <c r="AE222" i="1"/>
  <c r="AF222" i="1"/>
  <c r="AH228" i="1"/>
  <c r="AM228" i="1"/>
  <c r="AN228" i="1"/>
  <c r="K223" i="1"/>
  <c r="L223" i="1"/>
  <c r="M223" i="1"/>
  <c r="N223" i="1" s="1"/>
  <c r="V223" i="1"/>
  <c r="Y223" i="1"/>
  <c r="Z223" i="1"/>
  <c r="AA223" i="1" s="1"/>
  <c r="W223" i="1" s="1"/>
  <c r="AB223" i="1"/>
  <c r="AC223" i="1"/>
  <c r="AD223" i="1"/>
  <c r="AG223" i="1" s="1"/>
  <c r="AE223" i="1"/>
  <c r="AF223" i="1"/>
  <c r="AH229" i="1"/>
  <c r="AM229" i="1"/>
  <c r="AN229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230" i="1"/>
  <c r="AM230" i="1"/>
  <c r="AN230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231" i="1"/>
  <c r="AM231" i="1"/>
  <c r="AN231" i="1"/>
  <c r="M41" i="3"/>
  <c r="R41" i="3"/>
  <c r="S41" i="3"/>
  <c r="U41" i="3"/>
  <c r="T41" i="3" s="1"/>
  <c r="V41" i="3"/>
  <c r="W41" i="3"/>
  <c r="X41" i="3"/>
  <c r="M12" i="3"/>
  <c r="R12" i="3"/>
  <c r="S12" i="3"/>
  <c r="U12" i="3"/>
  <c r="T12" i="3" s="1"/>
  <c r="V12" i="3"/>
  <c r="W12" i="3"/>
  <c r="X12" i="3"/>
  <c r="AC12" i="3"/>
  <c r="M10" i="3"/>
  <c r="R10" i="3"/>
  <c r="S10" i="3"/>
  <c r="U10" i="3"/>
  <c r="AC10" i="3" s="1"/>
  <c r="V10" i="3"/>
  <c r="W10" i="3"/>
  <c r="X10" i="3"/>
  <c r="M8" i="3"/>
  <c r="R8" i="3"/>
  <c r="S8" i="3"/>
  <c r="U8" i="3"/>
  <c r="AC8" i="3" s="1"/>
  <c r="V8" i="3"/>
  <c r="W8" i="3"/>
  <c r="Y8" i="3" s="1"/>
  <c r="X8" i="3"/>
  <c r="M32" i="3"/>
  <c r="R32" i="3"/>
  <c r="S32" i="3"/>
  <c r="U32" i="3"/>
  <c r="AC32" i="3" s="1"/>
  <c r="V32" i="3"/>
  <c r="W32" i="3"/>
  <c r="X32" i="3"/>
  <c r="M35" i="3"/>
  <c r="R35" i="3"/>
  <c r="S35" i="3"/>
  <c r="U35" i="3"/>
  <c r="T35" i="3" s="1"/>
  <c r="V35" i="3"/>
  <c r="W35" i="3"/>
  <c r="X35" i="3"/>
  <c r="AC35" i="3"/>
  <c r="M19" i="3"/>
  <c r="R19" i="3"/>
  <c r="S19" i="3"/>
  <c r="U19" i="3"/>
  <c r="AC19" i="3" s="1"/>
  <c r="V19" i="3"/>
  <c r="W19" i="3"/>
  <c r="X19" i="3"/>
  <c r="M11" i="3"/>
  <c r="R11" i="3"/>
  <c r="S11" i="3"/>
  <c r="U11" i="3"/>
  <c r="AC11" i="3" s="1"/>
  <c r="V11" i="3"/>
  <c r="W11" i="3"/>
  <c r="X11" i="3"/>
  <c r="M14" i="3"/>
  <c r="R14" i="3"/>
  <c r="S14" i="3"/>
  <c r="U14" i="3"/>
  <c r="AC14" i="3" s="1"/>
  <c r="V14" i="3"/>
  <c r="W14" i="3"/>
  <c r="X14" i="3"/>
  <c r="M9" i="3"/>
  <c r="S9" i="3"/>
  <c r="U9" i="3"/>
  <c r="AD9" i="3" s="1"/>
  <c r="V9" i="3"/>
  <c r="W9" i="3"/>
  <c r="X9" i="3"/>
  <c r="AC9" i="3"/>
  <c r="M17" i="3"/>
  <c r="R17" i="3"/>
  <c r="S17" i="3"/>
  <c r="U17" i="3"/>
  <c r="AC17" i="3" s="1"/>
  <c r="V17" i="3"/>
  <c r="W17" i="3"/>
  <c r="X17" i="3"/>
  <c r="M20" i="3"/>
  <c r="R20" i="3"/>
  <c r="S20" i="3"/>
  <c r="U20" i="3"/>
  <c r="AC20" i="3" s="1"/>
  <c r="V20" i="3"/>
  <c r="W20" i="3"/>
  <c r="X20" i="3"/>
  <c r="M42" i="3"/>
  <c r="R42" i="3"/>
  <c r="S42" i="3"/>
  <c r="U42" i="3"/>
  <c r="AC42" i="3" s="1"/>
  <c r="V42" i="3"/>
  <c r="W42" i="3"/>
  <c r="X42" i="3"/>
  <c r="M21" i="3"/>
  <c r="R21" i="3"/>
  <c r="S21" i="3"/>
  <c r="U21" i="3"/>
  <c r="AD21" i="3" s="1"/>
  <c r="V21" i="3"/>
  <c r="W21" i="3"/>
  <c r="Y21" i="3" s="1"/>
  <c r="X21" i="3"/>
  <c r="AC21" i="3"/>
  <c r="M36" i="3"/>
  <c r="R36" i="3"/>
  <c r="S36" i="3"/>
  <c r="U36" i="3"/>
  <c r="AC36" i="3" s="1"/>
  <c r="V36" i="3"/>
  <c r="AE36" i="3" s="1"/>
  <c r="W36" i="3"/>
  <c r="X36" i="3"/>
  <c r="M13" i="3"/>
  <c r="R13" i="3"/>
  <c r="U13" i="3"/>
  <c r="AC13" i="3" s="1"/>
  <c r="V13" i="3"/>
  <c r="W13" i="3"/>
  <c r="X13" i="3"/>
  <c r="M22" i="3"/>
  <c r="R22" i="3"/>
  <c r="S22" i="3"/>
  <c r="U22" i="3"/>
  <c r="AC22" i="3" s="1"/>
  <c r="V22" i="3"/>
  <c r="W22" i="3"/>
  <c r="X22" i="3"/>
  <c r="M7" i="3"/>
  <c r="R7" i="3"/>
  <c r="S7" i="3"/>
  <c r="U7" i="3"/>
  <c r="T7" i="3" s="1"/>
  <c r="V7" i="3"/>
  <c r="W7" i="3"/>
  <c r="X7" i="3"/>
  <c r="AC7" i="3"/>
  <c r="M27" i="3"/>
  <c r="R27" i="3"/>
  <c r="S27" i="3"/>
  <c r="U27" i="3"/>
  <c r="V27" i="3"/>
  <c r="W27" i="3"/>
  <c r="X27" i="3"/>
  <c r="M30" i="3"/>
  <c r="R30" i="3"/>
  <c r="S30" i="3"/>
  <c r="U30" i="3"/>
  <c r="AC30" i="3" s="1"/>
  <c r="V30" i="3"/>
  <c r="W30" i="3"/>
  <c r="X30" i="3"/>
  <c r="M33" i="3"/>
  <c r="R33" i="3"/>
  <c r="S33" i="3"/>
  <c r="U33" i="3"/>
  <c r="AC33" i="3" s="1"/>
  <c r="V33" i="3"/>
  <c r="W33" i="3"/>
  <c r="X33" i="3"/>
  <c r="M31" i="3"/>
  <c r="R31" i="3"/>
  <c r="S31" i="3"/>
  <c r="U31" i="3"/>
  <c r="AC31" i="3" s="1"/>
  <c r="V31" i="3"/>
  <c r="W31" i="3"/>
  <c r="X31" i="3"/>
  <c r="M37" i="3"/>
  <c r="R37" i="3"/>
  <c r="S37" i="3"/>
  <c r="U37" i="3"/>
  <c r="V37" i="3"/>
  <c r="W37" i="3"/>
  <c r="X37" i="3"/>
  <c r="M23" i="3"/>
  <c r="R23" i="3"/>
  <c r="S23" i="3"/>
  <c r="U23" i="3"/>
  <c r="AC23" i="3" s="1"/>
  <c r="V23" i="3"/>
  <c r="W23" i="3"/>
  <c r="X23" i="3"/>
  <c r="M26" i="3"/>
  <c r="R26" i="3"/>
  <c r="S26" i="3"/>
  <c r="U26" i="3"/>
  <c r="AC26" i="3" s="1"/>
  <c r="V26" i="3"/>
  <c r="W26" i="3"/>
  <c r="X26" i="3"/>
  <c r="M25" i="3"/>
  <c r="R25" i="3"/>
  <c r="S25" i="3"/>
  <c r="U25" i="3"/>
  <c r="AD25" i="3" s="1"/>
  <c r="V25" i="3"/>
  <c r="W25" i="3"/>
  <c r="X25" i="3"/>
  <c r="AC25" i="3"/>
  <c r="M39" i="3"/>
  <c r="R39" i="3"/>
  <c r="S39" i="3"/>
  <c r="U39" i="3"/>
  <c r="V39" i="3"/>
  <c r="W39" i="3"/>
  <c r="X39" i="3"/>
  <c r="AC39" i="3"/>
  <c r="M29" i="3"/>
  <c r="R29" i="3"/>
  <c r="S29" i="3"/>
  <c r="U29" i="3"/>
  <c r="AC29" i="3" s="1"/>
  <c r="V29" i="3"/>
  <c r="W29" i="3"/>
  <c r="X29" i="3"/>
  <c r="M34" i="3"/>
  <c r="R34" i="3"/>
  <c r="S34" i="3"/>
  <c r="U34" i="3"/>
  <c r="AC34" i="3" s="1"/>
  <c r="V34" i="3"/>
  <c r="W34" i="3"/>
  <c r="X34" i="3"/>
  <c r="M38" i="3"/>
  <c r="R38" i="3"/>
  <c r="U38" i="3"/>
  <c r="T38" i="3" s="1"/>
  <c r="V38" i="3"/>
  <c r="W38" i="3"/>
  <c r="X38" i="3"/>
  <c r="AC38" i="3"/>
  <c r="M28" i="3"/>
  <c r="R28" i="3"/>
  <c r="S28" i="3"/>
  <c r="U28" i="3"/>
  <c r="AD28" i="3" s="1"/>
  <c r="V28" i="3"/>
  <c r="AE28" i="3" s="1"/>
  <c r="W28" i="3"/>
  <c r="X28" i="3"/>
  <c r="M15" i="3"/>
  <c r="R15" i="3"/>
  <c r="S15" i="3"/>
  <c r="U15" i="3"/>
  <c r="AC15" i="3" s="1"/>
  <c r="V15" i="3"/>
  <c r="W15" i="3"/>
  <c r="X15" i="3"/>
  <c r="M18" i="3"/>
  <c r="S18" i="3"/>
  <c r="U18" i="3"/>
  <c r="AC18" i="3" s="1"/>
  <c r="V18" i="3"/>
  <c r="W18" i="3"/>
  <c r="X18" i="3"/>
  <c r="M24" i="3"/>
  <c r="R24" i="3"/>
  <c r="S24" i="3"/>
  <c r="U24" i="3"/>
  <c r="T24" i="3" s="1"/>
  <c r="V24" i="3"/>
  <c r="W24" i="3"/>
  <c r="X24" i="3"/>
  <c r="AC24" i="3"/>
  <c r="M40" i="3"/>
  <c r="R40" i="3"/>
  <c r="S40" i="3"/>
  <c r="U40" i="3"/>
  <c r="V40" i="3"/>
  <c r="W40" i="3"/>
  <c r="X40" i="3"/>
  <c r="Y40" i="3" l="1"/>
  <c r="Y28" i="3"/>
  <c r="Y13" i="3"/>
  <c r="Y41" i="3"/>
  <c r="AD33" i="3"/>
  <c r="AE33" i="3"/>
  <c r="AD12" i="3"/>
  <c r="Y37" i="3"/>
  <c r="Y31" i="3"/>
  <c r="Y22" i="3"/>
  <c r="Y20" i="3"/>
  <c r="Y15" i="3"/>
  <c r="T25" i="3"/>
  <c r="Y36" i="3"/>
  <c r="AD20" i="3"/>
  <c r="Y17" i="3"/>
  <c r="AD36" i="3"/>
  <c r="AD30" i="3"/>
  <c r="T33" i="3"/>
  <c r="Y27" i="3"/>
  <c r="AD17" i="3"/>
  <c r="Y10" i="3"/>
  <c r="Y12" i="3"/>
  <c r="AG225" i="1"/>
  <c r="AI225" i="1" s="1"/>
  <c r="X225" i="1"/>
  <c r="AA197" i="1"/>
  <c r="W197" i="1" s="1"/>
  <c r="AA193" i="1"/>
  <c r="AI192" i="1"/>
  <c r="AA192" i="1"/>
  <c r="AA188" i="1"/>
  <c r="W188" i="1" s="1"/>
  <c r="AG182" i="1"/>
  <c r="AA170" i="1"/>
  <c r="AA167" i="1"/>
  <c r="AA161" i="1"/>
  <c r="W161" i="1" s="1"/>
  <c r="AA214" i="1"/>
  <c r="AA212" i="1"/>
  <c r="AA209" i="1"/>
  <c r="AG152" i="1"/>
  <c r="AI152" i="1" s="1"/>
  <c r="AG147" i="1"/>
  <c r="X147" i="1"/>
  <c r="AA144" i="1"/>
  <c r="X139" i="1"/>
  <c r="AG136" i="1"/>
  <c r="T130" i="1"/>
  <c r="T118" i="1"/>
  <c r="AA117" i="1"/>
  <c r="W117" i="1" s="1"/>
  <c r="AG111" i="1"/>
  <c r="X111" i="1"/>
  <c r="X95" i="1"/>
  <c r="AA95" i="1"/>
  <c r="T94" i="1"/>
  <c r="X92" i="1"/>
  <c r="AG91" i="1"/>
  <c r="X91" i="1"/>
  <c r="AA73" i="1"/>
  <c r="AA71" i="1"/>
  <c r="W71" i="1" s="1"/>
  <c r="X68" i="1"/>
  <c r="AG65" i="1"/>
  <c r="U65" i="1" s="1"/>
  <c r="S65" i="1" s="1"/>
  <c r="AA57" i="1"/>
  <c r="AA48" i="1"/>
  <c r="X45" i="1"/>
  <c r="AG33" i="1"/>
  <c r="U33" i="1" s="1"/>
  <c r="S33" i="1" s="1"/>
  <c r="X33" i="1"/>
  <c r="AA31" i="1"/>
  <c r="AA19" i="1"/>
  <c r="X157" i="1"/>
  <c r="X151" i="1"/>
  <c r="X135" i="1"/>
  <c r="T119" i="1"/>
  <c r="W99" i="1"/>
  <c r="T90" i="1"/>
  <c r="Y24" i="3"/>
  <c r="Y29" i="3"/>
  <c r="AD32" i="3"/>
  <c r="AE19" i="3"/>
  <c r="Y19" i="3"/>
  <c r="Y32" i="3"/>
  <c r="AD42" i="3"/>
  <c r="AD41" i="3"/>
  <c r="AE41" i="3"/>
  <c r="AD26" i="3"/>
  <c r="T9" i="3"/>
  <c r="AA224" i="1"/>
  <c r="AA220" i="1"/>
  <c r="AA202" i="1"/>
  <c r="AA196" i="1"/>
  <c r="W196" i="1" s="1"/>
  <c r="AA189" i="1"/>
  <c r="AA185" i="1"/>
  <c r="U182" i="1"/>
  <c r="AA169" i="1"/>
  <c r="W169" i="1" s="1"/>
  <c r="AI166" i="1"/>
  <c r="AA162" i="1"/>
  <c r="AA159" i="1"/>
  <c r="AG144" i="1"/>
  <c r="AI144" i="1" s="1"/>
  <c r="AA119" i="1"/>
  <c r="AA107" i="1"/>
  <c r="AA102" i="1"/>
  <c r="W102" i="1" s="1"/>
  <c r="X99" i="1"/>
  <c r="AA90" i="1"/>
  <c r="W90" i="1" s="1"/>
  <c r="AA89" i="1"/>
  <c r="AG73" i="1"/>
  <c r="AA65" i="1"/>
  <c r="W65" i="1" s="1"/>
  <c r="AA63" i="1"/>
  <c r="W63" i="1" s="1"/>
  <c r="AG57" i="1"/>
  <c r="X49" i="1"/>
  <c r="AA41" i="1"/>
  <c r="AA37" i="1"/>
  <c r="AA32" i="1"/>
  <c r="W32" i="1" s="1"/>
  <c r="X25" i="1"/>
  <c r="AA16" i="1"/>
  <c r="W155" i="1"/>
  <c r="U155" i="1"/>
  <c r="S155" i="1" s="1"/>
  <c r="AI155" i="1"/>
  <c r="W192" i="1"/>
  <c r="W180" i="1"/>
  <c r="AA156" i="1"/>
  <c r="T156" i="1"/>
  <c r="AA153" i="1"/>
  <c r="AA142" i="1"/>
  <c r="AA139" i="1"/>
  <c r="T139" i="1"/>
  <c r="T138" i="1"/>
  <c r="U138" i="1" s="1"/>
  <c r="S138" i="1" s="1"/>
  <c r="AA137" i="1"/>
  <c r="AA128" i="1"/>
  <c r="AA126" i="1"/>
  <c r="AA123" i="1"/>
  <c r="T123" i="1"/>
  <c r="T122" i="1"/>
  <c r="AA121" i="1"/>
  <c r="W106" i="1"/>
  <c r="W98" i="1"/>
  <c r="AI91" i="1"/>
  <c r="AA87" i="1"/>
  <c r="AA83" i="1"/>
  <c r="X71" i="1"/>
  <c r="AA67" i="1"/>
  <c r="X63" i="1"/>
  <c r="AA59" i="1"/>
  <c r="X48" i="1"/>
  <c r="X37" i="1"/>
  <c r="AI200" i="1"/>
  <c r="AA198" i="1"/>
  <c r="W198" i="1" s="1"/>
  <c r="AG186" i="1"/>
  <c r="X186" i="1"/>
  <c r="AA183" i="1"/>
  <c r="AA177" i="1"/>
  <c r="AA174" i="1"/>
  <c r="W174" i="1" s="1"/>
  <c r="AA171" i="1"/>
  <c r="AA165" i="1"/>
  <c r="AA158" i="1"/>
  <c r="W158" i="1" s="1"/>
  <c r="AA227" i="1"/>
  <c r="W227" i="1" s="1"/>
  <c r="AA210" i="1"/>
  <c r="W146" i="1"/>
  <c r="AA145" i="1"/>
  <c r="W130" i="1"/>
  <c r="AA129" i="1"/>
  <c r="AA115" i="1"/>
  <c r="AA110" i="1"/>
  <c r="T92" i="1"/>
  <c r="AA88" i="1"/>
  <c r="AA79" i="1"/>
  <c r="AA76" i="1"/>
  <c r="T76" i="1"/>
  <c r="AG75" i="1"/>
  <c r="AI75" i="1" s="1"/>
  <c r="AA70" i="1"/>
  <c r="AA62" i="1"/>
  <c r="AA44" i="1"/>
  <c r="X40" i="1"/>
  <c r="AA38" i="1"/>
  <c r="AA36" i="1"/>
  <c r="AA35" i="1"/>
  <c r="AA22" i="1"/>
  <c r="X21" i="1"/>
  <c r="X20" i="1"/>
  <c r="AA18" i="1"/>
  <c r="X16" i="1"/>
  <c r="X15" i="1"/>
  <c r="X167" i="1"/>
  <c r="U210" i="1"/>
  <c r="S210" i="1" s="1"/>
  <c r="AG156" i="1"/>
  <c r="AI156" i="1" s="1"/>
  <c r="AA154" i="1"/>
  <c r="W154" i="1" s="1"/>
  <c r="AG139" i="1"/>
  <c r="AA138" i="1"/>
  <c r="W138" i="1" s="1"/>
  <c r="AG123" i="1"/>
  <c r="AI123" i="1" s="1"/>
  <c r="AA122" i="1"/>
  <c r="W122" i="1" s="1"/>
  <c r="AA28" i="1"/>
  <c r="T25" i="1"/>
  <c r="AI221" i="1"/>
  <c r="AA225" i="1"/>
  <c r="T223" i="1"/>
  <c r="AG220" i="1"/>
  <c r="AI220" i="1" s="1"/>
  <c r="X220" i="1"/>
  <c r="AI196" i="1"/>
  <c r="AA194" i="1"/>
  <c r="AG190" i="1"/>
  <c r="U190" i="1" s="1"/>
  <c r="S190" i="1" s="1"/>
  <c r="X190" i="1"/>
  <c r="AA181" i="1"/>
  <c r="T181" i="1"/>
  <c r="AA178" i="1"/>
  <c r="AA175" i="1"/>
  <c r="AA173" i="1"/>
  <c r="AA166" i="1"/>
  <c r="W166" i="1" s="1"/>
  <c r="AA163" i="1"/>
  <c r="AA228" i="1"/>
  <c r="W228" i="1" s="1"/>
  <c r="X218" i="1"/>
  <c r="AA218" i="1"/>
  <c r="X206" i="1"/>
  <c r="AA152" i="1"/>
  <c r="W152" i="1" s="1"/>
  <c r="AA150" i="1"/>
  <c r="AA147" i="1"/>
  <c r="AA136" i="1"/>
  <c r="AA134" i="1"/>
  <c r="AA131" i="1"/>
  <c r="AG119" i="1"/>
  <c r="W119" i="1" s="1"/>
  <c r="AA118" i="1"/>
  <c r="W118" i="1" s="1"/>
  <c r="AA113" i="1"/>
  <c r="AA103" i="1"/>
  <c r="AA94" i="1"/>
  <c r="W94" i="1" s="1"/>
  <c r="AG92" i="1"/>
  <c r="AG88" i="1"/>
  <c r="U88" i="1" s="1"/>
  <c r="S88" i="1" s="1"/>
  <c r="AA85" i="1"/>
  <c r="AG76" i="1"/>
  <c r="U76" i="1" s="1"/>
  <c r="AA74" i="1"/>
  <c r="AA66" i="1"/>
  <c r="X60" i="1"/>
  <c r="AA58" i="1"/>
  <c r="AA52" i="1"/>
  <c r="X44" i="1"/>
  <c r="AA40" i="1"/>
  <c r="AA39" i="1"/>
  <c r="X36" i="1"/>
  <c r="AA34" i="1"/>
  <c r="AA20" i="1"/>
  <c r="AA15" i="1"/>
  <c r="T198" i="1"/>
  <c r="T193" i="1"/>
  <c r="U193" i="1" s="1"/>
  <c r="S193" i="1" s="1"/>
  <c r="T189" i="1"/>
  <c r="X175" i="1"/>
  <c r="AG175" i="1"/>
  <c r="AG173" i="1"/>
  <c r="AI173" i="1" s="1"/>
  <c r="X174" i="1"/>
  <c r="AG224" i="1"/>
  <c r="W224" i="1" s="1"/>
  <c r="X224" i="1"/>
  <c r="AG202" i="1"/>
  <c r="U202" i="1" s="1"/>
  <c r="S202" i="1" s="1"/>
  <c r="X202" i="1"/>
  <c r="T201" i="1"/>
  <c r="AG198" i="1"/>
  <c r="T197" i="1"/>
  <c r="U197" i="1" s="1"/>
  <c r="S197" i="1" s="1"/>
  <c r="AG194" i="1"/>
  <c r="U194" i="1" s="1"/>
  <c r="S194" i="1" s="1"/>
  <c r="X194" i="1"/>
  <c r="X185" i="1"/>
  <c r="T171" i="1"/>
  <c r="U171" i="1" s="1"/>
  <c r="S171" i="1" s="1"/>
  <c r="X171" i="1"/>
  <c r="AG171" i="1"/>
  <c r="T163" i="1"/>
  <c r="X163" i="1"/>
  <c r="AG163" i="1"/>
  <c r="AI163" i="1" s="1"/>
  <c r="T229" i="1"/>
  <c r="X229" i="1"/>
  <c r="AG229" i="1"/>
  <c r="AI229" i="1" s="1"/>
  <c r="T214" i="1"/>
  <c r="AG214" i="1"/>
  <c r="W214" i="1"/>
  <c r="U154" i="1"/>
  <c r="S154" i="1" s="1"/>
  <c r="AI154" i="1"/>
  <c r="T143" i="1"/>
  <c r="X143" i="1"/>
  <c r="AG143" i="1"/>
  <c r="AI143" i="1" s="1"/>
  <c r="AI138" i="1"/>
  <c r="T127" i="1"/>
  <c r="X127" i="1"/>
  <c r="AG127" i="1"/>
  <c r="U122" i="1"/>
  <c r="S122" i="1" s="1"/>
  <c r="AI122" i="1"/>
  <c r="AG115" i="1"/>
  <c r="X115" i="1"/>
  <c r="T107" i="1"/>
  <c r="X107" i="1"/>
  <c r="AG107" i="1"/>
  <c r="W107" i="1" s="1"/>
  <c r="W225" i="1"/>
  <c r="W222" i="1"/>
  <c r="T219" i="1"/>
  <c r="U219" i="1" s="1"/>
  <c r="S219" i="1" s="1"/>
  <c r="X193" i="1"/>
  <c r="AA191" i="1"/>
  <c r="X189" i="1"/>
  <c r="AA187" i="1"/>
  <c r="T175" i="1"/>
  <c r="X166" i="1"/>
  <c r="X217" i="1"/>
  <c r="X211" i="1"/>
  <c r="AG211" i="1"/>
  <c r="U211" i="1" s="1"/>
  <c r="W210" i="1"/>
  <c r="T150" i="1"/>
  <c r="AG150" i="1"/>
  <c r="W150" i="1" s="1"/>
  <c r="W142" i="1"/>
  <c r="T134" i="1"/>
  <c r="AG134" i="1"/>
  <c r="W126" i="1"/>
  <c r="U118" i="1"/>
  <c r="S118" i="1" s="1"/>
  <c r="AI118" i="1"/>
  <c r="AA204" i="1"/>
  <c r="AA203" i="1"/>
  <c r="W203" i="1" s="1"/>
  <c r="X201" i="1"/>
  <c r="AA199" i="1"/>
  <c r="X197" i="1"/>
  <c r="AA195" i="1"/>
  <c r="T185" i="1"/>
  <c r="AG177" i="1"/>
  <c r="W177" i="1" s="1"/>
  <c r="W173" i="1"/>
  <c r="AG170" i="1"/>
  <c r="X170" i="1"/>
  <c r="AG162" i="1"/>
  <c r="X162" i="1"/>
  <c r="AG228" i="1"/>
  <c r="X228" i="1"/>
  <c r="T148" i="1"/>
  <c r="AG148" i="1"/>
  <c r="U148" i="1" s="1"/>
  <c r="S148" i="1" s="1"/>
  <c r="AI142" i="1"/>
  <c r="T132" i="1"/>
  <c r="AG132" i="1"/>
  <c r="AI126" i="1"/>
  <c r="T115" i="1"/>
  <c r="AA182" i="1"/>
  <c r="T178" i="1"/>
  <c r="T174" i="1"/>
  <c r="U174" i="1" s="1"/>
  <c r="S174" i="1" s="1"/>
  <c r="AA168" i="1"/>
  <c r="T167" i="1"/>
  <c r="AA160" i="1"/>
  <c r="T159" i="1"/>
  <c r="AA226" i="1"/>
  <c r="T218" i="1"/>
  <c r="AA207" i="1"/>
  <c r="AA205" i="1"/>
  <c r="W205" i="1" s="1"/>
  <c r="AA157" i="1"/>
  <c r="AA151" i="1"/>
  <c r="T151" i="1"/>
  <c r="T142" i="1"/>
  <c r="U142" i="1" s="1"/>
  <c r="S142" i="1" s="1"/>
  <c r="AA141" i="1"/>
  <c r="AA140" i="1"/>
  <c r="AA135" i="1"/>
  <c r="T135" i="1"/>
  <c r="U135" i="1" s="1"/>
  <c r="S135" i="1" s="1"/>
  <c r="T126" i="1"/>
  <c r="U126" i="1" s="1"/>
  <c r="S126" i="1" s="1"/>
  <c r="AA125" i="1"/>
  <c r="AA124" i="1"/>
  <c r="AA120" i="1"/>
  <c r="W120" i="1" s="1"/>
  <c r="AA114" i="1"/>
  <c r="W114" i="1" s="1"/>
  <c r="T114" i="1"/>
  <c r="AA112" i="1"/>
  <c r="W112" i="1" s="1"/>
  <c r="AA111" i="1"/>
  <c r="W111" i="1" s="1"/>
  <c r="T110" i="1"/>
  <c r="U110" i="1" s="1"/>
  <c r="S110" i="1" s="1"/>
  <c r="T108" i="1"/>
  <c r="AG108" i="1"/>
  <c r="T103" i="1"/>
  <c r="U103" i="1" s="1"/>
  <c r="S103" i="1" s="1"/>
  <c r="X103" i="1"/>
  <c r="AG103" i="1"/>
  <c r="W103" i="1" s="1"/>
  <c r="T87" i="1"/>
  <c r="X87" i="1"/>
  <c r="AG87" i="1"/>
  <c r="W87" i="1" s="1"/>
  <c r="X84" i="1"/>
  <c r="T72" i="1"/>
  <c r="X72" i="1"/>
  <c r="AG72" i="1"/>
  <c r="X67" i="1"/>
  <c r="AG67" i="1"/>
  <c r="T64" i="1"/>
  <c r="X64" i="1"/>
  <c r="AG64" i="1"/>
  <c r="X59" i="1"/>
  <c r="AG59" i="1"/>
  <c r="T56" i="1"/>
  <c r="X56" i="1"/>
  <c r="AG56" i="1"/>
  <c r="T29" i="1"/>
  <c r="X29" i="1"/>
  <c r="AG29" i="1"/>
  <c r="W29" i="1" s="1"/>
  <c r="T166" i="1"/>
  <c r="T158" i="1"/>
  <c r="U158" i="1" s="1"/>
  <c r="S158" i="1" s="1"/>
  <c r="T217" i="1"/>
  <c r="T207" i="1"/>
  <c r="U206" i="1"/>
  <c r="S206" i="1" s="1"/>
  <c r="W147" i="1"/>
  <c r="U146" i="1"/>
  <c r="S146" i="1" s="1"/>
  <c r="W131" i="1"/>
  <c r="U130" i="1"/>
  <c r="S130" i="1" s="1"/>
  <c r="T120" i="1"/>
  <c r="AG120" i="1"/>
  <c r="T104" i="1"/>
  <c r="AG104" i="1"/>
  <c r="T96" i="1"/>
  <c r="U96" i="1" s="1"/>
  <c r="S96" i="1" s="1"/>
  <c r="X96" i="1"/>
  <c r="AG96" i="1"/>
  <c r="T79" i="1"/>
  <c r="AG79" i="1"/>
  <c r="W79" i="1" s="1"/>
  <c r="AA176" i="1"/>
  <c r="AA172" i="1"/>
  <c r="AG167" i="1"/>
  <c r="W167" i="1" s="1"/>
  <c r="AA164" i="1"/>
  <c r="AG159" i="1"/>
  <c r="AI159" i="1" s="1"/>
  <c r="AA230" i="1"/>
  <c r="AG218" i="1"/>
  <c r="W218" i="1" s="1"/>
  <c r="AA215" i="1"/>
  <c r="AA213" i="1"/>
  <c r="W213" i="1" s="1"/>
  <c r="AA211" i="1"/>
  <c r="W211" i="1" s="1"/>
  <c r="X210" i="1"/>
  <c r="AG207" i="1"/>
  <c r="AG157" i="1"/>
  <c r="AG151" i="1"/>
  <c r="AA149" i="1"/>
  <c r="AA148" i="1"/>
  <c r="W148" i="1" s="1"/>
  <c r="AA143" i="1"/>
  <c r="AG140" i="1"/>
  <c r="AG135" i="1"/>
  <c r="AA133" i="1"/>
  <c r="W133" i="1" s="1"/>
  <c r="AA132" i="1"/>
  <c r="AA127" i="1"/>
  <c r="W127" i="1" s="1"/>
  <c r="AG124" i="1"/>
  <c r="X114" i="1"/>
  <c r="W110" i="1"/>
  <c r="T100" i="1"/>
  <c r="AG100" i="1"/>
  <c r="X83" i="1"/>
  <c r="AG83" i="1"/>
  <c r="T77" i="1"/>
  <c r="AG77" i="1"/>
  <c r="AI71" i="1"/>
  <c r="AI63" i="1"/>
  <c r="AI55" i="1"/>
  <c r="AG28" i="1"/>
  <c r="W28" i="1" s="1"/>
  <c r="X28" i="1"/>
  <c r="AI90" i="1"/>
  <c r="U90" i="1"/>
  <c r="S90" i="1" s="1"/>
  <c r="X80" i="1"/>
  <c r="X79" i="1"/>
  <c r="W67" i="1"/>
  <c r="X52" i="1"/>
  <c r="T106" i="1"/>
  <c r="U106" i="1" s="1"/>
  <c r="S106" i="1" s="1"/>
  <c r="U102" i="1"/>
  <c r="S102" i="1" s="1"/>
  <c r="T102" i="1"/>
  <c r="T99" i="1"/>
  <c r="U99" i="1" s="1"/>
  <c r="S99" i="1" s="1"/>
  <c r="T95" i="1"/>
  <c r="U86" i="1"/>
  <c r="S86" i="1" s="1"/>
  <c r="AA82" i="1"/>
  <c r="AA81" i="1"/>
  <c r="AA80" i="1"/>
  <c r="T80" i="1"/>
  <c r="X75" i="1"/>
  <c r="AA68" i="1"/>
  <c r="T68" i="1"/>
  <c r="AA60" i="1"/>
  <c r="T60" i="1"/>
  <c r="W55" i="1"/>
  <c r="T41" i="1"/>
  <c r="U41" i="1" s="1"/>
  <c r="S41" i="1" s="1"/>
  <c r="T37" i="1"/>
  <c r="X32" i="1"/>
  <c r="AA25" i="1"/>
  <c r="T24" i="1"/>
  <c r="U24" i="1" s="1"/>
  <c r="S24" i="1" s="1"/>
  <c r="T16" i="1"/>
  <c r="W76" i="1"/>
  <c r="U75" i="1"/>
  <c r="S75" i="1" s="1"/>
  <c r="T71" i="1"/>
  <c r="U71" i="1" s="1"/>
  <c r="S71" i="1" s="1"/>
  <c r="W69" i="1"/>
  <c r="T63" i="1"/>
  <c r="U63" i="1" s="1"/>
  <c r="S63" i="1" s="1"/>
  <c r="W61" i="1"/>
  <c r="T55" i="1"/>
  <c r="U55" i="1" s="1"/>
  <c r="S55" i="1" s="1"/>
  <c r="AA49" i="1"/>
  <c r="T48" i="1"/>
  <c r="AA45" i="1"/>
  <c r="T44" i="1"/>
  <c r="T40" i="1"/>
  <c r="T36" i="1"/>
  <c r="AG25" i="1"/>
  <c r="AI25" i="1" s="1"/>
  <c r="AA21" i="1"/>
  <c r="T20" i="1"/>
  <c r="W17" i="1"/>
  <c r="AG16" i="1"/>
  <c r="W16" i="1" s="1"/>
  <c r="T15" i="1"/>
  <c r="AA109" i="1"/>
  <c r="AA108" i="1"/>
  <c r="W108" i="1" s="1"/>
  <c r="AA105" i="1"/>
  <c r="AA104" i="1"/>
  <c r="W104" i="1" s="1"/>
  <c r="AA101" i="1"/>
  <c r="AA100" i="1"/>
  <c r="AA97" i="1"/>
  <c r="AG95" i="1"/>
  <c r="U94" i="1"/>
  <c r="S94" i="1" s="1"/>
  <c r="AA91" i="1"/>
  <c r="W91" i="1" s="1"/>
  <c r="AG81" i="1"/>
  <c r="U81" i="1" s="1"/>
  <c r="S81" i="1" s="1"/>
  <c r="AG80" i="1"/>
  <c r="AA78" i="1"/>
  <c r="AA77" i="1"/>
  <c r="AA72" i="1"/>
  <c r="W72" i="1" s="1"/>
  <c r="AG68" i="1"/>
  <c r="AA64" i="1"/>
  <c r="W64" i="1" s="1"/>
  <c r="AG60" i="1"/>
  <c r="AA56" i="1"/>
  <c r="W56" i="1" s="1"/>
  <c r="AG52" i="1"/>
  <c r="AA51" i="1"/>
  <c r="AG49" i="1"/>
  <c r="AG45" i="1"/>
  <c r="AG41" i="1"/>
  <c r="AG37" i="1"/>
  <c r="W37" i="1" s="1"/>
  <c r="AA33" i="1"/>
  <c r="T32" i="1"/>
  <c r="U32" i="1" s="1"/>
  <c r="S32" i="1" s="1"/>
  <c r="AA30" i="1"/>
  <c r="X24" i="1"/>
  <c r="AG21" i="1"/>
  <c r="AI206" i="1"/>
  <c r="U185" i="1"/>
  <c r="S185" i="1" s="1"/>
  <c r="AI198" i="1"/>
  <c r="AI197" i="1"/>
  <c r="U178" i="1"/>
  <c r="S178" i="1" s="1"/>
  <c r="U224" i="1"/>
  <c r="S224" i="1" s="1"/>
  <c r="U223" i="1"/>
  <c r="S223" i="1" s="1"/>
  <c r="T203" i="1"/>
  <c r="U203" i="1" s="1"/>
  <c r="S203" i="1" s="1"/>
  <c r="X203" i="1"/>
  <c r="T199" i="1"/>
  <c r="X199" i="1"/>
  <c r="AG199" i="1"/>
  <c r="W199" i="1" s="1"/>
  <c r="T191" i="1"/>
  <c r="X191" i="1"/>
  <c r="AG191" i="1"/>
  <c r="W191" i="1" s="1"/>
  <c r="W190" i="1"/>
  <c r="W189" i="1"/>
  <c r="T183" i="1"/>
  <c r="AG183" i="1"/>
  <c r="W182" i="1"/>
  <c r="W181" i="1"/>
  <c r="T176" i="1"/>
  <c r="X176" i="1"/>
  <c r="AG176" i="1"/>
  <c r="AI188" i="1"/>
  <c r="AI185" i="1"/>
  <c r="U166" i="1"/>
  <c r="S166" i="1" s="1"/>
  <c r="AI180" i="1"/>
  <c r="AI178" i="1"/>
  <c r="AI170" i="1"/>
  <c r="U217" i="1"/>
  <c r="S217" i="1" s="1"/>
  <c r="AI227" i="1"/>
  <c r="U201" i="1"/>
  <c r="S201" i="1" s="1"/>
  <c r="AI231" i="1"/>
  <c r="AI218" i="1"/>
  <c r="AI217" i="1"/>
  <c r="AI210" i="1"/>
  <c r="U189" i="1"/>
  <c r="S189" i="1" s="1"/>
  <c r="U186" i="1"/>
  <c r="S186" i="1" s="1"/>
  <c r="S182" i="1"/>
  <c r="AI202" i="1"/>
  <c r="AI201" i="1"/>
  <c r="U181" i="1"/>
  <c r="S181" i="1" s="1"/>
  <c r="AI194" i="1"/>
  <c r="AI193" i="1"/>
  <c r="W170" i="1"/>
  <c r="W165" i="1"/>
  <c r="W162" i="1"/>
  <c r="W231" i="1"/>
  <c r="W216" i="1"/>
  <c r="AI165" i="1"/>
  <c r="W212" i="1"/>
  <c r="AI214" i="1"/>
  <c r="AI213" i="1"/>
  <c r="AI228" i="1"/>
  <c r="W221" i="1"/>
  <c r="U221" i="1"/>
  <c r="S221" i="1" s="1"/>
  <c r="U220" i="1"/>
  <c r="S220" i="1" s="1"/>
  <c r="AG204" i="1"/>
  <c r="AI204" i="1" s="1"/>
  <c r="T204" i="1"/>
  <c r="X204" i="1"/>
  <c r="AI223" i="1"/>
  <c r="U225" i="1"/>
  <c r="S225" i="1" s="1"/>
  <c r="X223" i="1"/>
  <c r="T222" i="1"/>
  <c r="U222" i="1" s="1"/>
  <c r="S222" i="1" s="1"/>
  <c r="X222" i="1"/>
  <c r="W220" i="1"/>
  <c r="X219" i="1"/>
  <c r="AI222" i="1"/>
  <c r="W201" i="1"/>
  <c r="T195" i="1"/>
  <c r="X195" i="1"/>
  <c r="AG195" i="1"/>
  <c r="W194" i="1"/>
  <c r="W193" i="1"/>
  <c r="T187" i="1"/>
  <c r="X187" i="1"/>
  <c r="AG187" i="1"/>
  <c r="W187" i="1" s="1"/>
  <c r="W186" i="1"/>
  <c r="W185" i="1"/>
  <c r="T179" i="1"/>
  <c r="AG179" i="1"/>
  <c r="W179" i="1" s="1"/>
  <c r="W178" i="1"/>
  <c r="AI189" i="1"/>
  <c r="U170" i="1"/>
  <c r="S170" i="1" s="1"/>
  <c r="AI184" i="1"/>
  <c r="AI181" i="1"/>
  <c r="U162" i="1"/>
  <c r="S162" i="1" s="1"/>
  <c r="AI177" i="1"/>
  <c r="AI174" i="1"/>
  <c r="U228" i="1"/>
  <c r="S228" i="1" s="1"/>
  <c r="AI169" i="1"/>
  <c r="X200" i="1"/>
  <c r="T200" i="1"/>
  <c r="U200" i="1" s="1"/>
  <c r="S200" i="1" s="1"/>
  <c r="X196" i="1"/>
  <c r="T196" i="1"/>
  <c r="U196" i="1" s="1"/>
  <c r="S196" i="1" s="1"/>
  <c r="X192" i="1"/>
  <c r="T192" i="1"/>
  <c r="U192" i="1" s="1"/>
  <c r="S192" i="1" s="1"/>
  <c r="X188" i="1"/>
  <c r="T188" i="1"/>
  <c r="U188" i="1" s="1"/>
  <c r="S188" i="1" s="1"/>
  <c r="X184" i="1"/>
  <c r="T184" i="1"/>
  <c r="U184" i="1" s="1"/>
  <c r="S184" i="1" s="1"/>
  <c r="T180" i="1"/>
  <c r="U180" i="1" s="1"/>
  <c r="S180" i="1" s="1"/>
  <c r="X177" i="1"/>
  <c r="T177" i="1"/>
  <c r="U177" i="1" s="1"/>
  <c r="S177" i="1" s="1"/>
  <c r="X173" i="1"/>
  <c r="T173" i="1"/>
  <c r="X169" i="1"/>
  <c r="T169" i="1"/>
  <c r="U169" i="1" s="1"/>
  <c r="S169" i="1" s="1"/>
  <c r="X165" i="1"/>
  <c r="T165" i="1"/>
  <c r="U165" i="1" s="1"/>
  <c r="S165" i="1" s="1"/>
  <c r="X161" i="1"/>
  <c r="T161" i="1"/>
  <c r="U161" i="1" s="1"/>
  <c r="S161" i="1" s="1"/>
  <c r="X231" i="1"/>
  <c r="T231" i="1"/>
  <c r="U231" i="1" s="1"/>
  <c r="S231" i="1" s="1"/>
  <c r="X227" i="1"/>
  <c r="T227" i="1"/>
  <c r="U227" i="1" s="1"/>
  <c r="S227" i="1" s="1"/>
  <c r="X216" i="1"/>
  <c r="T216" i="1"/>
  <c r="U216" i="1" s="1"/>
  <c r="S216" i="1" s="1"/>
  <c r="S211" i="1"/>
  <c r="AA208" i="1"/>
  <c r="T205" i="1"/>
  <c r="X205" i="1"/>
  <c r="AG205" i="1"/>
  <c r="AI205" i="1" s="1"/>
  <c r="T153" i="1"/>
  <c r="X153" i="1"/>
  <c r="AG153" i="1"/>
  <c r="X154" i="1"/>
  <c r="T149" i="1"/>
  <c r="X149" i="1"/>
  <c r="AG149" i="1"/>
  <c r="X150" i="1"/>
  <c r="T145" i="1"/>
  <c r="X145" i="1"/>
  <c r="AG145" i="1"/>
  <c r="X146" i="1"/>
  <c r="T141" i="1"/>
  <c r="X141" i="1"/>
  <c r="AG141" i="1"/>
  <c r="X142" i="1"/>
  <c r="T137" i="1"/>
  <c r="X137" i="1"/>
  <c r="AG137" i="1"/>
  <c r="X138" i="1"/>
  <c r="T133" i="1"/>
  <c r="X133" i="1"/>
  <c r="AG133" i="1"/>
  <c r="X134" i="1"/>
  <c r="T129" i="1"/>
  <c r="X129" i="1"/>
  <c r="AG129" i="1"/>
  <c r="X130" i="1"/>
  <c r="T125" i="1"/>
  <c r="X125" i="1"/>
  <c r="AG125" i="1"/>
  <c r="X126" i="1"/>
  <c r="T121" i="1"/>
  <c r="X121" i="1"/>
  <c r="AG121" i="1"/>
  <c r="X122" i="1"/>
  <c r="T117" i="1"/>
  <c r="X117" i="1"/>
  <c r="AG117" i="1"/>
  <c r="X118" i="1"/>
  <c r="U167" i="1"/>
  <c r="S167" i="1" s="1"/>
  <c r="U163" i="1"/>
  <c r="S163" i="1" s="1"/>
  <c r="U159" i="1"/>
  <c r="S159" i="1" s="1"/>
  <c r="U218" i="1"/>
  <c r="S218" i="1" s="1"/>
  <c r="U214" i="1"/>
  <c r="S214" i="1" s="1"/>
  <c r="T208" i="1"/>
  <c r="X208" i="1"/>
  <c r="AI157" i="1"/>
  <c r="AI148" i="1"/>
  <c r="AI140" i="1"/>
  <c r="AI136" i="1"/>
  <c r="AI132" i="1"/>
  <c r="AI128" i="1"/>
  <c r="AI124" i="1"/>
  <c r="AI120" i="1"/>
  <c r="AI96" i="1"/>
  <c r="AG172" i="1"/>
  <c r="AG168" i="1"/>
  <c r="W168" i="1" s="1"/>
  <c r="AG164" i="1"/>
  <c r="AI164" i="1" s="1"/>
  <c r="AG160" i="1"/>
  <c r="AG230" i="1"/>
  <c r="AI230" i="1" s="1"/>
  <c r="AG226" i="1"/>
  <c r="W226" i="1" s="1"/>
  <c r="AG215" i="1"/>
  <c r="X214" i="1"/>
  <c r="T213" i="1"/>
  <c r="U213" i="1" s="1"/>
  <c r="S213" i="1" s="1"/>
  <c r="T209" i="1"/>
  <c r="X209" i="1"/>
  <c r="AG209" i="1"/>
  <c r="W209" i="1" s="1"/>
  <c r="AG208" i="1"/>
  <c r="AI208" i="1" s="1"/>
  <c r="U157" i="1"/>
  <c r="S157" i="1" s="1"/>
  <c r="U152" i="1"/>
  <c r="S152" i="1" s="1"/>
  <c r="U140" i="1"/>
  <c r="S140" i="1" s="1"/>
  <c r="U136" i="1"/>
  <c r="S136" i="1" s="1"/>
  <c r="U132" i="1"/>
  <c r="S132" i="1" s="1"/>
  <c r="U128" i="1"/>
  <c r="S128" i="1" s="1"/>
  <c r="U124" i="1"/>
  <c r="S124" i="1" s="1"/>
  <c r="U120" i="1"/>
  <c r="S120" i="1" s="1"/>
  <c r="X172" i="1"/>
  <c r="AI190" i="1"/>
  <c r="X168" i="1"/>
  <c r="AI186" i="1"/>
  <c r="X164" i="1"/>
  <c r="AI182" i="1"/>
  <c r="X160" i="1"/>
  <c r="X230" i="1"/>
  <c r="AI175" i="1"/>
  <c r="X226" i="1"/>
  <c r="AI171" i="1"/>
  <c r="X215" i="1"/>
  <c r="AI167" i="1"/>
  <c r="X213" i="1"/>
  <c r="T212" i="1"/>
  <c r="U212" i="1" s="1"/>
  <c r="S212" i="1" s="1"/>
  <c r="X212" i="1"/>
  <c r="AI160" i="1"/>
  <c r="W157" i="1"/>
  <c r="W153" i="1"/>
  <c r="W149" i="1"/>
  <c r="W145" i="1"/>
  <c r="W141" i="1"/>
  <c r="W140" i="1"/>
  <c r="W137" i="1"/>
  <c r="W136" i="1"/>
  <c r="W132" i="1"/>
  <c r="W129" i="1"/>
  <c r="W128" i="1"/>
  <c r="W125" i="1"/>
  <c r="W124" i="1"/>
  <c r="W121" i="1"/>
  <c r="X116" i="1"/>
  <c r="AG116" i="1"/>
  <c r="U98" i="1"/>
  <c r="S98" i="1" s="1"/>
  <c r="U151" i="1"/>
  <c r="S151" i="1" s="1"/>
  <c r="U147" i="1"/>
  <c r="S147" i="1" s="1"/>
  <c r="U139" i="1"/>
  <c r="S139" i="1" s="1"/>
  <c r="U131" i="1"/>
  <c r="S131" i="1" s="1"/>
  <c r="U127" i="1"/>
  <c r="S127" i="1" s="1"/>
  <c r="U119" i="1"/>
  <c r="S119" i="1" s="1"/>
  <c r="AA116" i="1"/>
  <c r="X98" i="1"/>
  <c r="T97" i="1"/>
  <c r="X97" i="1"/>
  <c r="AG97" i="1"/>
  <c r="W97" i="1" s="1"/>
  <c r="AI92" i="1"/>
  <c r="U84" i="1"/>
  <c r="S84" i="1" s="1"/>
  <c r="AI84" i="1"/>
  <c r="W58" i="1"/>
  <c r="X152" i="1"/>
  <c r="AI151" i="1"/>
  <c r="X148" i="1"/>
  <c r="AI147" i="1"/>
  <c r="X144" i="1"/>
  <c r="X140" i="1"/>
  <c r="AI139" i="1"/>
  <c r="X136" i="1"/>
  <c r="AI135" i="1"/>
  <c r="X132" i="1"/>
  <c r="AI131" i="1"/>
  <c r="X128" i="1"/>
  <c r="AI127" i="1"/>
  <c r="X124" i="1"/>
  <c r="X120" i="1"/>
  <c r="AI119" i="1"/>
  <c r="U114" i="1"/>
  <c r="S114" i="1" s="1"/>
  <c r="T112" i="1"/>
  <c r="U112" i="1" s="1"/>
  <c r="S112" i="1" s="1"/>
  <c r="X112" i="1"/>
  <c r="X110" i="1"/>
  <c r="T109" i="1"/>
  <c r="X109" i="1"/>
  <c r="AG109" i="1"/>
  <c r="W109" i="1" s="1"/>
  <c r="X106" i="1"/>
  <c r="T105" i="1"/>
  <c r="X105" i="1"/>
  <c r="AG105" i="1"/>
  <c r="X102" i="1"/>
  <c r="T101" i="1"/>
  <c r="X101" i="1"/>
  <c r="AG101" i="1"/>
  <c r="W101" i="1" s="1"/>
  <c r="AA92" i="1"/>
  <c r="W92" i="1" s="1"/>
  <c r="U92" i="1"/>
  <c r="S92" i="1" s="1"/>
  <c r="X90" i="1"/>
  <c r="T89" i="1"/>
  <c r="X89" i="1"/>
  <c r="AG89" i="1"/>
  <c r="W86" i="1"/>
  <c r="T113" i="1"/>
  <c r="X113" i="1"/>
  <c r="AG113" i="1"/>
  <c r="W113" i="1" s="1"/>
  <c r="AI112" i="1"/>
  <c r="U111" i="1"/>
  <c r="S111" i="1" s="1"/>
  <c r="AI108" i="1"/>
  <c r="U107" i="1"/>
  <c r="S107" i="1" s="1"/>
  <c r="AI104" i="1"/>
  <c r="AI100" i="1"/>
  <c r="AA96" i="1"/>
  <c r="W96" i="1" s="1"/>
  <c r="X94" i="1"/>
  <c r="T93" i="1"/>
  <c r="X93" i="1"/>
  <c r="AG93" i="1"/>
  <c r="U91" i="1"/>
  <c r="S91" i="1" s="1"/>
  <c r="X86" i="1"/>
  <c r="T85" i="1"/>
  <c r="X85" i="1"/>
  <c r="AG85" i="1"/>
  <c r="W85" i="1" s="1"/>
  <c r="AI111" i="1"/>
  <c r="X108" i="1"/>
  <c r="X104" i="1"/>
  <c r="AI103" i="1"/>
  <c r="X100" i="1"/>
  <c r="X88" i="1"/>
  <c r="AA84" i="1"/>
  <c r="W84" i="1" s="1"/>
  <c r="T82" i="1"/>
  <c r="X82" i="1"/>
  <c r="AG82" i="1"/>
  <c r="W82" i="1" s="1"/>
  <c r="W54" i="1"/>
  <c r="W53" i="1"/>
  <c r="U77" i="1"/>
  <c r="S77" i="1" s="1"/>
  <c r="U73" i="1"/>
  <c r="S73" i="1" s="1"/>
  <c r="U69" i="1"/>
  <c r="S69" i="1" s="1"/>
  <c r="U61" i="1"/>
  <c r="S61" i="1" s="1"/>
  <c r="U57" i="1"/>
  <c r="S57" i="1" s="1"/>
  <c r="AG53" i="1"/>
  <c r="T51" i="1"/>
  <c r="X51" i="1"/>
  <c r="U28" i="1"/>
  <c r="S28" i="1" s="1"/>
  <c r="AI28" i="1"/>
  <c r="W24" i="1"/>
  <c r="X81" i="1"/>
  <c r="AI80" i="1"/>
  <c r="AG78" i="1"/>
  <c r="W78" i="1" s="1"/>
  <c r="X77" i="1"/>
  <c r="AI76" i="1"/>
  <c r="S76" i="1"/>
  <c r="AG74" i="1"/>
  <c r="W74" i="1" s="1"/>
  <c r="X73" i="1"/>
  <c r="AI72" i="1"/>
  <c r="AG70" i="1"/>
  <c r="X69" i="1"/>
  <c r="AI68" i="1"/>
  <c r="AG66" i="1"/>
  <c r="X65" i="1"/>
  <c r="AI64" i="1"/>
  <c r="AG62" i="1"/>
  <c r="X61" i="1"/>
  <c r="AI60" i="1"/>
  <c r="AG58" i="1"/>
  <c r="X57" i="1"/>
  <c r="AI56" i="1"/>
  <c r="AG54" i="1"/>
  <c r="X53" i="1"/>
  <c r="AI52" i="1"/>
  <c r="AG51" i="1"/>
  <c r="W48" i="1"/>
  <c r="W44" i="1"/>
  <c r="W40" i="1"/>
  <c r="W36" i="1"/>
  <c r="AI24" i="1"/>
  <c r="W20" i="1"/>
  <c r="W15" i="1"/>
  <c r="X78" i="1"/>
  <c r="T78" i="1"/>
  <c r="AI77" i="1"/>
  <c r="X74" i="1"/>
  <c r="T74" i="1"/>
  <c r="AI73" i="1"/>
  <c r="X70" i="1"/>
  <c r="AI69" i="1"/>
  <c r="X66" i="1"/>
  <c r="X62" i="1"/>
  <c r="AI61" i="1"/>
  <c r="X58" i="1"/>
  <c r="AI57" i="1"/>
  <c r="X54" i="1"/>
  <c r="U48" i="1"/>
  <c r="S48" i="1" s="1"/>
  <c r="AI48" i="1"/>
  <c r="U44" i="1"/>
  <c r="S44" i="1" s="1"/>
  <c r="AI44" i="1"/>
  <c r="U40" i="1"/>
  <c r="S40" i="1" s="1"/>
  <c r="AI40" i="1"/>
  <c r="U36" i="1"/>
  <c r="S36" i="1" s="1"/>
  <c r="AI36" i="1"/>
  <c r="U20" i="1"/>
  <c r="S20" i="1" s="1"/>
  <c r="AI20" i="1"/>
  <c r="U15" i="1"/>
  <c r="S15" i="1" s="1"/>
  <c r="AI15" i="1"/>
  <c r="T50" i="1"/>
  <c r="X50" i="1"/>
  <c r="AG50" i="1"/>
  <c r="W50" i="1" s="1"/>
  <c r="AI32" i="1"/>
  <c r="U49" i="1"/>
  <c r="S49" i="1" s="1"/>
  <c r="U45" i="1"/>
  <c r="S45" i="1" s="1"/>
  <c r="U37" i="1"/>
  <c r="S37" i="1" s="1"/>
  <c r="U29" i="1"/>
  <c r="S29" i="1" s="1"/>
  <c r="U21" i="1"/>
  <c r="S21" i="1" s="1"/>
  <c r="U17" i="1"/>
  <c r="S17" i="1" s="1"/>
  <c r="AG46" i="1"/>
  <c r="AG42" i="1"/>
  <c r="AG38" i="1"/>
  <c r="AG34" i="1"/>
  <c r="AG30" i="1"/>
  <c r="W30" i="1" s="1"/>
  <c r="AG26" i="1"/>
  <c r="W26" i="1" s="1"/>
  <c r="AG22" i="1"/>
  <c r="W22" i="1" s="1"/>
  <c r="AG18" i="1"/>
  <c r="W18" i="1" s="1"/>
  <c r="AG14" i="1"/>
  <c r="W14" i="1" s="1"/>
  <c r="AI49" i="1"/>
  <c r="AG47" i="1"/>
  <c r="W47" i="1" s="1"/>
  <c r="X46" i="1"/>
  <c r="AI45" i="1"/>
  <c r="AG43" i="1"/>
  <c r="X42" i="1"/>
  <c r="AI41" i="1"/>
  <c r="AG39" i="1"/>
  <c r="W39" i="1" s="1"/>
  <c r="X38" i="1"/>
  <c r="AI37" i="1"/>
  <c r="AG35" i="1"/>
  <c r="W35" i="1" s="1"/>
  <c r="X34" i="1"/>
  <c r="AG31" i="1"/>
  <c r="X30" i="1"/>
  <c r="AI29" i="1"/>
  <c r="AG27" i="1"/>
  <c r="X26" i="1"/>
  <c r="AG23" i="1"/>
  <c r="X22" i="1"/>
  <c r="AI21" i="1"/>
  <c r="AG19" i="1"/>
  <c r="X18" i="1"/>
  <c r="X47" i="1"/>
  <c r="X43" i="1"/>
  <c r="X39" i="1"/>
  <c r="X35" i="1"/>
  <c r="X31" i="1"/>
  <c r="X27" i="1"/>
  <c r="X23" i="1"/>
  <c r="X19" i="1"/>
  <c r="Y18" i="3"/>
  <c r="Y34" i="3"/>
  <c r="Y30" i="3"/>
  <c r="Y7" i="3"/>
  <c r="AD24" i="3"/>
  <c r="Y42" i="3"/>
  <c r="Y11" i="3"/>
  <c r="Y35" i="3"/>
  <c r="AD40" i="3"/>
  <c r="AC40" i="3"/>
  <c r="AD34" i="3"/>
  <c r="AE25" i="3"/>
  <c r="T21" i="3"/>
  <c r="T20" i="3"/>
  <c r="AD13" i="3"/>
  <c r="AE13" i="3"/>
  <c r="AE11" i="3"/>
  <c r="AE9" i="3"/>
  <c r="AE17" i="3"/>
  <c r="AE15" i="3"/>
  <c r="AD38" i="3"/>
  <c r="T34" i="3"/>
  <c r="Y39" i="3"/>
  <c r="Y23" i="3"/>
  <c r="AD29" i="3"/>
  <c r="AC27" i="3"/>
  <c r="AE21" i="3"/>
  <c r="T11" i="3"/>
  <c r="T8" i="3"/>
  <c r="AD8" i="3"/>
  <c r="Y38" i="3"/>
  <c r="Y26" i="3"/>
  <c r="T18" i="3"/>
  <c r="AD37" i="3"/>
  <c r="AE37" i="3"/>
  <c r="Y25" i="3"/>
  <c r="AE32" i="3"/>
  <c r="AC37" i="3"/>
  <c r="T31" i="3"/>
  <c r="Y33" i="3"/>
  <c r="T22" i="3"/>
  <c r="T42" i="3"/>
  <c r="Y9" i="3"/>
  <c r="T32" i="3"/>
  <c r="AE40" i="3"/>
  <c r="AC28" i="3"/>
  <c r="T26" i="3"/>
  <c r="AE29" i="3"/>
  <c r="AE24" i="3"/>
  <c r="AE20" i="3"/>
  <c r="T14" i="3"/>
  <c r="AE12" i="3"/>
  <c r="Y14" i="3"/>
  <c r="AE39" i="3"/>
  <c r="T15" i="3"/>
  <c r="AE35" i="3"/>
  <c r="T29" i="3"/>
  <c r="AE31" i="3"/>
  <c r="T23" i="3"/>
  <c r="AE27" i="3"/>
  <c r="T30" i="3"/>
  <c r="AE23" i="3"/>
  <c r="T13" i="3"/>
  <c r="AE42" i="3"/>
  <c r="T40" i="3"/>
  <c r="AD39" i="3"/>
  <c r="AE38" i="3"/>
  <c r="T28" i="3"/>
  <c r="AD35" i="3"/>
  <c r="AE34" i="3"/>
  <c r="T39" i="3"/>
  <c r="AD31" i="3"/>
  <c r="AE30" i="3"/>
  <c r="T37" i="3"/>
  <c r="AD27" i="3"/>
  <c r="AE26" i="3"/>
  <c r="T27" i="3"/>
  <c r="AD23" i="3"/>
  <c r="AE22" i="3"/>
  <c r="T36" i="3"/>
  <c r="AD19" i="3"/>
  <c r="AE18" i="3"/>
  <c r="T17" i="3"/>
  <c r="AD15" i="3"/>
  <c r="AE14" i="3"/>
  <c r="T19" i="3"/>
  <c r="AD11" i="3"/>
  <c r="AE10" i="3"/>
  <c r="T10" i="3"/>
  <c r="AC41" i="3"/>
  <c r="AD22" i="3"/>
  <c r="AD18" i="3"/>
  <c r="AD14" i="3"/>
  <c r="AD10" i="3"/>
  <c r="AE8" i="3"/>
  <c r="AI107" i="1" l="1"/>
  <c r="U123" i="1"/>
  <c r="S123" i="1" s="1"/>
  <c r="U156" i="1"/>
  <c r="S156" i="1" s="1"/>
  <c r="U144" i="1"/>
  <c r="S144" i="1" s="1"/>
  <c r="W88" i="1"/>
  <c r="W171" i="1"/>
  <c r="AI33" i="1"/>
  <c r="U25" i="1"/>
  <c r="S25" i="1" s="1"/>
  <c r="W66" i="1"/>
  <c r="W70" i="1"/>
  <c r="U143" i="1"/>
  <c r="S143" i="1" s="1"/>
  <c r="W144" i="1"/>
  <c r="U229" i="1"/>
  <c r="S229" i="1" s="1"/>
  <c r="W41" i="1"/>
  <c r="U68" i="1"/>
  <c r="S68" i="1" s="1"/>
  <c r="W143" i="1"/>
  <c r="W57" i="1"/>
  <c r="W73" i="1"/>
  <c r="AI65" i="1"/>
  <c r="AI81" i="1"/>
  <c r="W81" i="1"/>
  <c r="AI88" i="1"/>
  <c r="U173" i="1"/>
  <c r="S173" i="1" s="1"/>
  <c r="W33" i="1"/>
  <c r="W175" i="1"/>
  <c r="W139" i="1"/>
  <c r="W156" i="1"/>
  <c r="W77" i="1"/>
  <c r="W100" i="1"/>
  <c r="U108" i="1"/>
  <c r="S108" i="1" s="1"/>
  <c r="W135" i="1"/>
  <c r="W25" i="1"/>
  <c r="U56" i="1"/>
  <c r="S56" i="1" s="1"/>
  <c r="W123" i="1"/>
  <c r="U80" i="1"/>
  <c r="S80" i="1" s="1"/>
  <c r="W21" i="1"/>
  <c r="U207" i="1"/>
  <c r="S207" i="1" s="1"/>
  <c r="U198" i="1"/>
  <c r="S198" i="1" s="1"/>
  <c r="W75" i="1"/>
  <c r="AI209" i="1"/>
  <c r="U52" i="1"/>
  <c r="S52" i="1" s="1"/>
  <c r="W45" i="1"/>
  <c r="W68" i="1"/>
  <c r="U83" i="1"/>
  <c r="S83" i="1" s="1"/>
  <c r="AI83" i="1"/>
  <c r="W83" i="1"/>
  <c r="U104" i="1"/>
  <c r="S104" i="1" s="1"/>
  <c r="U72" i="1"/>
  <c r="S72" i="1" s="1"/>
  <c r="U134" i="1"/>
  <c r="S134" i="1" s="1"/>
  <c r="AI134" i="1"/>
  <c r="U115" i="1"/>
  <c r="S115" i="1" s="1"/>
  <c r="AI115" i="1"/>
  <c r="W115" i="1"/>
  <c r="U175" i="1"/>
  <c r="S175" i="1" s="1"/>
  <c r="AI226" i="1"/>
  <c r="W204" i="1"/>
  <c r="U95" i="1"/>
  <c r="S95" i="1" s="1"/>
  <c r="AI95" i="1"/>
  <c r="U59" i="1"/>
  <c r="S59" i="1" s="1"/>
  <c r="AI59" i="1"/>
  <c r="W207" i="1"/>
  <c r="W202" i="1"/>
  <c r="U60" i="1"/>
  <c r="S60" i="1" s="1"/>
  <c r="U16" i="1"/>
  <c r="S16" i="1" s="1"/>
  <c r="AI16" i="1"/>
  <c r="W49" i="1"/>
  <c r="W60" i="1"/>
  <c r="U100" i="1"/>
  <c r="S100" i="1" s="1"/>
  <c r="U79" i="1"/>
  <c r="S79" i="1" s="1"/>
  <c r="AI79" i="1"/>
  <c r="W159" i="1"/>
  <c r="U67" i="1"/>
  <c r="S67" i="1" s="1"/>
  <c r="AI67" i="1"/>
  <c r="U87" i="1"/>
  <c r="S87" i="1" s="1"/>
  <c r="AI87" i="1"/>
  <c r="W151" i="1"/>
  <c r="W134" i="1"/>
  <c r="W229" i="1"/>
  <c r="W163" i="1"/>
  <c r="W95" i="1"/>
  <c r="W52" i="1"/>
  <c r="W80" i="1"/>
  <c r="W59" i="1"/>
  <c r="U64" i="1"/>
  <c r="S64" i="1" s="1"/>
  <c r="U150" i="1"/>
  <c r="S150" i="1" s="1"/>
  <c r="AI150" i="1"/>
  <c r="U164" i="1"/>
  <c r="S164" i="1" s="1"/>
  <c r="AI183" i="1"/>
  <c r="U19" i="1"/>
  <c r="S19" i="1" s="1"/>
  <c r="AI19" i="1"/>
  <c r="U35" i="1"/>
  <c r="S35" i="1" s="1"/>
  <c r="AI35" i="1"/>
  <c r="AI18" i="1"/>
  <c r="U18" i="1"/>
  <c r="S18" i="1" s="1"/>
  <c r="AI34" i="1"/>
  <c r="U34" i="1"/>
  <c r="S34" i="1" s="1"/>
  <c r="W34" i="1"/>
  <c r="AI51" i="1"/>
  <c r="U51" i="1"/>
  <c r="S51" i="1" s="1"/>
  <c r="W51" i="1"/>
  <c r="AI89" i="1"/>
  <c r="U89" i="1"/>
  <c r="S89" i="1" s="1"/>
  <c r="AI97" i="1"/>
  <c r="U97" i="1"/>
  <c r="S97" i="1" s="1"/>
  <c r="AI161" i="1"/>
  <c r="U208" i="1"/>
  <c r="S208" i="1" s="1"/>
  <c r="U230" i="1"/>
  <c r="S230" i="1" s="1"/>
  <c r="AI176" i="1"/>
  <c r="U172" i="1"/>
  <c r="S172" i="1" s="1"/>
  <c r="AI191" i="1"/>
  <c r="U205" i="1"/>
  <c r="S205" i="1" s="1"/>
  <c r="AI158" i="1"/>
  <c r="U179" i="1"/>
  <c r="S179" i="1" s="1"/>
  <c r="AI199" i="1"/>
  <c r="U204" i="1"/>
  <c r="S204" i="1" s="1"/>
  <c r="AI224" i="1"/>
  <c r="U199" i="1"/>
  <c r="S199" i="1" s="1"/>
  <c r="AI219" i="1"/>
  <c r="U43" i="1"/>
  <c r="S43" i="1"/>
  <c r="AI43" i="1"/>
  <c r="AI93" i="1"/>
  <c r="U93" i="1"/>
  <c r="S93" i="1" s="1"/>
  <c r="U31" i="1"/>
  <c r="S31" i="1" s="1"/>
  <c r="AI31" i="1"/>
  <c r="U47" i="1"/>
  <c r="S47" i="1" s="1"/>
  <c r="AI47" i="1"/>
  <c r="AI22" i="1"/>
  <c r="U22" i="1"/>
  <c r="S22" i="1" s="1"/>
  <c r="AI38" i="1"/>
  <c r="U38" i="1"/>
  <c r="S38" i="1" s="1"/>
  <c r="W38" i="1"/>
  <c r="AI53" i="1"/>
  <c r="U53" i="1"/>
  <c r="S53" i="1" s="1"/>
  <c r="W116" i="1"/>
  <c r="W89" i="1"/>
  <c r="U209" i="1"/>
  <c r="S209" i="1" s="1"/>
  <c r="AI162" i="1"/>
  <c r="U160" i="1"/>
  <c r="S160" i="1" s="1"/>
  <c r="AI179" i="1"/>
  <c r="AI117" i="1"/>
  <c r="U117" i="1"/>
  <c r="S117" i="1" s="1"/>
  <c r="U121" i="1"/>
  <c r="S121" i="1" s="1"/>
  <c r="AI121" i="1"/>
  <c r="U125" i="1"/>
  <c r="S125" i="1" s="1"/>
  <c r="AI125" i="1"/>
  <c r="U129" i="1"/>
  <c r="S129" i="1" s="1"/>
  <c r="AI129" i="1"/>
  <c r="U133" i="1"/>
  <c r="S133" i="1" s="1"/>
  <c r="AI133" i="1"/>
  <c r="U137" i="1"/>
  <c r="S137" i="1" s="1"/>
  <c r="AI137" i="1"/>
  <c r="U141" i="1"/>
  <c r="S141" i="1" s="1"/>
  <c r="AI141" i="1"/>
  <c r="U145" i="1"/>
  <c r="S145" i="1" s="1"/>
  <c r="AI145" i="1"/>
  <c r="U149" i="1"/>
  <c r="S149" i="1" s="1"/>
  <c r="AI149" i="1"/>
  <c r="U153" i="1"/>
  <c r="S153" i="1" s="1"/>
  <c r="AI153" i="1"/>
  <c r="U191" i="1"/>
  <c r="S191" i="1" s="1"/>
  <c r="AI211" i="1"/>
  <c r="U27" i="1"/>
  <c r="S27" i="1" s="1"/>
  <c r="AI27" i="1"/>
  <c r="AI26" i="1"/>
  <c r="U26" i="1"/>
  <c r="S26" i="1" s="1"/>
  <c r="AI42" i="1"/>
  <c r="U42" i="1"/>
  <c r="S42" i="1" s="1"/>
  <c r="W42" i="1"/>
  <c r="W27" i="1"/>
  <c r="W93" i="1"/>
  <c r="AI116" i="1"/>
  <c r="U116" i="1"/>
  <c r="S116" i="1" s="1"/>
  <c r="U215" i="1"/>
  <c r="S215" i="1" s="1"/>
  <c r="AI168" i="1"/>
  <c r="U195" i="1"/>
  <c r="S195" i="1" s="1"/>
  <c r="AI215" i="1"/>
  <c r="U183" i="1"/>
  <c r="S183" i="1" s="1"/>
  <c r="AI203" i="1"/>
  <c r="W183" i="1"/>
  <c r="U23" i="1"/>
  <c r="S23" i="1" s="1"/>
  <c r="AI23" i="1"/>
  <c r="U39" i="1"/>
  <c r="S39" i="1" s="1"/>
  <c r="AI39" i="1"/>
  <c r="AI14" i="1"/>
  <c r="U14" i="1"/>
  <c r="S14" i="1" s="1"/>
  <c r="AI30" i="1"/>
  <c r="U30" i="1"/>
  <c r="S30" i="1" s="1"/>
  <c r="AI46" i="1"/>
  <c r="U46" i="1"/>
  <c r="S46" i="1" s="1"/>
  <c r="W31" i="1"/>
  <c r="AI50" i="1"/>
  <c r="U50" i="1"/>
  <c r="S50" i="1" s="1"/>
  <c r="W19" i="1"/>
  <c r="W43" i="1"/>
  <c r="W46" i="1"/>
  <c r="W23" i="1"/>
  <c r="AI54" i="1"/>
  <c r="U54" i="1"/>
  <c r="S54" i="1" s="1"/>
  <c r="AI58" i="1"/>
  <c r="U58" i="1"/>
  <c r="S58" i="1" s="1"/>
  <c r="AI62" i="1"/>
  <c r="U62" i="1"/>
  <c r="S62" i="1" s="1"/>
  <c r="AI66" i="1"/>
  <c r="U66" i="1"/>
  <c r="S66" i="1" s="1"/>
  <c r="AI70" i="1"/>
  <c r="U70" i="1"/>
  <c r="S70" i="1" s="1"/>
  <c r="AI74" i="1"/>
  <c r="U74" i="1"/>
  <c r="S74" i="1" s="1"/>
  <c r="AI78" i="1"/>
  <c r="U78" i="1"/>
  <c r="W62" i="1"/>
  <c r="U82" i="1"/>
  <c r="S82" i="1" s="1"/>
  <c r="AI82" i="1"/>
  <c r="AI85" i="1"/>
  <c r="U85" i="1"/>
  <c r="S85" i="1" s="1"/>
  <c r="U113" i="1"/>
  <c r="S113" i="1" s="1"/>
  <c r="AI113" i="1"/>
  <c r="AI101" i="1"/>
  <c r="U101" i="1"/>
  <c r="S101" i="1" s="1"/>
  <c r="AI105" i="1"/>
  <c r="U105" i="1"/>
  <c r="S105" i="1" s="1"/>
  <c r="AI109" i="1"/>
  <c r="U109" i="1"/>
  <c r="S109" i="1" s="1"/>
  <c r="W105" i="1"/>
  <c r="U226" i="1"/>
  <c r="S226" i="1" s="1"/>
  <c r="AI172" i="1"/>
  <c r="U168" i="1"/>
  <c r="S168" i="1" s="1"/>
  <c r="AI187" i="1"/>
  <c r="W208" i="1"/>
  <c r="U187" i="1"/>
  <c r="S187" i="1" s="1"/>
  <c r="AI207" i="1"/>
  <c r="W215" i="1"/>
  <c r="W230" i="1"/>
  <c r="W164" i="1"/>
  <c r="W172" i="1"/>
  <c r="W195" i="1"/>
  <c r="U176" i="1"/>
  <c r="S176" i="1" s="1"/>
  <c r="AI195" i="1"/>
  <c r="W160" i="1"/>
  <c r="W176" i="1"/>
  <c r="M16" i="3"/>
  <c r="R16" i="3"/>
  <c r="S16" i="3"/>
  <c r="U16" i="3"/>
  <c r="V16" i="3"/>
  <c r="W16" i="3"/>
  <c r="X16" i="3"/>
  <c r="AD16" i="3" l="1"/>
  <c r="AE16" i="3"/>
  <c r="Y16" i="3"/>
  <c r="AC16" i="3"/>
  <c r="T16" i="3"/>
  <c r="B3" i="6" l="1"/>
  <c r="G3" i="6" l="1"/>
  <c r="I3" i="6"/>
  <c r="J3" i="6"/>
  <c r="F3" i="6"/>
  <c r="B4" i="6"/>
  <c r="F4" i="6" l="1"/>
  <c r="G4" i="6"/>
  <c r="I4" i="6"/>
  <c r="J4" i="6"/>
  <c r="B5" i="6"/>
  <c r="O2" i="3"/>
  <c r="G5" i="6" l="1"/>
  <c r="I5" i="6"/>
  <c r="J5" i="6"/>
  <c r="F5" i="6"/>
  <c r="B6" i="6"/>
  <c r="M28" i="5"/>
  <c r="B7" i="6" l="1"/>
  <c r="F6" i="6"/>
  <c r="I6" i="6"/>
  <c r="G6" i="6"/>
  <c r="J6" i="6"/>
  <c r="M23" i="5"/>
  <c r="B8" i="6" l="1"/>
  <c r="G7" i="6"/>
  <c r="I7" i="6"/>
  <c r="J7" i="6"/>
  <c r="F7" i="6"/>
  <c r="AD7" i="3"/>
  <c r="AN13" i="1"/>
  <c r="F8" i="6" l="1"/>
  <c r="I8" i="6"/>
  <c r="G8" i="6"/>
  <c r="J8" i="6"/>
  <c r="B9" i="6"/>
  <c r="AE7" i="3"/>
  <c r="G9" i="6" l="1"/>
  <c r="I9" i="6"/>
  <c r="F9" i="6"/>
  <c r="J9" i="6"/>
  <c r="B10" i="6"/>
  <c r="K13" i="1"/>
  <c r="M13" i="1"/>
  <c r="N13" i="1" s="1"/>
  <c r="Y13" i="1"/>
  <c r="Z13" i="1"/>
  <c r="AB13" i="1"/>
  <c r="AC13" i="1"/>
  <c r="AD13" i="1"/>
  <c r="X14" i="1" s="1"/>
  <c r="AE13" i="1"/>
  <c r="AM13" i="1"/>
  <c r="F10" i="6" l="1"/>
  <c r="I10" i="6"/>
  <c r="G10" i="6"/>
  <c r="J10" i="6"/>
  <c r="B11" i="6"/>
  <c r="AG13" i="1"/>
  <c r="AI13" i="1" s="1"/>
  <c r="X13" i="1"/>
  <c r="AA13" i="1"/>
  <c r="T13" i="1"/>
  <c r="G11" i="6" l="1"/>
  <c r="I11" i="6"/>
  <c r="J11" i="6"/>
  <c r="F11" i="6"/>
  <c r="B12" i="6"/>
  <c r="W13" i="1"/>
  <c r="B93" i="9"/>
  <c r="B94" i="9"/>
  <c r="B95" i="9"/>
  <c r="B96" i="9"/>
  <c r="C96" i="9" s="1"/>
  <c r="B97" i="9"/>
  <c r="B98" i="9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C120" i="9" s="1"/>
  <c r="B121" i="9"/>
  <c r="B122" i="9"/>
  <c r="B123" i="9"/>
  <c r="B124" i="9"/>
  <c r="B125" i="9"/>
  <c r="B126" i="9"/>
  <c r="B127" i="9"/>
  <c r="B128" i="9"/>
  <c r="C128" i="9" s="1"/>
  <c r="B129" i="9"/>
  <c r="B130" i="9"/>
  <c r="B13" i="6" l="1"/>
  <c r="F12" i="6"/>
  <c r="G12" i="6"/>
  <c r="I12" i="6"/>
  <c r="J12" i="6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G13" i="6" l="1"/>
  <c r="I13" i="6"/>
  <c r="J13" i="6"/>
  <c r="F13" i="6"/>
  <c r="B14" i="6"/>
  <c r="B87" i="9"/>
  <c r="B88" i="9"/>
  <c r="B89" i="9"/>
  <c r="B90" i="9"/>
  <c r="B91" i="9"/>
  <c r="B92" i="9"/>
  <c r="B15" i="6" l="1"/>
  <c r="F14" i="6"/>
  <c r="G14" i="6"/>
  <c r="I14" i="6"/>
  <c r="J14" i="6"/>
  <c r="C88" i="9"/>
  <c r="C92" i="9"/>
  <c r="C93" i="9"/>
  <c r="C90" i="9"/>
  <c r="C89" i="9"/>
  <c r="C91" i="9"/>
  <c r="B16" i="6" l="1"/>
  <c r="G15" i="6"/>
  <c r="I15" i="6"/>
  <c r="J15" i="6"/>
  <c r="F15" i="6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F16" i="6" l="1"/>
  <c r="G16" i="6"/>
  <c r="I16" i="6"/>
  <c r="J16" i="6"/>
  <c r="B17" i="6"/>
  <c r="C86" i="9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I17" i="6" l="1"/>
  <c r="F17" i="6"/>
  <c r="G17" i="6"/>
  <c r="J17" i="6"/>
  <c r="B18" i="6"/>
  <c r="B55" i="9"/>
  <c r="B56" i="9"/>
  <c r="B57" i="9"/>
  <c r="B58" i="9"/>
  <c r="B59" i="9"/>
  <c r="B60" i="9"/>
  <c r="B61" i="9"/>
  <c r="B62" i="9"/>
  <c r="C63" i="9" s="1"/>
  <c r="F18" i="6" l="1"/>
  <c r="I18" i="6"/>
  <c r="G18" i="6"/>
  <c r="J18" i="6"/>
  <c r="B19" i="6"/>
  <c r="C61" i="9"/>
  <c r="C57" i="9"/>
  <c r="C59" i="9"/>
  <c r="C62" i="9"/>
  <c r="C60" i="9"/>
  <c r="C58" i="9"/>
  <c r="C56" i="9"/>
  <c r="G19" i="6" l="1"/>
  <c r="I19" i="6"/>
  <c r="J19" i="6"/>
  <c r="F19" i="6"/>
  <c r="B20" i="6"/>
  <c r="B50" i="9"/>
  <c r="B51" i="9"/>
  <c r="B52" i="9"/>
  <c r="B53" i="9"/>
  <c r="B54" i="9"/>
  <c r="F20" i="6" l="1"/>
  <c r="G20" i="6"/>
  <c r="I20" i="6"/>
  <c r="J20" i="6"/>
  <c r="B21" i="6"/>
  <c r="C52" i="9"/>
  <c r="C54" i="9"/>
  <c r="C55" i="9"/>
  <c r="C53" i="9"/>
  <c r="C51" i="9"/>
  <c r="G21" i="6" l="1"/>
  <c r="I21" i="6"/>
  <c r="J21" i="6"/>
  <c r="F21" i="6"/>
  <c r="B22" i="6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B23" i="6" l="1"/>
  <c r="F22" i="6"/>
  <c r="G22" i="6"/>
  <c r="I22" i="6"/>
  <c r="J22" i="6"/>
  <c r="C46" i="9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G23" i="6" l="1"/>
  <c r="I23" i="6"/>
  <c r="J23" i="6"/>
  <c r="F23" i="6"/>
  <c r="B24" i="6"/>
  <c r="V13" i="1"/>
  <c r="B31" i="9"/>
  <c r="B32" i="9"/>
  <c r="C33" i="9" s="1"/>
  <c r="F24" i="6" l="1"/>
  <c r="G24" i="6"/>
  <c r="I24" i="6"/>
  <c r="J24" i="6"/>
  <c r="B25" i="6"/>
  <c r="C32" i="9"/>
  <c r="G25" i="6" l="1"/>
  <c r="I25" i="6"/>
  <c r="F25" i="6"/>
  <c r="H25" i="6"/>
  <c r="J25" i="6"/>
  <c r="B26" i="6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N41" i="3" s="1"/>
  <c r="G24" i="4"/>
  <c r="G25" i="4"/>
  <c r="G26" i="4"/>
  <c r="G27" i="4"/>
  <c r="G28" i="4"/>
  <c r="G29" i="4"/>
  <c r="G30" i="4"/>
  <c r="G31" i="4"/>
  <c r="G32" i="4"/>
  <c r="G33" i="4"/>
  <c r="G34" i="4"/>
  <c r="N8" i="3" s="1"/>
  <c r="G35" i="4"/>
  <c r="G36" i="4"/>
  <c r="G37" i="4"/>
  <c r="N32" i="3" s="1"/>
  <c r="G38" i="4"/>
  <c r="G39" i="4"/>
  <c r="G40" i="4"/>
  <c r="N35" i="3" s="1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N19" i="3" s="1"/>
  <c r="G61" i="4"/>
  <c r="G62" i="4"/>
  <c r="G63" i="4"/>
  <c r="G64" i="4"/>
  <c r="G65" i="4"/>
  <c r="G66" i="4"/>
  <c r="G67" i="4"/>
  <c r="N11" i="3" s="1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N14" i="3" s="1"/>
  <c r="G85" i="4"/>
  <c r="G86" i="4"/>
  <c r="G87" i="4"/>
  <c r="G88" i="4"/>
  <c r="G89" i="4"/>
  <c r="G90" i="4"/>
  <c r="G91" i="4"/>
  <c r="G92" i="4"/>
  <c r="G93" i="4"/>
  <c r="G94" i="4"/>
  <c r="G95" i="4"/>
  <c r="N9" i="3" s="1"/>
  <c r="G96" i="4"/>
  <c r="N20" i="3" s="1"/>
  <c r="G97" i="4"/>
  <c r="G98" i="4"/>
  <c r="G99" i="4"/>
  <c r="G100" i="4"/>
  <c r="N36" i="3" s="1"/>
  <c r="G101" i="4"/>
  <c r="G102" i="4"/>
  <c r="G103" i="4"/>
  <c r="G104" i="4"/>
  <c r="G105" i="4"/>
  <c r="G106" i="4"/>
  <c r="N42" i="3" s="1"/>
  <c r="G107" i="4"/>
  <c r="G108" i="4"/>
  <c r="G109" i="4"/>
  <c r="G110" i="4"/>
  <c r="G111" i="4"/>
  <c r="G112" i="4"/>
  <c r="G113" i="4"/>
  <c r="N13" i="3" s="1"/>
  <c r="G114" i="4"/>
  <c r="H7" i="6" s="1"/>
  <c r="G115" i="4"/>
  <c r="G116" i="4"/>
  <c r="H8" i="6" s="1"/>
  <c r="G117" i="4"/>
  <c r="G118" i="4"/>
  <c r="G119" i="4"/>
  <c r="G120" i="4"/>
  <c r="G121" i="4"/>
  <c r="G122" i="4"/>
  <c r="G123" i="4"/>
  <c r="N22" i="3" s="1"/>
  <c r="G124" i="4"/>
  <c r="G125" i="4"/>
  <c r="G126" i="4"/>
  <c r="G127" i="4"/>
  <c r="G128" i="4"/>
  <c r="G129" i="4"/>
  <c r="G130" i="4"/>
  <c r="G131" i="4"/>
  <c r="N7" i="3" s="1"/>
  <c r="G132" i="4"/>
  <c r="G133" i="4"/>
  <c r="G134" i="4"/>
  <c r="G135" i="4"/>
  <c r="G136" i="4"/>
  <c r="G137" i="4"/>
  <c r="G138" i="4"/>
  <c r="G139" i="4"/>
  <c r="G140" i="4"/>
  <c r="G141" i="4"/>
  <c r="G142" i="4"/>
  <c r="H22" i="6" s="1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N33" i="3" s="1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N23" i="3" s="1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N39" i="3" s="1"/>
  <c r="G182" i="4"/>
  <c r="G183" i="4"/>
  <c r="G184" i="4"/>
  <c r="G185" i="4"/>
  <c r="N38" i="3" s="1"/>
  <c r="G186" i="4"/>
  <c r="G187" i="4"/>
  <c r="N28" i="3" s="1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N24" i="3" s="1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N40" i="3" s="1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29" i="3" l="1"/>
  <c r="N34" i="3"/>
  <c r="N17" i="3"/>
  <c r="N21" i="3"/>
  <c r="N27" i="3"/>
  <c r="N30" i="3"/>
  <c r="N15" i="3"/>
  <c r="N18" i="3"/>
  <c r="N26" i="3"/>
  <c r="N25" i="3"/>
  <c r="N37" i="3"/>
  <c r="N31" i="3"/>
  <c r="N12" i="3"/>
  <c r="N10" i="3"/>
  <c r="N16" i="3"/>
  <c r="H16" i="6"/>
  <c r="H6" i="6"/>
  <c r="H24" i="6"/>
  <c r="H3" i="6"/>
  <c r="H19" i="6"/>
  <c r="H10" i="6"/>
  <c r="H23" i="6"/>
  <c r="H17" i="6"/>
  <c r="H4" i="6"/>
  <c r="H14" i="6"/>
  <c r="H9" i="6"/>
  <c r="H13" i="6"/>
  <c r="H15" i="6"/>
  <c r="H5" i="6"/>
  <c r="H12" i="6"/>
  <c r="H20" i="6"/>
  <c r="H21" i="6"/>
  <c r="H18" i="6"/>
  <c r="H11" i="6"/>
  <c r="F26" i="6"/>
  <c r="I26" i="6"/>
  <c r="G26" i="6"/>
  <c r="H26" i="6"/>
  <c r="J26" i="6"/>
  <c r="B27" i="6"/>
  <c r="L13" i="1"/>
  <c r="G27" i="6" l="1"/>
  <c r="I27" i="6"/>
  <c r="J27" i="6"/>
  <c r="F27" i="6"/>
  <c r="H27" i="6"/>
  <c r="B28" i="6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F28" i="6" l="1"/>
  <c r="G28" i="6"/>
  <c r="I28" i="6"/>
  <c r="J28" i="6"/>
  <c r="H28" i="6"/>
  <c r="B29" i="6"/>
  <c r="C26" i="9"/>
  <c r="B1" i="9"/>
  <c r="C1" i="9" s="1"/>
  <c r="C4" i="9"/>
  <c r="C7" i="9"/>
  <c r="C24" i="9"/>
  <c r="C10" i="9"/>
  <c r="C15" i="9"/>
  <c r="C30" i="9"/>
  <c r="C16" i="9"/>
  <c r="C29" i="9"/>
  <c r="C12" i="9"/>
  <c r="C13" i="9"/>
  <c r="G29" i="6" l="1"/>
  <c r="H29" i="6"/>
  <c r="J29" i="6"/>
  <c r="I29" i="6"/>
  <c r="F29" i="6"/>
  <c r="B30" i="6"/>
  <c r="C25" i="9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B31" i="6" l="1"/>
  <c r="F30" i="6"/>
  <c r="G30" i="6"/>
  <c r="I30" i="6"/>
  <c r="H30" i="6"/>
  <c r="J30" i="6"/>
  <c r="M30" i="5"/>
  <c r="M29" i="5"/>
  <c r="M27" i="5"/>
  <c r="G31" i="6" l="1"/>
  <c r="I31" i="6"/>
  <c r="J31" i="6"/>
  <c r="H31" i="6"/>
  <c r="F31" i="6"/>
  <c r="B32" i="6"/>
  <c r="M26" i="5"/>
  <c r="B33" i="6" l="1"/>
  <c r="F32" i="6"/>
  <c r="G32" i="6"/>
  <c r="H32" i="6"/>
  <c r="J32" i="6"/>
  <c r="I32" i="6"/>
  <c r="AH13" i="1"/>
  <c r="J7" i="1"/>
  <c r="G33" i="6" l="1"/>
  <c r="F33" i="6"/>
  <c r="H33" i="6"/>
  <c r="J33" i="6"/>
  <c r="I33" i="6"/>
  <c r="B34" i="6"/>
  <c r="X6" i="1"/>
  <c r="W6" i="1"/>
  <c r="V6" i="1"/>
  <c r="S6" i="1"/>
  <c r="R2" i="1"/>
  <c r="I2" i="1"/>
  <c r="O6" i="1"/>
  <c r="N6" i="1"/>
  <c r="M6" i="1"/>
  <c r="J6" i="1"/>
  <c r="B35" i="6" l="1"/>
  <c r="I34" i="6"/>
  <c r="G34" i="6"/>
  <c r="H34" i="6"/>
  <c r="J34" i="6"/>
  <c r="F34" i="6"/>
  <c r="P3" i="5"/>
  <c r="G35" i="6" l="1"/>
  <c r="I35" i="6"/>
  <c r="J35" i="6"/>
  <c r="F35" i="6"/>
  <c r="H35" i="6"/>
  <c r="B36" i="6"/>
  <c r="M18" i="5"/>
  <c r="B37" i="6" l="1"/>
  <c r="F36" i="6"/>
  <c r="G36" i="6"/>
  <c r="I36" i="6"/>
  <c r="J36" i="6"/>
  <c r="H36" i="6"/>
  <c r="AF13" i="1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G37" i="6" l="1"/>
  <c r="I37" i="6"/>
  <c r="J37" i="6"/>
  <c r="F37" i="6"/>
  <c r="H37" i="6"/>
  <c r="B38" i="6"/>
  <c r="V5" i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B39" i="6" l="1"/>
  <c r="F38" i="6"/>
  <c r="G38" i="6"/>
  <c r="I38" i="6"/>
  <c r="H38" i="6"/>
  <c r="J38" i="6"/>
  <c r="G259" i="4"/>
  <c r="G260" i="4"/>
  <c r="G261" i="4"/>
  <c r="G262" i="4"/>
  <c r="G263" i="4"/>
  <c r="G264" i="4"/>
  <c r="G265" i="4"/>
  <c r="B40" i="6" l="1"/>
  <c r="G39" i="6"/>
  <c r="I39" i="6"/>
  <c r="H39" i="6"/>
  <c r="J39" i="6"/>
  <c r="F39" i="6"/>
  <c r="M14" i="5"/>
  <c r="M13" i="5"/>
  <c r="M12" i="5"/>
  <c r="M11" i="5"/>
  <c r="M10" i="5"/>
  <c r="M9" i="5"/>
  <c r="M8" i="5"/>
  <c r="M7" i="5"/>
  <c r="M6" i="5"/>
  <c r="M5" i="5"/>
  <c r="M4" i="5"/>
  <c r="M3" i="5"/>
  <c r="F40" i="6" l="1"/>
  <c r="G40" i="6"/>
  <c r="I40" i="6"/>
  <c r="J40" i="6"/>
  <c r="H40" i="6"/>
  <c r="B41" i="6"/>
  <c r="U13" i="1"/>
  <c r="S13" i="1" s="1"/>
  <c r="O3" i="3"/>
  <c r="H41" i="6" l="1"/>
  <c r="I41" i="6"/>
  <c r="F41" i="6"/>
  <c r="G41" i="6"/>
  <c r="J41" i="6"/>
  <c r="B42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43" i="6" l="1"/>
  <c r="F43" i="6" s="1"/>
  <c r="F42" i="6"/>
  <c r="G42" i="6"/>
  <c r="I42" i="6"/>
  <c r="H42" i="6"/>
  <c r="J42" i="6"/>
  <c r="J8" i="1"/>
  <c r="J4" i="1"/>
  <c r="S8" i="1"/>
  <c r="S4" i="1"/>
  <c r="J43" i="6" l="1"/>
  <c r="I43" i="6"/>
  <c r="G43" i="6"/>
  <c r="H43" i="6"/>
  <c r="B44" i="6"/>
  <c r="S9" i="1"/>
  <c r="J9" i="1"/>
  <c r="B45" i="6" l="1"/>
  <c r="H44" i="6"/>
  <c r="J44" i="6"/>
  <c r="F44" i="6"/>
  <c r="G44" i="6"/>
  <c r="I44" i="6"/>
  <c r="S11" i="1"/>
  <c r="A11" i="1"/>
  <c r="B46" i="6" l="1"/>
  <c r="F45" i="6"/>
  <c r="I45" i="6"/>
  <c r="J45" i="6"/>
  <c r="G45" i="6"/>
  <c r="H45" i="6"/>
  <c r="B1" i="6"/>
  <c r="A5" i="3"/>
  <c r="B47" i="6" l="1"/>
  <c r="G46" i="6"/>
  <c r="H46" i="6"/>
  <c r="F46" i="6"/>
  <c r="I46" i="6"/>
  <c r="J46" i="6"/>
  <c r="G47" i="6" l="1"/>
  <c r="H47" i="6"/>
  <c r="I47" i="6"/>
  <c r="J47" i="6"/>
  <c r="F47" i="6"/>
  <c r="B48" i="6"/>
  <c r="H48" i="6" l="1"/>
  <c r="F48" i="6"/>
  <c r="G48" i="6"/>
  <c r="I48" i="6"/>
  <c r="J48" i="6"/>
  <c r="B49" i="6"/>
  <c r="B50" i="6" l="1"/>
  <c r="G49" i="6"/>
  <c r="H49" i="6"/>
  <c r="I49" i="6"/>
  <c r="J49" i="6"/>
  <c r="F49" i="6"/>
  <c r="B51" i="6" l="1"/>
  <c r="I50" i="6"/>
  <c r="G50" i="6"/>
  <c r="F50" i="6"/>
  <c r="H50" i="6"/>
  <c r="J50" i="6"/>
  <c r="G51" i="6" l="1"/>
  <c r="F51" i="6"/>
  <c r="H51" i="6"/>
  <c r="I51" i="6"/>
  <c r="J51" i="6"/>
  <c r="B52" i="6"/>
  <c r="H52" i="6" l="1"/>
  <c r="J52" i="6"/>
  <c r="F52" i="6"/>
  <c r="G52" i="6"/>
  <c r="I52" i="6"/>
  <c r="B53" i="6"/>
  <c r="B54" i="6" l="1"/>
  <c r="F53" i="6"/>
  <c r="G53" i="6"/>
  <c r="I53" i="6"/>
  <c r="H53" i="6"/>
  <c r="J53" i="6"/>
  <c r="F54" i="6" l="1"/>
  <c r="G54" i="6"/>
  <c r="J54" i="6"/>
  <c r="H54" i="6"/>
  <c r="I54" i="6"/>
  <c r="B55" i="6"/>
  <c r="G55" i="6" l="1"/>
  <c r="J55" i="6"/>
  <c r="F55" i="6"/>
  <c r="H55" i="6"/>
  <c r="I55" i="6"/>
  <c r="B56" i="6"/>
  <c r="B57" i="6" l="1"/>
  <c r="F56" i="6"/>
  <c r="G56" i="6"/>
  <c r="H56" i="6"/>
  <c r="I56" i="6"/>
  <c r="J56" i="6"/>
  <c r="B58" i="6" l="1"/>
  <c r="J57" i="6"/>
  <c r="F57" i="6"/>
  <c r="I57" i="6"/>
  <c r="G57" i="6"/>
  <c r="H57" i="6"/>
  <c r="B59" i="6" l="1"/>
  <c r="G58" i="6"/>
  <c r="H58" i="6"/>
  <c r="F58" i="6"/>
  <c r="I58" i="6"/>
  <c r="J58" i="6"/>
  <c r="G59" i="6" l="1"/>
  <c r="I59" i="6"/>
  <c r="J59" i="6"/>
  <c r="F59" i="6"/>
  <c r="H59" i="6"/>
  <c r="B60" i="6"/>
  <c r="B61" i="6" l="1"/>
  <c r="J60" i="6"/>
  <c r="F60" i="6"/>
  <c r="H60" i="6"/>
  <c r="G60" i="6"/>
  <c r="I60" i="6"/>
  <c r="B62" i="6" l="1"/>
  <c r="H61" i="6"/>
  <c r="F61" i="6"/>
  <c r="I61" i="6"/>
  <c r="J61" i="6"/>
  <c r="G61" i="6"/>
  <c r="B64" i="6" l="1"/>
  <c r="B63" i="6"/>
  <c r="G62" i="6"/>
  <c r="H62" i="6"/>
  <c r="F62" i="6"/>
  <c r="I62" i="6"/>
  <c r="J62" i="6"/>
  <c r="G63" i="6" l="1"/>
  <c r="H63" i="6"/>
  <c r="I63" i="6"/>
  <c r="J63" i="6"/>
  <c r="F63" i="6"/>
  <c r="H64" i="6"/>
  <c r="J64" i="6"/>
  <c r="G64" i="6"/>
  <c r="I64" i="6"/>
  <c r="F64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<sst xmlns="http://schemas.openxmlformats.org/spreadsheetml/2006/main" count="2829" uniqueCount="1012">
  <si>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</si>
  <si>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</si>
  <si>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</si>
  <si>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</si>
  <si>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</si>
  <si>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</si>
  <si>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</si>
  <si>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</si>
  <si>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</si>
  <si>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</si>
  <si>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</si>
  <si>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</si>
  <si>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</si>
  <si>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</si>
  <si>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</si>
  <si>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</si>
  <si>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</si>
  <si>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</si>
  <si>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</si>
  <si>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</si>
  <si>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</si>
  <si>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</si>
  <si>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</si>
  <si>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</si>
  <si>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</si>
  <si>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</si>
  <si>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</si>
  <si>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</si>
  <si>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</si>
  <si>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</si>
  <si>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</si>
  <si>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</si>
  <si>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</si>
  <si>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</si>
  <si>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</si>
  <si>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</si>
  <si>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</si>
  <si>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</si>
  <si>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</si>
  <si>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</si>
  <si>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</si>
  <si>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</si>
  <si>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</si>
  <si>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</si>
  <si>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</si>
  <si>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</si>
  <si>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</si>
  <si>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</si>
  <si>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</si>
  <si>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</si>
  <si>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</si>
  <si>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</si>
  <si>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</si>
  <si>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</si>
  <si>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</si>
  <si>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</si>
  <si>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</si>
  <si>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</si>
  <si>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</si>
  <si>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</si>
  <si>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</si>
  <si>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</si>
  <si>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</si>
  <si>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</si>
  <si>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</si>
  <si>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</si>
  <si>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</si>
  <si>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</si>
  <si>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</si>
  <si>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</si>
  <si>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</si>
  <si>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</si>
  <si>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</si>
  <si>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</si>
  <si>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</si>
  <si>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</si>
  <si>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</si>
  <si>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</si>
  <si>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</si>
  <si>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</si>
  <si>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</si>
  <si>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</si>
  <si>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</si>
  <si>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</si>
  <si>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</si>
  <si>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</si>
  <si>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</si>
  <si>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</si>
  <si>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</si>
  <si>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</si>
  <si>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</si>
  <si>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</si>
  <si>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</si>
  <si>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</si>
  <si>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</si>
  <si>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</si>
  <si>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</si>
  <si>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</si>
  <si>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</si>
  <si>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</si>
  <si>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</si>
  <si>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</si>
  <si>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</si>
  <si>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</si>
  <si>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</si>
  <si>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</si>
  <si>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</si>
  <si>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</si>
  <si>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</si>
  <si>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</si>
  <si>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</si>
  <si>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</si>
  <si>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</si>
  <si>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</si>
  <si>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</si>
  <si>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</si>
  <si>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</si>
  <si>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</si>
  <si>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</si>
  <si>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</si>
  <si>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</si>
  <si>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</si>
  <si>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</si>
  <si>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</si>
  <si>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</si>
  <si>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</si>
  <si>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</si>
  <si>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</si>
  <si>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</si>
  <si>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</si>
  <si>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</si>
  <si>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</si>
  <si>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</si>
  <si>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</si>
  <si>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</si>
  <si>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</si>
  <si>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</si>
  <si>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</si>
  <si>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</si>
  <si>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</si>
  <si>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</si>
  <si>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</si>
  <si>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</si>
  <si>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</si>
  <si>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</si>
  <si>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</si>
  <si>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</si>
  <si>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</si>
  <si>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</si>
  <si>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</si>
  <si>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</si>
  <si>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</si>
  <si>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</si>
  <si>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</si>
  <si>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</si>
  <si>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</si>
  <si>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</si>
  <si>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</si>
  <si>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</si>
  <si>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</si>
  <si>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</si>
  <si>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</si>
  <si>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</si>
  <si>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</si>
  <si>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</si>
  <si>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</si>
  <si>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</si>
  <si>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</si>
  <si>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</si>
  <si>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</si>
  <si>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</si>
  <si>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</si>
  <si>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</si>
  <si>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</si>
  <si>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</si>
  <si>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</si>
  <si>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</si>
  <si>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</si>
  <si>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</si>
  <si>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</si>
  <si>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</si>
  <si>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</si>
  <si>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</si>
  <si>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</si>
  <si>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</si>
  <si>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</si>
  <si>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</si>
  <si>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</si>
  <si>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</si>
  <si>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</si>
  <si>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</si>
  <si>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</si>
  <si>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</si>
  <si>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</si>
  <si>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</si>
  <si>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</si>
  <si>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</si>
  <si>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AWS CP Parallel</t>
  </si>
  <si>
    <t>DownloadS3Logs</t>
  </si>
  <si>
    <t>%USERPROFILE%\Documents\GitHub\eaglep3\Utilities\DownloadLogsFromS3.py</t>
  </si>
  <si>
    <t>204:457</t>
  </si>
  <si>
    <t>204:460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</si>
  <si>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</si>
  <si>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</si>
  <si>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</si>
  <si>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</si>
  <si>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</si>
  <si>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</si>
  <si>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</si>
  <si>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</si>
  <si>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</si>
  <si>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</si>
  <si>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</si>
  <si>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</si>
  <si>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</si>
  <si>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</si>
  <si>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</si>
  <si>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</si>
  <si>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</si>
  <si>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</si>
  <si>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</si>
  <si>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</si>
  <si>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</si>
  <si>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</si>
  <si>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</si>
  <si>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</si>
  <si>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</si>
  <si>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</si>
  <si>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</si>
  <si>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</si>
  <si>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</si>
  <si>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</si>
  <si>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</si>
  <si>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</si>
  <si>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</si>
  <si>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</si>
  <si>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</si>
  <si>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</si>
  <si>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</si>
  <si>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</si>
  <si>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</si>
  <si>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</si>
  <si>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</si>
  <si>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</si>
  <si>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</si>
  <si>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</si>
  <si>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</si>
  <si>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</si>
  <si>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</si>
  <si>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</si>
  <si>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</si>
  <si>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</si>
  <si>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</si>
  <si>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</si>
  <si>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</si>
  <si>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</si>
  <si>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</si>
  <si>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</si>
  <si>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</si>
  <si>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</si>
  <si>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</si>
  <si>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</si>
  <si>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</si>
  <si>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</si>
  <si>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</si>
  <si>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</si>
  <si>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</si>
  <si>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</si>
  <si>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</si>
  <si>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</si>
  <si>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</si>
  <si>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</si>
  <si>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</si>
  <si>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</si>
  <si>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</si>
  <si>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</si>
  <si>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</si>
  <si>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</si>
  <si>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</si>
  <si>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</si>
  <si>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</si>
  <si>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</si>
  <si>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</si>
  <si>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</si>
  <si>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</si>
  <si>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</si>
  <si>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</si>
  <si>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</si>
  <si>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</si>
  <si>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</si>
  <si>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</si>
  <si>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</si>
  <si>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</si>
  <si>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</si>
  <si>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</si>
  <si>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</si>
  <si>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</si>
  <si>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</si>
  <si>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</si>
  <si>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</si>
  <si>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</si>
  <si>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</si>
  <si>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</si>
  <si>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</si>
  <si>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</si>
  <si>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</si>
  <si>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</si>
  <si>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</si>
  <si>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</si>
  <si>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</si>
  <si>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</si>
  <si>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</si>
  <si>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</si>
  <si>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</si>
  <si>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</si>
  <si>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</si>
  <si>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</si>
  <si>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</si>
  <si>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</si>
  <si>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</si>
  <si>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</si>
  <si>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</si>
  <si>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</si>
  <si>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</si>
  <si>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</si>
  <si>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</si>
  <si>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</si>
  <si>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</si>
  <si>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</si>
  <si>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</si>
  <si>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</si>
  <si>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</si>
  <si>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</si>
  <si>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</si>
  <si>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</si>
  <si>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</si>
  <si>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</si>
  <si>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</si>
  <si>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</si>
  <si>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</si>
  <si>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</si>
  <si>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rtdc.l.rtdc.4028:itc</t>
  </si>
  <si>
    <t>rtdc.l.rtdc.4027:itc</t>
  </si>
  <si>
    <t>rtdc.l.rtdc.4022:itc</t>
  </si>
  <si>
    <t>SMITH</t>
  </si>
  <si>
    <t>204:449</t>
  </si>
  <si>
    <t>WCR Redmine cURL</t>
  </si>
  <si>
    <t>27f4683f8c668ceb395ce0223286e38dfe180cf8</t>
  </si>
  <si>
    <t>https://ptcsupport.wabtec.com/issues.json</t>
  </si>
  <si>
    <t>204:446</t>
  </si>
  <si>
    <t>204:160</t>
  </si>
  <si>
    <t>204:458</t>
  </si>
  <si>
    <t>204:150</t>
  </si>
  <si>
    <t>204:149</t>
  </si>
  <si>
    <t>204:143</t>
  </si>
  <si>
    <t>204:466</t>
  </si>
  <si>
    <t>204:451</t>
  </si>
  <si>
    <t>300:23346</t>
  </si>
  <si>
    <t>204:464</t>
  </si>
  <si>
    <t>204:453</t>
  </si>
  <si>
    <t>204:444</t>
  </si>
  <si>
    <t>204:447</t>
  </si>
  <si>
    <t>204:139</t>
  </si>
  <si>
    <t>rtdc.l.rtdc.4042:itc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</si>
  <si>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</si>
  <si>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</si>
  <si>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</si>
  <si>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SIGNAL</t>
  </si>
  <si>
    <t>Signal based authority (5)</t>
  </si>
  <si>
    <t>204:455</t>
  </si>
  <si>
    <t>rtdc.l.rtdc.4033:itc</t>
  </si>
  <si>
    <t>rtdc.l.rtdc.4034:itc</t>
  </si>
  <si>
    <t>204:136</t>
  </si>
  <si>
    <t>rtdc.l.rtdc.4021:itc</t>
  </si>
  <si>
    <t>THOMAS</t>
  </si>
  <si>
    <t>NEWELL</t>
  </si>
  <si>
    <t>precipType</t>
  </si>
  <si>
    <t>rain</t>
  </si>
  <si>
    <t>rtdc.l.rtdc.4013:itc</t>
  </si>
  <si>
    <t>rtdc.l.rtdc.4039:itc</t>
  </si>
  <si>
    <t>66-08</t>
  </si>
  <si>
    <t>72-08</t>
  </si>
  <si>
    <t>rtdc.l.rtdc.4040:itc</t>
  </si>
  <si>
    <t>244-08</t>
  </si>
  <si>
    <t>rtdc.l.rtdc.4014:itc</t>
  </si>
  <si>
    <t>LAMAR</t>
  </si>
  <si>
    <t>NEKESHA</t>
  </si>
  <si>
    <t>CHANDLER</t>
  </si>
  <si>
    <t>KELVIN</t>
  </si>
  <si>
    <t>GUZMAN</t>
  </si>
  <si>
    <t>DANNY</t>
  </si>
  <si>
    <t>BIRENBAUM</t>
  </si>
  <si>
    <t>WILLIAMS</t>
  </si>
  <si>
    <t>DONTE</t>
  </si>
  <si>
    <t>ZEWDU</t>
  </si>
  <si>
    <t>DEREJE</t>
  </si>
  <si>
    <t>315-08</t>
  </si>
  <si>
    <t>242-08</t>
  </si>
  <si>
    <t>309-08</t>
  </si>
  <si>
    <t>311-08</t>
  </si>
  <si>
    <t>313-08</t>
  </si>
  <si>
    <t>204:462</t>
  </si>
  <si>
    <t>204:233293</t>
  </si>
  <si>
    <t>SULLIVAN</t>
  </si>
  <si>
    <t>BRANDON</t>
  </si>
  <si>
    <t>204:154</t>
  </si>
  <si>
    <t>Early arrival</t>
  </si>
  <si>
    <t>204:232982</t>
  </si>
  <si>
    <t>204:473</t>
  </si>
  <si>
    <t>rtdc.l.rtdc.4049:itc</t>
  </si>
  <si>
    <t>rtdc.l.rtdc.4050:itc</t>
  </si>
  <si>
    <t>CLARK</t>
  </si>
  <si>
    <t>KATHLEEN</t>
  </si>
  <si>
    <t>rtdc.l.rtdc.4008:itc</t>
  </si>
  <si>
    <t>rtdc.l.rtdc.4054:itc</t>
  </si>
  <si>
    <t>rtdc.l.rtdc.4059:itc</t>
  </si>
  <si>
    <t>59-16</t>
  </si>
  <si>
    <t>66-16</t>
  </si>
  <si>
    <t>rtdc.l.rtdc.4060:itc</t>
  </si>
  <si>
    <t>60-16</t>
  </si>
  <si>
    <t>309-16</t>
  </si>
  <si>
    <t>244-16</t>
  </si>
  <si>
    <t>311-16</t>
  </si>
  <si>
    <t>313-16</t>
  </si>
  <si>
    <t>300:23308</t>
  </si>
  <si>
    <t>Y</t>
  </si>
  <si>
    <t>Wi-MAX data drop</t>
  </si>
  <si>
    <t>Track device (7)</t>
  </si>
  <si>
    <t>ROBINSON</t>
  </si>
  <si>
    <t>KADDIBA</t>
  </si>
  <si>
    <t>rtdc.l.rtdc.4026:itc</t>
  </si>
  <si>
    <t>300:58630</t>
  </si>
  <si>
    <t>SWITCH UNKNOWN</t>
  </si>
  <si>
    <t>rtdc.l.rtdc.4041:itc</t>
  </si>
  <si>
    <t>STAMBAUGH</t>
  </si>
  <si>
    <t>DAVIS</t>
  </si>
  <si>
    <t>DUNCAN</t>
  </si>
  <si>
    <t>SHEILA</t>
  </si>
  <si>
    <t>MAGEE</t>
  </si>
  <si>
    <t>KENYA</t>
  </si>
  <si>
    <t>partly-cloudy-night</t>
  </si>
  <si>
    <t>Partly Cloudy</t>
  </si>
  <si>
    <t>partly-cloudy-day</t>
  </si>
  <si>
    <t>204:232998</t>
  </si>
  <si>
    <t>204:161</t>
  </si>
  <si>
    <t>204:684</t>
  </si>
  <si>
    <t>204:976</t>
  </si>
  <si>
    <t>204:232984</t>
  </si>
  <si>
    <t>204:232977</t>
  </si>
  <si>
    <t>rtdc.l.rtdc.4006:itc</t>
  </si>
  <si>
    <t>rtdc.l.rtdc.4005:itc</t>
  </si>
  <si>
    <t>rtdc.l.rtdc.4025:itc</t>
  </si>
  <si>
    <t>BONDS</t>
  </si>
  <si>
    <t>REYNALDO</t>
  </si>
  <si>
    <t>STARKS</t>
  </si>
  <si>
    <t>ANGELINA</t>
  </si>
  <si>
    <t>LOZA</t>
  </si>
  <si>
    <t>FIDEL</t>
  </si>
  <si>
    <t>LEVERE</t>
  </si>
  <si>
    <t>CRAIG</t>
  </si>
  <si>
    <t>LEVIN</t>
  </si>
  <si>
    <t>SCOTT</t>
  </si>
  <si>
    <t>204:232994</t>
  </si>
  <si>
    <t>204:145</t>
  </si>
  <si>
    <t>204:233298</t>
  </si>
  <si>
    <t>204:232980</t>
  </si>
  <si>
    <t>204:480</t>
  </si>
  <si>
    <t>204:435</t>
  </si>
  <si>
    <t>204:442</t>
  </si>
  <si>
    <t>204:232996</t>
  </si>
  <si>
    <t>300:58946</t>
  </si>
  <si>
    <t>rtdc.l.rtdc.4043:itc</t>
  </si>
  <si>
    <t>rtdc.l.rtdc.4019:itc</t>
  </si>
  <si>
    <t>80-23</t>
  </si>
  <si>
    <t>rtdc.l.rtdc.4020:itc</t>
  </si>
  <si>
    <t>rtdc.l.rtdc.4044:itc</t>
  </si>
  <si>
    <t>FORTUNATO</t>
  </si>
  <si>
    <t>FRANK</t>
  </si>
  <si>
    <t>81-23</t>
  </si>
  <si>
    <t>239-23</t>
  </si>
  <si>
    <t>236-23</t>
  </si>
  <si>
    <t>908-23</t>
  </si>
  <si>
    <t>238-23</t>
  </si>
  <si>
    <t>241-23</t>
  </si>
  <si>
    <t>240-23</t>
  </si>
  <si>
    <t>243-23</t>
  </si>
  <si>
    <t>307-23</t>
  </si>
  <si>
    <t>242-23</t>
  </si>
  <si>
    <t>309-23</t>
  </si>
  <si>
    <t>244-23</t>
  </si>
  <si>
    <t>311-23</t>
  </si>
  <si>
    <t>313-23</t>
  </si>
  <si>
    <t>204:232969</t>
  </si>
  <si>
    <t>204:233314</t>
  </si>
  <si>
    <t>204:233297</t>
  </si>
  <si>
    <t>204:440</t>
  </si>
  <si>
    <t>204:233288</t>
  </si>
  <si>
    <t>300:58952</t>
  </si>
  <si>
    <t>204:1165</t>
  </si>
  <si>
    <t>204:232981</t>
  </si>
  <si>
    <t>300:58954</t>
  </si>
  <si>
    <t>300:58634</t>
  </si>
  <si>
    <t>204:983</t>
  </si>
  <si>
    <t>M - F = 49 trips</t>
  </si>
  <si>
    <t>Sat - Sun = 35 Trips</t>
  </si>
  <si>
    <t>rtdc.l.rtdc.4029:itc</t>
  </si>
  <si>
    <t>rtdc.l.rtdc.4031:itc</t>
  </si>
  <si>
    <t>rtdc.l.rtdc.4030:itc</t>
  </si>
  <si>
    <t>rtdc.l.rtdc.4018:itc</t>
  </si>
  <si>
    <t>rtdc.l.rtdc.4010:itc</t>
  </si>
  <si>
    <t>STORY</t>
  </si>
  <si>
    <t>SAMANTHA</t>
  </si>
  <si>
    <t>SPECTOR</t>
  </si>
  <si>
    <t>204:232987</t>
  </si>
  <si>
    <t>204:233370</t>
  </si>
  <si>
    <t>rtdc.l.rtdc.4055:itc</t>
  </si>
  <si>
    <t>rtdc.l.rtdc.4056:itc</t>
  </si>
  <si>
    <t>204:233305</t>
  </si>
  <si>
    <t>204:233019</t>
  </si>
  <si>
    <t>204:467</t>
  </si>
  <si>
    <t>204:233015</t>
  </si>
  <si>
    <t>204:156</t>
  </si>
  <si>
    <t>204:232989</t>
  </si>
  <si>
    <t>204:438</t>
  </si>
  <si>
    <t>204:233000</t>
  </si>
  <si>
    <t>204:233291</t>
  </si>
  <si>
    <t>204:232986</t>
  </si>
  <si>
    <t>204:233311</t>
  </si>
  <si>
    <t>204:433</t>
  </si>
  <si>
    <t>204:134</t>
  </si>
  <si>
    <t>204:232959</t>
  </si>
  <si>
    <t>204:477</t>
  </si>
  <si>
    <t>204:232967</t>
  </si>
  <si>
    <t>204:233300</t>
  </si>
  <si>
    <t>204:232993</t>
  </si>
  <si>
    <t>300:23306</t>
  </si>
  <si>
    <t>300:23302</t>
  </si>
  <si>
    <t>204:682</t>
  </si>
  <si>
    <t>204:668</t>
  </si>
  <si>
    <t>300:58623</t>
  </si>
  <si>
    <t>204:999</t>
  </si>
  <si>
    <t>rtdc.l.rtdc.4009:itc</t>
  </si>
  <si>
    <t>rtdc.l.rtdc.4017:itc</t>
  </si>
  <si>
    <t>rtdc.l.rtdc.4032:itc</t>
  </si>
  <si>
    <t>rtdc.l.rtdc.4016:itc</t>
  </si>
  <si>
    <t>MAELZER</t>
  </si>
  <si>
    <t>KURT</t>
  </si>
  <si>
    <t>YANAI</t>
  </si>
  <si>
    <t>IAN</t>
  </si>
  <si>
    <t>LALONDE</t>
  </si>
  <si>
    <t>GREGORY</t>
  </si>
  <si>
    <t>DAVIDSON</t>
  </si>
  <si>
    <t>DAVID</t>
  </si>
  <si>
    <t>MACDONALD</t>
  </si>
  <si>
    <t>SANTIZO</t>
  </si>
  <si>
    <t>D. EDY</t>
  </si>
  <si>
    <t>BRANDNER</t>
  </si>
  <si>
    <t>MELINDA</t>
  </si>
  <si>
    <t>MCREYNOLDS</t>
  </si>
  <si>
    <t>KYLE</t>
  </si>
  <si>
    <t>THOMPSON</t>
  </si>
  <si>
    <t>LESTER</t>
  </si>
  <si>
    <t>231-29</t>
  </si>
  <si>
    <t>844-29</t>
  </si>
  <si>
    <t>233-29</t>
  </si>
  <si>
    <t>230-29</t>
  </si>
  <si>
    <t>235-29</t>
  </si>
  <si>
    <t>847-29</t>
  </si>
  <si>
    <t>232-29</t>
  </si>
  <si>
    <t>908-29</t>
  </si>
  <si>
    <t>234-29</t>
  </si>
  <si>
    <t>237-29</t>
  </si>
  <si>
    <t>236-29</t>
  </si>
  <si>
    <t>239-29</t>
  </si>
  <si>
    <t>241-29</t>
  </si>
  <si>
    <t>238-29</t>
  </si>
  <si>
    <t>243-29</t>
  </si>
  <si>
    <t>240-29</t>
  </si>
  <si>
    <t>307-29</t>
  </si>
  <si>
    <t>242-29</t>
  </si>
  <si>
    <t>309-29</t>
  </si>
  <si>
    <t>244-29</t>
  </si>
  <si>
    <t>311-29</t>
  </si>
  <si>
    <t>313-29</t>
  </si>
  <si>
    <t>clear-night</t>
  </si>
  <si>
    <t>Clear</t>
  </si>
  <si>
    <t>clear-day</t>
  </si>
  <si>
    <t>204:233334</t>
  </si>
  <si>
    <t>204:232976</t>
  </si>
  <si>
    <t>204:130</t>
  </si>
  <si>
    <t>204:232975</t>
  </si>
  <si>
    <t>204:125</t>
  </si>
  <si>
    <t>204:232965</t>
  </si>
  <si>
    <t>204:233008</t>
  </si>
  <si>
    <t>204:233302</t>
  </si>
  <si>
    <t>204:232991</t>
  </si>
  <si>
    <t>204:138</t>
  </si>
  <si>
    <t>204:233301</t>
  </si>
  <si>
    <t>204:469</t>
  </si>
  <si>
    <t>204:471</t>
  </si>
  <si>
    <t>204:233309</t>
  </si>
  <si>
    <t>204:233009</t>
  </si>
  <si>
    <t>204:233282</t>
  </si>
  <si>
    <t>204:129</t>
  </si>
  <si>
    <t>204:233312</t>
  </si>
  <si>
    <t>204:232963</t>
  </si>
  <si>
    <t>204:232992</t>
  </si>
  <si>
    <t>204:232968</t>
  </si>
  <si>
    <t>204:437</t>
  </si>
  <si>
    <t>204:478</t>
  </si>
  <si>
    <t>204:167</t>
  </si>
  <si>
    <t>204:233013</t>
  </si>
  <si>
    <t>204:232978</t>
  </si>
  <si>
    <t>204:475</t>
  </si>
  <si>
    <t>300:58600</t>
  </si>
  <si>
    <t>300:58914</t>
  </si>
  <si>
    <t>300:23310</t>
  </si>
  <si>
    <t>204:974</t>
  </si>
  <si>
    <t>300:58653</t>
  </si>
  <si>
    <t>300:58641</t>
  </si>
  <si>
    <t>204:965</t>
  </si>
  <si>
    <t>300:58651</t>
  </si>
  <si>
    <t>300:58963</t>
  </si>
  <si>
    <t>300:58640</t>
  </si>
  <si>
    <t>300:58958</t>
  </si>
  <si>
    <t>300:58948</t>
  </si>
  <si>
    <t>300:58626</t>
  </si>
  <si>
    <t>204:971</t>
  </si>
  <si>
    <t>300:58926</t>
  </si>
  <si>
    <t>300:58615</t>
  </si>
  <si>
    <t>300:58916</t>
  </si>
  <si>
    <t>300:58594</t>
  </si>
  <si>
    <t>300:58937</t>
  </si>
  <si>
    <t>start /low /b %USERPROFILE%\Documents\GitHub\eaglep3\Utilities\DownloadLogsFromS3.py --loco 4041 --day 2017-05-30</t>
  </si>
  <si>
    <t>204:233276</t>
  </si>
  <si>
    <t>103-30</t>
  </si>
  <si>
    <t>310-30</t>
  </si>
  <si>
    <t>106-30</t>
  </si>
  <si>
    <t>112-30</t>
  </si>
  <si>
    <t>802-30</t>
  </si>
  <si>
    <t>803-30</t>
  </si>
  <si>
    <t>135-30</t>
  </si>
  <si>
    <t>134-30</t>
  </si>
  <si>
    <t>151-30</t>
  </si>
  <si>
    <t>154-30</t>
  </si>
  <si>
    <t>165-30</t>
  </si>
  <si>
    <t>161-30</t>
  </si>
  <si>
    <t>58-30</t>
  </si>
  <si>
    <t>819-30</t>
  </si>
  <si>
    <t>171-30</t>
  </si>
  <si>
    <t>179-30</t>
  </si>
  <si>
    <t>185-30</t>
  </si>
  <si>
    <t>827-30</t>
  </si>
  <si>
    <t>828-30</t>
  </si>
  <si>
    <t>833-30</t>
  </si>
  <si>
    <t>209-30</t>
  </si>
  <si>
    <t>835-30</t>
  </si>
  <si>
    <t>50-30</t>
  </si>
  <si>
    <t>836-30</t>
  </si>
  <si>
    <t>837-30</t>
  </si>
  <si>
    <t>839-30</t>
  </si>
  <si>
    <t>224-30</t>
  </si>
  <si>
    <t>229-30</t>
  </si>
  <si>
    <t>309-30</t>
  </si>
  <si>
    <t>rtdc.l.rtdc.4001:itc</t>
  </si>
  <si>
    <t>300-30</t>
  </si>
  <si>
    <t>rtdc.l.rtdc.4002:itc</t>
  </si>
  <si>
    <t>51-30</t>
  </si>
  <si>
    <t>101-30</t>
  </si>
  <si>
    <t>302-30</t>
  </si>
  <si>
    <t>52-30</t>
  </si>
  <si>
    <t>304-30</t>
  </si>
  <si>
    <t>102-30</t>
  </si>
  <si>
    <t>306-30</t>
  </si>
  <si>
    <t>105-30</t>
  </si>
  <si>
    <t>rtdc.l.rtdc.4007:itc</t>
  </si>
  <si>
    <t>308-30</t>
  </si>
  <si>
    <t>107-30</t>
  </si>
  <si>
    <t>104-30</t>
  </si>
  <si>
    <t>109-30</t>
  </si>
  <si>
    <t>901-30</t>
  </si>
  <si>
    <t>111-30</t>
  </si>
  <si>
    <t>800-30</t>
  </si>
  <si>
    <t>113-30</t>
  </si>
  <si>
    <t>108-30</t>
  </si>
  <si>
    <t>rtdc.l.rtdc.4015:itc</t>
  </si>
  <si>
    <t>312-30</t>
  </si>
  <si>
    <t>110-30</t>
  </si>
  <si>
    <t>115-30</t>
  </si>
  <si>
    <t>117-30</t>
  </si>
  <si>
    <t>801-30</t>
  </si>
  <si>
    <t>119-30</t>
  </si>
  <si>
    <t>902-30</t>
  </si>
  <si>
    <t>YANG</t>
  </si>
  <si>
    <t>JAN</t>
  </si>
  <si>
    <t>114-30</t>
  </si>
  <si>
    <t>121-30</t>
  </si>
  <si>
    <t>116-30</t>
  </si>
  <si>
    <t>118-30</t>
  </si>
  <si>
    <t>123-30</t>
  </si>
  <si>
    <t>804-30</t>
  </si>
  <si>
    <t>125-30</t>
  </si>
  <si>
    <t>806-30</t>
  </si>
  <si>
    <t>805-30</t>
  </si>
  <si>
    <t>120-30</t>
  </si>
  <si>
    <t>127-30</t>
  </si>
  <si>
    <t>122-30</t>
  </si>
  <si>
    <t>807-30</t>
  </si>
  <si>
    <t>129-30</t>
  </si>
  <si>
    <t>131-30</t>
  </si>
  <si>
    <t>124-30</t>
  </si>
  <si>
    <t>126-30</t>
  </si>
  <si>
    <t>809-30</t>
  </si>
  <si>
    <t>808-30</t>
  </si>
  <si>
    <t>133-30</t>
  </si>
  <si>
    <t>128-30</t>
  </si>
  <si>
    <t>810-30</t>
  </si>
  <si>
    <t>130-30</t>
  </si>
  <si>
    <t>811-30</t>
  </si>
  <si>
    <t>COOLAHAN</t>
  </si>
  <si>
    <t>JOHN</t>
  </si>
  <si>
    <t>132-30</t>
  </si>
  <si>
    <t>137-30</t>
  </si>
  <si>
    <t>BEAM</t>
  </si>
  <si>
    <t>ROSS</t>
  </si>
  <si>
    <t>139-30</t>
  </si>
  <si>
    <t>903-30</t>
  </si>
  <si>
    <t>812-30</t>
  </si>
  <si>
    <t>136-30</t>
  </si>
  <si>
    <t>141-30</t>
  </si>
  <si>
    <t>143-30</t>
  </si>
  <si>
    <t>813-30</t>
  </si>
  <si>
    <t>138-30</t>
  </si>
  <si>
    <t>145-30</t>
  </si>
  <si>
    <t>140-30</t>
  </si>
  <si>
    <t>147-30</t>
  </si>
  <si>
    <t>142-30</t>
  </si>
  <si>
    <t>149-30</t>
  </si>
  <si>
    <t>814-30</t>
  </si>
  <si>
    <t>144-30</t>
  </si>
  <si>
    <t>146-30</t>
  </si>
  <si>
    <t>153-30</t>
  </si>
  <si>
    <t>148-30</t>
  </si>
  <si>
    <t>815-30</t>
  </si>
  <si>
    <t>150-30</t>
  </si>
  <si>
    <t>155-30</t>
  </si>
  <si>
    <t>816-30</t>
  </si>
  <si>
    <t>157-30</t>
  </si>
  <si>
    <t>152-30</t>
  </si>
  <si>
    <t>159-30</t>
  </si>
  <si>
    <t>STEWART</t>
  </si>
  <si>
    <t>817-30</t>
  </si>
  <si>
    <t>156-30</t>
  </si>
  <si>
    <t>163-30</t>
  </si>
  <si>
    <t>158-30</t>
  </si>
  <si>
    <t>818-30</t>
  </si>
  <si>
    <t>160-30</t>
  </si>
  <si>
    <t>167-30</t>
  </si>
  <si>
    <t>162-30</t>
  </si>
  <si>
    <t>169-30</t>
  </si>
  <si>
    <t>164-30</t>
  </si>
  <si>
    <t>59-30</t>
  </si>
  <si>
    <t>820-30</t>
  </si>
  <si>
    <t>166-30</t>
  </si>
  <si>
    <t>173-30</t>
  </si>
  <si>
    <t>168-30</t>
  </si>
  <si>
    <t>175-30</t>
  </si>
  <si>
    <t>821-30</t>
  </si>
  <si>
    <t>BRUDER</t>
  </si>
  <si>
    <t>RICHARD</t>
  </si>
  <si>
    <t>170-30</t>
  </si>
  <si>
    <t>177-30</t>
  </si>
  <si>
    <t>172-30</t>
  </si>
  <si>
    <t>822-30</t>
  </si>
  <si>
    <t>174-30</t>
  </si>
  <si>
    <t>181-30</t>
  </si>
  <si>
    <t>176-30</t>
  </si>
  <si>
    <t>183-30</t>
  </si>
  <si>
    <t>178-30</t>
  </si>
  <si>
    <t>823-30</t>
  </si>
  <si>
    <t>180-30</t>
  </si>
  <si>
    <t>187-30</t>
  </si>
  <si>
    <t>182-30</t>
  </si>
  <si>
    <t>824-30</t>
  </si>
  <si>
    <t>189-30</t>
  </si>
  <si>
    <t>184-30</t>
  </si>
  <si>
    <t>191-30</t>
  </si>
  <si>
    <t>186-30</t>
  </si>
  <si>
    <t>188-30</t>
  </si>
  <si>
    <t>193-30</t>
  </si>
  <si>
    <t>825-30</t>
  </si>
  <si>
    <t>904-30</t>
  </si>
  <si>
    <t>190-30</t>
  </si>
  <si>
    <t>195-30</t>
  </si>
  <si>
    <t>826-30</t>
  </si>
  <si>
    <t>197-30</t>
  </si>
  <si>
    <t>192-30</t>
  </si>
  <si>
    <t>199-30</t>
  </si>
  <si>
    <t>194-30</t>
  </si>
  <si>
    <t>201-30</t>
  </si>
  <si>
    <t>829-30</t>
  </si>
  <si>
    <t>196-30</t>
  </si>
  <si>
    <t>203-30</t>
  </si>
  <si>
    <t>198-30</t>
  </si>
  <si>
    <t>831-30</t>
  </si>
  <si>
    <t>830-30</t>
  </si>
  <si>
    <t>205-30</t>
  </si>
  <si>
    <t>200-30</t>
  </si>
  <si>
    <t>207-30</t>
  </si>
  <si>
    <t>65-30</t>
  </si>
  <si>
    <t>202-30</t>
  </si>
  <si>
    <t>832-30</t>
  </si>
  <si>
    <t>rtdc.l.rtdc.4062:itc</t>
  </si>
  <si>
    <t>67-30</t>
  </si>
  <si>
    <t>204-30</t>
  </si>
  <si>
    <t>211-30</t>
  </si>
  <si>
    <t>206-30</t>
  </si>
  <si>
    <t>834-30</t>
  </si>
  <si>
    <t>213-30</t>
  </si>
  <si>
    <t>208-30</t>
  </si>
  <si>
    <t>215-30</t>
  </si>
  <si>
    <t>210-30</t>
  </si>
  <si>
    <t>SAFIEF</t>
  </si>
  <si>
    <t>AEIMEN</t>
  </si>
  <si>
    <t>217-30</t>
  </si>
  <si>
    <t>212-30</t>
  </si>
  <si>
    <t>219-30</t>
  </si>
  <si>
    <t>214-30</t>
  </si>
  <si>
    <t>838-30</t>
  </si>
  <si>
    <t>301-30</t>
  </si>
  <si>
    <t>216-30</t>
  </si>
  <si>
    <t>221-30</t>
  </si>
  <si>
    <t>218-30</t>
  </si>
  <si>
    <t>906-30</t>
  </si>
  <si>
    <t>303-30</t>
  </si>
  <si>
    <t>841-30</t>
  </si>
  <si>
    <t>220-30</t>
  </si>
  <si>
    <t>223-30</t>
  </si>
  <si>
    <t>840-30</t>
  </si>
  <si>
    <t>305-30</t>
  </si>
  <si>
    <t>222-30</t>
  </si>
  <si>
    <t>225-30</t>
  </si>
  <si>
    <t>843-30</t>
  </si>
  <si>
    <t>227-30</t>
  </si>
  <si>
    <t>842-30</t>
  </si>
  <si>
    <t>226-30</t>
  </si>
  <si>
    <t>844-30</t>
  </si>
  <si>
    <t>845-30</t>
  </si>
  <si>
    <t>228-30</t>
  </si>
  <si>
    <t>231-30</t>
  </si>
  <si>
    <t>233-30</t>
  </si>
  <si>
    <t>230-30</t>
  </si>
  <si>
    <t>232-30</t>
  </si>
  <si>
    <t>847-30</t>
  </si>
  <si>
    <t>235-30</t>
  </si>
  <si>
    <t>908-30</t>
  </si>
  <si>
    <t>237-30</t>
  </si>
  <si>
    <t>234-30</t>
  </si>
  <si>
    <t>239-30</t>
  </si>
  <si>
    <t>236-30</t>
  </si>
  <si>
    <t>238-30</t>
  </si>
  <si>
    <t>241-30</t>
  </si>
  <si>
    <t>240-30</t>
  </si>
  <si>
    <t>243-30</t>
  </si>
  <si>
    <t>307-30</t>
  </si>
  <si>
    <t>242-30</t>
  </si>
  <si>
    <t>244-30</t>
  </si>
  <si>
    <t>311-30</t>
  </si>
  <si>
    <t>313-30</t>
  </si>
  <si>
    <t>204:755</t>
  </si>
  <si>
    <t>204:233400</t>
  </si>
  <si>
    <t>204:427</t>
  </si>
  <si>
    <t>204:233323</t>
  </si>
  <si>
    <t>204:233337</t>
  </si>
  <si>
    <t>204:233281</t>
  </si>
  <si>
    <t>204:233306</t>
  </si>
  <si>
    <t>204:232952</t>
  </si>
  <si>
    <t>204:233331</t>
  </si>
  <si>
    <t>204:233034</t>
  </si>
  <si>
    <t>204:233322</t>
  </si>
  <si>
    <t>204:233007</t>
  </si>
  <si>
    <t>204:232979</t>
  </si>
  <si>
    <t>204:233372</t>
  </si>
  <si>
    <t>204:233303</t>
  </si>
  <si>
    <t>204:163</t>
  </si>
  <si>
    <t>204:232957</t>
  </si>
  <si>
    <t>204:233285</t>
  </si>
  <si>
    <t>204:233332</t>
  </si>
  <si>
    <t>204:233355</t>
  </si>
  <si>
    <t>204:233017</t>
  </si>
  <si>
    <t>204:233295</t>
  </si>
  <si>
    <t>204:233330</t>
  </si>
  <si>
    <t>204:172</t>
  </si>
  <si>
    <t>204:19138</t>
  </si>
  <si>
    <t>204:233240</t>
  </si>
  <si>
    <t>204:2096</t>
  </si>
  <si>
    <t>204:232921</t>
  </si>
  <si>
    <t>204:233342</t>
  </si>
  <si>
    <t>204:233316</t>
  </si>
  <si>
    <t>204:233003</t>
  </si>
  <si>
    <t>204:233385</t>
  </si>
  <si>
    <t>204:233074</t>
  </si>
  <si>
    <t>204:233304</t>
  </si>
  <si>
    <t>204:416</t>
  </si>
  <si>
    <t>204:233376</t>
  </si>
  <si>
    <t>204:233083</t>
  </si>
  <si>
    <t>204:233002</t>
  </si>
  <si>
    <t>204:233381</t>
  </si>
  <si>
    <t>204:233066</t>
  </si>
  <si>
    <t>204:232973</t>
  </si>
  <si>
    <t>204:232964</t>
  </si>
  <si>
    <t>204:183</t>
  </si>
  <si>
    <t>204:233364</t>
  </si>
  <si>
    <t>204:233053</t>
  </si>
  <si>
    <t>204:233230</t>
  </si>
  <si>
    <t>204:232911</t>
  </si>
  <si>
    <t>204:233278</t>
  </si>
  <si>
    <t>204:233307</t>
  </si>
  <si>
    <t>204:226795</t>
  </si>
  <si>
    <t>204:407</t>
  </si>
  <si>
    <t>204:256</t>
  </si>
  <si>
    <t>204:566</t>
  </si>
  <si>
    <t>204:233299</t>
  </si>
  <si>
    <t>300:22692</t>
  </si>
  <si>
    <t>204:424</t>
  </si>
  <si>
    <t>300:23538</t>
  </si>
  <si>
    <t>300:22495</t>
  </si>
  <si>
    <t>300:23239</t>
  </si>
  <si>
    <t>300:23525</t>
  </si>
  <si>
    <t>300:23677</t>
  </si>
  <si>
    <t>300:23385</t>
  </si>
  <si>
    <t>300:23447</t>
  </si>
  <si>
    <t>204:4642</t>
  </si>
  <si>
    <t>204:3544</t>
  </si>
  <si>
    <t>204:3203</t>
  </si>
  <si>
    <t>300:22365</t>
  </si>
  <si>
    <t>204:1502</t>
  </si>
  <si>
    <t>204:1157</t>
  </si>
  <si>
    <t>300:24226</t>
  </si>
  <si>
    <t>204:1148</t>
  </si>
  <si>
    <t>300:58619</t>
  </si>
  <si>
    <t>204:741</t>
  </si>
  <si>
    <t>204:1037</t>
  </si>
  <si>
    <t>300:58596</t>
  </si>
  <si>
    <t>204:720</t>
  </si>
  <si>
    <t>300:58935</t>
  </si>
  <si>
    <t>204:776</t>
  </si>
  <si>
    <t>204:962</t>
  </si>
  <si>
    <t>300:58643</t>
  </si>
  <si>
    <t>204:677</t>
  </si>
  <si>
    <t>204:1069</t>
  </si>
  <si>
    <t>204:764</t>
  </si>
  <si>
    <t>204:972</t>
  </si>
  <si>
    <t>300:58965</t>
  </si>
  <si>
    <t>204:664</t>
  </si>
  <si>
    <t>204:955</t>
  </si>
  <si>
    <t>204:710</t>
  </si>
  <si>
    <t>204:969</t>
  </si>
  <si>
    <t>204:967</t>
  </si>
  <si>
    <t>300:58960</t>
  </si>
  <si>
    <t>204:694</t>
  </si>
  <si>
    <t>204:726</t>
  </si>
  <si>
    <t>204:1016</t>
  </si>
  <si>
    <t>300:58920</t>
  </si>
  <si>
    <t>300:58943</t>
  </si>
  <si>
    <t>204:673</t>
  </si>
  <si>
    <t>204:978</t>
  </si>
  <si>
    <t>204:680</t>
  </si>
  <si>
    <t>300:58929</t>
  </si>
  <si>
    <t>204:724</t>
  </si>
  <si>
    <t>300:58638</t>
  </si>
  <si>
    <t>204:995</t>
  </si>
  <si>
    <t>300:58924</t>
  </si>
  <si>
    <t>204:691</t>
  </si>
  <si>
    <t>300:58912</t>
  </si>
  <si>
    <t>300:58598</t>
  </si>
  <si>
    <t>204:752</t>
  </si>
  <si>
    <t>204:1049</t>
  </si>
  <si>
    <t>204:678</t>
  </si>
  <si>
    <t>204:689</t>
  </si>
  <si>
    <t>204:960</t>
  </si>
  <si>
    <t>300:58944</t>
  </si>
  <si>
    <t>204:696</t>
  </si>
  <si>
    <t>300:30250</t>
  </si>
  <si>
    <t>300:22278</t>
  </si>
  <si>
    <t>204:1048</t>
  </si>
  <si>
    <t>300:24220</t>
  </si>
  <si>
    <t>300:23680</t>
  </si>
  <si>
    <t>300:28780</t>
  </si>
  <si>
    <t>300:21814</t>
  </si>
  <si>
    <t>300:22134</t>
  </si>
  <si>
    <t>300:23297</t>
  </si>
  <si>
    <t>start /low /b %USERPROFILE%\Documents\GitHub\eaglep3\Utilities\DownloadLogsFromS3.py --loco 4008 --day 2017-05-30</t>
  </si>
  <si>
    <t>start /low /b %USERPROFILE%\Documents\GitHub\eaglep3\Utilities\DownloadLogsFromS3.py --loco 4018 --day 2017-05-30</t>
  </si>
  <si>
    <t>start /low /b %USERPROFILE%\Documents\GitHub\eaglep3\Utilities\DownloadLogsFromS3.py --loco 4050 --day 2017-05-30</t>
  </si>
  <si>
    <t>start /low /b %USERPROFILE%\Documents\GitHub\eaglep3\Utilities\DownloadLogsFromS3.py --loco 4020 --day 2017-05-30</t>
  </si>
  <si>
    <t>start /low /b %USERPROFILE%\Documents\GitHub\eaglep3\Utilities\DownloadLogsFromS3.py --loco 4031 --day 2017-05-30</t>
  </si>
  <si>
    <t>start /low /b %USERPROFILE%\Documents\GitHub\eaglep3\Utilities\DownloadLogsFromS3.py --loco 4017 --day 2017-05-30</t>
  </si>
  <si>
    <t>start /low /b %USERPROFILE%\Documents\GitHub\eaglep3\Utilities\DownloadLogsFromS3.py --loco 4019 --day 2017-05-31</t>
  </si>
  <si>
    <t>start /low /b %USERPROFILE%\Documents\GitHub\eaglep3\Utilities\DownloadLogsFromS3.py --loco 4026 --day 2017-05-30</t>
  </si>
  <si>
    <t>start /low /b %USERPROFILE%\Documents\GitHub\eaglep3\Utilities\DownloadLogsFromS3.py --loco 4032 --day 2017-05-30</t>
  </si>
  <si>
    <t>start /low /b %USERPROFILE%\Documents\GitHub\eaglep3\Utilities\DownloadLogsFromS3.py --loco 4032 --day 2017-05-31</t>
  </si>
  <si>
    <t>start /low /b %USERPROFILE%\Documents\GitHub\eaglep3\Utilities\DownloadLogsFromS3.py --loco 4042 --day 2017-05-30</t>
  </si>
  <si>
    <t>start /low /b %USERPROFILE%\Documents\GitHub\eaglep3\Utilities\DownloadLogsFromS3.py --loco 4042 --day 2017-05-31</t>
  </si>
  <si>
    <t>start /low /b %USERPROFILE%\Documents\GitHub\eaglep3\Utilities\DownloadLogsFromS3.py --loco 4041 --day 2017-05-31</t>
  </si>
  <si>
    <t>start /low /b %USERPROFILE%\Documents\GitHub\eaglep3\Utilities\DownloadLogsFromS3.py --loco 4050 --day 2017-05-31</t>
  </si>
  <si>
    <t>Onboard in-route failure led to comm failure</t>
  </si>
  <si>
    <t>Barricade test</t>
  </si>
  <si>
    <t>http://stevetu21.github.io/eaglep3/load_kml.html?kml=http://rtdc.gmaps-snips.s3.amazonaws.com/3091d0cf-b651-4645-9e7e-ac9b6aa00d47.kml</t>
  </si>
  <si>
    <t>Extended Onboard Wi-MAX data drop</t>
  </si>
  <si>
    <t>Brief Wi-MAX data drop, no enforcement or cut out</t>
  </si>
  <si>
    <t>DUS 28S STOP because DUS 14S was still STOP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</si>
</sst>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3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9"/>
  <sheetViews>
    <sheetView topLeftCell="A204" zoomScaleNormal="100" workbookViewId="0">
      <selection activeCell="R115" sqref="R115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32.28515625" style="167" customWidth="1"/>
    <col min="19" max="19" width="6" style="174" customWidth="1"/>
    <col min="20" max="20" width="3.85546875" style="179" customWidth="1"/>
    <col min="21" max="21" width="5" style="179" customWidth="1"/>
    <col min="22" max="22" width="5.7109375" style="205" customWidth="1"/>
    <col min="23" max="23" width="3.85546875" style="198" customWidth="1"/>
    <col min="24" max="24" width="6.5703125" style="198" customWidth="1"/>
    <col min="25" max="25" width="11.5703125" style="198" bestFit="1" customWidth="1"/>
    <col min="26" max="26" width="7.28515625" style="198" customWidth="1"/>
    <col min="27" max="27" width="9.140625" style="198"/>
    <col min="28" max="28" width="10.7109375" style="55" hidden="1" customWidth="1"/>
    <col min="29" max="29" width="9.42578125" style="49" hidden="1" customWidth="1"/>
    <col min="30" max="30" width="7.85546875" style="50" customWidth="1"/>
    <col min="31" max="31" width="4.5703125" style="78" customWidth="1"/>
    <col min="32" max="32" width="6.28515625" style="75" customWidth="1"/>
    <col min="33" max="33" width="5.42578125" customWidth="1"/>
    <col min="34" max="34" width="5" style="81" customWidth="1"/>
    <col min="35" max="35" width="5.7109375" style="94" customWidth="1"/>
    <col min="36" max="36" width="9.85546875" customWidth="1"/>
    <col min="37" max="37" width="5" customWidth="1"/>
    <col min="38" max="38" width="4.140625" customWidth="1"/>
    <col min="39" max="39" width="9.140625" style="145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105</v>
      </c>
      <c r="J1" s="36"/>
      <c r="K1" s="27"/>
      <c r="L1" s="27"/>
      <c r="M1" s="35"/>
      <c r="N1" s="36"/>
      <c r="O1" s="2"/>
      <c r="P1" s="2"/>
      <c r="R1" s="166" t="s">
        <v>106</v>
      </c>
      <c r="S1" s="180"/>
      <c r="T1" s="181"/>
      <c r="U1" s="181"/>
      <c r="V1" s="182"/>
      <c r="W1" s="181"/>
      <c r="X1" s="179"/>
      <c r="Y1" s="198"/>
      <c r="Z1" s="198"/>
      <c r="AA1" s="198"/>
      <c r="AB1" s="55"/>
      <c r="AC1" s="49"/>
      <c r="AD1" s="50"/>
      <c r="AE1" s="1"/>
      <c r="AF1" s="1"/>
      <c r="AG1" s="1"/>
      <c r="AH1" s="47"/>
      <c r="AI1" s="1"/>
      <c r="AM1" s="145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60">
        <f>Variables!$A$2</f>
        <v>42885</v>
      </c>
      <c r="J2" s="61"/>
      <c r="K2" s="62"/>
      <c r="L2" s="62"/>
      <c r="M2" s="63" t="s">
        <v>8</v>
      </c>
      <c r="N2" s="64"/>
      <c r="O2" s="65"/>
      <c r="P2" s="2"/>
      <c r="R2" s="60">
        <f>Variables!$A$2</f>
        <v>42885</v>
      </c>
      <c r="S2" s="183"/>
      <c r="T2" s="184"/>
      <c r="U2" s="184"/>
      <c r="V2" s="185" t="s">
        <v>8</v>
      </c>
      <c r="W2" s="186"/>
      <c r="X2" s="187"/>
      <c r="Y2" s="198"/>
      <c r="Z2" s="198"/>
      <c r="AA2" s="198"/>
      <c r="AB2" s="55"/>
      <c r="AC2" s="49"/>
      <c r="AD2" s="50"/>
      <c r="AE2" s="1"/>
      <c r="AF2" s="1"/>
      <c r="AG2" s="1"/>
      <c r="AH2" s="47"/>
      <c r="AI2" s="1"/>
      <c r="AM2" s="145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6" t="s">
        <v>10</v>
      </c>
      <c r="J3" s="67"/>
      <c r="K3" s="68"/>
      <c r="L3" s="68"/>
      <c r="M3" s="37" t="s">
        <v>11</v>
      </c>
      <c r="N3" s="38" t="s">
        <v>12</v>
      </c>
      <c r="O3" s="3" t="s">
        <v>13</v>
      </c>
      <c r="P3" s="2"/>
      <c r="R3" s="168" t="s">
        <v>10</v>
      </c>
      <c r="S3" s="188"/>
      <c r="T3" s="189"/>
      <c r="U3" s="189"/>
      <c r="V3" s="190" t="s">
        <v>11</v>
      </c>
      <c r="W3" s="191" t="s">
        <v>12</v>
      </c>
      <c r="X3" s="192" t="s">
        <v>13</v>
      </c>
      <c r="Y3" s="198"/>
      <c r="Z3" s="198"/>
      <c r="AA3" s="198"/>
      <c r="AB3" s="55"/>
      <c r="AC3" s="49"/>
      <c r="AD3" s="50"/>
      <c r="AE3" s="1"/>
      <c r="AF3" s="1"/>
      <c r="AG3" s="1"/>
      <c r="AH3" s="47"/>
      <c r="AI3" s="1"/>
      <c r="AM3" s="145"/>
    </row>
    <row r="4" spans="1:91" s="20" customFormat="1" ht="15.75" thickBot="1" x14ac:dyDescent="0.3">
      <c r="A4" s="34"/>
      <c r="B4" s="36"/>
      <c r="C4" s="27"/>
      <c r="D4" s="27"/>
      <c r="E4" s="33"/>
      <c r="F4" s="166"/>
      <c r="G4" s="36"/>
      <c r="H4" s="33"/>
      <c r="I4" s="69" t="s">
        <v>14</v>
      </c>
      <c r="J4" s="48">
        <f>SUM(J5:J7)</f>
        <v>144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69" t="s">
        <v>14</v>
      </c>
      <c r="S4" s="193">
        <f>SUM(S5:S7)</f>
        <v>47</v>
      </c>
      <c r="T4" s="194"/>
      <c r="U4" s="194"/>
      <c r="V4" s="190" t="s">
        <v>15</v>
      </c>
      <c r="W4" s="191" t="s">
        <v>15</v>
      </c>
      <c r="X4" s="192" t="s">
        <v>15</v>
      </c>
      <c r="Y4" s="198"/>
      <c r="Z4" s="198"/>
      <c r="AA4" s="198"/>
      <c r="AB4" s="55"/>
      <c r="AC4" s="49"/>
      <c r="AD4" s="50"/>
      <c r="AE4" s="1"/>
      <c r="AF4" s="1"/>
      <c r="AG4" s="1"/>
      <c r="AH4" s="47"/>
      <c r="AI4" s="1"/>
      <c r="AM4" s="145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9" t="s">
        <v>17</v>
      </c>
      <c r="J5" s="48">
        <f>COUNTIFS($N$13:$N$9324,"&gt;0",$AG$13:$AG$9324,I1)</f>
        <v>142</v>
      </c>
      <c r="K5" s="39"/>
      <c r="L5" s="39"/>
      <c r="M5" s="40">
        <f>AVERAGEIFS($N$13:$N$9324,$AG$13:$AG$9324,I1)</f>
        <v>38.907746479438266</v>
      </c>
      <c r="N5" s="38">
        <f t="array" ref="N5">MIN(IF($AG$13:$AG$9324=I1,IF(ISNUMBER($N$13:$N$9324),IF($N$13:$N$9324&gt;0,$N$13:$N$9324))))</f>
        <v>34.599999999627471</v>
      </c>
      <c r="O5" s="3">
        <f t="array" ref="O5">MAX(IF($AG$13:$AG$9324=I1,IF(ISNUMBER($N$13:$N$9324),IF($N$13:$N$9324&gt;0,$N$13:$N$9324))))</f>
        <v>48.500000000931323</v>
      </c>
      <c r="P5" s="2"/>
      <c r="R5" s="169" t="s">
        <v>17</v>
      </c>
      <c r="S5" s="193">
        <f>COUNTIFS($N$13:$N$9324,"&gt;0",$AG$13:$AG$9324,R1)</f>
        <v>47</v>
      </c>
      <c r="T5" s="194"/>
      <c r="U5" s="194"/>
      <c r="V5" s="190">
        <f>AVERAGEIFS($N$13:$N$9324,$AG$13:$AG$9324,R1)</f>
        <v>15.362056737810255</v>
      </c>
      <c r="W5" s="191">
        <f t="array" ref="W5">MIN(IF($AG$13:$AG$9324=R1,IF(ISNUMBER($N$13:$N$9324),IF($N$13:$N$9324&gt;0,$N$13:$N$9324))))</f>
        <v>13.14999999362044</v>
      </c>
      <c r="X5" s="192">
        <f t="array" ref="X5">MAX(IF($AG$13:$AG$9324=R1,IF(ISNUMBER($N$13:$N$9324),IF($N$13:$N$9324&gt;0,$N$13:$N$9324))))</f>
        <v>21.54999999795109</v>
      </c>
      <c r="Y5" s="198"/>
      <c r="Z5" s="198"/>
      <c r="AA5" s="198"/>
      <c r="AB5" s="55"/>
      <c r="AC5" s="49"/>
      <c r="AD5" s="50"/>
      <c r="AE5" s="1"/>
      <c r="AF5" s="1"/>
      <c r="AG5" s="1"/>
      <c r="AH5" s="47"/>
      <c r="AI5" s="1"/>
      <c r="AM5" s="145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70" t="s">
        <v>43</v>
      </c>
      <c r="J6" s="48">
        <f>COUNT($O$13:$O$125)</f>
        <v>0</v>
      </c>
      <c r="K6" s="39"/>
      <c r="L6" s="39"/>
      <c r="M6" s="40">
        <f>IFERROR(AVERAGE($O$13:$O$125),0)</f>
        <v>0</v>
      </c>
      <c r="N6" s="38">
        <f>MIN($O$13:$O$125)</f>
        <v>0</v>
      </c>
      <c r="O6" s="3">
        <f>MAX($O$13:$O$125)</f>
        <v>0</v>
      </c>
      <c r="P6" s="2"/>
      <c r="R6" s="170" t="s">
        <v>43</v>
      </c>
      <c r="S6" s="193">
        <f>COUNT($O$13:$O$125)</f>
        <v>0</v>
      </c>
      <c r="T6" s="194"/>
      <c r="U6" s="194"/>
      <c r="V6" s="190">
        <f>IFERROR(AVERAGE($O$13:$O$125),0)</f>
        <v>0</v>
      </c>
      <c r="W6" s="191">
        <f>MIN($O$13:$O$125)</f>
        <v>0</v>
      </c>
      <c r="X6" s="192">
        <f>MAX($O$13:$O$125)</f>
        <v>0</v>
      </c>
      <c r="Y6" s="198"/>
      <c r="Z6" s="198"/>
      <c r="AA6" s="198"/>
      <c r="AB6" s="55"/>
      <c r="AC6" s="49"/>
      <c r="AD6" s="50"/>
      <c r="AE6" s="1"/>
      <c r="AF6" s="1"/>
      <c r="AG6" s="1"/>
      <c r="AH6" s="47"/>
      <c r="AI6" s="1"/>
      <c r="AM6" s="145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71" t="s">
        <v>9</v>
      </c>
      <c r="J7" s="48">
        <f>COUNTIFS($P$13:$P$9324,"&gt;0",$AG$13:$AG$9324,I1)</f>
        <v>2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71" t="s">
        <v>9</v>
      </c>
      <c r="S7" s="193">
        <f>COUNTIFS($P$13:$P$9324,"&gt;0",$AG$13:$AG$9324,R1)</f>
        <v>0</v>
      </c>
      <c r="T7" s="194"/>
      <c r="U7" s="194"/>
      <c r="V7" s="190" t="s">
        <v>15</v>
      </c>
      <c r="W7" s="191" t="s">
        <v>15</v>
      </c>
      <c r="X7" s="192" t="s">
        <v>15</v>
      </c>
      <c r="Y7" s="198"/>
      <c r="Z7" s="198"/>
      <c r="AA7" s="198"/>
      <c r="AB7" s="55"/>
      <c r="AC7" s="49"/>
      <c r="AD7" s="50"/>
      <c r="AE7" s="1"/>
      <c r="AF7" s="1"/>
      <c r="AG7" s="1"/>
      <c r="AH7" s="47"/>
      <c r="AI7" s="1"/>
      <c r="AM7" s="145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9" t="s">
        <v>16</v>
      </c>
      <c r="J8" s="48">
        <f>J5</f>
        <v>142</v>
      </c>
      <c r="K8" s="39"/>
      <c r="L8" s="39"/>
      <c r="M8" s="40">
        <f>M5</f>
        <v>38.907746479438266</v>
      </c>
      <c r="N8" s="38">
        <f>N5</f>
        <v>34.599999999627471</v>
      </c>
      <c r="O8" s="3">
        <f>O5</f>
        <v>48.500000000931323</v>
      </c>
      <c r="P8" s="2"/>
      <c r="R8" s="169" t="s">
        <v>16</v>
      </c>
      <c r="S8" s="193">
        <f>S5</f>
        <v>47</v>
      </c>
      <c r="T8" s="194"/>
      <c r="U8" s="194"/>
      <c r="V8" s="190">
        <f>V5</f>
        <v>15.362056737810255</v>
      </c>
      <c r="W8" s="191">
        <f>W5</f>
        <v>13.14999999362044</v>
      </c>
      <c r="X8" s="192">
        <f>X5</f>
        <v>21.54999999795109</v>
      </c>
      <c r="Y8" s="198"/>
      <c r="Z8" s="198"/>
      <c r="AA8" s="198"/>
      <c r="AB8" s="55"/>
      <c r="AC8" s="49"/>
      <c r="AD8" s="50"/>
      <c r="AE8" s="1"/>
      <c r="AF8" s="1"/>
      <c r="AG8" s="1"/>
      <c r="AH8" s="47"/>
      <c r="AI8" s="1"/>
      <c r="AM8" s="145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9" t="s">
        <v>19</v>
      </c>
      <c r="J9" s="126">
        <f>J8/J4</f>
        <v>0.98611111111111116</v>
      </c>
      <c r="K9" s="41"/>
      <c r="L9" s="41"/>
      <c r="M9" s="72"/>
      <c r="N9" s="36"/>
      <c r="O9" s="73"/>
      <c r="P9" s="2"/>
      <c r="R9" s="169" t="s">
        <v>19</v>
      </c>
      <c r="S9" s="177">
        <f>S8/S4</f>
        <v>1</v>
      </c>
      <c r="T9" s="181"/>
      <c r="U9" s="181"/>
      <c r="V9" s="195"/>
      <c r="W9" s="181"/>
      <c r="X9" s="196"/>
      <c r="Y9" s="198"/>
      <c r="Z9" s="198"/>
      <c r="AA9" s="198"/>
      <c r="AB9" s="55"/>
      <c r="AC9" s="49"/>
      <c r="AD9" s="50"/>
      <c r="AE9" s="1"/>
      <c r="AF9" s="1"/>
      <c r="AG9" s="1"/>
      <c r="AH9" s="47"/>
      <c r="AI9" s="1"/>
      <c r="AM9" s="145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7"/>
      <c r="S10" s="174"/>
      <c r="T10" s="179"/>
      <c r="U10" s="179"/>
      <c r="V10" s="197"/>
      <c r="W10" s="198"/>
      <c r="X10" s="198"/>
      <c r="Y10" s="198"/>
      <c r="Z10" s="198"/>
      <c r="AA10" s="198"/>
      <c r="AB10" s="55"/>
      <c r="AC10" s="49"/>
      <c r="AD10" s="50"/>
      <c r="AE10" s="1"/>
      <c r="AF10" s="1"/>
      <c r="AG10" s="1"/>
      <c r="AH10" s="47"/>
      <c r="AI10" s="1"/>
      <c r="AM10" s="145"/>
    </row>
    <row r="11" spans="1:91" ht="16.5" thickBot="1" x14ac:dyDescent="0.3">
      <c r="A11" s="211" t="str">
        <f>"Eagle P3 System Performance - "&amp;TEXT(Variables!A2,"yyyy-mm-dd")</f>
        <v>Eagle P3 System Performance - 2017-05-30</v>
      </c>
      <c r="B11" s="211"/>
      <c r="C11" s="211"/>
      <c r="D11" s="211"/>
      <c r="E11" s="211"/>
      <c r="F11" s="211"/>
      <c r="G11" s="211"/>
      <c r="H11" s="211"/>
      <c r="I11" s="211"/>
      <c r="J11" s="211"/>
      <c r="K11" s="211"/>
      <c r="L11" s="211"/>
      <c r="M11" s="211"/>
      <c r="N11" s="211"/>
      <c r="O11" s="211"/>
      <c r="P11" s="211"/>
      <c r="S11" s="174">
        <f>AVERAGE(S13:S100)</f>
        <v>1</v>
      </c>
      <c r="V11" s="197"/>
      <c r="AE11" s="1"/>
      <c r="AF11" s="1"/>
      <c r="AG11" s="1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4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72" t="s">
        <v>24</v>
      </c>
      <c r="S12" s="175" t="s">
        <v>63</v>
      </c>
      <c r="T12" s="199" t="s">
        <v>64</v>
      </c>
      <c r="U12" s="199" t="s">
        <v>65</v>
      </c>
      <c r="V12" s="200" t="s">
        <v>45</v>
      </c>
      <c r="W12" s="201" t="s">
        <v>23</v>
      </c>
      <c r="X12" s="201" t="s">
        <v>48</v>
      </c>
      <c r="Y12" s="201" t="s">
        <v>20</v>
      </c>
      <c r="Z12" s="201" t="s">
        <v>21</v>
      </c>
      <c r="AA12" s="201" t="s">
        <v>22</v>
      </c>
      <c r="AB12" s="56" t="s">
        <v>39</v>
      </c>
      <c r="AC12" s="52" t="s">
        <v>40</v>
      </c>
      <c r="AD12" s="51" t="s">
        <v>82</v>
      </c>
      <c r="AE12" s="79" t="s">
        <v>89</v>
      </c>
      <c r="AF12" s="76" t="s">
        <v>94</v>
      </c>
      <c r="AG12" s="4" t="s">
        <v>107</v>
      </c>
      <c r="AH12" s="82" t="s">
        <v>109</v>
      </c>
      <c r="AI12" s="98" t="s">
        <v>145</v>
      </c>
      <c r="AJ12" s="46" t="s">
        <v>146</v>
      </c>
      <c r="AK12" s="46" t="s">
        <v>119</v>
      </c>
      <c r="AL12" s="46" t="s">
        <v>147</v>
      </c>
      <c r="AM12" s="146" t="s">
        <v>197</v>
      </c>
      <c r="AN12" s="46" t="s">
        <v>346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668</v>
      </c>
      <c r="B13" s="7">
        <v>4032</v>
      </c>
      <c r="C13" s="21" t="s">
        <v>204</v>
      </c>
      <c r="D13" s="21" t="s">
        <v>869</v>
      </c>
      <c r="E13" s="13">
        <v>42885.1325462963</v>
      </c>
      <c r="F13" s="13">
        <v>42885.13559027778</v>
      </c>
      <c r="G13" s="7">
        <v>1</v>
      </c>
      <c r="H13" s="21" t="s">
        <v>870</v>
      </c>
      <c r="I13" s="13">
        <v>42885.160740740743</v>
      </c>
      <c r="J13" s="7">
        <v>0</v>
      </c>
      <c r="K13" s="92" t="str">
        <f t="shared" ref="K13:K76" si="0">IF(ISEVEN(B13),(B13-1)&amp;"/"&amp;B13,B13&amp;"/"&amp;(B13+1))</f>
        <v>4031/4032</v>
      </c>
      <c r="L13" s="21" t="str">
        <f>VLOOKUP(A13,'Trips&amp;Operators'!$C$1:$G$99999,5,FALSE)</f>
        <v>STARKS ANGELINA</v>
      </c>
      <c r="M13" s="6">
        <f t="shared" ref="M13:M76" si="1">I13-F13</f>
        <v>2.5150462963210884E-2</v>
      </c>
      <c r="N13" s="7">
        <f t="shared" ref="N13:N44" si="2">24*60*SUM($M13:$M13)</f>
        <v>36.216666667023674</v>
      </c>
      <c r="O13" s="7"/>
      <c r="P13" s="7"/>
      <c r="Q13" s="22"/>
      <c r="R13" s="173"/>
      <c r="S13" s="176">
        <f t="shared" ref="S13:S44" si="3">SUM(U13:U13)/IF(AG13="EC",12,1)</f>
        <v>1</v>
      </c>
      <c r="T13" s="202" t="str">
        <f t="shared" ref="T13:T76" si="4">IF(ISEVEN(LEFT(AD13,4)),"Southbound","NorthBound")</f>
        <v>NorthBound</v>
      </c>
      <c r="U13" s="202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03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-05-30T02:10:52-0600',mode:absolute,to:'2017-05-30T04:51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3" s="204" t="str">
        <f t="shared" ref="W13:W76" si="6">IF(AA13&lt;IF(AG13="EC",23,5.65),"Y","N")</f>
        <v>N</v>
      </c>
      <c r="X13" s="204" t="e">
        <f t="shared" ref="X13:X44" si="7">VALUE(LEFT(AD13,4))-VALUE(LEFT(AD12,4))</f>
        <v>#VALUE!</v>
      </c>
      <c r="Y13" s="204">
        <f t="shared" ref="Y13:Y44" si="8">RIGHT(D13,LEN(D13)-4)/10000</f>
        <v>7.5499999999999998E-2</v>
      </c>
      <c r="Z13" s="204">
        <f t="shared" ref="Z13:Z44" si="9">RIGHT(H13,LEN(H13)-4)/10000</f>
        <v>23.34</v>
      </c>
      <c r="AA13" s="204">
        <f t="shared" ref="AA13:AA76" si="10">ABS(Z13-Y13)</f>
        <v>23.264499999999998</v>
      </c>
      <c r="AB13" s="57" t="e">
        <f>VLOOKUP(A13,Enforcements!$C$7:$K$13,8,0)</f>
        <v>#N/A</v>
      </c>
      <c r="AC13" s="53" t="e">
        <f>VLOOKUP(A13,Enforcements!$C$7:$E$13,3,0)</f>
        <v>#N/A</v>
      </c>
      <c r="AD13" s="54" t="str">
        <f t="shared" ref="AD13:AD76" si="11">IF(LEN(A13)=6,"0"&amp;A13,A13)</f>
        <v>0101-30</v>
      </c>
      <c r="AE13" s="80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s3://rtdc.mdm.uploadarchive.raw/RTDC4032/ "%USERPROFILE%\AppData\Local\Temp\OnboardLogs"\RTDC4032\2017-05-30 --exclude "*" --recursive --include "*20170530*" &amp; "%USERPROFILE%\Documents\GitHub\mrs-test-scripts\Headless Mode &amp; Sideloading\WalkAndUnGZ.bat" "%USERPROFILE%\AppData\Local\Temp\OnboardLogs"\RTDC4032\2017-05-30 &amp; aws s3 cp s3://rtdc.mdm.uploadarchive.raw/RTDC4032/ "%USERPROFILE%\AppData\Local\Temp\OnboardLogs"\RTDC4032\2017-05-31 --exclude "*" --recursive --include "*20170531*" &amp; "%USERPROFILE%\Documents\GitHub\mrs-test-scripts\Headless Mode &amp; Sideloading\WalkAndUnGZ.bat" "%USERPROFILE%\AppData\Local\Temp\OnboardLogs"\RTDC4032\2017-05-31</v>
      </c>
      <c r="AF13" s="77" t="str">
        <f t="shared" ref="AF13:AF76" si="13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/stypes="app*4032*20170530*" /stext=" 09:.+((SYSTEM_STATE.+slice.+state.+changed )|(ment ac)|(multiple cpu faults)|(system.+state.+changed )|(\[timeout)|(PRM\|1\|D)|(kpr)|(kdp)|(train st.+moving)|(\|lc)|(penalty))"</v>
      </c>
      <c r="AG13" s="1" t="str">
        <f t="shared" ref="AG13:AG76" si="14">IFERROR(IF(VALUE(LEFT(AD13,2))&lt;=2,"EC",IF(OR(VALUE(LEFT(AD13,2))=8,VALUE(LEFT(AD13,2))=18),"NW","Other")),"Other")</f>
        <v>EC</v>
      </c>
      <c r="AH13" s="81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101-30 --locoid 4032 --swversion DE.1.0.9.0 --startMP 204:755 --initTime 2017-05-30T03:10:52 --startdatetime 2017-05-30T03:15:15 --delay 1 --endMP 204:233400 --enddatetime 2017-05-30T03:51:28 --enforcementcount 0 &gt;&gt;C:\Users\stu\Documents\GitHub\eaglep3-reporting\EC\2017-05-30-refined-times.txt</v>
      </c>
      <c r="AI13" s="99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{"issue":{"subject":"","project_id":79,"tracker_id":40,"status_id":1,"priority_id":2,"assigned_to_id":23,"start_date":"2017-05-30","description":"","custom_fields":[{"id":1,"name":"Subdivision","value":"EC"},{"id":4,"name":"Milepost","value":"23.34"},{"id":17,"name":"Train ID","value":"101-30"},{"id":16,"name":"Locomotive ID","value":"4032"},{"id":130,"name":"Impact","value":""},{"id":150,"name":"Time of Event (Mountain Time)","value":"03:51:28"},{"id":151,"name":"Denver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5" t="str">
        <f t="shared" ref="AM13" si="17">"start /low /b "&amp;dls3logs&amp;" --loco "&amp;B13&amp;" --day "&amp;TEXT(F13,"YYYY-MM-DD")</f>
        <v>start /low /b %USERPROFILE%\Documents\GitHub\eaglep3\Utilities\DownloadLogsFromS3.py --loco 4032 --day 2017-05-30</v>
      </c>
      <c r="AN13" s="154" t="str">
        <f t="shared" ref="AN13" si="18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09:51:28"},{"id":29,"name":"Sharepoint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2" t="s">
        <v>672</v>
      </c>
      <c r="B14" s="7">
        <v>4031</v>
      </c>
      <c r="C14" s="21" t="s">
        <v>204</v>
      </c>
      <c r="D14" s="21" t="s">
        <v>588</v>
      </c>
      <c r="E14" s="13">
        <v>42885.162731481483</v>
      </c>
      <c r="F14" s="13">
        <v>42885.175162037034</v>
      </c>
      <c r="G14" s="7">
        <v>1</v>
      </c>
      <c r="H14" s="21" t="s">
        <v>364</v>
      </c>
      <c r="I14" s="13">
        <v>42885.203263888892</v>
      </c>
      <c r="J14" s="7">
        <v>0</v>
      </c>
      <c r="K14" s="92" t="str">
        <f t="shared" si="0"/>
        <v>4031/4032</v>
      </c>
      <c r="L14" s="21" t="str">
        <f>VLOOKUP(A14,'Trips&amp;Operators'!$C$1:$G$99999,5,FALSE)</f>
        <v>STARKS ANGELINA</v>
      </c>
      <c r="M14" s="6">
        <f t="shared" si="1"/>
        <v>2.8101851858082227E-2</v>
      </c>
      <c r="N14" s="7">
        <f t="shared" si="2"/>
        <v>40.466666675638407</v>
      </c>
      <c r="O14" s="7"/>
      <c r="P14" s="7"/>
      <c r="Q14" s="22"/>
      <c r="R14" s="173"/>
      <c r="S14" s="176">
        <f t="shared" si="3"/>
        <v>1</v>
      </c>
      <c r="T14" s="202" t="str">
        <f t="shared" si="4"/>
        <v>Southbound</v>
      </c>
      <c r="U14" s="202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03" t="str">
        <f t="shared" si="5"/>
        <v>https://d0f6bd738d7f1b3e5a7ca70fe4ff75f0.us-east-1.aws.found.io/app/kibana#/discover/Steve-Slow-Train-Analysis-(2080s-and-2083s)?_g=(refreshInterval:(display:Off,pause:!f,section:0,value:0),time:(from:'2017-05-30T02:54:20-0600',mode:absolute,to:'2017-05-30T05:52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4" s="204" t="str">
        <f t="shared" si="6"/>
        <v>N</v>
      </c>
      <c r="X14" s="204">
        <f t="shared" si="7"/>
        <v>1</v>
      </c>
      <c r="Y14" s="204">
        <f t="shared" si="8"/>
        <v>23.297599999999999</v>
      </c>
      <c r="Z14" s="204">
        <f t="shared" si="9"/>
        <v>1.41E-2</v>
      </c>
      <c r="AA14" s="204">
        <f t="shared" si="10"/>
        <v>23.2835</v>
      </c>
      <c r="AB14" s="57" t="e">
        <f>VLOOKUP(A14,Enforcements!$C$7:$K$13,8,0)</f>
        <v>#N/A</v>
      </c>
      <c r="AC14" s="53" t="e">
        <f>VLOOKUP(A14,Enforcements!$C$7:$E$13,3,0)</f>
        <v>#N/A</v>
      </c>
      <c r="AD14" s="54" t="str">
        <f t="shared" si="11"/>
        <v>0102-30</v>
      </c>
      <c r="AE14" s="80" t="str">
        <f t="shared" si="12"/>
        <v>aws s3 cp s3://rtdc.mdm.uploadarchive.raw/RTDC4031/ "%USERPROFILE%\AppData\Local\Temp\OnboardLogs"\RTDC4031\2017-05-30 --exclude "*" --recursive --include "*20170530*" &amp; "%USERPROFILE%\Documents\GitHub\mrs-test-scripts\Headless Mode &amp; Sideloading\WalkAndUnGZ.bat" "%USERPROFILE%\AppData\Local\Temp\OnboardLogs"\RTDC4031\2017-05-30 &amp; aws s3 cp s3://rtdc.mdm.uploadarchive.raw/RTDC4031/ "%USERPROFILE%\AppData\Local\Temp\OnboardLogs"\RTDC4031\2017-05-31 --exclude "*" --recursive --include "*20170531*" &amp; "%USERPROFILE%\Documents\GitHub\mrs-test-scripts\Headless Mode &amp; Sideloading\WalkAndUnGZ.bat" "%USERPROFILE%\AppData\Local\Temp\OnboardLogs"\RTDC4031\2017-05-31</v>
      </c>
      <c r="AF14" s="77" t="str">
        <f t="shared" si="13"/>
        <v>"C:\Program Files (x86)\AstroGrep\AstroGrep.exe" /e /r /s /spath="%USERPROFILE%\AppData\Local\Temp\OnboardLogs" /stypes="app*4031*20170530*" /stext=" 10:.+((SYSTEM_STATE.+slice.+state.+changed )|(ment ac)|(multiple cpu faults)|(system.+state.+changed )|(\[timeout)|(PRM\|1\|D)|(kpr)|(kdp)|(train st.+moving)|(\|lc)|(penalty))"</v>
      </c>
      <c r="AG14" s="1" t="str">
        <f t="shared" si="14"/>
        <v>EC</v>
      </c>
      <c r="AH14" s="81" t="str">
        <f t="shared" ref="AH14:AH77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102-30 --locoid 4031 --swversion DE.1.0.9.0 --startMP 204:232976 --initTime 2017-05-30T03:54:20 --startdatetime 2017-05-30T04:12:14 --delay 1 --endMP 204:141 --enddatetime 2017-05-30T04:52:42 --enforcementcount 0 &gt;&gt;C:\Users\stu\Documents\GitHub\eaglep3-reporting\EC\2017-05-30-refined-times.txt</v>
      </c>
      <c r="AI14" s="99" t="str">
        <f t="shared" ref="AI14:AI77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{"issue":{"subject":"","project_id":79,"tracker_id":40,"status_id":1,"priority_id":2,"assigned_to_id":23,"start_date":"2017-05-30","description":"","custom_fields":[{"id":1,"name":"Subdivision","value":"EC"},{"id":4,"name":"Milepost","value":"0.0141"},{"id":17,"name":"Train ID","value":"102-30"},{"id":16,"name":"Locomotive ID","value":"4031"},{"id":130,"name":"Impact","value":""},{"id":150,"name":"Time of Event (Mountain Time)","value":"04:52:42"},{"id":151,"name":"Denver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5" t="str">
        <f t="shared" ref="AM14:AM77" si="21">"start /low /b "&amp;dls3logs&amp;" --loco "&amp;B14&amp;" --day "&amp;TEXT(F14,"YYYY-MM-DD")</f>
        <v>start /low /b %USERPROFILE%\Documents\GitHub\eaglep3\Utilities\DownloadLogsFromS3.py --loco 4031 --day 2017-05-30</v>
      </c>
      <c r="AN14" s="154" t="str">
        <f t="shared" ref="AN14:AN77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10:52:42"},{"id":29,"name":"Sharepoint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635</v>
      </c>
      <c r="B15" s="7">
        <v>4020</v>
      </c>
      <c r="C15" s="21" t="s">
        <v>204</v>
      </c>
      <c r="D15" s="21" t="s">
        <v>871</v>
      </c>
      <c r="E15" s="13">
        <v>42885.149062500001</v>
      </c>
      <c r="F15" s="13">
        <v>42885.156446759262</v>
      </c>
      <c r="G15" s="7">
        <v>1</v>
      </c>
      <c r="H15" s="21" t="s">
        <v>597</v>
      </c>
      <c r="I15" s="13">
        <v>42885.183587962965</v>
      </c>
      <c r="J15" s="7">
        <v>0</v>
      </c>
      <c r="K15" s="92" t="str">
        <f t="shared" si="0"/>
        <v>4019/4020</v>
      </c>
      <c r="L15" s="21" t="str">
        <f>VLOOKUP(A15,'Trips&amp;Operators'!$C$1:$G$99999,5,FALSE)</f>
        <v>BONDS REYNALDO</v>
      </c>
      <c r="M15" s="6">
        <f t="shared" si="1"/>
        <v>2.7141203703649808E-2</v>
      </c>
      <c r="N15" s="7">
        <f t="shared" si="2"/>
        <v>39.083333333255723</v>
      </c>
      <c r="O15" s="7"/>
      <c r="P15" s="7"/>
      <c r="Q15" s="22"/>
      <c r="R15" s="173"/>
      <c r="S15" s="176">
        <f t="shared" si="3"/>
        <v>1</v>
      </c>
      <c r="T15" s="202" t="str">
        <f t="shared" si="4"/>
        <v>NorthBound</v>
      </c>
      <c r="U15" s="202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03" t="str">
        <f t="shared" si="5"/>
        <v>https://d0f6bd738d7f1b3e5a7ca70fe4ff75f0.us-east-1.aws.found.io/app/kibana#/discover/Steve-Slow-Train-Analysis-(2080s-and-2083s)?_g=(refreshInterval:(display:Off,pause:!f,section:0,value:0),time:(from:'2017-05-30T02:34:39-0600',mode:absolute,to:'2017-05-30T05:24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5" s="204" t="str">
        <f t="shared" si="6"/>
        <v>N</v>
      </c>
      <c r="X15" s="204">
        <f t="shared" si="7"/>
        <v>1</v>
      </c>
      <c r="Y15" s="204">
        <f t="shared" si="8"/>
        <v>4.2700000000000002E-2</v>
      </c>
      <c r="Z15" s="204">
        <f t="shared" si="9"/>
        <v>23.330100000000002</v>
      </c>
      <c r="AA15" s="204">
        <f t="shared" si="10"/>
        <v>23.287400000000002</v>
      </c>
      <c r="AB15" s="57" t="e">
        <f>VLOOKUP(A15,Enforcements!$C$7:$K$13,8,0)</f>
        <v>#N/A</v>
      </c>
      <c r="AC15" s="53" t="e">
        <f>VLOOKUP(A15,Enforcements!$C$7:$E$13,3,0)</f>
        <v>#N/A</v>
      </c>
      <c r="AD15" s="54" t="str">
        <f t="shared" si="11"/>
        <v>0103-30</v>
      </c>
      <c r="AE15" s="80" t="str">
        <f t="shared" si="12"/>
        <v>aws s3 cp s3://rtdc.mdm.uploadarchive.raw/RTDC4020/ "%USERPROFILE%\AppData\Local\Temp\OnboardLogs"\RTDC4020\2017-05-30 --exclude "*" --recursive --include "*20170530*" &amp; "%USERPROFILE%\Documents\GitHub\mrs-test-scripts\Headless Mode &amp; Sideloading\WalkAndUnGZ.bat" "%USERPROFILE%\AppData\Local\Temp\OnboardLogs"\RTDC4020\2017-05-30 &amp; aws s3 cp s3://rtdc.mdm.uploadarchive.raw/RTDC4020/ "%USERPROFILE%\AppData\Local\Temp\OnboardLogs"\RTDC4020\2017-05-31 --exclude "*" --recursive --include "*20170531*" &amp; "%USERPROFILE%\Documents\GitHub\mrs-test-scripts\Headless Mode &amp; Sideloading\WalkAndUnGZ.bat" "%USERPROFILE%\AppData\Local\Temp\OnboardLogs"\RTDC4020\2017-05-31</v>
      </c>
      <c r="AF15" s="77" t="str">
        <f t="shared" si="13"/>
        <v>"C:\Program Files (x86)\AstroGrep\AstroGrep.exe" /e /r /s /spath="%USERPROFILE%\AppData\Local\Temp\OnboardLogs" /stypes="app*4020*20170530*" /stext=" 10:.+((SYSTEM_STATE.+slice.+state.+changed )|(ment ac)|(multiple cpu faults)|(system.+state.+changed )|(\[timeout)|(PRM\|1\|D)|(kpr)|(kdp)|(train st.+moving)|(\|lc)|(penalty))"</v>
      </c>
      <c r="AG15" s="1" t="str">
        <f t="shared" si="14"/>
        <v>EC</v>
      </c>
      <c r="AH15" s="81" t="str">
        <f t="shared" si="19"/>
        <v>"%USERPROFILE%\Documents\GitHub\eaglep3\Utilities\RefineRTDCRunTimes.py" --tripid 103-30 --locoid 4020 --swversion DE.1.0.9.0 --startMP 204:427 --initTime 2017-05-30T03:34:39 --startdatetime 2017-05-30T03:45:17 --delay 1 --endMP 204:233301 --enddatetime 2017-05-30T04:24:22 --enforcementcount 0 &gt;&gt;C:\Users\stu\Documents\GitHub\eaglep3-reporting\EC\2017-05-30-refined-times.txt</v>
      </c>
      <c r="AI15" s="99" t="str">
        <f t="shared" si="20"/>
        <v>echo {"issue":{"subject":"","project_id":79,"tracker_id":40,"status_id":1,"priority_id":2,"assigned_to_id":23,"start_date":"2017-05-30","description":"","custom_fields":[{"id":1,"name":"Subdivision","value":"EC"},{"id":4,"name":"Milepost","value":"23.3301"},{"id":17,"name":"Train ID","value":"103-30"},{"id":16,"name":"Locomotive ID","value":"4020"},{"id":130,"name":"Impact","value":""},{"id":150,"name":"Time of Event (Mountain Time)","value":"04:24:22"},{"id":151,"name":"Denver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5" t="str">
        <f t="shared" si="21"/>
        <v>start /low /b %USERPROFILE%\Documents\GitHub\eaglep3\Utilities\DownloadLogsFromS3.py --loco 4020 --day 2017-05-30</v>
      </c>
      <c r="AN15" s="154" t="str">
        <f t="shared" si="22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10:24:22"},{"id":29,"name":"Sharepoint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678</v>
      </c>
      <c r="B16" s="7">
        <v>4019</v>
      </c>
      <c r="C16" s="21" t="s">
        <v>204</v>
      </c>
      <c r="D16" s="21" t="s">
        <v>592</v>
      </c>
      <c r="E16" s="13">
        <v>42885.19263888889</v>
      </c>
      <c r="F16" s="13">
        <v>42885.19599537037</v>
      </c>
      <c r="G16" s="7">
        <v>1</v>
      </c>
      <c r="H16" s="21" t="s">
        <v>195</v>
      </c>
      <c r="I16" s="13">
        <v>42885.223738425928</v>
      </c>
      <c r="J16" s="7">
        <v>0</v>
      </c>
      <c r="K16" s="92" t="str">
        <f t="shared" si="0"/>
        <v>4019/4020</v>
      </c>
      <c r="L16" s="21" t="str">
        <f>VLOOKUP(A16,'Trips&amp;Operators'!$C$1:$G$99999,5,FALSE)</f>
        <v>BONDS REYNALDO</v>
      </c>
      <c r="M16" s="6">
        <f t="shared" si="1"/>
        <v>2.7743055557948537E-2</v>
      </c>
      <c r="N16" s="7">
        <f t="shared" si="2"/>
        <v>39.950000003445894</v>
      </c>
      <c r="O16" s="7"/>
      <c r="P16" s="7"/>
      <c r="Q16" s="22"/>
      <c r="R16" s="173"/>
      <c r="S16" s="176">
        <f t="shared" si="3"/>
        <v>1</v>
      </c>
      <c r="T16" s="202" t="str">
        <f t="shared" si="4"/>
        <v>Southbound</v>
      </c>
      <c r="U16" s="202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03" t="str">
        <f t="shared" si="5"/>
        <v>https://d0f6bd738d7f1b3e5a7ca70fe4ff75f0.us-east-1.aws.found.io/app/kibana#/discover/Steve-Slow-Train-Analysis-(2080s-and-2083s)?_g=(refreshInterval:(display:Off,pause:!f,section:0,value:0),time:(from:'2017-05-30T03:37:24-0600',mode:absolute,to:'2017-05-30T06:22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6" s="204" t="str">
        <f t="shared" si="6"/>
        <v>N</v>
      </c>
      <c r="X16" s="204">
        <f t="shared" si="7"/>
        <v>1</v>
      </c>
      <c r="Y16" s="204">
        <f t="shared" si="8"/>
        <v>23.296500000000002</v>
      </c>
      <c r="Z16" s="204">
        <f t="shared" si="9"/>
        <v>1.52E-2</v>
      </c>
      <c r="AA16" s="204">
        <f t="shared" si="10"/>
        <v>23.281300000000002</v>
      </c>
      <c r="AB16" s="57" t="e">
        <f>VLOOKUP(A16,Enforcements!$C$7:$K$13,8,0)</f>
        <v>#N/A</v>
      </c>
      <c r="AC16" s="53" t="e">
        <f>VLOOKUP(A16,Enforcements!$C$7:$E$13,3,0)</f>
        <v>#N/A</v>
      </c>
      <c r="AD16" s="54" t="str">
        <f t="shared" si="11"/>
        <v>0104-30</v>
      </c>
      <c r="AE16" s="80" t="str">
        <f t="shared" si="12"/>
        <v>aws s3 cp s3://rtdc.mdm.uploadarchive.raw/RTDC4019/ "%USERPROFILE%\AppData\Local\Temp\OnboardLogs"\RTDC4019\2017-05-30 --exclude "*" --recursive --include "*20170530*" &amp; "%USERPROFILE%\Documents\GitHub\mrs-test-scripts\Headless Mode &amp; Sideloading\WalkAndUnGZ.bat" "%USERPROFILE%\AppData\Local\Temp\OnboardLogs"\RTDC4019\2017-05-30 &amp; aws s3 cp s3://rtdc.mdm.uploadarchive.raw/RTDC4019/ "%USERPROFILE%\AppData\Local\Temp\OnboardLogs"\RTDC4019\2017-05-31 --exclude "*" --recursive --include "*20170531*" &amp; "%USERPROFILE%\Documents\GitHub\mrs-test-scripts\Headless Mode &amp; Sideloading\WalkAndUnGZ.bat" "%USERPROFILE%\AppData\Local\Temp\OnboardLogs"\RTDC4019\2017-05-31</v>
      </c>
      <c r="AF16" s="77" t="str">
        <f t="shared" si="13"/>
        <v>"C:\Program Files (x86)\AstroGrep\AstroGrep.exe" /e /r /s /spath="%USERPROFILE%\AppData\Local\Temp\OnboardLogs" /stypes="app*4019*20170530*" /stext=" 11:.+((SYSTEM_STATE.+slice.+state.+changed )|(ment ac)|(multiple cpu faults)|(system.+state.+changed )|(\[timeout)|(PRM\|1\|D)|(kpr)|(kdp)|(train st.+moving)|(\|lc)|(penalty))"</v>
      </c>
      <c r="AG16" s="1" t="str">
        <f t="shared" si="14"/>
        <v>EC</v>
      </c>
      <c r="AH16" s="81" t="str">
        <f t="shared" si="19"/>
        <v>"%USERPROFILE%\Documents\GitHub\eaglep3\Utilities\RefineRTDCRunTimes.py" --tripid 104-30 --locoid 4019 --swversion DE.1.0.9.0 --startMP 204:232965 --initTime 2017-05-30T04:37:24 --startdatetime 2017-05-30T04:42:14 --delay 1 --endMP 204:152 --enddatetime 2017-05-30T05:22:11 --enforcementcount 0 &gt;&gt;C:\Users\stu\Documents\GitHub\eaglep3-reporting\EC\2017-05-30-refined-times.txt</v>
      </c>
      <c r="AI16" s="99" t="str">
        <f t="shared" si="20"/>
        <v>echo {"issue":{"subject":"","project_id":79,"tracker_id":40,"status_id":1,"priority_id":2,"assigned_to_id":23,"start_date":"2017-05-30","description":"","custom_fields":[{"id":1,"name":"Subdivision","value":"EC"},{"id":4,"name":"Milepost","value":"0.0152"},{"id":17,"name":"Train ID","value":"104-30"},{"id":16,"name":"Locomotive ID","value":"4019"},{"id":130,"name":"Impact","value":""},{"id":150,"name":"Time of Event (Mountain Time)","value":"05:22:11"},{"id":151,"name":"Denver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5" t="str">
        <f t="shared" si="21"/>
        <v>start /low /b %USERPROFILE%\Documents\GitHub\eaglep3\Utilities\DownloadLogsFromS3.py --loco 4019 --day 2017-05-30</v>
      </c>
      <c r="AN16" s="154" t="str">
        <f t="shared" si="22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11:22:11"},{"id":29,"name":"Sharepoint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674</v>
      </c>
      <c r="B17" s="7">
        <v>4018</v>
      </c>
      <c r="C17" s="21" t="s">
        <v>204</v>
      </c>
      <c r="D17" s="21" t="s">
        <v>345</v>
      </c>
      <c r="E17" s="13">
        <v>42885.171944444446</v>
      </c>
      <c r="F17" s="13">
        <v>42885.177291666667</v>
      </c>
      <c r="G17" s="7">
        <v>1</v>
      </c>
      <c r="H17" s="21" t="s">
        <v>872</v>
      </c>
      <c r="I17" s="13">
        <v>42885.20244212963</v>
      </c>
      <c r="J17" s="7">
        <v>0</v>
      </c>
      <c r="K17" s="92" t="str">
        <f t="shared" si="0"/>
        <v>4017/4018</v>
      </c>
      <c r="L17" s="21" t="str">
        <f>VLOOKUP(A17,'Trips&amp;Operators'!$C$1:$G$99999,5,FALSE)</f>
        <v>MAELZER KURT</v>
      </c>
      <c r="M17" s="6">
        <f t="shared" si="1"/>
        <v>2.5150462963210884E-2</v>
      </c>
      <c r="N17" s="7">
        <f t="shared" si="2"/>
        <v>36.216666667023674</v>
      </c>
      <c r="O17" s="7"/>
      <c r="P17" s="7"/>
      <c r="Q17" s="22"/>
      <c r="R17" s="173"/>
      <c r="S17" s="176">
        <f t="shared" si="3"/>
        <v>1</v>
      </c>
      <c r="T17" s="202" t="str">
        <f t="shared" si="4"/>
        <v>NorthBound</v>
      </c>
      <c r="U17" s="202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03" t="str">
        <f t="shared" si="5"/>
        <v>https://d0f6bd738d7f1b3e5a7ca70fe4ff75f0.us-east-1.aws.found.io/app/kibana#/discover/Steve-Slow-Train-Analysis-(2080s-and-2083s)?_g=(refreshInterval:(display:Off,pause:!f,section:0,value:0),time:(from:'2017-05-30T03:07:36-0600',mode:absolute,to:'2017-05-30T05:51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7" s="204" t="str">
        <f t="shared" si="6"/>
        <v>N</v>
      </c>
      <c r="X17" s="204">
        <f t="shared" si="7"/>
        <v>1</v>
      </c>
      <c r="Y17" s="204">
        <f t="shared" si="8"/>
        <v>4.4900000000000002E-2</v>
      </c>
      <c r="Z17" s="204">
        <f t="shared" si="9"/>
        <v>23.3323</v>
      </c>
      <c r="AA17" s="204">
        <f t="shared" si="10"/>
        <v>23.287400000000002</v>
      </c>
      <c r="AB17" s="57" t="e">
        <f>VLOOKUP(A17,Enforcements!$C$7:$K$13,8,0)</f>
        <v>#N/A</v>
      </c>
      <c r="AC17" s="53" t="e">
        <f>VLOOKUP(A17,Enforcements!$C$7:$E$13,3,0)</f>
        <v>#N/A</v>
      </c>
      <c r="AD17" s="54" t="str">
        <f t="shared" si="11"/>
        <v>0105-30</v>
      </c>
      <c r="AE17" s="80" t="str">
        <f t="shared" si="12"/>
        <v>aws s3 cp s3://rtdc.mdm.uploadarchive.raw/RTDC4018/ "%USERPROFILE%\AppData\Local\Temp\OnboardLogs"\RTDC4018\2017-05-30 --exclude "*" --recursive --include "*20170530*" &amp; "%USERPROFILE%\Documents\GitHub\mrs-test-scripts\Headless Mode &amp; Sideloading\WalkAndUnGZ.bat" "%USERPROFILE%\AppData\Local\Temp\OnboardLogs"\RTDC4018\2017-05-30 &amp; aws s3 cp s3://rtdc.mdm.uploadarchive.raw/RTDC4018/ "%USERPROFILE%\AppData\Local\Temp\OnboardLogs"\RTDC4018\2017-05-31 --exclude "*" --recursive --include "*20170531*" &amp; "%USERPROFILE%\Documents\GitHub\mrs-test-scripts\Headless Mode &amp; Sideloading\WalkAndUnGZ.bat" "%USERPROFILE%\AppData\Local\Temp\OnboardLogs"\RTDC4018\2017-05-31</v>
      </c>
      <c r="AF17" s="77" t="str">
        <f t="shared" si="13"/>
        <v>"C:\Program Files (x86)\AstroGrep\AstroGrep.exe" /e /r /s /spath="%USERPROFILE%\AppData\Local\Temp\OnboardLogs" /stypes="app*4018*20170530*" /stext=" 10:.+((SYSTEM_STATE.+slice.+state.+changed )|(ment ac)|(multiple cpu faults)|(system.+state.+changed )|(\[timeout)|(PRM\|1\|D)|(kpr)|(kdp)|(train st.+moving)|(\|lc)|(penalty))"</v>
      </c>
      <c r="AG17" s="1" t="str">
        <f t="shared" si="14"/>
        <v>EC</v>
      </c>
      <c r="AH17" s="81" t="str">
        <f t="shared" si="19"/>
        <v>"%USERPROFILE%\Documents\GitHub\eaglep3\Utilities\RefineRTDCRunTimes.py" --tripid 105-30 --locoid 4018 --swversion DE.1.0.9.0 --startMP 204:449 --initTime 2017-05-30T04:07:36 --startdatetime 2017-05-30T04:15:18 --delay 1 --endMP 204:233323 --enddatetime 2017-05-30T04:51:31 --enforcementcount 0 &gt;&gt;C:\Users\stu\Documents\GitHub\eaglep3-reporting\EC\2017-05-30-refined-times.txt</v>
      </c>
      <c r="AI17" s="99" t="str">
        <f t="shared" si="20"/>
        <v>echo {"issue":{"subject":"","project_id":79,"tracker_id":40,"status_id":1,"priority_id":2,"assigned_to_id":23,"start_date":"2017-05-30","description":"","custom_fields":[{"id":1,"name":"Subdivision","value":"EC"},{"id":4,"name":"Milepost","value":"23.3323"},{"id":17,"name":"Train ID","value":"105-30"},{"id":16,"name":"Locomotive ID","value":"4018"},{"id":130,"name":"Impact","value":""},{"id":150,"name":"Time of Event (Mountain Time)","value":"04:51:31"},{"id":151,"name":"Denver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5" t="str">
        <f t="shared" si="21"/>
        <v>start /low /b %USERPROFILE%\Documents\GitHub\eaglep3\Utilities\DownloadLogsFromS3.py --loco 4018 --day 2017-05-30</v>
      </c>
      <c r="AN17" s="154" t="str">
        <f t="shared" si="22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10:51:31"},{"id":29,"name":"Sharepoint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637</v>
      </c>
      <c r="B18" s="7">
        <v>4017</v>
      </c>
      <c r="C18" s="21" t="s">
        <v>204</v>
      </c>
      <c r="D18" s="21" t="s">
        <v>593</v>
      </c>
      <c r="E18" s="13">
        <v>42885.207511574074</v>
      </c>
      <c r="F18" s="13">
        <v>42885.216898148145</v>
      </c>
      <c r="G18" s="7">
        <v>1</v>
      </c>
      <c r="H18" s="21" t="s">
        <v>364</v>
      </c>
      <c r="I18" s="13">
        <v>42885.24423611111</v>
      </c>
      <c r="J18" s="7">
        <v>0</v>
      </c>
      <c r="K18" s="92" t="str">
        <f t="shared" si="0"/>
        <v>4017/4018</v>
      </c>
      <c r="L18" s="21" t="str">
        <f>VLOOKUP(A18,'Trips&amp;Operators'!$C$1:$G$99999,5,FALSE)</f>
        <v>MAELZER KURT</v>
      </c>
      <c r="M18" s="6">
        <f t="shared" si="1"/>
        <v>2.7337962965248153E-2</v>
      </c>
      <c r="N18" s="7">
        <f t="shared" si="2"/>
        <v>39.36666666995734</v>
      </c>
      <c r="O18" s="7"/>
      <c r="P18" s="7"/>
      <c r="Q18" s="22"/>
      <c r="R18" s="173"/>
      <c r="S18" s="176">
        <f t="shared" si="3"/>
        <v>1</v>
      </c>
      <c r="T18" s="202" t="str">
        <f t="shared" si="4"/>
        <v>Southbound</v>
      </c>
      <c r="U18" s="202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03" t="str">
        <f t="shared" si="5"/>
        <v>https://d0f6bd738d7f1b3e5a7ca70fe4ff75f0.us-east-1.aws.found.io/app/kibana#/discover/Steve-Slow-Train-Analysis-(2080s-and-2083s)?_g=(refreshInterval:(display:Off,pause:!f,section:0,value:0),time:(from:'2017-05-30T03:58:49-0600',mode:absolute,to:'2017-05-30T06:51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8" s="204" t="str">
        <f t="shared" si="6"/>
        <v>N</v>
      </c>
      <c r="X18" s="204">
        <f t="shared" si="7"/>
        <v>1</v>
      </c>
      <c r="Y18" s="204">
        <f t="shared" si="8"/>
        <v>23.300799999999999</v>
      </c>
      <c r="Z18" s="204">
        <f t="shared" si="9"/>
        <v>1.41E-2</v>
      </c>
      <c r="AA18" s="204">
        <f t="shared" si="10"/>
        <v>23.2867</v>
      </c>
      <c r="AB18" s="57" t="str">
        <f>VLOOKUP(A18,Enforcements!$C$7:$K$13,8,0)</f>
        <v>Bulletin (2)</v>
      </c>
      <c r="AC18" s="53" t="str">
        <f>VLOOKUP(A18,Enforcements!$C$7:$E$13,3,0)</f>
        <v>GRADE CROSSING</v>
      </c>
      <c r="AD18" s="54" t="str">
        <f t="shared" si="11"/>
        <v>0106-30</v>
      </c>
      <c r="AE18" s="80" t="str">
        <f t="shared" si="12"/>
        <v>aws s3 cp s3://rtdc.mdm.uploadarchive.raw/RTDC4017/ "%USERPROFILE%\AppData\Local\Temp\OnboardLogs"\RTDC4017\2017-05-30 --exclude "*" --recursive --include "*20170530*" &amp; "%USERPROFILE%\Documents\GitHub\mrs-test-scripts\Headless Mode &amp; Sideloading\WalkAndUnGZ.bat" "%USERPROFILE%\AppData\Local\Temp\OnboardLogs"\RTDC4017\2017-05-30 &amp; aws s3 cp s3://rtdc.mdm.uploadarchive.raw/RTDC4017/ "%USERPROFILE%\AppData\Local\Temp\OnboardLogs"\RTDC4017\2017-05-31 --exclude "*" --recursive --include "*20170531*" &amp; "%USERPROFILE%\Documents\GitHub\mrs-test-scripts\Headless Mode &amp; Sideloading\WalkAndUnGZ.bat" "%USERPROFILE%\AppData\Local\Temp\OnboardLogs"\RTDC4017\2017-05-31</v>
      </c>
      <c r="AF18" s="77" t="str">
        <f t="shared" si="13"/>
        <v>"C:\Program Files (x86)\AstroGrep\AstroGrep.exe" /e /r /s /spath="%USERPROFILE%\AppData\Local\Temp\OnboardLogs" /stypes="app*4017*20170530*" /stext=" 11:.+((SYSTEM_STATE.+slice.+state.+changed )|(ment ac)|(multiple cpu faults)|(system.+state.+changed )|(\[timeout)|(PRM\|1\|D)|(kpr)|(kdp)|(train st.+moving)|(\|lc)|(penalty))"</v>
      </c>
      <c r="AG18" s="1" t="str">
        <f t="shared" si="14"/>
        <v>EC</v>
      </c>
      <c r="AH18" s="81" t="str">
        <f t="shared" si="19"/>
        <v>"%USERPROFILE%\Documents\GitHub\eaglep3\Utilities\RefineRTDCRunTimes.py" --tripid 106-30 --locoid 4017 --swversion DE.1.0.9.0 --startMP 204:233008 --initTime 2017-05-30T04:58:49 --startdatetime 2017-05-30T05:12:20 --delay 1 --endMP 204:141 --enddatetime 2017-05-30T05:51:42 --enforcementcount 0 &gt;&gt;C:\Users\stu\Documents\GitHub\eaglep3-reporting\EC\2017-05-30-refined-times.txt</v>
      </c>
      <c r="AI18" s="99" t="str">
        <f t="shared" si="20"/>
        <v>echo {"issue":{"subject":"","project_id":79,"tracker_id":40,"status_id":1,"priority_id":2,"assigned_to_id":23,"start_date":"2017-05-30","description":"","custom_fields":[{"id":1,"name":"Subdivision","value":"EC"},{"id":4,"name":"Milepost","value":"0.0141"},{"id":17,"name":"Train ID","value":"106-30"},{"id":16,"name":"Locomotive ID","value":"4017"},{"id":130,"name":"Impact","value":""},{"id":150,"name":"Time of Event (Mountain Time)","value":"05:51:42"},{"id":151,"name":"Denver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5" t="str">
        <f t="shared" si="21"/>
        <v>start /low /b %USERPROFILE%\Documents\GitHub\eaglep3\Utilities\DownloadLogsFromS3.py --loco 4017 --day 2017-05-30</v>
      </c>
      <c r="AN18" s="154" t="str">
        <f t="shared" si="22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11:51:42"},{"id":29,"name":"Sharepoint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677</v>
      </c>
      <c r="B19" s="7">
        <v>4026</v>
      </c>
      <c r="C19" s="21" t="s">
        <v>204</v>
      </c>
      <c r="D19" s="21" t="s">
        <v>359</v>
      </c>
      <c r="E19" s="13">
        <v>42885.184699074074</v>
      </c>
      <c r="F19" s="13">
        <v>42885.187638888892</v>
      </c>
      <c r="G19" s="7">
        <v>1</v>
      </c>
      <c r="H19" s="21" t="s">
        <v>873</v>
      </c>
      <c r="I19" s="13">
        <v>42885.212592592594</v>
      </c>
      <c r="J19" s="7">
        <v>0</v>
      </c>
      <c r="K19" s="92" t="str">
        <f t="shared" si="0"/>
        <v>4025/4026</v>
      </c>
      <c r="L19" s="21" t="str">
        <f>VLOOKUP(A19,'Trips&amp;Operators'!$C$1:$G$99999,5,FALSE)</f>
        <v>LALONDE GREGORY</v>
      </c>
      <c r="M19" s="6">
        <f t="shared" si="1"/>
        <v>2.495370370161254E-2</v>
      </c>
      <c r="N19" s="7">
        <f t="shared" si="2"/>
        <v>35.933333330322057</v>
      </c>
      <c r="O19" s="7"/>
      <c r="P19" s="7"/>
      <c r="Q19" s="22"/>
      <c r="R19" s="173"/>
      <c r="S19" s="176">
        <f t="shared" si="3"/>
        <v>1</v>
      </c>
      <c r="T19" s="202" t="str">
        <f t="shared" si="4"/>
        <v>NorthBound</v>
      </c>
      <c r="U19" s="202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03" t="str">
        <f t="shared" si="5"/>
        <v>https://d0f6bd738d7f1b3e5a7ca70fe4ff75f0.us-east-1.aws.found.io/app/kibana#/discover/Steve-Slow-Train-Analysis-(2080s-and-2083s)?_g=(refreshInterval:(display:Off,pause:!f,section:0,value:0),time:(from:'2017-05-30T03:25:58-0600',mode:absolute,to:'2017-05-30T06:06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9" s="204" t="str">
        <f t="shared" si="6"/>
        <v>N</v>
      </c>
      <c r="X19" s="204">
        <f t="shared" si="7"/>
        <v>1</v>
      </c>
      <c r="Y19" s="204">
        <f t="shared" si="8"/>
        <v>4.53E-2</v>
      </c>
      <c r="Z19" s="204">
        <f t="shared" si="9"/>
        <v>23.3337</v>
      </c>
      <c r="AA19" s="204">
        <f t="shared" si="10"/>
        <v>23.288399999999999</v>
      </c>
      <c r="AB19" s="57" t="e">
        <f>VLOOKUP(A19,Enforcements!$C$7:$K$13,8,0)</f>
        <v>#N/A</v>
      </c>
      <c r="AC19" s="53" t="e">
        <f>VLOOKUP(A19,Enforcements!$C$7:$E$13,3,0)</f>
        <v>#N/A</v>
      </c>
      <c r="AD19" s="54" t="str">
        <f t="shared" si="11"/>
        <v>0107-30</v>
      </c>
      <c r="AE19" s="80" t="str">
        <f t="shared" si="12"/>
        <v>aws s3 cp s3://rtdc.mdm.uploadarchive.raw/RTDC4026/ "%USERPROFILE%\AppData\Local\Temp\OnboardLogs"\RTDC4026\2017-05-30 --exclude "*" --recursive --include "*20170530*" &amp; "%USERPROFILE%\Documents\GitHub\mrs-test-scripts\Headless Mode &amp; Sideloading\WalkAndUnGZ.bat" "%USERPROFILE%\AppData\Local\Temp\OnboardLogs"\RTDC4026\2017-05-30 &amp; aws s3 cp s3://rtdc.mdm.uploadarchive.raw/RTDC4026/ "%USERPROFILE%\AppData\Local\Temp\OnboardLogs"\RTDC4026\2017-05-31 --exclude "*" --recursive --include "*20170531*" &amp; "%USERPROFILE%\Documents\GitHub\mrs-test-scripts\Headless Mode &amp; Sideloading\WalkAndUnGZ.bat" "%USERPROFILE%\AppData\Local\Temp\OnboardLogs"\RTDC4026\2017-05-31</v>
      </c>
      <c r="AF19" s="77" t="str">
        <f t="shared" si="13"/>
        <v>"C:\Program Files (x86)\AstroGrep\AstroGrep.exe" /e /r /s /spath="%USERPROFILE%\AppData\Local\Temp\OnboardLogs" /stypes="app*4026*20170530*" /stext=" 11:.+((SYSTEM_STATE.+slice.+state.+changed )|(ment ac)|(multiple cpu faults)|(system.+state.+changed )|(\[timeout)|(PRM\|1\|D)|(kpr)|(kdp)|(train st.+moving)|(\|lc)|(penalty))"</v>
      </c>
      <c r="AG19" s="1" t="str">
        <f t="shared" si="14"/>
        <v>EC</v>
      </c>
      <c r="AH19" s="81" t="str">
        <f t="shared" si="19"/>
        <v>"%USERPROFILE%\Documents\GitHub\eaglep3\Utilities\RefineRTDCRunTimes.py" --tripid 107-30 --locoid 4026 --swversion DE.1.0.9.0 --startMP 204:453 --initTime 2017-05-30T04:25:58 --startdatetime 2017-05-30T04:30:12 --delay 1 --endMP 204:233337 --enddatetime 2017-05-30T05:06:08 --enforcementcount 0 &gt;&gt;C:\Users\stu\Documents\GitHub\eaglep3-reporting\EC\2017-05-30-refined-times.txt</v>
      </c>
      <c r="AI19" s="99" t="str">
        <f t="shared" si="20"/>
        <v>echo {"issue":{"subject":"","project_id":79,"tracker_id":40,"status_id":1,"priority_id":2,"assigned_to_id":23,"start_date":"2017-05-30","description":"","custom_fields":[{"id":1,"name":"Subdivision","value":"EC"},{"id":4,"name":"Milepost","value":"23.3337"},{"id":17,"name":"Train ID","value":"107-30"},{"id":16,"name":"Locomotive ID","value":"4026"},{"id":130,"name":"Impact","value":""},{"id":150,"name":"Time of Event (Mountain Time)","value":"05:06:08"},{"id":151,"name":"Denver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5" t="str">
        <f t="shared" si="21"/>
        <v>start /low /b %USERPROFILE%\Documents\GitHub\eaglep3\Utilities\DownloadLogsFromS3.py --loco 4026 --day 2017-05-30</v>
      </c>
      <c r="AN19" s="154" t="str">
        <f t="shared" si="22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11:06:08"},{"id":29,"name":"Sharepoint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684</v>
      </c>
      <c r="B20" s="7">
        <v>4025</v>
      </c>
      <c r="C20" s="21" t="s">
        <v>204</v>
      </c>
      <c r="D20" s="21" t="s">
        <v>611</v>
      </c>
      <c r="E20" s="13">
        <v>42885.215590277781</v>
      </c>
      <c r="F20" s="13">
        <v>42885.227361111109</v>
      </c>
      <c r="G20" s="7">
        <v>1</v>
      </c>
      <c r="H20" s="21" t="s">
        <v>596</v>
      </c>
      <c r="I20" s="13">
        <v>42885.253541666665</v>
      </c>
      <c r="J20" s="7">
        <v>0</v>
      </c>
      <c r="K20" s="92" t="str">
        <f t="shared" si="0"/>
        <v>4025/4026</v>
      </c>
      <c r="L20" s="21" t="str">
        <f>VLOOKUP(A20,'Trips&amp;Operators'!$C$1:$G$99999,5,FALSE)</f>
        <v>LALONDE GREGORY</v>
      </c>
      <c r="M20" s="6">
        <f t="shared" si="1"/>
        <v>2.6180555556493346E-2</v>
      </c>
      <c r="N20" s="7">
        <f t="shared" si="2"/>
        <v>37.700000001350418</v>
      </c>
      <c r="O20" s="7"/>
      <c r="P20" s="7"/>
      <c r="Q20" s="22"/>
      <c r="R20" s="173"/>
      <c r="S20" s="176">
        <f t="shared" si="3"/>
        <v>1</v>
      </c>
      <c r="T20" s="202" t="str">
        <f t="shared" si="4"/>
        <v>Southbound</v>
      </c>
      <c r="U20" s="202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03" t="str">
        <f t="shared" si="5"/>
        <v>https://d0f6bd738d7f1b3e5a7ca70fe4ff75f0.us-east-1.aws.found.io/app/kibana#/discover/Steve-Slow-Train-Analysis-(2080s-and-2083s)?_g=(refreshInterval:(display:Off,pause:!f,section:0,value:0),time:(from:'2017-05-30T04:10:27-0600',mode:absolute,to:'2017-05-30T07:05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0" s="204" t="str">
        <f t="shared" si="6"/>
        <v>N</v>
      </c>
      <c r="X20" s="204">
        <f t="shared" si="7"/>
        <v>1</v>
      </c>
      <c r="Y20" s="204">
        <f t="shared" si="8"/>
        <v>23.301300000000001</v>
      </c>
      <c r="Z20" s="204">
        <f t="shared" si="9"/>
        <v>1.38E-2</v>
      </c>
      <c r="AA20" s="204">
        <f t="shared" si="10"/>
        <v>23.287500000000001</v>
      </c>
      <c r="AB20" s="57" t="e">
        <f>VLOOKUP(A20,Enforcements!$C$7:$K$13,8,0)</f>
        <v>#N/A</v>
      </c>
      <c r="AC20" s="53" t="e">
        <f>VLOOKUP(A20,Enforcements!$C$7:$E$13,3,0)</f>
        <v>#N/A</v>
      </c>
      <c r="AD20" s="54" t="str">
        <f t="shared" si="11"/>
        <v>0108-30</v>
      </c>
      <c r="AE20" s="80" t="str">
        <f t="shared" si="12"/>
        <v>aws s3 cp s3://rtdc.mdm.uploadarchive.raw/RTDC4025/ "%USERPROFILE%\AppData\Local\Temp\OnboardLogs"\RTDC4025\2017-05-30 --exclude "*" --recursive --include "*20170530*" &amp; "%USERPROFILE%\Documents\GitHub\mrs-test-scripts\Headless Mode &amp; Sideloading\WalkAndUnGZ.bat" "%USERPROFILE%\AppData\Local\Temp\OnboardLogs"\RTDC4025\2017-05-30 &amp; aws s3 cp s3://rtdc.mdm.uploadarchive.raw/RTDC4025/ "%USERPROFILE%\AppData\Local\Temp\OnboardLogs"\RTDC4025\2017-05-31 --exclude "*" --recursive --include "*20170531*" &amp; "%USERPROFILE%\Documents\GitHub\mrs-test-scripts\Headless Mode &amp; Sideloading\WalkAndUnGZ.bat" "%USERPROFILE%\AppData\Local\Temp\OnboardLogs"\RTDC4025\2017-05-31</v>
      </c>
      <c r="AF20" s="77" t="str">
        <f t="shared" si="13"/>
        <v>"C:\Program Files (x86)\AstroGrep\AstroGrep.exe" /e /r /s /spath="%USERPROFILE%\AppData\Local\Temp\OnboardLogs" /stypes="app*4025*20170530*" /stext=" 12:.+((SYSTEM_STATE.+slice.+state.+changed )|(ment ac)|(multiple cpu faults)|(system.+state.+changed )|(\[timeout)|(PRM\|1\|D)|(kpr)|(kdp)|(train st.+moving)|(\|lc)|(penalty))"</v>
      </c>
      <c r="AG20" s="1" t="str">
        <f t="shared" si="14"/>
        <v>EC</v>
      </c>
      <c r="AH20" s="81" t="str">
        <f t="shared" si="19"/>
        <v>"%USERPROFILE%\Documents\GitHub\eaglep3\Utilities\RefineRTDCRunTimes.py" --tripid 108-30 --locoid 4025 --swversion DE.1.0.9.0 --startMP 204:233013 --initTime 2017-05-30T05:10:27 --startdatetime 2017-05-30T05:27:24 --delay 1 --endMP 204:138 --enddatetime 2017-05-30T06:05:06 --enforcementcount 0 &gt;&gt;C:\Users\stu\Documents\GitHub\eaglep3-reporting\EC\2017-05-30-refined-times.txt</v>
      </c>
      <c r="AI20" s="99" t="str">
        <f t="shared" si="20"/>
        <v>echo {"issue":{"subject":"","project_id":79,"tracker_id":40,"status_id":1,"priority_id":2,"assigned_to_id":23,"start_date":"2017-05-30","description":"","custom_fields":[{"id":1,"name":"Subdivision","value":"EC"},{"id":4,"name":"Milepost","value":"0.0138"},{"id":17,"name":"Train ID","value":"108-30"},{"id":16,"name":"Locomotive ID","value":"4025"},{"id":130,"name":"Impact","value":""},{"id":150,"name":"Time of Event (Mountain Time)","value":"06:05:06"},{"id":151,"name":"Denver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5" t="str">
        <f t="shared" si="21"/>
        <v>start /low /b %USERPROFILE%\Documents\GitHub\eaglep3\Utilities\DownloadLogsFromS3.py --loco 4025 --day 2017-05-30</v>
      </c>
      <c r="AN20" s="154" t="str">
        <f t="shared" si="22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12:05:06"},{"id":29,"name":"Sharepoint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679</v>
      </c>
      <c r="B21" s="7">
        <v>4008</v>
      </c>
      <c r="C21" s="21" t="s">
        <v>204</v>
      </c>
      <c r="D21" s="21" t="s">
        <v>361</v>
      </c>
      <c r="E21" s="13">
        <v>42885.192499999997</v>
      </c>
      <c r="F21" s="13">
        <v>42885.198275462964</v>
      </c>
      <c r="G21" s="7">
        <v>2</v>
      </c>
      <c r="H21" s="21" t="s">
        <v>874</v>
      </c>
      <c r="I21" s="13">
        <v>42885.223032407404</v>
      </c>
      <c r="J21" s="7">
        <v>0</v>
      </c>
      <c r="K21" s="92" t="str">
        <f t="shared" si="0"/>
        <v>4007/4008</v>
      </c>
      <c r="L21" s="21" t="str">
        <f>VLOOKUP(A21,'Trips&amp;Operators'!$C$1:$G$99999,5,FALSE)</f>
        <v>MACDONALD THOMAS</v>
      </c>
      <c r="M21" s="6">
        <f t="shared" si="1"/>
        <v>2.4756944440014195E-2</v>
      </c>
      <c r="N21" s="7">
        <f t="shared" si="2"/>
        <v>35.64999999362044</v>
      </c>
      <c r="O21" s="7"/>
      <c r="P21" s="7"/>
      <c r="Q21" s="22"/>
      <c r="R21" s="173"/>
      <c r="S21" s="176">
        <f t="shared" si="3"/>
        <v>1</v>
      </c>
      <c r="T21" s="202" t="str">
        <f t="shared" si="4"/>
        <v>NorthBound</v>
      </c>
      <c r="U21" s="202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03" t="str">
        <f t="shared" si="5"/>
        <v>https://d0f6bd738d7f1b3e5a7ca70fe4ff75f0.us-east-1.aws.found.io/app/kibana#/discover/Steve-Slow-Train-Analysis-(2080s-and-2083s)?_g=(refreshInterval:(display:Off,pause:!f,section:0,value:0),time:(from:'2017-05-30T03:37:12-0600',mode:absolute,to:'2017-05-30T06:21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1" s="204" t="str">
        <f t="shared" si="6"/>
        <v>N</v>
      </c>
      <c r="X21" s="204">
        <f t="shared" si="7"/>
        <v>1</v>
      </c>
      <c r="Y21" s="204">
        <f t="shared" si="8"/>
        <v>4.4699999999999997E-2</v>
      </c>
      <c r="Z21" s="204">
        <f t="shared" si="9"/>
        <v>23.328099999999999</v>
      </c>
      <c r="AA21" s="204">
        <f t="shared" si="10"/>
        <v>23.2834</v>
      </c>
      <c r="AB21" s="57" t="e">
        <f>VLOOKUP(A21,Enforcements!$C$7:$K$13,8,0)</f>
        <v>#N/A</v>
      </c>
      <c r="AC21" s="53" t="e">
        <f>VLOOKUP(A21,Enforcements!$C$7:$E$13,3,0)</f>
        <v>#N/A</v>
      </c>
      <c r="AD21" s="54" t="str">
        <f t="shared" si="11"/>
        <v>0109-30</v>
      </c>
      <c r="AE21" s="80" t="str">
        <f t="shared" si="12"/>
        <v>aws s3 cp s3://rtdc.mdm.uploadarchive.raw/RTDC4008/ "%USERPROFILE%\AppData\Local\Temp\OnboardLogs"\RTDC4008\2017-05-30 --exclude "*" --recursive --include "*20170530*" &amp; "%USERPROFILE%\Documents\GitHub\mrs-test-scripts\Headless Mode &amp; Sideloading\WalkAndUnGZ.bat" "%USERPROFILE%\AppData\Local\Temp\OnboardLogs"\RTDC4008\2017-05-30 &amp; aws s3 cp s3://rtdc.mdm.uploadarchive.raw/RTDC4008/ "%USERPROFILE%\AppData\Local\Temp\OnboardLogs"\RTDC4008\2017-05-31 --exclude "*" --recursive --include "*20170531*" &amp; "%USERPROFILE%\Documents\GitHub\mrs-test-scripts\Headless Mode &amp; Sideloading\WalkAndUnGZ.bat" "%USERPROFILE%\AppData\Local\Temp\OnboardLogs"\RTDC4008\2017-05-31</v>
      </c>
      <c r="AF21" s="77" t="str">
        <f t="shared" si="13"/>
        <v>"C:\Program Files (x86)\AstroGrep\AstroGrep.exe" /e /r /s /spath="%USERPROFILE%\AppData\Local\Temp\OnboardLogs" /stypes="app*4008*20170530*" /stext=" 11:.+((SYSTEM_STATE.+slice.+state.+changed )|(ment ac)|(multiple cpu faults)|(system.+state.+changed )|(\[timeout)|(PRM\|1\|D)|(kpr)|(kdp)|(train st.+moving)|(\|lc)|(penalty))"</v>
      </c>
      <c r="AG21" s="1" t="str">
        <f t="shared" si="14"/>
        <v>EC</v>
      </c>
      <c r="AH21" s="81" t="str">
        <f t="shared" si="19"/>
        <v>"%USERPROFILE%\Documents\GitHub\eaglep3\Utilities\RefineRTDCRunTimes.py" --tripid 109-30 --locoid 4008 --swversion DE.1.0.9.0 --startMP 204:447 --initTime 2017-05-30T04:37:12 --startdatetime 2017-05-30T04:45:31 --delay 2 --endMP 204:233281 --enddatetime 2017-05-30T05:21:10 --enforcementcount 0 &gt;&gt;C:\Users\stu\Documents\GitHub\eaglep3-reporting\EC\2017-05-30-refined-times.txt</v>
      </c>
      <c r="AI21" s="99" t="str">
        <f t="shared" si="20"/>
        <v>echo {"issue":{"subject":"","project_id":79,"tracker_id":40,"status_id":1,"priority_id":2,"assigned_to_id":23,"start_date":"2017-05-30","description":"","custom_fields":[{"id":1,"name":"Subdivision","value":"EC"},{"id":4,"name":"Milepost","value":"23.3281"},{"id":17,"name":"Train ID","value":"109-30"},{"id":16,"name":"Locomotive ID","value":"4008"},{"id":130,"name":"Impact","value":""},{"id":150,"name":"Time of Event (Mountain Time)","value":"05:21:10"},{"id":151,"name":"Denver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5" t="str">
        <f t="shared" si="21"/>
        <v>start /low /b %USERPROFILE%\Documents\GitHub\eaglep3\Utilities\DownloadLogsFromS3.py --loco 4008 --day 2017-05-30</v>
      </c>
      <c r="AN21" s="154" t="str">
        <f t="shared" si="22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11:21:10"},{"id":29,"name":"Sharepoint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687</v>
      </c>
      <c r="B22" s="7">
        <v>4007</v>
      </c>
      <c r="C22" s="21" t="s">
        <v>204</v>
      </c>
      <c r="D22" s="21" t="s">
        <v>588</v>
      </c>
      <c r="E22" s="13">
        <v>42885.225023148145</v>
      </c>
      <c r="F22" s="13">
        <v>42885.237847222219</v>
      </c>
      <c r="G22" s="7">
        <v>0</v>
      </c>
      <c r="H22" s="21" t="s">
        <v>350</v>
      </c>
      <c r="I22" s="13">
        <v>42885.264409722222</v>
      </c>
      <c r="J22" s="7">
        <v>0</v>
      </c>
      <c r="K22" s="92" t="str">
        <f t="shared" si="0"/>
        <v>4007/4008</v>
      </c>
      <c r="L22" s="21" t="str">
        <f>VLOOKUP(A22,'Trips&amp;Operators'!$C$1:$G$99999,5,FALSE)</f>
        <v>MACDONALD THOMAS</v>
      </c>
      <c r="M22" s="6">
        <f t="shared" si="1"/>
        <v>2.6562500002910383E-2</v>
      </c>
      <c r="N22" s="7">
        <f t="shared" si="2"/>
        <v>38.250000004190952</v>
      </c>
      <c r="O22" s="7"/>
      <c r="P22" s="7"/>
      <c r="Q22" s="22"/>
      <c r="R22" s="173"/>
      <c r="S22" s="176">
        <f t="shared" si="3"/>
        <v>1</v>
      </c>
      <c r="T22" s="202" t="str">
        <f t="shared" si="4"/>
        <v>Southbound</v>
      </c>
      <c r="U22" s="202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03" t="str">
        <f t="shared" si="5"/>
        <v>https://d0f6bd738d7f1b3e5a7ca70fe4ff75f0.us-east-1.aws.found.io/app/kibana#/discover/Steve-Slow-Train-Analysis-(2080s-and-2083s)?_g=(refreshInterval:(display:Off,pause:!f,section:0,value:0),time:(from:'2017-05-30T04:24:02-0600',mode:absolute,to:'2017-05-30T07:20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2" s="204" t="str">
        <f t="shared" si="6"/>
        <v>N</v>
      </c>
      <c r="X22" s="204">
        <f t="shared" si="7"/>
        <v>1</v>
      </c>
      <c r="Y22" s="204">
        <f t="shared" si="8"/>
        <v>23.297599999999999</v>
      </c>
      <c r="Z22" s="204">
        <f t="shared" si="9"/>
        <v>1.6E-2</v>
      </c>
      <c r="AA22" s="204">
        <f t="shared" si="10"/>
        <v>23.281600000000001</v>
      </c>
      <c r="AB22" s="57" t="e">
        <f>VLOOKUP(A22,Enforcements!$C$7:$K$13,8,0)</f>
        <v>#N/A</v>
      </c>
      <c r="AC22" s="53" t="e">
        <f>VLOOKUP(A22,Enforcements!$C$7:$E$13,3,0)</f>
        <v>#N/A</v>
      </c>
      <c r="AD22" s="54" t="str">
        <f t="shared" si="11"/>
        <v>0110-30</v>
      </c>
      <c r="AE22" s="80" t="str">
        <f t="shared" si="12"/>
        <v>aws s3 cp s3://rtdc.mdm.uploadarchive.raw/RTDC4007/ "%USERPROFILE%\AppData\Local\Temp\OnboardLogs"\RTDC4007\2017-05-30 --exclude "*" --recursive --include "*20170530*" &amp; "%USERPROFILE%\Documents\GitHub\mrs-test-scripts\Headless Mode &amp; Sideloading\WalkAndUnGZ.bat" "%USERPROFILE%\AppData\Local\Temp\OnboardLogs"\RTDC4007\2017-05-30 &amp; aws s3 cp s3://rtdc.mdm.uploadarchive.raw/RTDC4007/ "%USERPROFILE%\AppData\Local\Temp\OnboardLogs"\RTDC4007\2017-05-31 --exclude "*" --recursive --include "*20170531*" &amp; "%USERPROFILE%\Documents\GitHub\mrs-test-scripts\Headless Mode &amp; Sideloading\WalkAndUnGZ.bat" "%USERPROFILE%\AppData\Local\Temp\OnboardLogs"\RTDC4007\2017-05-31</v>
      </c>
      <c r="AF22" s="77" t="str">
        <f t="shared" si="13"/>
        <v>"C:\Program Files (x86)\AstroGrep\AstroGrep.exe" /e /r /s /spath="%USERPROFILE%\AppData\Local\Temp\OnboardLogs" /stypes="app*4007*20170530*" /stext=" 12:.+((SYSTEM_STATE.+slice.+state.+changed )|(ment ac)|(multiple cpu faults)|(system.+state.+changed )|(\[timeout)|(PRM\|1\|D)|(kpr)|(kdp)|(train st.+moving)|(\|lc)|(penalty))"</v>
      </c>
      <c r="AG22" s="1" t="str">
        <f t="shared" si="14"/>
        <v>EC</v>
      </c>
      <c r="AH22" s="81" t="str">
        <f t="shared" si="19"/>
        <v>"%USERPROFILE%\Documents\GitHub\eaglep3\Utilities\RefineRTDCRunTimes.py" --tripid 110-30 --locoid 4007 --swversion DE.1.0.9.0 --startMP 204:232976 --initTime 2017-05-30T05:24:02 --startdatetime 2017-05-30T05:42:30 --delay 0 --endMP 204:160 --enddatetime 2017-05-30T06:20:45 --enforcementcount 0 &gt;&gt;C:\Users\stu\Documents\GitHub\eaglep3-reporting\EC\2017-05-30-refined-times.txt</v>
      </c>
      <c r="AI22" s="99" t="str">
        <f t="shared" si="20"/>
        <v>echo {"issue":{"subject":"","project_id":79,"tracker_id":40,"status_id":1,"priority_id":2,"assigned_to_id":23,"start_date":"2017-05-30","description":"","custom_fields":[{"id":1,"name":"Subdivision","value":"EC"},{"id":4,"name":"Milepost","value":"0.016"},{"id":17,"name":"Train ID","value":"110-30"},{"id":16,"name":"Locomotive ID","value":"4007"},{"id":130,"name":"Impact","value":""},{"id":150,"name":"Time of Event (Mountain Time)","value":"06:20:45"},{"id":151,"name":"Denver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5" t="str">
        <f t="shared" si="21"/>
        <v>start /low /b %USERPROFILE%\Documents\GitHub\eaglep3\Utilities\DownloadLogsFromS3.py --loco 4007 --day 2017-05-30</v>
      </c>
      <c r="AN22" s="154" t="str">
        <f t="shared" si="22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12:20:45"},{"id":29,"name":"Sharepoint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681</v>
      </c>
      <c r="B23" s="7">
        <v>4032</v>
      </c>
      <c r="C23" s="21" t="s">
        <v>204</v>
      </c>
      <c r="D23" s="21" t="s">
        <v>467</v>
      </c>
      <c r="E23" s="13">
        <v>42885.205497685187</v>
      </c>
      <c r="F23" s="13">
        <v>42885.208495370367</v>
      </c>
      <c r="G23" s="7">
        <v>1</v>
      </c>
      <c r="H23" s="21" t="s">
        <v>494</v>
      </c>
      <c r="I23" s="13">
        <v>42885.234803240739</v>
      </c>
      <c r="J23" s="7">
        <v>0</v>
      </c>
      <c r="K23" s="92" t="str">
        <f t="shared" si="0"/>
        <v>4031/4032</v>
      </c>
      <c r="L23" s="21" t="str">
        <f>VLOOKUP(A23,'Trips&amp;Operators'!$C$1:$G$99999,5,FALSE)</f>
        <v>STARKS ANGELINA</v>
      </c>
      <c r="M23" s="6">
        <f t="shared" si="1"/>
        <v>2.6307870371965691E-2</v>
      </c>
      <c r="N23" s="7">
        <f t="shared" si="2"/>
        <v>37.883333335630596</v>
      </c>
      <c r="O23" s="7"/>
      <c r="P23" s="7"/>
      <c r="Q23" s="22"/>
      <c r="R23" s="173"/>
      <c r="S23" s="176">
        <f t="shared" si="3"/>
        <v>1</v>
      </c>
      <c r="T23" s="202" t="str">
        <f t="shared" si="4"/>
        <v>NorthBound</v>
      </c>
      <c r="U23" s="202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03" t="str">
        <f t="shared" si="5"/>
        <v>https://d0f6bd738d7f1b3e5a7ca70fe4ff75f0.us-east-1.aws.found.io/app/kibana#/discover/Steve-Slow-Train-Analysis-(2080s-and-2083s)?_g=(refreshInterval:(display:Off,pause:!f,section:0,value:0),time:(from:'2017-05-30T03:55:55-0600',mode:absolute,to:'2017-05-30T06:38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3" s="204" t="str">
        <f t="shared" si="6"/>
        <v>N</v>
      </c>
      <c r="X23" s="204">
        <f t="shared" si="7"/>
        <v>1</v>
      </c>
      <c r="Y23" s="204">
        <f t="shared" si="8"/>
        <v>4.3499999999999997E-2</v>
      </c>
      <c r="Z23" s="204">
        <f t="shared" si="9"/>
        <v>23.329699999999999</v>
      </c>
      <c r="AA23" s="204">
        <f t="shared" si="10"/>
        <v>23.286199999999997</v>
      </c>
      <c r="AB23" s="57" t="e">
        <f>VLOOKUP(A23,Enforcements!$C$7:$K$13,8,0)</f>
        <v>#N/A</v>
      </c>
      <c r="AC23" s="53" t="e">
        <f>VLOOKUP(A23,Enforcements!$C$7:$E$13,3,0)</f>
        <v>#N/A</v>
      </c>
      <c r="AD23" s="54" t="str">
        <f t="shared" si="11"/>
        <v>0111-30</v>
      </c>
      <c r="AE23" s="80" t="str">
        <f t="shared" si="12"/>
        <v>aws s3 cp s3://rtdc.mdm.uploadarchive.raw/RTDC4032/ "%USERPROFILE%\AppData\Local\Temp\OnboardLogs"\RTDC4032\2017-05-30 --exclude "*" --recursive --include "*20170530*" &amp; "%USERPROFILE%\Documents\GitHub\mrs-test-scripts\Headless Mode &amp; Sideloading\WalkAndUnGZ.bat" "%USERPROFILE%\AppData\Local\Temp\OnboardLogs"\RTDC4032\2017-05-30 &amp; aws s3 cp s3://rtdc.mdm.uploadarchive.raw/RTDC4032/ "%USERPROFILE%\AppData\Local\Temp\OnboardLogs"\RTDC4032\2017-05-31 --exclude "*" --recursive --include "*20170531*" &amp; "%USERPROFILE%\Documents\GitHub\mrs-test-scripts\Headless Mode &amp; Sideloading\WalkAndUnGZ.bat" "%USERPROFILE%\AppData\Local\Temp\OnboardLogs"\RTDC4032\2017-05-31</v>
      </c>
      <c r="AF23" s="77" t="str">
        <f t="shared" si="13"/>
        <v>"C:\Program Files (x86)\AstroGrep\AstroGrep.exe" /e /r /s /spath="%USERPROFILE%\AppData\Local\Temp\OnboardLogs" /stypes="app*4032*20170530*" /stext=" 11:.+((SYSTEM_STATE.+slice.+state.+changed )|(ment ac)|(multiple cpu faults)|(system.+state.+changed )|(\[timeout)|(PRM\|1\|D)|(kpr)|(kdp)|(train st.+moving)|(\|lc)|(penalty))"</v>
      </c>
      <c r="AG23" s="1" t="str">
        <f t="shared" si="14"/>
        <v>EC</v>
      </c>
      <c r="AH23" s="81" t="str">
        <f t="shared" si="19"/>
        <v>"%USERPROFILE%\Documents\GitHub\eaglep3\Utilities\RefineRTDCRunTimes.py" --tripid 111-30 --locoid 4032 --swversion DE.1.0.9.0 --startMP 204:435 --initTime 2017-05-30T04:55:55 --startdatetime 2017-05-30T05:00:14 --delay 1 --endMP 204:233297 --enddatetime 2017-05-30T05:38:07 --enforcementcount 0 &gt;&gt;C:\Users\stu\Documents\GitHub\eaglep3-reporting\EC\2017-05-30-refined-times.txt</v>
      </c>
      <c r="AI23" s="99" t="str">
        <f t="shared" si="20"/>
        <v>echo {"issue":{"subject":"","project_id":79,"tracker_id":40,"status_id":1,"priority_id":2,"assigned_to_id":23,"start_date":"2017-05-30","description":"","custom_fields":[{"id":1,"name":"Subdivision","value":"EC"},{"id":4,"name":"Milepost","value":"23.3297"},{"id":17,"name":"Train ID","value":"111-30"},{"id":16,"name":"Locomotive ID","value":"4032"},{"id":130,"name":"Impact","value":""},{"id":150,"name":"Time of Event (Mountain Time)","value":"05:38:07"},{"id":151,"name":"Denver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5" t="str">
        <f t="shared" si="21"/>
        <v>start /low /b %USERPROFILE%\Documents\GitHub\eaglep3\Utilities\DownloadLogsFromS3.py --loco 4032 --day 2017-05-30</v>
      </c>
      <c r="AN23" s="154" t="str">
        <f t="shared" si="22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11:38:07"},{"id":29,"name":"Sharepoint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638</v>
      </c>
      <c r="B24" s="7">
        <v>4031</v>
      </c>
      <c r="C24" s="21" t="s">
        <v>204</v>
      </c>
      <c r="D24" s="21" t="s">
        <v>612</v>
      </c>
      <c r="E24" s="13">
        <v>42885.241550925923</v>
      </c>
      <c r="F24" s="13">
        <v>42885.248078703706</v>
      </c>
      <c r="G24" s="7">
        <v>0</v>
      </c>
      <c r="H24" s="21" t="s">
        <v>354</v>
      </c>
      <c r="I24" s="13">
        <v>42885.275659722225</v>
      </c>
      <c r="J24" s="7">
        <v>0</v>
      </c>
      <c r="K24" s="92" t="str">
        <f t="shared" si="0"/>
        <v>4031/4032</v>
      </c>
      <c r="L24" s="21" t="str">
        <f>VLOOKUP(A24,'Trips&amp;Operators'!$C$1:$G$99999,5,FALSE)</f>
        <v>STARKS ANGELINA</v>
      </c>
      <c r="M24" s="6">
        <f t="shared" si="1"/>
        <v>2.7581018519413192E-2</v>
      </c>
      <c r="N24" s="7">
        <f t="shared" si="2"/>
        <v>39.716666667954996</v>
      </c>
      <c r="O24" s="7"/>
      <c r="P24" s="7"/>
      <c r="Q24" s="22"/>
      <c r="R24" s="173"/>
      <c r="S24" s="176">
        <f t="shared" si="3"/>
        <v>1</v>
      </c>
      <c r="T24" s="202" t="str">
        <f t="shared" si="4"/>
        <v>Southbound</v>
      </c>
      <c r="U24" s="202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03" t="str">
        <f t="shared" si="5"/>
        <v>https://d0f6bd738d7f1b3e5a7ca70fe4ff75f0.us-east-1.aws.found.io/app/kibana#/discover/Steve-Slow-Train-Analysis-(2080s-and-2083s)?_g=(refreshInterval:(display:Off,pause:!f,section:0,value:0),time:(from:'2017-05-30T04:47:50-0600',mode:absolute,to:'2017-05-30T07:36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4" s="204" t="str">
        <f t="shared" si="6"/>
        <v>N</v>
      </c>
      <c r="X24" s="204">
        <f t="shared" si="7"/>
        <v>1</v>
      </c>
      <c r="Y24" s="204">
        <f t="shared" si="8"/>
        <v>23.297799999999999</v>
      </c>
      <c r="Z24" s="204">
        <f t="shared" si="9"/>
        <v>1.43E-2</v>
      </c>
      <c r="AA24" s="204">
        <f t="shared" si="10"/>
        <v>23.2835</v>
      </c>
      <c r="AB24" s="57" t="str">
        <f>VLOOKUP(A24,Enforcements!$C$7:$K$13,8,0)</f>
        <v>Bulletin (2)</v>
      </c>
      <c r="AC24" s="53" t="str">
        <f>VLOOKUP(A24,Enforcements!$C$7:$E$13,3,0)</f>
        <v>GRADE CROSSING</v>
      </c>
      <c r="AD24" s="54" t="str">
        <f t="shared" si="11"/>
        <v>0112-30</v>
      </c>
      <c r="AE24" s="80" t="str">
        <f t="shared" si="12"/>
        <v>aws s3 cp s3://rtdc.mdm.uploadarchive.raw/RTDC4031/ "%USERPROFILE%\AppData\Local\Temp\OnboardLogs"\RTDC4031\2017-05-30 --exclude "*" --recursive --include "*20170530*" &amp; "%USERPROFILE%\Documents\GitHub\mrs-test-scripts\Headless Mode &amp; Sideloading\WalkAndUnGZ.bat" "%USERPROFILE%\AppData\Local\Temp\OnboardLogs"\RTDC4031\2017-05-30 &amp; aws s3 cp s3://rtdc.mdm.uploadarchive.raw/RTDC4031/ "%USERPROFILE%\AppData\Local\Temp\OnboardLogs"\RTDC4031\2017-05-31 --exclude "*" --recursive --include "*20170531*" &amp; "%USERPROFILE%\Documents\GitHub\mrs-test-scripts\Headless Mode &amp; Sideloading\WalkAndUnGZ.bat" "%USERPROFILE%\AppData\Local\Temp\OnboardLogs"\RTDC4031\2017-05-31</v>
      </c>
      <c r="AF24" s="77" t="str">
        <f t="shared" si="13"/>
        <v>"C:\Program Files (x86)\AstroGrep\AstroGrep.exe" /e /r /s /spath="%USERPROFILE%\AppData\Local\Temp\OnboardLogs" /stypes="app*4031*20170530*" /stext=" 12:.+((SYSTEM_STATE.+slice.+state.+changed )|(ment ac)|(multiple cpu faults)|(system.+state.+changed )|(\[timeout)|(PRM\|1\|D)|(kpr)|(kdp)|(train st.+moving)|(\|lc)|(penalty))"</v>
      </c>
      <c r="AG24" s="1" t="str">
        <f t="shared" si="14"/>
        <v>EC</v>
      </c>
      <c r="AH24" s="81" t="str">
        <f t="shared" si="19"/>
        <v>"%USERPROFILE%\Documents\GitHub\eaglep3\Utilities\RefineRTDCRunTimes.py" --tripid 112-30 --locoid 4031 --swversion DE.1.0.9.0 --startMP 204:232978 --initTime 2017-05-30T05:47:50 --startdatetime 2017-05-30T05:57:14 --delay 0 --endMP 204:143 --enddatetime 2017-05-30T06:36:57 --enforcementcount 0 &gt;&gt;C:\Users\stu\Documents\GitHub\eaglep3-reporting\EC\2017-05-30-refined-times.txt</v>
      </c>
      <c r="AI24" s="99" t="str">
        <f t="shared" si="20"/>
        <v>echo {"issue":{"subject":"","project_id":79,"tracker_id":40,"status_id":1,"priority_id":2,"assigned_to_id":23,"start_date":"2017-05-30","description":"","custom_fields":[{"id":1,"name":"Subdivision","value":"EC"},{"id":4,"name":"Milepost","value":"0.0143"},{"id":17,"name":"Train ID","value":"112-30"},{"id":16,"name":"Locomotive ID","value":"4031"},{"id":130,"name":"Impact","value":""},{"id":150,"name":"Time of Event (Mountain Time)","value":"06:36:57"},{"id":151,"name":"Denver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5" t="str">
        <f t="shared" si="21"/>
        <v>start /low /b %USERPROFILE%\Documents\GitHub\eaglep3\Utilities\DownloadLogsFromS3.py --loco 4031 --day 2017-05-30</v>
      </c>
      <c r="AN24" s="154" t="str">
        <f t="shared" si="22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12:36:57"},{"id":29,"name":"Sharepoint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683</v>
      </c>
      <c r="B25" s="7">
        <v>4056</v>
      </c>
      <c r="C25" s="21" t="s">
        <v>204</v>
      </c>
      <c r="D25" s="21" t="s">
        <v>598</v>
      </c>
      <c r="E25" s="13">
        <v>42885.209270833337</v>
      </c>
      <c r="F25" s="13">
        <v>42885.218900462962</v>
      </c>
      <c r="G25" s="7">
        <v>1</v>
      </c>
      <c r="H25" s="21" t="s">
        <v>875</v>
      </c>
      <c r="I25" s="13">
        <v>42885.243842592594</v>
      </c>
      <c r="J25" s="7">
        <v>0</v>
      </c>
      <c r="K25" s="92" t="str">
        <f t="shared" si="0"/>
        <v>4055/4056</v>
      </c>
      <c r="L25" s="21" t="str">
        <f>VLOOKUP(A25,'Trips&amp;Operators'!$C$1:$G$99999,5,FALSE)</f>
        <v>BIRENBAUM THOMAS</v>
      </c>
      <c r="M25" s="6">
        <f t="shared" si="1"/>
        <v>2.4942129632108845E-2</v>
      </c>
      <c r="N25" s="7">
        <f t="shared" si="2"/>
        <v>35.916666670236737</v>
      </c>
      <c r="O25" s="7"/>
      <c r="P25" s="7"/>
      <c r="Q25" s="22"/>
      <c r="R25" s="173"/>
      <c r="S25" s="176">
        <f t="shared" si="3"/>
        <v>1</v>
      </c>
      <c r="T25" s="202" t="str">
        <f t="shared" si="4"/>
        <v>NorthBound</v>
      </c>
      <c r="U25" s="202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03" t="str">
        <f t="shared" si="5"/>
        <v>https://d0f6bd738d7f1b3e5a7ca70fe4ff75f0.us-east-1.aws.found.io/app/kibana#/discover/Steve-Slow-Train-Analysis-(2080s-and-2083s)?_g=(refreshInterval:(display:Off,pause:!f,section:0,value:0),time:(from:'2017-05-30T04:01:21-0600',mode:absolute,to:'2017-05-30T06:51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5" s="204" t="str">
        <f t="shared" si="6"/>
        <v>N</v>
      </c>
      <c r="X25" s="204">
        <f t="shared" si="7"/>
        <v>1</v>
      </c>
      <c r="Y25" s="204">
        <f t="shared" si="8"/>
        <v>4.6899999999999997E-2</v>
      </c>
      <c r="Z25" s="204">
        <f t="shared" si="9"/>
        <v>23.3306</v>
      </c>
      <c r="AA25" s="204">
        <f t="shared" si="10"/>
        <v>23.2837</v>
      </c>
      <c r="AB25" s="57" t="e">
        <f>VLOOKUP(A25,Enforcements!$C$7:$K$13,8,0)</f>
        <v>#N/A</v>
      </c>
      <c r="AC25" s="53" t="e">
        <f>VLOOKUP(A25,Enforcements!$C$7:$E$13,3,0)</f>
        <v>#N/A</v>
      </c>
      <c r="AD25" s="54" t="str">
        <f t="shared" si="11"/>
        <v>0113-30</v>
      </c>
      <c r="AE25" s="80" t="str">
        <f t="shared" si="12"/>
        <v>aws s3 cp s3://rtdc.mdm.uploadarchive.raw/RTDC4056/ "%USERPROFILE%\AppData\Local\Temp\OnboardLogs"\RTDC4056\2017-05-30 --exclude "*" --recursive --include "*20170530*" &amp; "%USERPROFILE%\Documents\GitHub\mrs-test-scripts\Headless Mode &amp; Sideloading\WalkAndUnGZ.bat" "%USERPROFILE%\AppData\Local\Temp\OnboardLogs"\RTDC4056\2017-05-30 &amp; aws s3 cp s3://rtdc.mdm.uploadarchive.raw/RTDC4056/ "%USERPROFILE%\AppData\Local\Temp\OnboardLogs"\RTDC4056\2017-05-31 --exclude "*" --recursive --include "*20170531*" &amp; "%USERPROFILE%\Documents\GitHub\mrs-test-scripts\Headless Mode &amp; Sideloading\WalkAndUnGZ.bat" "%USERPROFILE%\AppData\Local\Temp\OnboardLogs"\RTDC4056\2017-05-31</v>
      </c>
      <c r="AF25" s="77" t="str">
        <f t="shared" si="13"/>
        <v>"C:\Program Files (x86)\AstroGrep\AstroGrep.exe" /e /r /s /spath="%USERPROFILE%\AppData\Local\Temp\OnboardLogs" /stypes="app*4056*20170530*" /stext=" 11:.+((SYSTEM_STATE.+slice.+state.+changed )|(ment ac)|(multiple cpu faults)|(system.+state.+changed )|(\[timeout)|(PRM\|1\|D)|(kpr)|(kdp)|(train st.+moving)|(\|lc)|(penalty))"</v>
      </c>
      <c r="AG25" s="1" t="str">
        <f t="shared" si="14"/>
        <v>EC</v>
      </c>
      <c r="AH25" s="81" t="str">
        <f t="shared" si="19"/>
        <v>"%USERPROFILE%\Documents\GitHub\eaglep3\Utilities\RefineRTDCRunTimes.py" --tripid 113-30 --locoid 4056 --swversion DE.1.0.9.0 --startMP 204:469 --initTime 2017-05-30T05:01:21 --startdatetime 2017-05-30T05:15:13 --delay 1 --endMP 204:233306 --enddatetime 2017-05-30T05:51:08 --enforcementcount 0 &gt;&gt;C:\Users\stu\Documents\GitHub\eaglep3-reporting\EC\2017-05-30-refined-times.txt</v>
      </c>
      <c r="AI25" s="99" t="str">
        <f t="shared" si="20"/>
        <v>echo {"issue":{"subject":"","project_id":79,"tracker_id":40,"status_id":1,"priority_id":2,"assigned_to_id":23,"start_date":"2017-05-30","description":"","custom_fields":[{"id":1,"name":"Subdivision","value":"EC"},{"id":4,"name":"Milepost","value":"23.3306"},{"id":17,"name":"Train ID","value":"113-30"},{"id":16,"name":"Locomotive ID","value":"4056"},{"id":130,"name":"Impact","value":""},{"id":150,"name":"Time of Event (Mountain Time)","value":"05:51:08"},{"id":151,"name":"Denver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5" t="str">
        <f t="shared" si="21"/>
        <v>start /low /b %USERPROFILE%\Documents\GitHub\eaglep3\Utilities\DownloadLogsFromS3.py --loco 4056 --day 2017-05-30</v>
      </c>
      <c r="AN25" s="154" t="str">
        <f t="shared" si="22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11:51:08"},{"id":29,"name":"Sharepoint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695</v>
      </c>
      <c r="B26" s="7">
        <v>4055</v>
      </c>
      <c r="C26" s="21" t="s">
        <v>204</v>
      </c>
      <c r="D26" s="21" t="s">
        <v>534</v>
      </c>
      <c r="E26" s="13">
        <v>42885.255104166667</v>
      </c>
      <c r="F26" s="13">
        <v>42885.258483796293</v>
      </c>
      <c r="G26" s="7">
        <v>1</v>
      </c>
      <c r="H26" s="21" t="s">
        <v>372</v>
      </c>
      <c r="I26" s="13">
        <v>42885.284456018519</v>
      </c>
      <c r="J26" s="7">
        <v>0</v>
      </c>
      <c r="K26" s="92" t="str">
        <f t="shared" si="0"/>
        <v>4055/4056</v>
      </c>
      <c r="L26" s="21" t="str">
        <f>VLOOKUP(A26,'Trips&amp;Operators'!$C$1:$G$99999,5,FALSE)</f>
        <v>BIRENBAUM THOMAS</v>
      </c>
      <c r="M26" s="6">
        <f t="shared" si="1"/>
        <v>2.5972222225391306E-2</v>
      </c>
      <c r="N26" s="7">
        <f t="shared" si="2"/>
        <v>37.400000004563481</v>
      </c>
      <c r="O26" s="7"/>
      <c r="P26" s="7"/>
      <c r="Q26" s="22"/>
      <c r="R26" s="173"/>
      <c r="S26" s="176">
        <f t="shared" si="3"/>
        <v>1</v>
      </c>
      <c r="T26" s="202" t="str">
        <f t="shared" si="4"/>
        <v>Southbound</v>
      </c>
      <c r="U26" s="202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03" t="str">
        <f t="shared" si="5"/>
        <v>https://d0f6bd738d7f1b3e5a7ca70fe4ff75f0.us-east-1.aws.found.io/app/kibana#/discover/Steve-Slow-Train-Analysis-(2080s-and-2083s)?_g=(refreshInterval:(display:Off,pause:!f,section:0,value:0),time:(from:'2017-05-30T05:07:21-0600',mode:absolute,to:'2017-05-30T07:49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6" s="204" t="str">
        <f t="shared" si="6"/>
        <v>N</v>
      </c>
      <c r="X26" s="204">
        <f t="shared" si="7"/>
        <v>1</v>
      </c>
      <c r="Y26" s="204">
        <f t="shared" si="8"/>
        <v>23.299299999999999</v>
      </c>
      <c r="Z26" s="204">
        <f t="shared" si="9"/>
        <v>1.3599999999999999E-2</v>
      </c>
      <c r="AA26" s="204">
        <f t="shared" si="10"/>
        <v>23.285699999999999</v>
      </c>
      <c r="AB26" s="57" t="e">
        <f>VLOOKUP(A26,Enforcements!$C$7:$K$13,8,0)</f>
        <v>#N/A</v>
      </c>
      <c r="AC26" s="53" t="e">
        <f>VLOOKUP(A26,Enforcements!$C$7:$E$13,3,0)</f>
        <v>#N/A</v>
      </c>
      <c r="AD26" s="54" t="str">
        <f t="shared" si="11"/>
        <v>0114-30</v>
      </c>
      <c r="AE26" s="80" t="str">
        <f t="shared" si="12"/>
        <v>aws s3 cp s3://rtdc.mdm.uploadarchive.raw/RTDC4055/ "%USERPROFILE%\AppData\Local\Temp\OnboardLogs"\RTDC4055\2017-05-30 --exclude "*" --recursive --include "*20170530*" &amp; "%USERPROFILE%\Documents\GitHub\mrs-test-scripts\Headless Mode &amp; Sideloading\WalkAndUnGZ.bat" "%USERPROFILE%\AppData\Local\Temp\OnboardLogs"\RTDC4055\2017-05-30 &amp; aws s3 cp s3://rtdc.mdm.uploadarchive.raw/RTDC4055/ "%USERPROFILE%\AppData\Local\Temp\OnboardLogs"\RTDC4055\2017-05-31 --exclude "*" --recursive --include "*20170531*" &amp; "%USERPROFILE%\Documents\GitHub\mrs-test-scripts\Headless Mode &amp; Sideloading\WalkAndUnGZ.bat" "%USERPROFILE%\AppData\Local\Temp\OnboardLogs"\RTDC4055\2017-05-31</v>
      </c>
      <c r="AF26" s="77" t="str">
        <f t="shared" si="13"/>
        <v>"C:\Program Files (x86)\AstroGrep\AstroGrep.exe" /e /r /s /spath="%USERPROFILE%\AppData\Local\Temp\OnboardLogs" /stypes="app*4055*20170530*" /stext=" 12:.+((SYSTEM_STATE.+slice.+state.+changed )|(ment ac)|(multiple cpu faults)|(system.+state.+changed )|(\[timeout)|(PRM\|1\|D)|(kpr)|(kdp)|(train st.+moving)|(\|lc)|(penalty))"</v>
      </c>
      <c r="AG26" s="1" t="str">
        <f t="shared" si="14"/>
        <v>EC</v>
      </c>
      <c r="AH26" s="81" t="str">
        <f t="shared" si="19"/>
        <v>"%USERPROFILE%\Documents\GitHub\eaglep3\Utilities\RefineRTDCRunTimes.py" --tripid 114-30 --locoid 4055 --swversion DE.1.0.9.0 --startMP 204:232993 --initTime 2017-05-30T06:07:21 --startdatetime 2017-05-30T06:12:13 --delay 1 --endMP 204:136 --enddatetime 2017-05-30T06:49:37 --enforcementcount 0 &gt;&gt;C:\Users\stu\Documents\GitHub\eaglep3-reporting\EC\2017-05-30-refined-times.txt</v>
      </c>
      <c r="AI26" s="99" t="str">
        <f t="shared" si="20"/>
        <v>echo {"issue":{"subject":"","project_id":79,"tracker_id":40,"status_id":1,"priority_id":2,"assigned_to_id":23,"start_date":"2017-05-30","description":"","custom_fields":[{"id":1,"name":"Subdivision","value":"EC"},{"id":4,"name":"Milepost","value":"0.0136"},{"id":17,"name":"Train ID","value":"114-30"},{"id":16,"name":"Locomotive ID","value":"4055"},{"id":130,"name":"Impact","value":""},{"id":150,"name":"Time of Event (Mountain Time)","value":"06:49:37"},{"id":151,"name":"Denver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5" t="str">
        <f t="shared" si="21"/>
        <v>start /low /b %USERPROFILE%\Documents\GitHub\eaglep3\Utilities\DownloadLogsFromS3.py --loco 4055 --day 2017-05-30</v>
      </c>
      <c r="AN26" s="154" t="str">
        <f t="shared" si="22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12:49:37"},{"id":29,"name":"Sharepoint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688</v>
      </c>
      <c r="B27" s="7">
        <v>4020</v>
      </c>
      <c r="C27" s="21" t="s">
        <v>204</v>
      </c>
      <c r="D27" s="21" t="s">
        <v>351</v>
      </c>
      <c r="E27" s="13">
        <v>42885.22729166667</v>
      </c>
      <c r="F27" s="13">
        <v>42885.229467592595</v>
      </c>
      <c r="G27" s="7">
        <v>1</v>
      </c>
      <c r="H27" s="21" t="s">
        <v>634</v>
      </c>
      <c r="I27" s="13">
        <v>42885.255810185183</v>
      </c>
      <c r="J27" s="7">
        <v>0</v>
      </c>
      <c r="K27" s="92" t="str">
        <f t="shared" si="0"/>
        <v>4019/4020</v>
      </c>
      <c r="L27" s="21" t="str">
        <f>VLOOKUP(A27,'Trips&amp;Operators'!$C$1:$G$99999,5,FALSE)</f>
        <v>BONDS REYNALDO</v>
      </c>
      <c r="M27" s="6">
        <f t="shared" si="1"/>
        <v>2.6342592587752733E-2</v>
      </c>
      <c r="N27" s="7">
        <f t="shared" si="2"/>
        <v>37.933333326363936</v>
      </c>
      <c r="O27" s="7"/>
      <c r="P27" s="7"/>
      <c r="Q27" s="22"/>
      <c r="R27" s="173"/>
      <c r="S27" s="176">
        <f t="shared" si="3"/>
        <v>1</v>
      </c>
      <c r="T27" s="202" t="str">
        <f t="shared" si="4"/>
        <v>NorthBound</v>
      </c>
      <c r="U27" s="202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03" t="str">
        <f t="shared" si="5"/>
        <v>https://d0f6bd738d7f1b3e5a7ca70fe4ff75f0.us-east-1.aws.found.io/app/kibana#/discover/Steve-Slow-Train-Analysis-(2080s-and-2083s)?_g=(refreshInterval:(display:Off,pause:!f,section:0,value:0),time:(from:'2017-05-30T04:27:18-0600',mode:absolute,to:'2017-05-30T07:08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7" s="204" t="str">
        <f t="shared" si="6"/>
        <v>N</v>
      </c>
      <c r="X27" s="204">
        <f t="shared" si="7"/>
        <v>1</v>
      </c>
      <c r="Y27" s="204">
        <f t="shared" si="8"/>
        <v>4.58E-2</v>
      </c>
      <c r="Z27" s="204">
        <f t="shared" si="9"/>
        <v>23.3276</v>
      </c>
      <c r="AA27" s="204">
        <f t="shared" si="10"/>
        <v>23.2818</v>
      </c>
      <c r="AB27" s="57" t="e">
        <f>VLOOKUP(A27,Enforcements!$C$7:$K$13,8,0)</f>
        <v>#N/A</v>
      </c>
      <c r="AC27" s="53" t="e">
        <f>VLOOKUP(A27,Enforcements!$C$7:$E$13,3,0)</f>
        <v>#N/A</v>
      </c>
      <c r="AD27" s="54" t="str">
        <f t="shared" si="11"/>
        <v>0115-30</v>
      </c>
      <c r="AE27" s="80" t="str">
        <f t="shared" si="12"/>
        <v>aws s3 cp s3://rtdc.mdm.uploadarchive.raw/RTDC4020/ "%USERPROFILE%\AppData\Local\Temp\OnboardLogs"\RTDC4020\2017-05-30 --exclude "*" --recursive --include "*20170530*" &amp; "%USERPROFILE%\Documents\GitHub\mrs-test-scripts\Headless Mode &amp; Sideloading\WalkAndUnGZ.bat" "%USERPROFILE%\AppData\Local\Temp\OnboardLogs"\RTDC4020\2017-05-30 &amp; aws s3 cp s3://rtdc.mdm.uploadarchive.raw/RTDC4020/ "%USERPROFILE%\AppData\Local\Temp\OnboardLogs"\RTDC4020\2017-05-31 --exclude "*" --recursive --include "*20170531*" &amp; "%USERPROFILE%\Documents\GitHub\mrs-test-scripts\Headless Mode &amp; Sideloading\WalkAndUnGZ.bat" "%USERPROFILE%\AppData\Local\Temp\OnboardLogs"\RTDC4020\2017-05-31</v>
      </c>
      <c r="AF27" s="77" t="str">
        <f t="shared" si="13"/>
        <v>"C:\Program Files (x86)\AstroGrep\AstroGrep.exe" /e /r /s /spath="%USERPROFILE%\AppData\Local\Temp\OnboardLogs" /stypes="app*4020*20170530*" /stext=" 12:.+((SYSTEM_STATE.+slice.+state.+changed )|(ment ac)|(multiple cpu faults)|(system.+state.+changed )|(\[timeout)|(PRM\|1\|D)|(kpr)|(kdp)|(train st.+moving)|(\|lc)|(penalty))"</v>
      </c>
      <c r="AG27" s="1" t="str">
        <f t="shared" si="14"/>
        <v>EC</v>
      </c>
      <c r="AH27" s="81" t="str">
        <f t="shared" si="19"/>
        <v>"%USERPROFILE%\Documents\GitHub\eaglep3\Utilities\RefineRTDCRunTimes.py" --tripid 115-30 --locoid 4020 --swversion DE.1.0.9.0 --startMP 204:458 --initTime 2017-05-30T05:27:18 --startdatetime 2017-05-30T05:30:26 --delay 1 --endMP 204:233276 --enddatetime 2017-05-30T06:08:22 --enforcementcount 0 &gt;&gt;C:\Users\stu\Documents\GitHub\eaglep3-reporting\EC\2017-05-30-refined-times.txt</v>
      </c>
      <c r="AI27" s="99" t="str">
        <f t="shared" si="20"/>
        <v>echo {"issue":{"subject":"","project_id":79,"tracker_id":40,"status_id":1,"priority_id":2,"assigned_to_id":23,"start_date":"2017-05-30","description":"","custom_fields":[{"id":1,"name":"Subdivision","value":"EC"},{"id":4,"name":"Milepost","value":"23.3276"},{"id":17,"name":"Train ID","value":"115-30"},{"id":16,"name":"Locomotive ID","value":"4020"},{"id":130,"name":"Impact","value":""},{"id":150,"name":"Time of Event (Mountain Time)","value":"06:08:22"},{"id":151,"name":"Denver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5" t="str">
        <f t="shared" si="21"/>
        <v>start /low /b %USERPROFILE%\Documents\GitHub\eaglep3\Utilities\DownloadLogsFromS3.py --loco 4020 --day 2017-05-30</v>
      </c>
      <c r="AN27" s="154" t="str">
        <f t="shared" si="22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12:08:22"},{"id":29,"name":"Sharepoint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697</v>
      </c>
      <c r="B28" s="7">
        <v>4019</v>
      </c>
      <c r="C28" s="21" t="s">
        <v>204</v>
      </c>
      <c r="D28" s="21" t="s">
        <v>876</v>
      </c>
      <c r="E28" s="13">
        <v>42885.266608796293</v>
      </c>
      <c r="F28" s="13">
        <v>42885.268946759257</v>
      </c>
      <c r="G28" s="7">
        <v>1</v>
      </c>
      <c r="H28" s="21" t="s">
        <v>365</v>
      </c>
      <c r="I28" s="13">
        <v>42885.296574074076</v>
      </c>
      <c r="J28" s="7">
        <v>0</v>
      </c>
      <c r="K28" s="92" t="str">
        <f t="shared" si="0"/>
        <v>4019/4020</v>
      </c>
      <c r="L28" s="21" t="str">
        <f>VLOOKUP(A28,'Trips&amp;Operators'!$C$1:$G$99999,5,FALSE)</f>
        <v>BONDS REYNALDO</v>
      </c>
      <c r="M28" s="6">
        <f t="shared" si="1"/>
        <v>2.7627314819255844E-2</v>
      </c>
      <c r="N28" s="7">
        <f t="shared" si="2"/>
        <v>39.783333339728415</v>
      </c>
      <c r="O28" s="7"/>
      <c r="P28" s="7"/>
      <c r="Q28" s="22"/>
      <c r="R28" s="173"/>
      <c r="S28" s="176">
        <f t="shared" si="3"/>
        <v>1</v>
      </c>
      <c r="T28" s="202" t="str">
        <f t="shared" si="4"/>
        <v>Southbound</v>
      </c>
      <c r="U28" s="202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03" t="str">
        <f t="shared" si="5"/>
        <v>https://d0f6bd738d7f1b3e5a7ca70fe4ff75f0.us-east-1.aws.found.io/app/kibana#/discover/Steve-Slow-Train-Analysis-(2080s-and-2083s)?_g=(refreshInterval:(display:Off,pause:!f,section:0,value:0),time:(from:'2017-05-30T05:23:55-0600',mode:absolute,to:'2017-05-30T08:07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8" s="204" t="str">
        <f t="shared" si="6"/>
        <v>N</v>
      </c>
      <c r="X28" s="204">
        <f t="shared" si="7"/>
        <v>1</v>
      </c>
      <c r="Y28" s="204">
        <f t="shared" si="8"/>
        <v>23.295200000000001</v>
      </c>
      <c r="Z28" s="204">
        <f t="shared" si="9"/>
        <v>1.47E-2</v>
      </c>
      <c r="AA28" s="204">
        <f t="shared" si="10"/>
        <v>23.2805</v>
      </c>
      <c r="AB28" s="57" t="e">
        <f>VLOOKUP(A28,Enforcements!$C$7:$K$13,8,0)</f>
        <v>#N/A</v>
      </c>
      <c r="AC28" s="53" t="e">
        <f>VLOOKUP(A28,Enforcements!$C$7:$E$13,3,0)</f>
        <v>#N/A</v>
      </c>
      <c r="AD28" s="54" t="str">
        <f t="shared" si="11"/>
        <v>0116-30</v>
      </c>
      <c r="AE28" s="80" t="str">
        <f t="shared" si="12"/>
        <v>aws s3 cp s3://rtdc.mdm.uploadarchive.raw/RTDC4019/ "%USERPROFILE%\AppData\Local\Temp\OnboardLogs"\RTDC4019\2017-05-30 --exclude "*" --recursive --include "*20170530*" &amp; "%USERPROFILE%\Documents\GitHub\mrs-test-scripts\Headless Mode &amp; Sideloading\WalkAndUnGZ.bat" "%USERPROFILE%\AppData\Local\Temp\OnboardLogs"\RTDC4019\2017-05-30 &amp; aws s3 cp s3://rtdc.mdm.uploadarchive.raw/RTDC4019/ "%USERPROFILE%\AppData\Local\Temp\OnboardLogs"\RTDC4019\2017-05-31 --exclude "*" --recursive --include "*20170531*" &amp; "%USERPROFILE%\Documents\GitHub\mrs-test-scripts\Headless Mode &amp; Sideloading\WalkAndUnGZ.bat" "%USERPROFILE%\AppData\Local\Temp\OnboardLogs"\RTDC4019\2017-05-31</v>
      </c>
      <c r="AF28" s="77" t="str">
        <f t="shared" si="13"/>
        <v>"C:\Program Files (x86)\AstroGrep\AstroGrep.exe" /e /r /s /spath="%USERPROFILE%\AppData\Local\Temp\OnboardLogs" /stypes="app*4019*20170530*" /stext=" 13:.+((SYSTEM_STATE.+slice.+state.+changed )|(ment ac)|(multiple cpu faults)|(system.+state.+changed )|(\[timeout)|(PRM\|1\|D)|(kpr)|(kdp)|(train st.+moving)|(\|lc)|(penalty))"</v>
      </c>
      <c r="AG28" s="1" t="str">
        <f t="shared" si="14"/>
        <v>EC</v>
      </c>
      <c r="AH28" s="81" t="str">
        <f t="shared" si="19"/>
        <v>"%USERPROFILE%\Documents\GitHub\eaglep3\Utilities\RefineRTDCRunTimes.py" --tripid 116-30 --locoid 4019 --swversion DE.1.0.9.0 --startMP 204:232952 --initTime 2017-05-30T06:23:55 --startdatetime 2017-05-30T06:27:17 --delay 1 --endMP 204:147 --enddatetime 2017-05-30T07:07:04 --enforcementcount 0 &gt;&gt;C:\Users\stu\Documents\GitHub\eaglep3-reporting\EC\2017-05-30-refined-times.txt</v>
      </c>
      <c r="AI28" s="99" t="str">
        <f t="shared" si="20"/>
        <v>echo {"issue":{"subject":"","project_id":79,"tracker_id":40,"status_id":1,"priority_id":2,"assigned_to_id":23,"start_date":"2017-05-30","description":"","custom_fields":[{"id":1,"name":"Subdivision","value":"EC"},{"id":4,"name":"Milepost","value":"0.0147"},{"id":17,"name":"Train ID","value":"116-30"},{"id":16,"name":"Locomotive ID","value":"4019"},{"id":130,"name":"Impact","value":""},{"id":150,"name":"Time of Event (Mountain Time)","value":"07:07:04"},{"id":151,"name":"Denver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5" t="str">
        <f t="shared" si="21"/>
        <v>start /low /b %USERPROFILE%\Documents\GitHub\eaglep3\Utilities\DownloadLogsFromS3.py --loco 4019 --day 2017-05-30</v>
      </c>
      <c r="AN28" s="154" t="str">
        <f t="shared" si="22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13:07:04"},{"id":29,"name":"Sharepoint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689</v>
      </c>
      <c r="B29" s="7">
        <v>4016</v>
      </c>
      <c r="C29" s="21" t="s">
        <v>204</v>
      </c>
      <c r="D29" s="21" t="s">
        <v>467</v>
      </c>
      <c r="E29" s="13">
        <v>42885.232685185183</v>
      </c>
      <c r="F29" s="13">
        <v>42885.23982638889</v>
      </c>
      <c r="G29" s="7">
        <v>1</v>
      </c>
      <c r="H29" s="21" t="s">
        <v>875</v>
      </c>
      <c r="I29" s="13">
        <v>42885.2658912037</v>
      </c>
      <c r="J29" s="7">
        <v>0</v>
      </c>
      <c r="K29" s="92" t="str">
        <f t="shared" si="0"/>
        <v>4015/4016</v>
      </c>
      <c r="L29" s="21" t="str">
        <f>VLOOKUP(A29,'Trips&amp;Operators'!$C$1:$G$99999,5,FALSE)</f>
        <v>DAVIDSON DAVID</v>
      </c>
      <c r="M29" s="6">
        <f t="shared" si="1"/>
        <v>2.6064814810524695E-2</v>
      </c>
      <c r="N29" s="7">
        <f t="shared" si="2"/>
        <v>37.53333332715556</v>
      </c>
      <c r="O29" s="7"/>
      <c r="P29" s="7"/>
      <c r="Q29" s="22"/>
      <c r="R29" s="173"/>
      <c r="S29" s="176">
        <f t="shared" si="3"/>
        <v>1</v>
      </c>
      <c r="T29" s="202" t="str">
        <f t="shared" si="4"/>
        <v>NorthBound</v>
      </c>
      <c r="U29" s="202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03" t="str">
        <f t="shared" si="5"/>
        <v>https://d0f6bd738d7f1b3e5a7ca70fe4ff75f0.us-east-1.aws.found.io/app/kibana#/discover/Steve-Slow-Train-Analysis-(2080s-and-2083s)?_g=(refreshInterval:(display:Off,pause:!f,section:0,value:0),time:(from:'2017-05-30T04:35:04-0600',mode:absolute,to:'2017-05-30T07:22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9" s="204" t="str">
        <f t="shared" si="6"/>
        <v>N</v>
      </c>
      <c r="X29" s="204">
        <f t="shared" si="7"/>
        <v>1</v>
      </c>
      <c r="Y29" s="204">
        <f t="shared" si="8"/>
        <v>4.3499999999999997E-2</v>
      </c>
      <c r="Z29" s="204">
        <f t="shared" si="9"/>
        <v>23.3306</v>
      </c>
      <c r="AA29" s="204">
        <f t="shared" si="10"/>
        <v>23.287099999999999</v>
      </c>
      <c r="AB29" s="57" t="e">
        <f>VLOOKUP(A29,Enforcements!$C$7:$K$13,8,0)</f>
        <v>#N/A</v>
      </c>
      <c r="AC29" s="53" t="e">
        <f>VLOOKUP(A29,Enforcements!$C$7:$E$13,3,0)</f>
        <v>#N/A</v>
      </c>
      <c r="AD29" s="54" t="str">
        <f t="shared" si="11"/>
        <v>0117-30</v>
      </c>
      <c r="AE29" s="80" t="str">
        <f t="shared" si="12"/>
        <v>aws s3 cp s3://rtdc.mdm.uploadarchive.raw/RTDC4016/ "%USERPROFILE%\AppData\Local\Temp\OnboardLogs"\RTDC4016\2017-05-30 --exclude "*" --recursive --include "*20170530*" &amp; "%USERPROFILE%\Documents\GitHub\mrs-test-scripts\Headless Mode &amp; Sideloading\WalkAndUnGZ.bat" "%USERPROFILE%\AppData\Local\Temp\OnboardLogs"\RTDC4016\2017-05-30 &amp; aws s3 cp s3://rtdc.mdm.uploadarchive.raw/RTDC4016/ "%USERPROFILE%\AppData\Local\Temp\OnboardLogs"\RTDC4016\2017-05-31 --exclude "*" --recursive --include "*20170531*" &amp; "%USERPROFILE%\Documents\GitHub\mrs-test-scripts\Headless Mode &amp; Sideloading\WalkAndUnGZ.bat" "%USERPROFILE%\AppData\Local\Temp\OnboardLogs"\RTDC4016\2017-05-31</v>
      </c>
      <c r="AF29" s="77" t="str">
        <f t="shared" si="13"/>
        <v>"C:\Program Files (x86)\AstroGrep\AstroGrep.exe" /e /r /s /spath="%USERPROFILE%\AppData\Local\Temp\OnboardLogs" /stypes="app*4016*20170530*" /stext=" 12:.+((SYSTEM_STATE.+slice.+state.+changed )|(ment ac)|(multiple cpu faults)|(system.+state.+changed )|(\[timeout)|(PRM\|1\|D)|(kpr)|(kdp)|(train st.+moving)|(\|lc)|(penalty))"</v>
      </c>
      <c r="AG29" s="1" t="str">
        <f t="shared" si="14"/>
        <v>EC</v>
      </c>
      <c r="AH29" s="81" t="str">
        <f t="shared" si="19"/>
        <v>"%USERPROFILE%\Documents\GitHub\eaglep3\Utilities\RefineRTDCRunTimes.py" --tripid 117-30 --locoid 4016 --swversion DE.1.0.9.0 --startMP 204:435 --initTime 2017-05-30T05:35:04 --startdatetime 2017-05-30T05:45:21 --delay 1 --endMP 204:233306 --enddatetime 2017-05-30T06:22:53 --enforcementcount 0 &gt;&gt;C:\Users\stu\Documents\GitHub\eaglep3-reporting\EC\2017-05-30-refined-times.txt</v>
      </c>
      <c r="AI29" s="99" t="str">
        <f t="shared" si="20"/>
        <v>echo {"issue":{"subject":"","project_id":79,"tracker_id":40,"status_id":1,"priority_id":2,"assigned_to_id":23,"start_date":"2017-05-30","description":"","custom_fields":[{"id":1,"name":"Subdivision","value":"EC"},{"id":4,"name":"Milepost","value":"23.3306"},{"id":17,"name":"Train ID","value":"117-30"},{"id":16,"name":"Locomotive ID","value":"4016"},{"id":130,"name":"Impact","value":""},{"id":150,"name":"Time of Event (Mountain Time)","value":"06:22:53"},{"id":151,"name":"Denver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5" t="str">
        <f t="shared" si="21"/>
        <v>start /low /b %USERPROFILE%\Documents\GitHub\eaglep3\Utilities\DownloadLogsFromS3.py --loco 4016 --day 2017-05-30</v>
      </c>
      <c r="AN29" s="154" t="str">
        <f t="shared" si="22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12:22:53"},{"id":29,"name":"Sharepoint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698</v>
      </c>
      <c r="B30" s="7">
        <v>4015</v>
      </c>
      <c r="C30" s="21" t="s">
        <v>204</v>
      </c>
      <c r="D30" s="21" t="s">
        <v>595</v>
      </c>
      <c r="E30" s="13">
        <v>42885.267870370371</v>
      </c>
      <c r="F30" s="13">
        <v>42885.279398148145</v>
      </c>
      <c r="G30" s="7">
        <v>1</v>
      </c>
      <c r="H30" s="21" t="s">
        <v>365</v>
      </c>
      <c r="I30" s="13">
        <v>42885.306631944448</v>
      </c>
      <c r="J30" s="7">
        <v>0</v>
      </c>
      <c r="K30" s="92" t="str">
        <f t="shared" si="0"/>
        <v>4015/4016</v>
      </c>
      <c r="L30" s="21" t="str">
        <f>VLOOKUP(A30,'Trips&amp;Operators'!$C$1:$G$99999,5,FALSE)</f>
        <v>DAVIDSON DAVID</v>
      </c>
      <c r="M30" s="6">
        <f t="shared" si="1"/>
        <v>2.7233796303335112E-2</v>
      </c>
      <c r="N30" s="7">
        <f t="shared" si="2"/>
        <v>39.216666676802561</v>
      </c>
      <c r="O30" s="7"/>
      <c r="P30" s="7"/>
      <c r="Q30" s="22"/>
      <c r="R30" s="173"/>
      <c r="S30" s="176">
        <f t="shared" si="3"/>
        <v>1</v>
      </c>
      <c r="T30" s="202" t="str">
        <f t="shared" si="4"/>
        <v>Southbound</v>
      </c>
      <c r="U30" s="202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03" t="str">
        <f t="shared" si="5"/>
        <v>https://d0f6bd738d7f1b3e5a7ca70fe4ff75f0.us-east-1.aws.found.io/app/kibana#/discover/Steve-Slow-Train-Analysis-(2080s-and-2083s)?_g=(refreshInterval:(display:Off,pause:!f,section:0,value:0),time:(from:'2017-05-30T05:25:44-0600',mode:absolute,to:'2017-05-30T08:21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30" s="204" t="str">
        <f t="shared" si="6"/>
        <v>N</v>
      </c>
      <c r="X30" s="204">
        <f t="shared" si="7"/>
        <v>1</v>
      </c>
      <c r="Y30" s="204">
        <f t="shared" si="8"/>
        <v>23.299099999999999</v>
      </c>
      <c r="Z30" s="204">
        <f t="shared" si="9"/>
        <v>1.47E-2</v>
      </c>
      <c r="AA30" s="204">
        <f t="shared" si="10"/>
        <v>23.284399999999998</v>
      </c>
      <c r="AB30" s="57" t="e">
        <f>VLOOKUP(A30,Enforcements!$C$7:$K$13,8,0)</f>
        <v>#N/A</v>
      </c>
      <c r="AC30" s="53" t="e">
        <f>VLOOKUP(A30,Enforcements!$C$7:$E$13,3,0)</f>
        <v>#N/A</v>
      </c>
      <c r="AD30" s="54" t="str">
        <f t="shared" si="11"/>
        <v>0118-30</v>
      </c>
      <c r="AE30" s="80" t="str">
        <f t="shared" si="12"/>
        <v>aws s3 cp s3://rtdc.mdm.uploadarchive.raw/RTDC4015/ "%USERPROFILE%\AppData\Local\Temp\OnboardLogs"\RTDC4015\2017-05-30 --exclude "*" --recursive --include "*20170530*" &amp; "%USERPROFILE%\Documents\GitHub\mrs-test-scripts\Headless Mode &amp; Sideloading\WalkAndUnGZ.bat" "%USERPROFILE%\AppData\Local\Temp\OnboardLogs"\RTDC4015\2017-05-30 &amp; aws s3 cp s3://rtdc.mdm.uploadarchive.raw/RTDC4015/ "%USERPROFILE%\AppData\Local\Temp\OnboardLogs"\RTDC4015\2017-05-31 --exclude "*" --recursive --include "*20170531*" &amp; "%USERPROFILE%\Documents\GitHub\mrs-test-scripts\Headless Mode &amp; Sideloading\WalkAndUnGZ.bat" "%USERPROFILE%\AppData\Local\Temp\OnboardLogs"\RTDC4015\2017-05-31</v>
      </c>
      <c r="AF30" s="77" t="str">
        <f t="shared" si="13"/>
        <v>"C:\Program Files (x86)\AstroGrep\AstroGrep.exe" /e /r /s /spath="%USERPROFILE%\AppData\Local\Temp\OnboardLogs" /stypes="app*4015*20170530*" /stext=" 13:.+((SYSTEM_STATE.+slice.+state.+changed )|(ment ac)|(multiple cpu faults)|(system.+state.+changed )|(\[timeout)|(PRM\|1\|D)|(kpr)|(kdp)|(train st.+moving)|(\|lc)|(penalty))"</v>
      </c>
      <c r="AG30" s="1" t="str">
        <f t="shared" si="14"/>
        <v>EC</v>
      </c>
      <c r="AH30" s="81" t="str">
        <f t="shared" si="19"/>
        <v>"%USERPROFILE%\Documents\GitHub\eaglep3\Utilities\RefineRTDCRunTimes.py" --tripid 118-30 --locoid 4015 --swversion DE.1.0.9.0 --startMP 204:232991 --initTime 2017-05-30T06:25:44 --startdatetime 2017-05-30T06:42:20 --delay 1 --endMP 204:147 --enddatetime 2017-05-30T07:21:33 --enforcementcount 0 &gt;&gt;C:\Users\stu\Documents\GitHub\eaglep3-reporting\EC\2017-05-30-refined-times.txt</v>
      </c>
      <c r="AI30" s="99" t="str">
        <f t="shared" si="20"/>
        <v>echo {"issue":{"subject":"","project_id":79,"tracker_id":40,"status_id":1,"priority_id":2,"assigned_to_id":23,"start_date":"2017-05-30","description":"","custom_fields":[{"id":1,"name":"Subdivision","value":"EC"},{"id":4,"name":"Milepost","value":"0.0147"},{"id":17,"name":"Train ID","value":"118-30"},{"id":16,"name":"Locomotive ID","value":"4015"},{"id":130,"name":"Impact","value":""},{"id":150,"name":"Time of Event (Mountain Time)","value":"07:21:33"},{"id":151,"name":"Denver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5" t="str">
        <f t="shared" si="21"/>
        <v>start /low /b %USERPROFILE%\Documents\GitHub\eaglep3\Utilities\DownloadLogsFromS3.py --loco 4015 --day 2017-05-30</v>
      </c>
      <c r="AN30" s="154" t="str">
        <f t="shared" si="22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13:21:33"},{"id":29,"name":"Sharepoint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691</v>
      </c>
      <c r="B31" s="7">
        <v>4018</v>
      </c>
      <c r="C31" s="21" t="s">
        <v>204</v>
      </c>
      <c r="D31" s="21" t="s">
        <v>356</v>
      </c>
      <c r="E31" s="13">
        <v>42885.246365740742</v>
      </c>
      <c r="F31" s="13">
        <v>42885.250231481485</v>
      </c>
      <c r="G31" s="7">
        <v>1</v>
      </c>
      <c r="H31" s="21" t="s">
        <v>597</v>
      </c>
      <c r="I31" s="13">
        <v>42885.27547453704</v>
      </c>
      <c r="J31" s="7">
        <v>0</v>
      </c>
      <c r="K31" s="92" t="str">
        <f t="shared" si="0"/>
        <v>4017/4018</v>
      </c>
      <c r="L31" s="21" t="str">
        <f>VLOOKUP(A31,'Trips&amp;Operators'!$C$1:$G$99999,5,FALSE)</f>
        <v>MAELZER KURT</v>
      </c>
      <c r="M31" s="6">
        <f t="shared" si="1"/>
        <v>2.5243055555620231E-2</v>
      </c>
      <c r="N31" s="7">
        <f t="shared" si="2"/>
        <v>36.350000000093132</v>
      </c>
      <c r="O31" s="7"/>
      <c r="P31" s="7"/>
      <c r="Q31" s="22"/>
      <c r="R31" s="173" t="s">
        <v>1010</v>
      </c>
      <c r="S31" s="176">
        <f t="shared" si="3"/>
        <v>1</v>
      </c>
      <c r="T31" s="202" t="str">
        <f t="shared" si="4"/>
        <v>NorthBound</v>
      </c>
      <c r="U31" s="202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03" t="str">
        <f t="shared" si="5"/>
        <v>https://d0f6bd738d7f1b3e5a7ca70fe4ff75f0.us-east-1.aws.found.io/app/kibana#/discover/Steve-Slow-Train-Analysis-(2080s-and-2083s)?_g=(refreshInterval:(display:Off,pause:!f,section:0,value:0),time:(from:'2017-05-30T04:54:46-0600',mode:absolute,to:'2017-05-30T07:36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31" s="204" t="str">
        <f t="shared" si="6"/>
        <v>N</v>
      </c>
      <c r="X31" s="204">
        <f t="shared" si="7"/>
        <v>1</v>
      </c>
      <c r="Y31" s="204">
        <f t="shared" si="8"/>
        <v>4.5100000000000001E-2</v>
      </c>
      <c r="Z31" s="204">
        <f t="shared" si="9"/>
        <v>23.330100000000002</v>
      </c>
      <c r="AA31" s="204">
        <f t="shared" si="10"/>
        <v>23.285</v>
      </c>
      <c r="AB31" s="57" t="e">
        <f>VLOOKUP(A31,Enforcements!$C$7:$K$13,8,0)</f>
        <v>#N/A</v>
      </c>
      <c r="AC31" s="53" t="e">
        <f>VLOOKUP(A31,Enforcements!$C$7:$E$13,3,0)</f>
        <v>#N/A</v>
      </c>
      <c r="AD31" s="54" t="str">
        <f t="shared" si="11"/>
        <v>0119-30</v>
      </c>
      <c r="AE31" s="80" t="str">
        <f t="shared" si="12"/>
        <v>aws s3 cp s3://rtdc.mdm.uploadarchive.raw/RTDC4018/ "%USERPROFILE%\AppData\Local\Temp\OnboardLogs"\RTDC4018\2017-05-30 --exclude "*" --recursive --include "*20170530*" &amp; "%USERPROFILE%\Documents\GitHub\mrs-test-scripts\Headless Mode &amp; Sideloading\WalkAndUnGZ.bat" "%USERPROFILE%\AppData\Local\Temp\OnboardLogs"\RTDC4018\2017-05-30 &amp; aws s3 cp s3://rtdc.mdm.uploadarchive.raw/RTDC4018/ "%USERPROFILE%\AppData\Local\Temp\OnboardLogs"\RTDC4018\2017-05-31 --exclude "*" --recursive --include "*20170531*" &amp; "%USERPROFILE%\Documents\GitHub\mrs-test-scripts\Headless Mode &amp; Sideloading\WalkAndUnGZ.bat" "%USERPROFILE%\AppData\Local\Temp\OnboardLogs"\RTDC4018\2017-05-31</v>
      </c>
      <c r="AF31" s="77" t="str">
        <f t="shared" si="13"/>
        <v>"C:\Program Files (x86)\AstroGrep\AstroGrep.exe" /e /r /s /spath="%USERPROFILE%\AppData\Local\Temp\OnboardLogs" /stypes="app*4018*20170530*" /stext=" 12:.+((SYSTEM_STATE.+slice.+state.+changed )|(ment ac)|(multiple cpu faults)|(system.+state.+changed )|(\[timeout)|(PRM\|1\|D)|(kpr)|(kdp)|(train st.+moving)|(\|lc)|(penalty))"</v>
      </c>
      <c r="AG31" s="1" t="str">
        <f t="shared" si="14"/>
        <v>EC</v>
      </c>
      <c r="AH31" s="81" t="str">
        <f t="shared" si="19"/>
        <v>"%USERPROFILE%\Documents\GitHub\eaglep3\Utilities\RefineRTDCRunTimes.py" --tripid 119-30 --locoid 4018 --swversion DE.1.0.9.0 --startMP 204:451 --initTime 2017-05-30T05:54:46 --startdatetime 2017-05-30T06:00:20 --delay 1 --endMP 204:233301 --enddatetime 2017-05-30T06:36:41 --enforcementcount 0 &gt;&gt;C:\Users\stu\Documents\GitHub\eaglep3-reporting\EC\2017-05-30-refined-times.txt</v>
      </c>
      <c r="AI31" s="99" t="str">
        <f t="shared" si="20"/>
        <v>echo {"issue":{"subject":"Brief Wi-MAX data drop, no enforcement or cut out","project_id":79,"tracker_id":40,"status_id":1,"priority_id":2,"assigned_to_id":23,"start_date":"2017-05-30","description":"","custom_fields":[{"id":1,"name":"Subdivision","value":"EC"},{"id":4,"name":"Milepost","value":"23.3301"},{"id":17,"name":"Train ID","value":"119-30"},{"id":16,"name":"Locomotive ID","value":"4018"},{"id":130,"name":"Impact","value":""},{"id":150,"name":"Time of Event (Mountain Time)","value":"06:36:41"},{"id":151,"name":"Denver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5" t="str">
        <f t="shared" si="21"/>
        <v>start /low /b %USERPROFILE%\Documents\GitHub\eaglep3\Utilities\DownloadLogsFromS3.py --loco 4018 --day 2017-05-30</v>
      </c>
      <c r="AN31" s="154" t="str">
        <f t="shared" si="22"/>
        <v>echo {"issue":{"subject":"Brief Wi-MAX data drop, no enforcement or cut out","project_id":30,"tracker_id":4,"status_id":1,"priority_id":1,"assigned_to_id":10,"start_date":"2017-05-30","description":"","custom_fields":[{"id":30,"name":"Category","value":"Issue"},{"id":3,"name":"Functional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12:36:41"},{"id":29,"name":"Sharepoint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704</v>
      </c>
      <c r="B32" s="7">
        <v>4017</v>
      </c>
      <c r="C32" s="21" t="s">
        <v>204</v>
      </c>
      <c r="D32" s="21" t="s">
        <v>606</v>
      </c>
      <c r="E32" s="13">
        <v>42885.283877314818</v>
      </c>
      <c r="F32" s="13">
        <v>42885.290081018517</v>
      </c>
      <c r="G32" s="7">
        <v>0</v>
      </c>
      <c r="H32" s="21" t="s">
        <v>362</v>
      </c>
      <c r="I32" s="13">
        <v>42885.316643518519</v>
      </c>
      <c r="J32" s="7">
        <v>0</v>
      </c>
      <c r="K32" s="92" t="str">
        <f t="shared" si="0"/>
        <v>4017/4018</v>
      </c>
      <c r="L32" s="21" t="str">
        <f>VLOOKUP(A32,'Trips&amp;Operators'!$C$1:$G$99999,5,FALSE)</f>
        <v>MAELZER KURT</v>
      </c>
      <c r="M32" s="6">
        <f t="shared" si="1"/>
        <v>2.6562500002910383E-2</v>
      </c>
      <c r="N32" s="7">
        <f t="shared" si="2"/>
        <v>38.250000004190952</v>
      </c>
      <c r="O32" s="7"/>
      <c r="P32" s="7"/>
      <c r="Q32" s="22"/>
      <c r="R32" s="173"/>
      <c r="S32" s="176">
        <f t="shared" si="3"/>
        <v>1</v>
      </c>
      <c r="T32" s="202" t="str">
        <f t="shared" si="4"/>
        <v>Southbound</v>
      </c>
      <c r="U32" s="202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03" t="str">
        <f t="shared" si="5"/>
        <v>https://d0f6bd738d7f1b3e5a7ca70fe4ff75f0.us-east-1.aws.found.io/app/kibana#/discover/Steve-Slow-Train-Analysis-(2080s-and-2083s)?_g=(refreshInterval:(display:Off,pause:!f,section:0,value:0),time:(from:'2017-05-30T05:48:47-0600',mode:absolute,to:'2017-05-30T08:35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32" s="204" t="str">
        <f t="shared" si="6"/>
        <v>N</v>
      </c>
      <c r="X32" s="204">
        <f t="shared" si="7"/>
        <v>1</v>
      </c>
      <c r="Y32" s="204">
        <f t="shared" si="8"/>
        <v>23.299199999999999</v>
      </c>
      <c r="Z32" s="204">
        <f t="shared" si="9"/>
        <v>1.3899999999999999E-2</v>
      </c>
      <c r="AA32" s="204">
        <f t="shared" si="10"/>
        <v>23.285299999999999</v>
      </c>
      <c r="AB32" s="57" t="e">
        <f>VLOOKUP(A32,Enforcements!$C$7:$K$13,8,0)</f>
        <v>#N/A</v>
      </c>
      <c r="AC32" s="53" t="e">
        <f>VLOOKUP(A32,Enforcements!$C$7:$E$13,3,0)</f>
        <v>#N/A</v>
      </c>
      <c r="AD32" s="54" t="str">
        <f t="shared" si="11"/>
        <v>0120-30</v>
      </c>
      <c r="AE32" s="80" t="str">
        <f t="shared" si="12"/>
        <v>aws s3 cp s3://rtdc.mdm.uploadarchive.raw/RTDC4017/ "%USERPROFILE%\AppData\Local\Temp\OnboardLogs"\RTDC4017\2017-05-30 --exclude "*" --recursive --include "*20170530*" &amp; "%USERPROFILE%\Documents\GitHub\mrs-test-scripts\Headless Mode &amp; Sideloading\WalkAndUnGZ.bat" "%USERPROFILE%\AppData\Local\Temp\OnboardLogs"\RTDC4017\2017-05-30 &amp; aws s3 cp s3://rtdc.mdm.uploadarchive.raw/RTDC4017/ "%USERPROFILE%\AppData\Local\Temp\OnboardLogs"\RTDC4017\2017-05-31 --exclude "*" --recursive --include "*20170531*" &amp; "%USERPROFILE%\Documents\GitHub\mrs-test-scripts\Headless Mode &amp; Sideloading\WalkAndUnGZ.bat" "%USERPROFILE%\AppData\Local\Temp\OnboardLogs"\RTDC4017\2017-05-31</v>
      </c>
      <c r="AF32" s="77" t="str">
        <f t="shared" si="13"/>
        <v>"C:\Program Files (x86)\AstroGrep\AstroGrep.exe" /e /r /s /spath="%USERPROFILE%\AppData\Local\Temp\OnboardLogs" /stypes="app*4017*20170530*" /stext=" 13:.+((SYSTEM_STATE.+slice.+state.+changed )|(ment ac)|(multiple cpu faults)|(system.+state.+changed )|(\[timeout)|(PRM\|1\|D)|(kpr)|(kdp)|(train st.+moving)|(\|lc)|(penalty))"</v>
      </c>
      <c r="AG32" s="1" t="str">
        <f t="shared" si="14"/>
        <v>EC</v>
      </c>
      <c r="AH32" s="81" t="str">
        <f t="shared" si="19"/>
        <v>"%USERPROFILE%\Documents\GitHub\eaglep3\Utilities\RefineRTDCRunTimes.py" --tripid 120-30 --locoid 4017 --swversion DE.1.0.9.0 --startMP 204:232992 --initTime 2017-05-30T06:48:47 --startdatetime 2017-05-30T06:57:43 --delay 0 --endMP 204:139 --enddatetime 2017-05-30T07:35:58 --enforcementcount 0 &gt;&gt;C:\Users\stu\Documents\GitHub\eaglep3-reporting\EC\2017-05-30-refined-times.txt</v>
      </c>
      <c r="AI32" s="99" t="str">
        <f t="shared" si="20"/>
        <v>echo {"issue":{"subject":"","project_id":79,"tracker_id":40,"status_id":1,"priority_id":2,"assigned_to_id":23,"start_date":"2017-05-30","description":"","custom_fields":[{"id":1,"name":"Subdivision","value":"EC"},{"id":4,"name":"Milepost","value":"0.0139"},{"id":17,"name":"Train ID","value":"120-30"},{"id":16,"name":"Locomotive ID","value":"4017"},{"id":130,"name":"Impact","value":""},{"id":150,"name":"Time of Event (Mountain Time)","value":"07:35:58"},{"id":151,"name":"Denver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5" t="str">
        <f t="shared" si="21"/>
        <v>start /low /b %USERPROFILE%\Documents\GitHub\eaglep3\Utilities\DownloadLogsFromS3.py --loco 4017 --day 2017-05-30</v>
      </c>
      <c r="AN32" s="154" t="str">
        <f t="shared" si="22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13:35:58"},{"id":29,"name":"Sharepoint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696</v>
      </c>
      <c r="B33" s="7">
        <v>4026</v>
      </c>
      <c r="C33" s="21" t="s">
        <v>204</v>
      </c>
      <c r="D33" s="21" t="s">
        <v>356</v>
      </c>
      <c r="E33" s="13">
        <v>42885.255416666667</v>
      </c>
      <c r="F33" s="13">
        <v>42885.26054398148</v>
      </c>
      <c r="G33" s="7">
        <v>1</v>
      </c>
      <c r="H33" s="21" t="s">
        <v>877</v>
      </c>
      <c r="I33" s="13">
        <v>42885.285208333335</v>
      </c>
      <c r="J33" s="7">
        <v>0</v>
      </c>
      <c r="K33" s="92" t="str">
        <f t="shared" si="0"/>
        <v>4025/4026</v>
      </c>
      <c r="L33" s="21" t="str">
        <f>VLOOKUP(A33,'Trips&amp;Operators'!$C$1:$G$99999,5,FALSE)</f>
        <v>LALONDE GREGORY</v>
      </c>
      <c r="M33" s="6">
        <f t="shared" si="1"/>
        <v>2.4664351854880806E-2</v>
      </c>
      <c r="N33" s="7">
        <f t="shared" si="2"/>
        <v>35.516666671028361</v>
      </c>
      <c r="O33" s="7"/>
      <c r="P33" s="7"/>
      <c r="Q33" s="22"/>
      <c r="R33" s="173"/>
      <c r="S33" s="176">
        <f t="shared" si="3"/>
        <v>1</v>
      </c>
      <c r="T33" s="202" t="str">
        <f t="shared" si="4"/>
        <v>NorthBound</v>
      </c>
      <c r="U33" s="202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03" t="str">
        <f t="shared" si="5"/>
        <v>https://d0f6bd738d7f1b3e5a7ca70fe4ff75f0.us-east-1.aws.found.io/app/kibana#/discover/Steve-Slow-Train-Analysis-(2080s-and-2083s)?_g=(refreshInterval:(display:Off,pause:!f,section:0,value:0),time:(from:'2017-05-30T05:07:48-0600',mode:absolute,to:'2017-05-30T07:50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33" s="204" t="str">
        <f t="shared" si="6"/>
        <v>N</v>
      </c>
      <c r="X33" s="204">
        <f t="shared" si="7"/>
        <v>1</v>
      </c>
      <c r="Y33" s="204">
        <f t="shared" si="8"/>
        <v>4.5100000000000001E-2</v>
      </c>
      <c r="Z33" s="204">
        <f t="shared" si="9"/>
        <v>23.333100000000002</v>
      </c>
      <c r="AA33" s="204">
        <f t="shared" si="10"/>
        <v>23.288</v>
      </c>
      <c r="AB33" s="57" t="e">
        <f>VLOOKUP(A33,Enforcements!$C$7:$K$13,8,0)</f>
        <v>#N/A</v>
      </c>
      <c r="AC33" s="53" t="e">
        <f>VLOOKUP(A33,Enforcements!$C$7:$E$13,3,0)</f>
        <v>#N/A</v>
      </c>
      <c r="AD33" s="54" t="str">
        <f t="shared" si="11"/>
        <v>0121-30</v>
      </c>
      <c r="AE33" s="80" t="str">
        <f t="shared" si="12"/>
        <v>aws s3 cp s3://rtdc.mdm.uploadarchive.raw/RTDC4026/ "%USERPROFILE%\AppData\Local\Temp\OnboardLogs"\RTDC4026\2017-05-30 --exclude "*" --recursive --include "*20170530*" &amp; "%USERPROFILE%\Documents\GitHub\mrs-test-scripts\Headless Mode &amp; Sideloading\WalkAndUnGZ.bat" "%USERPROFILE%\AppData\Local\Temp\OnboardLogs"\RTDC4026\2017-05-30 &amp; aws s3 cp s3://rtdc.mdm.uploadarchive.raw/RTDC4026/ "%USERPROFILE%\AppData\Local\Temp\OnboardLogs"\RTDC4026\2017-05-31 --exclude "*" --recursive --include "*20170531*" &amp; "%USERPROFILE%\Documents\GitHub\mrs-test-scripts\Headless Mode &amp; Sideloading\WalkAndUnGZ.bat" "%USERPROFILE%\AppData\Local\Temp\OnboardLogs"\RTDC4026\2017-05-31</v>
      </c>
      <c r="AF33" s="77" t="str">
        <f t="shared" si="13"/>
        <v>"C:\Program Files (x86)\AstroGrep\AstroGrep.exe" /e /r /s /spath="%USERPROFILE%\AppData\Local\Temp\OnboardLogs" /stypes="app*4026*20170530*" /stext=" 12:.+((SYSTEM_STATE.+slice.+state.+changed )|(ment ac)|(multiple cpu faults)|(system.+state.+changed )|(\[timeout)|(PRM\|1\|D)|(kpr)|(kdp)|(train st.+moving)|(\|lc)|(penalty))"</v>
      </c>
      <c r="AG33" s="1" t="str">
        <f t="shared" si="14"/>
        <v>EC</v>
      </c>
      <c r="AH33" s="81" t="str">
        <f t="shared" si="19"/>
        <v>"%USERPROFILE%\Documents\GitHub\eaglep3\Utilities\RefineRTDCRunTimes.py" --tripid 121-30 --locoid 4026 --swversion DE.1.0.9.0 --startMP 204:451 --initTime 2017-05-30T06:07:48 --startdatetime 2017-05-30T06:15:11 --delay 1 --endMP 204:233331 --enddatetime 2017-05-30T06:50:42 --enforcementcount 0 &gt;&gt;C:\Users\stu\Documents\GitHub\eaglep3-reporting\EC\2017-05-30-refined-times.txt</v>
      </c>
      <c r="AI33" s="99" t="str">
        <f t="shared" si="20"/>
        <v>echo {"issue":{"subject":"","project_id":79,"tracker_id":40,"status_id":1,"priority_id":2,"assigned_to_id":23,"start_date":"2017-05-30","description":"","custom_fields":[{"id":1,"name":"Subdivision","value":"EC"},{"id":4,"name":"Milepost","value":"23.3331"},{"id":17,"name":"Train ID","value":"121-30"},{"id":16,"name":"Locomotive ID","value":"4026"},{"id":130,"name":"Impact","value":""},{"id":150,"name":"Time of Event (Mountain Time)","value":"06:50:42"},{"id":151,"name":"Denver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5" t="str">
        <f t="shared" si="21"/>
        <v>start /low /b %USERPROFILE%\Documents\GitHub\eaglep3\Utilities\DownloadLogsFromS3.py --loco 4026 --day 2017-05-30</v>
      </c>
      <c r="AN33" s="154" t="str">
        <f t="shared" si="22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12:50:42"},{"id":29,"name":"Sharepoint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706</v>
      </c>
      <c r="B34" s="7">
        <v>4025</v>
      </c>
      <c r="C34" s="21" t="s">
        <v>204</v>
      </c>
      <c r="D34" s="21" t="s">
        <v>878</v>
      </c>
      <c r="E34" s="13">
        <v>42885.288958333331</v>
      </c>
      <c r="F34" s="13">
        <v>42885.300243055557</v>
      </c>
      <c r="G34" s="7">
        <v>1</v>
      </c>
      <c r="H34" s="21" t="s">
        <v>444</v>
      </c>
      <c r="I34" s="13">
        <v>42885.325810185182</v>
      </c>
      <c r="J34" s="7">
        <v>0</v>
      </c>
      <c r="K34" s="92" t="str">
        <f t="shared" si="0"/>
        <v>4025/4026</v>
      </c>
      <c r="L34" s="21" t="str">
        <f>VLOOKUP(A34,'Trips&amp;Operators'!$C$1:$G$99999,5,FALSE)</f>
        <v>LALONDE GREGORY</v>
      </c>
      <c r="M34" s="6">
        <f t="shared" si="1"/>
        <v>2.5567129625414964E-2</v>
      </c>
      <c r="N34" s="7">
        <f t="shared" si="2"/>
        <v>36.816666660597548</v>
      </c>
      <c r="O34" s="7"/>
      <c r="P34" s="7"/>
      <c r="Q34" s="22"/>
      <c r="R34" s="173"/>
      <c r="S34" s="176">
        <f t="shared" si="3"/>
        <v>1</v>
      </c>
      <c r="T34" s="202" t="str">
        <f t="shared" si="4"/>
        <v>Southbound</v>
      </c>
      <c r="U34" s="202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03" t="str">
        <f t="shared" si="5"/>
        <v>https://d0f6bd738d7f1b3e5a7ca70fe4ff75f0.us-east-1.aws.found.io/app/kibana#/discover/Steve-Slow-Train-Analysis-(2080s-and-2083s)?_g=(refreshInterval:(display:Off,pause:!f,section:0,value:0),time:(from:'2017-05-30T05:56:06-0600',mode:absolute,to:'2017-05-30T08:49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34" s="204" t="str">
        <f t="shared" si="6"/>
        <v>N</v>
      </c>
      <c r="X34" s="204">
        <f t="shared" si="7"/>
        <v>1</v>
      </c>
      <c r="Y34" s="204">
        <f t="shared" si="8"/>
        <v>23.3034</v>
      </c>
      <c r="Z34" s="204">
        <f t="shared" si="9"/>
        <v>1.61E-2</v>
      </c>
      <c r="AA34" s="204">
        <f t="shared" si="10"/>
        <v>23.287299999999998</v>
      </c>
      <c r="AB34" s="57" t="e">
        <f>VLOOKUP(A34,Enforcements!$C$7:$K$13,8,0)</f>
        <v>#N/A</v>
      </c>
      <c r="AC34" s="53" t="e">
        <f>VLOOKUP(A34,Enforcements!$C$7:$E$13,3,0)</f>
        <v>#N/A</v>
      </c>
      <c r="AD34" s="54" t="str">
        <f t="shared" si="11"/>
        <v>0122-30</v>
      </c>
      <c r="AE34" s="80" t="str">
        <f t="shared" si="12"/>
        <v>aws s3 cp s3://rtdc.mdm.uploadarchive.raw/RTDC4025/ "%USERPROFILE%\AppData\Local\Temp\OnboardLogs"\RTDC4025\2017-05-30 --exclude "*" --recursive --include "*20170530*" &amp; "%USERPROFILE%\Documents\GitHub\mrs-test-scripts\Headless Mode &amp; Sideloading\WalkAndUnGZ.bat" "%USERPROFILE%\AppData\Local\Temp\OnboardLogs"\RTDC4025\2017-05-30 &amp; aws s3 cp s3://rtdc.mdm.uploadarchive.raw/RTDC4025/ "%USERPROFILE%\AppData\Local\Temp\OnboardLogs"\RTDC4025\2017-05-31 --exclude "*" --recursive --include "*20170531*" &amp; "%USERPROFILE%\Documents\GitHub\mrs-test-scripts\Headless Mode &amp; Sideloading\WalkAndUnGZ.bat" "%USERPROFILE%\AppData\Local\Temp\OnboardLogs"\RTDC4025\2017-05-31</v>
      </c>
      <c r="AF34" s="77" t="str">
        <f t="shared" si="13"/>
        <v>"C:\Program Files (x86)\AstroGrep\AstroGrep.exe" /e /r /s /spath="%USERPROFILE%\AppData\Local\Temp\OnboardLogs" /stypes="app*4025*20170530*" /stext=" 13:.+((SYSTEM_STATE.+slice.+state.+changed )|(ment ac)|(multiple cpu faults)|(system.+state.+changed )|(\[timeout)|(PRM\|1\|D)|(kpr)|(kdp)|(train st.+moving)|(\|lc)|(penalty))"</v>
      </c>
      <c r="AG34" s="1" t="str">
        <f t="shared" si="14"/>
        <v>EC</v>
      </c>
      <c r="AH34" s="81" t="str">
        <f t="shared" si="19"/>
        <v>"%USERPROFILE%\Documents\GitHub\eaglep3\Utilities\RefineRTDCRunTimes.py" --tripid 122-30 --locoid 4025 --swversion DE.1.0.9.0 --startMP 204:233034 --initTime 2017-05-30T06:56:06 --startdatetime 2017-05-30T07:12:21 --delay 1 --endMP 204:161 --enddatetime 2017-05-30T07:49:10 --enforcementcount 0 &gt;&gt;C:\Users\stu\Documents\GitHub\eaglep3-reporting\EC\2017-05-30-refined-times.txt</v>
      </c>
      <c r="AI34" s="99" t="str">
        <f t="shared" si="20"/>
        <v>echo {"issue":{"subject":"","project_id":79,"tracker_id":40,"status_id":1,"priority_id":2,"assigned_to_id":23,"start_date":"2017-05-30","description":"","custom_fields":[{"id":1,"name":"Subdivision","value":"EC"},{"id":4,"name":"Milepost","value":"0.0161"},{"id":17,"name":"Train ID","value":"122-30"},{"id":16,"name":"Locomotive ID","value":"4025"},{"id":130,"name":"Impact","value":""},{"id":150,"name":"Time of Event (Mountain Time)","value":"07:49:10"},{"id":151,"name":"Denver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5" t="str">
        <f t="shared" si="21"/>
        <v>start /low /b %USERPROFILE%\Documents\GitHub\eaglep3\Utilities\DownloadLogsFromS3.py --loco 4025 --day 2017-05-30</v>
      </c>
      <c r="AN34" s="154" t="str">
        <f t="shared" si="22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13:49:10"},{"id":29,"name":"Sharepoint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699</v>
      </c>
      <c r="B35" s="7">
        <v>4008</v>
      </c>
      <c r="C35" s="21" t="s">
        <v>204</v>
      </c>
      <c r="D35" s="21" t="s">
        <v>345</v>
      </c>
      <c r="E35" s="13">
        <v>42885.268622685187</v>
      </c>
      <c r="F35" s="13">
        <v>42885.271469907406</v>
      </c>
      <c r="G35" s="7">
        <v>1</v>
      </c>
      <c r="H35" s="21" t="s">
        <v>879</v>
      </c>
      <c r="I35" s="13">
        <v>42885.295497685183</v>
      </c>
      <c r="J35" s="7">
        <v>0</v>
      </c>
      <c r="K35" s="92" t="str">
        <f t="shared" si="0"/>
        <v>4007/4008</v>
      </c>
      <c r="L35" s="21" t="str">
        <f>VLOOKUP(A35,'Trips&amp;Operators'!$C$1:$G$99999,5,FALSE)</f>
        <v>MACDONALD THOMAS</v>
      </c>
      <c r="M35" s="6">
        <f t="shared" si="1"/>
        <v>2.4027777777519077E-2</v>
      </c>
      <c r="N35" s="7">
        <f t="shared" si="2"/>
        <v>34.599999999627471</v>
      </c>
      <c r="O35" s="7"/>
      <c r="P35" s="7"/>
      <c r="Q35" s="22"/>
      <c r="R35" s="173"/>
      <c r="S35" s="176">
        <f t="shared" si="3"/>
        <v>1</v>
      </c>
      <c r="T35" s="202" t="str">
        <f t="shared" si="4"/>
        <v>NorthBound</v>
      </c>
      <c r="U35" s="202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03" t="str">
        <f t="shared" si="5"/>
        <v>https://d0f6bd738d7f1b3e5a7ca70fe4ff75f0.us-east-1.aws.found.io/app/kibana#/discover/Steve-Slow-Train-Analysis-(2080s-and-2083s)?_g=(refreshInterval:(display:Off,pause:!f,section:0,value:0),time:(from:'2017-05-30T05:26:49-0600',mode:absolute,to:'2017-05-30T08:05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35" s="204" t="str">
        <f t="shared" si="6"/>
        <v>N</v>
      </c>
      <c r="X35" s="204">
        <f t="shared" si="7"/>
        <v>1</v>
      </c>
      <c r="Y35" s="204">
        <f t="shared" si="8"/>
        <v>4.4900000000000002E-2</v>
      </c>
      <c r="Z35" s="204">
        <f t="shared" si="9"/>
        <v>23.3322</v>
      </c>
      <c r="AA35" s="204">
        <f t="shared" si="10"/>
        <v>23.287300000000002</v>
      </c>
      <c r="AB35" s="57" t="e">
        <f>VLOOKUP(A35,Enforcements!$C$7:$K$13,8,0)</f>
        <v>#N/A</v>
      </c>
      <c r="AC35" s="53" t="e">
        <f>VLOOKUP(A35,Enforcements!$C$7:$E$13,3,0)</f>
        <v>#N/A</v>
      </c>
      <c r="AD35" s="54" t="str">
        <f t="shared" si="11"/>
        <v>0123-30</v>
      </c>
      <c r="AE35" s="80" t="str">
        <f t="shared" si="12"/>
        <v>aws s3 cp s3://rtdc.mdm.uploadarchive.raw/RTDC4008/ "%USERPROFILE%\AppData\Local\Temp\OnboardLogs"\RTDC4008\2017-05-30 --exclude "*" --recursive --include "*20170530*" &amp; "%USERPROFILE%\Documents\GitHub\mrs-test-scripts\Headless Mode &amp; Sideloading\WalkAndUnGZ.bat" "%USERPROFILE%\AppData\Local\Temp\OnboardLogs"\RTDC4008\2017-05-30 &amp; aws s3 cp s3://rtdc.mdm.uploadarchive.raw/RTDC4008/ "%USERPROFILE%\AppData\Local\Temp\OnboardLogs"\RTDC4008\2017-05-31 --exclude "*" --recursive --include "*20170531*" &amp; "%USERPROFILE%\Documents\GitHub\mrs-test-scripts\Headless Mode &amp; Sideloading\WalkAndUnGZ.bat" "%USERPROFILE%\AppData\Local\Temp\OnboardLogs"\RTDC4008\2017-05-31</v>
      </c>
      <c r="AF35" s="77" t="str">
        <f t="shared" si="13"/>
        <v>"C:\Program Files (x86)\AstroGrep\AstroGrep.exe" /e /r /s /spath="%USERPROFILE%\AppData\Local\Temp\OnboardLogs" /stypes="app*4008*20170530*" /stext=" 13:.+((SYSTEM_STATE.+slice.+state.+changed )|(ment ac)|(multiple cpu faults)|(system.+state.+changed )|(\[timeout)|(PRM\|1\|D)|(kpr)|(kdp)|(train st.+moving)|(\|lc)|(penalty))"</v>
      </c>
      <c r="AG35" s="1" t="str">
        <f t="shared" si="14"/>
        <v>EC</v>
      </c>
      <c r="AH35" s="81" t="str">
        <f t="shared" si="19"/>
        <v>"%USERPROFILE%\Documents\GitHub\eaglep3\Utilities\RefineRTDCRunTimes.py" --tripid 123-30 --locoid 4008 --swversion DE.1.0.9.0 --startMP 204:449 --initTime 2017-05-30T06:26:49 --startdatetime 2017-05-30T06:30:55 --delay 1 --endMP 204:233322 --enddatetime 2017-05-30T07:05:31 --enforcementcount 0 &gt;&gt;C:\Users\stu\Documents\GitHub\eaglep3-reporting\EC\2017-05-30-refined-times.txt</v>
      </c>
      <c r="AI35" s="99" t="str">
        <f t="shared" si="20"/>
        <v>echo {"issue":{"subject":"","project_id":79,"tracker_id":40,"status_id":1,"priority_id":2,"assigned_to_id":23,"start_date":"2017-05-30","description":"","custom_fields":[{"id":1,"name":"Subdivision","value":"EC"},{"id":4,"name":"Milepost","value":"23.3322"},{"id":17,"name":"Train ID","value":"123-30"},{"id":16,"name":"Locomotive ID","value":"4008"},{"id":130,"name":"Impact","value":""},{"id":150,"name":"Time of Event (Mountain Time)","value":"07:05:31"},{"id":151,"name":"Denver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5" t="str">
        <f t="shared" si="21"/>
        <v>start /low /b %USERPROFILE%\Documents\GitHub\eaglep3\Utilities\DownloadLogsFromS3.py --loco 4008 --day 2017-05-30</v>
      </c>
      <c r="AN35" s="154" t="str">
        <f t="shared" si="22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13:05:31"},{"id":29,"name":"Sharepoint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710</v>
      </c>
      <c r="B36" s="7">
        <v>4007</v>
      </c>
      <c r="C36" s="21" t="s">
        <v>204</v>
      </c>
      <c r="D36" s="21" t="s">
        <v>880</v>
      </c>
      <c r="E36" s="13">
        <v>42885.309351851851</v>
      </c>
      <c r="F36" s="13">
        <v>42885.310671296298</v>
      </c>
      <c r="G36" s="7">
        <v>1</v>
      </c>
      <c r="H36" s="21" t="s">
        <v>195</v>
      </c>
      <c r="I36" s="13">
        <v>42885.337326388886</v>
      </c>
      <c r="J36" s="7">
        <v>0</v>
      </c>
      <c r="K36" s="92" t="str">
        <f t="shared" si="0"/>
        <v>4007/4008</v>
      </c>
      <c r="L36" s="21" t="str">
        <f>VLOOKUP(A36,'Trips&amp;Operators'!$C$1:$G$99999,5,FALSE)</f>
        <v>MACDONALD THOMAS</v>
      </c>
      <c r="M36" s="6">
        <f t="shared" si="1"/>
        <v>2.6655092588043772E-2</v>
      </c>
      <c r="N36" s="7">
        <f t="shared" si="2"/>
        <v>38.383333326783031</v>
      </c>
      <c r="O36" s="7"/>
      <c r="P36" s="7"/>
      <c r="Q36" s="22"/>
      <c r="R36" s="173"/>
      <c r="S36" s="176">
        <f t="shared" si="3"/>
        <v>1</v>
      </c>
      <c r="T36" s="202" t="str">
        <f t="shared" si="4"/>
        <v>Southbound</v>
      </c>
      <c r="U36" s="202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03" t="str">
        <f t="shared" si="5"/>
        <v>https://d0f6bd738d7f1b3e5a7ca70fe4ff75f0.us-east-1.aws.found.io/app/kibana#/discover/Steve-Slow-Train-Analysis-(2080s-and-2083s)?_g=(refreshInterval:(display:Off,pause:!f,section:0,value:0),time:(from:'2017-05-30T06:25:28-0600',mode:absolute,to:'2017-05-30T09:05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36" s="204" t="str">
        <f t="shared" si="6"/>
        <v>N</v>
      </c>
      <c r="X36" s="204">
        <f t="shared" si="7"/>
        <v>1</v>
      </c>
      <c r="Y36" s="204">
        <f t="shared" si="8"/>
        <v>23.300699999999999</v>
      </c>
      <c r="Z36" s="204">
        <f t="shared" si="9"/>
        <v>1.52E-2</v>
      </c>
      <c r="AA36" s="204">
        <f t="shared" si="10"/>
        <v>23.285499999999999</v>
      </c>
      <c r="AB36" s="57" t="e">
        <f>VLOOKUP(A36,Enforcements!$C$7:$K$13,8,0)</f>
        <v>#N/A</v>
      </c>
      <c r="AC36" s="53" t="e">
        <f>VLOOKUP(A36,Enforcements!$C$7:$E$13,3,0)</f>
        <v>#N/A</v>
      </c>
      <c r="AD36" s="54" t="str">
        <f t="shared" si="11"/>
        <v>0124-30</v>
      </c>
      <c r="AE36" s="80" t="str">
        <f t="shared" si="12"/>
        <v>aws s3 cp s3://rtdc.mdm.uploadarchive.raw/RTDC4007/ "%USERPROFILE%\AppData\Local\Temp\OnboardLogs"\RTDC4007\2017-05-30 --exclude "*" --recursive --include "*20170530*" &amp; "%USERPROFILE%\Documents\GitHub\mrs-test-scripts\Headless Mode &amp; Sideloading\WalkAndUnGZ.bat" "%USERPROFILE%\AppData\Local\Temp\OnboardLogs"\RTDC4007\2017-05-30 &amp; aws s3 cp s3://rtdc.mdm.uploadarchive.raw/RTDC4007/ "%USERPROFILE%\AppData\Local\Temp\OnboardLogs"\RTDC4007\2017-05-31 --exclude "*" --recursive --include "*20170531*" &amp; "%USERPROFILE%\Documents\GitHub\mrs-test-scripts\Headless Mode &amp; Sideloading\WalkAndUnGZ.bat" "%USERPROFILE%\AppData\Local\Temp\OnboardLogs"\RTDC4007\2017-05-31</v>
      </c>
      <c r="AF36" s="77" t="str">
        <f t="shared" si="13"/>
        <v>"C:\Program Files (x86)\AstroGrep\AstroGrep.exe" /e /r /s /spath="%USERPROFILE%\AppData\Local\Temp\OnboardLogs" /stypes="app*4007*20170530*" /stext=" 14:.+((SYSTEM_STATE.+slice.+state.+changed )|(ment ac)|(multiple cpu faults)|(system.+state.+changed )|(\[timeout)|(PRM\|1\|D)|(kpr)|(kdp)|(train st.+moving)|(\|lc)|(penalty))"</v>
      </c>
      <c r="AG36" s="1" t="str">
        <f t="shared" si="14"/>
        <v>EC</v>
      </c>
      <c r="AH36" s="81" t="str">
        <f t="shared" si="19"/>
        <v>"%USERPROFILE%\Documents\GitHub\eaglep3\Utilities\RefineRTDCRunTimes.py" --tripid 124-30 --locoid 4007 --swversion DE.1.0.9.0 --startMP 204:233007 --initTime 2017-05-30T07:25:28 --startdatetime 2017-05-30T07:27:22 --delay 1 --endMP 204:152 --enddatetime 2017-05-30T08:05:45 --enforcementcount 0 &gt;&gt;C:\Users\stu\Documents\GitHub\eaglep3-reporting\EC\2017-05-30-refined-times.txt</v>
      </c>
      <c r="AI36" s="99" t="str">
        <f t="shared" si="20"/>
        <v>echo {"issue":{"subject":"","project_id":79,"tracker_id":40,"status_id":1,"priority_id":2,"assigned_to_id":23,"start_date":"2017-05-30","description":"","custom_fields":[{"id":1,"name":"Subdivision","value":"EC"},{"id":4,"name":"Milepost","value":"0.0152"},{"id":17,"name":"Train ID","value":"124-30"},{"id":16,"name":"Locomotive ID","value":"4007"},{"id":130,"name":"Impact","value":""},{"id":150,"name":"Time of Event (Mountain Time)","value":"08:05:45"},{"id":151,"name":"Denver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5" t="str">
        <f t="shared" si="21"/>
        <v>start /low /b %USERPROFILE%\Documents\GitHub\eaglep3\Utilities\DownloadLogsFromS3.py --loco 4007 --day 2017-05-30</v>
      </c>
      <c r="AN36" s="154" t="str">
        <f t="shared" si="22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14:05:45"},{"id":29,"name":"Sharepoint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701</v>
      </c>
      <c r="B37" s="7">
        <v>4032</v>
      </c>
      <c r="C37" s="21" t="s">
        <v>204</v>
      </c>
      <c r="D37" s="21" t="s">
        <v>358</v>
      </c>
      <c r="E37" s="13">
        <v>42885.277418981481</v>
      </c>
      <c r="F37" s="13">
        <v>42885.281423611108</v>
      </c>
      <c r="G37" s="7">
        <v>1</v>
      </c>
      <c r="H37" s="21" t="s">
        <v>525</v>
      </c>
      <c r="I37" s="13">
        <v>42885.306793981479</v>
      </c>
      <c r="J37" s="7">
        <v>0</v>
      </c>
      <c r="K37" s="92" t="str">
        <f t="shared" si="0"/>
        <v>4031/4032</v>
      </c>
      <c r="L37" s="21" t="str">
        <f>VLOOKUP(A37,'Trips&amp;Operators'!$C$1:$G$99999,5,FALSE)</f>
        <v>STARKS ANGELINA</v>
      </c>
      <c r="M37" s="6">
        <f t="shared" si="1"/>
        <v>2.5370370371092577E-2</v>
      </c>
      <c r="N37" s="7">
        <f t="shared" si="2"/>
        <v>36.53333333437331</v>
      </c>
      <c r="O37" s="7"/>
      <c r="P37" s="7"/>
      <c r="Q37" s="22"/>
      <c r="R37" s="173"/>
      <c r="S37" s="176">
        <f t="shared" si="3"/>
        <v>1</v>
      </c>
      <c r="T37" s="202" t="str">
        <f t="shared" si="4"/>
        <v>NorthBound</v>
      </c>
      <c r="U37" s="202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03" t="str">
        <f t="shared" si="5"/>
        <v>https://d0f6bd738d7f1b3e5a7ca70fe4ff75f0.us-east-1.aws.found.io/app/kibana#/discover/Steve-Slow-Train-Analysis-(2080s-and-2083s)?_g=(refreshInterval:(display:Off,pause:!f,section:0,value:0),time:(from:'2017-05-30T05:39:29-0600',mode:absolute,to:'2017-05-30T08:21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37" s="204" t="str">
        <f t="shared" si="6"/>
        <v>N</v>
      </c>
      <c r="X37" s="204">
        <f t="shared" si="7"/>
        <v>1</v>
      </c>
      <c r="Y37" s="204">
        <f t="shared" si="8"/>
        <v>4.6399999999999997E-2</v>
      </c>
      <c r="Z37" s="204">
        <f t="shared" si="9"/>
        <v>23.3291</v>
      </c>
      <c r="AA37" s="204">
        <f t="shared" si="10"/>
        <v>23.282700000000002</v>
      </c>
      <c r="AB37" s="57" t="e">
        <f>VLOOKUP(A37,Enforcements!$C$7:$K$13,8,0)</f>
        <v>#N/A</v>
      </c>
      <c r="AC37" s="53" t="e">
        <f>VLOOKUP(A37,Enforcements!$C$7:$E$13,3,0)</f>
        <v>#N/A</v>
      </c>
      <c r="AD37" s="54" t="str">
        <f t="shared" si="11"/>
        <v>0125-30</v>
      </c>
      <c r="AE37" s="80" t="str">
        <f t="shared" si="12"/>
        <v>aws s3 cp s3://rtdc.mdm.uploadarchive.raw/RTDC4032/ "%USERPROFILE%\AppData\Local\Temp\OnboardLogs"\RTDC4032\2017-05-30 --exclude "*" --recursive --include "*20170530*" &amp; "%USERPROFILE%\Documents\GitHub\mrs-test-scripts\Headless Mode &amp; Sideloading\WalkAndUnGZ.bat" "%USERPROFILE%\AppData\Local\Temp\OnboardLogs"\RTDC4032\2017-05-30 &amp; aws s3 cp s3://rtdc.mdm.uploadarchive.raw/RTDC4032/ "%USERPROFILE%\AppData\Local\Temp\OnboardLogs"\RTDC4032\2017-05-31 --exclude "*" --recursive --include "*20170531*" &amp; "%USERPROFILE%\Documents\GitHub\mrs-test-scripts\Headless Mode &amp; Sideloading\WalkAndUnGZ.bat" "%USERPROFILE%\AppData\Local\Temp\OnboardLogs"\RTDC4032\2017-05-31</v>
      </c>
      <c r="AF37" s="77" t="str">
        <f t="shared" si="13"/>
        <v>"C:\Program Files (x86)\AstroGrep\AstroGrep.exe" /e /r /s /spath="%USERPROFILE%\AppData\Local\Temp\OnboardLogs" /stypes="app*4032*20170530*" /stext=" 13:.+((SYSTEM_STATE.+slice.+state.+changed )|(ment ac)|(multiple cpu faults)|(system.+state.+changed )|(\[timeout)|(PRM\|1\|D)|(kpr)|(kdp)|(train st.+moving)|(\|lc)|(penalty))"</v>
      </c>
      <c r="AG37" s="1" t="str">
        <f t="shared" si="14"/>
        <v>EC</v>
      </c>
      <c r="AH37" s="81" t="str">
        <f t="shared" si="19"/>
        <v>"%USERPROFILE%\Documents\GitHub\eaglep3\Utilities\RefineRTDCRunTimes.py" --tripid 125-30 --locoid 4032 --swversion DE.1.0.9.0 --startMP 204:464 --initTime 2017-05-30T06:39:29 --startdatetime 2017-05-30T06:45:15 --delay 1 --endMP 204:233291 --enddatetime 2017-05-30T07:21:47 --enforcementcount 0 &gt;&gt;C:\Users\stu\Documents\GitHub\eaglep3-reporting\EC\2017-05-30-refined-times.txt</v>
      </c>
      <c r="AI37" s="99" t="str">
        <f t="shared" si="20"/>
        <v>echo {"issue":{"subject":"","project_id":79,"tracker_id":40,"status_id":1,"priority_id":2,"assigned_to_id":23,"start_date":"2017-05-30","description":"","custom_fields":[{"id":1,"name":"Subdivision","value":"EC"},{"id":4,"name":"Milepost","value":"23.3291"},{"id":17,"name":"Train ID","value":"125-30"},{"id":16,"name":"Locomotive ID","value":"4032"},{"id":130,"name":"Impact","value":""},{"id":150,"name":"Time of Event (Mountain Time)","value":"07:21:47"},{"id":151,"name":"Denver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5" t="str">
        <f t="shared" si="21"/>
        <v>start /low /b %USERPROFILE%\Documents\GitHub\eaglep3\Utilities\DownloadLogsFromS3.py --loco 4032 --day 2017-05-30</v>
      </c>
      <c r="AN37" s="154" t="str">
        <f t="shared" si="22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13:21:47"},{"id":29,"name":"Sharepoint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711</v>
      </c>
      <c r="B38" s="7">
        <v>4031</v>
      </c>
      <c r="C38" s="21" t="s">
        <v>204</v>
      </c>
      <c r="D38" s="21" t="s">
        <v>881</v>
      </c>
      <c r="E38" s="13">
        <v>42885.309421296297</v>
      </c>
      <c r="F38" s="13">
        <v>42885.321168981478</v>
      </c>
      <c r="G38" s="7">
        <v>1</v>
      </c>
      <c r="H38" s="21" t="s">
        <v>354</v>
      </c>
      <c r="I38" s="13">
        <v>42885.348877314813</v>
      </c>
      <c r="J38" s="7">
        <v>0</v>
      </c>
      <c r="K38" s="92" t="str">
        <f t="shared" si="0"/>
        <v>4031/4032</v>
      </c>
      <c r="L38" s="21" t="str">
        <f>VLOOKUP(A38,'Trips&amp;Operators'!$C$1:$G$99999,5,FALSE)</f>
        <v>STARKS ANGELINA</v>
      </c>
      <c r="M38" s="6">
        <f t="shared" si="1"/>
        <v>2.7708333334885538E-2</v>
      </c>
      <c r="N38" s="7">
        <f t="shared" si="2"/>
        <v>39.900000002235174</v>
      </c>
      <c r="O38" s="7"/>
      <c r="P38" s="7"/>
      <c r="Q38" s="22"/>
      <c r="R38" s="173"/>
      <c r="S38" s="176">
        <f t="shared" si="3"/>
        <v>1</v>
      </c>
      <c r="T38" s="202" t="str">
        <f t="shared" si="4"/>
        <v>Southbound</v>
      </c>
      <c r="U38" s="202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03" t="str">
        <f t="shared" si="5"/>
        <v>https://d0f6bd738d7f1b3e5a7ca70fe4ff75f0.us-east-1.aws.found.io/app/kibana#/discover/Steve-Slow-Train-Analysis-(2080s-and-2083s)?_g=(refreshInterval:(display:Off,pause:!f,section:0,value:0),time:(from:'2017-05-30T06:25:34-0600',mode:absolute,to:'2017-05-30T09:22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38" s="204" t="str">
        <f t="shared" si="6"/>
        <v>N</v>
      </c>
      <c r="X38" s="204">
        <f t="shared" si="7"/>
        <v>1</v>
      </c>
      <c r="Y38" s="204">
        <f t="shared" si="8"/>
        <v>23.297899999999998</v>
      </c>
      <c r="Z38" s="204">
        <f t="shared" si="9"/>
        <v>1.43E-2</v>
      </c>
      <c r="AA38" s="204">
        <f t="shared" si="10"/>
        <v>23.2836</v>
      </c>
      <c r="AB38" s="57" t="e">
        <f>VLOOKUP(A38,Enforcements!$C$7:$K$13,8,0)</f>
        <v>#N/A</v>
      </c>
      <c r="AC38" s="53" t="e">
        <f>VLOOKUP(A38,Enforcements!$C$7:$E$13,3,0)</f>
        <v>#N/A</v>
      </c>
      <c r="AD38" s="54" t="str">
        <f t="shared" si="11"/>
        <v>0126-30</v>
      </c>
      <c r="AE38" s="80" t="str">
        <f t="shared" si="12"/>
        <v>aws s3 cp s3://rtdc.mdm.uploadarchive.raw/RTDC4031/ "%USERPROFILE%\AppData\Local\Temp\OnboardLogs"\RTDC4031\2017-05-30 --exclude "*" --recursive --include "*20170530*" &amp; "%USERPROFILE%\Documents\GitHub\mrs-test-scripts\Headless Mode &amp; Sideloading\WalkAndUnGZ.bat" "%USERPROFILE%\AppData\Local\Temp\OnboardLogs"\RTDC4031\2017-05-30 &amp; aws s3 cp s3://rtdc.mdm.uploadarchive.raw/RTDC4031/ "%USERPROFILE%\AppData\Local\Temp\OnboardLogs"\RTDC4031\2017-05-31 --exclude "*" --recursive --include "*20170531*" &amp; "%USERPROFILE%\Documents\GitHub\mrs-test-scripts\Headless Mode &amp; Sideloading\WalkAndUnGZ.bat" "%USERPROFILE%\AppData\Local\Temp\OnboardLogs"\RTDC4031\2017-05-31</v>
      </c>
      <c r="AF38" s="77" t="str">
        <f t="shared" si="13"/>
        <v>"C:\Program Files (x86)\AstroGrep\AstroGrep.exe" /e /r /s /spath="%USERPROFILE%\AppData\Local\Temp\OnboardLogs" /stypes="app*4031*20170530*" /stext=" 14:.+((SYSTEM_STATE.+slice.+state.+changed )|(ment ac)|(multiple cpu faults)|(system.+state.+changed )|(\[timeout)|(PRM\|1\|D)|(kpr)|(kdp)|(train st.+moving)|(\|lc)|(penalty))"</v>
      </c>
      <c r="AG38" s="1" t="str">
        <f t="shared" si="14"/>
        <v>EC</v>
      </c>
      <c r="AH38" s="81" t="str">
        <f t="shared" si="19"/>
        <v>"%USERPROFILE%\Documents\GitHub\eaglep3\Utilities\RefineRTDCRunTimes.py" --tripid 126-30 --locoid 4031 --swversion DE.1.0.9.0 --startMP 204:232979 --initTime 2017-05-30T07:25:34 --startdatetime 2017-05-30T07:42:29 --delay 1 --endMP 204:143 --enddatetime 2017-05-30T08:22:23 --enforcementcount 0 &gt;&gt;C:\Users\stu\Documents\GitHub\eaglep3-reporting\EC\2017-05-30-refined-times.txt</v>
      </c>
      <c r="AI38" s="99" t="str">
        <f t="shared" si="20"/>
        <v>echo {"issue":{"subject":"","project_id":79,"tracker_id":40,"status_id":1,"priority_id":2,"assigned_to_id":23,"start_date":"2017-05-30","description":"","custom_fields":[{"id":1,"name":"Subdivision","value":"EC"},{"id":4,"name":"Milepost","value":"0.0143"},{"id":17,"name":"Train ID","value":"126-30"},{"id":16,"name":"Locomotive ID","value":"4031"},{"id":130,"name":"Impact","value":""},{"id":150,"name":"Time of Event (Mountain Time)","value":"08:22:23"},{"id":151,"name":"Denver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5" t="str">
        <f t="shared" si="21"/>
        <v>start /low /b %USERPROFILE%\Documents\GitHub\eaglep3\Utilities\DownloadLogsFromS3.py --loco 4031 --day 2017-05-30</v>
      </c>
      <c r="AN38" s="154" t="str">
        <f t="shared" si="22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14:22:23"},{"id":29,"name":"Sharepoint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705</v>
      </c>
      <c r="B39" s="7">
        <v>4056</v>
      </c>
      <c r="C39" s="21" t="s">
        <v>204</v>
      </c>
      <c r="D39" s="21" t="s">
        <v>519</v>
      </c>
      <c r="E39" s="13">
        <v>42885.286203703705</v>
      </c>
      <c r="F39" s="13">
        <v>42885.291932870372</v>
      </c>
      <c r="G39" s="7">
        <v>1</v>
      </c>
      <c r="H39" s="21" t="s">
        <v>600</v>
      </c>
      <c r="I39" s="13">
        <v>42885.316134259258</v>
      </c>
      <c r="J39" s="7">
        <v>0</v>
      </c>
      <c r="K39" s="92" t="str">
        <f t="shared" si="0"/>
        <v>4055/4056</v>
      </c>
      <c r="L39" s="21" t="str">
        <f>VLOOKUP(A39,'Trips&amp;Operators'!$C$1:$G$99999,5,FALSE)</f>
        <v>LOZA FIDEL</v>
      </c>
      <c r="M39" s="6">
        <f t="shared" si="1"/>
        <v>2.4201388885558117E-2</v>
      </c>
      <c r="N39" s="7">
        <f t="shared" si="2"/>
        <v>34.849999995203689</v>
      </c>
      <c r="O39" s="7"/>
      <c r="P39" s="7"/>
      <c r="Q39" s="22"/>
      <c r="R39" s="173"/>
      <c r="S39" s="176">
        <f t="shared" si="3"/>
        <v>1</v>
      </c>
      <c r="T39" s="202" t="str">
        <f t="shared" si="4"/>
        <v>NorthBound</v>
      </c>
      <c r="U39" s="202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03" t="str">
        <f t="shared" si="5"/>
        <v>https://d0f6bd738d7f1b3e5a7ca70fe4ff75f0.us-east-1.aws.found.io/app/kibana#/discover/Steve-Slow-Train-Analysis-(2080s-and-2083s)?_g=(refreshInterval:(display:Off,pause:!f,section:0,value:0),time:(from:'2017-05-30T05:52:08-0600',mode:absolute,to:'2017-05-30T08:35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39" s="204" t="str">
        <f t="shared" si="6"/>
        <v>N</v>
      </c>
      <c r="X39" s="204">
        <f t="shared" si="7"/>
        <v>1</v>
      </c>
      <c r="Y39" s="204">
        <f t="shared" si="8"/>
        <v>4.6699999999999998E-2</v>
      </c>
      <c r="Z39" s="204">
        <f t="shared" si="9"/>
        <v>23.3309</v>
      </c>
      <c r="AA39" s="204">
        <f t="shared" si="10"/>
        <v>23.284199999999998</v>
      </c>
      <c r="AB39" s="57" t="e">
        <f>VLOOKUP(A39,Enforcements!$C$7:$K$13,8,0)</f>
        <v>#N/A</v>
      </c>
      <c r="AC39" s="53" t="e">
        <f>VLOOKUP(A39,Enforcements!$C$7:$E$13,3,0)</f>
        <v>#N/A</v>
      </c>
      <c r="AD39" s="54" t="str">
        <f t="shared" si="11"/>
        <v>0127-30</v>
      </c>
      <c r="AE39" s="80" t="str">
        <f t="shared" si="12"/>
        <v>aws s3 cp s3://rtdc.mdm.uploadarchive.raw/RTDC4056/ "%USERPROFILE%\AppData\Local\Temp\OnboardLogs"\RTDC4056\2017-05-30 --exclude "*" --recursive --include "*20170530*" &amp; "%USERPROFILE%\Documents\GitHub\mrs-test-scripts\Headless Mode &amp; Sideloading\WalkAndUnGZ.bat" "%USERPROFILE%\AppData\Local\Temp\OnboardLogs"\RTDC4056\2017-05-30 &amp; aws s3 cp s3://rtdc.mdm.uploadarchive.raw/RTDC4056/ "%USERPROFILE%\AppData\Local\Temp\OnboardLogs"\RTDC4056\2017-05-31 --exclude "*" --recursive --include "*20170531*" &amp; "%USERPROFILE%\Documents\GitHub\mrs-test-scripts\Headless Mode &amp; Sideloading\WalkAndUnGZ.bat" "%USERPROFILE%\AppData\Local\Temp\OnboardLogs"\RTDC4056\2017-05-31</v>
      </c>
      <c r="AF39" s="77" t="str">
        <f t="shared" si="13"/>
        <v>"C:\Program Files (x86)\AstroGrep\AstroGrep.exe" /e /r /s /spath="%USERPROFILE%\AppData\Local\Temp\OnboardLogs" /stypes="app*4056*20170530*" /stext=" 13:.+((SYSTEM_STATE.+slice.+state.+changed )|(ment ac)|(multiple cpu faults)|(system.+state.+changed )|(\[timeout)|(PRM\|1\|D)|(kpr)|(kdp)|(train st.+moving)|(\|lc)|(penalty))"</v>
      </c>
      <c r="AG39" s="1" t="str">
        <f t="shared" si="14"/>
        <v>EC</v>
      </c>
      <c r="AH39" s="81" t="str">
        <f t="shared" si="19"/>
        <v>"%USERPROFILE%\Documents\GitHub\eaglep3\Utilities\RefineRTDCRunTimes.py" --tripid 127-30 --locoid 4056 --swversion DE.1.0.9.0 --startMP 204:467 --initTime 2017-05-30T06:52:08 --startdatetime 2017-05-30T07:00:23 --delay 1 --endMP 204:233309 --enddatetime 2017-05-30T07:35:14 --enforcementcount 0 &gt;&gt;C:\Users\stu\Documents\GitHub\eaglep3-reporting\EC\2017-05-30-refined-times.txt</v>
      </c>
      <c r="AI39" s="99" t="str">
        <f t="shared" si="20"/>
        <v>echo {"issue":{"subject":"","project_id":79,"tracker_id":40,"status_id":1,"priority_id":2,"assigned_to_id":23,"start_date":"2017-05-30","description":"","custom_fields":[{"id":1,"name":"Subdivision","value":"EC"},{"id":4,"name":"Milepost","value":"23.3309"},{"id":17,"name":"Train ID","value":"127-30"},{"id":16,"name":"Locomotive ID","value":"4056"},{"id":130,"name":"Impact","value":""},{"id":150,"name":"Time of Event (Mountain Time)","value":"07:35:14"},{"id":151,"name":"Denver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5" t="str">
        <f t="shared" si="21"/>
        <v>start /low /b %USERPROFILE%\Documents\GitHub\eaglep3\Utilities\DownloadLogsFromS3.py --loco 4056 --day 2017-05-30</v>
      </c>
      <c r="AN39" s="154" t="str">
        <f t="shared" si="22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13:35:14"},{"id":29,"name":"Sharepoint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715</v>
      </c>
      <c r="B40" s="7">
        <v>4055</v>
      </c>
      <c r="C40" s="21" t="s">
        <v>204</v>
      </c>
      <c r="D40" s="21" t="s">
        <v>526</v>
      </c>
      <c r="E40" s="13">
        <v>42885.329155092593</v>
      </c>
      <c r="F40" s="13">
        <v>42885.331435185188</v>
      </c>
      <c r="G40" s="7">
        <v>1</v>
      </c>
      <c r="H40" s="21" t="s">
        <v>405</v>
      </c>
      <c r="I40" s="13">
        <v>42885.357847222222</v>
      </c>
      <c r="J40" s="7">
        <v>0</v>
      </c>
      <c r="K40" s="92" t="str">
        <f t="shared" si="0"/>
        <v>4055/4056</v>
      </c>
      <c r="L40" s="21" t="str">
        <f>VLOOKUP(A40,'Trips&amp;Operators'!$C$1:$G$99999,5,FALSE)</f>
        <v>LOZA FIDEL</v>
      </c>
      <c r="M40" s="6">
        <f t="shared" si="1"/>
        <v>2.6412037033878732E-2</v>
      </c>
      <c r="N40" s="7">
        <f t="shared" si="2"/>
        <v>38.033333328785375</v>
      </c>
      <c r="O40" s="7"/>
      <c r="P40" s="7"/>
      <c r="Q40" s="22"/>
      <c r="R40" s="173"/>
      <c r="S40" s="176">
        <f t="shared" si="3"/>
        <v>1</v>
      </c>
      <c r="T40" s="202" t="str">
        <f t="shared" si="4"/>
        <v>Southbound</v>
      </c>
      <c r="U40" s="202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03" t="str">
        <f t="shared" si="5"/>
        <v>https://d0f6bd738d7f1b3e5a7ca70fe4ff75f0.us-east-1.aws.found.io/app/kibana#/discover/Steve-Slow-Train-Analysis-(2080s-and-2083s)?_g=(refreshInterval:(display:Off,pause:!f,section:0,value:0),time:(from:'2017-05-30T06:53:59-0600',mode:absolute,to:'2017-05-30T09:35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40" s="204" t="str">
        <f t="shared" si="6"/>
        <v>N</v>
      </c>
      <c r="X40" s="204">
        <f t="shared" si="7"/>
        <v>1</v>
      </c>
      <c r="Y40" s="204">
        <f t="shared" si="8"/>
        <v>23.2986</v>
      </c>
      <c r="Z40" s="204">
        <f t="shared" si="9"/>
        <v>1.54E-2</v>
      </c>
      <c r="AA40" s="204">
        <f t="shared" si="10"/>
        <v>23.283200000000001</v>
      </c>
      <c r="AB40" s="57" t="e">
        <f>VLOOKUP(A40,Enforcements!$C$7:$K$13,8,0)</f>
        <v>#N/A</v>
      </c>
      <c r="AC40" s="53" t="e">
        <f>VLOOKUP(A40,Enforcements!$C$7:$E$13,3,0)</f>
        <v>#N/A</v>
      </c>
      <c r="AD40" s="54" t="str">
        <f t="shared" si="11"/>
        <v>0128-30</v>
      </c>
      <c r="AE40" s="80" t="str">
        <f t="shared" si="12"/>
        <v>aws s3 cp s3://rtdc.mdm.uploadarchive.raw/RTDC4055/ "%USERPROFILE%\AppData\Local\Temp\OnboardLogs"\RTDC4055\2017-05-30 --exclude "*" --recursive --include "*20170530*" &amp; "%USERPROFILE%\Documents\GitHub\mrs-test-scripts\Headless Mode &amp; Sideloading\WalkAndUnGZ.bat" "%USERPROFILE%\AppData\Local\Temp\OnboardLogs"\RTDC4055\2017-05-30 &amp; aws s3 cp s3://rtdc.mdm.uploadarchive.raw/RTDC4055/ "%USERPROFILE%\AppData\Local\Temp\OnboardLogs"\RTDC4055\2017-05-31 --exclude "*" --recursive --include "*20170531*" &amp; "%USERPROFILE%\Documents\GitHub\mrs-test-scripts\Headless Mode &amp; Sideloading\WalkAndUnGZ.bat" "%USERPROFILE%\AppData\Local\Temp\OnboardLogs"\RTDC4055\2017-05-31</v>
      </c>
      <c r="AF40" s="77" t="str">
        <f t="shared" si="13"/>
        <v>"C:\Program Files (x86)\AstroGrep\AstroGrep.exe" /e /r /s /spath="%USERPROFILE%\AppData\Local\Temp\OnboardLogs" /stypes="app*4055*20170530*" /stext=" 14:.+((SYSTEM_STATE.+slice.+state.+changed )|(ment ac)|(multiple cpu faults)|(system.+state.+changed )|(\[timeout)|(PRM\|1\|D)|(kpr)|(kdp)|(train st.+moving)|(\|lc)|(penalty))"</v>
      </c>
      <c r="AG40" s="1" t="str">
        <f t="shared" si="14"/>
        <v>EC</v>
      </c>
      <c r="AH40" s="81" t="str">
        <f t="shared" si="19"/>
        <v>"%USERPROFILE%\Documents\GitHub\eaglep3\Utilities\RefineRTDCRunTimes.py" --tripid 128-30 --locoid 4055 --swversion DE.1.0.9.0 --startMP 204:232986 --initTime 2017-05-30T07:53:59 --startdatetime 2017-05-30T07:57:16 --delay 1 --endMP 204:154 --enddatetime 2017-05-30T08:35:18 --enforcementcount 0 &gt;&gt;C:\Users\stu\Documents\GitHub\eaglep3-reporting\EC\2017-05-30-refined-times.txt</v>
      </c>
      <c r="AI40" s="99" t="str">
        <f t="shared" si="20"/>
        <v>echo {"issue":{"subject":"","project_id":79,"tracker_id":40,"status_id":1,"priority_id":2,"assigned_to_id":23,"start_date":"2017-05-30","description":"","custom_fields":[{"id":1,"name":"Subdivision","value":"EC"},{"id":4,"name":"Milepost","value":"0.0154"},{"id":17,"name":"Train ID","value":"128-30"},{"id":16,"name":"Locomotive ID","value":"4055"},{"id":130,"name":"Impact","value":""},{"id":150,"name":"Time of Event (Mountain Time)","value":"08:35:18"},{"id":151,"name":"Denver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5" t="str">
        <f t="shared" si="21"/>
        <v>start /low /b %USERPROFILE%\Documents\GitHub\eaglep3\Utilities\DownloadLogsFromS3.py --loco 4055 --day 2017-05-30</v>
      </c>
      <c r="AN40" s="154" t="str">
        <f t="shared" si="22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14:35:18"},{"id":29,"name":"Sharepoint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708</v>
      </c>
      <c r="B41" s="7">
        <v>4020</v>
      </c>
      <c r="C41" s="21" t="s">
        <v>204</v>
      </c>
      <c r="D41" s="21" t="s">
        <v>495</v>
      </c>
      <c r="E41" s="13">
        <v>42885.298680555556</v>
      </c>
      <c r="F41" s="13">
        <v>42885.302546296298</v>
      </c>
      <c r="G41" s="7">
        <v>1</v>
      </c>
      <c r="H41" s="21" t="s">
        <v>882</v>
      </c>
      <c r="I41" s="13">
        <v>42885.328958333332</v>
      </c>
      <c r="J41" s="7">
        <v>0</v>
      </c>
      <c r="K41" s="92" t="str">
        <f t="shared" si="0"/>
        <v>4019/4020</v>
      </c>
      <c r="L41" s="21" t="str">
        <f>VLOOKUP(A41,'Trips&amp;Operators'!$C$1:$G$99999,5,FALSE)</f>
        <v>BONDS REYNALDO</v>
      </c>
      <c r="M41" s="6">
        <f t="shared" si="1"/>
        <v>2.6412037033878732E-2</v>
      </c>
      <c r="N41" s="7">
        <f t="shared" si="2"/>
        <v>38.033333328785375</v>
      </c>
      <c r="O41" s="7"/>
      <c r="P41" s="7"/>
      <c r="Q41" s="22"/>
      <c r="R41" s="173"/>
      <c r="S41" s="176">
        <f t="shared" si="3"/>
        <v>1</v>
      </c>
      <c r="T41" s="202" t="str">
        <f t="shared" si="4"/>
        <v>NorthBound</v>
      </c>
      <c r="U41" s="202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03" t="str">
        <f t="shared" si="5"/>
        <v>https://d0f6bd738d7f1b3e5a7ca70fe4ff75f0.us-east-1.aws.found.io/app/kibana#/discover/Steve-Slow-Train-Analysis-(2080s-and-2083s)?_g=(refreshInterval:(display:Off,pause:!f,section:0,value:0),time:(from:'2017-05-30T06:10:06-0600',mode:absolute,to:'2017-05-30T08:53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41" s="204" t="str">
        <f t="shared" si="6"/>
        <v>N</v>
      </c>
      <c r="X41" s="204">
        <f t="shared" si="7"/>
        <v>1</v>
      </c>
      <c r="Y41" s="204">
        <f t="shared" si="8"/>
        <v>4.3999999999999997E-2</v>
      </c>
      <c r="Z41" s="204">
        <f t="shared" si="9"/>
        <v>23.337199999999999</v>
      </c>
      <c r="AA41" s="204">
        <f t="shared" si="10"/>
        <v>23.293199999999999</v>
      </c>
      <c r="AB41" s="57" t="e">
        <f>VLOOKUP(A41,Enforcements!$C$7:$K$13,8,0)</f>
        <v>#N/A</v>
      </c>
      <c r="AC41" s="53" t="e">
        <f>VLOOKUP(A41,Enforcements!$C$7:$E$13,3,0)</f>
        <v>#N/A</v>
      </c>
      <c r="AD41" s="54" t="str">
        <f t="shared" si="11"/>
        <v>0129-30</v>
      </c>
      <c r="AE41" s="80" t="str">
        <f t="shared" si="12"/>
        <v>aws s3 cp s3://rtdc.mdm.uploadarchive.raw/RTDC4020/ "%USERPROFILE%\AppData\Local\Temp\OnboardLogs"\RTDC4020\2017-05-30 --exclude "*" --recursive --include "*20170530*" &amp; "%USERPROFILE%\Documents\GitHub\mrs-test-scripts\Headless Mode &amp; Sideloading\WalkAndUnGZ.bat" "%USERPROFILE%\AppData\Local\Temp\OnboardLogs"\RTDC4020\2017-05-30 &amp; aws s3 cp s3://rtdc.mdm.uploadarchive.raw/RTDC4020/ "%USERPROFILE%\AppData\Local\Temp\OnboardLogs"\RTDC4020\2017-05-31 --exclude "*" --recursive --include "*20170531*" &amp; "%USERPROFILE%\Documents\GitHub\mrs-test-scripts\Headless Mode &amp; Sideloading\WalkAndUnGZ.bat" "%USERPROFILE%\AppData\Local\Temp\OnboardLogs"\RTDC4020\2017-05-31</v>
      </c>
      <c r="AF41" s="77" t="str">
        <f t="shared" si="13"/>
        <v>"C:\Program Files (x86)\AstroGrep\AstroGrep.exe" /e /r /s /spath="%USERPROFILE%\AppData\Local\Temp\OnboardLogs" /stypes="app*4020*20170530*" /stext=" 13:.+((SYSTEM_STATE.+slice.+state.+changed )|(ment ac)|(multiple cpu faults)|(system.+state.+changed )|(\[timeout)|(PRM\|1\|D)|(kpr)|(kdp)|(train st.+moving)|(\|lc)|(penalty))"</v>
      </c>
      <c r="AG41" s="1" t="str">
        <f t="shared" si="14"/>
        <v>EC</v>
      </c>
      <c r="AH41" s="81" t="str">
        <f t="shared" si="19"/>
        <v>"%USERPROFILE%\Documents\GitHub\eaglep3\Utilities\RefineRTDCRunTimes.py" --tripid 129-30 --locoid 4020 --swversion DE.1.0.9.0 --startMP 204:440 --initTime 2017-05-30T07:10:06 --startdatetime 2017-05-30T07:15:40 --delay 1 --endMP 204:233372 --enddatetime 2017-05-30T07:53:42 --enforcementcount 0 &gt;&gt;C:\Users\stu\Documents\GitHub\eaglep3-reporting\EC\2017-05-30-refined-times.txt</v>
      </c>
      <c r="AI41" s="99" t="str">
        <f t="shared" si="20"/>
        <v>echo {"issue":{"subject":"","project_id":79,"tracker_id":40,"status_id":1,"priority_id":2,"assigned_to_id":23,"start_date":"2017-05-30","description":"","custom_fields":[{"id":1,"name":"Subdivision","value":"EC"},{"id":4,"name":"Milepost","value":"23.3372"},{"id":17,"name":"Train ID","value":"129-30"},{"id":16,"name":"Locomotive ID","value":"4020"},{"id":130,"name":"Impact","value":""},{"id":150,"name":"Time of Event (Mountain Time)","value":"07:53:42"},{"id":151,"name":"Denver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5" t="str">
        <f t="shared" si="21"/>
        <v>start /low /b %USERPROFILE%\Documents\GitHub\eaglep3\Utilities\DownloadLogsFromS3.py --loco 4020 --day 2017-05-30</v>
      </c>
      <c r="AN41" s="154" t="str">
        <f t="shared" si="22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13:53:42"},{"id":29,"name":"Sharepoint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717</v>
      </c>
      <c r="B42" s="7">
        <v>4019</v>
      </c>
      <c r="C42" s="21" t="s">
        <v>204</v>
      </c>
      <c r="D42" s="21" t="s">
        <v>593</v>
      </c>
      <c r="E42" s="13">
        <v>42885.338460648149</v>
      </c>
      <c r="F42" s="13">
        <v>42885.341828703706</v>
      </c>
      <c r="G42" s="7">
        <v>1</v>
      </c>
      <c r="H42" s="21" t="s">
        <v>364</v>
      </c>
      <c r="I42" s="13">
        <v>42885.369189814817</v>
      </c>
      <c r="J42" s="7">
        <v>0</v>
      </c>
      <c r="K42" s="92" t="str">
        <f t="shared" si="0"/>
        <v>4019/4020</v>
      </c>
      <c r="L42" s="21" t="str">
        <f>VLOOKUP(A42,'Trips&amp;Operators'!$C$1:$G$99999,5,FALSE)</f>
        <v>BONDS REYNALDO</v>
      </c>
      <c r="M42" s="6">
        <f t="shared" si="1"/>
        <v>2.73611111115315E-2</v>
      </c>
      <c r="N42" s="7">
        <f t="shared" si="2"/>
        <v>39.40000000060536</v>
      </c>
      <c r="O42" s="7"/>
      <c r="P42" s="7"/>
      <c r="Q42" s="22"/>
      <c r="R42" s="173"/>
      <c r="S42" s="176">
        <f t="shared" si="3"/>
        <v>1</v>
      </c>
      <c r="T42" s="202" t="str">
        <f t="shared" si="4"/>
        <v>Southbound</v>
      </c>
      <c r="U42" s="202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03" t="str">
        <f t="shared" si="5"/>
        <v>https://d0f6bd738d7f1b3e5a7ca70fe4ff75f0.us-east-1.aws.found.io/app/kibana#/discover/Steve-Slow-Train-Analysis-(2080s-and-2083s)?_g=(refreshInterval:(display:Off,pause:!f,section:0,value:0),time:(from:'2017-05-30T07:07:23-0600',mode:absolute,to:'2017-05-30T09:51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42" s="204" t="str">
        <f t="shared" si="6"/>
        <v>N</v>
      </c>
      <c r="X42" s="204">
        <f t="shared" si="7"/>
        <v>1</v>
      </c>
      <c r="Y42" s="204">
        <f t="shared" si="8"/>
        <v>23.300799999999999</v>
      </c>
      <c r="Z42" s="204">
        <f t="shared" si="9"/>
        <v>1.41E-2</v>
      </c>
      <c r="AA42" s="204">
        <f t="shared" si="10"/>
        <v>23.2867</v>
      </c>
      <c r="AB42" s="57" t="e">
        <f>VLOOKUP(A42,Enforcements!$C$7:$K$13,8,0)</f>
        <v>#N/A</v>
      </c>
      <c r="AC42" s="53" t="e">
        <f>VLOOKUP(A42,Enforcements!$C$7:$E$13,3,0)</f>
        <v>#N/A</v>
      </c>
      <c r="AD42" s="54" t="str">
        <f t="shared" si="11"/>
        <v>0130-30</v>
      </c>
      <c r="AE42" s="80" t="str">
        <f t="shared" si="12"/>
        <v>aws s3 cp s3://rtdc.mdm.uploadarchive.raw/RTDC4019/ "%USERPROFILE%\AppData\Local\Temp\OnboardLogs"\RTDC4019\2017-05-30 --exclude "*" --recursive --include "*20170530*" &amp; "%USERPROFILE%\Documents\GitHub\mrs-test-scripts\Headless Mode &amp; Sideloading\WalkAndUnGZ.bat" "%USERPROFILE%\AppData\Local\Temp\OnboardLogs"\RTDC4019\2017-05-30 &amp; aws s3 cp s3://rtdc.mdm.uploadarchive.raw/RTDC4019/ "%USERPROFILE%\AppData\Local\Temp\OnboardLogs"\RTDC4019\2017-05-31 --exclude "*" --recursive --include "*20170531*" &amp; "%USERPROFILE%\Documents\GitHub\mrs-test-scripts\Headless Mode &amp; Sideloading\WalkAndUnGZ.bat" "%USERPROFILE%\AppData\Local\Temp\OnboardLogs"\RTDC4019\2017-05-31</v>
      </c>
      <c r="AF42" s="77" t="str">
        <f t="shared" si="13"/>
        <v>"C:\Program Files (x86)\AstroGrep\AstroGrep.exe" /e /r /s /spath="%USERPROFILE%\AppData\Local\Temp\OnboardLogs" /stypes="app*4019*20170530*" /stext=" 14:.+((SYSTEM_STATE.+slice.+state.+changed )|(ment ac)|(multiple cpu faults)|(system.+state.+changed )|(\[timeout)|(PRM\|1\|D)|(kpr)|(kdp)|(train st.+moving)|(\|lc)|(penalty))"</v>
      </c>
      <c r="AG42" s="1" t="str">
        <f t="shared" si="14"/>
        <v>EC</v>
      </c>
      <c r="AH42" s="81" t="str">
        <f t="shared" si="19"/>
        <v>"%USERPROFILE%\Documents\GitHub\eaglep3\Utilities\RefineRTDCRunTimes.py" --tripid 130-30 --locoid 4019 --swversion DE.1.0.9.0 --startMP 204:233008 --initTime 2017-05-30T08:07:23 --startdatetime 2017-05-30T08:12:14 --delay 1 --endMP 204:141 --enddatetime 2017-05-30T08:51:38 --enforcementcount 0 &gt;&gt;C:\Users\stu\Documents\GitHub\eaglep3-reporting\EC\2017-05-30-refined-times.txt</v>
      </c>
      <c r="AI42" s="99" t="str">
        <f t="shared" si="20"/>
        <v>echo {"issue":{"subject":"","project_id":79,"tracker_id":40,"status_id":1,"priority_id":2,"assigned_to_id":23,"start_date":"2017-05-30","description":"","custom_fields":[{"id":1,"name":"Subdivision","value":"EC"},{"id":4,"name":"Milepost","value":"0.0141"},{"id":17,"name":"Train ID","value":"130-30"},{"id":16,"name":"Locomotive ID","value":"4019"},{"id":130,"name":"Impact","value":""},{"id":150,"name":"Time of Event (Mountain Time)","value":"08:51:38"},{"id":151,"name":"Denver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5" t="str">
        <f t="shared" si="21"/>
        <v>start /low /b %USERPROFILE%\Documents\GitHub\eaglep3\Utilities\DownloadLogsFromS3.py --loco 4019 --day 2017-05-30</v>
      </c>
      <c r="AN42" s="154" t="str">
        <f t="shared" si="22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14:51:38"},{"id":29,"name":"Sharepoint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709</v>
      </c>
      <c r="B43" s="7">
        <v>4016</v>
      </c>
      <c r="C43" s="21" t="s">
        <v>204</v>
      </c>
      <c r="D43" s="21" t="s">
        <v>361</v>
      </c>
      <c r="E43" s="13">
        <v>42885.308055555557</v>
      </c>
      <c r="F43" s="13">
        <v>42885.312685185185</v>
      </c>
      <c r="G43" s="7">
        <v>1</v>
      </c>
      <c r="H43" s="21" t="s">
        <v>883</v>
      </c>
      <c r="I43" s="13">
        <v>42885.338159722225</v>
      </c>
      <c r="J43" s="7">
        <v>0</v>
      </c>
      <c r="K43" s="92" t="str">
        <f t="shared" si="0"/>
        <v>4015/4016</v>
      </c>
      <c r="L43" s="21" t="str">
        <f>VLOOKUP(A43,'Trips&amp;Operators'!$C$1:$G$99999,5,FALSE)</f>
        <v>DAVIDSON DAVID</v>
      </c>
      <c r="M43" s="6">
        <f t="shared" si="1"/>
        <v>2.5474537040281575E-2</v>
      </c>
      <c r="N43" s="7">
        <f t="shared" si="2"/>
        <v>36.683333338005468</v>
      </c>
      <c r="O43" s="7"/>
      <c r="P43" s="7"/>
      <c r="Q43" s="22"/>
      <c r="R43" s="173"/>
      <c r="S43" s="176">
        <f t="shared" si="3"/>
        <v>1</v>
      </c>
      <c r="T43" s="202" t="str">
        <f t="shared" si="4"/>
        <v>NorthBound</v>
      </c>
      <c r="U43" s="202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03" t="str">
        <f t="shared" si="5"/>
        <v>https://d0f6bd738d7f1b3e5a7ca70fe4ff75f0.us-east-1.aws.found.io/app/kibana#/discover/Steve-Slow-Train-Analysis-(2080s-and-2083s)?_g=(refreshInterval:(display:Off,pause:!f,section:0,value:0),time:(from:'2017-05-30T06:23:36-0600',mode:absolute,to:'2017-05-30T09:06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43" s="204" t="str">
        <f t="shared" si="6"/>
        <v>N</v>
      </c>
      <c r="X43" s="204">
        <f t="shared" si="7"/>
        <v>1</v>
      </c>
      <c r="Y43" s="204">
        <f t="shared" si="8"/>
        <v>4.4699999999999997E-2</v>
      </c>
      <c r="Z43" s="204">
        <f t="shared" si="9"/>
        <v>23.330300000000001</v>
      </c>
      <c r="AA43" s="204">
        <f t="shared" si="10"/>
        <v>23.285600000000002</v>
      </c>
      <c r="AB43" s="57" t="e">
        <f>VLOOKUP(A43,Enforcements!$C$7:$K$13,8,0)</f>
        <v>#N/A</v>
      </c>
      <c r="AC43" s="53" t="e">
        <f>VLOOKUP(A43,Enforcements!$C$7:$E$13,3,0)</f>
        <v>#N/A</v>
      </c>
      <c r="AD43" s="54" t="str">
        <f t="shared" si="11"/>
        <v>0131-30</v>
      </c>
      <c r="AE43" s="80" t="str">
        <f t="shared" si="12"/>
        <v>aws s3 cp s3://rtdc.mdm.uploadarchive.raw/RTDC4016/ "%USERPROFILE%\AppData\Local\Temp\OnboardLogs"\RTDC4016\2017-05-30 --exclude "*" --recursive --include "*20170530*" &amp; "%USERPROFILE%\Documents\GitHub\mrs-test-scripts\Headless Mode &amp; Sideloading\WalkAndUnGZ.bat" "%USERPROFILE%\AppData\Local\Temp\OnboardLogs"\RTDC4016\2017-05-30 &amp; aws s3 cp s3://rtdc.mdm.uploadarchive.raw/RTDC4016/ "%USERPROFILE%\AppData\Local\Temp\OnboardLogs"\RTDC4016\2017-05-31 --exclude "*" --recursive --include "*20170531*" &amp; "%USERPROFILE%\Documents\GitHub\mrs-test-scripts\Headless Mode &amp; Sideloading\WalkAndUnGZ.bat" "%USERPROFILE%\AppData\Local\Temp\OnboardLogs"\RTDC4016\2017-05-31</v>
      </c>
      <c r="AF43" s="77" t="str">
        <f t="shared" si="13"/>
        <v>"C:\Program Files (x86)\AstroGrep\AstroGrep.exe" /e /r /s /spath="%USERPROFILE%\AppData\Local\Temp\OnboardLogs" /stypes="app*4016*20170530*" /stext=" 14:.+((SYSTEM_STATE.+slice.+state.+changed )|(ment ac)|(multiple cpu faults)|(system.+state.+changed )|(\[timeout)|(PRM\|1\|D)|(kpr)|(kdp)|(train st.+moving)|(\|lc)|(penalty))"</v>
      </c>
      <c r="AG43" s="1" t="str">
        <f t="shared" si="14"/>
        <v>EC</v>
      </c>
      <c r="AH43" s="81" t="str">
        <f t="shared" si="19"/>
        <v>"%USERPROFILE%\Documents\GitHub\eaglep3\Utilities\RefineRTDCRunTimes.py" --tripid 131-30 --locoid 4016 --swversion DE.1.0.9.0 --startMP 204:447 --initTime 2017-05-30T07:23:36 --startdatetime 2017-05-30T07:30:16 --delay 1 --endMP 204:233303 --enddatetime 2017-05-30T08:06:57 --enforcementcount 0 &gt;&gt;C:\Users\stu\Documents\GitHub\eaglep3-reporting\EC\2017-05-30-refined-times.txt</v>
      </c>
      <c r="AI43" s="99" t="str">
        <f t="shared" si="20"/>
        <v>echo {"issue":{"subject":"","project_id":79,"tracker_id":40,"status_id":1,"priority_id":2,"assigned_to_id":23,"start_date":"2017-05-30","description":"","custom_fields":[{"id":1,"name":"Subdivision","value":"EC"},{"id":4,"name":"Milepost","value":"23.3303"},{"id":17,"name":"Train ID","value":"131-30"},{"id":16,"name":"Locomotive ID","value":"4016"},{"id":130,"name":"Impact","value":""},{"id":150,"name":"Time of Event (Mountain Time)","value":"08:06:57"},{"id":151,"name":"Denver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5" t="str">
        <f t="shared" si="21"/>
        <v>start /low /b %USERPROFILE%\Documents\GitHub\eaglep3\Utilities\DownloadLogsFromS3.py --loco 4016 --day 2017-05-30</v>
      </c>
      <c r="AN43" s="154" t="str">
        <f t="shared" si="22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14:06:57"},{"id":29,"name":"Sharepoint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721</v>
      </c>
      <c r="B44" s="7">
        <v>4015</v>
      </c>
      <c r="C44" s="21" t="s">
        <v>204</v>
      </c>
      <c r="D44" s="21" t="s">
        <v>524</v>
      </c>
      <c r="E44" s="13">
        <v>42885.339745370373</v>
      </c>
      <c r="F44" s="13">
        <v>42885.35229166667</v>
      </c>
      <c r="G44" s="7">
        <v>1</v>
      </c>
      <c r="H44" s="21" t="s">
        <v>884</v>
      </c>
      <c r="I44" s="13">
        <v>42885.380046296297</v>
      </c>
      <c r="J44" s="7">
        <v>0</v>
      </c>
      <c r="K44" s="92" t="str">
        <f t="shared" si="0"/>
        <v>4015/4016</v>
      </c>
      <c r="L44" s="21" t="str">
        <f>VLOOKUP(A44,'Trips&amp;Operators'!$C$1:$G$99999,5,FALSE)</f>
        <v>DAVIDSON DAVID</v>
      </c>
      <c r="M44" s="6">
        <f t="shared" si="1"/>
        <v>2.7754629627452232E-2</v>
      </c>
      <c r="N44" s="7">
        <f t="shared" si="2"/>
        <v>39.966666663531214</v>
      </c>
      <c r="O44" s="7"/>
      <c r="P44" s="7"/>
      <c r="Q44" s="22"/>
      <c r="R44" s="173"/>
      <c r="S44" s="176">
        <f t="shared" si="3"/>
        <v>1</v>
      </c>
      <c r="T44" s="202" t="str">
        <f t="shared" si="4"/>
        <v>Southbound</v>
      </c>
      <c r="U44" s="202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03" t="str">
        <f t="shared" si="5"/>
        <v>https://d0f6bd738d7f1b3e5a7ca70fe4ff75f0.us-east-1.aws.found.io/app/kibana#/discover/Steve-Slow-Train-Analysis-(2080s-and-2083s)?_g=(refreshInterval:(display:Off,pause:!f,section:0,value:0),time:(from:'2017-05-30T07:09:14-0600',mode:absolute,to:'2017-05-30T10:07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44" s="204" t="str">
        <f t="shared" si="6"/>
        <v>N</v>
      </c>
      <c r="X44" s="204">
        <f t="shared" si="7"/>
        <v>1</v>
      </c>
      <c r="Y44" s="204">
        <f t="shared" si="8"/>
        <v>23.3</v>
      </c>
      <c r="Z44" s="204">
        <f t="shared" si="9"/>
        <v>1.6299999999999999E-2</v>
      </c>
      <c r="AA44" s="204">
        <f t="shared" si="10"/>
        <v>23.2837</v>
      </c>
      <c r="AB44" s="57" t="e">
        <f>VLOOKUP(A44,Enforcements!$C$7:$K$13,8,0)</f>
        <v>#N/A</v>
      </c>
      <c r="AC44" s="53" t="e">
        <f>VLOOKUP(A44,Enforcements!$C$7:$E$13,3,0)</f>
        <v>#N/A</v>
      </c>
      <c r="AD44" s="54" t="str">
        <f t="shared" si="11"/>
        <v>0132-30</v>
      </c>
      <c r="AE44" s="80" t="str">
        <f t="shared" si="12"/>
        <v>aws s3 cp s3://rtdc.mdm.uploadarchive.raw/RTDC4015/ "%USERPROFILE%\AppData\Local\Temp\OnboardLogs"\RTDC4015\2017-05-30 --exclude "*" --recursive --include "*20170530*" &amp; "%USERPROFILE%\Documents\GitHub\mrs-test-scripts\Headless Mode &amp; Sideloading\WalkAndUnGZ.bat" "%USERPROFILE%\AppData\Local\Temp\OnboardLogs"\RTDC4015\2017-05-30 &amp; aws s3 cp s3://rtdc.mdm.uploadarchive.raw/RTDC4015/ "%USERPROFILE%\AppData\Local\Temp\OnboardLogs"\RTDC4015\2017-05-31 --exclude "*" --recursive --include "*20170531*" &amp; "%USERPROFILE%\Documents\GitHub\mrs-test-scripts\Headless Mode &amp; Sideloading\WalkAndUnGZ.bat" "%USERPROFILE%\AppData\Local\Temp\OnboardLogs"\RTDC4015\2017-05-31</v>
      </c>
      <c r="AF44" s="77" t="str">
        <f t="shared" si="13"/>
        <v>"C:\Program Files (x86)\AstroGrep\AstroGrep.exe" /e /r /s /spath="%USERPROFILE%\AppData\Local\Temp\OnboardLogs" /stypes="app*4015*20170530*" /stext=" 15:.+((SYSTEM_STATE.+slice.+state.+changed )|(ment ac)|(multiple cpu faults)|(system.+state.+changed )|(\[timeout)|(PRM\|1\|D)|(kpr)|(kdp)|(train st.+moving)|(\|lc)|(penalty))"</v>
      </c>
      <c r="AG44" s="1" t="str">
        <f t="shared" si="14"/>
        <v>EC</v>
      </c>
      <c r="AH44" s="81" t="str">
        <f t="shared" si="19"/>
        <v>"%USERPROFILE%\Documents\GitHub\eaglep3\Utilities\RefineRTDCRunTimes.py" --tripid 132-30 --locoid 4015 --swversion DE.1.0.9.0 --startMP 204:233000 --initTime 2017-05-30T08:09:14 --startdatetime 2017-05-30T08:27:18 --delay 1 --endMP 204:163 --enddatetime 2017-05-30T09:07:16 --enforcementcount 0 &gt;&gt;C:\Users\stu\Documents\GitHub\eaglep3-reporting\EC\2017-05-30-refined-times.txt</v>
      </c>
      <c r="AI44" s="99" t="str">
        <f t="shared" si="20"/>
        <v>echo {"issue":{"subject":"","project_id":79,"tracker_id":40,"status_id":1,"priority_id":2,"assigned_to_id":23,"start_date":"2017-05-30","description":"","custom_fields":[{"id":1,"name":"Subdivision","value":"EC"},{"id":4,"name":"Milepost","value":"0.0163"},{"id":17,"name":"Train ID","value":"132-30"},{"id":16,"name":"Locomotive ID","value":"4015"},{"id":130,"name":"Impact","value":""},{"id":150,"name":"Time of Event (Mountain Time)","value":"09:07:16"},{"id":151,"name":"Denver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5" t="str">
        <f t="shared" si="21"/>
        <v>start /low /b %USERPROFILE%\Documents\GitHub\eaglep3\Utilities\DownloadLogsFromS3.py --loco 4015 --day 2017-05-30</v>
      </c>
      <c r="AN44" s="154" t="str">
        <f t="shared" si="22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15:07:16"},{"id":29,"name":"Sharepoint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714</v>
      </c>
      <c r="B45" s="7">
        <v>4018</v>
      </c>
      <c r="C45" s="21" t="s">
        <v>204</v>
      </c>
      <c r="D45" s="21" t="s">
        <v>200</v>
      </c>
      <c r="E45" s="13">
        <v>42885.317974537036</v>
      </c>
      <c r="F45" s="13">
        <v>42885.323078703703</v>
      </c>
      <c r="G45" s="7">
        <v>1</v>
      </c>
      <c r="H45" s="21" t="s">
        <v>594</v>
      </c>
      <c r="I45" s="13">
        <v>42885.347986111112</v>
      </c>
      <c r="J45" s="7">
        <v>0</v>
      </c>
      <c r="K45" s="92" t="str">
        <f t="shared" si="0"/>
        <v>4017/4018</v>
      </c>
      <c r="L45" s="21" t="str">
        <f>VLOOKUP(A45,'Trips&amp;Operators'!$C$1:$G$99999,5,FALSE)</f>
        <v>YANAI IAN</v>
      </c>
      <c r="M45" s="6">
        <f t="shared" si="1"/>
        <v>2.4907407409045845E-2</v>
      </c>
      <c r="N45" s="7">
        <f t="shared" ref="N45:N76" si="23">24*60*SUM($M45:$M45)</f>
        <v>35.866666669026017</v>
      </c>
      <c r="O45" s="7"/>
      <c r="P45" s="7"/>
      <c r="Q45" s="22"/>
      <c r="R45" s="173"/>
      <c r="S45" s="176">
        <f t="shared" ref="S45:S77" si="24">SUM(U45:U45)/IF(AG45="EC",12,1)</f>
        <v>1</v>
      </c>
      <c r="T45" s="202" t="str">
        <f t="shared" si="4"/>
        <v>NorthBound</v>
      </c>
      <c r="U45" s="202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03" t="str">
        <f t="shared" si="5"/>
        <v>https://d0f6bd738d7f1b3e5a7ca70fe4ff75f0.us-east-1.aws.found.io/app/kibana#/discover/Steve-Slow-Train-Analysis-(2080s-and-2083s)?_g=(refreshInterval:(display:Off,pause:!f,section:0,value:0),time:(from:'2017-05-30T06:37:53-0600',mode:absolute,to:'2017-05-30T09:21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45" s="204" t="str">
        <f t="shared" si="6"/>
        <v>N</v>
      </c>
      <c r="X45" s="204">
        <f t="shared" ref="X45:X76" si="25">VALUE(LEFT(AD45,4))-VALUE(LEFT(AD44,4))</f>
        <v>1</v>
      </c>
      <c r="Y45" s="204">
        <f t="shared" ref="Y45:Y76" si="26">RIGHT(D45,LEN(D45)-4)/10000</f>
        <v>4.5699999999999998E-2</v>
      </c>
      <c r="Z45" s="204">
        <f t="shared" ref="Z45:Z76" si="27">RIGHT(H45,LEN(H45)-4)/10000</f>
        <v>23.330200000000001</v>
      </c>
      <c r="AA45" s="204">
        <f t="shared" si="10"/>
        <v>23.284500000000001</v>
      </c>
      <c r="AB45" s="57" t="e">
        <f>VLOOKUP(A45,Enforcements!$C$7:$K$13,8,0)</f>
        <v>#N/A</v>
      </c>
      <c r="AC45" s="53" t="e">
        <f>VLOOKUP(A45,Enforcements!$C$7:$E$13,3,0)</f>
        <v>#N/A</v>
      </c>
      <c r="AD45" s="54" t="str">
        <f t="shared" si="11"/>
        <v>0133-30</v>
      </c>
      <c r="AE45" s="80" t="str">
        <f t="shared" si="12"/>
        <v>aws s3 cp s3://rtdc.mdm.uploadarchive.raw/RTDC4018/ "%USERPROFILE%\AppData\Local\Temp\OnboardLogs"\RTDC4018\2017-05-30 --exclude "*" --recursive --include "*20170530*" &amp; "%USERPROFILE%\Documents\GitHub\mrs-test-scripts\Headless Mode &amp; Sideloading\WalkAndUnGZ.bat" "%USERPROFILE%\AppData\Local\Temp\OnboardLogs"\RTDC4018\2017-05-30 &amp; aws s3 cp s3://rtdc.mdm.uploadarchive.raw/RTDC4018/ "%USERPROFILE%\AppData\Local\Temp\OnboardLogs"\RTDC4018\2017-05-31 --exclude "*" --recursive --include "*20170531*" &amp; "%USERPROFILE%\Documents\GitHub\mrs-test-scripts\Headless Mode &amp; Sideloading\WalkAndUnGZ.bat" "%USERPROFILE%\AppData\Local\Temp\OnboardLogs"\RTDC4018\2017-05-31</v>
      </c>
      <c r="AF45" s="77" t="str">
        <f t="shared" si="13"/>
        <v>"C:\Program Files (x86)\AstroGrep\AstroGrep.exe" /e /r /s /spath="%USERPROFILE%\AppData\Local\Temp\OnboardLogs" /stypes="app*4018*20170530*" /stext=" 14:.+((SYSTEM_STATE.+slice.+state.+changed )|(ment ac)|(multiple cpu faults)|(system.+state.+changed )|(\[timeout)|(PRM\|1\|D)|(kpr)|(kdp)|(train st.+moving)|(\|lc)|(penalty))"</v>
      </c>
      <c r="AG45" s="1" t="str">
        <f t="shared" si="14"/>
        <v>EC</v>
      </c>
      <c r="AH45" s="81" t="str">
        <f t="shared" si="19"/>
        <v>"%USERPROFILE%\Documents\GitHub\eaglep3\Utilities\RefineRTDCRunTimes.py" --tripid 133-30 --locoid 4018 --swversion DE.1.0.9.0 --startMP 204:457 --initTime 2017-05-30T07:37:53 --startdatetime 2017-05-30T07:45:14 --delay 1 --endMP 204:233302 --enddatetime 2017-05-30T08:21:06 --enforcementcount 0 &gt;&gt;C:\Users\stu\Documents\GitHub\eaglep3-reporting\EC\2017-05-30-refined-times.txt</v>
      </c>
      <c r="AI45" s="99" t="str">
        <f t="shared" si="20"/>
        <v>echo {"issue":{"subject":"","project_id":79,"tracker_id":40,"status_id":1,"priority_id":2,"assigned_to_id":23,"start_date":"2017-05-30","description":"","custom_fields":[{"id":1,"name":"Subdivision","value":"EC"},{"id":4,"name":"Milepost","value":"23.3302"},{"id":17,"name":"Train ID","value":"133-30"},{"id":16,"name":"Locomotive ID","value":"4018"},{"id":130,"name":"Impact","value":""},{"id":150,"name":"Time of Event (Mountain Time)","value":"08:21:06"},{"id":151,"name":"Denver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5" t="str">
        <f t="shared" si="21"/>
        <v>start /low /b %USERPROFILE%\Documents\GitHub\eaglep3\Utilities\DownloadLogsFromS3.py --loco 4018 --day 2017-05-30</v>
      </c>
      <c r="AN45" s="154" t="str">
        <f t="shared" si="22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14:21:06"},{"id":29,"name":"Sharepoint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642</v>
      </c>
      <c r="B46" s="7">
        <v>4017</v>
      </c>
      <c r="C46" s="21" t="s">
        <v>204</v>
      </c>
      <c r="D46" s="21" t="s">
        <v>881</v>
      </c>
      <c r="E46" s="13">
        <v>42885.349120370367</v>
      </c>
      <c r="F46" s="13">
        <v>42885.362835648149</v>
      </c>
      <c r="G46" s="7">
        <v>1</v>
      </c>
      <c r="H46" s="21" t="s">
        <v>352</v>
      </c>
      <c r="I46" s="13">
        <v>42885.389525462961</v>
      </c>
      <c r="J46" s="7">
        <v>0</v>
      </c>
      <c r="K46" s="92" t="str">
        <f t="shared" si="0"/>
        <v>4017/4018</v>
      </c>
      <c r="L46" s="21" t="str">
        <f>VLOOKUP(A46,'Trips&amp;Operators'!$C$1:$G$99999,5,FALSE)</f>
        <v>YANAI IAN</v>
      </c>
      <c r="M46" s="6">
        <f t="shared" si="1"/>
        <v>2.6689814811106771E-2</v>
      </c>
      <c r="N46" s="7">
        <f t="shared" si="23"/>
        <v>38.433333327993751</v>
      </c>
      <c r="O46" s="7"/>
      <c r="P46" s="7"/>
      <c r="Q46" s="22"/>
      <c r="R46" s="173"/>
      <c r="S46" s="176">
        <f t="shared" si="24"/>
        <v>1</v>
      </c>
      <c r="T46" s="202" t="str">
        <f t="shared" si="4"/>
        <v>Southbound</v>
      </c>
      <c r="U46" s="202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03" t="str">
        <f t="shared" si="5"/>
        <v>https://d0f6bd738d7f1b3e5a7ca70fe4ff75f0.us-east-1.aws.found.io/app/kibana#/discover/Steve-Slow-Train-Analysis-(2080s-and-2083s)?_g=(refreshInterval:(display:Off,pause:!f,section:0,value:0),time:(from:'2017-05-30T07:22:44-0600',mode:absolute,to:'2017-05-30T10:20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46" s="204" t="str">
        <f t="shared" si="6"/>
        <v>N</v>
      </c>
      <c r="X46" s="204">
        <f t="shared" si="25"/>
        <v>1</v>
      </c>
      <c r="Y46" s="204">
        <f t="shared" si="26"/>
        <v>23.297899999999998</v>
      </c>
      <c r="Z46" s="204">
        <f t="shared" si="27"/>
        <v>1.4999999999999999E-2</v>
      </c>
      <c r="AA46" s="204">
        <f t="shared" si="10"/>
        <v>23.282899999999998</v>
      </c>
      <c r="AB46" s="57" t="str">
        <f>VLOOKUP(A46,Enforcements!$C$7:$K$13,8,0)</f>
        <v>Bulletin (2)</v>
      </c>
      <c r="AC46" s="53" t="str">
        <f>VLOOKUP(A46,Enforcements!$C$7:$E$13,3,0)</f>
        <v>GRADE CROSSING</v>
      </c>
      <c r="AD46" s="54" t="str">
        <f t="shared" si="11"/>
        <v>0134-30</v>
      </c>
      <c r="AE46" s="80" t="str">
        <f t="shared" si="12"/>
        <v>aws s3 cp s3://rtdc.mdm.uploadarchive.raw/RTDC4017/ "%USERPROFILE%\AppData\Local\Temp\OnboardLogs"\RTDC4017\2017-05-30 --exclude "*" --recursive --include "*20170530*" &amp; "%USERPROFILE%\Documents\GitHub\mrs-test-scripts\Headless Mode &amp; Sideloading\WalkAndUnGZ.bat" "%USERPROFILE%\AppData\Local\Temp\OnboardLogs"\RTDC4017\2017-05-30 &amp; aws s3 cp s3://rtdc.mdm.uploadarchive.raw/RTDC4017/ "%USERPROFILE%\AppData\Local\Temp\OnboardLogs"\RTDC4017\2017-05-31 --exclude "*" --recursive --include "*20170531*" &amp; "%USERPROFILE%\Documents\GitHub\mrs-test-scripts\Headless Mode &amp; Sideloading\WalkAndUnGZ.bat" "%USERPROFILE%\AppData\Local\Temp\OnboardLogs"\RTDC4017\2017-05-31</v>
      </c>
      <c r="AF46" s="77" t="str">
        <f t="shared" si="13"/>
        <v>"C:\Program Files (x86)\AstroGrep\AstroGrep.exe" /e /r /s /spath="%USERPROFILE%\AppData\Local\Temp\OnboardLogs" /stypes="app*4017*20170530*" /stext=" 15:.+((SYSTEM_STATE.+slice.+state.+changed )|(ment ac)|(multiple cpu faults)|(system.+state.+changed )|(\[timeout)|(PRM\|1\|D)|(kpr)|(kdp)|(train st.+moving)|(\|lc)|(penalty))"</v>
      </c>
      <c r="AG46" s="1" t="str">
        <f t="shared" si="14"/>
        <v>EC</v>
      </c>
      <c r="AH46" s="81" t="str">
        <f t="shared" si="19"/>
        <v>"%USERPROFILE%\Documents\GitHub\eaglep3\Utilities\RefineRTDCRunTimes.py" --tripid 134-30 --locoid 4017 --swversion DE.1.0.9.0 --startMP 204:232979 --initTime 2017-05-30T08:22:44 --startdatetime 2017-05-30T08:42:29 --delay 1 --endMP 204:150 --enddatetime 2017-05-30T09:20:55 --enforcementcount 0 &gt;&gt;C:\Users\stu\Documents\GitHub\eaglep3-reporting\EC\2017-05-30-refined-times.txt</v>
      </c>
      <c r="AI46" s="99" t="str">
        <f t="shared" si="20"/>
        <v>echo {"issue":{"subject":"","project_id":79,"tracker_id":40,"status_id":1,"priority_id":2,"assigned_to_id":23,"start_date":"2017-05-30","description":"","custom_fields":[{"id":1,"name":"Subdivision","value":"EC"},{"id":4,"name":"Milepost","value":"0.015"},{"id":17,"name":"Train ID","value":"134-30"},{"id":16,"name":"Locomotive ID","value":"4017"},{"id":130,"name":"Impact","value":""},{"id":150,"name":"Time of Event (Mountain Time)","value":"09:20:55"},{"id":151,"name":"Denver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5" t="str">
        <f t="shared" si="21"/>
        <v>start /low /b %USERPROFILE%\Documents\GitHub\eaglep3\Utilities\DownloadLogsFromS3.py --loco 4017 --day 2017-05-30</v>
      </c>
      <c r="AN46" s="154" t="str">
        <f t="shared" si="22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15:20:55"},{"id":29,"name":"Sharepoint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641</v>
      </c>
      <c r="B47" s="7">
        <v>4026</v>
      </c>
      <c r="C47" s="21" t="s">
        <v>204</v>
      </c>
      <c r="D47" s="21" t="s">
        <v>609</v>
      </c>
      <c r="E47" s="13">
        <v>42885.328043981484</v>
      </c>
      <c r="F47" s="13">
        <v>42885.333483796298</v>
      </c>
      <c r="G47" s="7">
        <v>1</v>
      </c>
      <c r="H47" s="21" t="s">
        <v>600</v>
      </c>
      <c r="I47" s="13">
        <v>42885.357824074075</v>
      </c>
      <c r="J47" s="7">
        <v>0</v>
      </c>
      <c r="K47" s="92" t="str">
        <f t="shared" si="0"/>
        <v>4025/4026</v>
      </c>
      <c r="L47" s="21" t="str">
        <f>VLOOKUP(A47,'Trips&amp;Operators'!$C$1:$G$99999,5,FALSE)</f>
        <v>LALONDE GREGORY</v>
      </c>
      <c r="M47" s="6">
        <f t="shared" si="1"/>
        <v>2.4340277777810115E-2</v>
      </c>
      <c r="N47" s="7">
        <f t="shared" si="23"/>
        <v>35.050000000046566</v>
      </c>
      <c r="O47" s="7"/>
      <c r="P47" s="7"/>
      <c r="Q47" s="22"/>
      <c r="R47" s="173"/>
      <c r="S47" s="176">
        <f t="shared" si="24"/>
        <v>1</v>
      </c>
      <c r="T47" s="202" t="str">
        <f t="shared" si="4"/>
        <v>NorthBound</v>
      </c>
      <c r="U47" s="202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03" t="str">
        <f t="shared" si="5"/>
        <v>https://d0f6bd738d7f1b3e5a7ca70fe4ff75f0.us-east-1.aws.found.io/app/kibana#/discover/Steve-Slow-Train-Analysis-(2080s-and-2083s)?_g=(refreshInterval:(display:Off,pause:!f,section:0,value:0),time:(from:'2017-05-30T06:52:23-0600',mode:absolute,to:'2017-05-30T09:35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47" s="204" t="str">
        <f t="shared" si="6"/>
        <v>N</v>
      </c>
      <c r="X47" s="204">
        <f t="shared" si="25"/>
        <v>1</v>
      </c>
      <c r="Y47" s="204">
        <f t="shared" si="26"/>
        <v>4.7800000000000002E-2</v>
      </c>
      <c r="Z47" s="204">
        <f t="shared" si="27"/>
        <v>23.3309</v>
      </c>
      <c r="AA47" s="204">
        <f t="shared" si="10"/>
        <v>23.283100000000001</v>
      </c>
      <c r="AB47" s="57" t="e">
        <f>VLOOKUP(A47,Enforcements!$C$7:$K$13,8,0)</f>
        <v>#N/A</v>
      </c>
      <c r="AC47" s="53" t="e">
        <f>VLOOKUP(A47,Enforcements!$C$7:$E$13,3,0)</f>
        <v>#N/A</v>
      </c>
      <c r="AD47" s="54" t="str">
        <f t="shared" si="11"/>
        <v>0135-30</v>
      </c>
      <c r="AE47" s="80" t="str">
        <f t="shared" si="12"/>
        <v>aws s3 cp s3://rtdc.mdm.uploadarchive.raw/RTDC4026/ "%USERPROFILE%\AppData\Local\Temp\OnboardLogs"\RTDC4026\2017-05-30 --exclude "*" --recursive --include "*20170530*" &amp; "%USERPROFILE%\Documents\GitHub\mrs-test-scripts\Headless Mode &amp; Sideloading\WalkAndUnGZ.bat" "%USERPROFILE%\AppData\Local\Temp\OnboardLogs"\RTDC4026\2017-05-30 &amp; aws s3 cp s3://rtdc.mdm.uploadarchive.raw/RTDC4026/ "%USERPROFILE%\AppData\Local\Temp\OnboardLogs"\RTDC4026\2017-05-31 --exclude "*" --recursive --include "*20170531*" &amp; "%USERPROFILE%\Documents\GitHub\mrs-test-scripts\Headless Mode &amp; Sideloading\WalkAndUnGZ.bat" "%USERPROFILE%\AppData\Local\Temp\OnboardLogs"\RTDC4026\2017-05-31</v>
      </c>
      <c r="AF47" s="77" t="str">
        <f t="shared" si="13"/>
        <v>"C:\Program Files (x86)\AstroGrep\AstroGrep.exe" /e /r /s /spath="%USERPROFILE%\AppData\Local\Temp\OnboardLogs" /stypes="app*4026*20170530*" /stext=" 14:.+((SYSTEM_STATE.+slice.+state.+changed )|(ment ac)|(multiple cpu faults)|(system.+state.+changed )|(\[timeout)|(PRM\|1\|D)|(kpr)|(kdp)|(train st.+moving)|(\|lc)|(penalty))"</v>
      </c>
      <c r="AG47" s="1" t="str">
        <f t="shared" si="14"/>
        <v>EC</v>
      </c>
      <c r="AH47" s="81" t="str">
        <f t="shared" si="19"/>
        <v>"%USERPROFILE%\Documents\GitHub\eaglep3\Utilities\RefineRTDCRunTimes.py" --tripid 135-30 --locoid 4026 --swversion DE.1.0.9.0 --startMP 204:478 --initTime 2017-05-30T07:52:23 --startdatetime 2017-05-30T08:00:13 --delay 1 --endMP 204:233309 --enddatetime 2017-05-30T08:35:16 --enforcementcount 0 &gt;&gt;C:\Users\stu\Documents\GitHub\eaglep3-reporting\EC\2017-05-30-refined-times.txt</v>
      </c>
      <c r="AI47" s="99" t="str">
        <f t="shared" si="20"/>
        <v>echo {"issue":{"subject":"","project_id":79,"tracker_id":40,"status_id":1,"priority_id":2,"assigned_to_id":23,"start_date":"2017-05-30","description":"","custom_fields":[{"id":1,"name":"Subdivision","value":"EC"},{"id":4,"name":"Milepost","value":"23.3309"},{"id":17,"name":"Train ID","value":"135-30"},{"id":16,"name":"Locomotive ID","value":"4026"},{"id":130,"name":"Impact","value":""},{"id":150,"name":"Time of Event (Mountain Time)","value":"08:35:16"},{"id":151,"name":"Denver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5" t="str">
        <f t="shared" si="21"/>
        <v>start /low /b %USERPROFILE%\Documents\GitHub\eaglep3\Utilities\DownloadLogsFromS3.py --loco 4026 --day 2017-05-30</v>
      </c>
      <c r="AN47" s="154" t="str">
        <f t="shared" si="22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14:35:16"},{"id":29,"name":"Sharepoint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728</v>
      </c>
      <c r="B48" s="7">
        <v>4025</v>
      </c>
      <c r="C48" s="21" t="s">
        <v>204</v>
      </c>
      <c r="D48" s="21" t="s">
        <v>462</v>
      </c>
      <c r="E48" s="13">
        <v>42885.360289351855</v>
      </c>
      <c r="F48" s="13">
        <v>42885.373182870368</v>
      </c>
      <c r="G48" s="7">
        <v>1</v>
      </c>
      <c r="H48" s="21" t="s">
        <v>365</v>
      </c>
      <c r="I48" s="13">
        <v>42885.399652777778</v>
      </c>
      <c r="J48" s="7">
        <v>0</v>
      </c>
      <c r="K48" s="92" t="str">
        <f t="shared" si="0"/>
        <v>4025/4026</v>
      </c>
      <c r="L48" s="21" t="str">
        <f>VLOOKUP(A48,'Trips&amp;Operators'!$C$1:$G$99999,5,FALSE)</f>
        <v>LALONDE GREGORY</v>
      </c>
      <c r="M48" s="6">
        <f t="shared" si="1"/>
        <v>2.6469907410501037E-2</v>
      </c>
      <c r="N48" s="7">
        <f t="shared" si="23"/>
        <v>38.116666671121493</v>
      </c>
      <c r="O48" s="7"/>
      <c r="P48" s="7"/>
      <c r="Q48" s="22"/>
      <c r="R48" s="173"/>
      <c r="S48" s="176">
        <f t="shared" si="24"/>
        <v>1</v>
      </c>
      <c r="T48" s="202" t="str">
        <f t="shared" si="4"/>
        <v>Southbound</v>
      </c>
      <c r="U48" s="202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03" t="str">
        <f t="shared" si="5"/>
        <v>https://d0f6bd738d7f1b3e5a7ca70fe4ff75f0.us-east-1.aws.found.io/app/kibana#/discover/Steve-Slow-Train-Analysis-(2080s-and-2083s)?_g=(refreshInterval:(display:Off,pause:!f,section:0,value:0),time:(from:'2017-05-30T07:38:49-0600',mode:absolute,to:'2017-05-30T10:35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48" s="204" t="str">
        <f t="shared" si="6"/>
        <v>N</v>
      </c>
      <c r="X48" s="204">
        <f t="shared" si="25"/>
        <v>1</v>
      </c>
      <c r="Y48" s="204">
        <f t="shared" si="26"/>
        <v>23.299399999999999</v>
      </c>
      <c r="Z48" s="204">
        <f t="shared" si="27"/>
        <v>1.47E-2</v>
      </c>
      <c r="AA48" s="204">
        <f t="shared" si="10"/>
        <v>23.284699999999997</v>
      </c>
      <c r="AB48" s="57" t="e">
        <f>VLOOKUP(A48,Enforcements!$C$7:$K$13,8,0)</f>
        <v>#N/A</v>
      </c>
      <c r="AC48" s="53" t="e">
        <f>VLOOKUP(A48,Enforcements!$C$7:$E$13,3,0)</f>
        <v>#N/A</v>
      </c>
      <c r="AD48" s="54" t="str">
        <f t="shared" si="11"/>
        <v>0136-30</v>
      </c>
      <c r="AE48" s="80" t="str">
        <f t="shared" si="12"/>
        <v>aws s3 cp s3://rtdc.mdm.uploadarchive.raw/RTDC4025/ "%USERPROFILE%\AppData\Local\Temp\OnboardLogs"\RTDC4025\2017-05-30 --exclude "*" --recursive --include "*20170530*" &amp; "%USERPROFILE%\Documents\GitHub\mrs-test-scripts\Headless Mode &amp; Sideloading\WalkAndUnGZ.bat" "%USERPROFILE%\AppData\Local\Temp\OnboardLogs"\RTDC4025\2017-05-30 &amp; aws s3 cp s3://rtdc.mdm.uploadarchive.raw/RTDC4025/ "%USERPROFILE%\AppData\Local\Temp\OnboardLogs"\RTDC4025\2017-05-31 --exclude "*" --recursive --include "*20170531*" &amp; "%USERPROFILE%\Documents\GitHub\mrs-test-scripts\Headless Mode &amp; Sideloading\WalkAndUnGZ.bat" "%USERPROFILE%\AppData\Local\Temp\OnboardLogs"\RTDC4025\2017-05-31</v>
      </c>
      <c r="AF48" s="77" t="str">
        <f t="shared" si="13"/>
        <v>"C:\Program Files (x86)\AstroGrep\AstroGrep.exe" /e /r /s /spath="%USERPROFILE%\AppData\Local\Temp\OnboardLogs" /stypes="app*4025*20170530*" /stext=" 15:.+((SYSTEM_STATE.+slice.+state.+changed )|(ment ac)|(multiple cpu faults)|(system.+state.+changed )|(\[timeout)|(PRM\|1\|D)|(kpr)|(kdp)|(train st.+moving)|(\|lc)|(penalty))"</v>
      </c>
      <c r="AG48" s="1" t="str">
        <f t="shared" si="14"/>
        <v>EC</v>
      </c>
      <c r="AH48" s="81" t="str">
        <f t="shared" si="19"/>
        <v>"%USERPROFILE%\Documents\GitHub\eaglep3\Utilities\RefineRTDCRunTimes.py" --tripid 136-30 --locoid 4025 --swversion DE.1.0.9.0 --startMP 204:232994 --initTime 2017-05-30T08:38:49 --startdatetime 2017-05-30T08:57:23 --delay 1 --endMP 204:147 --enddatetime 2017-05-30T09:35:30 --enforcementcount 0 &gt;&gt;C:\Users\stu\Documents\GitHub\eaglep3-reporting\EC\2017-05-30-refined-times.txt</v>
      </c>
      <c r="AI48" s="99" t="str">
        <f t="shared" si="20"/>
        <v>echo {"issue":{"subject":"","project_id":79,"tracker_id":40,"status_id":1,"priority_id":2,"assigned_to_id":23,"start_date":"2017-05-30","description":"","custom_fields":[{"id":1,"name":"Subdivision","value":"EC"},{"id":4,"name":"Milepost","value":"0.0147"},{"id":17,"name":"Train ID","value":"136-30"},{"id":16,"name":"Locomotive ID","value":"4025"},{"id":130,"name":"Impact","value":""},{"id":150,"name":"Time of Event (Mountain Time)","value":"09:35:30"},{"id":151,"name":"Denver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5" t="str">
        <f t="shared" si="21"/>
        <v>start /low /b %USERPROFILE%\Documents\GitHub\eaglep3\Utilities\DownloadLogsFromS3.py --loco 4025 --day 2017-05-30</v>
      </c>
      <c r="AN48" s="154" t="str">
        <f t="shared" si="22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15:35:30"},{"id":29,"name":"Sharepoint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722</v>
      </c>
      <c r="B49" s="7">
        <v>4008</v>
      </c>
      <c r="C49" s="21" t="s">
        <v>204</v>
      </c>
      <c r="D49" s="21" t="s">
        <v>201</v>
      </c>
      <c r="E49" s="13">
        <v>42885.340069444443</v>
      </c>
      <c r="F49" s="13">
        <v>42885.3440162037</v>
      </c>
      <c r="G49" s="7">
        <v>1</v>
      </c>
      <c r="H49" s="21" t="s">
        <v>604</v>
      </c>
      <c r="I49" s="13">
        <v>42885.370370370372</v>
      </c>
      <c r="J49" s="7">
        <v>0</v>
      </c>
      <c r="K49" s="92" t="str">
        <f t="shared" si="0"/>
        <v>4007/4008</v>
      </c>
      <c r="L49" s="21" t="str">
        <f>VLOOKUP(A49,'Trips&amp;Operators'!$C$1:$G$99999,5,FALSE)</f>
        <v>BEAM ROSS</v>
      </c>
      <c r="M49" s="6">
        <f t="shared" si="1"/>
        <v>2.6354166671808343E-2</v>
      </c>
      <c r="N49" s="7">
        <f t="shared" si="23"/>
        <v>37.950000007404014</v>
      </c>
      <c r="O49" s="7"/>
      <c r="P49" s="7"/>
      <c r="Q49" s="22"/>
      <c r="R49" s="173"/>
      <c r="S49" s="176">
        <f t="shared" si="24"/>
        <v>1</v>
      </c>
      <c r="T49" s="202" t="str">
        <f t="shared" si="4"/>
        <v>NorthBound</v>
      </c>
      <c r="U49" s="202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03" t="str">
        <f t="shared" si="5"/>
        <v>https://d0f6bd738d7f1b3e5a7ca70fe4ff75f0.us-east-1.aws.found.io/app/kibana#/discover/Steve-Slow-Train-Analysis-(2080s-and-2083s)?_g=(refreshInterval:(display:Off,pause:!f,section:0,value:0),time:(from:'2017-05-30T07:09:42-0600',mode:absolute,to:'2017-05-30T09:53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49" s="204" t="str">
        <f t="shared" si="6"/>
        <v>N</v>
      </c>
      <c r="X49" s="204">
        <f t="shared" si="25"/>
        <v>1</v>
      </c>
      <c r="Y49" s="204">
        <f t="shared" si="26"/>
        <v>4.5999999999999999E-2</v>
      </c>
      <c r="Z49" s="204">
        <f t="shared" si="27"/>
        <v>23.331199999999999</v>
      </c>
      <c r="AA49" s="204">
        <f t="shared" si="10"/>
        <v>23.2852</v>
      </c>
      <c r="AB49" s="57" t="e">
        <f>VLOOKUP(A49,Enforcements!$C$7:$K$13,8,0)</f>
        <v>#N/A</v>
      </c>
      <c r="AC49" s="53" t="e">
        <f>VLOOKUP(A49,Enforcements!$C$7:$E$13,3,0)</f>
        <v>#N/A</v>
      </c>
      <c r="AD49" s="54" t="str">
        <f t="shared" si="11"/>
        <v>0137-30</v>
      </c>
      <c r="AE49" s="80" t="str">
        <f t="shared" si="12"/>
        <v>aws s3 cp s3://rtdc.mdm.uploadarchive.raw/RTDC4008/ "%USERPROFILE%\AppData\Local\Temp\OnboardLogs"\RTDC4008\2017-05-30 --exclude "*" --recursive --include "*20170530*" &amp; "%USERPROFILE%\Documents\GitHub\mrs-test-scripts\Headless Mode &amp; Sideloading\WalkAndUnGZ.bat" "%USERPROFILE%\AppData\Local\Temp\OnboardLogs"\RTDC4008\2017-05-30 &amp; aws s3 cp s3://rtdc.mdm.uploadarchive.raw/RTDC4008/ "%USERPROFILE%\AppData\Local\Temp\OnboardLogs"\RTDC4008\2017-05-31 --exclude "*" --recursive --include "*20170531*" &amp; "%USERPROFILE%\Documents\GitHub\mrs-test-scripts\Headless Mode &amp; Sideloading\WalkAndUnGZ.bat" "%USERPROFILE%\AppData\Local\Temp\OnboardLogs"\RTDC4008\2017-05-31</v>
      </c>
      <c r="AF49" s="77" t="str">
        <f t="shared" si="13"/>
        <v>"C:\Program Files (x86)\AstroGrep\AstroGrep.exe" /e /r /s /spath="%USERPROFILE%\AppData\Local\Temp\OnboardLogs" /stypes="app*4008*20170530*" /stext=" 14:.+((SYSTEM_STATE.+slice.+state.+changed )|(ment ac)|(multiple cpu faults)|(system.+state.+changed )|(\[timeout)|(PRM\|1\|D)|(kpr)|(kdp)|(train st.+moving)|(\|lc)|(penalty))"</v>
      </c>
      <c r="AG49" s="1" t="str">
        <f t="shared" si="14"/>
        <v>EC</v>
      </c>
      <c r="AH49" s="81" t="str">
        <f t="shared" si="19"/>
        <v>"%USERPROFILE%\Documents\GitHub\eaglep3\Utilities\RefineRTDCRunTimes.py" --tripid 137-30 --locoid 4008 --swversion DE.1.0.9.0 --startMP 204:460 --initTime 2017-05-30T08:09:42 --startdatetime 2017-05-30T08:15:23 --delay 1 --endMP 204:233312 --enddatetime 2017-05-30T08:53:20 --enforcementcount 0 &gt;&gt;C:\Users\stu\Documents\GitHub\eaglep3-reporting\EC\2017-05-30-refined-times.txt</v>
      </c>
      <c r="AI49" s="99" t="str">
        <f t="shared" si="20"/>
        <v>echo {"issue":{"subject":"","project_id":79,"tracker_id":40,"status_id":1,"priority_id":2,"assigned_to_id":23,"start_date":"2017-05-30","description":"","custom_fields":[{"id":1,"name":"Subdivision","value":"EC"},{"id":4,"name":"Milepost","value":"23.3312"},{"id":17,"name":"Train ID","value":"137-30"},{"id":16,"name":"Locomotive ID","value":"4008"},{"id":130,"name":"Impact","value":""},{"id":150,"name":"Time of Event (Mountain Time)","value":"08:53:20"},{"id":151,"name":"Denver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5" t="str">
        <f t="shared" si="21"/>
        <v>start /low /b %USERPROFILE%\Documents\GitHub\eaglep3\Utilities\DownloadLogsFromS3.py --loco 4008 --day 2017-05-30</v>
      </c>
      <c r="AN49" s="154" t="str">
        <f t="shared" si="22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14:53:20"},{"id":29,"name":"Sharepoint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732</v>
      </c>
      <c r="B50" s="7">
        <v>4007</v>
      </c>
      <c r="C50" s="21" t="s">
        <v>204</v>
      </c>
      <c r="D50" s="21" t="s">
        <v>513</v>
      </c>
      <c r="E50" s="13">
        <v>42885.377962962964</v>
      </c>
      <c r="F50" s="13">
        <v>42885.383657407408</v>
      </c>
      <c r="G50" s="7">
        <v>1</v>
      </c>
      <c r="H50" s="21" t="s">
        <v>444</v>
      </c>
      <c r="I50" s="13">
        <v>42885.412233796298</v>
      </c>
      <c r="J50" s="7">
        <v>0</v>
      </c>
      <c r="K50" s="92" t="str">
        <f t="shared" si="0"/>
        <v>4007/4008</v>
      </c>
      <c r="L50" s="21" t="str">
        <f>VLOOKUP(A50,'Trips&amp;Operators'!$C$1:$G$99999,5,FALSE)</f>
        <v>BEAM ROSS</v>
      </c>
      <c r="M50" s="6">
        <f t="shared" si="1"/>
        <v>2.8576388889632653E-2</v>
      </c>
      <c r="N50" s="7">
        <f t="shared" si="23"/>
        <v>41.150000001071021</v>
      </c>
      <c r="O50" s="7"/>
      <c r="P50" s="7"/>
      <c r="Q50" s="22"/>
      <c r="R50" s="173"/>
      <c r="S50" s="176">
        <f t="shared" si="24"/>
        <v>1</v>
      </c>
      <c r="T50" s="202" t="str">
        <f t="shared" si="4"/>
        <v>Southbound</v>
      </c>
      <c r="U50" s="202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03" t="str">
        <f t="shared" si="5"/>
        <v>https://d0f6bd738d7f1b3e5a7ca70fe4ff75f0.us-east-1.aws.found.io/app/kibana#/discover/Steve-Slow-Train-Analysis-(2080s-and-2083s)?_g=(refreshInterval:(display:Off,pause:!f,section:0,value:0),time:(from:'2017-05-30T08:04:16-0600',mode:absolute,to:'2017-05-30T10:53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50" s="204" t="str">
        <f t="shared" si="6"/>
        <v>N</v>
      </c>
      <c r="X50" s="204">
        <f t="shared" si="25"/>
        <v>1</v>
      </c>
      <c r="Y50" s="204">
        <f t="shared" si="26"/>
        <v>23.2987</v>
      </c>
      <c r="Z50" s="204">
        <f t="shared" si="27"/>
        <v>1.61E-2</v>
      </c>
      <c r="AA50" s="204">
        <f t="shared" si="10"/>
        <v>23.282599999999999</v>
      </c>
      <c r="AB50" s="57" t="e">
        <f>VLOOKUP(A50,Enforcements!$C$7:$K$13,8,0)</f>
        <v>#N/A</v>
      </c>
      <c r="AC50" s="53" t="e">
        <f>VLOOKUP(A50,Enforcements!$C$7:$E$13,3,0)</f>
        <v>#N/A</v>
      </c>
      <c r="AD50" s="54" t="str">
        <f t="shared" si="11"/>
        <v>0138-30</v>
      </c>
      <c r="AE50" s="80" t="str">
        <f t="shared" si="12"/>
        <v>aws s3 cp s3://rtdc.mdm.uploadarchive.raw/RTDC4007/ "%USERPROFILE%\AppData\Local\Temp\OnboardLogs"\RTDC4007\2017-05-30 --exclude "*" --recursive --include "*20170530*" &amp; "%USERPROFILE%\Documents\GitHub\mrs-test-scripts\Headless Mode &amp; Sideloading\WalkAndUnGZ.bat" "%USERPROFILE%\AppData\Local\Temp\OnboardLogs"\RTDC4007\2017-05-30 &amp; aws s3 cp s3://rtdc.mdm.uploadarchive.raw/RTDC4007/ "%USERPROFILE%\AppData\Local\Temp\OnboardLogs"\RTDC4007\2017-05-31 --exclude "*" --recursive --include "*20170531*" &amp; "%USERPROFILE%\Documents\GitHub\mrs-test-scripts\Headless Mode &amp; Sideloading\WalkAndUnGZ.bat" "%USERPROFILE%\AppData\Local\Temp\OnboardLogs"\RTDC4007\2017-05-31</v>
      </c>
      <c r="AF50" s="77" t="str">
        <f t="shared" si="13"/>
        <v>"C:\Program Files (x86)\AstroGrep\AstroGrep.exe" /e /r /s /spath="%USERPROFILE%\AppData\Local\Temp\OnboardLogs" /stypes="app*4007*20170530*" /stext=" 15:.+((SYSTEM_STATE.+slice.+state.+changed )|(ment ac)|(multiple cpu faults)|(system.+state.+changed )|(\[timeout)|(PRM\|1\|D)|(kpr)|(kdp)|(train st.+moving)|(\|lc)|(penalty))"</v>
      </c>
      <c r="AG50" s="1" t="str">
        <f t="shared" si="14"/>
        <v>EC</v>
      </c>
      <c r="AH50" s="81" t="str">
        <f t="shared" si="19"/>
        <v>"%USERPROFILE%\Documents\GitHub\eaglep3\Utilities\RefineRTDCRunTimes.py" --tripid 138-30 --locoid 4007 --swversion DE.1.0.9.0 --startMP 204:232987 --initTime 2017-05-30T09:04:16 --startdatetime 2017-05-30T09:12:28 --delay 1 --endMP 204:161 --enddatetime 2017-05-30T09:53:37 --enforcementcount 0 &gt;&gt;C:\Users\stu\Documents\GitHub\eaglep3-reporting\EC\2017-05-30-refined-times.txt</v>
      </c>
      <c r="AI50" s="99" t="str">
        <f t="shared" si="20"/>
        <v>echo {"issue":{"subject":"","project_id":79,"tracker_id":40,"status_id":1,"priority_id":2,"assigned_to_id":23,"start_date":"2017-05-30","description":"","custom_fields":[{"id":1,"name":"Subdivision","value":"EC"},{"id":4,"name":"Milepost","value":"0.0161"},{"id":17,"name":"Train ID","value":"138-30"},{"id":16,"name":"Locomotive ID","value":"4007"},{"id":130,"name":"Impact","value":""},{"id":150,"name":"Time of Event (Mountain Time)","value":"09:53:37"},{"id":151,"name":"Denver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5" t="str">
        <f t="shared" si="21"/>
        <v>start /low /b %USERPROFILE%\Documents\GitHub\eaglep3\Utilities\DownloadLogsFromS3.py --loco 4007 --day 2017-05-30</v>
      </c>
      <c r="AN50" s="154" t="str">
        <f t="shared" si="22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15:53:37"},{"id":29,"name":"Sharepoint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725</v>
      </c>
      <c r="B51" s="7">
        <v>4032</v>
      </c>
      <c r="C51" s="21" t="s">
        <v>204</v>
      </c>
      <c r="D51" s="21" t="s">
        <v>351</v>
      </c>
      <c r="E51" s="13">
        <v>42885.35087962963</v>
      </c>
      <c r="F51" s="13">
        <v>42885.393912037034</v>
      </c>
      <c r="G51" s="7">
        <v>1</v>
      </c>
      <c r="H51" s="21" t="s">
        <v>496</v>
      </c>
      <c r="I51" s="13">
        <v>42885.422083333331</v>
      </c>
      <c r="J51" s="7">
        <v>0</v>
      </c>
      <c r="K51" s="92" t="str">
        <f t="shared" si="0"/>
        <v>4031/4032</v>
      </c>
      <c r="L51" s="21" t="str">
        <f>VLOOKUP(A51,'Trips&amp;Operators'!$C$1:$G$99999,5,FALSE)</f>
        <v>STARKS ANGELINA</v>
      </c>
      <c r="M51" s="6">
        <f t="shared" si="1"/>
        <v>2.8171296296932269E-2</v>
      </c>
      <c r="N51" s="7">
        <f t="shared" si="23"/>
        <v>40.566666667582467</v>
      </c>
      <c r="O51" s="7"/>
      <c r="P51" s="7"/>
      <c r="Q51" s="22"/>
      <c r="R51" s="173"/>
      <c r="S51" s="176">
        <f t="shared" si="24"/>
        <v>1</v>
      </c>
      <c r="T51" s="202" t="str">
        <f t="shared" si="4"/>
        <v>NorthBound</v>
      </c>
      <c r="U51" s="202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03" t="str">
        <f t="shared" si="5"/>
        <v>https://d0f6bd738d7f1b3e5a7ca70fe4ff75f0.us-east-1.aws.found.io/app/kibana#/discover/Steve-Slow-Train-Analysis-(2080s-and-2083s)?_g=(refreshInterval:(display:Off,pause:!f,section:0,value:0),time:(from:'2017-05-30T07:25:16-0600',mode:absolute,to:'2017-05-30T11:07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51" s="204" t="str">
        <f t="shared" si="6"/>
        <v>N</v>
      </c>
      <c r="X51" s="204">
        <f t="shared" si="25"/>
        <v>1</v>
      </c>
      <c r="Y51" s="204">
        <f t="shared" si="26"/>
        <v>4.58E-2</v>
      </c>
      <c r="Z51" s="204">
        <f t="shared" si="27"/>
        <v>23.328800000000001</v>
      </c>
      <c r="AA51" s="204">
        <f t="shared" si="10"/>
        <v>23.283000000000001</v>
      </c>
      <c r="AB51" s="57" t="e">
        <f>VLOOKUP(A51,Enforcements!$C$7:$K$13,8,0)</f>
        <v>#N/A</v>
      </c>
      <c r="AC51" s="53" t="e">
        <f>VLOOKUP(A51,Enforcements!$C$7:$E$13,3,0)</f>
        <v>#N/A</v>
      </c>
      <c r="AD51" s="54" t="str">
        <f t="shared" si="11"/>
        <v>0139-30</v>
      </c>
      <c r="AE51" s="80" t="str">
        <f t="shared" si="12"/>
        <v>aws s3 cp s3://rtdc.mdm.uploadarchive.raw/RTDC4032/ "%USERPROFILE%\AppData\Local\Temp\OnboardLogs"\RTDC4032\2017-05-30 --exclude "*" --recursive --include "*20170530*" &amp; "%USERPROFILE%\Documents\GitHub\mrs-test-scripts\Headless Mode &amp; Sideloading\WalkAndUnGZ.bat" "%USERPROFILE%\AppData\Local\Temp\OnboardLogs"\RTDC4032\2017-05-30 &amp; aws s3 cp s3://rtdc.mdm.uploadarchive.raw/RTDC4032/ "%USERPROFILE%\AppData\Local\Temp\OnboardLogs"\RTDC4032\2017-05-31 --exclude "*" --recursive --include "*20170531*" &amp; "%USERPROFILE%\Documents\GitHub\mrs-test-scripts\Headless Mode &amp; Sideloading\WalkAndUnGZ.bat" "%USERPROFILE%\AppData\Local\Temp\OnboardLogs"\RTDC4032\2017-05-31</v>
      </c>
      <c r="AF51" s="77" t="str">
        <f t="shared" si="13"/>
        <v>"C:\Program Files (x86)\AstroGrep\AstroGrep.exe" /e /r /s /spath="%USERPROFILE%\AppData\Local\Temp\OnboardLogs" /stypes="app*4032*20170530*" /stext=" 16:.+((SYSTEM_STATE.+slice.+state.+changed )|(ment ac)|(multiple cpu faults)|(system.+state.+changed )|(\[timeout)|(PRM\|1\|D)|(kpr)|(kdp)|(train st.+moving)|(\|lc)|(penalty))"</v>
      </c>
      <c r="AG51" s="1" t="str">
        <f t="shared" si="14"/>
        <v>EC</v>
      </c>
      <c r="AH51" s="81" t="str">
        <f t="shared" si="19"/>
        <v>"%USERPROFILE%\Documents\GitHub\eaglep3\Utilities\RefineRTDCRunTimes.py" --tripid 139-30 --locoid 4032 --swversion DE.1.0.9.0 --startMP 204:458 --initTime 2017-05-30T08:25:16 --startdatetime 2017-05-30T09:27:14 --delay 1 --endMP 204:233288 --enddatetime 2017-05-30T10:07:48 --enforcementcount 0 &gt;&gt;C:\Users\stu\Documents\GitHub\eaglep3-reporting\EC\2017-05-30-refined-times.txt</v>
      </c>
      <c r="AI51" s="99" t="str">
        <f t="shared" si="20"/>
        <v>echo {"issue":{"subject":"","project_id":79,"tracker_id":40,"status_id":1,"priority_id":2,"assigned_to_id":23,"start_date":"2017-05-30","description":"","custom_fields":[{"id":1,"name":"Subdivision","value":"EC"},{"id":4,"name":"Milepost","value":"23.3288"},{"id":17,"name":"Train ID","value":"139-30"},{"id":16,"name":"Locomotive ID","value":"4032"},{"id":130,"name":"Impact","value":""},{"id":150,"name":"Time of Event (Mountain Time)","value":"10:07:48"},{"id":151,"name":"Denver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5" t="str">
        <f t="shared" si="21"/>
        <v>start /low /b %USERPROFILE%\Documents\GitHub\eaglep3\Utilities\DownloadLogsFromS3.py --loco 4032 --day 2017-05-30</v>
      </c>
      <c r="AN51" s="154" t="str">
        <f t="shared" si="22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16:07:48"},{"id":29,"name":"Sharepoint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734</v>
      </c>
      <c r="B52" s="7">
        <v>4031</v>
      </c>
      <c r="C52" s="21" t="s">
        <v>204</v>
      </c>
      <c r="D52" s="21" t="s">
        <v>885</v>
      </c>
      <c r="E52" s="13">
        <v>42885.387002314812</v>
      </c>
      <c r="F52" s="13">
        <v>42885.393912037034</v>
      </c>
      <c r="G52" s="7">
        <v>1</v>
      </c>
      <c r="H52" s="21" t="s">
        <v>365</v>
      </c>
      <c r="I52" s="13">
        <v>42885.422083333331</v>
      </c>
      <c r="J52" s="7">
        <v>0</v>
      </c>
      <c r="K52" s="92" t="str">
        <f t="shared" si="0"/>
        <v>4031/4032</v>
      </c>
      <c r="L52" s="21" t="str">
        <f>VLOOKUP(A52,'Trips&amp;Operators'!$C$1:$G$99999,5,FALSE)</f>
        <v>STARKS ANGELINA</v>
      </c>
      <c r="M52" s="6">
        <f t="shared" si="1"/>
        <v>2.8171296296932269E-2</v>
      </c>
      <c r="N52" s="7">
        <f t="shared" si="23"/>
        <v>40.566666667582467</v>
      </c>
      <c r="O52" s="7"/>
      <c r="P52" s="7"/>
      <c r="Q52" s="22"/>
      <c r="R52" s="173"/>
      <c r="S52" s="176">
        <f t="shared" si="24"/>
        <v>1</v>
      </c>
      <c r="T52" s="202" t="str">
        <f t="shared" si="4"/>
        <v>Southbound</v>
      </c>
      <c r="U52" s="202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03" t="str">
        <f t="shared" si="5"/>
        <v>https://d0f6bd738d7f1b3e5a7ca70fe4ff75f0.us-east-1.aws.found.io/app/kibana#/discover/Steve-Slow-Train-Analysis-(2080s-and-2083s)?_g=(refreshInterval:(display:Off,pause:!f,section:0,value:0),time:(from:'2017-05-30T08:17:17-0600',mode:absolute,to:'2017-05-30T11:07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52" s="204" t="str">
        <f t="shared" si="6"/>
        <v>N</v>
      </c>
      <c r="X52" s="204">
        <f t="shared" si="25"/>
        <v>1</v>
      </c>
      <c r="Y52" s="204">
        <f t="shared" si="26"/>
        <v>23.2957</v>
      </c>
      <c r="Z52" s="204">
        <f t="shared" si="27"/>
        <v>1.47E-2</v>
      </c>
      <c r="AA52" s="204">
        <f t="shared" si="10"/>
        <v>23.280999999999999</v>
      </c>
      <c r="AB52" s="57" t="e">
        <f>VLOOKUP(A52,Enforcements!$C$7:$K$13,8,0)</f>
        <v>#N/A</v>
      </c>
      <c r="AC52" s="53" t="e">
        <f>VLOOKUP(A52,Enforcements!$C$7:$E$13,3,0)</f>
        <v>#N/A</v>
      </c>
      <c r="AD52" s="54" t="str">
        <f t="shared" si="11"/>
        <v>0140-30</v>
      </c>
      <c r="AE52" s="80" t="str">
        <f t="shared" si="12"/>
        <v>aws s3 cp s3://rtdc.mdm.uploadarchive.raw/RTDC4031/ "%USERPROFILE%\AppData\Local\Temp\OnboardLogs"\RTDC4031\2017-05-30 --exclude "*" --recursive --include "*20170530*" &amp; "%USERPROFILE%\Documents\GitHub\mrs-test-scripts\Headless Mode &amp; Sideloading\WalkAndUnGZ.bat" "%USERPROFILE%\AppData\Local\Temp\OnboardLogs"\RTDC4031\2017-05-30 &amp; aws s3 cp s3://rtdc.mdm.uploadarchive.raw/RTDC4031/ "%USERPROFILE%\AppData\Local\Temp\OnboardLogs"\RTDC4031\2017-05-31 --exclude "*" --recursive --include "*20170531*" &amp; "%USERPROFILE%\Documents\GitHub\mrs-test-scripts\Headless Mode &amp; Sideloading\WalkAndUnGZ.bat" "%USERPROFILE%\AppData\Local\Temp\OnboardLogs"\RTDC4031\2017-05-31</v>
      </c>
      <c r="AF52" s="77" t="str">
        <f t="shared" si="13"/>
        <v>"C:\Program Files (x86)\AstroGrep\AstroGrep.exe" /e /r /s /spath="%USERPROFILE%\AppData\Local\Temp\OnboardLogs" /stypes="app*4031*20170530*" /stext=" 16:.+((SYSTEM_STATE.+slice.+state.+changed )|(ment ac)|(multiple cpu faults)|(system.+state.+changed )|(\[timeout)|(PRM\|1\|D)|(kpr)|(kdp)|(train st.+moving)|(\|lc)|(penalty))"</v>
      </c>
      <c r="AG52" s="1" t="str">
        <f t="shared" si="14"/>
        <v>EC</v>
      </c>
      <c r="AH52" s="81" t="str">
        <f t="shared" si="19"/>
        <v>"%USERPROFILE%\Documents\GitHub\eaglep3\Utilities\RefineRTDCRunTimes.py" --tripid 140-30 --locoid 4031 --swversion DE.1.0.9.0 --startMP 204:232957 --initTime 2017-05-30T09:17:17 --startdatetime 2017-05-30T09:27:14 --delay 1 --endMP 204:147 --enddatetime 2017-05-30T10:07:48 --enforcementcount 0 &gt;&gt;C:\Users\stu\Documents\GitHub\eaglep3-reporting\EC\2017-05-30-refined-times.txt</v>
      </c>
      <c r="AI52" s="99" t="str">
        <f t="shared" si="20"/>
        <v>echo {"issue":{"subject":"","project_id":79,"tracker_id":40,"status_id":1,"priority_id":2,"assigned_to_id":23,"start_date":"2017-05-30","description":"","custom_fields":[{"id":1,"name":"Subdivision","value":"EC"},{"id":4,"name":"Milepost","value":"0.0147"},{"id":17,"name":"Train ID","value":"140-30"},{"id":16,"name":"Locomotive ID","value":"4031"},{"id":130,"name":"Impact","value":""},{"id":150,"name":"Time of Event (Mountain Time)","value":"10:07:48"},{"id":151,"name":"Denver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5" t="str">
        <f t="shared" si="21"/>
        <v>start /low /b %USERPROFILE%\Documents\GitHub\eaglep3\Utilities\DownloadLogsFromS3.py --loco 4031 --day 2017-05-30</v>
      </c>
      <c r="AN52" s="154" t="str">
        <f t="shared" si="22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16:07:48"},{"id":29,"name":"Sharepoint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729</v>
      </c>
      <c r="B53" s="7">
        <v>4056</v>
      </c>
      <c r="C53" s="21" t="s">
        <v>204</v>
      </c>
      <c r="D53" s="21" t="s">
        <v>599</v>
      </c>
      <c r="E53" s="13">
        <v>42885.361342592594</v>
      </c>
      <c r="F53" s="13">
        <v>42885.364965277775</v>
      </c>
      <c r="G53" s="7">
        <v>1</v>
      </c>
      <c r="H53" s="21" t="s">
        <v>886</v>
      </c>
      <c r="I53" s="13">
        <v>42885.390821759262</v>
      </c>
      <c r="J53" s="7">
        <v>0</v>
      </c>
      <c r="K53" s="92" t="str">
        <f t="shared" si="0"/>
        <v>4055/4056</v>
      </c>
      <c r="L53" s="21" t="str">
        <f>VLOOKUP(A53,'Trips&amp;Operators'!$C$1:$G$99999,5,FALSE)</f>
        <v>BIRENBAUM THOMAS</v>
      </c>
      <c r="M53" s="6">
        <f t="shared" si="1"/>
        <v>2.5856481486698613E-2</v>
      </c>
      <c r="N53" s="7">
        <f t="shared" si="23"/>
        <v>37.233333340846002</v>
      </c>
      <c r="O53" s="7"/>
      <c r="P53" s="7"/>
      <c r="Q53" s="22"/>
      <c r="R53" s="173"/>
      <c r="S53" s="176">
        <f t="shared" si="24"/>
        <v>1</v>
      </c>
      <c r="T53" s="202" t="str">
        <f t="shared" si="4"/>
        <v>NorthBound</v>
      </c>
      <c r="U53" s="202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03" t="str">
        <f t="shared" si="5"/>
        <v>https://d0f6bd738d7f1b3e5a7ca70fe4ff75f0.us-east-1.aws.found.io/app/kibana#/discover/Steve-Slow-Train-Analysis-(2080s-and-2083s)?_g=(refreshInterval:(display:Off,pause:!f,section:0,value:0),time:(from:'2017-05-30T07:40:20-0600',mode:absolute,to:'2017-05-30T10:22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53" s="204" t="str">
        <f t="shared" si="6"/>
        <v>N</v>
      </c>
      <c r="X53" s="204">
        <f t="shared" si="25"/>
        <v>1</v>
      </c>
      <c r="Y53" s="204">
        <f t="shared" si="26"/>
        <v>4.7100000000000003E-2</v>
      </c>
      <c r="Z53" s="204">
        <f t="shared" si="27"/>
        <v>23.328499999999998</v>
      </c>
      <c r="AA53" s="204">
        <f t="shared" si="10"/>
        <v>23.281399999999998</v>
      </c>
      <c r="AB53" s="57" t="e">
        <f>VLOOKUP(A53,Enforcements!$C$7:$K$13,8,0)</f>
        <v>#N/A</v>
      </c>
      <c r="AC53" s="53" t="e">
        <f>VLOOKUP(A53,Enforcements!$C$7:$E$13,3,0)</f>
        <v>#N/A</v>
      </c>
      <c r="AD53" s="54" t="str">
        <f t="shared" si="11"/>
        <v>0141-30</v>
      </c>
      <c r="AE53" s="80" t="str">
        <f t="shared" si="12"/>
        <v>aws s3 cp s3://rtdc.mdm.uploadarchive.raw/RTDC4056/ "%USERPROFILE%\AppData\Local\Temp\OnboardLogs"\RTDC4056\2017-05-30 --exclude "*" --recursive --include "*20170530*" &amp; "%USERPROFILE%\Documents\GitHub\mrs-test-scripts\Headless Mode &amp; Sideloading\WalkAndUnGZ.bat" "%USERPROFILE%\AppData\Local\Temp\OnboardLogs"\RTDC4056\2017-05-30 &amp; aws s3 cp s3://rtdc.mdm.uploadarchive.raw/RTDC4056/ "%USERPROFILE%\AppData\Local\Temp\OnboardLogs"\RTDC4056\2017-05-31 --exclude "*" --recursive --include "*20170531*" &amp; "%USERPROFILE%\Documents\GitHub\mrs-test-scripts\Headless Mode &amp; Sideloading\WalkAndUnGZ.bat" "%USERPROFILE%\AppData\Local\Temp\OnboardLogs"\RTDC4056\2017-05-31</v>
      </c>
      <c r="AF53" s="77" t="str">
        <f t="shared" si="13"/>
        <v>"C:\Program Files (x86)\AstroGrep\AstroGrep.exe" /e /r /s /spath="%USERPROFILE%\AppData\Local\Temp\OnboardLogs" /stypes="app*4056*20170530*" /stext=" 15:.+((SYSTEM_STATE.+slice.+state.+changed )|(ment ac)|(multiple cpu faults)|(system.+state.+changed )|(\[timeout)|(PRM\|1\|D)|(kpr)|(kdp)|(train st.+moving)|(\|lc)|(penalty))"</v>
      </c>
      <c r="AG53" s="1" t="str">
        <f t="shared" si="14"/>
        <v>EC</v>
      </c>
      <c r="AH53" s="81" t="str">
        <f t="shared" si="19"/>
        <v>"%USERPROFILE%\Documents\GitHub\eaglep3\Utilities\RefineRTDCRunTimes.py" --tripid 141-30 --locoid 4056 --swversion DE.1.0.9.0 --startMP 204:471 --initTime 2017-05-30T08:40:20 --startdatetime 2017-05-30T08:45:33 --delay 1 --endMP 204:233285 --enddatetime 2017-05-30T09:22:47 --enforcementcount 0 &gt;&gt;C:\Users\stu\Documents\GitHub\eaglep3-reporting\EC\2017-05-30-refined-times.txt</v>
      </c>
      <c r="AI53" s="99" t="str">
        <f t="shared" si="20"/>
        <v>echo {"issue":{"subject":"","project_id":79,"tracker_id":40,"status_id":1,"priority_id":2,"assigned_to_id":23,"start_date":"2017-05-30","description":"","custom_fields":[{"id":1,"name":"Subdivision","value":"EC"},{"id":4,"name":"Milepost","value":"23.3285"},{"id":17,"name":"Train ID","value":"141-30"},{"id":16,"name":"Locomotive ID","value":"4056"},{"id":130,"name":"Impact","value":""},{"id":150,"name":"Time of Event (Mountain Time)","value":"09:22:47"},{"id":151,"name":"Denver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5" t="str">
        <f t="shared" si="21"/>
        <v>start /low /b %USERPROFILE%\Documents\GitHub\eaglep3\Utilities\DownloadLogsFromS3.py --loco 4056 --day 2017-05-30</v>
      </c>
      <c r="AN53" s="154" t="str">
        <f t="shared" si="22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15:22:47"},{"id":29,"name":"Sharepoint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736</v>
      </c>
      <c r="B54" s="7">
        <v>4055</v>
      </c>
      <c r="C54" s="21" t="s">
        <v>204</v>
      </c>
      <c r="D54" s="21" t="s">
        <v>499</v>
      </c>
      <c r="E54" s="13">
        <v>42885.397986111115</v>
      </c>
      <c r="F54" s="13">
        <v>42885.404340277775</v>
      </c>
      <c r="G54" s="7">
        <v>1</v>
      </c>
      <c r="H54" s="21" t="s">
        <v>463</v>
      </c>
      <c r="I54" s="13">
        <v>42885.432303240741</v>
      </c>
      <c r="J54" s="7">
        <v>0</v>
      </c>
      <c r="K54" s="92" t="str">
        <f t="shared" si="0"/>
        <v>4055/4056</v>
      </c>
      <c r="L54" s="21" t="str">
        <f>VLOOKUP(A54,'Trips&amp;Operators'!$C$1:$G$99999,5,FALSE)</f>
        <v>BIRENBAUM THOMAS</v>
      </c>
      <c r="M54" s="6">
        <f t="shared" si="1"/>
        <v>2.7962962965830229E-2</v>
      </c>
      <c r="N54" s="7">
        <f t="shared" si="23"/>
        <v>40.26666667079553</v>
      </c>
      <c r="O54" s="7"/>
      <c r="P54" s="7"/>
      <c r="Q54" s="22"/>
      <c r="R54" s="173"/>
      <c r="S54" s="176">
        <f t="shared" si="24"/>
        <v>1</v>
      </c>
      <c r="T54" s="202" t="str">
        <f t="shared" si="4"/>
        <v>Southbound</v>
      </c>
      <c r="U54" s="202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03" t="str">
        <f t="shared" si="5"/>
        <v>https://d0f6bd738d7f1b3e5a7ca70fe4ff75f0.us-east-1.aws.found.io/app/kibana#/discover/Steve-Slow-Train-Analysis-(2080s-and-2083s)?_g=(refreshInterval:(display:Off,pause:!f,section:0,value:0),time:(from:'2017-05-30T08:33:06-0600',mode:absolute,to:'2017-05-30T11:22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54" s="204" t="str">
        <f t="shared" si="6"/>
        <v>N</v>
      </c>
      <c r="X54" s="204">
        <f t="shared" si="25"/>
        <v>1</v>
      </c>
      <c r="Y54" s="204">
        <f t="shared" si="26"/>
        <v>23.298100000000002</v>
      </c>
      <c r="Z54" s="204">
        <f t="shared" si="27"/>
        <v>1.4500000000000001E-2</v>
      </c>
      <c r="AA54" s="204">
        <f t="shared" si="10"/>
        <v>23.2836</v>
      </c>
      <c r="AB54" s="57" t="e">
        <f>VLOOKUP(A54,Enforcements!$C$7:$K$13,8,0)</f>
        <v>#N/A</v>
      </c>
      <c r="AC54" s="53" t="e">
        <f>VLOOKUP(A54,Enforcements!$C$7:$E$13,3,0)</f>
        <v>#N/A</v>
      </c>
      <c r="AD54" s="54" t="str">
        <f t="shared" si="11"/>
        <v>0142-30</v>
      </c>
      <c r="AE54" s="80" t="str">
        <f t="shared" si="12"/>
        <v>aws s3 cp s3://rtdc.mdm.uploadarchive.raw/RTDC4055/ "%USERPROFILE%\AppData\Local\Temp\OnboardLogs"\RTDC4055\2017-05-30 --exclude "*" --recursive --include "*20170530*" &amp; "%USERPROFILE%\Documents\GitHub\mrs-test-scripts\Headless Mode &amp; Sideloading\WalkAndUnGZ.bat" "%USERPROFILE%\AppData\Local\Temp\OnboardLogs"\RTDC4055\2017-05-30 &amp; aws s3 cp s3://rtdc.mdm.uploadarchive.raw/RTDC4055/ "%USERPROFILE%\AppData\Local\Temp\OnboardLogs"\RTDC4055\2017-05-31 --exclude "*" --recursive --include "*20170531*" &amp; "%USERPROFILE%\Documents\GitHub\mrs-test-scripts\Headless Mode &amp; Sideloading\WalkAndUnGZ.bat" "%USERPROFILE%\AppData\Local\Temp\OnboardLogs"\RTDC4055\2017-05-31</v>
      </c>
      <c r="AF54" s="77" t="str">
        <f t="shared" si="13"/>
        <v>"C:\Program Files (x86)\AstroGrep\AstroGrep.exe" /e /r /s /spath="%USERPROFILE%\AppData\Local\Temp\OnboardLogs" /stypes="app*4055*20170530*" /stext=" 16:.+((SYSTEM_STATE.+slice.+state.+changed )|(ment ac)|(multiple cpu faults)|(system.+state.+changed )|(\[timeout)|(PRM\|1\|D)|(kpr)|(kdp)|(train st.+moving)|(\|lc)|(penalty))"</v>
      </c>
      <c r="AG54" s="1" t="str">
        <f t="shared" si="14"/>
        <v>EC</v>
      </c>
      <c r="AH54" s="81" t="str">
        <f t="shared" si="19"/>
        <v>"%USERPROFILE%\Documents\GitHub\eaglep3\Utilities\RefineRTDCRunTimes.py" --tripid 142-30 --locoid 4055 --swversion DE.1.0.9.0 --startMP 204:232981 --initTime 2017-05-30T09:33:06 --startdatetime 2017-05-30T09:42:15 --delay 1 --endMP 204:145 --enddatetime 2017-05-30T10:22:31 --enforcementcount 0 &gt;&gt;C:\Users\stu\Documents\GitHub\eaglep3-reporting\EC\2017-05-30-refined-times.txt</v>
      </c>
      <c r="AI54" s="99" t="str">
        <f t="shared" si="20"/>
        <v>echo {"issue":{"subject":"","project_id":79,"tracker_id":40,"status_id":1,"priority_id":2,"assigned_to_id":23,"start_date":"2017-05-30","description":"","custom_fields":[{"id":1,"name":"Subdivision","value":"EC"},{"id":4,"name":"Milepost","value":"0.0145"},{"id":17,"name":"Train ID","value":"142-30"},{"id":16,"name":"Locomotive ID","value":"4055"},{"id":130,"name":"Impact","value":""},{"id":150,"name":"Time of Event (Mountain Time)","value":"10:22:31"},{"id":151,"name":"Denver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5" t="str">
        <f t="shared" si="21"/>
        <v>start /low /b %USERPROFILE%\Documents\GitHub\eaglep3\Utilities\DownloadLogsFromS3.py --loco 4055 --day 2017-05-30</v>
      </c>
      <c r="AN54" s="154" t="str">
        <f t="shared" si="22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16:22:31"},{"id":29,"name":"Sharepoint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730</v>
      </c>
      <c r="B55" s="7">
        <v>4020</v>
      </c>
      <c r="C55" s="21" t="s">
        <v>204</v>
      </c>
      <c r="D55" s="21" t="s">
        <v>468</v>
      </c>
      <c r="E55" s="13">
        <v>42885.371423611112</v>
      </c>
      <c r="F55" s="13">
        <v>42885.375231481485</v>
      </c>
      <c r="G55" s="7">
        <v>1</v>
      </c>
      <c r="H55" s="21" t="s">
        <v>525</v>
      </c>
      <c r="I55" s="13">
        <v>42885.400810185187</v>
      </c>
      <c r="J55" s="7">
        <v>0</v>
      </c>
      <c r="K55" s="92" t="str">
        <f t="shared" si="0"/>
        <v>4019/4020</v>
      </c>
      <c r="L55" s="21" t="str">
        <f>VLOOKUP(A55,'Trips&amp;Operators'!$C$1:$G$99999,5,FALSE)</f>
        <v>BONDS REYNALDO</v>
      </c>
      <c r="M55" s="6">
        <f t="shared" si="1"/>
        <v>2.5578703702194616E-2</v>
      </c>
      <c r="N55" s="7">
        <f t="shared" si="23"/>
        <v>36.833333331160247</v>
      </c>
      <c r="O55" s="7"/>
      <c r="P55" s="7"/>
      <c r="Q55" s="22"/>
      <c r="R55" s="173"/>
      <c r="S55" s="176">
        <f t="shared" si="24"/>
        <v>1</v>
      </c>
      <c r="T55" s="202" t="str">
        <f t="shared" si="4"/>
        <v>NorthBound</v>
      </c>
      <c r="U55" s="202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03" t="str">
        <f t="shared" si="5"/>
        <v>https://d0f6bd738d7f1b3e5a7ca70fe4ff75f0.us-east-1.aws.found.io/app/kibana#/discover/Steve-Slow-Train-Analysis-(2080s-and-2083s)?_g=(refreshInterval:(display:Off,pause:!f,section:0,value:0),time:(from:'2017-05-30T07:54:51-0600',mode:absolute,to:'2017-05-30T10:37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55" s="204" t="str">
        <f t="shared" si="6"/>
        <v>N</v>
      </c>
      <c r="X55" s="204">
        <f t="shared" si="25"/>
        <v>1</v>
      </c>
      <c r="Y55" s="204">
        <f t="shared" si="26"/>
        <v>4.4200000000000003E-2</v>
      </c>
      <c r="Z55" s="204">
        <f t="shared" si="27"/>
        <v>23.3291</v>
      </c>
      <c r="AA55" s="204">
        <f t="shared" si="10"/>
        <v>23.2849</v>
      </c>
      <c r="AB55" s="57" t="e">
        <f>VLOOKUP(A55,Enforcements!$C$7:$K$13,8,0)</f>
        <v>#N/A</v>
      </c>
      <c r="AC55" s="53" t="e">
        <f>VLOOKUP(A55,Enforcements!$C$7:$E$13,3,0)</f>
        <v>#N/A</v>
      </c>
      <c r="AD55" s="54" t="str">
        <f t="shared" si="11"/>
        <v>0143-30</v>
      </c>
      <c r="AE55" s="80" t="str">
        <f t="shared" si="12"/>
        <v>aws s3 cp s3://rtdc.mdm.uploadarchive.raw/RTDC4020/ "%USERPROFILE%\AppData\Local\Temp\OnboardLogs"\RTDC4020\2017-05-30 --exclude "*" --recursive --include "*20170530*" &amp; "%USERPROFILE%\Documents\GitHub\mrs-test-scripts\Headless Mode &amp; Sideloading\WalkAndUnGZ.bat" "%USERPROFILE%\AppData\Local\Temp\OnboardLogs"\RTDC4020\2017-05-30 &amp; aws s3 cp s3://rtdc.mdm.uploadarchive.raw/RTDC4020/ "%USERPROFILE%\AppData\Local\Temp\OnboardLogs"\RTDC4020\2017-05-31 --exclude "*" --recursive --include "*20170531*" &amp; "%USERPROFILE%\Documents\GitHub\mrs-test-scripts\Headless Mode &amp; Sideloading\WalkAndUnGZ.bat" "%USERPROFILE%\AppData\Local\Temp\OnboardLogs"\RTDC4020\2017-05-31</v>
      </c>
      <c r="AF55" s="77" t="str">
        <f t="shared" si="13"/>
        <v>"C:\Program Files (x86)\AstroGrep\AstroGrep.exe" /e /r /s /spath="%USERPROFILE%\AppData\Local\Temp\OnboardLogs" /stypes="app*4020*20170530*" /stext=" 15:.+((SYSTEM_STATE.+slice.+state.+changed )|(ment ac)|(multiple cpu faults)|(system.+state.+changed )|(\[timeout)|(PRM\|1\|D)|(kpr)|(kdp)|(train st.+moving)|(\|lc)|(penalty))"</v>
      </c>
      <c r="AG55" s="1" t="str">
        <f t="shared" si="14"/>
        <v>EC</v>
      </c>
      <c r="AH55" s="81" t="str">
        <f t="shared" si="19"/>
        <v>"%USERPROFILE%\Documents\GitHub\eaglep3\Utilities\RefineRTDCRunTimes.py" --tripid 143-30 --locoid 4020 --swversion DE.1.0.9.0 --startMP 204:442 --initTime 2017-05-30T08:54:51 --startdatetime 2017-05-30T09:00:20 --delay 1 --endMP 204:233291 --enddatetime 2017-05-30T09:37:10 --enforcementcount 0 &gt;&gt;C:\Users\stu\Documents\GitHub\eaglep3-reporting\EC\2017-05-30-refined-times.txt</v>
      </c>
      <c r="AI55" s="99" t="str">
        <f t="shared" si="20"/>
        <v>echo {"issue":{"subject":"","project_id":79,"tracker_id":40,"status_id":1,"priority_id":2,"assigned_to_id":23,"start_date":"2017-05-30","description":"","custom_fields":[{"id":1,"name":"Subdivision","value":"EC"},{"id":4,"name":"Milepost","value":"23.3291"},{"id":17,"name":"Train ID","value":"143-30"},{"id":16,"name":"Locomotive ID","value":"4020"},{"id":130,"name":"Impact","value":""},{"id":150,"name":"Time of Event (Mountain Time)","value":"09:37:10"},{"id":151,"name":"Denver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5" t="str">
        <f t="shared" si="21"/>
        <v>start /low /b %USERPROFILE%\Documents\GitHub\eaglep3\Utilities\DownloadLogsFromS3.py --loco 4020 --day 2017-05-30</v>
      </c>
      <c r="AN55" s="154" t="str">
        <f t="shared" si="22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15:37:10"},{"id":29,"name":"Sharepoint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739</v>
      </c>
      <c r="B56" s="7">
        <v>4019</v>
      </c>
      <c r="C56" s="21" t="s">
        <v>204</v>
      </c>
      <c r="D56" s="21" t="s">
        <v>492</v>
      </c>
      <c r="E56" s="13">
        <v>42885.410902777781</v>
      </c>
      <c r="F56" s="13">
        <v>42885.414861111109</v>
      </c>
      <c r="G56" s="7">
        <v>1</v>
      </c>
      <c r="H56" s="21" t="s">
        <v>195</v>
      </c>
      <c r="I56" s="13">
        <v>42885.442199074074</v>
      </c>
      <c r="J56" s="7">
        <v>0</v>
      </c>
      <c r="K56" s="92" t="str">
        <f t="shared" si="0"/>
        <v>4019/4020</v>
      </c>
      <c r="L56" s="21" t="str">
        <f>VLOOKUP(A56,'Trips&amp;Operators'!$C$1:$G$99999,5,FALSE)</f>
        <v>BONDS REYNALDO</v>
      </c>
      <c r="M56" s="6">
        <f t="shared" si="1"/>
        <v>2.7337962965248153E-2</v>
      </c>
      <c r="N56" s="7">
        <f t="shared" si="23"/>
        <v>39.36666666995734</v>
      </c>
      <c r="O56" s="7"/>
      <c r="P56" s="7"/>
      <c r="Q56" s="22"/>
      <c r="R56" s="173"/>
      <c r="S56" s="176">
        <f t="shared" si="24"/>
        <v>1</v>
      </c>
      <c r="T56" s="202" t="str">
        <f t="shared" si="4"/>
        <v>Southbound</v>
      </c>
      <c r="U56" s="202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03" t="str">
        <f t="shared" si="5"/>
        <v>https://d0f6bd738d7f1b3e5a7ca70fe4ff75f0.us-east-1.aws.found.io/app/kibana#/discover/Steve-Slow-Train-Analysis-(2080s-and-2083s)?_g=(refreshInterval:(display:Off,pause:!f,section:0,value:0),time:(from:'2017-05-30T08:51:42-0600',mode:absolute,to:'2017-05-30T11:36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56" s="204" t="str">
        <f t="shared" si="6"/>
        <v>N</v>
      </c>
      <c r="X56" s="204">
        <f t="shared" si="25"/>
        <v>1</v>
      </c>
      <c r="Y56" s="204">
        <f t="shared" si="26"/>
        <v>23.296900000000001</v>
      </c>
      <c r="Z56" s="204">
        <f t="shared" si="27"/>
        <v>1.52E-2</v>
      </c>
      <c r="AA56" s="204">
        <f t="shared" si="10"/>
        <v>23.281700000000001</v>
      </c>
      <c r="AB56" s="57" t="e">
        <f>VLOOKUP(A56,Enforcements!$C$7:$K$13,8,0)</f>
        <v>#N/A</v>
      </c>
      <c r="AC56" s="53" t="e">
        <f>VLOOKUP(A56,Enforcements!$C$7:$E$13,3,0)</f>
        <v>#N/A</v>
      </c>
      <c r="AD56" s="54" t="str">
        <f t="shared" si="11"/>
        <v>0144-30</v>
      </c>
      <c r="AE56" s="80" t="str">
        <f t="shared" si="12"/>
        <v>aws s3 cp s3://rtdc.mdm.uploadarchive.raw/RTDC4019/ "%USERPROFILE%\AppData\Local\Temp\OnboardLogs"\RTDC4019\2017-05-30 --exclude "*" --recursive --include "*20170530*" &amp; "%USERPROFILE%\Documents\GitHub\mrs-test-scripts\Headless Mode &amp; Sideloading\WalkAndUnGZ.bat" "%USERPROFILE%\AppData\Local\Temp\OnboardLogs"\RTDC4019\2017-05-30 &amp; aws s3 cp s3://rtdc.mdm.uploadarchive.raw/RTDC4019/ "%USERPROFILE%\AppData\Local\Temp\OnboardLogs"\RTDC4019\2017-05-31 --exclude "*" --recursive --include "*20170531*" &amp; "%USERPROFILE%\Documents\GitHub\mrs-test-scripts\Headless Mode &amp; Sideloading\WalkAndUnGZ.bat" "%USERPROFILE%\AppData\Local\Temp\OnboardLogs"\RTDC4019\2017-05-31</v>
      </c>
      <c r="AF56" s="77" t="str">
        <f t="shared" si="13"/>
        <v>"C:\Program Files (x86)\AstroGrep\AstroGrep.exe" /e /r /s /spath="%USERPROFILE%\AppData\Local\Temp\OnboardLogs" /stypes="app*4019*20170530*" /stext=" 16:.+((SYSTEM_STATE.+slice.+state.+changed )|(ment ac)|(multiple cpu faults)|(system.+state.+changed )|(\[timeout)|(PRM\|1\|D)|(kpr)|(kdp)|(train st.+moving)|(\|lc)|(penalty))"</v>
      </c>
      <c r="AG56" s="1" t="str">
        <f t="shared" si="14"/>
        <v>EC</v>
      </c>
      <c r="AH56" s="81" t="str">
        <f t="shared" si="19"/>
        <v>"%USERPROFILE%\Documents\GitHub\eaglep3\Utilities\RefineRTDCRunTimes.py" --tripid 144-30 --locoid 4019 --swversion DE.1.0.9.0 --startMP 204:232969 --initTime 2017-05-30T09:51:42 --startdatetime 2017-05-30T09:57:24 --delay 1 --endMP 204:152 --enddatetime 2017-05-30T10:36:46 --enforcementcount 0 &gt;&gt;C:\Users\stu\Documents\GitHub\eaglep3-reporting\EC\2017-05-30-refined-times.txt</v>
      </c>
      <c r="AI56" s="99" t="str">
        <f t="shared" si="20"/>
        <v>echo {"issue":{"subject":"","project_id":79,"tracker_id":40,"status_id":1,"priority_id":2,"assigned_to_id":23,"start_date":"2017-05-30","description":"","custom_fields":[{"id":1,"name":"Subdivision","value":"EC"},{"id":4,"name":"Milepost","value":"0.0152"},{"id":17,"name":"Train ID","value":"144-30"},{"id":16,"name":"Locomotive ID","value":"4019"},{"id":130,"name":"Impact","value":""},{"id":150,"name":"Time of Event (Mountain Time)","value":"10:36:46"},{"id":151,"name":"Denver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5" t="str">
        <f t="shared" si="21"/>
        <v>start /low /b %USERPROFILE%\Documents\GitHub\eaglep3\Utilities\DownloadLogsFromS3.py --loco 4019 --day 2017-05-30</v>
      </c>
      <c r="AN56" s="154" t="str">
        <f t="shared" si="22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16:36:46"},{"id":29,"name":"Sharepoint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733</v>
      </c>
      <c r="B57" s="7">
        <v>4016</v>
      </c>
      <c r="C57" s="21" t="s">
        <v>204</v>
      </c>
      <c r="D57" s="21" t="s">
        <v>201</v>
      </c>
      <c r="E57" s="13">
        <v>42885.381412037037</v>
      </c>
      <c r="F57" s="13">
        <v>42885.385682870372</v>
      </c>
      <c r="G57" s="7">
        <v>1</v>
      </c>
      <c r="H57" s="21" t="s">
        <v>887</v>
      </c>
      <c r="I57" s="13">
        <v>42885.41233796296</v>
      </c>
      <c r="J57" s="7">
        <v>0</v>
      </c>
      <c r="K57" s="92" t="str">
        <f t="shared" si="0"/>
        <v>4015/4016</v>
      </c>
      <c r="L57" s="21" t="str">
        <f>VLOOKUP(A57,'Trips&amp;Operators'!$C$1:$G$99999,5,FALSE)</f>
        <v>DAVIDSON DAVID</v>
      </c>
      <c r="M57" s="6">
        <f t="shared" si="1"/>
        <v>2.6655092588043772E-2</v>
      </c>
      <c r="N57" s="7">
        <f t="shared" si="23"/>
        <v>38.383333326783031</v>
      </c>
      <c r="O57" s="7"/>
      <c r="P57" s="7"/>
      <c r="Q57" s="22"/>
      <c r="R57" s="173"/>
      <c r="S57" s="176">
        <f t="shared" si="24"/>
        <v>1</v>
      </c>
      <c r="T57" s="202" t="str">
        <f t="shared" si="4"/>
        <v>NorthBound</v>
      </c>
      <c r="U57" s="202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03" t="str">
        <f t="shared" si="5"/>
        <v>https://d0f6bd738d7f1b3e5a7ca70fe4ff75f0.us-east-1.aws.found.io/app/kibana#/discover/Steve-Slow-Train-Analysis-(2080s-and-2083s)?_g=(refreshInterval:(display:Off,pause:!f,section:0,value:0),time:(from:'2017-05-30T08:09:14-0600',mode:absolute,to:'2017-05-30T10:53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57" s="204" t="str">
        <f t="shared" si="6"/>
        <v>N</v>
      </c>
      <c r="X57" s="204">
        <f t="shared" si="25"/>
        <v>1</v>
      </c>
      <c r="Y57" s="204">
        <f t="shared" si="26"/>
        <v>4.5999999999999999E-2</v>
      </c>
      <c r="Z57" s="204">
        <f t="shared" si="27"/>
        <v>23.333200000000001</v>
      </c>
      <c r="AA57" s="204">
        <f t="shared" si="10"/>
        <v>23.287200000000002</v>
      </c>
      <c r="AB57" s="57" t="e">
        <f>VLOOKUP(A57,Enforcements!$C$7:$K$13,8,0)</f>
        <v>#N/A</v>
      </c>
      <c r="AC57" s="53" t="e">
        <f>VLOOKUP(A57,Enforcements!$C$7:$E$13,3,0)</f>
        <v>#N/A</v>
      </c>
      <c r="AD57" s="54" t="str">
        <f t="shared" si="11"/>
        <v>0145-30</v>
      </c>
      <c r="AE57" s="80" t="str">
        <f t="shared" si="12"/>
        <v>aws s3 cp s3://rtdc.mdm.uploadarchive.raw/RTDC4016/ "%USERPROFILE%\AppData\Local\Temp\OnboardLogs"\RTDC4016\2017-05-30 --exclude "*" --recursive --include "*20170530*" &amp; "%USERPROFILE%\Documents\GitHub\mrs-test-scripts\Headless Mode &amp; Sideloading\WalkAndUnGZ.bat" "%USERPROFILE%\AppData\Local\Temp\OnboardLogs"\RTDC4016\2017-05-30 &amp; aws s3 cp s3://rtdc.mdm.uploadarchive.raw/RTDC4016/ "%USERPROFILE%\AppData\Local\Temp\OnboardLogs"\RTDC4016\2017-05-31 --exclude "*" --recursive --include "*20170531*" &amp; "%USERPROFILE%\Documents\GitHub\mrs-test-scripts\Headless Mode &amp; Sideloading\WalkAndUnGZ.bat" "%USERPROFILE%\AppData\Local\Temp\OnboardLogs"\RTDC4016\2017-05-31</v>
      </c>
      <c r="AF57" s="77" t="str">
        <f t="shared" si="13"/>
        <v>"C:\Program Files (x86)\AstroGrep\AstroGrep.exe" /e /r /s /spath="%USERPROFILE%\AppData\Local\Temp\OnboardLogs" /stypes="app*4016*20170530*" /stext=" 15:.+((SYSTEM_STATE.+slice.+state.+changed )|(ment ac)|(multiple cpu faults)|(system.+state.+changed )|(\[timeout)|(PRM\|1\|D)|(kpr)|(kdp)|(train st.+moving)|(\|lc)|(penalty))"</v>
      </c>
      <c r="AG57" s="1" t="str">
        <f t="shared" si="14"/>
        <v>EC</v>
      </c>
      <c r="AH57" s="81" t="str">
        <f t="shared" si="19"/>
        <v>"%USERPROFILE%\Documents\GitHub\eaglep3\Utilities\RefineRTDCRunTimes.py" --tripid 145-30 --locoid 4016 --swversion DE.1.0.9.0 --startMP 204:460 --initTime 2017-05-30T09:09:14 --startdatetime 2017-05-30T09:15:23 --delay 1 --endMP 204:233332 --enddatetime 2017-05-30T09:53:46 --enforcementcount 0 &gt;&gt;C:\Users\stu\Documents\GitHub\eaglep3-reporting\EC\2017-05-30-refined-times.txt</v>
      </c>
      <c r="AI57" s="99" t="str">
        <f t="shared" si="20"/>
        <v>echo {"issue":{"subject":"","project_id":79,"tracker_id":40,"status_id":1,"priority_id":2,"assigned_to_id":23,"start_date":"2017-05-30","description":"","custom_fields":[{"id":1,"name":"Subdivision","value":"EC"},{"id":4,"name":"Milepost","value":"23.3332"},{"id":17,"name":"Train ID","value":"145-30"},{"id":16,"name":"Locomotive ID","value":"4016"},{"id":130,"name":"Impact","value":""},{"id":150,"name":"Time of Event (Mountain Time)","value":"09:53:46"},{"id":151,"name":"Denver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5" t="str">
        <f t="shared" si="21"/>
        <v>start /low /b %USERPROFILE%\Documents\GitHub\eaglep3\Utilities\DownloadLogsFromS3.py --loco 4016 --day 2017-05-30</v>
      </c>
      <c r="AN57" s="154" t="str">
        <f t="shared" si="22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15:53:46"},{"id":29,"name":"Sharepoint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740</v>
      </c>
      <c r="B58" s="7">
        <v>4015</v>
      </c>
      <c r="C58" s="21" t="s">
        <v>204</v>
      </c>
      <c r="D58" s="21" t="s">
        <v>588</v>
      </c>
      <c r="E58" s="13">
        <v>42885.414837962962</v>
      </c>
      <c r="F58" s="13">
        <v>42885.425254629627</v>
      </c>
      <c r="G58" s="7">
        <v>1</v>
      </c>
      <c r="H58" s="21" t="s">
        <v>352</v>
      </c>
      <c r="I58" s="13">
        <v>42885.452407407407</v>
      </c>
      <c r="J58" s="7">
        <v>0</v>
      </c>
      <c r="K58" s="92" t="str">
        <f t="shared" si="0"/>
        <v>4015/4016</v>
      </c>
      <c r="L58" s="21" t="str">
        <f>VLOOKUP(A58,'Trips&amp;Operators'!$C$1:$G$99999,5,FALSE)</f>
        <v>DAVIDSON DAVID</v>
      </c>
      <c r="M58" s="6">
        <f t="shared" si="1"/>
        <v>2.715277778042946E-2</v>
      </c>
      <c r="N58" s="7">
        <f t="shared" si="23"/>
        <v>39.100000003818423</v>
      </c>
      <c r="O58" s="7"/>
      <c r="P58" s="7"/>
      <c r="Q58" s="22"/>
      <c r="R58" s="173"/>
      <c r="S58" s="176">
        <f t="shared" si="24"/>
        <v>1</v>
      </c>
      <c r="T58" s="202" t="str">
        <f t="shared" si="4"/>
        <v>Southbound</v>
      </c>
      <c r="U58" s="202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03" t="str">
        <f t="shared" si="5"/>
        <v>https://d0f6bd738d7f1b3e5a7ca70fe4ff75f0.us-east-1.aws.found.io/app/kibana#/discover/Steve-Slow-Train-Analysis-(2080s-and-2083s)?_g=(refreshInterval:(display:Off,pause:!f,section:0,value:0),time:(from:'2017-05-30T08:57:22-0600',mode:absolute,to:'2017-05-30T11:51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58" s="204" t="str">
        <f t="shared" si="6"/>
        <v>N</v>
      </c>
      <c r="X58" s="204">
        <f t="shared" si="25"/>
        <v>1</v>
      </c>
      <c r="Y58" s="204">
        <f t="shared" si="26"/>
        <v>23.297599999999999</v>
      </c>
      <c r="Z58" s="204">
        <f t="shared" si="27"/>
        <v>1.4999999999999999E-2</v>
      </c>
      <c r="AA58" s="204">
        <f t="shared" si="10"/>
        <v>23.282599999999999</v>
      </c>
      <c r="AB58" s="57" t="e">
        <f>VLOOKUP(A58,Enforcements!$C$7:$K$13,8,0)</f>
        <v>#N/A</v>
      </c>
      <c r="AC58" s="53" t="e">
        <f>VLOOKUP(A58,Enforcements!$C$7:$E$13,3,0)</f>
        <v>#N/A</v>
      </c>
      <c r="AD58" s="54" t="str">
        <f t="shared" si="11"/>
        <v>0146-30</v>
      </c>
      <c r="AE58" s="80" t="str">
        <f t="shared" si="12"/>
        <v>aws s3 cp s3://rtdc.mdm.uploadarchive.raw/RTDC4015/ "%USERPROFILE%\AppData\Local\Temp\OnboardLogs"\RTDC4015\2017-05-30 --exclude "*" --recursive --include "*20170530*" &amp; "%USERPROFILE%\Documents\GitHub\mrs-test-scripts\Headless Mode &amp; Sideloading\WalkAndUnGZ.bat" "%USERPROFILE%\AppData\Local\Temp\OnboardLogs"\RTDC4015\2017-05-30 &amp; aws s3 cp s3://rtdc.mdm.uploadarchive.raw/RTDC4015/ "%USERPROFILE%\AppData\Local\Temp\OnboardLogs"\RTDC4015\2017-05-31 --exclude "*" --recursive --include "*20170531*" &amp; "%USERPROFILE%\Documents\GitHub\mrs-test-scripts\Headless Mode &amp; Sideloading\WalkAndUnGZ.bat" "%USERPROFILE%\AppData\Local\Temp\OnboardLogs"\RTDC4015\2017-05-31</v>
      </c>
      <c r="AF58" s="77" t="str">
        <f t="shared" si="13"/>
        <v>"C:\Program Files (x86)\AstroGrep\AstroGrep.exe" /e /r /s /spath="%USERPROFILE%\AppData\Local\Temp\OnboardLogs" /stypes="app*4015*20170530*" /stext=" 16:.+((SYSTEM_STATE.+slice.+state.+changed )|(ment ac)|(multiple cpu faults)|(system.+state.+changed )|(\[timeout)|(PRM\|1\|D)|(kpr)|(kdp)|(train st.+moving)|(\|lc)|(penalty))"</v>
      </c>
      <c r="AG58" s="1" t="str">
        <f t="shared" si="14"/>
        <v>EC</v>
      </c>
      <c r="AH58" s="81" t="str">
        <f t="shared" si="19"/>
        <v>"%USERPROFILE%\Documents\GitHub\eaglep3\Utilities\RefineRTDCRunTimes.py" --tripid 146-30 --locoid 4015 --swversion DE.1.0.9.0 --startMP 204:232976 --initTime 2017-05-30T09:57:22 --startdatetime 2017-05-30T10:12:22 --delay 1 --endMP 204:150 --enddatetime 2017-05-30T10:51:28 --enforcementcount 0 &gt;&gt;C:\Users\stu\Documents\GitHub\eaglep3-reporting\EC\2017-05-30-refined-times.txt</v>
      </c>
      <c r="AI58" s="99" t="str">
        <f t="shared" si="20"/>
        <v>echo {"issue":{"subject":"","project_id":79,"tracker_id":40,"status_id":1,"priority_id":2,"assigned_to_id":23,"start_date":"2017-05-30","description":"","custom_fields":[{"id":1,"name":"Subdivision","value":"EC"},{"id":4,"name":"Milepost","value":"0.015"},{"id":17,"name":"Train ID","value":"146-30"},{"id":16,"name":"Locomotive ID","value":"4015"},{"id":130,"name":"Impact","value":""},{"id":150,"name":"Time of Event (Mountain Time)","value":"10:51:28"},{"id":151,"name":"Denver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5" t="str">
        <f t="shared" si="21"/>
        <v>start /low /b %USERPROFILE%\Documents\GitHub\eaglep3\Utilities\DownloadLogsFromS3.py --loco 4015 --day 2017-05-30</v>
      </c>
      <c r="AN58" s="154" t="str">
        <f t="shared" si="22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16:51:28"},{"id":29,"name":"Sharepoint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735</v>
      </c>
      <c r="B59" s="7">
        <v>4018</v>
      </c>
      <c r="C59" s="21" t="s">
        <v>204</v>
      </c>
      <c r="D59" s="21" t="s">
        <v>361</v>
      </c>
      <c r="E59" s="13">
        <v>42885.393425925926</v>
      </c>
      <c r="F59" s="13">
        <v>42885.396122685182</v>
      </c>
      <c r="G59" s="7">
        <v>1</v>
      </c>
      <c r="H59" s="21" t="s">
        <v>883</v>
      </c>
      <c r="I59" s="13">
        <v>42885.42087962963</v>
      </c>
      <c r="J59" s="7">
        <v>0</v>
      </c>
      <c r="K59" s="92" t="str">
        <f t="shared" si="0"/>
        <v>4017/4018</v>
      </c>
      <c r="L59" s="21" t="str">
        <f>VLOOKUP(A59,'Trips&amp;Operators'!$C$1:$G$99999,5,FALSE)</f>
        <v>MAELZER KURT</v>
      </c>
      <c r="M59" s="6">
        <f t="shared" si="1"/>
        <v>2.4756944447290152E-2</v>
      </c>
      <c r="N59" s="7">
        <f t="shared" si="23"/>
        <v>35.650000004097819</v>
      </c>
      <c r="O59" s="7"/>
      <c r="P59" s="7"/>
      <c r="Q59" s="22"/>
      <c r="R59" s="173"/>
      <c r="S59" s="176">
        <f t="shared" si="24"/>
        <v>1</v>
      </c>
      <c r="T59" s="202" t="str">
        <f t="shared" si="4"/>
        <v>NorthBound</v>
      </c>
      <c r="U59" s="202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03" t="str">
        <f t="shared" si="5"/>
        <v>https://d0f6bd738d7f1b3e5a7ca70fe4ff75f0.us-east-1.aws.found.io/app/kibana#/discover/Steve-Slow-Train-Analysis-(2080s-and-2083s)?_g=(refreshInterval:(display:Off,pause:!f,section:0,value:0),time:(from:'2017-05-30T08:26:32-0600',mode:absolute,to:'2017-05-30T11:06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59" s="204" t="str">
        <f t="shared" si="6"/>
        <v>N</v>
      </c>
      <c r="X59" s="204">
        <f t="shared" si="25"/>
        <v>1</v>
      </c>
      <c r="Y59" s="204">
        <f t="shared" si="26"/>
        <v>4.4699999999999997E-2</v>
      </c>
      <c r="Z59" s="204">
        <f t="shared" si="27"/>
        <v>23.330300000000001</v>
      </c>
      <c r="AA59" s="204">
        <f t="shared" si="10"/>
        <v>23.285600000000002</v>
      </c>
      <c r="AB59" s="57" t="e">
        <f>VLOOKUP(A59,Enforcements!$C$7:$K$13,8,0)</f>
        <v>#N/A</v>
      </c>
      <c r="AC59" s="53" t="e">
        <f>VLOOKUP(A59,Enforcements!$C$7:$E$13,3,0)</f>
        <v>#N/A</v>
      </c>
      <c r="AD59" s="54" t="str">
        <f t="shared" si="11"/>
        <v>0147-30</v>
      </c>
      <c r="AE59" s="80" t="str">
        <f t="shared" si="12"/>
        <v>aws s3 cp s3://rtdc.mdm.uploadarchive.raw/RTDC4018/ "%USERPROFILE%\AppData\Local\Temp\OnboardLogs"\RTDC4018\2017-05-30 --exclude "*" --recursive --include "*20170530*" &amp; "%USERPROFILE%\Documents\GitHub\mrs-test-scripts\Headless Mode &amp; Sideloading\WalkAndUnGZ.bat" "%USERPROFILE%\AppData\Local\Temp\OnboardLogs"\RTDC4018\2017-05-30 &amp; aws s3 cp s3://rtdc.mdm.uploadarchive.raw/RTDC4018/ "%USERPROFILE%\AppData\Local\Temp\OnboardLogs"\RTDC4018\2017-05-31 --exclude "*" --recursive --include "*20170531*" &amp; "%USERPROFILE%\Documents\GitHub\mrs-test-scripts\Headless Mode &amp; Sideloading\WalkAndUnGZ.bat" "%USERPROFILE%\AppData\Local\Temp\OnboardLogs"\RTDC4018\2017-05-31</v>
      </c>
      <c r="AF59" s="77" t="str">
        <f t="shared" si="13"/>
        <v>"C:\Program Files (x86)\AstroGrep\AstroGrep.exe" /e /r /s /spath="%USERPROFILE%\AppData\Local\Temp\OnboardLogs" /stypes="app*4018*20170530*" /stext=" 16:.+((SYSTEM_STATE.+slice.+state.+changed )|(ment ac)|(multiple cpu faults)|(system.+state.+changed )|(\[timeout)|(PRM\|1\|D)|(kpr)|(kdp)|(train st.+moving)|(\|lc)|(penalty))"</v>
      </c>
      <c r="AG59" s="1" t="str">
        <f t="shared" si="14"/>
        <v>EC</v>
      </c>
      <c r="AH59" s="81" t="str">
        <f t="shared" si="19"/>
        <v>"%USERPROFILE%\Documents\GitHub\eaglep3\Utilities\RefineRTDCRunTimes.py" --tripid 147-30 --locoid 4018 --swversion DE.1.0.9.0 --startMP 204:447 --initTime 2017-05-30T09:26:32 --startdatetime 2017-05-30T09:30:25 --delay 1 --endMP 204:233303 --enddatetime 2017-05-30T10:06:04 --enforcementcount 0 &gt;&gt;C:\Users\stu\Documents\GitHub\eaglep3-reporting\EC\2017-05-30-refined-times.txt</v>
      </c>
      <c r="AI59" s="99" t="str">
        <f t="shared" si="20"/>
        <v>echo {"issue":{"subject":"","project_id":79,"tracker_id":40,"status_id":1,"priority_id":2,"assigned_to_id":23,"start_date":"2017-05-30","description":"","custom_fields":[{"id":1,"name":"Subdivision","value":"EC"},{"id":4,"name":"Milepost","value":"23.3303"},{"id":17,"name":"Train ID","value":"147-30"},{"id":16,"name":"Locomotive ID","value":"4018"},{"id":130,"name":"Impact","value":""},{"id":150,"name":"Time of Event (Mountain Time)","value":"10:06:04"},{"id":151,"name":"Denver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5" t="str">
        <f t="shared" si="21"/>
        <v>start /low /b %USERPROFILE%\Documents\GitHub\eaglep3\Utilities\DownloadLogsFromS3.py --loco 4018 --day 2017-05-30</v>
      </c>
      <c r="AN59" s="154" t="str">
        <f t="shared" si="22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16:06:04"},{"id":29,"name":"Sharepoint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742</v>
      </c>
      <c r="B60" s="7">
        <v>4017</v>
      </c>
      <c r="C60" s="21" t="s">
        <v>204</v>
      </c>
      <c r="D60" s="21" t="s">
        <v>407</v>
      </c>
      <c r="E60" s="13">
        <v>42885.425555555557</v>
      </c>
      <c r="F60" s="13">
        <v>42885.435879629629</v>
      </c>
      <c r="G60" s="7">
        <v>1</v>
      </c>
      <c r="H60" s="21" t="s">
        <v>589</v>
      </c>
      <c r="I60" s="13">
        <v>42885.462476851855</v>
      </c>
      <c r="J60" s="7">
        <v>0</v>
      </c>
      <c r="K60" s="92" t="str">
        <f t="shared" si="0"/>
        <v>4017/4018</v>
      </c>
      <c r="L60" s="21" t="str">
        <f>VLOOKUP(A60,'Trips&amp;Operators'!$C$1:$G$99999,5,FALSE)</f>
        <v>MAELZER KURT</v>
      </c>
      <c r="M60" s="6">
        <f t="shared" si="1"/>
        <v>2.6597222225973383E-2</v>
      </c>
      <c r="N60" s="7">
        <f t="shared" si="23"/>
        <v>38.300000005401671</v>
      </c>
      <c r="O60" s="7"/>
      <c r="P60" s="7"/>
      <c r="Q60" s="22"/>
      <c r="R60" s="173"/>
      <c r="S60" s="176">
        <f t="shared" si="24"/>
        <v>1</v>
      </c>
      <c r="T60" s="202" t="str">
        <f t="shared" si="4"/>
        <v>Southbound</v>
      </c>
      <c r="U60" s="202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03" t="str">
        <f t="shared" si="5"/>
        <v>https://d0f6bd738d7f1b3e5a7ca70fe4ff75f0.us-east-1.aws.found.io/app/kibana#/discover/Steve-Slow-Train-Analysis-(2080s-and-2083s)?_g=(refreshInterval:(display:Off,pause:!f,section:0,value:0),time:(from:'2017-05-30T09:12:48-0600',mode:absolute,to:'2017-05-30T12:05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60" s="204" t="str">
        <f t="shared" si="6"/>
        <v>N</v>
      </c>
      <c r="X60" s="204">
        <f t="shared" si="25"/>
        <v>1</v>
      </c>
      <c r="Y60" s="204">
        <f t="shared" si="26"/>
        <v>23.298200000000001</v>
      </c>
      <c r="Z60" s="204">
        <f t="shared" si="27"/>
        <v>1.2999999999999999E-2</v>
      </c>
      <c r="AA60" s="204">
        <f t="shared" si="10"/>
        <v>23.2852</v>
      </c>
      <c r="AB60" s="57" t="e">
        <f>VLOOKUP(A60,Enforcements!$C$7:$K$13,8,0)</f>
        <v>#N/A</v>
      </c>
      <c r="AC60" s="53" t="e">
        <f>VLOOKUP(A60,Enforcements!$C$7:$E$13,3,0)</f>
        <v>#N/A</v>
      </c>
      <c r="AD60" s="54" t="str">
        <f t="shared" si="11"/>
        <v>0148-30</v>
      </c>
      <c r="AE60" s="80" t="str">
        <f t="shared" si="12"/>
        <v>aws s3 cp s3://rtdc.mdm.uploadarchive.raw/RTDC4017/ "%USERPROFILE%\AppData\Local\Temp\OnboardLogs"\RTDC4017\2017-05-30 --exclude "*" --recursive --include "*20170530*" &amp; "%USERPROFILE%\Documents\GitHub\mrs-test-scripts\Headless Mode &amp; Sideloading\WalkAndUnGZ.bat" "%USERPROFILE%\AppData\Local\Temp\OnboardLogs"\RTDC4017\2017-05-30 &amp; aws s3 cp s3://rtdc.mdm.uploadarchive.raw/RTDC4017/ "%USERPROFILE%\AppData\Local\Temp\OnboardLogs"\RTDC4017\2017-05-31 --exclude "*" --recursive --include "*20170531*" &amp; "%USERPROFILE%\Documents\GitHub\mrs-test-scripts\Headless Mode &amp; Sideloading\WalkAndUnGZ.bat" "%USERPROFILE%\AppData\Local\Temp\OnboardLogs"\RTDC4017\2017-05-31</v>
      </c>
      <c r="AF60" s="77" t="str">
        <f t="shared" si="13"/>
        <v>"C:\Program Files (x86)\AstroGrep\AstroGrep.exe" /e /r /s /spath="%USERPROFILE%\AppData\Local\Temp\OnboardLogs" /stypes="app*4017*20170530*" /stext=" 17:.+((SYSTEM_STATE.+slice.+state.+changed )|(ment ac)|(multiple cpu faults)|(system.+state.+changed )|(\[timeout)|(PRM\|1\|D)|(kpr)|(kdp)|(train st.+moving)|(\|lc)|(penalty))"</v>
      </c>
      <c r="AG60" s="1" t="str">
        <f t="shared" si="14"/>
        <v>EC</v>
      </c>
      <c r="AH60" s="81" t="str">
        <f t="shared" si="19"/>
        <v>"%USERPROFILE%\Documents\GitHub\eaglep3\Utilities\RefineRTDCRunTimes.py" --tripid 148-30 --locoid 4017 --swversion DE.1.0.9.0 --startMP 204:232982 --initTime 2017-05-30T10:12:48 --startdatetime 2017-05-30T10:27:40 --delay 1 --endMP 204:130 --enddatetime 2017-05-30T11:05:58 --enforcementcount 0 &gt;&gt;C:\Users\stu\Documents\GitHub\eaglep3-reporting\EC\2017-05-30-refined-times.txt</v>
      </c>
      <c r="AI60" s="99" t="str">
        <f t="shared" si="20"/>
        <v>echo {"issue":{"subject":"","project_id":79,"tracker_id":40,"status_id":1,"priority_id":2,"assigned_to_id":23,"start_date":"2017-05-30","description":"","custom_fields":[{"id":1,"name":"Subdivision","value":"EC"},{"id":4,"name":"Milepost","value":"0.013"},{"id":17,"name":"Train ID","value":"148-30"},{"id":16,"name":"Locomotive ID","value":"4017"},{"id":130,"name":"Impact","value":""},{"id":150,"name":"Time of Event (Mountain Time)","value":"11:05:58"},{"id":151,"name":"Denver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5" t="str">
        <f t="shared" si="21"/>
        <v>start /low /b %USERPROFILE%\Documents\GitHub\eaglep3\Utilities\DownloadLogsFromS3.py --loco 4017 --day 2017-05-30</v>
      </c>
      <c r="AN60" s="154" t="str">
        <f t="shared" si="22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17:05:58"},{"id":29,"name":"Sharepoint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737</v>
      </c>
      <c r="B61" s="7">
        <v>4026</v>
      </c>
      <c r="C61" s="21" t="s">
        <v>204</v>
      </c>
      <c r="D61" s="21" t="s">
        <v>201</v>
      </c>
      <c r="E61" s="13">
        <v>42885.401493055557</v>
      </c>
      <c r="F61" s="13">
        <v>42885.406481481485</v>
      </c>
      <c r="G61" s="7">
        <v>1</v>
      </c>
      <c r="H61" s="21" t="s">
        <v>888</v>
      </c>
      <c r="I61" s="13">
        <v>42885.431006944447</v>
      </c>
      <c r="J61" s="7">
        <v>0</v>
      </c>
      <c r="K61" s="92" t="str">
        <f t="shared" si="0"/>
        <v>4025/4026</v>
      </c>
      <c r="L61" s="21" t="str">
        <f>VLOOKUP(A61,'Trips&amp;Operators'!$C$1:$G$99999,5,FALSE)</f>
        <v>LALONDE GREGORY</v>
      </c>
      <c r="M61" s="6">
        <f t="shared" si="1"/>
        <v>2.4525462962628808E-2</v>
      </c>
      <c r="N61" s="7">
        <f t="shared" si="23"/>
        <v>35.316666666185483</v>
      </c>
      <c r="O61" s="7"/>
      <c r="P61" s="7"/>
      <c r="Q61" s="22"/>
      <c r="R61" s="173"/>
      <c r="S61" s="176">
        <f t="shared" si="24"/>
        <v>1</v>
      </c>
      <c r="T61" s="202" t="str">
        <f t="shared" si="4"/>
        <v>NorthBound</v>
      </c>
      <c r="U61" s="202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03" t="str">
        <f t="shared" si="5"/>
        <v>https://d0f6bd738d7f1b3e5a7ca70fe4ff75f0.us-east-1.aws.found.io/app/kibana#/discover/Steve-Slow-Train-Analysis-(2080s-and-2083s)?_g=(refreshInterval:(display:Off,pause:!f,section:0,value:0),time:(from:'2017-05-30T08:38:09-0600',mode:absolute,to:'2017-05-30T11:20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61" s="204" t="str">
        <f t="shared" si="6"/>
        <v>N</v>
      </c>
      <c r="X61" s="204">
        <f t="shared" si="25"/>
        <v>1</v>
      </c>
      <c r="Y61" s="204">
        <f t="shared" si="26"/>
        <v>4.5999999999999999E-2</v>
      </c>
      <c r="Z61" s="204">
        <f t="shared" si="27"/>
        <v>23.3355</v>
      </c>
      <c r="AA61" s="204">
        <f t="shared" si="10"/>
        <v>23.2895</v>
      </c>
      <c r="AB61" s="57" t="e">
        <f>VLOOKUP(A61,Enforcements!$C$7:$K$13,8,0)</f>
        <v>#N/A</v>
      </c>
      <c r="AC61" s="53" t="e">
        <f>VLOOKUP(A61,Enforcements!$C$7:$E$13,3,0)</f>
        <v>#N/A</v>
      </c>
      <c r="AD61" s="54" t="str">
        <f t="shared" si="11"/>
        <v>0149-30</v>
      </c>
      <c r="AE61" s="80" t="str">
        <f t="shared" si="12"/>
        <v>aws s3 cp s3://rtdc.mdm.uploadarchive.raw/RTDC4026/ "%USERPROFILE%\AppData\Local\Temp\OnboardLogs"\RTDC4026\2017-05-30 --exclude "*" --recursive --include "*20170530*" &amp; "%USERPROFILE%\Documents\GitHub\mrs-test-scripts\Headless Mode &amp; Sideloading\WalkAndUnGZ.bat" "%USERPROFILE%\AppData\Local\Temp\OnboardLogs"\RTDC4026\2017-05-30 &amp; aws s3 cp s3://rtdc.mdm.uploadarchive.raw/RTDC4026/ "%USERPROFILE%\AppData\Local\Temp\OnboardLogs"\RTDC4026\2017-05-31 --exclude "*" --recursive --include "*20170531*" &amp; "%USERPROFILE%\Documents\GitHub\mrs-test-scripts\Headless Mode &amp; Sideloading\WalkAndUnGZ.bat" "%USERPROFILE%\AppData\Local\Temp\OnboardLogs"\RTDC4026\2017-05-31</v>
      </c>
      <c r="AF61" s="77" t="str">
        <f t="shared" si="13"/>
        <v>"C:\Program Files (x86)\AstroGrep\AstroGrep.exe" /e /r /s /spath="%USERPROFILE%\AppData\Local\Temp\OnboardLogs" /stypes="app*4026*20170530*" /stext=" 16:.+((SYSTEM_STATE.+slice.+state.+changed )|(ment ac)|(multiple cpu faults)|(system.+state.+changed )|(\[timeout)|(PRM\|1\|D)|(kpr)|(kdp)|(train st.+moving)|(\|lc)|(penalty))"</v>
      </c>
      <c r="AG61" s="1" t="str">
        <f t="shared" si="14"/>
        <v>EC</v>
      </c>
      <c r="AH61" s="81" t="str">
        <f t="shared" si="19"/>
        <v>"%USERPROFILE%\Documents\GitHub\eaglep3\Utilities\RefineRTDCRunTimes.py" --tripid 149-30 --locoid 4026 --swversion DE.1.0.9.0 --startMP 204:460 --initTime 2017-05-30T09:38:09 --startdatetime 2017-05-30T09:45:20 --delay 1 --endMP 204:233355 --enddatetime 2017-05-30T10:20:39 --enforcementcount 0 &gt;&gt;C:\Users\stu\Documents\GitHub\eaglep3-reporting\EC\2017-05-30-refined-times.txt</v>
      </c>
      <c r="AI61" s="99" t="str">
        <f t="shared" si="20"/>
        <v>echo {"issue":{"subject":"","project_id":79,"tracker_id":40,"status_id":1,"priority_id":2,"assigned_to_id":23,"start_date":"2017-05-30","description":"","custom_fields":[{"id":1,"name":"Subdivision","value":"EC"},{"id":4,"name":"Milepost","value":"23.3355"},{"id":17,"name":"Train ID","value":"149-30"},{"id":16,"name":"Locomotive ID","value":"4026"},{"id":130,"name":"Impact","value":""},{"id":150,"name":"Time of Event (Mountain Time)","value":"10:20:39"},{"id":151,"name":"Denver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5" t="str">
        <f t="shared" si="21"/>
        <v>start /low /b %USERPROFILE%\Documents\GitHub\eaglep3\Utilities\DownloadLogsFromS3.py --loco 4026 --day 2017-05-30</v>
      </c>
      <c r="AN61" s="154" t="str">
        <f t="shared" si="22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16:20:39"},{"id":29,"name":"Sharepoint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744</v>
      </c>
      <c r="B62" s="7">
        <v>4025</v>
      </c>
      <c r="C62" s="21" t="s">
        <v>204</v>
      </c>
      <c r="D62" s="21" t="s">
        <v>889</v>
      </c>
      <c r="E62" s="13">
        <v>42885.432824074072</v>
      </c>
      <c r="F62" s="13">
        <v>42885.446157407408</v>
      </c>
      <c r="G62" s="7">
        <v>1</v>
      </c>
      <c r="H62" s="21" t="s">
        <v>365</v>
      </c>
      <c r="I62" s="13">
        <v>42885.471689814818</v>
      </c>
      <c r="J62" s="7">
        <v>0</v>
      </c>
      <c r="K62" s="92" t="str">
        <f t="shared" si="0"/>
        <v>4025/4026</v>
      </c>
      <c r="L62" s="21" t="str">
        <f>VLOOKUP(A62,'Trips&amp;Operators'!$C$1:$G$99999,5,FALSE)</f>
        <v>LALONDE GREGORY</v>
      </c>
      <c r="M62" s="6">
        <f t="shared" si="1"/>
        <v>2.5532407409627922E-2</v>
      </c>
      <c r="N62" s="7">
        <f t="shared" si="23"/>
        <v>36.766666669864208</v>
      </c>
      <c r="O62" s="7"/>
      <c r="P62" s="7"/>
      <c r="Q62" s="22"/>
      <c r="R62" s="173"/>
      <c r="S62" s="176">
        <f t="shared" si="24"/>
        <v>1</v>
      </c>
      <c r="T62" s="202" t="str">
        <f t="shared" si="4"/>
        <v>Southbound</v>
      </c>
      <c r="U62" s="202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03" t="str">
        <f t="shared" si="5"/>
        <v>https://d0f6bd738d7f1b3e5a7ca70fe4ff75f0.us-east-1.aws.found.io/app/kibana#/discover/Steve-Slow-Train-Analysis-(2080s-and-2083s)?_g=(refreshInterval:(display:Off,pause:!f,section:0,value:0),time:(from:'2017-05-30T09:23:16-0600',mode:absolute,to:'2017-05-30T12:19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62" s="204" t="str">
        <f t="shared" si="6"/>
        <v>N</v>
      </c>
      <c r="X62" s="204">
        <f t="shared" si="25"/>
        <v>1</v>
      </c>
      <c r="Y62" s="204">
        <f t="shared" si="26"/>
        <v>23.3017</v>
      </c>
      <c r="Z62" s="204">
        <f t="shared" si="27"/>
        <v>1.47E-2</v>
      </c>
      <c r="AA62" s="204">
        <f t="shared" si="10"/>
        <v>23.286999999999999</v>
      </c>
      <c r="AB62" s="57" t="e">
        <f>VLOOKUP(A62,Enforcements!$C$7:$K$13,8,0)</f>
        <v>#N/A</v>
      </c>
      <c r="AC62" s="53" t="e">
        <f>VLOOKUP(A62,Enforcements!$C$7:$E$13,3,0)</f>
        <v>#N/A</v>
      </c>
      <c r="AD62" s="54" t="str">
        <f t="shared" si="11"/>
        <v>0150-30</v>
      </c>
      <c r="AE62" s="80" t="str">
        <f t="shared" si="12"/>
        <v>aws s3 cp s3://rtdc.mdm.uploadarchive.raw/RTDC4025/ "%USERPROFILE%\AppData\Local\Temp\OnboardLogs"\RTDC4025\2017-05-30 --exclude "*" --recursive --include "*20170530*" &amp; "%USERPROFILE%\Documents\GitHub\mrs-test-scripts\Headless Mode &amp; Sideloading\WalkAndUnGZ.bat" "%USERPROFILE%\AppData\Local\Temp\OnboardLogs"\RTDC4025\2017-05-30 &amp; aws s3 cp s3://rtdc.mdm.uploadarchive.raw/RTDC4025/ "%USERPROFILE%\AppData\Local\Temp\OnboardLogs"\RTDC4025\2017-05-31 --exclude "*" --recursive --include "*20170531*" &amp; "%USERPROFILE%\Documents\GitHub\mrs-test-scripts\Headless Mode &amp; Sideloading\WalkAndUnGZ.bat" "%USERPROFILE%\AppData\Local\Temp\OnboardLogs"\RTDC4025\2017-05-31</v>
      </c>
      <c r="AF62" s="77" t="str">
        <f t="shared" si="13"/>
        <v>"C:\Program Files (x86)\AstroGrep\AstroGrep.exe" /e /r /s /spath="%USERPROFILE%\AppData\Local\Temp\OnboardLogs" /stypes="app*4025*20170530*" /stext=" 17:.+((SYSTEM_STATE.+slice.+state.+changed )|(ment ac)|(multiple cpu faults)|(system.+state.+changed )|(\[timeout)|(PRM\|1\|D)|(kpr)|(kdp)|(train st.+moving)|(\|lc)|(penalty))"</v>
      </c>
      <c r="AG62" s="1" t="str">
        <f t="shared" si="14"/>
        <v>EC</v>
      </c>
      <c r="AH62" s="81" t="str">
        <f t="shared" si="19"/>
        <v>"%USERPROFILE%\Documents\GitHub\eaglep3\Utilities\RefineRTDCRunTimes.py" --tripid 150-30 --locoid 4025 --swversion DE.1.0.9.0 --startMP 204:233017 --initTime 2017-05-30T10:23:16 --startdatetime 2017-05-30T10:42:28 --delay 1 --endMP 204:147 --enddatetime 2017-05-30T11:19:14 --enforcementcount 0 &gt;&gt;C:\Users\stu\Documents\GitHub\eaglep3-reporting\EC\2017-05-30-refined-times.txt</v>
      </c>
      <c r="AI62" s="99" t="str">
        <f t="shared" si="20"/>
        <v>echo {"issue":{"subject":"","project_id":79,"tracker_id":40,"status_id":1,"priority_id":2,"assigned_to_id":23,"start_date":"2017-05-30","description":"","custom_fields":[{"id":1,"name":"Subdivision","value":"EC"},{"id":4,"name":"Milepost","value":"0.0147"},{"id":17,"name":"Train ID","value":"150-30"},{"id":16,"name":"Locomotive ID","value":"4025"},{"id":130,"name":"Impact","value":""},{"id":150,"name":"Time of Event (Mountain Time)","value":"11:19:14"},{"id":151,"name":"Denver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5" t="str">
        <f t="shared" si="21"/>
        <v>start /low /b %USERPROFILE%\Documents\GitHub\eaglep3\Utilities\DownloadLogsFromS3.py --loco 4025 --day 2017-05-30</v>
      </c>
      <c r="AN62" s="154" t="str">
        <f t="shared" si="22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17:19:14"},{"id":29,"name":"Sharepoint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643</v>
      </c>
      <c r="B63" s="7">
        <v>4008</v>
      </c>
      <c r="C63" s="21" t="s">
        <v>204</v>
      </c>
      <c r="D63" s="21" t="s">
        <v>351</v>
      </c>
      <c r="E63" s="13">
        <v>42885.413495370369</v>
      </c>
      <c r="F63" s="13">
        <v>42885.416956018518</v>
      </c>
      <c r="G63" s="7">
        <v>1</v>
      </c>
      <c r="H63" s="21" t="s">
        <v>527</v>
      </c>
      <c r="I63" s="13">
        <v>42885.441805555558</v>
      </c>
      <c r="J63" s="7">
        <v>0</v>
      </c>
      <c r="K63" s="92" t="str">
        <f t="shared" si="0"/>
        <v>4007/4008</v>
      </c>
      <c r="L63" s="21" t="str">
        <f>VLOOKUP(A63,'Trips&amp;Operators'!$C$1:$G$99999,5,FALSE)</f>
        <v>MACDONALD THOMAS</v>
      </c>
      <c r="M63" s="6">
        <f t="shared" si="1"/>
        <v>2.4849537039699499E-2</v>
      </c>
      <c r="N63" s="7">
        <f t="shared" si="23"/>
        <v>35.783333337167278</v>
      </c>
      <c r="O63" s="7"/>
      <c r="P63" s="7"/>
      <c r="Q63" s="22"/>
      <c r="R63" s="173"/>
      <c r="S63" s="176">
        <f t="shared" si="24"/>
        <v>1</v>
      </c>
      <c r="T63" s="202" t="str">
        <f t="shared" si="4"/>
        <v>NorthBound</v>
      </c>
      <c r="U63" s="202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03" t="str">
        <f t="shared" si="5"/>
        <v>https://d0f6bd738d7f1b3e5a7ca70fe4ff75f0.us-east-1.aws.found.io/app/kibana#/discover/Steve-Slow-Train-Analysis-(2080s-and-2083s)?_g=(refreshInterval:(display:Off,pause:!f,section:0,value:0),time:(from:'2017-05-30T08:55:26-0600',mode:absolute,to:'2017-05-30T11:36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63" s="204" t="str">
        <f t="shared" si="6"/>
        <v>N</v>
      </c>
      <c r="X63" s="204">
        <f t="shared" si="25"/>
        <v>1</v>
      </c>
      <c r="Y63" s="204">
        <f t="shared" si="26"/>
        <v>4.58E-2</v>
      </c>
      <c r="Z63" s="204">
        <f t="shared" si="27"/>
        <v>23.331099999999999</v>
      </c>
      <c r="AA63" s="204">
        <f t="shared" si="10"/>
        <v>23.285299999999999</v>
      </c>
      <c r="AB63" s="57" t="e">
        <f>VLOOKUP(A63,Enforcements!$C$7:$K$13,8,0)</f>
        <v>#N/A</v>
      </c>
      <c r="AC63" s="53" t="e">
        <f>VLOOKUP(A63,Enforcements!$C$7:$E$13,3,0)</f>
        <v>#N/A</v>
      </c>
      <c r="AD63" s="54" t="str">
        <f t="shared" si="11"/>
        <v>0151-30</v>
      </c>
      <c r="AE63" s="80" t="str">
        <f t="shared" si="12"/>
        <v>aws s3 cp s3://rtdc.mdm.uploadarchive.raw/RTDC4008/ "%USERPROFILE%\AppData\Local\Temp\OnboardLogs"\RTDC4008\2017-05-30 --exclude "*" --recursive --include "*20170530*" &amp; "%USERPROFILE%\Documents\GitHub\mrs-test-scripts\Headless Mode &amp; Sideloading\WalkAndUnGZ.bat" "%USERPROFILE%\AppData\Local\Temp\OnboardLogs"\RTDC4008\2017-05-30 &amp; aws s3 cp s3://rtdc.mdm.uploadarchive.raw/RTDC4008/ "%USERPROFILE%\AppData\Local\Temp\OnboardLogs"\RTDC4008\2017-05-31 --exclude "*" --recursive --include "*20170531*" &amp; "%USERPROFILE%\Documents\GitHub\mrs-test-scripts\Headless Mode &amp; Sideloading\WalkAndUnGZ.bat" "%USERPROFILE%\AppData\Local\Temp\OnboardLogs"\RTDC4008\2017-05-31</v>
      </c>
      <c r="AF63" s="77" t="str">
        <f t="shared" si="13"/>
        <v>"C:\Program Files (x86)\AstroGrep\AstroGrep.exe" /e /r /s /spath="%USERPROFILE%\AppData\Local\Temp\OnboardLogs" /stypes="app*4008*20170530*" /stext=" 16:.+((SYSTEM_STATE.+slice.+state.+changed )|(ment ac)|(multiple cpu faults)|(system.+state.+changed )|(\[timeout)|(PRM\|1\|D)|(kpr)|(kdp)|(train st.+moving)|(\|lc)|(penalty))"</v>
      </c>
      <c r="AG63" s="1" t="str">
        <f t="shared" si="14"/>
        <v>EC</v>
      </c>
      <c r="AH63" s="81" t="str">
        <f t="shared" si="19"/>
        <v>"%USERPROFILE%\Documents\GitHub\eaglep3\Utilities\RefineRTDCRunTimes.py" --tripid 151-30 --locoid 4008 --swversion DE.1.0.9.0 --startMP 204:458 --initTime 2017-05-30T09:55:26 --startdatetime 2017-05-30T10:00:25 --delay 1 --endMP 204:233311 --enddatetime 2017-05-30T10:36:12 --enforcementcount 0 &gt;&gt;C:\Users\stu\Documents\GitHub\eaglep3-reporting\EC\2017-05-30-refined-times.txt</v>
      </c>
      <c r="AI63" s="99" t="str">
        <f t="shared" si="20"/>
        <v>echo {"issue":{"subject":"","project_id":79,"tracker_id":40,"status_id":1,"priority_id":2,"assigned_to_id":23,"start_date":"2017-05-30","description":"","custom_fields":[{"id":1,"name":"Subdivision","value":"EC"},{"id":4,"name":"Milepost","value":"23.3311"},{"id":17,"name":"Train ID","value":"151-30"},{"id":16,"name":"Locomotive ID","value":"4008"},{"id":130,"name":"Impact","value":""},{"id":150,"name":"Time of Event (Mountain Time)","value":"10:36:12"},{"id":151,"name":"Denver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5" t="str">
        <f t="shared" si="21"/>
        <v>start /low /b %USERPROFILE%\Documents\GitHub\eaglep3\Utilities\DownloadLogsFromS3.py --loco 4008 --day 2017-05-30</v>
      </c>
      <c r="AN63" s="154" t="str">
        <f t="shared" si="22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16:36:12"},{"id":29,"name":"Sharepoint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748</v>
      </c>
      <c r="B64" s="7">
        <v>4007</v>
      </c>
      <c r="C64" s="21" t="s">
        <v>204</v>
      </c>
      <c r="D64" s="21" t="s">
        <v>590</v>
      </c>
      <c r="E64" s="13">
        <v>42885.453414351854</v>
      </c>
      <c r="F64" s="13">
        <v>42885.45653935185</v>
      </c>
      <c r="G64" s="7">
        <v>1</v>
      </c>
      <c r="H64" s="21" t="s">
        <v>521</v>
      </c>
      <c r="I64" s="13">
        <v>42885.488206018519</v>
      </c>
      <c r="J64" s="7">
        <v>0</v>
      </c>
      <c r="K64" s="92" t="str">
        <f t="shared" si="0"/>
        <v>4007/4008</v>
      </c>
      <c r="L64" s="21" t="str">
        <f>VLOOKUP(A64,'Trips&amp;Operators'!$C$1:$G$99999,5,FALSE)</f>
        <v>MACDONALD THOMAS</v>
      </c>
      <c r="M64" s="6">
        <f t="shared" si="1"/>
        <v>3.1666666669480037E-2</v>
      </c>
      <c r="N64" s="7">
        <f t="shared" si="23"/>
        <v>45.600000004051253</v>
      </c>
      <c r="O64" s="7"/>
      <c r="P64" s="7"/>
      <c r="Q64" s="22"/>
      <c r="R64" s="173"/>
      <c r="S64" s="176">
        <f t="shared" si="24"/>
        <v>1</v>
      </c>
      <c r="T64" s="202" t="str">
        <f t="shared" si="4"/>
        <v>Southbound</v>
      </c>
      <c r="U64" s="202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03" t="str">
        <f t="shared" si="5"/>
        <v>https://d0f6bd738d7f1b3e5a7ca70fe4ff75f0.us-east-1.aws.found.io/app/kibana#/discover/Steve-Slow-Train-Analysis-(2080s-and-2083s)?_g=(refreshInterval:(display:Off,pause:!f,section:0,value:0),time:(from:'2017-05-30T09:52:55-0600',mode:absolute,to:'2017-05-30T12:43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64" s="204" t="str">
        <f t="shared" si="6"/>
        <v>N</v>
      </c>
      <c r="X64" s="204">
        <f t="shared" si="25"/>
        <v>1</v>
      </c>
      <c r="Y64" s="204">
        <f t="shared" si="26"/>
        <v>23.297499999999999</v>
      </c>
      <c r="Z64" s="204">
        <f t="shared" si="27"/>
        <v>1.5599999999999999E-2</v>
      </c>
      <c r="AA64" s="204">
        <f t="shared" si="10"/>
        <v>23.2819</v>
      </c>
      <c r="AB64" s="57" t="e">
        <f>VLOOKUP(A64,Enforcements!$C$7:$K$13,8,0)</f>
        <v>#N/A</v>
      </c>
      <c r="AC64" s="53" t="e">
        <f>VLOOKUP(A64,Enforcements!$C$7:$E$13,3,0)</f>
        <v>#N/A</v>
      </c>
      <c r="AD64" s="54" t="str">
        <f t="shared" si="11"/>
        <v>0152-30</v>
      </c>
      <c r="AE64" s="80" t="str">
        <f t="shared" si="12"/>
        <v>aws s3 cp s3://rtdc.mdm.uploadarchive.raw/RTDC4007/ "%USERPROFILE%\AppData\Local\Temp\OnboardLogs"\RTDC4007\2017-05-30 --exclude "*" --recursive --include "*20170530*" &amp; "%USERPROFILE%\Documents\GitHub\mrs-test-scripts\Headless Mode &amp; Sideloading\WalkAndUnGZ.bat" "%USERPROFILE%\AppData\Local\Temp\OnboardLogs"\RTDC4007\2017-05-30 &amp; aws s3 cp s3://rtdc.mdm.uploadarchive.raw/RTDC4007/ "%USERPROFILE%\AppData\Local\Temp\OnboardLogs"\RTDC4007\2017-05-31 --exclude "*" --recursive --include "*20170531*" &amp; "%USERPROFILE%\Documents\GitHub\mrs-test-scripts\Headless Mode &amp; Sideloading\WalkAndUnGZ.bat" "%USERPROFILE%\AppData\Local\Temp\OnboardLogs"\RTDC4007\2017-05-31</v>
      </c>
      <c r="AF64" s="77" t="str">
        <f t="shared" si="13"/>
        <v>"C:\Program Files (x86)\AstroGrep\AstroGrep.exe" /e /r /s /spath="%USERPROFILE%\AppData\Local\Temp\OnboardLogs" /stypes="app*4007*20170530*" /stext=" 17:.+((SYSTEM_STATE.+slice.+state.+changed )|(ment ac)|(multiple cpu faults)|(system.+state.+changed )|(\[timeout)|(PRM\|1\|D)|(kpr)|(kdp)|(train st.+moving)|(\|lc)|(penalty))"</v>
      </c>
      <c r="AG64" s="1" t="str">
        <f t="shared" si="14"/>
        <v>EC</v>
      </c>
      <c r="AH64" s="81" t="str">
        <f t="shared" si="19"/>
        <v>"%USERPROFILE%\Documents\GitHub\eaglep3\Utilities\RefineRTDCRunTimes.py" --tripid 152-30 --locoid 4007 --swversion DE.1.0.9.0 --startMP 204:232975 --initTime 2017-05-30T10:52:55 --startdatetime 2017-05-30T10:57:25 --delay 1 --endMP 204:156 --enddatetime 2017-05-30T11:43:01 --enforcementcount 0 &gt;&gt;C:\Users\stu\Documents\GitHub\eaglep3-reporting\EC\2017-05-30-refined-times.txt</v>
      </c>
      <c r="AI64" s="99" t="str">
        <f t="shared" si="20"/>
        <v>echo {"issue":{"subject":"","project_id":79,"tracker_id":40,"status_id":1,"priority_id":2,"assigned_to_id":23,"start_date":"2017-05-30","description":"","custom_fields":[{"id":1,"name":"Subdivision","value":"EC"},{"id":4,"name":"Milepost","value":"0.0156"},{"id":17,"name":"Train ID","value":"152-30"},{"id":16,"name":"Locomotive ID","value":"4007"},{"id":130,"name":"Impact","value":""},{"id":150,"name":"Time of Event (Mountain Time)","value":"11:43:01"},{"id":151,"name":"Denver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5" t="str">
        <f t="shared" si="21"/>
        <v>start /low /b %USERPROFILE%\Documents\GitHub\eaglep3\Utilities\DownloadLogsFromS3.py --loco 4007 --day 2017-05-30</v>
      </c>
      <c r="AN64" s="154" t="str">
        <f t="shared" si="22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17:43:01"},{"id":29,"name":"Sharepoint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741</v>
      </c>
      <c r="B65" s="7">
        <v>4032</v>
      </c>
      <c r="C65" s="21" t="s">
        <v>204</v>
      </c>
      <c r="D65" s="21" t="s">
        <v>351</v>
      </c>
      <c r="E65" s="13">
        <v>42885.424861111111</v>
      </c>
      <c r="F65" s="13">
        <v>42885.427337962959</v>
      </c>
      <c r="G65" s="7">
        <v>1</v>
      </c>
      <c r="H65" s="21" t="s">
        <v>533</v>
      </c>
      <c r="I65" s="13">
        <v>42885.452546296299</v>
      </c>
      <c r="J65" s="7">
        <v>0</v>
      </c>
      <c r="K65" s="92" t="str">
        <f t="shared" si="0"/>
        <v>4031/4032</v>
      </c>
      <c r="L65" s="21" t="str">
        <f>VLOOKUP(A65,'Trips&amp;Operators'!$C$1:$G$99999,5,FALSE)</f>
        <v>LAMAR NEKESHA</v>
      </c>
      <c r="M65" s="6">
        <f t="shared" si="1"/>
        <v>2.5208333339833189E-2</v>
      </c>
      <c r="N65" s="7">
        <f t="shared" si="23"/>
        <v>36.300000009359792</v>
      </c>
      <c r="O65" s="7"/>
      <c r="P65" s="7"/>
      <c r="Q65" s="22"/>
      <c r="R65" s="173"/>
      <c r="S65" s="176">
        <f t="shared" si="24"/>
        <v>1</v>
      </c>
      <c r="T65" s="202" t="str">
        <f t="shared" si="4"/>
        <v>NorthBound</v>
      </c>
      <c r="U65" s="202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03" t="str">
        <f t="shared" si="5"/>
        <v>https://d0f6bd738d7f1b3e5a7ca70fe4ff75f0.us-east-1.aws.found.io/app/kibana#/discover/Steve-Slow-Train-Analysis-(2080s-and-2083s)?_g=(refreshInterval:(display:Off,pause:!f,section:0,value:0),time:(from:'2017-05-30T09:11:48-0600',mode:absolute,to:'2017-05-30T11:51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65" s="204" t="str">
        <f t="shared" si="6"/>
        <v>N</v>
      </c>
      <c r="X65" s="204">
        <f t="shared" si="25"/>
        <v>1</v>
      </c>
      <c r="Y65" s="204">
        <f t="shared" si="26"/>
        <v>4.58E-2</v>
      </c>
      <c r="Z65" s="204">
        <f t="shared" si="27"/>
        <v>23.33</v>
      </c>
      <c r="AA65" s="204">
        <f t="shared" si="10"/>
        <v>23.284199999999998</v>
      </c>
      <c r="AB65" s="57" t="e">
        <f>VLOOKUP(A65,Enforcements!$C$7:$K$13,8,0)</f>
        <v>#N/A</v>
      </c>
      <c r="AC65" s="53" t="e">
        <f>VLOOKUP(A65,Enforcements!$C$7:$E$13,3,0)</f>
        <v>#N/A</v>
      </c>
      <c r="AD65" s="54" t="str">
        <f t="shared" si="11"/>
        <v>0153-30</v>
      </c>
      <c r="AE65" s="80" t="str">
        <f t="shared" si="12"/>
        <v>aws s3 cp s3://rtdc.mdm.uploadarchive.raw/RTDC4032/ "%USERPROFILE%\AppData\Local\Temp\OnboardLogs"\RTDC4032\2017-05-30 --exclude "*" --recursive --include "*20170530*" &amp; "%USERPROFILE%\Documents\GitHub\mrs-test-scripts\Headless Mode &amp; Sideloading\WalkAndUnGZ.bat" "%USERPROFILE%\AppData\Local\Temp\OnboardLogs"\RTDC4032\2017-05-30 &amp; aws s3 cp s3://rtdc.mdm.uploadarchive.raw/RTDC4032/ "%USERPROFILE%\AppData\Local\Temp\OnboardLogs"\RTDC4032\2017-05-31 --exclude "*" --recursive --include "*20170531*" &amp; "%USERPROFILE%\Documents\GitHub\mrs-test-scripts\Headless Mode &amp; Sideloading\WalkAndUnGZ.bat" "%USERPROFILE%\AppData\Local\Temp\OnboardLogs"\RTDC4032\2017-05-31</v>
      </c>
      <c r="AF65" s="77" t="str">
        <f t="shared" si="13"/>
        <v>"C:\Program Files (x86)\AstroGrep\AstroGrep.exe" /e /r /s /spath="%USERPROFILE%\AppData\Local\Temp\OnboardLogs" /stypes="app*4032*20170530*" /stext=" 16:.+((SYSTEM_STATE.+slice.+state.+changed )|(ment ac)|(multiple cpu faults)|(system.+state.+changed )|(\[timeout)|(PRM\|1\|D)|(kpr)|(kdp)|(train st.+moving)|(\|lc)|(penalty))"</v>
      </c>
      <c r="AG65" s="1" t="str">
        <f t="shared" si="14"/>
        <v>EC</v>
      </c>
      <c r="AH65" s="81" t="str">
        <f t="shared" si="19"/>
        <v>"%USERPROFILE%\Documents\GitHub\eaglep3\Utilities\RefineRTDCRunTimes.py" --tripid 153-30 --locoid 4032 --swversion DE.1.0.9.0 --startMP 204:458 --initTime 2017-05-30T10:11:48 --startdatetime 2017-05-30T10:15:22 --delay 1 --endMP 204:233300 --enddatetime 2017-05-30T10:51:40 --enforcementcount 0 &gt;&gt;C:\Users\stu\Documents\GitHub\eaglep3-reporting\EC\2017-05-30-refined-times.txt</v>
      </c>
      <c r="AI65" s="99" t="str">
        <f t="shared" si="20"/>
        <v>echo {"issue":{"subject":"","project_id":79,"tracker_id":40,"status_id":1,"priority_id":2,"assigned_to_id":23,"start_date":"2017-05-30","description":"","custom_fields":[{"id":1,"name":"Subdivision","value":"EC"},{"id":4,"name":"Milepost","value":"23.33"},{"id":17,"name":"Train ID","value":"153-30"},{"id":16,"name":"Locomotive ID","value":"4032"},{"id":130,"name":"Impact","value":""},{"id":150,"name":"Time of Event (Mountain Time)","value":"10:51:40"},{"id":151,"name":"Denver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5" t="str">
        <f t="shared" si="21"/>
        <v>start /low /b %USERPROFILE%\Documents\GitHub\eaglep3\Utilities\DownloadLogsFromS3.py --loco 4032 --day 2017-05-30</v>
      </c>
      <c r="AN65" s="154" t="str">
        <f t="shared" si="22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16:51:40"},{"id":29,"name":"Sharepoint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644</v>
      </c>
      <c r="B66" s="7">
        <v>4031</v>
      </c>
      <c r="C66" s="21" t="s">
        <v>204</v>
      </c>
      <c r="D66" s="21" t="s">
        <v>881</v>
      </c>
      <c r="E66" s="13">
        <v>42885.463449074072</v>
      </c>
      <c r="F66" s="13">
        <v>42885.466851851852</v>
      </c>
      <c r="G66" s="7">
        <v>2</v>
      </c>
      <c r="H66" s="21" t="s">
        <v>353</v>
      </c>
      <c r="I66" s="13">
        <v>42885.499525462961</v>
      </c>
      <c r="J66" s="7">
        <v>0</v>
      </c>
      <c r="K66" s="92" t="str">
        <f t="shared" si="0"/>
        <v>4031/4032</v>
      </c>
      <c r="L66" s="21" t="str">
        <f>VLOOKUP(A66,'Trips&amp;Operators'!$C$1:$G$99999,5,FALSE)</f>
        <v>LAMAR NEKESHA</v>
      </c>
      <c r="M66" s="6">
        <f t="shared" si="1"/>
        <v>3.2673611109203193E-2</v>
      </c>
      <c r="N66" s="7">
        <f t="shared" si="23"/>
        <v>47.049999997252598</v>
      </c>
      <c r="O66" s="7"/>
      <c r="P66" s="7"/>
      <c r="Q66" s="22"/>
      <c r="R66" s="173"/>
      <c r="S66" s="176">
        <f t="shared" si="24"/>
        <v>1</v>
      </c>
      <c r="T66" s="202" t="str">
        <f t="shared" si="4"/>
        <v>Southbound</v>
      </c>
      <c r="U66" s="202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03" t="str">
        <f t="shared" si="5"/>
        <v>https://d0f6bd738d7f1b3e5a7ca70fe4ff75f0.us-east-1.aws.found.io/app/kibana#/discover/Steve-Slow-Train-Analysis-(2080s-and-2083s)?_g=(refreshInterval:(display:Off,pause:!f,section:0,value:0),time:(from:'2017-05-30T10:07:22-0600',mode:absolute,to:'2017-05-30T12:59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66" s="204" t="str">
        <f t="shared" si="6"/>
        <v>N</v>
      </c>
      <c r="X66" s="204">
        <f t="shared" si="25"/>
        <v>1</v>
      </c>
      <c r="Y66" s="204">
        <f t="shared" si="26"/>
        <v>23.297899999999998</v>
      </c>
      <c r="Z66" s="204">
        <f t="shared" si="27"/>
        <v>1.49E-2</v>
      </c>
      <c r="AA66" s="204">
        <f t="shared" si="10"/>
        <v>23.282999999999998</v>
      </c>
      <c r="AB66" s="57" t="str">
        <f>VLOOKUP(A66,Enforcements!$C$7:$K$13,8,0)</f>
        <v>Bulletin (2)</v>
      </c>
      <c r="AC66" s="53" t="str">
        <f>VLOOKUP(A66,Enforcements!$C$7:$E$13,3,0)</f>
        <v>GRADE CROSSING</v>
      </c>
      <c r="AD66" s="54" t="str">
        <f t="shared" si="11"/>
        <v>0154-30</v>
      </c>
      <c r="AE66" s="80" t="str">
        <f t="shared" si="12"/>
        <v>aws s3 cp s3://rtdc.mdm.uploadarchive.raw/RTDC4031/ "%USERPROFILE%\AppData\Local\Temp\OnboardLogs"\RTDC4031\2017-05-30 --exclude "*" --recursive --include "*20170530*" &amp; "%USERPROFILE%\Documents\GitHub\mrs-test-scripts\Headless Mode &amp; Sideloading\WalkAndUnGZ.bat" "%USERPROFILE%\AppData\Local\Temp\OnboardLogs"\RTDC4031\2017-05-30 &amp; aws s3 cp s3://rtdc.mdm.uploadarchive.raw/RTDC4031/ "%USERPROFILE%\AppData\Local\Temp\OnboardLogs"\RTDC4031\2017-05-31 --exclude "*" --recursive --include "*20170531*" &amp; "%USERPROFILE%\Documents\GitHub\mrs-test-scripts\Headless Mode &amp; Sideloading\WalkAndUnGZ.bat" "%USERPROFILE%\AppData\Local\Temp\OnboardLogs"\RTDC4031\2017-05-31</v>
      </c>
      <c r="AF66" s="77" t="str">
        <f t="shared" si="13"/>
        <v>"C:\Program Files (x86)\AstroGrep\AstroGrep.exe" /e /r /s /spath="%USERPROFILE%\AppData\Local\Temp\OnboardLogs" /stypes="app*4031*20170530*" /stext=" 17:.+((SYSTEM_STATE.+slice.+state.+changed )|(ment ac)|(multiple cpu faults)|(system.+state.+changed )|(\[timeout)|(PRM\|1\|D)|(kpr)|(kdp)|(train st.+moving)|(\|lc)|(penalty))"</v>
      </c>
      <c r="AG66" s="1" t="str">
        <f t="shared" si="14"/>
        <v>EC</v>
      </c>
      <c r="AH66" s="81" t="str">
        <f t="shared" si="19"/>
        <v>"%USERPROFILE%\Documents\GitHub\eaglep3\Utilities\RefineRTDCRunTimes.py" --tripid 154-30 --locoid 4031 --swversion DE.1.0.9.0 --startMP 204:232979 --initTime 2017-05-30T11:07:22 --startdatetime 2017-05-30T11:12:16 --delay 2 --endMP 204:149 --enddatetime 2017-05-30T11:59:19 --enforcementcount 0 &gt;&gt;C:\Users\stu\Documents\GitHub\eaglep3-reporting\EC\2017-05-30-refined-times.txt</v>
      </c>
      <c r="AI66" s="99" t="str">
        <f t="shared" si="20"/>
        <v>echo {"issue":{"subject":"","project_id":79,"tracker_id":40,"status_id":1,"priority_id":2,"assigned_to_id":23,"start_date":"2017-05-30","description":"","custom_fields":[{"id":1,"name":"Subdivision","value":"EC"},{"id":4,"name":"Milepost","value":"0.0149"},{"id":17,"name":"Train ID","value":"154-30"},{"id":16,"name":"Locomotive ID","value":"4031"},{"id":130,"name":"Impact","value":""},{"id":150,"name":"Time of Event (Mountain Time)","value":"11:59:19"},{"id":151,"name":"Denver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5" t="str">
        <f t="shared" si="21"/>
        <v>start /low /b %USERPROFILE%\Documents\GitHub\eaglep3\Utilities\DownloadLogsFromS3.py --loco 4031 --day 2017-05-30</v>
      </c>
      <c r="AN66" s="154" t="str">
        <f t="shared" si="22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17:59:19"},{"id":29,"name":"Sharepoint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745</v>
      </c>
      <c r="B67" s="7">
        <v>4056</v>
      </c>
      <c r="C67" s="21" t="s">
        <v>204</v>
      </c>
      <c r="D67" s="21" t="s">
        <v>495</v>
      </c>
      <c r="E67" s="13">
        <v>42885.43509259259</v>
      </c>
      <c r="F67" s="13">
        <v>42885.437673611108</v>
      </c>
      <c r="G67" s="7">
        <v>1</v>
      </c>
      <c r="H67" s="21" t="s">
        <v>890</v>
      </c>
      <c r="I67" s="13">
        <v>42885.465451388889</v>
      </c>
      <c r="J67" s="7">
        <v>0</v>
      </c>
      <c r="K67" s="92" t="str">
        <f t="shared" si="0"/>
        <v>4055/4056</v>
      </c>
      <c r="L67" s="21" t="str">
        <f>VLOOKUP(A67,'Trips&amp;Operators'!$C$1:$G$99999,5,FALSE)</f>
        <v>LOZA FIDEL</v>
      </c>
      <c r="M67" s="6">
        <f t="shared" si="1"/>
        <v>2.7777777781011537E-2</v>
      </c>
      <c r="N67" s="7">
        <f t="shared" si="23"/>
        <v>40.000000004656613</v>
      </c>
      <c r="O67" s="7"/>
      <c r="P67" s="7"/>
      <c r="Q67" s="22"/>
      <c r="R67" s="173"/>
      <c r="S67" s="176">
        <f t="shared" si="24"/>
        <v>1</v>
      </c>
      <c r="T67" s="202" t="str">
        <f t="shared" si="4"/>
        <v>NorthBound</v>
      </c>
      <c r="U67" s="202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03" t="str">
        <f t="shared" si="5"/>
        <v>https://d0f6bd738d7f1b3e5a7ca70fe4ff75f0.us-east-1.aws.found.io/app/kibana#/discover/Steve-Slow-Train-Analysis-(2080s-and-2083s)?_g=(refreshInterval:(display:Off,pause:!f,section:0,value:0),time:(from:'2017-05-30T09:26:32-0600',mode:absolute,to:'2017-05-30T12:10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67" s="204" t="str">
        <f t="shared" si="6"/>
        <v>N</v>
      </c>
      <c r="X67" s="204">
        <f t="shared" si="25"/>
        <v>1</v>
      </c>
      <c r="Y67" s="204">
        <f t="shared" si="26"/>
        <v>4.3999999999999997E-2</v>
      </c>
      <c r="Z67" s="204">
        <f t="shared" si="27"/>
        <v>23.329499999999999</v>
      </c>
      <c r="AA67" s="204">
        <f t="shared" si="10"/>
        <v>23.285499999999999</v>
      </c>
      <c r="AB67" s="57" t="e">
        <f>VLOOKUP(A67,Enforcements!$C$7:$K$13,8,0)</f>
        <v>#N/A</v>
      </c>
      <c r="AC67" s="53" t="e">
        <f>VLOOKUP(A67,Enforcements!$C$7:$E$13,3,0)</f>
        <v>#N/A</v>
      </c>
      <c r="AD67" s="54" t="str">
        <f t="shared" si="11"/>
        <v>0155-30</v>
      </c>
      <c r="AE67" s="80" t="str">
        <f t="shared" si="12"/>
        <v>aws s3 cp s3://rtdc.mdm.uploadarchive.raw/RTDC4056/ "%USERPROFILE%\AppData\Local\Temp\OnboardLogs"\RTDC4056\2017-05-30 --exclude "*" --recursive --include "*20170530*" &amp; "%USERPROFILE%\Documents\GitHub\mrs-test-scripts\Headless Mode &amp; Sideloading\WalkAndUnGZ.bat" "%USERPROFILE%\AppData\Local\Temp\OnboardLogs"\RTDC4056\2017-05-30 &amp; aws s3 cp s3://rtdc.mdm.uploadarchive.raw/RTDC4056/ "%USERPROFILE%\AppData\Local\Temp\OnboardLogs"\RTDC4056\2017-05-31 --exclude "*" --recursive --include "*20170531*" &amp; "%USERPROFILE%\Documents\GitHub\mrs-test-scripts\Headless Mode &amp; Sideloading\WalkAndUnGZ.bat" "%USERPROFILE%\AppData\Local\Temp\OnboardLogs"\RTDC4056\2017-05-31</v>
      </c>
      <c r="AF67" s="77" t="str">
        <f t="shared" si="13"/>
        <v>"C:\Program Files (x86)\AstroGrep\AstroGrep.exe" /e /r /s /spath="%USERPROFILE%\AppData\Local\Temp\OnboardLogs" /stypes="app*4056*20170530*" /stext=" 17:.+((SYSTEM_STATE.+slice.+state.+changed )|(ment ac)|(multiple cpu faults)|(system.+state.+changed )|(\[timeout)|(PRM\|1\|D)|(kpr)|(kdp)|(train st.+moving)|(\|lc)|(penalty))"</v>
      </c>
      <c r="AG67" s="1" t="str">
        <f t="shared" si="14"/>
        <v>EC</v>
      </c>
      <c r="AH67" s="81" t="str">
        <f t="shared" si="19"/>
        <v>"%USERPROFILE%\Documents\GitHub\eaglep3\Utilities\RefineRTDCRunTimes.py" --tripid 155-30 --locoid 4056 --swversion DE.1.0.9.0 --startMP 204:440 --initTime 2017-05-30T10:26:32 --startdatetime 2017-05-30T10:30:15 --delay 1 --endMP 204:233295 --enddatetime 2017-05-30T11:10:15 --enforcementcount 0 &gt;&gt;C:\Users\stu\Documents\GitHub\eaglep3-reporting\EC\2017-05-30-refined-times.txt</v>
      </c>
      <c r="AI67" s="99" t="str">
        <f t="shared" si="20"/>
        <v>echo {"issue":{"subject":"","project_id":79,"tracker_id":40,"status_id":1,"priority_id":2,"assigned_to_id":23,"start_date":"2017-05-30","description":"","custom_fields":[{"id":1,"name":"Subdivision","value":"EC"},{"id":4,"name":"Milepost","value":"23.3295"},{"id":17,"name":"Train ID","value":"155-30"},{"id":16,"name":"Locomotive ID","value":"4056"},{"id":130,"name":"Impact","value":""},{"id":150,"name":"Time of Event (Mountain Time)","value":"11:10:15"},{"id":151,"name":"Denver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5" t="str">
        <f t="shared" si="21"/>
        <v>start /low /b %USERPROFILE%\Documents\GitHub\eaglep3\Utilities\DownloadLogsFromS3.py --loco 4056 --day 2017-05-30</v>
      </c>
      <c r="AN67" s="154" t="str">
        <f t="shared" si="22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17:10:15"},{"id":29,"name":"Sharepoint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752</v>
      </c>
      <c r="B68" s="7">
        <v>4055</v>
      </c>
      <c r="C68" s="21" t="s">
        <v>204</v>
      </c>
      <c r="D68" s="21" t="s">
        <v>447</v>
      </c>
      <c r="E68" s="13">
        <v>42885.470914351848</v>
      </c>
      <c r="F68" s="13">
        <v>42885.477256944447</v>
      </c>
      <c r="G68" s="7">
        <v>2</v>
      </c>
      <c r="H68" s="21" t="s">
        <v>196</v>
      </c>
      <c r="I68" s="13">
        <v>42885.507291666669</v>
      </c>
      <c r="J68" s="7">
        <v>0</v>
      </c>
      <c r="K68" s="92" t="str">
        <f t="shared" si="0"/>
        <v>4055/4056</v>
      </c>
      <c r="L68" s="21" t="str">
        <f>VLOOKUP(A68,'Trips&amp;Operators'!$C$1:$G$99999,5,FALSE)</f>
        <v>LOZA FIDEL</v>
      </c>
      <c r="M68" s="6">
        <f t="shared" si="1"/>
        <v>3.0034722221898846E-2</v>
      </c>
      <c r="N68" s="7">
        <f t="shared" si="23"/>
        <v>43.249999999534339</v>
      </c>
      <c r="O68" s="7"/>
      <c r="P68" s="7"/>
      <c r="Q68" s="22"/>
      <c r="R68" s="173"/>
      <c r="S68" s="176">
        <f t="shared" si="24"/>
        <v>1</v>
      </c>
      <c r="T68" s="202" t="str">
        <f t="shared" si="4"/>
        <v>Southbound</v>
      </c>
      <c r="U68" s="202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03" t="str">
        <f t="shared" si="5"/>
        <v>https://d0f6bd738d7f1b3e5a7ca70fe4ff75f0.us-east-1.aws.found.io/app/kibana#/discover/Steve-Slow-Train-Analysis-(2080s-and-2083s)?_g=(refreshInterval:(display:Off,pause:!f,section:0,value:0),time:(from:'2017-05-30T10:18:07-0600',mode:absolute,to:'2017-05-30T13:10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68" s="204" t="str">
        <f t="shared" si="6"/>
        <v>N</v>
      </c>
      <c r="X68" s="204">
        <f t="shared" si="25"/>
        <v>1</v>
      </c>
      <c r="Y68" s="204">
        <f t="shared" si="26"/>
        <v>23.298400000000001</v>
      </c>
      <c r="Z68" s="204">
        <f t="shared" si="27"/>
        <v>1.5800000000000002E-2</v>
      </c>
      <c r="AA68" s="204">
        <f t="shared" si="10"/>
        <v>23.282600000000002</v>
      </c>
      <c r="AB68" s="57" t="e">
        <f>VLOOKUP(A68,Enforcements!$C$7:$K$13,8,0)</f>
        <v>#N/A</v>
      </c>
      <c r="AC68" s="53" t="e">
        <f>VLOOKUP(A68,Enforcements!$C$7:$E$13,3,0)</f>
        <v>#N/A</v>
      </c>
      <c r="AD68" s="54" t="str">
        <f t="shared" si="11"/>
        <v>0156-30</v>
      </c>
      <c r="AE68" s="80" t="str">
        <f t="shared" si="12"/>
        <v>aws s3 cp s3://rtdc.mdm.uploadarchive.raw/RTDC4055/ "%USERPROFILE%\AppData\Local\Temp\OnboardLogs"\RTDC4055\2017-05-30 --exclude "*" --recursive --include "*20170530*" &amp; "%USERPROFILE%\Documents\GitHub\mrs-test-scripts\Headless Mode &amp; Sideloading\WalkAndUnGZ.bat" "%USERPROFILE%\AppData\Local\Temp\OnboardLogs"\RTDC4055\2017-05-30 &amp; aws s3 cp s3://rtdc.mdm.uploadarchive.raw/RTDC4055/ "%USERPROFILE%\AppData\Local\Temp\OnboardLogs"\RTDC4055\2017-05-31 --exclude "*" --recursive --include "*20170531*" &amp; "%USERPROFILE%\Documents\GitHub\mrs-test-scripts\Headless Mode &amp; Sideloading\WalkAndUnGZ.bat" "%USERPROFILE%\AppData\Local\Temp\OnboardLogs"\RTDC4055\2017-05-31</v>
      </c>
      <c r="AF68" s="77" t="str">
        <f t="shared" si="13"/>
        <v>"C:\Program Files (x86)\AstroGrep\AstroGrep.exe" /e /r /s /spath="%USERPROFILE%\AppData\Local\Temp\OnboardLogs" /stypes="app*4055*20170530*" /stext=" 18:.+((SYSTEM_STATE.+slice.+state.+changed )|(ment ac)|(multiple cpu faults)|(system.+state.+changed )|(\[timeout)|(PRM\|1\|D)|(kpr)|(kdp)|(train st.+moving)|(\|lc)|(penalty))"</v>
      </c>
      <c r="AG68" s="1" t="str">
        <f t="shared" si="14"/>
        <v>EC</v>
      </c>
      <c r="AH68" s="81" t="str">
        <f t="shared" si="19"/>
        <v>"%USERPROFILE%\Documents\GitHub\eaglep3\Utilities\RefineRTDCRunTimes.py" --tripid 156-30 --locoid 4055 --swversion DE.1.0.9.0 --startMP 204:232984 --initTime 2017-05-30T11:18:07 --startdatetime 2017-05-30T11:27:15 --delay 2 --endMP 204:158 --enddatetime 2017-05-30T12:10:30 --enforcementcount 0 &gt;&gt;C:\Users\stu\Documents\GitHub\eaglep3-reporting\EC\2017-05-30-refined-times.txt</v>
      </c>
      <c r="AI68" s="99" t="str">
        <f t="shared" si="20"/>
        <v>echo {"issue":{"subject":"","project_id":79,"tracker_id":40,"status_id":1,"priority_id":2,"assigned_to_id":23,"start_date":"2017-05-30","description":"","custom_fields":[{"id":1,"name":"Subdivision","value":"EC"},{"id":4,"name":"Milepost","value":"0.0158"},{"id":17,"name":"Train ID","value":"156-30"},{"id":16,"name":"Locomotive ID","value":"4055"},{"id":130,"name":"Impact","value":""},{"id":150,"name":"Time of Event (Mountain Time)","value":"12:10:30"},{"id":151,"name":"Denver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5" t="str">
        <f t="shared" si="21"/>
        <v>start /low /b %USERPROFILE%\Documents\GitHub\eaglep3\Utilities\DownloadLogsFromS3.py --loco 4055 --day 2017-05-30</v>
      </c>
      <c r="AN68" s="154" t="str">
        <f t="shared" si="22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18:10:30"},{"id":29,"name":"Sharepoint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747</v>
      </c>
      <c r="B69" s="7">
        <v>4020</v>
      </c>
      <c r="C69" s="21" t="s">
        <v>204</v>
      </c>
      <c r="D69" s="21" t="s">
        <v>200</v>
      </c>
      <c r="E69" s="13">
        <v>42885.444826388892</v>
      </c>
      <c r="F69" s="13">
        <v>42885.448287037034</v>
      </c>
      <c r="G69" s="7">
        <v>2</v>
      </c>
      <c r="H69" s="21" t="s">
        <v>587</v>
      </c>
      <c r="I69" s="13">
        <v>42885.474548611113</v>
      </c>
      <c r="J69" s="7">
        <v>0</v>
      </c>
      <c r="K69" s="92" t="str">
        <f t="shared" si="0"/>
        <v>4019/4020</v>
      </c>
      <c r="L69" s="21" t="str">
        <f>VLOOKUP(A69,'Trips&amp;Operators'!$C$1:$G$99999,5,FALSE)</f>
        <v>DAVIS MICHAEL</v>
      </c>
      <c r="M69" s="6">
        <f t="shared" si="1"/>
        <v>2.6261574079398997E-2</v>
      </c>
      <c r="N69" s="7">
        <f t="shared" si="23"/>
        <v>37.816666674334556</v>
      </c>
      <c r="O69" s="7"/>
      <c r="P69" s="7"/>
      <c r="Q69" s="22"/>
      <c r="R69" s="173"/>
      <c r="S69" s="176">
        <f t="shared" si="24"/>
        <v>1</v>
      </c>
      <c r="T69" s="202" t="str">
        <f t="shared" si="4"/>
        <v>NorthBound</v>
      </c>
      <c r="U69" s="202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03" t="str">
        <f t="shared" si="5"/>
        <v>https://d0f6bd738d7f1b3e5a7ca70fe4ff75f0.us-east-1.aws.found.io/app/kibana#/discover/Steve-Slow-Train-Analysis-(2080s-and-2083s)?_g=(refreshInterval:(display:Off,pause:!f,section:0,value:0),time:(from:'2017-05-30T09:40:33-0600',mode:absolute,to:'2017-05-30T12:23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69" s="204" t="str">
        <f t="shared" si="6"/>
        <v>N</v>
      </c>
      <c r="X69" s="204">
        <f t="shared" si="25"/>
        <v>1</v>
      </c>
      <c r="Y69" s="204">
        <f t="shared" si="26"/>
        <v>4.5699999999999998E-2</v>
      </c>
      <c r="Z69" s="204">
        <f t="shared" si="27"/>
        <v>23.333400000000001</v>
      </c>
      <c r="AA69" s="204">
        <f t="shared" si="10"/>
        <v>23.287700000000001</v>
      </c>
      <c r="AB69" s="57" t="e">
        <f>VLOOKUP(A69,Enforcements!$C$7:$K$13,8,0)</f>
        <v>#N/A</v>
      </c>
      <c r="AC69" s="53" t="e">
        <f>VLOOKUP(A69,Enforcements!$C$7:$E$13,3,0)</f>
        <v>#N/A</v>
      </c>
      <c r="AD69" s="54" t="str">
        <f t="shared" si="11"/>
        <v>0157-30</v>
      </c>
      <c r="AE69" s="80" t="str">
        <f t="shared" si="12"/>
        <v>aws s3 cp s3://rtdc.mdm.uploadarchive.raw/RTDC4020/ "%USERPROFILE%\AppData\Local\Temp\OnboardLogs"\RTDC4020\2017-05-30 --exclude "*" --recursive --include "*20170530*" &amp; "%USERPROFILE%\Documents\GitHub\mrs-test-scripts\Headless Mode &amp; Sideloading\WalkAndUnGZ.bat" "%USERPROFILE%\AppData\Local\Temp\OnboardLogs"\RTDC4020\2017-05-30 &amp; aws s3 cp s3://rtdc.mdm.uploadarchive.raw/RTDC4020/ "%USERPROFILE%\AppData\Local\Temp\OnboardLogs"\RTDC4020\2017-05-31 --exclude "*" --recursive --include "*20170531*" &amp; "%USERPROFILE%\Documents\GitHub\mrs-test-scripts\Headless Mode &amp; Sideloading\WalkAndUnGZ.bat" "%USERPROFILE%\AppData\Local\Temp\OnboardLogs"\RTDC4020\2017-05-31</v>
      </c>
      <c r="AF69" s="77" t="str">
        <f t="shared" si="13"/>
        <v>"C:\Program Files (x86)\AstroGrep\AstroGrep.exe" /e /r /s /spath="%USERPROFILE%\AppData\Local\Temp\OnboardLogs" /stypes="app*4020*20170530*" /stext=" 17:.+((SYSTEM_STATE.+slice.+state.+changed )|(ment ac)|(multiple cpu faults)|(system.+state.+changed )|(\[timeout)|(PRM\|1\|D)|(kpr)|(kdp)|(train st.+moving)|(\|lc)|(penalty))"</v>
      </c>
      <c r="AG69" s="1" t="str">
        <f t="shared" si="14"/>
        <v>EC</v>
      </c>
      <c r="AH69" s="81" t="str">
        <f t="shared" si="19"/>
        <v>"%USERPROFILE%\Documents\GitHub\eaglep3\Utilities\RefineRTDCRunTimes.py" --tripid 157-30 --locoid 4020 --swversion DE.1.0.9.0 --startMP 204:457 --initTime 2017-05-30T10:40:33 --startdatetime 2017-05-30T10:45:32 --delay 2 --endMP 204:233334 --enddatetime 2017-05-30T11:23:21 --enforcementcount 0 &gt;&gt;C:\Users\stu\Documents\GitHub\eaglep3-reporting\EC\2017-05-30-refined-times.txt</v>
      </c>
      <c r="AI69" s="99" t="str">
        <f t="shared" si="20"/>
        <v>echo {"issue":{"subject":"","project_id":79,"tracker_id":40,"status_id":1,"priority_id":2,"assigned_to_id":23,"start_date":"2017-05-30","description":"","custom_fields":[{"id":1,"name":"Subdivision","value":"EC"},{"id":4,"name":"Milepost","value":"23.3334"},{"id":17,"name":"Train ID","value":"157-30"},{"id":16,"name":"Locomotive ID","value":"4020"},{"id":130,"name":"Impact","value":""},{"id":150,"name":"Time of Event (Mountain Time)","value":"11:23:21"},{"id":151,"name":"Denver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5" t="str">
        <f t="shared" si="21"/>
        <v>start /low /b %USERPROFILE%\Documents\GitHub\eaglep3\Utilities\DownloadLogsFromS3.py --loco 4020 --day 2017-05-30</v>
      </c>
      <c r="AN69" s="154" t="str">
        <f t="shared" si="22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17:23:21"},{"id":29,"name":"Sharepoint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754</v>
      </c>
      <c r="B70" s="7">
        <v>4019</v>
      </c>
      <c r="C70" s="21" t="s">
        <v>204</v>
      </c>
      <c r="D70" s="21" t="s">
        <v>520</v>
      </c>
      <c r="E70" s="13">
        <v>42885.485335648147</v>
      </c>
      <c r="F70" s="13">
        <v>42885.489618055559</v>
      </c>
      <c r="G70" s="7">
        <v>2</v>
      </c>
      <c r="H70" s="21" t="s">
        <v>196</v>
      </c>
      <c r="I70" s="13">
        <v>42885.518831018519</v>
      </c>
      <c r="J70" s="7">
        <v>0</v>
      </c>
      <c r="K70" s="92" t="str">
        <f t="shared" si="0"/>
        <v>4019/4020</v>
      </c>
      <c r="L70" s="21" t="str">
        <f>VLOOKUP(A70,'Trips&amp;Operators'!$C$1:$G$99999,5,FALSE)</f>
        <v>DAVIS MICHAEL</v>
      </c>
      <c r="M70" s="6">
        <f t="shared" si="1"/>
        <v>2.9212962959718425E-2</v>
      </c>
      <c r="N70" s="7">
        <f t="shared" si="23"/>
        <v>42.066666661994532</v>
      </c>
      <c r="O70" s="7"/>
      <c r="P70" s="7"/>
      <c r="Q70" s="22"/>
      <c r="R70" s="173"/>
      <c r="S70" s="176">
        <f t="shared" si="24"/>
        <v>1</v>
      </c>
      <c r="T70" s="202" t="str">
        <f t="shared" si="4"/>
        <v>Southbound</v>
      </c>
      <c r="U70" s="202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03" t="str">
        <f t="shared" si="5"/>
        <v>https://d0f6bd738d7f1b3e5a7ca70fe4ff75f0.us-east-1.aws.found.io/app/kibana#/discover/Steve-Slow-Train-Analysis-(2080s-and-2083s)?_g=(refreshInterval:(display:Off,pause:!f,section:0,value:0),time:(from:'2017-05-30T10:38:53-0600',mode:absolute,to:'2017-05-30T13:27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70" s="204" t="str">
        <f t="shared" si="6"/>
        <v>N</v>
      </c>
      <c r="X70" s="204">
        <f t="shared" si="25"/>
        <v>1</v>
      </c>
      <c r="Y70" s="204">
        <f t="shared" si="26"/>
        <v>23.301500000000001</v>
      </c>
      <c r="Z70" s="204">
        <f t="shared" si="27"/>
        <v>1.5800000000000002E-2</v>
      </c>
      <c r="AA70" s="204">
        <f t="shared" si="10"/>
        <v>23.285700000000002</v>
      </c>
      <c r="AB70" s="57" t="e">
        <f>VLOOKUP(A70,Enforcements!$C$7:$K$13,8,0)</f>
        <v>#N/A</v>
      </c>
      <c r="AC70" s="53" t="e">
        <f>VLOOKUP(A70,Enforcements!$C$7:$E$13,3,0)</f>
        <v>#N/A</v>
      </c>
      <c r="AD70" s="54" t="str">
        <f t="shared" si="11"/>
        <v>0158-30</v>
      </c>
      <c r="AE70" s="80" t="str">
        <f t="shared" si="12"/>
        <v>aws s3 cp s3://rtdc.mdm.uploadarchive.raw/RTDC4019/ "%USERPROFILE%\AppData\Local\Temp\OnboardLogs"\RTDC4019\2017-05-30 --exclude "*" --recursive --include "*20170530*" &amp; "%USERPROFILE%\Documents\GitHub\mrs-test-scripts\Headless Mode &amp; Sideloading\WalkAndUnGZ.bat" "%USERPROFILE%\AppData\Local\Temp\OnboardLogs"\RTDC4019\2017-05-30 &amp; aws s3 cp s3://rtdc.mdm.uploadarchive.raw/RTDC4019/ "%USERPROFILE%\AppData\Local\Temp\OnboardLogs"\RTDC4019\2017-05-31 --exclude "*" --recursive --include "*20170531*" &amp; "%USERPROFILE%\Documents\GitHub\mrs-test-scripts\Headless Mode &amp; Sideloading\WalkAndUnGZ.bat" "%USERPROFILE%\AppData\Local\Temp\OnboardLogs"\RTDC4019\2017-05-31</v>
      </c>
      <c r="AF70" s="77" t="str">
        <f t="shared" si="13"/>
        <v>"C:\Program Files (x86)\AstroGrep\AstroGrep.exe" /e /r /s /spath="%USERPROFILE%\AppData\Local\Temp\OnboardLogs" /stypes="app*4019*20170530*" /stext=" 18:.+((SYSTEM_STATE.+slice.+state.+changed )|(ment ac)|(multiple cpu faults)|(system.+state.+changed )|(\[timeout)|(PRM\|1\|D)|(kpr)|(kdp)|(train st.+moving)|(\|lc)|(penalty))"</v>
      </c>
      <c r="AG70" s="1" t="str">
        <f t="shared" si="14"/>
        <v>EC</v>
      </c>
      <c r="AH70" s="81" t="str">
        <f t="shared" si="19"/>
        <v>"%USERPROFILE%\Documents\GitHub\eaglep3\Utilities\RefineRTDCRunTimes.py" --tripid 158-30 --locoid 4019 --swversion DE.1.0.9.0 --startMP 204:233015 --initTime 2017-05-30T11:38:53 --startdatetime 2017-05-30T11:45:03 --delay 2 --endMP 204:158 --enddatetime 2017-05-30T12:27:07 --enforcementcount 0 &gt;&gt;C:\Users\stu\Documents\GitHub\eaglep3-reporting\EC\2017-05-30-refined-times.txt</v>
      </c>
      <c r="AI70" s="99" t="str">
        <f t="shared" si="20"/>
        <v>echo {"issue":{"subject":"","project_id":79,"tracker_id":40,"status_id":1,"priority_id":2,"assigned_to_id":23,"start_date":"2017-05-30","description":"","custom_fields":[{"id":1,"name":"Subdivision","value":"EC"},{"id":4,"name":"Milepost","value":"0.0158"},{"id":17,"name":"Train ID","value":"158-30"},{"id":16,"name":"Locomotive ID","value":"4019"},{"id":130,"name":"Impact","value":""},{"id":150,"name":"Time of Event (Mountain Time)","value":"12:27:07"},{"id":151,"name":"Denver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5" t="str">
        <f t="shared" si="21"/>
        <v>start /low /b %USERPROFILE%\Documents\GitHub\eaglep3\Utilities\DownloadLogsFromS3.py --loco 4019 --day 2017-05-30</v>
      </c>
      <c r="AN70" s="154" t="str">
        <f t="shared" si="22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18:27:07"},{"id":29,"name":"Sharepoint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749</v>
      </c>
      <c r="B71" s="7">
        <v>4016</v>
      </c>
      <c r="C71" s="21" t="s">
        <v>204</v>
      </c>
      <c r="D71" s="21" t="s">
        <v>598</v>
      </c>
      <c r="E71" s="13">
        <v>42885.454201388886</v>
      </c>
      <c r="F71" s="13">
        <v>42885.458518518521</v>
      </c>
      <c r="G71" s="7">
        <v>1</v>
      </c>
      <c r="H71" s="21" t="s">
        <v>891</v>
      </c>
      <c r="I71" s="13">
        <v>42885.487037037034</v>
      </c>
      <c r="J71" s="7">
        <v>0</v>
      </c>
      <c r="K71" s="92" t="str">
        <f t="shared" si="0"/>
        <v>4015/4016</v>
      </c>
      <c r="L71" s="21" t="str">
        <f>VLOOKUP(A71,'Trips&amp;Operators'!$C$1:$G$99999,5,FALSE)</f>
        <v>DAVIDSON DAVID</v>
      </c>
      <c r="M71" s="6">
        <f t="shared" si="1"/>
        <v>2.8518518513010349E-2</v>
      </c>
      <c r="N71" s="7">
        <f t="shared" si="23"/>
        <v>41.066666658734903</v>
      </c>
      <c r="O71" s="7"/>
      <c r="P71" s="7"/>
      <c r="Q71" s="22"/>
      <c r="R71" s="173"/>
      <c r="S71" s="176">
        <f t="shared" si="24"/>
        <v>1</v>
      </c>
      <c r="T71" s="202" t="str">
        <f t="shared" si="4"/>
        <v>NorthBound</v>
      </c>
      <c r="U71" s="202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03" t="str">
        <f t="shared" si="5"/>
        <v>https://d0f6bd738d7f1b3e5a7ca70fe4ff75f0.us-east-1.aws.found.io/app/kibana#/discover/Steve-Slow-Train-Analysis-(2080s-and-2083s)?_g=(refreshInterval:(display:Off,pause:!f,section:0,value:0),time:(from:'2017-05-30T09:54:03-0600',mode:absolute,to:'2017-05-30T12:41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71" s="204" t="str">
        <f t="shared" si="6"/>
        <v>N</v>
      </c>
      <c r="X71" s="204">
        <f t="shared" si="25"/>
        <v>1</v>
      </c>
      <c r="Y71" s="204">
        <f t="shared" si="26"/>
        <v>4.6899999999999997E-2</v>
      </c>
      <c r="Z71" s="204">
        <f t="shared" si="27"/>
        <v>23.332999999999998</v>
      </c>
      <c r="AA71" s="204">
        <f t="shared" si="10"/>
        <v>23.286099999999998</v>
      </c>
      <c r="AB71" s="57" t="e">
        <f>VLOOKUP(A71,Enforcements!$C$7:$K$13,8,0)</f>
        <v>#N/A</v>
      </c>
      <c r="AC71" s="53" t="e">
        <f>VLOOKUP(A71,Enforcements!$C$7:$E$13,3,0)</f>
        <v>#N/A</v>
      </c>
      <c r="AD71" s="54" t="str">
        <f t="shared" si="11"/>
        <v>0159-30</v>
      </c>
      <c r="AE71" s="80" t="str">
        <f t="shared" si="12"/>
        <v>aws s3 cp s3://rtdc.mdm.uploadarchive.raw/RTDC4016/ "%USERPROFILE%\AppData\Local\Temp\OnboardLogs"\RTDC4016\2017-05-30 --exclude "*" --recursive --include "*20170530*" &amp; "%USERPROFILE%\Documents\GitHub\mrs-test-scripts\Headless Mode &amp; Sideloading\WalkAndUnGZ.bat" "%USERPROFILE%\AppData\Local\Temp\OnboardLogs"\RTDC4016\2017-05-30 &amp; aws s3 cp s3://rtdc.mdm.uploadarchive.raw/RTDC4016/ "%USERPROFILE%\AppData\Local\Temp\OnboardLogs"\RTDC4016\2017-05-31 --exclude "*" --recursive --include "*20170531*" &amp; "%USERPROFILE%\Documents\GitHub\mrs-test-scripts\Headless Mode &amp; Sideloading\WalkAndUnGZ.bat" "%USERPROFILE%\AppData\Local\Temp\OnboardLogs"\RTDC4016\2017-05-31</v>
      </c>
      <c r="AF71" s="77" t="str">
        <f t="shared" si="13"/>
        <v>"C:\Program Files (x86)\AstroGrep\AstroGrep.exe" /e /r /s /spath="%USERPROFILE%\AppData\Local\Temp\OnboardLogs" /stypes="app*4016*20170530*" /stext=" 17:.+((SYSTEM_STATE.+slice.+state.+changed )|(ment ac)|(multiple cpu faults)|(system.+state.+changed )|(\[timeout)|(PRM\|1\|D)|(kpr)|(kdp)|(train st.+moving)|(\|lc)|(penalty))"</v>
      </c>
      <c r="AG71" s="1" t="str">
        <f t="shared" si="14"/>
        <v>EC</v>
      </c>
      <c r="AH71" s="81" t="str">
        <f t="shared" si="19"/>
        <v>"%USERPROFILE%\Documents\GitHub\eaglep3\Utilities\RefineRTDCRunTimes.py" --tripid 159-30 --locoid 4016 --swversion DE.1.0.9.0 --startMP 204:469 --initTime 2017-05-30T10:54:03 --startdatetime 2017-05-30T11:00:16 --delay 1 --endMP 204:233330 --enddatetime 2017-05-30T11:41:20 --enforcementcount 0 &gt;&gt;C:\Users\stu\Documents\GitHub\eaglep3-reporting\EC\2017-05-30-refined-times.txt</v>
      </c>
      <c r="AI71" s="99" t="str">
        <f t="shared" si="20"/>
        <v>echo {"issue":{"subject":"","project_id":79,"tracker_id":40,"status_id":1,"priority_id":2,"assigned_to_id":23,"start_date":"2017-05-30","description":"","custom_fields":[{"id":1,"name":"Subdivision","value":"EC"},{"id":4,"name":"Milepost","value":"23.333"},{"id":17,"name":"Train ID","value":"159-30"},{"id":16,"name":"Locomotive ID","value":"4016"},{"id":130,"name":"Impact","value":""},{"id":150,"name":"Time of Event (Mountain Time)","value":"11:41:20"},{"id":151,"name":"Denver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5" t="str">
        <f t="shared" si="21"/>
        <v>start /low /b %USERPROFILE%\Documents\GitHub\eaglep3\Utilities\DownloadLogsFromS3.py --loco 4016 --day 2017-05-30</v>
      </c>
      <c r="AN71" s="154" t="str">
        <f t="shared" si="22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17:41:20"},{"id":29,"name":"Sharepoint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756</v>
      </c>
      <c r="B72" s="7">
        <v>4015</v>
      </c>
      <c r="C72" s="21" t="s">
        <v>204</v>
      </c>
      <c r="D72" s="21" t="s">
        <v>889</v>
      </c>
      <c r="E72" s="13">
        <v>42885.488483796296</v>
      </c>
      <c r="F72" s="13">
        <v>42885.498206018521</v>
      </c>
      <c r="G72" s="7">
        <v>1</v>
      </c>
      <c r="H72" s="21" t="s">
        <v>521</v>
      </c>
      <c r="I72" s="13">
        <v>42885.52952546296</v>
      </c>
      <c r="J72" s="7">
        <v>0</v>
      </c>
      <c r="K72" s="92" t="str">
        <f t="shared" si="0"/>
        <v>4015/4016</v>
      </c>
      <c r="L72" s="21" t="str">
        <f>VLOOKUP(A72,'Trips&amp;Operators'!$C$1:$G$99999,5,FALSE)</f>
        <v>DAVIDSON DAVID</v>
      </c>
      <c r="M72" s="6">
        <f t="shared" si="1"/>
        <v>3.1319444438850041E-2</v>
      </c>
      <c r="N72" s="7">
        <f t="shared" si="23"/>
        <v>45.09999999194406</v>
      </c>
      <c r="O72" s="7"/>
      <c r="P72" s="7"/>
      <c r="Q72" s="22"/>
      <c r="R72" s="173"/>
      <c r="S72" s="176">
        <f t="shared" si="24"/>
        <v>1</v>
      </c>
      <c r="T72" s="202" t="str">
        <f t="shared" si="4"/>
        <v>Southbound</v>
      </c>
      <c r="U72" s="202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03" t="str">
        <f t="shared" si="5"/>
        <v>https://d0f6bd738d7f1b3e5a7ca70fe4ff75f0.us-east-1.aws.found.io/app/kibana#/discover/Steve-Slow-Train-Analysis-(2080s-and-2083s)?_g=(refreshInterval:(display:Off,pause:!f,section:0,value:0),time:(from:'2017-05-30T10:43:25-0600',mode:absolute,to:'2017-05-30T13:42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72" s="204" t="str">
        <f t="shared" si="6"/>
        <v>N</v>
      </c>
      <c r="X72" s="204">
        <f t="shared" si="25"/>
        <v>1</v>
      </c>
      <c r="Y72" s="204">
        <f t="shared" si="26"/>
        <v>23.3017</v>
      </c>
      <c r="Z72" s="204">
        <f t="shared" si="27"/>
        <v>1.5599999999999999E-2</v>
      </c>
      <c r="AA72" s="204">
        <f t="shared" si="10"/>
        <v>23.286100000000001</v>
      </c>
      <c r="AB72" s="57" t="e">
        <f>VLOOKUP(A72,Enforcements!$C$7:$K$13,8,0)</f>
        <v>#N/A</v>
      </c>
      <c r="AC72" s="53" t="e">
        <f>VLOOKUP(A72,Enforcements!$C$7:$E$13,3,0)</f>
        <v>#N/A</v>
      </c>
      <c r="AD72" s="54" t="str">
        <f t="shared" si="11"/>
        <v>0160-30</v>
      </c>
      <c r="AE72" s="80" t="str">
        <f t="shared" si="12"/>
        <v>aws s3 cp s3://rtdc.mdm.uploadarchive.raw/RTDC4015/ "%USERPROFILE%\AppData\Local\Temp\OnboardLogs"\RTDC4015\2017-05-30 --exclude "*" --recursive --include "*20170530*" &amp; "%USERPROFILE%\Documents\GitHub\mrs-test-scripts\Headless Mode &amp; Sideloading\WalkAndUnGZ.bat" "%USERPROFILE%\AppData\Local\Temp\OnboardLogs"\RTDC4015\2017-05-30 &amp; aws s3 cp s3://rtdc.mdm.uploadarchive.raw/RTDC4015/ "%USERPROFILE%\AppData\Local\Temp\OnboardLogs"\RTDC4015\2017-05-31 --exclude "*" --recursive --include "*20170531*" &amp; "%USERPROFILE%\Documents\GitHub\mrs-test-scripts\Headless Mode &amp; Sideloading\WalkAndUnGZ.bat" "%USERPROFILE%\AppData\Local\Temp\OnboardLogs"\RTDC4015\2017-05-31</v>
      </c>
      <c r="AF72" s="77" t="str">
        <f t="shared" si="13"/>
        <v>"C:\Program Files (x86)\AstroGrep\AstroGrep.exe" /e /r /s /spath="%USERPROFILE%\AppData\Local\Temp\OnboardLogs" /stypes="app*4015*20170530*" /stext=" 18:.+((SYSTEM_STATE.+slice.+state.+changed )|(ment ac)|(multiple cpu faults)|(system.+state.+changed )|(\[timeout)|(PRM\|1\|D)|(kpr)|(kdp)|(train st.+moving)|(\|lc)|(penalty))"</v>
      </c>
      <c r="AG72" s="1" t="str">
        <f t="shared" si="14"/>
        <v>EC</v>
      </c>
      <c r="AH72" s="81" t="str">
        <f t="shared" si="19"/>
        <v>"%USERPROFILE%\Documents\GitHub\eaglep3\Utilities\RefineRTDCRunTimes.py" --tripid 160-30 --locoid 4015 --swversion DE.1.0.9.0 --startMP 204:233017 --initTime 2017-05-30T11:43:25 --startdatetime 2017-05-30T11:57:25 --delay 1 --endMP 204:156 --enddatetime 2017-05-30T12:42:31 --enforcementcount 0 &gt;&gt;C:\Users\stu\Documents\GitHub\eaglep3-reporting\EC\2017-05-30-refined-times.txt</v>
      </c>
      <c r="AI72" s="99" t="str">
        <f t="shared" si="20"/>
        <v>echo {"issue":{"subject":"","project_id":79,"tracker_id":40,"status_id":1,"priority_id":2,"assigned_to_id":23,"start_date":"2017-05-30","description":"","custom_fields":[{"id":1,"name":"Subdivision","value":"EC"},{"id":4,"name":"Milepost","value":"0.0156"},{"id":17,"name":"Train ID","value":"160-30"},{"id":16,"name":"Locomotive ID","value":"4015"},{"id":130,"name":"Impact","value":""},{"id":150,"name":"Time of Event (Mountain Time)","value":"12:42:31"},{"id":151,"name":"Denver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5" t="str">
        <f t="shared" si="21"/>
        <v>start /low /b %USERPROFILE%\Documents\GitHub\eaglep3\Utilities\DownloadLogsFromS3.py --loco 4015 --day 2017-05-30</v>
      </c>
      <c r="AN72" s="154" t="str">
        <f t="shared" si="22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18:42:31"},{"id":29,"name":"Sharepoint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646</v>
      </c>
      <c r="B73" s="7">
        <v>4018</v>
      </c>
      <c r="C73" s="21" t="s">
        <v>204</v>
      </c>
      <c r="D73" s="21" t="s">
        <v>528</v>
      </c>
      <c r="E73" s="13">
        <v>42885.465231481481</v>
      </c>
      <c r="F73" s="13">
        <v>42885.469398148147</v>
      </c>
      <c r="G73" s="7">
        <v>1</v>
      </c>
      <c r="H73" s="21" t="s">
        <v>469</v>
      </c>
      <c r="I73" s="13">
        <v>42885.497256944444</v>
      </c>
      <c r="J73" s="7">
        <v>0</v>
      </c>
      <c r="K73" s="92" t="str">
        <f t="shared" si="0"/>
        <v>4017/4018</v>
      </c>
      <c r="L73" s="21" t="str">
        <f>VLOOKUP(A73,'Trips&amp;Operators'!$C$1:$G$99999,5,FALSE)</f>
        <v>STEWART MICHAEL</v>
      </c>
      <c r="M73" s="6">
        <f t="shared" si="1"/>
        <v>2.7858796296641231E-2</v>
      </c>
      <c r="N73" s="7">
        <f t="shared" si="23"/>
        <v>40.116666667163372</v>
      </c>
      <c r="O73" s="7"/>
      <c r="P73" s="7"/>
      <c r="Q73" s="22"/>
      <c r="R73" s="173"/>
      <c r="S73" s="176">
        <f t="shared" si="24"/>
        <v>1</v>
      </c>
      <c r="T73" s="202" t="str">
        <f t="shared" si="4"/>
        <v>NorthBound</v>
      </c>
      <c r="U73" s="202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03" t="str">
        <f t="shared" si="5"/>
        <v>https://d0f6bd738d7f1b3e5a7ca70fe4ff75f0.us-east-1.aws.found.io/app/kibana#/discover/Steve-Slow-Train-Analysis-(2080s-and-2083s)?_g=(refreshInterval:(display:Off,pause:!f,section:0,value:0),time:(from:'2017-05-30T10:09:56-0600',mode:absolute,to:'2017-05-30T12:56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73" s="204" t="str">
        <f t="shared" si="6"/>
        <v>N</v>
      </c>
      <c r="X73" s="204">
        <f t="shared" si="25"/>
        <v>1</v>
      </c>
      <c r="Y73" s="204">
        <f t="shared" si="26"/>
        <v>4.3299999999999998E-2</v>
      </c>
      <c r="Z73" s="204">
        <f t="shared" si="27"/>
        <v>23.299600000000002</v>
      </c>
      <c r="AA73" s="204">
        <f t="shared" si="10"/>
        <v>23.256300000000003</v>
      </c>
      <c r="AB73" s="57" t="e">
        <f>VLOOKUP(A73,Enforcements!$C$7:$K$13,8,0)</f>
        <v>#N/A</v>
      </c>
      <c r="AC73" s="53" t="e">
        <f>VLOOKUP(A73,Enforcements!$C$7:$E$13,3,0)</f>
        <v>#N/A</v>
      </c>
      <c r="AD73" s="54" t="str">
        <f t="shared" si="11"/>
        <v>0161-30</v>
      </c>
      <c r="AE73" s="80" t="str">
        <f t="shared" si="12"/>
        <v>aws s3 cp s3://rtdc.mdm.uploadarchive.raw/RTDC4018/ "%USERPROFILE%\AppData\Local\Temp\OnboardLogs"\RTDC4018\2017-05-30 --exclude "*" --recursive --include "*20170530*" &amp; "%USERPROFILE%\Documents\GitHub\mrs-test-scripts\Headless Mode &amp; Sideloading\WalkAndUnGZ.bat" "%USERPROFILE%\AppData\Local\Temp\OnboardLogs"\RTDC4018\2017-05-30 &amp; aws s3 cp s3://rtdc.mdm.uploadarchive.raw/RTDC4018/ "%USERPROFILE%\AppData\Local\Temp\OnboardLogs"\RTDC4018\2017-05-31 --exclude "*" --recursive --include "*20170531*" &amp; "%USERPROFILE%\Documents\GitHub\mrs-test-scripts\Headless Mode &amp; Sideloading\WalkAndUnGZ.bat" "%USERPROFILE%\AppData\Local\Temp\OnboardLogs"\RTDC4018\2017-05-31</v>
      </c>
      <c r="AF73" s="77" t="str">
        <f t="shared" si="13"/>
        <v>"C:\Program Files (x86)\AstroGrep\AstroGrep.exe" /e /r /s /spath="%USERPROFILE%\AppData\Local\Temp\OnboardLogs" /stypes="app*4018*20170530*" /stext=" 17:.+((SYSTEM_STATE.+slice.+state.+changed )|(ment ac)|(multiple cpu faults)|(system.+state.+changed )|(\[timeout)|(PRM\|1\|D)|(kpr)|(kdp)|(train st.+moving)|(\|lc)|(penalty))"</v>
      </c>
      <c r="AG73" s="1" t="str">
        <f t="shared" si="14"/>
        <v>EC</v>
      </c>
      <c r="AH73" s="81" t="str">
        <f t="shared" si="19"/>
        <v>"%USERPROFILE%\Documents\GitHub\eaglep3\Utilities\RefineRTDCRunTimes.py" --tripid 161-30 --locoid 4018 --swversion DE.1.0.9.0 --startMP 204:433 --initTime 2017-05-30T11:09:56 --startdatetime 2017-05-30T11:15:56 --delay 1 --endMP 204:232996 --enddatetime 2017-05-30T11:56:03 --enforcementcount 0 &gt;&gt;C:\Users\stu\Documents\GitHub\eaglep3-reporting\EC\2017-05-30-refined-times.txt</v>
      </c>
      <c r="AI73" s="99" t="str">
        <f t="shared" si="20"/>
        <v>echo {"issue":{"subject":"","project_id":79,"tracker_id":40,"status_id":1,"priority_id":2,"assigned_to_id":23,"start_date":"2017-05-30","description":"","custom_fields":[{"id":1,"name":"Subdivision","value":"EC"},{"id":4,"name":"Milepost","value":"23.2996"},{"id":17,"name":"Train ID","value":"161-30"},{"id":16,"name":"Locomotive ID","value":"4018"},{"id":130,"name":"Impact","value":""},{"id":150,"name":"Time of Event (Mountain Time)","value":"11:56:03"},{"id":151,"name":"Denver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5" t="str">
        <f t="shared" si="21"/>
        <v>start /low /b %USERPROFILE%\Documents\GitHub\eaglep3\Utilities\DownloadLogsFromS3.py --loco 4018 --day 2017-05-30</v>
      </c>
      <c r="AN73" s="154" t="str">
        <f t="shared" si="22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17:56:03"},{"id":29,"name":"Sharepoint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758</v>
      </c>
      <c r="B74" s="7">
        <v>4017</v>
      </c>
      <c r="C74" s="21" t="s">
        <v>204</v>
      </c>
      <c r="D74" s="21" t="s">
        <v>530</v>
      </c>
      <c r="E74" s="13">
        <v>42885.505243055559</v>
      </c>
      <c r="F74" s="13">
        <v>42885.508611111109</v>
      </c>
      <c r="G74" s="7">
        <v>1</v>
      </c>
      <c r="H74" s="21" t="s">
        <v>405</v>
      </c>
      <c r="I74" s="13">
        <v>42885.539849537039</v>
      </c>
      <c r="J74" s="7">
        <v>0</v>
      </c>
      <c r="K74" s="92" t="str">
        <f t="shared" si="0"/>
        <v>4017/4018</v>
      </c>
      <c r="L74" s="21" t="str">
        <f>VLOOKUP(A74,'Trips&amp;Operators'!$C$1:$G$99999,5,FALSE)</f>
        <v>STEWART MICHAEL</v>
      </c>
      <c r="M74" s="6">
        <f t="shared" si="1"/>
        <v>3.1238425930496305E-2</v>
      </c>
      <c r="N74" s="7">
        <f t="shared" si="23"/>
        <v>44.98333333991468</v>
      </c>
      <c r="O74" s="7"/>
      <c r="P74" s="7"/>
      <c r="Q74" s="22"/>
      <c r="R74" s="173"/>
      <c r="S74" s="176">
        <f t="shared" si="24"/>
        <v>1</v>
      </c>
      <c r="T74" s="202" t="str">
        <f t="shared" si="4"/>
        <v>Southbound</v>
      </c>
      <c r="U74" s="202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03" t="str">
        <f t="shared" si="5"/>
        <v>https://d0f6bd738d7f1b3e5a7ca70fe4ff75f0.us-east-1.aws.found.io/app/kibana#/discover/Steve-Slow-Train-Analysis-(2080s-and-2083s)?_g=(refreshInterval:(display:Off,pause:!f,section:0,value:0),time:(from:'2017-05-30T11:07:33-0600',mode:absolute,to:'2017-05-30T13:57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74" s="204" t="str">
        <f t="shared" si="6"/>
        <v>N</v>
      </c>
      <c r="X74" s="204">
        <f t="shared" si="25"/>
        <v>1</v>
      </c>
      <c r="Y74" s="204">
        <f t="shared" si="26"/>
        <v>23.2959</v>
      </c>
      <c r="Z74" s="204">
        <f t="shared" si="27"/>
        <v>1.54E-2</v>
      </c>
      <c r="AA74" s="204">
        <f t="shared" si="10"/>
        <v>23.2805</v>
      </c>
      <c r="AB74" s="57" t="e">
        <f>VLOOKUP(A74,Enforcements!$C$7:$K$13,8,0)</f>
        <v>#N/A</v>
      </c>
      <c r="AC74" s="53" t="e">
        <f>VLOOKUP(A74,Enforcements!$C$7:$E$13,3,0)</f>
        <v>#N/A</v>
      </c>
      <c r="AD74" s="54" t="str">
        <f t="shared" si="11"/>
        <v>0162-30</v>
      </c>
      <c r="AE74" s="80" t="str">
        <f t="shared" si="12"/>
        <v>aws s3 cp s3://rtdc.mdm.uploadarchive.raw/RTDC4017/ "%USERPROFILE%\AppData\Local\Temp\OnboardLogs"\RTDC4017\2017-05-30 --exclude "*" --recursive --include "*20170530*" &amp; "%USERPROFILE%\Documents\GitHub\mrs-test-scripts\Headless Mode &amp; Sideloading\WalkAndUnGZ.bat" "%USERPROFILE%\AppData\Local\Temp\OnboardLogs"\RTDC4017\2017-05-30 &amp; aws s3 cp s3://rtdc.mdm.uploadarchive.raw/RTDC4017/ "%USERPROFILE%\AppData\Local\Temp\OnboardLogs"\RTDC4017\2017-05-31 --exclude "*" --recursive --include "*20170531*" &amp; "%USERPROFILE%\Documents\GitHub\mrs-test-scripts\Headless Mode &amp; Sideloading\WalkAndUnGZ.bat" "%USERPROFILE%\AppData\Local\Temp\OnboardLogs"\RTDC4017\2017-05-31</v>
      </c>
      <c r="AF74" s="77" t="str">
        <f t="shared" si="13"/>
        <v>"C:\Program Files (x86)\AstroGrep\AstroGrep.exe" /e /r /s /spath="%USERPROFILE%\AppData\Local\Temp\OnboardLogs" /stypes="app*4017*20170530*" /stext=" 18:.+((SYSTEM_STATE.+slice.+state.+changed )|(ment ac)|(multiple cpu faults)|(system.+state.+changed )|(\[timeout)|(PRM\|1\|D)|(kpr)|(kdp)|(train st.+moving)|(\|lc)|(penalty))"</v>
      </c>
      <c r="AG74" s="1" t="str">
        <f t="shared" si="14"/>
        <v>EC</v>
      </c>
      <c r="AH74" s="81" t="str">
        <f t="shared" si="19"/>
        <v>"%USERPROFILE%\Documents\GitHub\eaglep3\Utilities\RefineRTDCRunTimes.py" --tripid 162-30 --locoid 4017 --swversion DE.1.0.9.0 --startMP 204:232959 --initTime 2017-05-30T12:07:33 --startdatetime 2017-05-30T12:12:24 --delay 1 --endMP 204:154 --enddatetime 2017-05-30T12:57:23 --enforcementcount 0 &gt;&gt;C:\Users\stu\Documents\GitHub\eaglep3-reporting\EC\2017-05-30-refined-times.txt</v>
      </c>
      <c r="AI74" s="99" t="str">
        <f t="shared" si="20"/>
        <v>echo {"issue":{"subject":"","project_id":79,"tracker_id":40,"status_id":1,"priority_id":2,"assigned_to_id":23,"start_date":"2017-05-30","description":"","custom_fields":[{"id":1,"name":"Subdivision","value":"EC"},{"id":4,"name":"Milepost","value":"0.0154"},{"id":17,"name":"Train ID","value":"162-30"},{"id":16,"name":"Locomotive ID","value":"4017"},{"id":130,"name":"Impact","value":""},{"id":150,"name":"Time of Event (Mountain Time)","value":"12:57:23"},{"id":151,"name":"Denver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5" t="str">
        <f t="shared" si="21"/>
        <v>start /low /b %USERPROFILE%\Documents\GitHub\eaglep3\Utilities\DownloadLogsFromS3.py --loco 4017 --day 2017-05-30</v>
      </c>
      <c r="AN74" s="154" t="str">
        <f t="shared" si="22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18:57:23"},{"id":29,"name":"Sharepoint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753</v>
      </c>
      <c r="B75" s="7">
        <v>4026</v>
      </c>
      <c r="C75" s="21" t="s">
        <v>204</v>
      </c>
      <c r="D75" s="21" t="s">
        <v>201</v>
      </c>
      <c r="E75" s="13">
        <v>42885.474212962959</v>
      </c>
      <c r="F75" s="13">
        <v>42885.479317129626</v>
      </c>
      <c r="G75" s="7">
        <v>2</v>
      </c>
      <c r="H75" s="21" t="s">
        <v>525</v>
      </c>
      <c r="I75" s="13">
        <v>42885.507650462961</v>
      </c>
      <c r="J75" s="7">
        <v>0</v>
      </c>
      <c r="K75" s="92" t="str">
        <f t="shared" si="0"/>
        <v>4025/4026</v>
      </c>
      <c r="L75" s="21" t="str">
        <f>VLOOKUP(A75,'Trips&amp;Operators'!$C$1:$G$99999,5,FALSE)</f>
        <v>CLARK KATHLEEN</v>
      </c>
      <c r="M75" s="6">
        <f t="shared" si="1"/>
        <v>2.8333333335467614E-2</v>
      </c>
      <c r="N75" s="7">
        <f t="shared" si="23"/>
        <v>40.800000003073364</v>
      </c>
      <c r="O75" s="7"/>
      <c r="P75" s="7"/>
      <c r="Q75" s="22"/>
      <c r="R75" s="173"/>
      <c r="S75" s="176">
        <f t="shared" si="24"/>
        <v>1</v>
      </c>
      <c r="T75" s="202" t="str">
        <f t="shared" si="4"/>
        <v>NorthBound</v>
      </c>
      <c r="U75" s="202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03" t="str">
        <f t="shared" si="5"/>
        <v>https://d0f6bd738d7f1b3e5a7ca70fe4ff75f0.us-east-1.aws.found.io/app/kibana#/discover/Steve-Slow-Train-Analysis-(2080s-and-2083s)?_g=(refreshInterval:(display:Off,pause:!f,section:0,value:0),time:(from:'2017-05-30T10:22:52-0600',mode:absolute,to:'2017-05-30T13:11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75" s="204" t="str">
        <f t="shared" si="6"/>
        <v>N</v>
      </c>
      <c r="X75" s="204">
        <f t="shared" si="25"/>
        <v>1</v>
      </c>
      <c r="Y75" s="204">
        <f t="shared" si="26"/>
        <v>4.5999999999999999E-2</v>
      </c>
      <c r="Z75" s="204">
        <f t="shared" si="27"/>
        <v>23.3291</v>
      </c>
      <c r="AA75" s="204">
        <f t="shared" si="10"/>
        <v>23.283100000000001</v>
      </c>
      <c r="AB75" s="57" t="e">
        <f>VLOOKUP(A75,Enforcements!$C$7:$K$13,8,0)</f>
        <v>#N/A</v>
      </c>
      <c r="AC75" s="53" t="e">
        <f>VLOOKUP(A75,Enforcements!$C$7:$E$13,3,0)</f>
        <v>#N/A</v>
      </c>
      <c r="AD75" s="54" t="str">
        <f t="shared" si="11"/>
        <v>0163-30</v>
      </c>
      <c r="AE75" s="80" t="str">
        <f t="shared" si="12"/>
        <v>aws s3 cp s3://rtdc.mdm.uploadarchive.raw/RTDC4026/ "%USERPROFILE%\AppData\Local\Temp\OnboardLogs"\RTDC4026\2017-05-30 --exclude "*" --recursive --include "*20170530*" &amp; "%USERPROFILE%\Documents\GitHub\mrs-test-scripts\Headless Mode &amp; Sideloading\WalkAndUnGZ.bat" "%USERPROFILE%\AppData\Local\Temp\OnboardLogs"\RTDC4026\2017-05-30 &amp; aws s3 cp s3://rtdc.mdm.uploadarchive.raw/RTDC4026/ "%USERPROFILE%\AppData\Local\Temp\OnboardLogs"\RTDC4026\2017-05-31 --exclude "*" --recursive --include "*20170531*" &amp; "%USERPROFILE%\Documents\GitHub\mrs-test-scripts\Headless Mode &amp; Sideloading\WalkAndUnGZ.bat" "%USERPROFILE%\AppData\Local\Temp\OnboardLogs"\RTDC4026\2017-05-31</v>
      </c>
      <c r="AF75" s="77" t="str">
        <f t="shared" si="13"/>
        <v>"C:\Program Files (x86)\AstroGrep\AstroGrep.exe" /e /r /s /spath="%USERPROFILE%\AppData\Local\Temp\OnboardLogs" /stypes="app*4026*20170530*" /stext=" 18:.+((SYSTEM_STATE.+slice.+state.+changed )|(ment ac)|(multiple cpu faults)|(system.+state.+changed )|(\[timeout)|(PRM\|1\|D)|(kpr)|(kdp)|(train st.+moving)|(\|lc)|(penalty))"</v>
      </c>
      <c r="AG75" s="1" t="str">
        <f t="shared" si="14"/>
        <v>EC</v>
      </c>
      <c r="AH75" s="81" t="str">
        <f t="shared" si="19"/>
        <v>"%USERPROFILE%\Documents\GitHub\eaglep3\Utilities\RefineRTDCRunTimes.py" --tripid 163-30 --locoid 4026 --swversion DE.1.0.9.0 --startMP 204:460 --initTime 2017-05-30T11:22:52 --startdatetime 2017-05-30T11:30:13 --delay 2 --endMP 204:233291 --enddatetime 2017-05-30T12:11:01 --enforcementcount 0 &gt;&gt;C:\Users\stu\Documents\GitHub\eaglep3-reporting\EC\2017-05-30-refined-times.txt</v>
      </c>
      <c r="AI75" s="99" t="str">
        <f t="shared" si="20"/>
        <v>echo {"issue":{"subject":"","project_id":79,"tracker_id":40,"status_id":1,"priority_id":2,"assigned_to_id":23,"start_date":"2017-05-30","description":"","custom_fields":[{"id":1,"name":"Subdivision","value":"EC"},{"id":4,"name":"Milepost","value":"23.3291"},{"id":17,"name":"Train ID","value":"163-30"},{"id":16,"name":"Locomotive ID","value":"4026"},{"id":130,"name":"Impact","value":""},{"id":150,"name":"Time of Event (Mountain Time)","value":"12:11:01"},{"id":151,"name":"Denver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5" t="str">
        <f t="shared" si="21"/>
        <v>start /low /b %USERPROFILE%\Documents\GitHub\eaglep3\Utilities\DownloadLogsFromS3.py --loco 4026 --day 2017-05-30</v>
      </c>
      <c r="AN75" s="154" t="str">
        <f t="shared" si="22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18:11:01"},{"id":29,"name":"Sharepoint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760</v>
      </c>
      <c r="B76" s="7">
        <v>4025</v>
      </c>
      <c r="C76" s="21" t="s">
        <v>204</v>
      </c>
      <c r="D76" s="21" t="s">
        <v>612</v>
      </c>
      <c r="E76" s="13">
        <v>42885.514618055553</v>
      </c>
      <c r="F76" s="13">
        <v>42885.518923611111</v>
      </c>
      <c r="G76" s="7">
        <v>1</v>
      </c>
      <c r="H76" s="21" t="s">
        <v>892</v>
      </c>
      <c r="I76" s="13">
        <v>42885.548935185187</v>
      </c>
      <c r="J76" s="7">
        <v>0</v>
      </c>
      <c r="K76" s="92" t="str">
        <f t="shared" si="0"/>
        <v>4025/4026</v>
      </c>
      <c r="L76" s="21" t="str">
        <f>VLOOKUP(A76,'Trips&amp;Operators'!$C$1:$G$99999,5,FALSE)</f>
        <v>CLARK KATHLEEN</v>
      </c>
      <c r="M76" s="6">
        <f t="shared" si="1"/>
        <v>3.0011574075615499E-2</v>
      </c>
      <c r="N76" s="7">
        <f t="shared" si="23"/>
        <v>43.216666668886319</v>
      </c>
      <c r="O76" s="7"/>
      <c r="P76" s="7"/>
      <c r="Q76" s="22"/>
      <c r="R76" s="173"/>
      <c r="S76" s="176">
        <f t="shared" si="24"/>
        <v>1</v>
      </c>
      <c r="T76" s="202" t="str">
        <f t="shared" si="4"/>
        <v>Southbound</v>
      </c>
      <c r="U76" s="202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03" t="str">
        <f t="shared" si="5"/>
        <v>https://d0f6bd738d7f1b3e5a7ca70fe4ff75f0.us-east-1.aws.found.io/app/kibana#/discover/Steve-Slow-Train-Analysis-(2080s-and-2083s)?_g=(refreshInterval:(display:Off,pause:!f,section:0,value:0),time:(from:'2017-05-30T11:21:03-0600',mode:absolute,to:'2017-05-30T14:10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76" s="204" t="str">
        <f t="shared" si="6"/>
        <v>N</v>
      </c>
      <c r="X76" s="204">
        <f t="shared" si="25"/>
        <v>1</v>
      </c>
      <c r="Y76" s="204">
        <f t="shared" si="26"/>
        <v>23.297799999999999</v>
      </c>
      <c r="Z76" s="204">
        <f t="shared" si="27"/>
        <v>1.72E-2</v>
      </c>
      <c r="AA76" s="204">
        <f t="shared" si="10"/>
        <v>23.2806</v>
      </c>
      <c r="AB76" s="57" t="e">
        <f>VLOOKUP(A76,Enforcements!$C$7:$K$13,8,0)</f>
        <v>#N/A</v>
      </c>
      <c r="AC76" s="53" t="e">
        <f>VLOOKUP(A76,Enforcements!$C$7:$E$13,3,0)</f>
        <v>#N/A</v>
      </c>
      <c r="AD76" s="54" t="str">
        <f t="shared" si="11"/>
        <v>0164-30</v>
      </c>
      <c r="AE76" s="80" t="str">
        <f t="shared" si="12"/>
        <v>aws s3 cp s3://rtdc.mdm.uploadarchive.raw/RTDC4025/ "%USERPROFILE%\AppData\Local\Temp\OnboardLogs"\RTDC4025\2017-05-30 --exclude "*" --recursive --include "*20170530*" &amp; "%USERPROFILE%\Documents\GitHub\mrs-test-scripts\Headless Mode &amp; Sideloading\WalkAndUnGZ.bat" "%USERPROFILE%\AppData\Local\Temp\OnboardLogs"\RTDC4025\2017-05-30 &amp; aws s3 cp s3://rtdc.mdm.uploadarchive.raw/RTDC4025/ "%USERPROFILE%\AppData\Local\Temp\OnboardLogs"\RTDC4025\2017-05-31 --exclude "*" --recursive --include "*20170531*" &amp; "%USERPROFILE%\Documents\GitHub\mrs-test-scripts\Headless Mode &amp; Sideloading\WalkAndUnGZ.bat" "%USERPROFILE%\AppData\Local\Temp\OnboardLogs"\RTDC4025\2017-05-31</v>
      </c>
      <c r="AF76" s="77" t="str">
        <f t="shared" si="13"/>
        <v>"C:\Program Files (x86)\AstroGrep\AstroGrep.exe" /e /r /s /spath="%USERPROFILE%\AppData\Local\Temp\OnboardLogs" /stypes="app*4025*20170530*" /stext=" 19:.+((SYSTEM_STATE.+slice.+state.+changed )|(ment ac)|(multiple cpu faults)|(system.+state.+changed )|(\[timeout)|(PRM\|1\|D)|(kpr)|(kdp)|(train st.+moving)|(\|lc)|(penalty))"</v>
      </c>
      <c r="AG76" s="1" t="str">
        <f t="shared" si="14"/>
        <v>EC</v>
      </c>
      <c r="AH76" s="81" t="str">
        <f t="shared" si="19"/>
        <v>"%USERPROFILE%\Documents\GitHub\eaglep3\Utilities\RefineRTDCRunTimes.py" --tripid 164-30 --locoid 4025 --swversion DE.1.0.9.0 --startMP 204:232978 --initTime 2017-05-30T12:21:03 --startdatetime 2017-05-30T12:27:15 --delay 1 --endMP 204:172 --enddatetime 2017-05-30T13:10:28 --enforcementcount 0 &gt;&gt;C:\Users\stu\Documents\GitHub\eaglep3-reporting\EC\2017-05-30-refined-times.txt</v>
      </c>
      <c r="AI76" s="99" t="str">
        <f t="shared" si="20"/>
        <v>echo {"issue":{"subject":"","project_id":79,"tracker_id":40,"status_id":1,"priority_id":2,"assigned_to_id":23,"start_date":"2017-05-30","description":"","custom_fields":[{"id":1,"name":"Subdivision","value":"EC"},{"id":4,"name":"Milepost","value":"0.0172"},{"id":17,"name":"Train ID","value":"164-30"},{"id":16,"name":"Locomotive ID","value":"4025"},{"id":130,"name":"Impact","value":""},{"id":150,"name":"Time of Event (Mountain Time)","value":"13:10:28"},{"id":151,"name":"Denver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5" t="str">
        <f t="shared" si="21"/>
        <v>start /low /b %USERPROFILE%\Documents\GitHub\eaglep3\Utilities\DownloadLogsFromS3.py --loco 4025 --day 2017-05-30</v>
      </c>
      <c r="AN76" s="154" t="str">
        <f t="shared" si="22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19:10:28"},{"id":29,"name":"Sharepoint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645</v>
      </c>
      <c r="B77" s="7">
        <v>4008</v>
      </c>
      <c r="C77" s="21" t="s">
        <v>204</v>
      </c>
      <c r="D77" s="21" t="s">
        <v>893</v>
      </c>
      <c r="E77" s="13">
        <v>42885.495428240742</v>
      </c>
      <c r="F77" s="13">
        <v>42885.496620370373</v>
      </c>
      <c r="G77" s="7">
        <v>1</v>
      </c>
      <c r="H77" s="21" t="s">
        <v>894</v>
      </c>
      <c r="I77" s="13">
        <v>42885.518333333333</v>
      </c>
      <c r="J77" s="7">
        <v>0</v>
      </c>
      <c r="K77" s="92" t="str">
        <f t="shared" ref="K77:K140" si="28">IF(ISEVEN(B77),(B77-1)&amp;"/"&amp;B77,B77&amp;"/"&amp;(B77+1))</f>
        <v>4007/4008</v>
      </c>
      <c r="L77" s="21" t="str">
        <f>VLOOKUP(A77,'Trips&amp;Operators'!$C$1:$G$99999,5,FALSE)</f>
        <v>LEVIN SCOTT</v>
      </c>
      <c r="M77" s="6">
        <f t="shared" ref="M77:M140" si="29">I77-F77</f>
        <v>2.1712962960009463E-2</v>
      </c>
      <c r="N77" s="7"/>
      <c r="O77" s="7"/>
      <c r="P77" s="7">
        <f>24*60*SUM($M77:$M77)</f>
        <v>31.266666662413627</v>
      </c>
      <c r="Q77" s="22"/>
      <c r="R77" s="173" t="s">
        <v>1006</v>
      </c>
      <c r="S77" s="176">
        <f t="shared" si="24"/>
        <v>1</v>
      </c>
      <c r="T77" s="202" t="str">
        <f t="shared" ref="T77:T140" si="30">IF(ISEVEN(LEFT(AD77,4)),"Southbound","NorthBound")</f>
        <v>NorthBound</v>
      </c>
      <c r="U77" s="202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03" t="str">
        <f t="shared" ref="V77:V140" si="31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-05-30T10:53:25-0600',mode:absolute,to:'2017-05-30T13:26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77" s="204" t="str">
        <f t="shared" ref="W77:W140" si="32">IF(AA77&lt;IF(AG77="EC",23,5.65),"Y","N")</f>
        <v>Y</v>
      </c>
      <c r="X77" s="204">
        <f t="shared" ref="X77:X108" si="33">VALUE(LEFT(AD77,4))-VALUE(LEFT(AD76,4))</f>
        <v>1</v>
      </c>
      <c r="Y77" s="204">
        <f t="shared" ref="Y77:Y108" si="34">RIGHT(D77,LEN(D77)-4)/10000</f>
        <v>1.9137999999999999</v>
      </c>
      <c r="Z77" s="204">
        <f t="shared" ref="Z77:Z108" si="35">RIGHT(H77,LEN(H77)-4)/10000</f>
        <v>23.324000000000002</v>
      </c>
      <c r="AA77" s="204">
        <f t="shared" ref="AA77:AA140" si="36">ABS(Z77-Y77)</f>
        <v>21.410200000000003</v>
      </c>
      <c r="AB77" s="57" t="e">
        <f>VLOOKUP(A77,Enforcements!$C$7:$K$13,8,0)</f>
        <v>#N/A</v>
      </c>
      <c r="AC77" s="53" t="e">
        <f>VLOOKUP(A77,Enforcements!$C$7:$E$13,3,0)</f>
        <v>#N/A</v>
      </c>
      <c r="AD77" s="54" t="str">
        <f t="shared" ref="AD77:AD140" si="37">IF(LEN(A77)=6,"0"&amp;A77,A77)</f>
        <v>0165-30</v>
      </c>
      <c r="AE77" s="80" t="str">
        <f t="shared" ref="AE77:AE140" si="38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s3://rtdc.mdm.uploadarchive.raw/RTDC4008/ "%USERPROFILE%\AppData\Local\Temp\OnboardLogs"\RTDC4008\2017-05-30 --exclude "*" --recursive --include "*20170530*" &amp; "%USERPROFILE%\Documents\GitHub\mrs-test-scripts\Headless Mode &amp; Sideloading\WalkAndUnGZ.bat" "%USERPROFILE%\AppData\Local\Temp\OnboardLogs"\RTDC4008\2017-05-30 &amp; aws s3 cp s3://rtdc.mdm.uploadarchive.raw/RTDC4008/ "%USERPROFILE%\AppData\Local\Temp\OnboardLogs"\RTDC4008\2017-05-31 --exclude "*" --recursive --include "*20170531*" &amp; "%USERPROFILE%\Documents\GitHub\mrs-test-scripts\Headless Mode &amp; Sideloading\WalkAndUnGZ.bat" "%USERPROFILE%\AppData\Local\Temp\OnboardLogs"\RTDC4008\2017-05-31</v>
      </c>
      <c r="AF77" s="77" t="str">
        <f t="shared" ref="AF77:AF140" si="39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/stypes="app*4008*20170530*" /stext=" 18:.+((SYSTEM_STATE.+slice.+state.+changed )|(ment ac)|(multiple cpu faults)|(system.+state.+changed )|(\[timeout)|(PRM\|1\|D)|(kpr)|(kdp)|(train st.+moving)|(\|lc)|(penalty))"</v>
      </c>
      <c r="AG77" s="1" t="str">
        <f t="shared" ref="AG77:AG140" si="40">IFERROR(IF(VALUE(LEFT(AD77,2))&lt;=2,"EC",IF(OR(VALUE(LEFT(AD77,2))=8,VALUE(LEFT(AD77,2))=18),"NW","Other")),"Other")</f>
        <v>EC</v>
      </c>
      <c r="AH77" s="81" t="str">
        <f t="shared" si="19"/>
        <v>"%USERPROFILE%\Documents\GitHub\eaglep3\Utilities\RefineRTDCRunTimes.py" --tripid 165-30 --locoid 4008 --swversion DE.1.0.9.0 --startMP 204:19138 --initTime 2017-05-30T11:53:25 --startdatetime 2017-05-30T11:55:08 --delay 1 --endMP 204:233240 --enddatetime 2017-05-30T12:26:24 --enforcementcount 0 &gt;&gt;C:\Users\stu\Documents\GitHub\eaglep3-reporting\EC\2017-05-30-refined-times.txt</v>
      </c>
      <c r="AI77" s="99" t="str">
        <f t="shared" si="20"/>
        <v>echo {"issue":{"subject":"Onboard in-route failure led to comm failure","project_id":79,"tracker_id":40,"status_id":1,"priority_id":2,"assigned_to_id":23,"start_date":"2017-05-30","description":"","custom_fields":[{"id":1,"name":"Subdivision","value":"EC"},{"id":4,"name":"Milepost","value":"23.324"},{"id":17,"name":"Train ID","value":"165-30"},{"id":16,"name":"Locomotive ID","value":"4008"},{"id":130,"name":"Impact","value":""},{"id":150,"name":"Time of Event (Mountain Time)","value":"12:26:24"},{"id":151,"name":"Denver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5" t="str">
        <f t="shared" si="21"/>
        <v>start /low /b %USERPROFILE%\Documents\GitHub\eaglep3\Utilities\DownloadLogsFromS3.py --loco 4008 --day 2017-05-30</v>
      </c>
      <c r="AN77" s="154" t="str">
        <f t="shared" si="22"/>
        <v>echo {"issue":{"subject":"Onboard in-route failure led to comm failure","project_id":30,"tracker_id":4,"status_id":1,"priority_id":1,"assigned_to_id":10,"start_date":"2017-05-30","description":"","custom_fields":[{"id":30,"name":"Category","value":"Issue"},{"id":3,"name":"Functional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18:26:24"},{"id":29,"name":"Sharepoint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645</v>
      </c>
      <c r="B78" s="7">
        <v>4008</v>
      </c>
      <c r="C78" s="21" t="s">
        <v>204</v>
      </c>
      <c r="D78" s="21" t="s">
        <v>599</v>
      </c>
      <c r="E78" s="13">
        <v>42885.489629629628</v>
      </c>
      <c r="F78" s="13">
        <v>42885.496620370373</v>
      </c>
      <c r="G78" s="7">
        <v>1</v>
      </c>
      <c r="H78" s="21" t="s">
        <v>895</v>
      </c>
      <c r="I78" s="13">
        <v>42885.518333333333</v>
      </c>
      <c r="J78" s="7">
        <v>0</v>
      </c>
      <c r="K78" s="92" t="str">
        <f t="shared" si="28"/>
        <v>4007/4008</v>
      </c>
      <c r="L78" s="21" t="str">
        <f>VLOOKUP(A78,'Trips&amp;Operators'!$C$1:$G$99999,5,FALSE)</f>
        <v>LEVIN SCOTT</v>
      </c>
      <c r="M78" s="6">
        <f t="shared" si="29"/>
        <v>2.1712962960009463E-2</v>
      </c>
      <c r="N78" s="7"/>
      <c r="O78" s="7"/>
      <c r="P78" s="7"/>
      <c r="Q78" s="22"/>
      <c r="R78" s="173"/>
      <c r="S78" s="176"/>
      <c r="T78" s="202" t="str">
        <f t="shared" si="30"/>
        <v>NorthBound</v>
      </c>
      <c r="U78" s="202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0</v>
      </c>
      <c r="V78" s="203" t="str">
        <f t="shared" si="31"/>
        <v>https://d0f6bd738d7f1b3e5a7ca70fe4ff75f0.us-east-1.aws.found.io/app/kibana#/discover/Steve-Slow-Train-Analysis-(2080s-and-2083s)?_g=(refreshInterval:(display:Off,pause:!f,section:0,value:0),time:(from:'2017-05-30T10:45:04-0600',mode:absolute,to:'2017-05-30T13:26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78" s="204" t="str">
        <f t="shared" si="32"/>
        <v>Y</v>
      </c>
      <c r="X78" s="204">
        <f t="shared" si="33"/>
        <v>0</v>
      </c>
      <c r="Y78" s="204">
        <f t="shared" si="34"/>
        <v>4.7100000000000003E-2</v>
      </c>
      <c r="Z78" s="204">
        <f t="shared" si="35"/>
        <v>0.20960000000000001</v>
      </c>
      <c r="AA78" s="204">
        <f t="shared" si="36"/>
        <v>0.16250000000000001</v>
      </c>
      <c r="AB78" s="57" t="e">
        <f>VLOOKUP(A78,Enforcements!$C$7:$K$13,8,0)</f>
        <v>#N/A</v>
      </c>
      <c r="AC78" s="53" t="e">
        <f>VLOOKUP(A78,Enforcements!$C$7:$E$13,3,0)</f>
        <v>#N/A</v>
      </c>
      <c r="AD78" s="54" t="str">
        <f t="shared" si="37"/>
        <v>0165-30</v>
      </c>
      <c r="AE78" s="80" t="str">
        <f t="shared" si="38"/>
        <v>aws s3 cp s3://rtdc.mdm.uploadarchive.raw/RTDC4008/ "%USERPROFILE%\AppData\Local\Temp\OnboardLogs"\RTDC4008\2017-05-30 --exclude "*" --recursive --include "*20170530*" &amp; "%USERPROFILE%\Documents\GitHub\mrs-test-scripts\Headless Mode &amp; Sideloading\WalkAndUnGZ.bat" "%USERPROFILE%\AppData\Local\Temp\OnboardLogs"\RTDC4008\2017-05-30 &amp; aws s3 cp s3://rtdc.mdm.uploadarchive.raw/RTDC4008/ "%USERPROFILE%\AppData\Local\Temp\OnboardLogs"\RTDC4008\2017-05-31 --exclude "*" --recursive --include "*20170531*" &amp; "%USERPROFILE%\Documents\GitHub\mrs-test-scripts\Headless Mode &amp; Sideloading\WalkAndUnGZ.bat" "%USERPROFILE%\AppData\Local\Temp\OnboardLogs"\RTDC4008\2017-05-31</v>
      </c>
      <c r="AF78" s="77" t="str">
        <f t="shared" si="39"/>
        <v>"C:\Program Files (x86)\AstroGrep\AstroGrep.exe" /e /r /s /spath="%USERPROFILE%\AppData\Local\Temp\OnboardLogs" /stypes="app*4008*20170530*" /stext=" 18:.+((SYSTEM_STATE.+slice.+state.+changed )|(ment ac)|(multiple cpu faults)|(system.+state.+changed )|(\[timeout)|(PRM\|1\|D)|(kpr)|(kdp)|(train st.+moving)|(\|lc)|(penalty))"</v>
      </c>
      <c r="AG78" s="1" t="str">
        <f t="shared" si="40"/>
        <v>EC</v>
      </c>
      <c r="AH78" s="81" t="str">
        <f t="shared" ref="AH78:AH141" si="41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165-30 --locoid 4008 --swversion DE.1.0.9.0 --startMP 204:471 --initTime 2017-05-30T11:45:04 --startdatetime 2017-05-30T11:55:08 --delay 1 --endMP 204:2096 --enddatetime 2017-05-30T12:26:24 --enforcementcount 0 &gt;&gt;C:\Users\stu\Documents\GitHub\eaglep3-reporting\EC\2017-05-30-refined-times.txt</v>
      </c>
      <c r="AI78" s="99" t="str">
        <f t="shared" ref="AI78:AI141" si="42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{"issue":{"subject":"","project_id":79,"tracker_id":40,"status_id":1,"priority_id":2,"assigned_to_id":23,"start_date":"2017-05-30","description":"","custom_fields":[{"id":1,"name":"Subdivision","value":"EC"},{"id":4,"name":"Milepost","value":"0.2096"},{"id":17,"name":"Train ID","value":"165-30"},{"id":16,"name":"Locomotive ID","value":"4008"},{"id":130,"name":"Impact","value":""},{"id":150,"name":"Time of Event (Mountain Time)","value":"12:26:24"},{"id":151,"name":"Denver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5" t="str">
        <f t="shared" ref="AM78:AM141" si="43">"start /low /b "&amp;dls3logs&amp;" --loco "&amp;B78&amp;" --day "&amp;TEXT(F78,"YYYY-MM-DD")</f>
        <v>start /low /b %USERPROFILE%\Documents\GitHub\eaglep3\Utilities\DownloadLogsFromS3.py --loco 4008 --day 2017-05-30</v>
      </c>
      <c r="AN78" s="154" t="str">
        <f t="shared" ref="AN78:AN141" si="44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18:26:24"},{"id":29,"name":"Sharepoint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763</v>
      </c>
      <c r="B79" s="7">
        <v>4007</v>
      </c>
      <c r="C79" s="21" t="s">
        <v>204</v>
      </c>
      <c r="D79" s="21" t="s">
        <v>896</v>
      </c>
      <c r="E79" s="13">
        <v>42885.527199074073</v>
      </c>
      <c r="F79" s="13">
        <v>42885.530023148145</v>
      </c>
      <c r="G79" s="7">
        <v>1</v>
      </c>
      <c r="H79" s="21" t="s">
        <v>603</v>
      </c>
      <c r="I79" s="13">
        <v>42885.55736111111</v>
      </c>
      <c r="J79" s="7">
        <v>0</v>
      </c>
      <c r="K79" s="92" t="str">
        <f t="shared" si="28"/>
        <v>4007/4008</v>
      </c>
      <c r="L79" s="21" t="str">
        <f>VLOOKUP(A79,'Trips&amp;Operators'!$C$1:$G$99999,5,FALSE)</f>
        <v>LEVIN SCOTT</v>
      </c>
      <c r="M79" s="6">
        <f t="shared" si="29"/>
        <v>2.7337962965248153E-2</v>
      </c>
      <c r="N79" s="7">
        <f t="shared" ref="N79:N110" si="45">24*60*SUM($M79:$M79)</f>
        <v>39.36666666995734</v>
      </c>
      <c r="O79" s="7"/>
      <c r="P79" s="7"/>
      <c r="Q79" s="22"/>
      <c r="R79" s="173"/>
      <c r="S79" s="176">
        <f t="shared" ref="S79:S110" si="46">SUM(U79:U79)/IF(AG79="EC",12,1)</f>
        <v>1</v>
      </c>
      <c r="T79" s="202" t="str">
        <f t="shared" si="30"/>
        <v>Southbound</v>
      </c>
      <c r="U79" s="202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03" t="str">
        <f t="shared" si="31"/>
        <v>https://d0f6bd738d7f1b3e5a7ca70fe4ff75f0.us-east-1.aws.found.io/app/kibana#/discover/Steve-Slow-Train-Analysis-(2080s-and-2083s)?_g=(refreshInterval:(display:Off,pause:!f,section:0,value:0),time:(from:'2017-05-30T11:39:10-0600',mode:absolute,to:'2017-05-30T14:22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79" s="204" t="str">
        <f t="shared" si="32"/>
        <v>N</v>
      </c>
      <c r="X79" s="204">
        <f t="shared" si="33"/>
        <v>1</v>
      </c>
      <c r="Y79" s="204">
        <f t="shared" si="34"/>
        <v>23.292100000000001</v>
      </c>
      <c r="Z79" s="204">
        <f t="shared" si="35"/>
        <v>1.29E-2</v>
      </c>
      <c r="AA79" s="204">
        <f t="shared" si="36"/>
        <v>23.279200000000003</v>
      </c>
      <c r="AB79" s="57" t="e">
        <f>VLOOKUP(A79,Enforcements!$C$7:$K$13,8,0)</f>
        <v>#N/A</v>
      </c>
      <c r="AC79" s="53" t="e">
        <f>VLOOKUP(A79,Enforcements!$C$7:$E$13,3,0)</f>
        <v>#N/A</v>
      </c>
      <c r="AD79" s="54" t="str">
        <f t="shared" si="37"/>
        <v>0166-30</v>
      </c>
      <c r="AE79" s="80" t="str">
        <f t="shared" si="38"/>
        <v>aws s3 cp s3://rtdc.mdm.uploadarchive.raw/RTDC4007/ "%USERPROFILE%\AppData\Local\Temp\OnboardLogs"\RTDC4007\2017-05-30 --exclude "*" --recursive --include "*20170530*" &amp; "%USERPROFILE%\Documents\GitHub\mrs-test-scripts\Headless Mode &amp; Sideloading\WalkAndUnGZ.bat" "%USERPROFILE%\AppData\Local\Temp\OnboardLogs"\RTDC4007\2017-05-30 &amp; aws s3 cp s3://rtdc.mdm.uploadarchive.raw/RTDC4007/ "%USERPROFILE%\AppData\Local\Temp\OnboardLogs"\RTDC4007\2017-05-31 --exclude "*" --recursive --include "*20170531*" &amp; "%USERPROFILE%\Documents\GitHub\mrs-test-scripts\Headless Mode &amp; Sideloading\WalkAndUnGZ.bat" "%USERPROFILE%\AppData\Local\Temp\OnboardLogs"\RTDC4007\2017-05-31</v>
      </c>
      <c r="AF79" s="77" t="str">
        <f t="shared" si="39"/>
        <v>"C:\Program Files (x86)\AstroGrep\AstroGrep.exe" /e /r /s /spath="%USERPROFILE%\AppData\Local\Temp\OnboardLogs" /stypes="app*4007*20170530*" /stext=" 19:.+((SYSTEM_STATE.+slice.+state.+changed )|(ment ac)|(multiple cpu faults)|(system.+state.+changed )|(\[timeout)|(PRM\|1\|D)|(kpr)|(kdp)|(train st.+moving)|(\|lc)|(penalty))"</v>
      </c>
      <c r="AG79" s="1" t="str">
        <f t="shared" si="40"/>
        <v>EC</v>
      </c>
      <c r="AH79" s="81" t="str">
        <f t="shared" si="41"/>
        <v>"%USERPROFILE%\Documents\GitHub\eaglep3\Utilities\RefineRTDCRunTimes.py" --tripid 166-30 --locoid 4007 --swversion DE.1.0.9.0 --startMP 204:232921 --initTime 2017-05-30T12:39:10 --startdatetime 2017-05-30T12:43:14 --delay 1 --endMP 204:129 --enddatetime 2017-05-30T13:22:36 --enforcementcount 0 &gt;&gt;C:\Users\stu\Documents\GitHub\eaglep3-reporting\EC\2017-05-30-refined-times.txt</v>
      </c>
      <c r="AI79" s="99" t="str">
        <f t="shared" si="42"/>
        <v>echo {"issue":{"subject":"","project_id":79,"tracker_id":40,"status_id":1,"priority_id":2,"assigned_to_id":23,"start_date":"2017-05-30","description":"","custom_fields":[{"id":1,"name":"Subdivision","value":"EC"},{"id":4,"name":"Milepost","value":"0.0129"},{"id":17,"name":"Train ID","value":"166-30"},{"id":16,"name":"Locomotive ID","value":"4007"},{"id":130,"name":"Impact","value":""},{"id":150,"name":"Time of Event (Mountain Time)","value":"13:22:36"},{"id":151,"name":"Denver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5" t="str">
        <f t="shared" si="43"/>
        <v>start /low /b %USERPROFILE%\Documents\GitHub\eaglep3\Utilities\DownloadLogsFromS3.py --loco 4007 --day 2017-05-30</v>
      </c>
      <c r="AN79" s="154" t="str">
        <f t="shared" si="44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19:22:36"},{"id":29,"name":"Sharepoint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757</v>
      </c>
      <c r="B80" s="7">
        <v>4032</v>
      </c>
      <c r="C80" s="21" t="s">
        <v>204</v>
      </c>
      <c r="D80" s="21" t="s">
        <v>358</v>
      </c>
      <c r="E80" s="13">
        <v>42885.501238425924</v>
      </c>
      <c r="F80" s="13">
        <v>42885.502881944441</v>
      </c>
      <c r="G80" s="7">
        <v>1</v>
      </c>
      <c r="H80" s="21" t="s">
        <v>597</v>
      </c>
      <c r="I80" s="13">
        <v>42885.533321759256</v>
      </c>
      <c r="J80" s="7">
        <v>0</v>
      </c>
      <c r="K80" s="92" t="str">
        <f t="shared" si="28"/>
        <v>4031/4032</v>
      </c>
      <c r="L80" s="21" t="str">
        <f>VLOOKUP(A80,'Trips&amp;Operators'!$C$1:$G$99999,5,FALSE)</f>
        <v>LEVERE CRAIG</v>
      </c>
      <c r="M80" s="6">
        <f t="shared" si="29"/>
        <v>3.0439814814599231E-2</v>
      </c>
      <c r="N80" s="7">
        <f t="shared" si="45"/>
        <v>43.833333333022892</v>
      </c>
      <c r="O80" s="7"/>
      <c r="P80" s="7"/>
      <c r="Q80" s="22"/>
      <c r="R80" s="173"/>
      <c r="S80" s="176">
        <f t="shared" si="46"/>
        <v>1</v>
      </c>
      <c r="T80" s="202" t="str">
        <f t="shared" si="30"/>
        <v>NorthBound</v>
      </c>
      <c r="U80" s="202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03" t="str">
        <f t="shared" si="31"/>
        <v>https://d0f6bd738d7f1b3e5a7ca70fe4ff75f0.us-east-1.aws.found.io/app/kibana#/discover/Steve-Slow-Train-Analysis-(2080s-and-2083s)?_g=(refreshInterval:(display:Off,pause:!f,section:0,value:0),time:(from:'2017-05-30T11:01:47-0600',mode:absolute,to:'2017-05-30T13:47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80" s="204" t="str">
        <f t="shared" si="32"/>
        <v>N</v>
      </c>
      <c r="X80" s="204">
        <f t="shared" si="33"/>
        <v>1</v>
      </c>
      <c r="Y80" s="204">
        <f t="shared" si="34"/>
        <v>4.6399999999999997E-2</v>
      </c>
      <c r="Z80" s="204">
        <f t="shared" si="35"/>
        <v>23.330100000000002</v>
      </c>
      <c r="AA80" s="204">
        <f t="shared" si="36"/>
        <v>23.283700000000003</v>
      </c>
      <c r="AB80" s="57" t="e">
        <f>VLOOKUP(A80,Enforcements!$C$7:$K$13,8,0)</f>
        <v>#N/A</v>
      </c>
      <c r="AC80" s="53" t="e">
        <f>VLOOKUP(A80,Enforcements!$C$7:$E$13,3,0)</f>
        <v>#N/A</v>
      </c>
      <c r="AD80" s="54" t="str">
        <f t="shared" si="37"/>
        <v>0167-30</v>
      </c>
      <c r="AE80" s="80" t="str">
        <f t="shared" si="38"/>
        <v>aws s3 cp s3://rtdc.mdm.uploadarchive.raw/RTDC4032/ "%USERPROFILE%\AppData\Local\Temp\OnboardLogs"\RTDC4032\2017-05-30 --exclude "*" --recursive --include "*20170530*" &amp; "%USERPROFILE%\Documents\GitHub\mrs-test-scripts\Headless Mode &amp; Sideloading\WalkAndUnGZ.bat" "%USERPROFILE%\AppData\Local\Temp\OnboardLogs"\RTDC4032\2017-05-30 &amp; aws s3 cp s3://rtdc.mdm.uploadarchive.raw/RTDC4032/ "%USERPROFILE%\AppData\Local\Temp\OnboardLogs"\RTDC4032\2017-05-31 --exclude "*" --recursive --include "*20170531*" &amp; "%USERPROFILE%\Documents\GitHub\mrs-test-scripts\Headless Mode &amp; Sideloading\WalkAndUnGZ.bat" "%USERPROFILE%\AppData\Local\Temp\OnboardLogs"\RTDC4032\2017-05-31</v>
      </c>
      <c r="AF80" s="77" t="str">
        <f t="shared" si="39"/>
        <v>"C:\Program Files (x86)\AstroGrep\AstroGrep.exe" /e /r /s /spath="%USERPROFILE%\AppData\Local\Temp\OnboardLogs" /stypes="app*4032*20170530*" /stext=" 18:.+((SYSTEM_STATE.+slice.+state.+changed )|(ment ac)|(multiple cpu faults)|(system.+state.+changed )|(\[timeout)|(PRM\|1\|D)|(kpr)|(kdp)|(train st.+moving)|(\|lc)|(penalty))"</v>
      </c>
      <c r="AG80" s="1" t="str">
        <f t="shared" si="40"/>
        <v>EC</v>
      </c>
      <c r="AH80" s="81" t="str">
        <f t="shared" si="41"/>
        <v>"%USERPROFILE%\Documents\GitHub\eaglep3\Utilities\RefineRTDCRunTimes.py" --tripid 167-30 --locoid 4032 --swversion DE.1.0.9.0 --startMP 204:464 --initTime 2017-05-30T12:01:47 --startdatetime 2017-05-30T12:04:09 --delay 1 --endMP 204:233301 --enddatetime 2017-05-30T12:47:59 --enforcementcount 0 &gt;&gt;C:\Users\stu\Documents\GitHub\eaglep3-reporting\EC\2017-05-30-refined-times.txt</v>
      </c>
      <c r="AI80" s="99" t="str">
        <f t="shared" si="42"/>
        <v>echo {"issue":{"subject":"","project_id":79,"tracker_id":40,"status_id":1,"priority_id":2,"assigned_to_id":23,"start_date":"2017-05-30","description":"","custom_fields":[{"id":1,"name":"Subdivision","value":"EC"},{"id":4,"name":"Milepost","value":"23.3301"},{"id":17,"name":"Train ID","value":"167-30"},{"id":16,"name":"Locomotive ID","value":"4032"},{"id":130,"name":"Impact","value":""},{"id":150,"name":"Time of Event (Mountain Time)","value":"12:47:59"},{"id":151,"name":"Denver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5" t="str">
        <f t="shared" si="43"/>
        <v>start /low /b %USERPROFILE%\Documents\GitHub\eaglep3\Utilities\DownloadLogsFromS3.py --loco 4032 --day 2017-05-30</v>
      </c>
      <c r="AN80" s="154" t="str">
        <f t="shared" si="44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18:47:59"},{"id":29,"name":"Sharepoint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765</v>
      </c>
      <c r="B81" s="7">
        <v>4031</v>
      </c>
      <c r="C81" s="21" t="s">
        <v>204</v>
      </c>
      <c r="D81" s="21" t="s">
        <v>612</v>
      </c>
      <c r="E81" s="13">
        <v>42885.536550925928</v>
      </c>
      <c r="F81" s="13">
        <v>42885.53974537037</v>
      </c>
      <c r="G81" s="7">
        <v>1</v>
      </c>
      <c r="H81" s="21" t="s">
        <v>196</v>
      </c>
      <c r="I81" s="13">
        <v>42885.569050925929</v>
      </c>
      <c r="J81" s="7">
        <v>0</v>
      </c>
      <c r="K81" s="92" t="str">
        <f t="shared" si="28"/>
        <v>4031/4032</v>
      </c>
      <c r="L81" s="21" t="str">
        <f>VLOOKUP(A81,'Trips&amp;Operators'!$C$1:$G$99999,5,FALSE)</f>
        <v>LEVERE CRAIG</v>
      </c>
      <c r="M81" s="6">
        <f t="shared" si="29"/>
        <v>2.9305555559403729E-2</v>
      </c>
      <c r="N81" s="7">
        <f t="shared" si="45"/>
        <v>42.200000005541369</v>
      </c>
      <c r="O81" s="7"/>
      <c r="P81" s="7"/>
      <c r="Q81" s="22"/>
      <c r="R81" s="173"/>
      <c r="S81" s="176">
        <f t="shared" si="46"/>
        <v>1</v>
      </c>
      <c r="T81" s="202" t="str">
        <f t="shared" si="30"/>
        <v>Southbound</v>
      </c>
      <c r="U81" s="202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03" t="str">
        <f t="shared" si="31"/>
        <v>https://d0f6bd738d7f1b3e5a7ca70fe4ff75f0.us-east-1.aws.found.io/app/kibana#/discover/Steve-Slow-Train-Analysis-(2080s-and-2083s)?_g=(refreshInterval:(display:Off,pause:!f,section:0,value:0),time:(from:'2017-05-30T11:52:38-0600',mode:absolute,to:'2017-05-30T14:39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81" s="204" t="str">
        <f t="shared" si="32"/>
        <v>N</v>
      </c>
      <c r="X81" s="204">
        <f t="shared" si="33"/>
        <v>1</v>
      </c>
      <c r="Y81" s="204">
        <f t="shared" si="34"/>
        <v>23.297799999999999</v>
      </c>
      <c r="Z81" s="204">
        <f t="shared" si="35"/>
        <v>1.5800000000000002E-2</v>
      </c>
      <c r="AA81" s="204">
        <f t="shared" si="36"/>
        <v>23.282</v>
      </c>
      <c r="AB81" s="57" t="e">
        <f>VLOOKUP(A81,Enforcements!$C$7:$K$13,8,0)</f>
        <v>#N/A</v>
      </c>
      <c r="AC81" s="53" t="e">
        <f>VLOOKUP(A81,Enforcements!$C$7:$E$13,3,0)</f>
        <v>#N/A</v>
      </c>
      <c r="AD81" s="54" t="str">
        <f t="shared" si="37"/>
        <v>0168-30</v>
      </c>
      <c r="AE81" s="80" t="str">
        <f t="shared" si="38"/>
        <v>aws s3 cp s3://rtdc.mdm.uploadarchive.raw/RTDC4031/ "%USERPROFILE%\AppData\Local\Temp\OnboardLogs"\RTDC4031\2017-05-30 --exclude "*" --recursive --include "*20170530*" &amp; "%USERPROFILE%\Documents\GitHub\mrs-test-scripts\Headless Mode &amp; Sideloading\WalkAndUnGZ.bat" "%USERPROFILE%\AppData\Local\Temp\OnboardLogs"\RTDC4031\2017-05-30 &amp; aws s3 cp s3://rtdc.mdm.uploadarchive.raw/RTDC4031/ "%USERPROFILE%\AppData\Local\Temp\OnboardLogs"\RTDC4031\2017-05-31 --exclude "*" --recursive --include "*20170531*" &amp; "%USERPROFILE%\Documents\GitHub\mrs-test-scripts\Headless Mode &amp; Sideloading\WalkAndUnGZ.bat" "%USERPROFILE%\AppData\Local\Temp\OnboardLogs"\RTDC4031\2017-05-31</v>
      </c>
      <c r="AF81" s="77" t="str">
        <f t="shared" si="39"/>
        <v>"C:\Program Files (x86)\AstroGrep\AstroGrep.exe" /e /r /s /spath="%USERPROFILE%\AppData\Local\Temp\OnboardLogs" /stypes="app*4031*20170530*" /stext=" 19:.+((SYSTEM_STATE.+slice.+state.+changed )|(ment ac)|(multiple cpu faults)|(system.+state.+changed )|(\[timeout)|(PRM\|1\|D)|(kpr)|(kdp)|(train st.+moving)|(\|lc)|(penalty))"</v>
      </c>
      <c r="AG81" s="1" t="str">
        <f t="shared" si="40"/>
        <v>EC</v>
      </c>
      <c r="AH81" s="81" t="str">
        <f t="shared" si="41"/>
        <v>"%USERPROFILE%\Documents\GitHub\eaglep3\Utilities\RefineRTDCRunTimes.py" --tripid 168-30 --locoid 4031 --swversion DE.1.0.9.0 --startMP 204:232978 --initTime 2017-05-30T12:52:38 --startdatetime 2017-05-30T12:57:14 --delay 1 --endMP 204:158 --enddatetime 2017-05-30T13:39:26 --enforcementcount 0 &gt;&gt;C:\Users\stu\Documents\GitHub\eaglep3-reporting\EC\2017-05-30-refined-times.txt</v>
      </c>
      <c r="AI81" s="99" t="str">
        <f t="shared" si="42"/>
        <v>echo {"issue":{"subject":"","project_id":79,"tracker_id":40,"status_id":1,"priority_id":2,"assigned_to_id":23,"start_date":"2017-05-30","description":"","custom_fields":[{"id":1,"name":"Subdivision","value":"EC"},{"id":4,"name":"Milepost","value":"0.0158"},{"id":17,"name":"Train ID","value":"168-30"},{"id":16,"name":"Locomotive ID","value":"4031"},{"id":130,"name":"Impact","value":""},{"id":150,"name":"Time of Event (Mountain Time)","value":"13:39:26"},{"id":151,"name":"Denver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5" t="str">
        <f t="shared" si="43"/>
        <v>start /low /b %USERPROFILE%\Documents\GitHub\eaglep3\Utilities\DownloadLogsFromS3.py --loco 4031 --day 2017-05-30</v>
      </c>
      <c r="AN81" s="154" t="str">
        <f t="shared" si="44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19:39:26"},{"id":29,"name":"Sharepoint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759</v>
      </c>
      <c r="B82" s="7">
        <v>4056</v>
      </c>
      <c r="C82" s="21" t="s">
        <v>204</v>
      </c>
      <c r="D82" s="21" t="s">
        <v>531</v>
      </c>
      <c r="E82" s="13">
        <v>42885.509710648148</v>
      </c>
      <c r="F82" s="13">
        <v>42885.511678240742</v>
      </c>
      <c r="G82" s="7">
        <v>1</v>
      </c>
      <c r="H82" s="21" t="s">
        <v>514</v>
      </c>
      <c r="I82" s="13">
        <v>42885.545358796298</v>
      </c>
      <c r="J82" s="7">
        <v>0</v>
      </c>
      <c r="K82" s="92" t="str">
        <f t="shared" si="28"/>
        <v>4055/4056</v>
      </c>
      <c r="L82" s="21" t="str">
        <f>VLOOKUP(A82,'Trips&amp;Operators'!$C$1:$G$99999,5,FALSE)</f>
        <v>ZEWDU DEREJE</v>
      </c>
      <c r="M82" s="6">
        <f t="shared" si="29"/>
        <v>3.3680555556202307E-2</v>
      </c>
      <c r="N82" s="7">
        <f t="shared" si="45"/>
        <v>48.500000000931323</v>
      </c>
      <c r="O82" s="7"/>
      <c r="P82" s="7"/>
      <c r="Q82" s="22"/>
      <c r="R82" s="173"/>
      <c r="S82" s="176">
        <f t="shared" si="46"/>
        <v>1</v>
      </c>
      <c r="T82" s="202" t="str">
        <f t="shared" si="30"/>
        <v>NorthBound</v>
      </c>
      <c r="U82" s="202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03" t="str">
        <f t="shared" si="31"/>
        <v>https://d0f6bd738d7f1b3e5a7ca70fe4ff75f0.us-east-1.aws.found.io/app/kibana#/discover/Steve-Slow-Train-Analysis-(2080s-and-2083s)?_g=(refreshInterval:(display:Off,pause:!f,section:0,value:0),time:(from:'2017-05-30T11:13:59-0600',mode:absolute,to:'2017-05-30T14:05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82" s="204" t="str">
        <f t="shared" si="32"/>
        <v>N</v>
      </c>
      <c r="X82" s="204">
        <f t="shared" si="33"/>
        <v>1</v>
      </c>
      <c r="Y82" s="204">
        <f t="shared" si="34"/>
        <v>4.7699999999999999E-2</v>
      </c>
      <c r="Z82" s="204">
        <f t="shared" si="35"/>
        <v>23.337</v>
      </c>
      <c r="AA82" s="204">
        <f t="shared" si="36"/>
        <v>23.289300000000001</v>
      </c>
      <c r="AB82" s="57" t="e">
        <f>VLOOKUP(A82,Enforcements!$C$7:$K$13,8,0)</f>
        <v>#N/A</v>
      </c>
      <c r="AC82" s="53" t="e">
        <f>VLOOKUP(A82,Enforcements!$C$7:$E$13,3,0)</f>
        <v>#N/A</v>
      </c>
      <c r="AD82" s="54" t="str">
        <f t="shared" si="37"/>
        <v>0169-30</v>
      </c>
      <c r="AE82" s="80" t="str">
        <f t="shared" si="38"/>
        <v>aws s3 cp s3://rtdc.mdm.uploadarchive.raw/RTDC4056/ "%USERPROFILE%\AppData\Local\Temp\OnboardLogs"\RTDC4056\2017-05-30 --exclude "*" --recursive --include "*20170530*" &amp; "%USERPROFILE%\Documents\GitHub\mrs-test-scripts\Headless Mode &amp; Sideloading\WalkAndUnGZ.bat" "%USERPROFILE%\AppData\Local\Temp\OnboardLogs"\RTDC4056\2017-05-30 &amp; aws s3 cp s3://rtdc.mdm.uploadarchive.raw/RTDC4056/ "%USERPROFILE%\AppData\Local\Temp\OnboardLogs"\RTDC4056\2017-05-31 --exclude "*" --recursive --include "*20170531*" &amp; "%USERPROFILE%\Documents\GitHub\mrs-test-scripts\Headless Mode &amp; Sideloading\WalkAndUnGZ.bat" "%USERPROFILE%\AppData\Local\Temp\OnboardLogs"\RTDC4056\2017-05-31</v>
      </c>
      <c r="AF82" s="77" t="str">
        <f t="shared" si="39"/>
        <v>"C:\Program Files (x86)\AstroGrep\AstroGrep.exe" /e /r /s /spath="%USERPROFILE%\AppData\Local\Temp\OnboardLogs" /stypes="app*4056*20170530*" /stext=" 19:.+((SYSTEM_STATE.+slice.+state.+changed )|(ment ac)|(multiple cpu faults)|(system.+state.+changed )|(\[timeout)|(PRM\|1\|D)|(kpr)|(kdp)|(train st.+moving)|(\|lc)|(penalty))"</v>
      </c>
      <c r="AG82" s="1" t="str">
        <f t="shared" si="40"/>
        <v>EC</v>
      </c>
      <c r="AH82" s="81" t="str">
        <f t="shared" si="41"/>
        <v>"%USERPROFILE%\Documents\GitHub\eaglep3\Utilities\RefineRTDCRunTimes.py" --tripid 169-30 --locoid 4056 --swversion DE.1.0.9.0 --startMP 204:477 --initTime 2017-05-30T12:13:59 --startdatetime 2017-05-30T12:16:49 --delay 1 --endMP 204:233370 --enddatetime 2017-05-30T13:05:19 --enforcementcount 0 &gt;&gt;C:\Users\stu\Documents\GitHub\eaglep3-reporting\EC\2017-05-30-refined-times.txt</v>
      </c>
      <c r="AI82" s="99" t="str">
        <f t="shared" si="42"/>
        <v>echo {"issue":{"subject":"","project_id":79,"tracker_id":40,"status_id":1,"priority_id":2,"assigned_to_id":23,"start_date":"2017-05-30","description":"","custom_fields":[{"id":1,"name":"Subdivision","value":"EC"},{"id":4,"name":"Milepost","value":"23.337"},{"id":17,"name":"Train ID","value":"169-30"},{"id":16,"name":"Locomotive ID","value":"4056"},{"id":130,"name":"Impact","value":""},{"id":150,"name":"Time of Event (Mountain Time)","value":"13:05:19"},{"id":151,"name":"Denver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5" t="str">
        <f t="shared" si="43"/>
        <v>start /low /b %USERPROFILE%\Documents\GitHub\eaglep3\Utilities\DownloadLogsFromS3.py --loco 4056 --day 2017-05-30</v>
      </c>
      <c r="AN82" s="154" t="str">
        <f t="shared" si="44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19:05:19"},{"id":29,"name":"Sharepoint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770</v>
      </c>
      <c r="B83" s="7">
        <v>4055</v>
      </c>
      <c r="C83" s="21" t="s">
        <v>204</v>
      </c>
      <c r="D83" s="21" t="s">
        <v>524</v>
      </c>
      <c r="E83" s="13">
        <v>42885.548032407409</v>
      </c>
      <c r="F83" s="13">
        <v>42885.551527777781</v>
      </c>
      <c r="G83" s="7">
        <v>2</v>
      </c>
      <c r="H83" s="21" t="s">
        <v>521</v>
      </c>
      <c r="I83" s="13">
        <v>42885.579479166663</v>
      </c>
      <c r="J83" s="7">
        <v>0</v>
      </c>
      <c r="K83" s="92" t="str">
        <f t="shared" si="28"/>
        <v>4055/4056</v>
      </c>
      <c r="L83" s="21" t="str">
        <f>VLOOKUP(A83,'Trips&amp;Operators'!$C$1:$G$99999,5,FALSE)</f>
        <v>ZEWDU DEREJE</v>
      </c>
      <c r="M83" s="6">
        <f t="shared" si="29"/>
        <v>2.7951388881774619E-2</v>
      </c>
      <c r="N83" s="7">
        <f t="shared" si="45"/>
        <v>40.249999989755452</v>
      </c>
      <c r="O83" s="7"/>
      <c r="P83" s="7"/>
      <c r="Q83" s="22"/>
      <c r="R83" s="173"/>
      <c r="S83" s="176">
        <f t="shared" si="46"/>
        <v>1</v>
      </c>
      <c r="T83" s="202" t="str">
        <f t="shared" si="30"/>
        <v>Southbound</v>
      </c>
      <c r="U83" s="202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03" t="str">
        <f t="shared" si="31"/>
        <v>https://d0f6bd738d7f1b3e5a7ca70fe4ff75f0.us-east-1.aws.found.io/app/kibana#/discover/Steve-Slow-Train-Analysis-(2080s-and-2083s)?_g=(refreshInterval:(display:Off,pause:!f,section:0,value:0),time:(from:'2017-05-30T12:09:10-0600',mode:absolute,to:'2017-05-30T14:54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83" s="204" t="str">
        <f t="shared" si="32"/>
        <v>N</v>
      </c>
      <c r="X83" s="204">
        <f t="shared" si="33"/>
        <v>1</v>
      </c>
      <c r="Y83" s="204">
        <f t="shared" si="34"/>
        <v>23.3</v>
      </c>
      <c r="Z83" s="204">
        <f t="shared" si="35"/>
        <v>1.5599999999999999E-2</v>
      </c>
      <c r="AA83" s="204">
        <f t="shared" si="36"/>
        <v>23.284400000000002</v>
      </c>
      <c r="AB83" s="57" t="e">
        <f>VLOOKUP(A83,Enforcements!$C$7:$K$13,8,0)</f>
        <v>#N/A</v>
      </c>
      <c r="AC83" s="53" t="e">
        <f>VLOOKUP(A83,Enforcements!$C$7:$E$13,3,0)</f>
        <v>#N/A</v>
      </c>
      <c r="AD83" s="54" t="str">
        <f t="shared" si="37"/>
        <v>0170-30</v>
      </c>
      <c r="AE83" s="80" t="str">
        <f t="shared" si="38"/>
        <v>aws s3 cp s3://rtdc.mdm.uploadarchive.raw/RTDC4055/ "%USERPROFILE%\AppData\Local\Temp\OnboardLogs"\RTDC4055\2017-05-30 --exclude "*" --recursive --include "*20170530*" &amp; "%USERPROFILE%\Documents\GitHub\mrs-test-scripts\Headless Mode &amp; Sideloading\WalkAndUnGZ.bat" "%USERPROFILE%\AppData\Local\Temp\OnboardLogs"\RTDC4055\2017-05-30 &amp; aws s3 cp s3://rtdc.mdm.uploadarchive.raw/RTDC4055/ "%USERPROFILE%\AppData\Local\Temp\OnboardLogs"\RTDC4055\2017-05-31 --exclude "*" --recursive --include "*20170531*" &amp; "%USERPROFILE%\Documents\GitHub\mrs-test-scripts\Headless Mode &amp; Sideloading\WalkAndUnGZ.bat" "%USERPROFILE%\AppData\Local\Temp\OnboardLogs"\RTDC4055\2017-05-31</v>
      </c>
      <c r="AF83" s="77" t="str">
        <f t="shared" si="39"/>
        <v>"C:\Program Files (x86)\AstroGrep\AstroGrep.exe" /e /r /s /spath="%USERPROFILE%\AppData\Local\Temp\OnboardLogs" /stypes="app*4055*20170530*" /stext=" 19:.+((SYSTEM_STATE.+slice.+state.+changed )|(ment ac)|(multiple cpu faults)|(system.+state.+changed )|(\[timeout)|(PRM\|1\|D)|(kpr)|(kdp)|(train st.+moving)|(\|lc)|(penalty))"</v>
      </c>
      <c r="AG83" s="1" t="str">
        <f t="shared" si="40"/>
        <v>EC</v>
      </c>
      <c r="AH83" s="81" t="str">
        <f t="shared" si="41"/>
        <v>"%USERPROFILE%\Documents\GitHub\eaglep3\Utilities\RefineRTDCRunTimes.py" --tripid 170-30 --locoid 4055 --swversion DE.1.0.9.0 --startMP 204:233000 --initTime 2017-05-30T13:09:10 --startdatetime 2017-05-30T13:14:12 --delay 2 --endMP 204:156 --enddatetime 2017-05-30T13:54:27 --enforcementcount 0 &gt;&gt;C:\Users\stu\Documents\GitHub\eaglep3-reporting\EC\2017-05-30-refined-times.txt</v>
      </c>
      <c r="AI83" s="99" t="str">
        <f t="shared" si="42"/>
        <v>echo {"issue":{"subject":"","project_id":79,"tracker_id":40,"status_id":1,"priority_id":2,"assigned_to_id":23,"start_date":"2017-05-30","description":"","custom_fields":[{"id":1,"name":"Subdivision","value":"EC"},{"id":4,"name":"Milepost","value":"0.0156"},{"id":17,"name":"Train ID","value":"170-30"},{"id":16,"name":"Locomotive ID","value":"4055"},{"id":130,"name":"Impact","value":""},{"id":150,"name":"Time of Event (Mountain Time)","value":"13:54:27"},{"id":151,"name":"Denver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5" t="str">
        <f t="shared" si="43"/>
        <v>start /low /b %USERPROFILE%\Documents\GitHub\eaglep3\Utilities\DownloadLogsFromS3.py --loco 4055 --day 2017-05-30</v>
      </c>
      <c r="AN83" s="154" t="str">
        <f t="shared" si="44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19:54:27"},{"id":29,"name":"Sharepoint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649</v>
      </c>
      <c r="B84" s="7">
        <v>4020</v>
      </c>
      <c r="C84" s="21" t="s">
        <v>204</v>
      </c>
      <c r="D84" s="21" t="s">
        <v>358</v>
      </c>
      <c r="E84" s="13">
        <v>42885.520254629628</v>
      </c>
      <c r="F84" s="13">
        <v>42885.52375</v>
      </c>
      <c r="G84" s="7">
        <v>1</v>
      </c>
      <c r="H84" s="21" t="s">
        <v>527</v>
      </c>
      <c r="I84" s="13">
        <v>42885.556388888886</v>
      </c>
      <c r="J84" s="7">
        <v>0</v>
      </c>
      <c r="K84" s="92" t="str">
        <f t="shared" si="28"/>
        <v>4019/4020</v>
      </c>
      <c r="L84" s="21" t="str">
        <f>VLOOKUP(A84,'Trips&amp;Operators'!$C$1:$G$99999,5,FALSE)</f>
        <v>DAVIS MICHAEL</v>
      </c>
      <c r="M84" s="6">
        <f t="shared" si="29"/>
        <v>3.2638888886140194E-2</v>
      </c>
      <c r="N84" s="7">
        <f t="shared" si="45"/>
        <v>46.999999996041879</v>
      </c>
      <c r="O84" s="7"/>
      <c r="P84" s="7"/>
      <c r="Q84" s="22"/>
      <c r="R84" s="173"/>
      <c r="S84" s="176">
        <f t="shared" si="46"/>
        <v>1</v>
      </c>
      <c r="T84" s="202" t="str">
        <f t="shared" si="30"/>
        <v>NorthBound</v>
      </c>
      <c r="U84" s="202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03" t="str">
        <f t="shared" si="31"/>
        <v>https://d0f6bd738d7f1b3e5a7ca70fe4ff75f0.us-east-1.aws.found.io/app/kibana#/discover/Steve-Slow-Train-Analysis-(2080s-and-2083s)?_g=(refreshInterval:(display:Off,pause:!f,section:0,value:0),time:(from:'2017-05-30T11:29:10-0600',mode:absolute,to:'2017-05-30T14:21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84" s="204" t="str">
        <f t="shared" si="32"/>
        <v>N</v>
      </c>
      <c r="X84" s="204">
        <f t="shared" si="33"/>
        <v>1</v>
      </c>
      <c r="Y84" s="204">
        <f t="shared" si="34"/>
        <v>4.6399999999999997E-2</v>
      </c>
      <c r="Z84" s="204">
        <f t="shared" si="35"/>
        <v>23.331099999999999</v>
      </c>
      <c r="AA84" s="204">
        <f t="shared" si="36"/>
        <v>23.284700000000001</v>
      </c>
      <c r="AB84" s="57" t="str">
        <f>VLOOKUP(A84,Enforcements!$C$7:$K$13,8,0)</f>
        <v>Speed (6)</v>
      </c>
      <c r="AC84" s="53" t="str">
        <f>VLOOKUP(A84,Enforcements!$C$7:$E$13,3,0)</f>
        <v>PERMANENT SPEED RESTRICTION</v>
      </c>
      <c r="AD84" s="54" t="str">
        <f t="shared" si="37"/>
        <v>0171-30</v>
      </c>
      <c r="AE84" s="80" t="str">
        <f t="shared" si="38"/>
        <v>aws s3 cp s3://rtdc.mdm.uploadarchive.raw/RTDC4020/ "%USERPROFILE%\AppData\Local\Temp\OnboardLogs"\RTDC4020\2017-05-30 --exclude "*" --recursive --include "*20170530*" &amp; "%USERPROFILE%\Documents\GitHub\mrs-test-scripts\Headless Mode &amp; Sideloading\WalkAndUnGZ.bat" "%USERPROFILE%\AppData\Local\Temp\OnboardLogs"\RTDC4020\2017-05-30 &amp; aws s3 cp s3://rtdc.mdm.uploadarchive.raw/RTDC4020/ "%USERPROFILE%\AppData\Local\Temp\OnboardLogs"\RTDC4020\2017-05-31 --exclude "*" --recursive --include "*20170531*" &amp; "%USERPROFILE%\Documents\GitHub\mrs-test-scripts\Headless Mode &amp; Sideloading\WalkAndUnGZ.bat" "%USERPROFILE%\AppData\Local\Temp\OnboardLogs"\RTDC4020\2017-05-31</v>
      </c>
      <c r="AF84" s="77" t="str">
        <f t="shared" si="39"/>
        <v>"C:\Program Files (x86)\AstroGrep\AstroGrep.exe" /e /r /s /spath="%USERPROFILE%\AppData\Local\Temp\OnboardLogs" /stypes="app*4020*20170530*" /stext=" 19:.+((SYSTEM_STATE.+slice.+state.+changed )|(ment ac)|(multiple cpu faults)|(system.+state.+changed )|(\[timeout)|(PRM\|1\|D)|(kpr)|(kdp)|(train st.+moving)|(\|lc)|(penalty))"</v>
      </c>
      <c r="AG84" s="1" t="str">
        <f t="shared" si="40"/>
        <v>EC</v>
      </c>
      <c r="AH84" s="81" t="str">
        <f t="shared" si="41"/>
        <v>"%USERPROFILE%\Documents\GitHub\eaglep3\Utilities\RefineRTDCRunTimes.py" --tripid 171-30 --locoid 4020 --swversion DE.1.0.9.0 --startMP 204:464 --initTime 2017-05-30T12:29:10 --startdatetime 2017-05-30T12:34:12 --delay 1 --endMP 204:233311 --enddatetime 2017-05-30T13:21:12 --enforcementcount 0 &gt;&gt;C:\Users\stu\Documents\GitHub\eaglep3-reporting\EC\2017-05-30-refined-times.txt</v>
      </c>
      <c r="AI84" s="99" t="str">
        <f t="shared" si="42"/>
        <v>echo {"issue":{"subject":"","project_id":79,"tracker_id":40,"status_id":1,"priority_id":2,"assigned_to_id":23,"start_date":"2017-05-30","description":"","custom_fields":[{"id":1,"name":"Subdivision","value":"EC"},{"id":4,"name":"Milepost","value":"23.3311"},{"id":17,"name":"Train ID","value":"171-30"},{"id":16,"name":"Locomotive ID","value":"4020"},{"id":130,"name":"Impact","value":""},{"id":150,"name":"Time of Event (Mountain Time)","value":"13:21:12"},{"id":151,"name":"Denver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5" t="str">
        <f t="shared" si="43"/>
        <v>start /low /b %USERPROFILE%\Documents\GitHub\eaglep3\Utilities\DownloadLogsFromS3.py --loco 4020 --day 2017-05-30</v>
      </c>
      <c r="AN84" s="154" t="str">
        <f t="shared" si="44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19:21:12"},{"id":29,"name":"Sharepoint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772</v>
      </c>
      <c r="B85" s="7">
        <v>4019</v>
      </c>
      <c r="C85" s="21" t="s">
        <v>204</v>
      </c>
      <c r="D85" s="21" t="s">
        <v>407</v>
      </c>
      <c r="E85" s="13">
        <v>42885.561597222222</v>
      </c>
      <c r="F85" s="13">
        <v>42885.563518518517</v>
      </c>
      <c r="G85" s="7">
        <v>1</v>
      </c>
      <c r="H85" s="21" t="s">
        <v>603</v>
      </c>
      <c r="I85" s="13">
        <v>42885.591180555559</v>
      </c>
      <c r="J85" s="7">
        <v>0</v>
      </c>
      <c r="K85" s="92" t="str">
        <f t="shared" si="28"/>
        <v>4019/4020</v>
      </c>
      <c r="L85" s="21" t="str">
        <f>VLOOKUP(A85,'Trips&amp;Operators'!$C$1:$G$99999,5,FALSE)</f>
        <v>DAVIS MICHAEL</v>
      </c>
      <c r="M85" s="6">
        <f t="shared" si="29"/>
        <v>2.7662037042318843E-2</v>
      </c>
      <c r="N85" s="7">
        <f t="shared" si="45"/>
        <v>39.833333340939134</v>
      </c>
      <c r="O85" s="7"/>
      <c r="P85" s="7"/>
      <c r="Q85" s="22"/>
      <c r="R85" s="173"/>
      <c r="S85" s="176">
        <f t="shared" si="46"/>
        <v>1</v>
      </c>
      <c r="T85" s="202" t="str">
        <f t="shared" si="30"/>
        <v>Southbound</v>
      </c>
      <c r="U85" s="202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03" t="str">
        <f t="shared" si="31"/>
        <v>https://d0f6bd738d7f1b3e5a7ca70fe4ff75f0.us-east-1.aws.found.io/app/kibana#/discover/Steve-Slow-Train-Analysis-(2080s-and-2083s)?_g=(refreshInterval:(display:Off,pause:!f,section:0,value:0),time:(from:'2017-05-30T12:28:42-0600',mode:absolute,to:'2017-05-30T15:11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85" s="204" t="str">
        <f t="shared" si="32"/>
        <v>N</v>
      </c>
      <c r="X85" s="204">
        <f t="shared" si="33"/>
        <v>1</v>
      </c>
      <c r="Y85" s="204">
        <f t="shared" si="34"/>
        <v>23.298200000000001</v>
      </c>
      <c r="Z85" s="204">
        <f t="shared" si="35"/>
        <v>1.29E-2</v>
      </c>
      <c r="AA85" s="204">
        <f t="shared" si="36"/>
        <v>23.285300000000003</v>
      </c>
      <c r="AB85" s="57" t="e">
        <f>VLOOKUP(A85,Enforcements!$C$7:$K$13,8,0)</f>
        <v>#N/A</v>
      </c>
      <c r="AC85" s="53" t="e">
        <f>VLOOKUP(A85,Enforcements!$C$7:$E$13,3,0)</f>
        <v>#N/A</v>
      </c>
      <c r="AD85" s="54" t="str">
        <f t="shared" si="37"/>
        <v>0172-30</v>
      </c>
      <c r="AE85" s="80" t="str">
        <f t="shared" si="38"/>
        <v>aws s3 cp s3://rtdc.mdm.uploadarchive.raw/RTDC4019/ "%USERPROFILE%\AppData\Local\Temp\OnboardLogs"\RTDC4019\2017-05-30 --exclude "*" --recursive --include "*20170530*" &amp; "%USERPROFILE%\Documents\GitHub\mrs-test-scripts\Headless Mode &amp; Sideloading\WalkAndUnGZ.bat" "%USERPROFILE%\AppData\Local\Temp\OnboardLogs"\RTDC4019\2017-05-30 &amp; aws s3 cp s3://rtdc.mdm.uploadarchive.raw/RTDC4019/ "%USERPROFILE%\AppData\Local\Temp\OnboardLogs"\RTDC4019\2017-05-31 --exclude "*" --recursive --include "*20170531*" &amp; "%USERPROFILE%\Documents\GitHub\mrs-test-scripts\Headless Mode &amp; Sideloading\WalkAndUnGZ.bat" "%USERPROFILE%\AppData\Local\Temp\OnboardLogs"\RTDC4019\2017-05-31</v>
      </c>
      <c r="AF85" s="77" t="str">
        <f t="shared" si="39"/>
        <v>"C:\Program Files (x86)\AstroGrep\AstroGrep.exe" /e /r /s /spath="%USERPROFILE%\AppData\Local\Temp\OnboardLogs" /stypes="app*4019*20170530*" /stext=" 20:.+((SYSTEM_STATE.+slice.+state.+changed )|(ment ac)|(multiple cpu faults)|(system.+state.+changed )|(\[timeout)|(PRM\|1\|D)|(kpr)|(kdp)|(train st.+moving)|(\|lc)|(penalty))"</v>
      </c>
      <c r="AG85" s="1" t="str">
        <f t="shared" si="40"/>
        <v>EC</v>
      </c>
      <c r="AH85" s="81" t="str">
        <f t="shared" si="41"/>
        <v>"%USERPROFILE%\Documents\GitHub\eaglep3\Utilities\RefineRTDCRunTimes.py" --tripid 172-30 --locoid 4019 --swversion DE.1.0.9.0 --startMP 204:232982 --initTime 2017-05-30T13:28:42 --startdatetime 2017-05-30T13:31:28 --delay 1 --endMP 204:129 --enddatetime 2017-05-30T14:11:18 --enforcementcount 0 &gt;&gt;C:\Users\stu\Documents\GitHub\eaglep3-reporting\EC\2017-05-30-refined-times.txt</v>
      </c>
      <c r="AI85" s="99" t="str">
        <f t="shared" si="42"/>
        <v>echo {"issue":{"subject":"","project_id":79,"tracker_id":40,"status_id":1,"priority_id":2,"assigned_to_id":23,"start_date":"2017-05-30","description":"","custom_fields":[{"id":1,"name":"Subdivision","value":"EC"},{"id":4,"name":"Milepost","value":"0.0129"},{"id":17,"name":"Train ID","value":"172-30"},{"id":16,"name":"Locomotive ID","value":"4019"},{"id":130,"name":"Impact","value":""},{"id":150,"name":"Time of Event (Mountain Time)","value":"14:11:18"},{"id":151,"name":"Denver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5" t="str">
        <f t="shared" si="43"/>
        <v>start /low /b %USERPROFILE%\Documents\GitHub\eaglep3\Utilities\DownloadLogsFromS3.py --loco 4019 --day 2017-05-30</v>
      </c>
      <c r="AN85" s="154" t="str">
        <f t="shared" si="44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20:11:18"},{"id":29,"name":"Sharepoint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764</v>
      </c>
      <c r="B86" s="7">
        <v>4016</v>
      </c>
      <c r="C86" s="21" t="s">
        <v>204</v>
      </c>
      <c r="D86" s="21" t="s">
        <v>358</v>
      </c>
      <c r="E86" s="13">
        <v>42885.531087962961</v>
      </c>
      <c r="F86" s="13">
        <v>42885.532777777778</v>
      </c>
      <c r="G86" s="7">
        <v>1</v>
      </c>
      <c r="H86" s="21" t="s">
        <v>897</v>
      </c>
      <c r="I86" s="13">
        <v>42885.558622685188</v>
      </c>
      <c r="J86" s="7">
        <v>0</v>
      </c>
      <c r="K86" s="92" t="str">
        <f t="shared" si="28"/>
        <v>4015/4016</v>
      </c>
      <c r="L86" s="21" t="str">
        <f>VLOOKUP(A86,'Trips&amp;Operators'!$C$1:$G$99999,5,FALSE)</f>
        <v>MCREYNOLDS KYLE</v>
      </c>
      <c r="M86" s="6">
        <f t="shared" si="29"/>
        <v>2.584490740991896E-2</v>
      </c>
      <c r="N86" s="7">
        <f t="shared" si="45"/>
        <v>37.216666670283303</v>
      </c>
      <c r="O86" s="7"/>
      <c r="P86" s="7"/>
      <c r="Q86" s="22"/>
      <c r="R86" s="173"/>
      <c r="S86" s="176">
        <f t="shared" si="46"/>
        <v>1</v>
      </c>
      <c r="T86" s="202" t="str">
        <f t="shared" si="30"/>
        <v>NorthBound</v>
      </c>
      <c r="U86" s="202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03" t="str">
        <f t="shared" si="31"/>
        <v>https://d0f6bd738d7f1b3e5a7ca70fe4ff75f0.us-east-1.aws.found.io/app/kibana#/discover/Steve-Slow-Train-Analysis-(2080s-and-2083s)?_g=(refreshInterval:(display:Off,pause:!f,section:0,value:0),time:(from:'2017-05-30T11:44:46-0600',mode:absolute,to:'2017-05-30T14:24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86" s="204" t="str">
        <f t="shared" si="32"/>
        <v>N</v>
      </c>
      <c r="X86" s="204">
        <f t="shared" si="33"/>
        <v>1</v>
      </c>
      <c r="Y86" s="204">
        <f t="shared" si="34"/>
        <v>4.6399999999999997E-2</v>
      </c>
      <c r="Z86" s="204">
        <f t="shared" si="35"/>
        <v>23.334199999999999</v>
      </c>
      <c r="AA86" s="204">
        <f t="shared" si="36"/>
        <v>23.287800000000001</v>
      </c>
      <c r="AB86" s="57" t="e">
        <f>VLOOKUP(A86,Enforcements!$C$7:$K$13,8,0)</f>
        <v>#N/A</v>
      </c>
      <c r="AC86" s="53" t="e">
        <f>VLOOKUP(A86,Enforcements!$C$7:$E$13,3,0)</f>
        <v>#N/A</v>
      </c>
      <c r="AD86" s="54" t="str">
        <f t="shared" si="37"/>
        <v>0173-30</v>
      </c>
      <c r="AE86" s="80" t="str">
        <f t="shared" si="38"/>
        <v>aws s3 cp s3://rtdc.mdm.uploadarchive.raw/RTDC4016/ "%USERPROFILE%\AppData\Local\Temp\OnboardLogs"\RTDC4016\2017-05-30 --exclude "*" --recursive --include "*20170530*" &amp; "%USERPROFILE%\Documents\GitHub\mrs-test-scripts\Headless Mode &amp; Sideloading\WalkAndUnGZ.bat" "%USERPROFILE%\AppData\Local\Temp\OnboardLogs"\RTDC4016\2017-05-30 &amp; aws s3 cp s3://rtdc.mdm.uploadarchive.raw/RTDC4016/ "%USERPROFILE%\AppData\Local\Temp\OnboardLogs"\RTDC4016\2017-05-31 --exclude "*" --recursive --include "*20170531*" &amp; "%USERPROFILE%\Documents\GitHub\mrs-test-scripts\Headless Mode &amp; Sideloading\WalkAndUnGZ.bat" "%USERPROFILE%\AppData\Local\Temp\OnboardLogs"\RTDC4016\2017-05-31</v>
      </c>
      <c r="AF86" s="77" t="str">
        <f t="shared" si="39"/>
        <v>"C:\Program Files (x86)\AstroGrep\AstroGrep.exe" /e /r /s /spath="%USERPROFILE%\AppData\Local\Temp\OnboardLogs" /stypes="app*4016*20170530*" /stext=" 19:.+((SYSTEM_STATE.+slice.+state.+changed )|(ment ac)|(multiple cpu faults)|(system.+state.+changed )|(\[timeout)|(PRM\|1\|D)|(kpr)|(kdp)|(train st.+moving)|(\|lc)|(penalty))"</v>
      </c>
      <c r="AG86" s="1" t="str">
        <f t="shared" si="40"/>
        <v>EC</v>
      </c>
      <c r="AH86" s="81" t="str">
        <f t="shared" si="41"/>
        <v>"%USERPROFILE%\Documents\GitHub\eaglep3\Utilities\RefineRTDCRunTimes.py" --tripid 173-30 --locoid 4016 --swversion DE.1.0.9.0 --startMP 204:464 --initTime 2017-05-30T12:44:46 --startdatetime 2017-05-30T12:47:12 --delay 1 --endMP 204:233342 --enddatetime 2017-05-30T13:24:25 --enforcementcount 0 &gt;&gt;C:\Users\stu\Documents\GitHub\eaglep3-reporting\EC\2017-05-30-refined-times.txt</v>
      </c>
      <c r="AI86" s="99" t="str">
        <f t="shared" si="42"/>
        <v>echo {"issue":{"subject":"","project_id":79,"tracker_id":40,"status_id":1,"priority_id":2,"assigned_to_id":23,"start_date":"2017-05-30","description":"","custom_fields":[{"id":1,"name":"Subdivision","value":"EC"},{"id":4,"name":"Milepost","value":"23.3342"},{"id":17,"name":"Train ID","value":"173-30"},{"id":16,"name":"Locomotive ID","value":"4016"},{"id":130,"name":"Impact","value":""},{"id":150,"name":"Time of Event (Mountain Time)","value":"13:24:25"},{"id":151,"name":"Denver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5" t="str">
        <f t="shared" si="43"/>
        <v>start /low /b %USERPROFILE%\Documents\GitHub\eaglep3\Utilities\DownloadLogsFromS3.py --loco 4016 --day 2017-05-30</v>
      </c>
      <c r="AN86" s="154" t="str">
        <f t="shared" si="44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19:24:25"},{"id":29,"name":"Sharepoint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774</v>
      </c>
      <c r="B87" s="7">
        <v>4015</v>
      </c>
      <c r="C87" s="21" t="s">
        <v>204</v>
      </c>
      <c r="D87" s="21" t="s">
        <v>518</v>
      </c>
      <c r="E87" s="13">
        <v>42885.566921296297</v>
      </c>
      <c r="F87" s="13">
        <v>42885.571284722224</v>
      </c>
      <c r="G87" s="7">
        <v>1</v>
      </c>
      <c r="H87" s="21" t="s">
        <v>405</v>
      </c>
      <c r="I87" s="13">
        <v>42885.597337962965</v>
      </c>
      <c r="J87" s="7">
        <v>0</v>
      </c>
      <c r="K87" s="92" t="str">
        <f t="shared" si="28"/>
        <v>4015/4016</v>
      </c>
      <c r="L87" s="21" t="str">
        <f>VLOOKUP(A87,'Trips&amp;Operators'!$C$1:$G$99999,5,FALSE)</f>
        <v>MCREYNOLDS KYLE</v>
      </c>
      <c r="M87" s="6">
        <f t="shared" si="29"/>
        <v>2.6053240741021E-2</v>
      </c>
      <c r="N87" s="7">
        <f t="shared" si="45"/>
        <v>37.51666666707024</v>
      </c>
      <c r="O87" s="7"/>
      <c r="P87" s="7"/>
      <c r="Q87" s="22"/>
      <c r="R87" s="173"/>
      <c r="S87" s="176">
        <f t="shared" si="46"/>
        <v>1</v>
      </c>
      <c r="T87" s="202" t="str">
        <f t="shared" si="30"/>
        <v>Southbound</v>
      </c>
      <c r="U87" s="202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03" t="str">
        <f t="shared" si="31"/>
        <v>https://d0f6bd738d7f1b3e5a7ca70fe4ff75f0.us-east-1.aws.found.io/app/kibana#/discover/Steve-Slow-Train-Analysis-(2080s-and-2083s)?_g=(refreshInterval:(display:Off,pause:!f,section:0,value:0),time:(from:'2017-05-30T12:36:22-0600',mode:absolute,to:'2017-05-30T15:20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87" s="204" t="str">
        <f t="shared" si="32"/>
        <v>N</v>
      </c>
      <c r="X87" s="204">
        <f t="shared" si="33"/>
        <v>1</v>
      </c>
      <c r="Y87" s="204">
        <f t="shared" si="34"/>
        <v>23.3019</v>
      </c>
      <c r="Z87" s="204">
        <f t="shared" si="35"/>
        <v>1.54E-2</v>
      </c>
      <c r="AA87" s="204">
        <f t="shared" si="36"/>
        <v>23.2865</v>
      </c>
      <c r="AB87" s="57" t="e">
        <f>VLOOKUP(A87,Enforcements!$C$7:$K$13,8,0)</f>
        <v>#N/A</v>
      </c>
      <c r="AC87" s="53" t="e">
        <f>VLOOKUP(A87,Enforcements!$C$7:$E$13,3,0)</f>
        <v>#N/A</v>
      </c>
      <c r="AD87" s="54" t="str">
        <f t="shared" si="37"/>
        <v>0174-30</v>
      </c>
      <c r="AE87" s="80" t="str">
        <f t="shared" si="38"/>
        <v>aws s3 cp s3://rtdc.mdm.uploadarchive.raw/RTDC4015/ "%USERPROFILE%\AppData\Local\Temp\OnboardLogs"\RTDC4015\2017-05-30 --exclude "*" --recursive --include "*20170530*" &amp; "%USERPROFILE%\Documents\GitHub\mrs-test-scripts\Headless Mode &amp; Sideloading\WalkAndUnGZ.bat" "%USERPROFILE%\AppData\Local\Temp\OnboardLogs"\RTDC4015\2017-05-30 &amp; aws s3 cp s3://rtdc.mdm.uploadarchive.raw/RTDC4015/ "%USERPROFILE%\AppData\Local\Temp\OnboardLogs"\RTDC4015\2017-05-31 --exclude "*" --recursive --include "*20170531*" &amp; "%USERPROFILE%\Documents\GitHub\mrs-test-scripts\Headless Mode &amp; Sideloading\WalkAndUnGZ.bat" "%USERPROFILE%\AppData\Local\Temp\OnboardLogs"\RTDC4015\2017-05-31</v>
      </c>
      <c r="AF87" s="77" t="str">
        <f t="shared" si="39"/>
        <v>"C:\Program Files (x86)\AstroGrep\AstroGrep.exe" /e /r /s /spath="%USERPROFILE%\AppData\Local\Temp\OnboardLogs" /stypes="app*4015*20170530*" /stext=" 20:.+((SYSTEM_STATE.+slice.+state.+changed )|(ment ac)|(multiple cpu faults)|(system.+state.+changed )|(\[timeout)|(PRM\|1\|D)|(kpr)|(kdp)|(train st.+moving)|(\|lc)|(penalty))"</v>
      </c>
      <c r="AG87" s="1" t="str">
        <f t="shared" si="40"/>
        <v>EC</v>
      </c>
      <c r="AH87" s="81" t="str">
        <f t="shared" si="41"/>
        <v>"%USERPROFILE%\Documents\GitHub\eaglep3\Utilities\RefineRTDCRunTimes.py" --tripid 174-30 --locoid 4015 --swversion DE.1.0.9.0 --startMP 204:233019 --initTime 2017-05-30T13:36:22 --startdatetime 2017-05-30T13:42:39 --delay 1 --endMP 204:154 --enddatetime 2017-05-30T14:20:10 --enforcementcount 0 &gt;&gt;C:\Users\stu\Documents\GitHub\eaglep3-reporting\EC\2017-05-30-refined-times.txt</v>
      </c>
      <c r="AI87" s="99" t="str">
        <f t="shared" si="42"/>
        <v>echo {"issue":{"subject":"","project_id":79,"tracker_id":40,"status_id":1,"priority_id":2,"assigned_to_id":23,"start_date":"2017-05-30","description":"","custom_fields":[{"id":1,"name":"Subdivision","value":"EC"},{"id":4,"name":"Milepost","value":"0.0154"},{"id":17,"name":"Train ID","value":"174-30"},{"id":16,"name":"Locomotive ID","value":"4015"},{"id":130,"name":"Impact","value":""},{"id":150,"name":"Time of Event (Mountain Time)","value":"14:20:10"},{"id":151,"name":"Denver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5" t="str">
        <f t="shared" si="43"/>
        <v>start /low /b %USERPROFILE%\Documents\GitHub\eaglep3\Utilities\DownloadLogsFromS3.py --loco 4015 --day 2017-05-30</v>
      </c>
      <c r="AN87" s="154" t="str">
        <f t="shared" si="44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20:20:10"},{"id":29,"name":"Sharepoint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766</v>
      </c>
      <c r="B88" s="7">
        <v>4018</v>
      </c>
      <c r="C88" s="21" t="s">
        <v>204</v>
      </c>
      <c r="D88" s="21" t="s">
        <v>401</v>
      </c>
      <c r="E88" s="13">
        <v>42885.542858796296</v>
      </c>
      <c r="F88" s="13">
        <v>42885.544270833336</v>
      </c>
      <c r="G88" s="7">
        <v>1</v>
      </c>
      <c r="H88" s="21" t="s">
        <v>898</v>
      </c>
      <c r="I88" s="13">
        <v>42885.568414351852</v>
      </c>
      <c r="J88" s="7">
        <v>0</v>
      </c>
      <c r="K88" s="92" t="str">
        <f t="shared" si="28"/>
        <v>4017/4018</v>
      </c>
      <c r="L88" s="21" t="str">
        <f>VLOOKUP(A88,'Trips&amp;Operators'!$C$1:$G$99999,5,FALSE)</f>
        <v>STORY SAMANTHA</v>
      </c>
      <c r="M88" s="6">
        <f t="shared" si="29"/>
        <v>2.414351851621177E-2</v>
      </c>
      <c r="N88" s="7">
        <f t="shared" si="45"/>
        <v>34.766666663344949</v>
      </c>
      <c r="O88" s="7"/>
      <c r="P88" s="7"/>
      <c r="Q88" s="22"/>
      <c r="R88" s="173"/>
      <c r="S88" s="176">
        <f t="shared" si="46"/>
        <v>1</v>
      </c>
      <c r="T88" s="202" t="str">
        <f t="shared" si="30"/>
        <v>NorthBound</v>
      </c>
      <c r="U88" s="202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03" t="str">
        <f t="shared" si="31"/>
        <v>https://d0f6bd738d7f1b3e5a7ca70fe4ff75f0.us-east-1.aws.found.io/app/kibana#/discover/Steve-Slow-Train-Analysis-(2080s-and-2083s)?_g=(refreshInterval:(display:Off,pause:!f,section:0,value:0),time:(from:'2017-05-30T12:01:43-0600',mode:absolute,to:'2017-05-30T14:38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88" s="204" t="str">
        <f t="shared" si="32"/>
        <v>N</v>
      </c>
      <c r="X88" s="204">
        <f t="shared" si="33"/>
        <v>1</v>
      </c>
      <c r="Y88" s="204">
        <f t="shared" si="34"/>
        <v>4.6199999999999998E-2</v>
      </c>
      <c r="Z88" s="204">
        <f t="shared" si="35"/>
        <v>23.331600000000002</v>
      </c>
      <c r="AA88" s="204">
        <f t="shared" si="36"/>
        <v>23.285400000000003</v>
      </c>
      <c r="AB88" s="57" t="e">
        <f>VLOOKUP(A88,Enforcements!$C$7:$K$13,8,0)</f>
        <v>#N/A</v>
      </c>
      <c r="AC88" s="53" t="e">
        <f>VLOOKUP(A88,Enforcements!$C$7:$E$13,3,0)</f>
        <v>#N/A</v>
      </c>
      <c r="AD88" s="54" t="str">
        <f t="shared" si="37"/>
        <v>0175-30</v>
      </c>
      <c r="AE88" s="80" t="str">
        <f t="shared" si="38"/>
        <v>aws s3 cp s3://rtdc.mdm.uploadarchive.raw/RTDC4018/ "%USERPROFILE%\AppData\Local\Temp\OnboardLogs"\RTDC4018\2017-05-30 --exclude "*" --recursive --include "*20170530*" &amp; "%USERPROFILE%\Documents\GitHub\mrs-test-scripts\Headless Mode &amp; Sideloading\WalkAndUnGZ.bat" "%USERPROFILE%\AppData\Local\Temp\OnboardLogs"\RTDC4018\2017-05-30 &amp; aws s3 cp s3://rtdc.mdm.uploadarchive.raw/RTDC4018/ "%USERPROFILE%\AppData\Local\Temp\OnboardLogs"\RTDC4018\2017-05-31 --exclude "*" --recursive --include "*20170531*" &amp; "%USERPROFILE%\Documents\GitHub\mrs-test-scripts\Headless Mode &amp; Sideloading\WalkAndUnGZ.bat" "%USERPROFILE%\AppData\Local\Temp\OnboardLogs"\RTDC4018\2017-05-31</v>
      </c>
      <c r="AF88" s="77" t="str">
        <f t="shared" si="39"/>
        <v>"C:\Program Files (x86)\AstroGrep\AstroGrep.exe" /e /r /s /spath="%USERPROFILE%\AppData\Local\Temp\OnboardLogs" /stypes="app*4018*20170530*" /stext=" 19:.+((SYSTEM_STATE.+slice.+state.+changed )|(ment ac)|(multiple cpu faults)|(system.+state.+changed )|(\[timeout)|(PRM\|1\|D)|(kpr)|(kdp)|(train st.+moving)|(\|lc)|(penalty))"</v>
      </c>
      <c r="AG88" s="1" t="str">
        <f t="shared" si="40"/>
        <v>EC</v>
      </c>
      <c r="AH88" s="81" t="str">
        <f t="shared" si="41"/>
        <v>"%USERPROFILE%\Documents\GitHub\eaglep3\Utilities\RefineRTDCRunTimes.py" --tripid 175-30 --locoid 4018 --swversion DE.1.0.9.0 --startMP 204:462 --initTime 2017-05-30T13:01:43 --startdatetime 2017-05-30T13:03:45 --delay 1 --endMP 204:233316 --enddatetime 2017-05-30T13:38:31 --enforcementcount 0 &gt;&gt;C:\Users\stu\Documents\GitHub\eaglep3-reporting\EC\2017-05-30-refined-times.txt</v>
      </c>
      <c r="AI88" s="99" t="str">
        <f t="shared" si="42"/>
        <v>echo {"issue":{"subject":"","project_id":79,"tracker_id":40,"status_id":1,"priority_id":2,"assigned_to_id":23,"start_date":"2017-05-30","description":"","custom_fields":[{"id":1,"name":"Subdivision","value":"EC"},{"id":4,"name":"Milepost","value":"23.3316"},{"id":17,"name":"Train ID","value":"175-30"},{"id":16,"name":"Locomotive ID","value":"4018"},{"id":130,"name":"Impact","value":""},{"id":150,"name":"Time of Event (Mountain Time)","value":"13:38:31"},{"id":151,"name":"Denver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5" t="str">
        <f t="shared" si="43"/>
        <v>start /low /b %USERPROFILE%\Documents\GitHub\eaglep3\Utilities\DownloadLogsFromS3.py --loco 4018 --day 2017-05-30</v>
      </c>
      <c r="AN88" s="154" t="str">
        <f t="shared" si="44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19:38:31"},{"id":29,"name":"Sharepoint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776</v>
      </c>
      <c r="B89" s="7">
        <v>4017</v>
      </c>
      <c r="C89" s="21" t="s">
        <v>204</v>
      </c>
      <c r="D89" s="21" t="s">
        <v>899</v>
      </c>
      <c r="E89" s="13">
        <v>42885.572847222225</v>
      </c>
      <c r="F89" s="13">
        <v>42885.581493055557</v>
      </c>
      <c r="G89" s="7">
        <v>4</v>
      </c>
      <c r="H89" s="21" t="s">
        <v>596</v>
      </c>
      <c r="I89" s="13">
        <v>42885.608495370368</v>
      </c>
      <c r="J89" s="7">
        <v>0</v>
      </c>
      <c r="K89" s="92" t="str">
        <f t="shared" si="28"/>
        <v>4017/4018</v>
      </c>
      <c r="L89" s="21" t="str">
        <f>VLOOKUP(A89,'Trips&amp;Operators'!$C$1:$G$99999,5,FALSE)</f>
        <v>STORY SAMANTHA</v>
      </c>
      <c r="M89" s="6">
        <f t="shared" si="29"/>
        <v>2.700231481139781E-2</v>
      </c>
      <c r="N89" s="7">
        <f t="shared" si="45"/>
        <v>38.883333328412846</v>
      </c>
      <c r="O89" s="7"/>
      <c r="P89" s="7"/>
      <c r="Q89" s="22"/>
      <c r="R89" s="173"/>
      <c r="S89" s="176">
        <f t="shared" si="46"/>
        <v>1</v>
      </c>
      <c r="T89" s="202" t="str">
        <f t="shared" si="30"/>
        <v>Southbound</v>
      </c>
      <c r="U89" s="202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03" t="str">
        <f t="shared" si="31"/>
        <v>https://d0f6bd738d7f1b3e5a7ca70fe4ff75f0.us-east-1.aws.found.io/app/kibana#/discover/Steve-Slow-Train-Analysis-(2080s-and-2083s)?_g=(refreshInterval:(display:Off,pause:!f,section:0,value:0),time:(from:'2017-05-30T12:44:54-0600',mode:absolute,to:'2017-05-30T15:36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89" s="204" t="str">
        <f t="shared" si="32"/>
        <v>N</v>
      </c>
      <c r="X89" s="204">
        <f t="shared" si="33"/>
        <v>1</v>
      </c>
      <c r="Y89" s="204">
        <f t="shared" si="34"/>
        <v>23.3003</v>
      </c>
      <c r="Z89" s="204">
        <f t="shared" si="35"/>
        <v>1.38E-2</v>
      </c>
      <c r="AA89" s="204">
        <f t="shared" si="36"/>
        <v>23.2865</v>
      </c>
      <c r="AB89" s="57" t="e">
        <f>VLOOKUP(A89,Enforcements!$C$7:$K$13,8,0)</f>
        <v>#N/A</v>
      </c>
      <c r="AC89" s="53" t="e">
        <f>VLOOKUP(A89,Enforcements!$C$7:$E$13,3,0)</f>
        <v>#N/A</v>
      </c>
      <c r="AD89" s="54" t="str">
        <f t="shared" si="37"/>
        <v>0176-30</v>
      </c>
      <c r="AE89" s="80" t="str">
        <f t="shared" si="38"/>
        <v>aws s3 cp s3://rtdc.mdm.uploadarchive.raw/RTDC4017/ "%USERPROFILE%\AppData\Local\Temp\OnboardLogs"\RTDC4017\2017-05-30 --exclude "*" --recursive --include "*20170530*" &amp; "%USERPROFILE%\Documents\GitHub\mrs-test-scripts\Headless Mode &amp; Sideloading\WalkAndUnGZ.bat" "%USERPROFILE%\AppData\Local\Temp\OnboardLogs"\RTDC4017\2017-05-30 &amp; aws s3 cp s3://rtdc.mdm.uploadarchive.raw/RTDC4017/ "%USERPROFILE%\AppData\Local\Temp\OnboardLogs"\RTDC4017\2017-05-31 --exclude "*" --recursive --include "*20170531*" &amp; "%USERPROFILE%\Documents\GitHub\mrs-test-scripts\Headless Mode &amp; Sideloading\WalkAndUnGZ.bat" "%USERPROFILE%\AppData\Local\Temp\OnboardLogs"\RTDC4017\2017-05-31</v>
      </c>
      <c r="AF89" s="77" t="str">
        <f t="shared" si="39"/>
        <v>"C:\Program Files (x86)\AstroGrep\AstroGrep.exe" /e /r /s /spath="%USERPROFILE%\AppData\Local\Temp\OnboardLogs" /stypes="app*4017*20170530*" /stext=" 20:.+((SYSTEM_STATE.+slice.+state.+changed )|(ment ac)|(multiple cpu faults)|(system.+state.+changed )|(\[timeout)|(PRM\|1\|D)|(kpr)|(kdp)|(train st.+moving)|(\|lc)|(penalty))"</v>
      </c>
      <c r="AG89" s="1" t="str">
        <f t="shared" si="40"/>
        <v>EC</v>
      </c>
      <c r="AH89" s="81" t="str">
        <f t="shared" si="41"/>
        <v>"%USERPROFILE%\Documents\GitHub\eaglep3\Utilities\RefineRTDCRunTimes.py" --tripid 176-30 --locoid 4017 --swversion DE.1.0.9.0 --startMP 204:233003 --initTime 2017-05-30T13:44:54 --startdatetime 2017-05-30T13:57:21 --delay 4 --endMP 204:138 --enddatetime 2017-05-30T14:36:14 --enforcementcount 0 &gt;&gt;C:\Users\stu\Documents\GitHub\eaglep3-reporting\EC\2017-05-30-refined-times.txt</v>
      </c>
      <c r="AI89" s="99" t="str">
        <f t="shared" si="42"/>
        <v>echo {"issue":{"subject":"","project_id":79,"tracker_id":40,"status_id":1,"priority_id":2,"assigned_to_id":23,"start_date":"2017-05-30","description":"","custom_fields":[{"id":1,"name":"Subdivision","value":"EC"},{"id":4,"name":"Milepost","value":"0.0138"},{"id":17,"name":"Train ID","value":"176-30"},{"id":16,"name":"Locomotive ID","value":"4017"},{"id":130,"name":"Impact","value":""},{"id":150,"name":"Time of Event (Mountain Time)","value":"14:36:14"},{"id":151,"name":"Denver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5" t="str">
        <f t="shared" si="43"/>
        <v>start /low /b %USERPROFILE%\Documents\GitHub\eaglep3\Utilities\DownloadLogsFromS3.py --loco 4017 --day 2017-05-30</v>
      </c>
      <c r="AN89" s="154" t="str">
        <f t="shared" si="44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20:36:14"},{"id":29,"name":"Sharepoint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771</v>
      </c>
      <c r="B90" s="7">
        <v>4026</v>
      </c>
      <c r="C90" s="21" t="s">
        <v>204</v>
      </c>
      <c r="D90" s="21" t="s">
        <v>613</v>
      </c>
      <c r="E90" s="13">
        <v>42885.550196759257</v>
      </c>
      <c r="F90" s="13">
        <v>42885.552395833336</v>
      </c>
      <c r="G90" s="7">
        <v>1</v>
      </c>
      <c r="H90" s="21" t="s">
        <v>890</v>
      </c>
      <c r="I90" s="13">
        <v>42885.579108796293</v>
      </c>
      <c r="J90" s="7">
        <v>0</v>
      </c>
      <c r="K90" s="92" t="str">
        <f t="shared" si="28"/>
        <v>4025/4026</v>
      </c>
      <c r="L90" s="21" t="str">
        <f>VLOOKUP(A90,'Trips&amp;Operators'!$C$1:$G$99999,5,FALSE)</f>
        <v>CLARK KATHLEEN</v>
      </c>
      <c r="M90" s="6">
        <f t="shared" si="29"/>
        <v>2.6712962957390118E-2</v>
      </c>
      <c r="N90" s="7">
        <f t="shared" si="45"/>
        <v>38.46666665864177</v>
      </c>
      <c r="O90" s="7"/>
      <c r="P90" s="7"/>
      <c r="Q90" s="22"/>
      <c r="R90" s="173"/>
      <c r="S90" s="176">
        <f t="shared" si="46"/>
        <v>1</v>
      </c>
      <c r="T90" s="202" t="str">
        <f t="shared" si="30"/>
        <v>NorthBound</v>
      </c>
      <c r="U90" s="202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03" t="str">
        <f t="shared" si="31"/>
        <v>https://d0f6bd738d7f1b3e5a7ca70fe4ff75f0.us-east-1.aws.found.io/app/kibana#/discover/Steve-Slow-Train-Analysis-(2080s-and-2083s)?_g=(refreshInterval:(display:Off,pause:!f,section:0,value:0),time:(from:'2017-05-30T12:12:17-0600',mode:absolute,to:'2017-05-30T14:53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90" s="204" t="str">
        <f t="shared" si="32"/>
        <v>N</v>
      </c>
      <c r="X90" s="204">
        <f t="shared" si="33"/>
        <v>1</v>
      </c>
      <c r="Y90" s="204">
        <f t="shared" si="34"/>
        <v>4.7500000000000001E-2</v>
      </c>
      <c r="Z90" s="204">
        <f t="shared" si="35"/>
        <v>23.329499999999999</v>
      </c>
      <c r="AA90" s="204">
        <f t="shared" si="36"/>
        <v>23.282</v>
      </c>
      <c r="AB90" s="57" t="e">
        <f>VLOOKUP(A90,Enforcements!$C$7:$K$13,8,0)</f>
        <v>#N/A</v>
      </c>
      <c r="AC90" s="53" t="e">
        <f>VLOOKUP(A90,Enforcements!$C$7:$E$13,3,0)</f>
        <v>#N/A</v>
      </c>
      <c r="AD90" s="54" t="str">
        <f t="shared" si="37"/>
        <v>0177-30</v>
      </c>
      <c r="AE90" s="80" t="str">
        <f t="shared" si="38"/>
        <v>aws s3 cp s3://rtdc.mdm.uploadarchive.raw/RTDC4026/ "%USERPROFILE%\AppData\Local\Temp\OnboardLogs"\RTDC4026\2017-05-30 --exclude "*" --recursive --include "*20170530*" &amp; "%USERPROFILE%\Documents\GitHub\mrs-test-scripts\Headless Mode &amp; Sideloading\WalkAndUnGZ.bat" "%USERPROFILE%\AppData\Local\Temp\OnboardLogs"\RTDC4026\2017-05-30 &amp; aws s3 cp s3://rtdc.mdm.uploadarchive.raw/RTDC4026/ "%USERPROFILE%\AppData\Local\Temp\OnboardLogs"\RTDC4026\2017-05-31 --exclude "*" --recursive --include "*20170531*" &amp; "%USERPROFILE%\Documents\GitHub\mrs-test-scripts\Headless Mode &amp; Sideloading\WalkAndUnGZ.bat" "%USERPROFILE%\AppData\Local\Temp\OnboardLogs"\RTDC4026\2017-05-31</v>
      </c>
      <c r="AF90" s="77" t="str">
        <f t="shared" si="39"/>
        <v>"C:\Program Files (x86)\AstroGrep\AstroGrep.exe" /e /r /s /spath="%USERPROFILE%\AppData\Local\Temp\OnboardLogs" /stypes="app*4026*20170530*" /stext=" 19:.+((SYSTEM_STATE.+slice.+state.+changed )|(ment ac)|(multiple cpu faults)|(system.+state.+changed )|(\[timeout)|(PRM\|1\|D)|(kpr)|(kdp)|(train st.+moving)|(\|lc)|(penalty))"</v>
      </c>
      <c r="AG90" s="1" t="str">
        <f t="shared" si="40"/>
        <v>EC</v>
      </c>
      <c r="AH90" s="81" t="str">
        <f t="shared" si="41"/>
        <v>"%USERPROFILE%\Documents\GitHub\eaglep3\Utilities\RefineRTDCRunTimes.py" --tripid 177-30 --locoid 4026 --swversion DE.1.0.9.0 --startMP 204:475 --initTime 2017-05-30T13:12:17 --startdatetime 2017-05-30T13:15:27 --delay 1 --endMP 204:233295 --enddatetime 2017-05-30T13:53:55 --enforcementcount 0 &gt;&gt;C:\Users\stu\Documents\GitHub\eaglep3-reporting\EC\2017-05-30-refined-times.txt</v>
      </c>
      <c r="AI90" s="99" t="str">
        <f t="shared" si="42"/>
        <v>echo {"issue":{"subject":"","project_id":79,"tracker_id":40,"status_id":1,"priority_id":2,"assigned_to_id":23,"start_date":"2017-05-30","description":"","custom_fields":[{"id":1,"name":"Subdivision","value":"EC"},{"id":4,"name":"Milepost","value":"23.3295"},{"id":17,"name":"Train ID","value":"177-30"},{"id":16,"name":"Locomotive ID","value":"4026"},{"id":130,"name":"Impact","value":""},{"id":150,"name":"Time of Event (Mountain Time)","value":"13:53:55"},{"id":151,"name":"Denver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5" t="str">
        <f t="shared" si="43"/>
        <v>start /low /b %USERPROFILE%\Documents\GitHub\eaglep3\Utilities\DownloadLogsFromS3.py --loco 4026 --day 2017-05-30</v>
      </c>
      <c r="AN90" s="154" t="str">
        <f t="shared" si="44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19:53:55"},{"id":29,"name":"Sharepoint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778</v>
      </c>
      <c r="B91" s="7">
        <v>4025</v>
      </c>
      <c r="C91" s="21" t="s">
        <v>204</v>
      </c>
      <c r="D91" s="21" t="s">
        <v>595</v>
      </c>
      <c r="E91" s="13">
        <v>42885.586597222224</v>
      </c>
      <c r="F91" s="13">
        <v>42885.591840277775</v>
      </c>
      <c r="G91" s="7">
        <v>0</v>
      </c>
      <c r="H91" s="21" t="s">
        <v>884</v>
      </c>
      <c r="I91" s="13">
        <v>42885.620266203703</v>
      </c>
      <c r="J91" s="7">
        <v>0</v>
      </c>
      <c r="K91" s="92" t="str">
        <f t="shared" si="28"/>
        <v>4025/4026</v>
      </c>
      <c r="L91" s="21" t="str">
        <f>VLOOKUP(A91,'Trips&amp;Operators'!$C$1:$G$99999,5,FALSE)</f>
        <v>CLARK KATHLEEN</v>
      </c>
      <c r="M91" s="6">
        <f t="shared" si="29"/>
        <v>2.842592592787696E-2</v>
      </c>
      <c r="N91" s="7">
        <f t="shared" si="45"/>
        <v>40.933333336142823</v>
      </c>
      <c r="O91" s="7"/>
      <c r="P91" s="7"/>
      <c r="Q91" s="22"/>
      <c r="R91" s="173"/>
      <c r="S91" s="176">
        <f t="shared" si="46"/>
        <v>1</v>
      </c>
      <c r="T91" s="202" t="str">
        <f t="shared" si="30"/>
        <v>Southbound</v>
      </c>
      <c r="U91" s="202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03" t="str">
        <f t="shared" si="31"/>
        <v>https://d0f6bd738d7f1b3e5a7ca70fe4ff75f0.us-east-1.aws.found.io/app/kibana#/discover/Steve-Slow-Train-Analysis-(2080s-and-2083s)?_g=(refreshInterval:(display:Off,pause:!f,section:0,value:0),time:(from:'2017-05-30T13:04:42-0600',mode:absolute,to:'2017-05-30T15:53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91" s="204" t="str">
        <f t="shared" si="32"/>
        <v>N</v>
      </c>
      <c r="X91" s="204">
        <f t="shared" si="33"/>
        <v>1</v>
      </c>
      <c r="Y91" s="204">
        <f t="shared" si="34"/>
        <v>23.299099999999999</v>
      </c>
      <c r="Z91" s="204">
        <f t="shared" si="35"/>
        <v>1.6299999999999999E-2</v>
      </c>
      <c r="AA91" s="204">
        <f t="shared" si="36"/>
        <v>23.282799999999998</v>
      </c>
      <c r="AB91" s="57" t="e">
        <f>VLOOKUP(A91,Enforcements!$C$7:$K$13,8,0)</f>
        <v>#N/A</v>
      </c>
      <c r="AC91" s="53" t="e">
        <f>VLOOKUP(A91,Enforcements!$C$7:$E$13,3,0)</f>
        <v>#N/A</v>
      </c>
      <c r="AD91" s="54" t="str">
        <f t="shared" si="37"/>
        <v>0178-30</v>
      </c>
      <c r="AE91" s="80" t="str">
        <f t="shared" si="38"/>
        <v>aws s3 cp s3://rtdc.mdm.uploadarchive.raw/RTDC4025/ "%USERPROFILE%\AppData\Local\Temp\OnboardLogs"\RTDC4025\2017-05-30 --exclude "*" --recursive --include "*20170530*" &amp; "%USERPROFILE%\Documents\GitHub\mrs-test-scripts\Headless Mode &amp; Sideloading\WalkAndUnGZ.bat" "%USERPROFILE%\AppData\Local\Temp\OnboardLogs"\RTDC4025\2017-05-30 &amp; aws s3 cp s3://rtdc.mdm.uploadarchive.raw/RTDC4025/ "%USERPROFILE%\AppData\Local\Temp\OnboardLogs"\RTDC4025\2017-05-31 --exclude "*" --recursive --include "*20170531*" &amp; "%USERPROFILE%\Documents\GitHub\mrs-test-scripts\Headless Mode &amp; Sideloading\WalkAndUnGZ.bat" "%USERPROFILE%\AppData\Local\Temp\OnboardLogs"\RTDC4025\2017-05-31</v>
      </c>
      <c r="AF91" s="77" t="str">
        <f t="shared" si="39"/>
        <v>"C:\Program Files (x86)\AstroGrep\AstroGrep.exe" /e /r /s /spath="%USERPROFILE%\AppData\Local\Temp\OnboardLogs" /stypes="app*4025*20170530*" /stext=" 20:.+((SYSTEM_STATE.+slice.+state.+changed )|(ment ac)|(multiple cpu faults)|(system.+state.+changed )|(\[timeout)|(PRM\|1\|D)|(kpr)|(kdp)|(train st.+moving)|(\|lc)|(penalty))"</v>
      </c>
      <c r="AG91" s="1" t="str">
        <f t="shared" si="40"/>
        <v>EC</v>
      </c>
      <c r="AH91" s="81" t="str">
        <f t="shared" si="41"/>
        <v>"%USERPROFILE%\Documents\GitHub\eaglep3\Utilities\RefineRTDCRunTimes.py" --tripid 178-30 --locoid 4025 --swversion DE.1.0.9.0 --startMP 204:232991 --initTime 2017-05-30T14:04:42 --startdatetime 2017-05-30T14:12:15 --delay 0 --endMP 204:163 --enddatetime 2017-05-30T14:53:11 --enforcementcount 0 &gt;&gt;C:\Users\stu\Documents\GitHub\eaglep3-reporting\EC\2017-05-30-refined-times.txt</v>
      </c>
      <c r="AI91" s="99" t="str">
        <f t="shared" si="42"/>
        <v>echo {"issue":{"subject":"","project_id":79,"tracker_id":40,"status_id":1,"priority_id":2,"assigned_to_id":23,"start_date":"2017-05-30","description":"","custom_fields":[{"id":1,"name":"Subdivision","value":"EC"},{"id":4,"name":"Milepost","value":"0.0163"},{"id":17,"name":"Train ID","value":"178-30"},{"id":16,"name":"Locomotive ID","value":"4025"},{"id":130,"name":"Impact","value":""},{"id":150,"name":"Time of Event (Mountain Time)","value":"14:53:11"},{"id":151,"name":"Denver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5" t="str">
        <f t="shared" si="43"/>
        <v>start /low /b %USERPROFILE%\Documents\GitHub\eaglep3\Utilities\DownloadLogsFromS3.py --loco 4025 --day 2017-05-30</v>
      </c>
      <c r="AN91" s="154" t="str">
        <f t="shared" si="44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20:53:11"},{"id":29,"name":"Sharepoint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650</v>
      </c>
      <c r="B92" s="7">
        <v>4008</v>
      </c>
      <c r="C92" s="21" t="s">
        <v>204</v>
      </c>
      <c r="D92" s="21" t="s">
        <v>468</v>
      </c>
      <c r="E92" s="13">
        <v>42885.560046296298</v>
      </c>
      <c r="F92" s="13">
        <v>42885.562777777777</v>
      </c>
      <c r="G92" s="7">
        <v>1</v>
      </c>
      <c r="H92" s="21" t="s">
        <v>900</v>
      </c>
      <c r="I92" s="13">
        <v>42885.588136574072</v>
      </c>
      <c r="J92" s="7">
        <v>0</v>
      </c>
      <c r="K92" s="92" t="str">
        <f t="shared" si="28"/>
        <v>4007/4008</v>
      </c>
      <c r="L92" s="21" t="str">
        <f>VLOOKUP(A92,'Trips&amp;Operators'!$C$1:$G$99999,5,FALSE)</f>
        <v>LEVIN SCOTT</v>
      </c>
      <c r="M92" s="6">
        <f t="shared" si="29"/>
        <v>2.5358796294312924E-2</v>
      </c>
      <c r="N92" s="7">
        <f t="shared" si="45"/>
        <v>36.516666663810611</v>
      </c>
      <c r="O92" s="7"/>
      <c r="P92" s="7"/>
      <c r="Q92" s="22"/>
      <c r="R92" s="173"/>
      <c r="S92" s="176">
        <f t="shared" si="46"/>
        <v>1</v>
      </c>
      <c r="T92" s="202" t="str">
        <f t="shared" si="30"/>
        <v>NorthBound</v>
      </c>
      <c r="U92" s="202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03" t="str">
        <f t="shared" si="31"/>
        <v>https://d0f6bd738d7f1b3e5a7ca70fe4ff75f0.us-east-1.aws.found.io/app/kibana#/discover/Steve-Slow-Train-Analysis-(2080s-and-2083s)?_g=(refreshInterval:(display:Off,pause:!f,section:0,value:0),time:(from:'2017-05-30T12:26:28-0600',mode:absolute,to:'2017-05-30T15:06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92" s="204" t="str">
        <f t="shared" si="32"/>
        <v>N</v>
      </c>
      <c r="X92" s="204">
        <f t="shared" si="33"/>
        <v>1</v>
      </c>
      <c r="Y92" s="204">
        <f t="shared" si="34"/>
        <v>4.4200000000000003E-2</v>
      </c>
      <c r="Z92" s="204">
        <f t="shared" si="35"/>
        <v>23.3385</v>
      </c>
      <c r="AA92" s="204">
        <f t="shared" si="36"/>
        <v>23.2943</v>
      </c>
      <c r="AB92" s="57" t="e">
        <f>VLOOKUP(A92,Enforcements!$C$7:$K$13,8,0)</f>
        <v>#N/A</v>
      </c>
      <c r="AC92" s="53" t="e">
        <f>VLOOKUP(A92,Enforcements!$C$7:$E$13,3,0)</f>
        <v>#N/A</v>
      </c>
      <c r="AD92" s="54" t="str">
        <f t="shared" si="37"/>
        <v>0179-30</v>
      </c>
      <c r="AE92" s="80" t="str">
        <f t="shared" si="38"/>
        <v>aws s3 cp s3://rtdc.mdm.uploadarchive.raw/RTDC4008/ "%USERPROFILE%\AppData\Local\Temp\OnboardLogs"\RTDC4008\2017-05-30 --exclude "*" --recursive --include "*20170530*" &amp; "%USERPROFILE%\Documents\GitHub\mrs-test-scripts\Headless Mode &amp; Sideloading\WalkAndUnGZ.bat" "%USERPROFILE%\AppData\Local\Temp\OnboardLogs"\RTDC4008\2017-05-30 &amp; aws s3 cp s3://rtdc.mdm.uploadarchive.raw/RTDC4008/ "%USERPROFILE%\AppData\Local\Temp\OnboardLogs"\RTDC4008\2017-05-31 --exclude "*" --recursive --include "*20170531*" &amp; "%USERPROFILE%\Documents\GitHub\mrs-test-scripts\Headless Mode &amp; Sideloading\WalkAndUnGZ.bat" "%USERPROFILE%\AppData\Local\Temp\OnboardLogs"\RTDC4008\2017-05-31</v>
      </c>
      <c r="AF92" s="77" t="str">
        <f t="shared" si="39"/>
        <v>"C:\Program Files (x86)\AstroGrep\AstroGrep.exe" /e /r /s /spath="%USERPROFILE%\AppData\Local\Temp\OnboardLogs" /stypes="app*4008*20170530*" /stext=" 20:.+((SYSTEM_STATE.+slice.+state.+changed )|(ment ac)|(multiple cpu faults)|(system.+state.+changed )|(\[timeout)|(PRM\|1\|D)|(kpr)|(kdp)|(train st.+moving)|(\|lc)|(penalty))"</v>
      </c>
      <c r="AG92" s="1" t="str">
        <f t="shared" si="40"/>
        <v>EC</v>
      </c>
      <c r="AH92" s="81" t="str">
        <f t="shared" si="41"/>
        <v>"%USERPROFILE%\Documents\GitHub\eaglep3\Utilities\RefineRTDCRunTimes.py" --tripid 179-30 --locoid 4008 --swversion DE.1.0.9.0 --startMP 204:442 --initTime 2017-05-30T13:26:28 --startdatetime 2017-05-30T13:30:24 --delay 1 --endMP 204:233385 --enddatetime 2017-05-30T14:06:55 --enforcementcount 0 &gt;&gt;C:\Users\stu\Documents\GitHub\eaglep3-reporting\EC\2017-05-30-refined-times.txt</v>
      </c>
      <c r="AI92" s="99" t="str">
        <f t="shared" si="42"/>
        <v>echo {"issue":{"subject":"","project_id":79,"tracker_id":40,"status_id":1,"priority_id":2,"assigned_to_id":23,"start_date":"2017-05-30","description":"","custom_fields":[{"id":1,"name":"Subdivision","value":"EC"},{"id":4,"name":"Milepost","value":"23.3385"},{"id":17,"name":"Train ID","value":"179-30"},{"id":16,"name":"Locomotive ID","value":"4008"},{"id":130,"name":"Impact","value":""},{"id":150,"name":"Time of Event (Mountain Time)","value":"14:06:55"},{"id":151,"name":"Denver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5" t="str">
        <f t="shared" si="43"/>
        <v>start /low /b %USERPROFILE%\Documents\GitHub\eaglep3\Utilities\DownloadLogsFromS3.py --loco 4008 --day 2017-05-30</v>
      </c>
      <c r="AN92" s="154" t="str">
        <f t="shared" si="44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20:06:55"},{"id":29,"name":"Sharepoint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2" t="s">
        <v>780</v>
      </c>
      <c r="B93" s="7">
        <v>4007</v>
      </c>
      <c r="C93" s="21" t="s">
        <v>204</v>
      </c>
      <c r="D93" s="21" t="s">
        <v>901</v>
      </c>
      <c r="E93" s="13">
        <v>42885.598055555558</v>
      </c>
      <c r="F93" s="13">
        <v>42885.60229166667</v>
      </c>
      <c r="G93" s="7">
        <v>1</v>
      </c>
      <c r="H93" s="21" t="s">
        <v>463</v>
      </c>
      <c r="I93" s="13">
        <v>42885.629305555558</v>
      </c>
      <c r="J93" s="7">
        <v>0</v>
      </c>
      <c r="K93" s="92" t="str">
        <f t="shared" si="28"/>
        <v>4007/4008</v>
      </c>
      <c r="L93" s="21" t="str">
        <f>VLOOKUP(A93,'Trips&amp;Operators'!$C$1:$G$99999,5,FALSE)</f>
        <v>LEVIN SCOTT</v>
      </c>
      <c r="M93" s="6">
        <f t="shared" si="29"/>
        <v>2.7013888888177462E-2</v>
      </c>
      <c r="N93" s="7">
        <f t="shared" si="45"/>
        <v>38.899999998975545</v>
      </c>
      <c r="O93" s="7"/>
      <c r="P93" s="7"/>
      <c r="Q93" s="22"/>
      <c r="R93" s="173"/>
      <c r="S93" s="176">
        <f t="shared" si="46"/>
        <v>1</v>
      </c>
      <c r="T93" s="202" t="str">
        <f t="shared" si="30"/>
        <v>Southbound</v>
      </c>
      <c r="U93" s="202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03" t="str">
        <f t="shared" si="31"/>
        <v>https://d0f6bd738d7f1b3e5a7ca70fe4ff75f0.us-east-1.aws.found.io/app/kibana#/discover/Steve-Slow-Train-Analysis-(2080s-and-2083s)?_g=(refreshInterval:(display:Off,pause:!f,section:0,value:0),time:(from:'2017-05-30T13:21:12-0600',mode:absolute,to:'2017-05-30T16:06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93" s="204" t="str">
        <f t="shared" si="32"/>
        <v>N</v>
      </c>
      <c r="X93" s="204">
        <f t="shared" si="33"/>
        <v>1</v>
      </c>
      <c r="Y93" s="204">
        <f t="shared" si="34"/>
        <v>23.307400000000001</v>
      </c>
      <c r="Z93" s="204">
        <f t="shared" si="35"/>
        <v>1.4500000000000001E-2</v>
      </c>
      <c r="AA93" s="204">
        <f t="shared" si="36"/>
        <v>23.292899999999999</v>
      </c>
      <c r="AB93" s="57" t="e">
        <f>VLOOKUP(A93,Enforcements!$C$7:$K$13,8,0)</f>
        <v>#N/A</v>
      </c>
      <c r="AC93" s="53" t="e">
        <f>VLOOKUP(A93,Enforcements!$C$7:$E$13,3,0)</f>
        <v>#N/A</v>
      </c>
      <c r="AD93" s="54" t="str">
        <f t="shared" si="37"/>
        <v>0180-30</v>
      </c>
      <c r="AE93" s="80" t="str">
        <f t="shared" si="38"/>
        <v>aws s3 cp s3://rtdc.mdm.uploadarchive.raw/RTDC4007/ "%USERPROFILE%\AppData\Local\Temp\OnboardLogs"\RTDC4007\2017-05-30 --exclude "*" --recursive --include "*20170530*" &amp; "%USERPROFILE%\Documents\GitHub\mrs-test-scripts\Headless Mode &amp; Sideloading\WalkAndUnGZ.bat" "%USERPROFILE%\AppData\Local\Temp\OnboardLogs"\RTDC4007\2017-05-30 &amp; aws s3 cp s3://rtdc.mdm.uploadarchive.raw/RTDC4007/ "%USERPROFILE%\AppData\Local\Temp\OnboardLogs"\RTDC4007\2017-05-31 --exclude "*" --recursive --include "*20170531*" &amp; "%USERPROFILE%\Documents\GitHub\mrs-test-scripts\Headless Mode &amp; Sideloading\WalkAndUnGZ.bat" "%USERPROFILE%\AppData\Local\Temp\OnboardLogs"\RTDC4007\2017-05-31</v>
      </c>
      <c r="AF93" s="77" t="str">
        <f t="shared" si="39"/>
        <v>"C:\Program Files (x86)\AstroGrep\AstroGrep.exe" /e /r /s /spath="%USERPROFILE%\AppData\Local\Temp\OnboardLogs" /stypes="app*4007*20170530*" /stext=" 21:.+((SYSTEM_STATE.+slice.+state.+changed )|(ment ac)|(multiple cpu faults)|(system.+state.+changed )|(\[timeout)|(PRM\|1\|D)|(kpr)|(kdp)|(train st.+moving)|(\|lc)|(penalty))"</v>
      </c>
      <c r="AG93" s="1" t="str">
        <f t="shared" si="40"/>
        <v>EC</v>
      </c>
      <c r="AH93" s="81" t="str">
        <f t="shared" si="41"/>
        <v>"%USERPROFILE%\Documents\GitHub\eaglep3\Utilities\RefineRTDCRunTimes.py" --tripid 180-30 --locoid 4007 --swversion DE.1.0.9.0 --startMP 204:233074 --initTime 2017-05-30T14:21:12 --startdatetime 2017-05-30T14:27:18 --delay 1 --endMP 204:145 --enddatetime 2017-05-30T15:06:12 --enforcementcount 0 &gt;&gt;C:\Users\stu\Documents\GitHub\eaglep3-reporting\EC\2017-05-30-refined-times.txt</v>
      </c>
      <c r="AI93" s="99" t="str">
        <f t="shared" si="42"/>
        <v>echo {"issue":{"subject":"","project_id":79,"tracker_id":40,"status_id":1,"priority_id":2,"assigned_to_id":23,"start_date":"2017-05-30","description":"","custom_fields":[{"id":1,"name":"Subdivision","value":"EC"},{"id":4,"name":"Milepost","value":"0.0145"},{"id":17,"name":"Train ID","value":"180-30"},{"id":16,"name":"Locomotive ID","value":"4007"},{"id":130,"name":"Impact","value":""},{"id":150,"name":"Time of Event (Mountain Time)","value":"15:06:12"},{"id":151,"name":"Denver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20"/>
      <c r="AK93" s="47"/>
      <c r="AL93" s="47"/>
      <c r="AM93" s="145" t="str">
        <f t="shared" si="43"/>
        <v>start /low /b %USERPROFILE%\Documents\GitHub\eaglep3\Utilities\DownloadLogsFromS3.py --loco 4007 --day 2017-05-30</v>
      </c>
      <c r="AN93" s="154" t="str">
        <f t="shared" si="44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21:06:12"},{"id":29,"name":"Sharepoint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2" t="s">
        <v>775</v>
      </c>
      <c r="B94" s="7">
        <v>4032</v>
      </c>
      <c r="C94" s="21" t="s">
        <v>204</v>
      </c>
      <c r="D94" s="21" t="s">
        <v>360</v>
      </c>
      <c r="E94" s="13">
        <v>42885.570775462962</v>
      </c>
      <c r="F94" s="13">
        <v>42885.573310185187</v>
      </c>
      <c r="G94" s="7">
        <v>2</v>
      </c>
      <c r="H94" s="21" t="s">
        <v>890</v>
      </c>
      <c r="I94" s="13">
        <v>42885.600219907406</v>
      </c>
      <c r="J94" s="7">
        <v>0</v>
      </c>
      <c r="K94" s="92" t="str">
        <f t="shared" si="28"/>
        <v>4031/4032</v>
      </c>
      <c r="L94" s="21" t="str">
        <f>VLOOKUP(A94,'Trips&amp;Operators'!$C$1:$G$99999,5,FALSE)</f>
        <v>LEVERE CRAIG</v>
      </c>
      <c r="M94" s="6">
        <f t="shared" si="29"/>
        <v>2.6909722218988463E-2</v>
      </c>
      <c r="N94" s="7">
        <f t="shared" si="45"/>
        <v>38.749999995343387</v>
      </c>
      <c r="O94" s="7"/>
      <c r="P94" s="7"/>
      <c r="Q94" s="22"/>
      <c r="R94" s="173"/>
      <c r="S94" s="176">
        <f t="shared" si="46"/>
        <v>1</v>
      </c>
      <c r="T94" s="202" t="str">
        <f t="shared" si="30"/>
        <v>NorthBound</v>
      </c>
      <c r="U94" s="202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03" t="str">
        <f t="shared" si="31"/>
        <v>https://d0f6bd738d7f1b3e5a7ca70fe4ff75f0.us-east-1.aws.found.io/app/kibana#/discover/Steve-Slow-Train-Analysis-(2080s-and-2083s)?_g=(refreshInterval:(display:Off,pause:!f,section:0,value:0),time:(from:'2017-05-30T12:41:55-0600',mode:absolute,to:'2017-05-30T15:24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94" s="204" t="str">
        <f t="shared" si="32"/>
        <v>N</v>
      </c>
      <c r="X94" s="204">
        <f t="shared" si="33"/>
        <v>1</v>
      </c>
      <c r="Y94" s="204">
        <f t="shared" si="34"/>
        <v>4.4400000000000002E-2</v>
      </c>
      <c r="Z94" s="204">
        <f t="shared" si="35"/>
        <v>23.329499999999999</v>
      </c>
      <c r="AA94" s="204">
        <f t="shared" si="36"/>
        <v>23.2851</v>
      </c>
      <c r="AB94" s="57" t="e">
        <f>VLOOKUP(A94,Enforcements!$C$7:$K$13,8,0)</f>
        <v>#N/A</v>
      </c>
      <c r="AC94" s="53" t="e">
        <f>VLOOKUP(A94,Enforcements!$C$7:$E$13,3,0)</f>
        <v>#N/A</v>
      </c>
      <c r="AD94" s="54" t="str">
        <f t="shared" si="37"/>
        <v>0181-30</v>
      </c>
      <c r="AE94" s="80" t="str">
        <f t="shared" si="38"/>
        <v>aws s3 cp s3://rtdc.mdm.uploadarchive.raw/RTDC4032/ "%USERPROFILE%\AppData\Local\Temp\OnboardLogs"\RTDC4032\2017-05-30 --exclude "*" --recursive --include "*20170530*" &amp; "%USERPROFILE%\Documents\GitHub\mrs-test-scripts\Headless Mode &amp; Sideloading\WalkAndUnGZ.bat" "%USERPROFILE%\AppData\Local\Temp\OnboardLogs"\RTDC4032\2017-05-30 &amp; aws s3 cp s3://rtdc.mdm.uploadarchive.raw/RTDC4032/ "%USERPROFILE%\AppData\Local\Temp\OnboardLogs"\RTDC4032\2017-05-31 --exclude "*" --recursive --include "*20170531*" &amp; "%USERPROFILE%\Documents\GitHub\mrs-test-scripts\Headless Mode &amp; Sideloading\WalkAndUnGZ.bat" "%USERPROFILE%\AppData\Local\Temp\OnboardLogs"\RTDC4032\2017-05-31</v>
      </c>
      <c r="AF94" s="77" t="str">
        <f t="shared" si="39"/>
        <v>"C:\Program Files (x86)\AstroGrep\AstroGrep.exe" /e /r /s /spath="%USERPROFILE%\AppData\Local\Temp\OnboardLogs" /stypes="app*4032*20170530*" /stext=" 20:.+((SYSTEM_STATE.+slice.+state.+changed )|(ment ac)|(multiple cpu faults)|(system.+state.+changed )|(\[timeout)|(PRM\|1\|D)|(kpr)|(kdp)|(train st.+moving)|(\|lc)|(penalty))"</v>
      </c>
      <c r="AG94" s="1" t="str">
        <f t="shared" si="40"/>
        <v>EC</v>
      </c>
      <c r="AH94" s="81" t="str">
        <f t="shared" si="41"/>
        <v>"%USERPROFILE%\Documents\GitHub\eaglep3\Utilities\RefineRTDCRunTimes.py" --tripid 181-30 --locoid 4032 --swversion DE.1.0.9.0 --startMP 204:444 --initTime 2017-05-30T13:41:55 --startdatetime 2017-05-30T13:45:34 --delay 2 --endMP 204:233295 --enddatetime 2017-05-30T14:24:19 --enforcementcount 0 &gt;&gt;C:\Users\stu\Documents\GitHub\eaglep3-reporting\EC\2017-05-30-refined-times.txt</v>
      </c>
      <c r="AI94" s="99" t="str">
        <f t="shared" si="42"/>
        <v>echo {"issue":{"subject":"","project_id":79,"tracker_id":40,"status_id":1,"priority_id":2,"assigned_to_id":23,"start_date":"2017-05-30","description":"","custom_fields":[{"id":1,"name":"Subdivision","value":"EC"},{"id":4,"name":"Milepost","value":"23.3295"},{"id":17,"name":"Train ID","value":"181-30"},{"id":16,"name":"Locomotive ID","value":"4032"},{"id":130,"name":"Impact","value":""},{"id":150,"name":"Time of Event (Mountain Time)","value":"14:24:19"},{"id":151,"name":"Denver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20"/>
      <c r="AK94" s="47"/>
      <c r="AL94" s="47"/>
      <c r="AM94" s="145" t="str">
        <f t="shared" si="43"/>
        <v>start /low /b %USERPROFILE%\Documents\GitHub\eaglep3\Utilities\DownloadLogsFromS3.py --loco 4032 --day 2017-05-30</v>
      </c>
      <c r="AN94" s="154" t="str">
        <f t="shared" si="44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20:24:19"},{"id":29,"name":"Sharepoint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2" t="s">
        <v>782</v>
      </c>
      <c r="B95" s="7">
        <v>4031</v>
      </c>
      <c r="C95" s="21" t="s">
        <v>204</v>
      </c>
      <c r="D95" s="21" t="s">
        <v>534</v>
      </c>
      <c r="E95" s="13">
        <v>42885.607939814814</v>
      </c>
      <c r="F95" s="13">
        <v>42885.612685185188</v>
      </c>
      <c r="G95" s="7">
        <v>1</v>
      </c>
      <c r="H95" s="21" t="s">
        <v>195</v>
      </c>
      <c r="I95" s="13">
        <v>42885.64166666667</v>
      </c>
      <c r="J95" s="7">
        <v>0</v>
      </c>
      <c r="K95" s="92" t="str">
        <f t="shared" si="28"/>
        <v>4031/4032</v>
      </c>
      <c r="L95" s="21" t="str">
        <f>VLOOKUP(A95,'Trips&amp;Operators'!$C$1:$G$99999,5,FALSE)</f>
        <v>LEVERE CRAIG</v>
      </c>
      <c r="M95" s="6">
        <f t="shared" si="29"/>
        <v>2.8981481482333038E-2</v>
      </c>
      <c r="N95" s="7">
        <f t="shared" si="45"/>
        <v>41.733333334559575</v>
      </c>
      <c r="O95" s="7"/>
      <c r="P95" s="7"/>
      <c r="Q95" s="22"/>
      <c r="R95" s="173"/>
      <c r="S95" s="176">
        <f t="shared" si="46"/>
        <v>1</v>
      </c>
      <c r="T95" s="202" t="str">
        <f t="shared" si="30"/>
        <v>Southbound</v>
      </c>
      <c r="U95" s="202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03" t="str">
        <f t="shared" si="31"/>
        <v>https://d0f6bd738d7f1b3e5a7ca70fe4ff75f0.us-east-1.aws.found.io/app/kibana#/discover/Steve-Slow-Train-Analysis-(2080s-and-2083s)?_g=(refreshInterval:(display:Off,pause:!f,section:0,value:0),time:(from:'2017-05-30T13:35:26-0600',mode:absolute,to:'2017-05-30T16:24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95" s="204" t="str">
        <f t="shared" si="32"/>
        <v>N</v>
      </c>
      <c r="X95" s="204">
        <f t="shared" si="33"/>
        <v>1</v>
      </c>
      <c r="Y95" s="204">
        <f t="shared" si="34"/>
        <v>23.299299999999999</v>
      </c>
      <c r="Z95" s="204">
        <f t="shared" si="35"/>
        <v>1.52E-2</v>
      </c>
      <c r="AA95" s="204">
        <f t="shared" si="36"/>
        <v>23.284099999999999</v>
      </c>
      <c r="AB95" s="57" t="e">
        <f>VLOOKUP(A95,Enforcements!$C$7:$K$13,8,0)</f>
        <v>#N/A</v>
      </c>
      <c r="AC95" s="53" t="e">
        <f>VLOOKUP(A95,Enforcements!$C$7:$E$13,3,0)</f>
        <v>#N/A</v>
      </c>
      <c r="AD95" s="54" t="str">
        <f t="shared" si="37"/>
        <v>0182-30</v>
      </c>
      <c r="AE95" s="80" t="str">
        <f t="shared" si="38"/>
        <v>aws s3 cp s3://rtdc.mdm.uploadarchive.raw/RTDC4031/ "%USERPROFILE%\AppData\Local\Temp\OnboardLogs"\RTDC4031\2017-05-30 --exclude "*" --recursive --include "*20170530*" &amp; "%USERPROFILE%\Documents\GitHub\mrs-test-scripts\Headless Mode &amp; Sideloading\WalkAndUnGZ.bat" "%USERPROFILE%\AppData\Local\Temp\OnboardLogs"\RTDC4031\2017-05-30 &amp; aws s3 cp s3://rtdc.mdm.uploadarchive.raw/RTDC4031/ "%USERPROFILE%\AppData\Local\Temp\OnboardLogs"\RTDC4031\2017-05-31 --exclude "*" --recursive --include "*20170531*" &amp; "%USERPROFILE%\Documents\GitHub\mrs-test-scripts\Headless Mode &amp; Sideloading\WalkAndUnGZ.bat" "%USERPROFILE%\AppData\Local\Temp\OnboardLogs"\RTDC4031\2017-05-31</v>
      </c>
      <c r="AF95" s="77" t="str">
        <f t="shared" si="39"/>
        <v>"C:\Program Files (x86)\AstroGrep\AstroGrep.exe" /e /r /s /spath="%USERPROFILE%\AppData\Local\Temp\OnboardLogs" /stypes="app*4031*20170530*" /stext=" 21:.+((SYSTEM_STATE.+slice.+state.+changed )|(ment ac)|(multiple cpu faults)|(system.+state.+changed )|(\[timeout)|(PRM\|1\|D)|(kpr)|(kdp)|(train st.+moving)|(\|lc)|(penalty))"</v>
      </c>
      <c r="AG95" s="1" t="str">
        <f t="shared" si="40"/>
        <v>EC</v>
      </c>
      <c r="AH95" s="81" t="str">
        <f t="shared" si="41"/>
        <v>"%USERPROFILE%\Documents\GitHub\eaglep3\Utilities\RefineRTDCRunTimes.py" --tripid 182-30 --locoid 4031 --swversion DE.1.0.9.0 --startMP 204:232993 --initTime 2017-05-30T14:35:26 --startdatetime 2017-05-30T14:42:16 --delay 1 --endMP 204:152 --enddatetime 2017-05-30T15:24:00 --enforcementcount 0 &gt;&gt;C:\Users\stu\Documents\GitHub\eaglep3-reporting\EC\2017-05-30-refined-times.txt</v>
      </c>
      <c r="AI95" s="99" t="str">
        <f t="shared" si="42"/>
        <v>echo {"issue":{"subject":"","project_id":79,"tracker_id":40,"status_id":1,"priority_id":2,"assigned_to_id":23,"start_date":"2017-05-30","description":"","custom_fields":[{"id":1,"name":"Subdivision","value":"EC"},{"id":4,"name":"Milepost","value":"0.0152"},{"id":17,"name":"Train ID","value":"182-30"},{"id":16,"name":"Locomotive ID","value":"4031"},{"id":130,"name":"Impact","value":""},{"id":150,"name":"Time of Event (Mountain Time)","value":"15:24:00"},{"id":151,"name":"Denver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7"/>
      <c r="AL95" s="47"/>
      <c r="AM95" s="145" t="str">
        <f t="shared" si="43"/>
        <v>start /low /b %USERPROFILE%\Documents\GitHub\eaglep3\Utilities\DownloadLogsFromS3.py --loco 4031 --day 2017-05-30</v>
      </c>
      <c r="AN95" s="154" t="str">
        <f t="shared" si="44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21:24:00"},{"id":29,"name":"Sharepoint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2" t="s">
        <v>777</v>
      </c>
      <c r="B96" s="7">
        <v>4056</v>
      </c>
      <c r="C96" s="21" t="s">
        <v>204</v>
      </c>
      <c r="D96" s="21" t="s">
        <v>369</v>
      </c>
      <c r="E96" s="13">
        <v>42885.581030092595</v>
      </c>
      <c r="F96" s="13">
        <v>42885.583553240744</v>
      </c>
      <c r="G96" s="7">
        <v>1</v>
      </c>
      <c r="H96" s="21" t="s">
        <v>517</v>
      </c>
      <c r="I96" s="13">
        <v>42885.610949074071</v>
      </c>
      <c r="J96" s="7">
        <v>0</v>
      </c>
      <c r="K96" s="92" t="str">
        <f t="shared" si="28"/>
        <v>4055/4056</v>
      </c>
      <c r="L96" s="21" t="str">
        <f>VLOOKUP(A96,'Trips&amp;Operators'!$C$1:$G$99999,5,FALSE)</f>
        <v>ZEWDU DEREJE</v>
      </c>
      <c r="M96" s="6">
        <f t="shared" si="29"/>
        <v>2.7395833327318542E-2</v>
      </c>
      <c r="N96" s="7">
        <f t="shared" si="45"/>
        <v>39.4499999913387</v>
      </c>
      <c r="O96" s="7"/>
      <c r="P96" s="7"/>
      <c r="Q96" s="22"/>
      <c r="R96" s="173"/>
      <c r="S96" s="176">
        <f t="shared" si="46"/>
        <v>1</v>
      </c>
      <c r="T96" s="202" t="str">
        <f t="shared" si="30"/>
        <v>NorthBound</v>
      </c>
      <c r="U96" s="202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03" t="str">
        <f t="shared" si="31"/>
        <v>https://d0f6bd738d7f1b3e5a7ca70fe4ff75f0.us-east-1.aws.found.io/app/kibana#/discover/Steve-Slow-Train-Analysis-(2080s-and-2083s)?_g=(refreshInterval:(display:Off,pause:!f,section:0,value:0),time:(from:'2017-05-30T12:56:41-0600',mode:absolute,to:'2017-05-30T15:39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96" s="204" t="str">
        <f t="shared" si="32"/>
        <v>N</v>
      </c>
      <c r="X96" s="204">
        <f t="shared" si="33"/>
        <v>1</v>
      </c>
      <c r="Y96" s="204">
        <f t="shared" si="34"/>
        <v>4.5499999999999999E-2</v>
      </c>
      <c r="Z96" s="204">
        <f t="shared" si="35"/>
        <v>23.330500000000001</v>
      </c>
      <c r="AA96" s="204">
        <f t="shared" si="36"/>
        <v>23.285</v>
      </c>
      <c r="AB96" s="57" t="e">
        <f>VLOOKUP(A96,Enforcements!$C$7:$K$13,8,0)</f>
        <v>#N/A</v>
      </c>
      <c r="AC96" s="53" t="e">
        <f>VLOOKUP(A96,Enforcements!$C$7:$E$13,3,0)</f>
        <v>#N/A</v>
      </c>
      <c r="AD96" s="54" t="str">
        <f t="shared" si="37"/>
        <v>0183-30</v>
      </c>
      <c r="AE96" s="80" t="str">
        <f t="shared" si="38"/>
        <v>aws s3 cp s3://rtdc.mdm.uploadarchive.raw/RTDC4056/ "%USERPROFILE%\AppData\Local\Temp\OnboardLogs"\RTDC4056\2017-05-30 --exclude "*" --recursive --include "*20170530*" &amp; "%USERPROFILE%\Documents\GitHub\mrs-test-scripts\Headless Mode &amp; Sideloading\WalkAndUnGZ.bat" "%USERPROFILE%\AppData\Local\Temp\OnboardLogs"\RTDC4056\2017-05-30 &amp; aws s3 cp s3://rtdc.mdm.uploadarchive.raw/RTDC4056/ "%USERPROFILE%\AppData\Local\Temp\OnboardLogs"\RTDC4056\2017-05-31 --exclude "*" --recursive --include "*20170531*" &amp; "%USERPROFILE%\Documents\GitHub\mrs-test-scripts\Headless Mode &amp; Sideloading\WalkAndUnGZ.bat" "%USERPROFILE%\AppData\Local\Temp\OnboardLogs"\RTDC4056\2017-05-31</v>
      </c>
      <c r="AF96" s="77" t="str">
        <f t="shared" si="39"/>
        <v>"C:\Program Files (x86)\AstroGrep\AstroGrep.exe" /e /r /s /spath="%USERPROFILE%\AppData\Local\Temp\OnboardLogs" /stypes="app*4056*20170530*" /stext=" 20:.+((SYSTEM_STATE.+slice.+state.+changed )|(ment ac)|(multiple cpu faults)|(system.+state.+changed )|(\[timeout)|(PRM\|1\|D)|(kpr)|(kdp)|(train st.+moving)|(\|lc)|(penalty))"</v>
      </c>
      <c r="AG96" s="1" t="str">
        <f t="shared" si="40"/>
        <v>EC</v>
      </c>
      <c r="AH96" s="81" t="str">
        <f t="shared" si="41"/>
        <v>"%USERPROFILE%\Documents\GitHub\eaglep3\Utilities\RefineRTDCRunTimes.py" --tripid 183-30 --locoid 4056 --swversion DE.1.0.9.0 --startMP 204:455 --initTime 2017-05-30T13:56:41 --startdatetime 2017-05-30T14:00:19 --delay 1 --endMP 204:233305 --enddatetime 2017-05-30T14:39:46 --enforcementcount 0 &gt;&gt;C:\Users\stu\Documents\GitHub\eaglep3-reporting\EC\2017-05-30-refined-times.txt</v>
      </c>
      <c r="AI96" s="99" t="str">
        <f t="shared" si="42"/>
        <v>echo {"issue":{"subject":"","project_id":79,"tracker_id":40,"status_id":1,"priority_id":2,"assigned_to_id":23,"start_date":"2017-05-30","description":"","custom_fields":[{"id":1,"name":"Subdivision","value":"EC"},{"id":4,"name":"Milepost","value":"23.3305"},{"id":17,"name":"Train ID","value":"183-30"},{"id":16,"name":"Locomotive ID","value":"4056"},{"id":130,"name":"Impact","value":""},{"id":150,"name":"Time of Event (Mountain Time)","value":"14:39:46"},{"id":151,"name":"Denver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7"/>
      <c r="AL96" s="47"/>
      <c r="AM96" s="145" t="str">
        <f t="shared" si="43"/>
        <v>start /low /b %USERPROFILE%\Documents\GitHub\eaglep3\Utilities\DownloadLogsFromS3.py --loco 4056 --day 2017-05-30</v>
      </c>
      <c r="AN96" s="154" t="str">
        <f t="shared" si="44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20:39:46"},{"id":29,"name":"Sharepoint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x14ac:dyDescent="0.25">
      <c r="A97" s="32" t="s">
        <v>785</v>
      </c>
      <c r="B97" s="7">
        <v>4055</v>
      </c>
      <c r="C97" s="21" t="s">
        <v>204</v>
      </c>
      <c r="D97" s="21" t="s">
        <v>448</v>
      </c>
      <c r="E97" s="13">
        <v>42885.612986111111</v>
      </c>
      <c r="F97" s="13">
        <v>42885.623159722221</v>
      </c>
      <c r="G97" s="7">
        <v>1</v>
      </c>
      <c r="H97" s="21" t="s">
        <v>350</v>
      </c>
      <c r="I97" s="13">
        <v>42885.650763888887</v>
      </c>
      <c r="J97" s="7">
        <v>0</v>
      </c>
      <c r="K97" s="92" t="str">
        <f t="shared" si="28"/>
        <v>4055/4056</v>
      </c>
      <c r="L97" s="21" t="str">
        <f>VLOOKUP(A97,'Trips&amp;Operators'!$C$1:$G$99999,5,FALSE)</f>
        <v>ZEWDU DEREJE</v>
      </c>
      <c r="M97" s="6">
        <f t="shared" si="29"/>
        <v>2.7604166665696539E-2</v>
      </c>
      <c r="N97" s="7">
        <f t="shared" si="45"/>
        <v>39.749999998603016</v>
      </c>
      <c r="O97" s="7"/>
      <c r="P97" s="7"/>
      <c r="Q97" s="22"/>
      <c r="R97" s="173"/>
      <c r="S97" s="176">
        <f t="shared" si="46"/>
        <v>1</v>
      </c>
      <c r="T97" s="202" t="str">
        <f t="shared" si="30"/>
        <v>Southbound</v>
      </c>
      <c r="U97" s="202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03" t="str">
        <f t="shared" si="31"/>
        <v>https://d0f6bd738d7f1b3e5a7ca70fe4ff75f0.us-east-1.aws.found.io/app/kibana#/discover/Steve-Slow-Train-Analysis-(2080s-and-2083s)?_g=(refreshInterval:(display:Off,pause:!f,section:0,value:0),time:(from:'2017-05-30T13:42:42-0600',mode:absolute,to:'2017-05-30T16:37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97" s="204" t="str">
        <f t="shared" si="32"/>
        <v>N</v>
      </c>
      <c r="X97" s="204">
        <f t="shared" si="33"/>
        <v>1</v>
      </c>
      <c r="Y97" s="204">
        <f t="shared" si="34"/>
        <v>23.297699999999999</v>
      </c>
      <c r="Z97" s="204">
        <f t="shared" si="35"/>
        <v>1.6E-2</v>
      </c>
      <c r="AA97" s="204">
        <f t="shared" si="36"/>
        <v>23.281700000000001</v>
      </c>
      <c r="AB97" s="57" t="e">
        <f>VLOOKUP(A97,Enforcements!$C$7:$K$13,8,0)</f>
        <v>#N/A</v>
      </c>
      <c r="AC97" s="53" t="e">
        <f>VLOOKUP(A97,Enforcements!$C$7:$E$13,3,0)</f>
        <v>#N/A</v>
      </c>
      <c r="AD97" s="54" t="str">
        <f t="shared" si="37"/>
        <v>0184-30</v>
      </c>
      <c r="AE97" s="80" t="str">
        <f t="shared" si="38"/>
        <v>aws s3 cp s3://rtdc.mdm.uploadarchive.raw/RTDC4055/ "%USERPROFILE%\AppData\Local\Temp\OnboardLogs"\RTDC4055\2017-05-30 --exclude "*" --recursive --include "*20170530*" &amp; "%USERPROFILE%\Documents\GitHub\mrs-test-scripts\Headless Mode &amp; Sideloading\WalkAndUnGZ.bat" "%USERPROFILE%\AppData\Local\Temp\OnboardLogs"\RTDC4055\2017-05-30 &amp; aws s3 cp s3://rtdc.mdm.uploadarchive.raw/RTDC4055/ "%USERPROFILE%\AppData\Local\Temp\OnboardLogs"\RTDC4055\2017-05-31 --exclude "*" --recursive --include "*20170531*" &amp; "%USERPROFILE%\Documents\GitHub\mrs-test-scripts\Headless Mode &amp; Sideloading\WalkAndUnGZ.bat" "%USERPROFILE%\AppData\Local\Temp\OnboardLogs"\RTDC4055\2017-05-31</v>
      </c>
      <c r="AF97" s="77" t="str">
        <f t="shared" si="39"/>
        <v>"C:\Program Files (x86)\AstroGrep\AstroGrep.exe" /e /r /s /spath="%USERPROFILE%\AppData\Local\Temp\OnboardLogs" /stypes="app*4055*20170530*" /stext=" 21:.+((SYSTEM_STATE.+slice.+state.+changed )|(ment ac)|(multiple cpu faults)|(system.+state.+changed )|(\[timeout)|(PRM\|1\|D)|(kpr)|(kdp)|(train st.+moving)|(\|lc)|(penalty))"</v>
      </c>
      <c r="AG97" s="1" t="str">
        <f t="shared" si="40"/>
        <v>EC</v>
      </c>
      <c r="AH97" s="81" t="str">
        <f t="shared" si="41"/>
        <v>"%USERPROFILE%\Documents\GitHub\eaglep3\Utilities\RefineRTDCRunTimes.py" --tripid 184-30 --locoid 4055 --swversion DE.1.0.9.0 --startMP 204:232977 --initTime 2017-05-30T14:42:42 --startdatetime 2017-05-30T14:57:21 --delay 1 --endMP 204:160 --enddatetime 2017-05-30T15:37:06 --enforcementcount 0 &gt;&gt;C:\Users\stu\Documents\GitHub\eaglep3-reporting\EC\2017-05-30-refined-times.txt</v>
      </c>
      <c r="AI97" s="99" t="str">
        <f t="shared" si="42"/>
        <v>echo {"issue":{"subject":"","project_id":79,"tracker_id":40,"status_id":1,"priority_id":2,"assigned_to_id":23,"start_date":"2017-05-30","description":"","custom_fields":[{"id":1,"name":"Subdivision","value":"EC"},{"id":4,"name":"Milepost","value":"0.016"},{"id":17,"name":"Train ID","value":"184-30"},{"id":16,"name":"Locomotive ID","value":"4055"},{"id":130,"name":"Impact","value":""},{"id":150,"name":"Time of Event (Mountain Time)","value":"15:37:06"},{"id":151,"name":"Denver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20"/>
      <c r="AK97" s="47"/>
      <c r="AL97" s="47"/>
      <c r="AM97" s="145" t="str">
        <f t="shared" si="43"/>
        <v>start /low /b %USERPROFILE%\Documents\GitHub\eaglep3\Utilities\DownloadLogsFromS3.py --loco 4055 --day 2017-05-30</v>
      </c>
      <c r="AN97" s="154" t="str">
        <f t="shared" si="44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21:37:06"},{"id":29,"name":"Sharepoint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8" spans="1:91" s="20" customFormat="1" x14ac:dyDescent="0.25">
      <c r="A98" s="32" t="s">
        <v>651</v>
      </c>
      <c r="B98" s="7">
        <v>4020</v>
      </c>
      <c r="C98" s="21" t="s">
        <v>204</v>
      </c>
      <c r="D98" s="21" t="s">
        <v>359</v>
      </c>
      <c r="E98" s="13">
        <v>42885.593148148146</v>
      </c>
      <c r="F98" s="13">
        <v>42885.594097222223</v>
      </c>
      <c r="G98" s="7">
        <v>1</v>
      </c>
      <c r="H98" s="21" t="s">
        <v>902</v>
      </c>
      <c r="I98" s="13">
        <v>42885.620034722226</v>
      </c>
      <c r="J98" s="7">
        <v>0</v>
      </c>
      <c r="K98" s="92" t="str">
        <f t="shared" si="28"/>
        <v>4019/4020</v>
      </c>
      <c r="L98" s="21" t="str">
        <f>VLOOKUP(A98,'Trips&amp;Operators'!$C$1:$G$99999,5,FALSE)</f>
        <v>CHANDLER KELVIN</v>
      </c>
      <c r="M98" s="6">
        <f t="shared" si="29"/>
        <v>2.5937500002328306E-2</v>
      </c>
      <c r="N98" s="7">
        <f t="shared" si="45"/>
        <v>37.350000003352761</v>
      </c>
      <c r="O98" s="7"/>
      <c r="P98" s="7"/>
      <c r="Q98" s="22"/>
      <c r="R98" s="173"/>
      <c r="S98" s="176">
        <f t="shared" si="46"/>
        <v>1</v>
      </c>
      <c r="T98" s="202" t="str">
        <f t="shared" si="30"/>
        <v>NorthBound</v>
      </c>
      <c r="U98" s="202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03" t="str">
        <f t="shared" si="31"/>
        <v>https://d0f6bd738d7f1b3e5a7ca70fe4ff75f0.us-east-1.aws.found.io/app/kibana#/discover/Steve-Slow-Train-Analysis-(2080s-and-2083s)?_g=(refreshInterval:(display:Off,pause:!f,section:0,value:0),time:(from:'2017-05-30T13:14:08-0600',mode:absolute,to:'2017-05-30T15:52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98" s="204" t="str">
        <f t="shared" si="32"/>
        <v>N</v>
      </c>
      <c r="X98" s="204">
        <f t="shared" si="33"/>
        <v>1</v>
      </c>
      <c r="Y98" s="204">
        <f t="shared" si="34"/>
        <v>4.53E-2</v>
      </c>
      <c r="Z98" s="204">
        <f t="shared" si="35"/>
        <v>23.330400000000001</v>
      </c>
      <c r="AA98" s="204">
        <f t="shared" si="36"/>
        <v>23.2851</v>
      </c>
      <c r="AB98" s="57" t="str">
        <f>VLOOKUP(A98,Enforcements!$C$7:$K$13,8,0)</f>
        <v>Bulletin (2)</v>
      </c>
      <c r="AC98" s="53" t="str">
        <f>VLOOKUP(A98,Enforcements!$C$7:$E$13,3,0)</f>
        <v>GRADE CROSSING</v>
      </c>
      <c r="AD98" s="54" t="str">
        <f t="shared" si="37"/>
        <v>0185-30</v>
      </c>
      <c r="AE98" s="80" t="str">
        <f t="shared" si="38"/>
        <v>aws s3 cp s3://rtdc.mdm.uploadarchive.raw/RTDC4020/ "%USERPROFILE%\AppData\Local\Temp\OnboardLogs"\RTDC4020\2017-05-30 --exclude "*" --recursive --include "*20170530*" &amp; "%USERPROFILE%\Documents\GitHub\mrs-test-scripts\Headless Mode &amp; Sideloading\WalkAndUnGZ.bat" "%USERPROFILE%\AppData\Local\Temp\OnboardLogs"\RTDC4020\2017-05-30 &amp; aws s3 cp s3://rtdc.mdm.uploadarchive.raw/RTDC4020/ "%USERPROFILE%\AppData\Local\Temp\OnboardLogs"\RTDC4020\2017-05-31 --exclude "*" --recursive --include "*20170531*" &amp; "%USERPROFILE%\Documents\GitHub\mrs-test-scripts\Headless Mode &amp; Sideloading\WalkAndUnGZ.bat" "%USERPROFILE%\AppData\Local\Temp\OnboardLogs"\RTDC4020\2017-05-31</v>
      </c>
      <c r="AF98" s="77" t="str">
        <f t="shared" si="39"/>
        <v>"C:\Program Files (x86)\AstroGrep\AstroGrep.exe" /e /r /s /spath="%USERPROFILE%\AppData\Local\Temp\OnboardLogs" /stypes="app*4020*20170530*" /stext=" 20:.+((SYSTEM_STATE.+slice.+state.+changed )|(ment ac)|(multiple cpu faults)|(system.+state.+changed )|(\[timeout)|(PRM\|1\|D)|(kpr)|(kdp)|(train st.+moving)|(\|lc)|(penalty))"</v>
      </c>
      <c r="AG98" s="1" t="str">
        <f t="shared" si="40"/>
        <v>EC</v>
      </c>
      <c r="AH98" s="81" t="str">
        <f t="shared" si="41"/>
        <v>"%USERPROFILE%\Documents\GitHub\eaglep3\Utilities\RefineRTDCRunTimes.py" --tripid 185-30 --locoid 4020 --swversion DE.1.0.9.0 --startMP 204:453 --initTime 2017-05-30T14:14:08 --startdatetime 2017-05-30T14:15:30 --delay 1 --endMP 204:233304 --enddatetime 2017-05-30T14:52:51 --enforcementcount 0 &gt;&gt;C:\Users\stu\Documents\GitHub\eaglep3-reporting\EC\2017-05-30-refined-times.txt</v>
      </c>
      <c r="AI98" s="99" t="str">
        <f t="shared" si="42"/>
        <v>echo {"issue":{"subject":"","project_id":79,"tracker_id":40,"status_id":1,"priority_id":2,"assigned_to_id":23,"start_date":"2017-05-30","description":"","custom_fields":[{"id":1,"name":"Subdivision","value":"EC"},{"id":4,"name":"Milepost","value":"23.3304"},{"id":17,"name":"Train ID","value":"185-30"},{"id":16,"name":"Locomotive ID","value":"4020"},{"id":130,"name":"Impact","value":""},{"id":150,"name":"Time of Event (Mountain Time)","value":"14:52:51"},{"id":151,"name":"Denver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5" t="str">
        <f t="shared" si="43"/>
        <v>start /low /b %USERPROFILE%\Documents\GitHub\eaglep3\Utilities\DownloadLogsFromS3.py --loco 4020 --day 2017-05-30</v>
      </c>
      <c r="AN98" s="154" t="str">
        <f t="shared" si="44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20:52:51"},{"id":29,"name":"Sharepoint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787</v>
      </c>
      <c r="B99" s="7">
        <v>4019</v>
      </c>
      <c r="C99" s="21" t="s">
        <v>204</v>
      </c>
      <c r="D99" s="21" t="s">
        <v>443</v>
      </c>
      <c r="E99" s="13">
        <v>42885.630150462966</v>
      </c>
      <c r="F99" s="13">
        <v>42885.634155092594</v>
      </c>
      <c r="G99" s="7">
        <v>1</v>
      </c>
      <c r="H99" s="21" t="s">
        <v>353</v>
      </c>
      <c r="I99" s="13">
        <v>42885.661099537036</v>
      </c>
      <c r="J99" s="7">
        <v>0</v>
      </c>
      <c r="K99" s="92" t="str">
        <f t="shared" si="28"/>
        <v>4019/4020</v>
      </c>
      <c r="L99" s="21" t="str">
        <f>VLOOKUP(A99,'Trips&amp;Operators'!$C$1:$G$99999,5,FALSE)</f>
        <v>CHANDLER KELVIN</v>
      </c>
      <c r="M99" s="6">
        <f t="shared" si="29"/>
        <v>2.6944444442051463E-2</v>
      </c>
      <c r="N99" s="7">
        <f t="shared" si="45"/>
        <v>38.799999996554106</v>
      </c>
      <c r="O99" s="7"/>
      <c r="P99" s="7"/>
      <c r="Q99" s="22"/>
      <c r="R99" s="173"/>
      <c r="S99" s="176">
        <f t="shared" si="46"/>
        <v>1</v>
      </c>
      <c r="T99" s="202" t="str">
        <f t="shared" si="30"/>
        <v>Southbound</v>
      </c>
      <c r="U99" s="202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03" t="str">
        <f t="shared" si="31"/>
        <v>https://d0f6bd738d7f1b3e5a7ca70fe4ff75f0.us-east-1.aws.found.io/app/kibana#/discover/Steve-Slow-Train-Analysis-(2080s-and-2083s)?_g=(refreshInterval:(display:Off,pause:!f,section:0,value:0),time:(from:'2017-05-30T14:07:25-0600',mode:absolute,to:'2017-05-30T16:51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99" s="204" t="str">
        <f t="shared" si="32"/>
        <v>N</v>
      </c>
      <c r="X99" s="204">
        <f t="shared" si="33"/>
        <v>1</v>
      </c>
      <c r="Y99" s="204">
        <f t="shared" si="34"/>
        <v>23.299800000000001</v>
      </c>
      <c r="Z99" s="204">
        <f t="shared" si="35"/>
        <v>1.49E-2</v>
      </c>
      <c r="AA99" s="204">
        <f t="shared" si="36"/>
        <v>23.2849</v>
      </c>
      <c r="AB99" s="57" t="e">
        <f>VLOOKUP(A99,Enforcements!$C$7:$K$13,8,0)</f>
        <v>#N/A</v>
      </c>
      <c r="AC99" s="53" t="e">
        <f>VLOOKUP(A99,Enforcements!$C$7:$E$13,3,0)</f>
        <v>#N/A</v>
      </c>
      <c r="AD99" s="54" t="str">
        <f t="shared" si="37"/>
        <v>0186-30</v>
      </c>
      <c r="AE99" s="80" t="str">
        <f t="shared" si="38"/>
        <v>aws s3 cp s3://rtdc.mdm.uploadarchive.raw/RTDC4019/ "%USERPROFILE%\AppData\Local\Temp\OnboardLogs"\RTDC4019\2017-05-30 --exclude "*" --recursive --include "*20170530*" &amp; "%USERPROFILE%\Documents\GitHub\mrs-test-scripts\Headless Mode &amp; Sideloading\WalkAndUnGZ.bat" "%USERPROFILE%\AppData\Local\Temp\OnboardLogs"\RTDC4019\2017-05-30 &amp; aws s3 cp s3://rtdc.mdm.uploadarchive.raw/RTDC4019/ "%USERPROFILE%\AppData\Local\Temp\OnboardLogs"\RTDC4019\2017-05-31 --exclude "*" --recursive --include "*20170531*" &amp; "%USERPROFILE%\Documents\GitHub\mrs-test-scripts\Headless Mode &amp; Sideloading\WalkAndUnGZ.bat" "%USERPROFILE%\AppData\Local\Temp\OnboardLogs"\RTDC4019\2017-05-31</v>
      </c>
      <c r="AF99" s="77" t="str">
        <f t="shared" si="39"/>
        <v>"C:\Program Files (x86)\AstroGrep\AstroGrep.exe" /e /r /s /spath="%USERPROFILE%\AppData\Local\Temp\OnboardLogs" /stypes="app*4019*20170530*" /stext=" 21:.+((SYSTEM_STATE.+slice.+state.+changed )|(ment ac)|(multiple cpu faults)|(system.+state.+changed )|(\[timeout)|(PRM\|1\|D)|(kpr)|(kdp)|(train st.+moving)|(\|lc)|(penalty))"</v>
      </c>
      <c r="AG99" s="1" t="str">
        <f t="shared" si="40"/>
        <v>EC</v>
      </c>
      <c r="AH99" s="81" t="str">
        <f t="shared" si="41"/>
        <v>"%USERPROFILE%\Documents\GitHub\eaglep3\Utilities\RefineRTDCRunTimes.py" --tripid 186-30 --locoid 4019 --swversion DE.1.0.9.0 --startMP 204:232998 --initTime 2017-05-30T15:07:25 --startdatetime 2017-05-30T15:13:11 --delay 1 --endMP 204:149 --enddatetime 2017-05-30T15:51:59 --enforcementcount 0 &gt;&gt;C:\Users\stu\Documents\GitHub\eaglep3-reporting\EC\2017-05-30-refined-times.txt</v>
      </c>
      <c r="AI99" s="99" t="str">
        <f t="shared" si="42"/>
        <v>echo {"issue":{"subject":"","project_id":79,"tracker_id":40,"status_id":1,"priority_id":2,"assigned_to_id":23,"start_date":"2017-05-30","description":"","custom_fields":[{"id":1,"name":"Subdivision","value":"EC"},{"id":4,"name":"Milepost","value":"0.0149"},{"id":17,"name":"Train ID","value":"186-30"},{"id":16,"name":"Locomotive ID","value":"4019"},{"id":130,"name":"Impact","value":""},{"id":150,"name":"Time of Event (Mountain Time)","value":"15:51:59"},{"id":151,"name":"Denver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5" t="str">
        <f t="shared" si="43"/>
        <v>start /low /b %USERPROFILE%\Documents\GitHub\eaglep3\Utilities\DownloadLogsFromS3.py --loco 4019 --day 2017-05-30</v>
      </c>
      <c r="AN99" s="154" t="str">
        <f t="shared" si="44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21:51:59"},{"id":29,"name":"Sharepoint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781</v>
      </c>
      <c r="B100" s="7">
        <v>4016</v>
      </c>
      <c r="C100" s="21" t="s">
        <v>204</v>
      </c>
      <c r="D100" s="21" t="s">
        <v>200</v>
      </c>
      <c r="E100" s="13">
        <v>42885.599166666667</v>
      </c>
      <c r="F100" s="13">
        <v>42885.604351851849</v>
      </c>
      <c r="G100" s="7">
        <v>1</v>
      </c>
      <c r="H100" s="21" t="s">
        <v>882</v>
      </c>
      <c r="I100" s="13">
        <v>42885.629502314812</v>
      </c>
      <c r="J100" s="7">
        <v>0</v>
      </c>
      <c r="K100" s="92" t="str">
        <f t="shared" si="28"/>
        <v>4015/4016</v>
      </c>
      <c r="L100" s="21" t="str">
        <f>VLOOKUP(A100,'Trips&amp;Operators'!$C$1:$G$99999,5,FALSE)</f>
        <v>MCREYNOLDS KYLE</v>
      </c>
      <c r="M100" s="6">
        <f t="shared" si="29"/>
        <v>2.5150462963210884E-2</v>
      </c>
      <c r="N100" s="7">
        <f t="shared" si="45"/>
        <v>36.216666667023674</v>
      </c>
      <c r="O100" s="7"/>
      <c r="P100" s="7"/>
      <c r="Q100" s="22"/>
      <c r="R100" s="173"/>
      <c r="S100" s="176">
        <f t="shared" si="46"/>
        <v>1</v>
      </c>
      <c r="T100" s="202" t="str">
        <f t="shared" si="30"/>
        <v>NorthBound</v>
      </c>
      <c r="U100" s="202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03" t="str">
        <f t="shared" si="31"/>
        <v>https://d0f6bd738d7f1b3e5a7ca70fe4ff75f0.us-east-1.aws.found.io/app/kibana#/discover/Steve-Slow-Train-Analysis-(2080s-and-2083s)?_g=(refreshInterval:(display:Off,pause:!f,section:0,value:0),time:(from:'2017-05-30T13:22:48-0600',mode:absolute,to:'2017-05-30T16:06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00" s="204" t="str">
        <f t="shared" si="32"/>
        <v>N</v>
      </c>
      <c r="X100" s="204">
        <f t="shared" si="33"/>
        <v>1</v>
      </c>
      <c r="Y100" s="204">
        <f t="shared" si="34"/>
        <v>4.5699999999999998E-2</v>
      </c>
      <c r="Z100" s="204">
        <f t="shared" si="35"/>
        <v>23.337199999999999</v>
      </c>
      <c r="AA100" s="204">
        <f t="shared" si="36"/>
        <v>23.291499999999999</v>
      </c>
      <c r="AB100" s="57" t="e">
        <f>VLOOKUP(A100,Enforcements!$C$7:$K$13,8,0)</f>
        <v>#N/A</v>
      </c>
      <c r="AC100" s="53" t="e">
        <f>VLOOKUP(A100,Enforcements!$C$7:$E$13,3,0)</f>
        <v>#N/A</v>
      </c>
      <c r="AD100" s="54" t="str">
        <f t="shared" si="37"/>
        <v>0187-30</v>
      </c>
      <c r="AE100" s="80" t="str">
        <f t="shared" si="38"/>
        <v>aws s3 cp s3://rtdc.mdm.uploadarchive.raw/RTDC4016/ "%USERPROFILE%\AppData\Local\Temp\OnboardLogs"\RTDC4016\2017-05-30 --exclude "*" --recursive --include "*20170530*" &amp; "%USERPROFILE%\Documents\GitHub\mrs-test-scripts\Headless Mode &amp; Sideloading\WalkAndUnGZ.bat" "%USERPROFILE%\AppData\Local\Temp\OnboardLogs"\RTDC4016\2017-05-30 &amp; aws s3 cp s3://rtdc.mdm.uploadarchive.raw/RTDC4016/ "%USERPROFILE%\AppData\Local\Temp\OnboardLogs"\RTDC4016\2017-05-31 --exclude "*" --recursive --include "*20170531*" &amp; "%USERPROFILE%\Documents\GitHub\mrs-test-scripts\Headless Mode &amp; Sideloading\WalkAndUnGZ.bat" "%USERPROFILE%\AppData\Local\Temp\OnboardLogs"\RTDC4016\2017-05-31</v>
      </c>
      <c r="AF100" s="77" t="str">
        <f t="shared" si="39"/>
        <v>"C:\Program Files (x86)\AstroGrep\AstroGrep.exe" /e /r /s /spath="%USERPROFILE%\AppData\Local\Temp\OnboardLogs" /stypes="app*4016*20170530*" /stext=" 21:.+((SYSTEM_STATE.+slice.+state.+changed )|(ment ac)|(multiple cpu faults)|(system.+state.+changed )|(\[timeout)|(PRM\|1\|D)|(kpr)|(kdp)|(train st.+moving)|(\|lc)|(penalty))"</v>
      </c>
      <c r="AG100" s="1" t="str">
        <f t="shared" si="40"/>
        <v>EC</v>
      </c>
      <c r="AH100" s="81" t="str">
        <f t="shared" si="41"/>
        <v>"%USERPROFILE%\Documents\GitHub\eaglep3\Utilities\RefineRTDCRunTimes.py" --tripid 187-30 --locoid 4016 --swversion DE.1.0.9.0 --startMP 204:457 --initTime 2017-05-30T14:22:48 --startdatetime 2017-05-30T14:30:16 --delay 1 --endMP 204:233372 --enddatetime 2017-05-30T15:06:29 --enforcementcount 0 &gt;&gt;C:\Users\stu\Documents\GitHub\eaglep3-reporting\EC\2017-05-30-refined-times.txt</v>
      </c>
      <c r="AI100" s="99" t="str">
        <f t="shared" si="42"/>
        <v>echo {"issue":{"subject":"","project_id":79,"tracker_id":40,"status_id":1,"priority_id":2,"assigned_to_id":23,"start_date":"2017-05-30","description":"","custom_fields":[{"id":1,"name":"Subdivision","value":"EC"},{"id":4,"name":"Milepost","value":"23.3372"},{"id":17,"name":"Train ID","value":"187-30"},{"id":16,"name":"Locomotive ID","value":"4016"},{"id":130,"name":"Impact","value":""},{"id":150,"name":"Time of Event (Mountain Time)","value":"15:06:29"},{"id":151,"name":"Denver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5" t="str">
        <f t="shared" si="43"/>
        <v>start /low /b %USERPROFILE%\Documents\GitHub\eaglep3\Utilities\DownloadLogsFromS3.py --loco 4016 --day 2017-05-30</v>
      </c>
      <c r="AN100" s="154" t="str">
        <f t="shared" si="44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21:06:29"},{"id":29,"name":"Sharepoint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788</v>
      </c>
      <c r="B101" s="7">
        <v>4015</v>
      </c>
      <c r="C101" s="21" t="s">
        <v>204</v>
      </c>
      <c r="D101" s="21" t="s">
        <v>601</v>
      </c>
      <c r="E101" s="13">
        <v>42885.63071759259</v>
      </c>
      <c r="F101" s="13">
        <v>42885.643935185188</v>
      </c>
      <c r="G101" s="7">
        <v>1</v>
      </c>
      <c r="H101" s="21" t="s">
        <v>405</v>
      </c>
      <c r="I101" s="13">
        <v>42885.669895833336</v>
      </c>
      <c r="J101" s="7">
        <v>0</v>
      </c>
      <c r="K101" s="92" t="str">
        <f t="shared" si="28"/>
        <v>4015/4016</v>
      </c>
      <c r="L101" s="21" t="str">
        <f>VLOOKUP(A101,'Trips&amp;Operators'!$C$1:$G$99999,5,FALSE)</f>
        <v>MCREYNOLDS KYLE</v>
      </c>
      <c r="M101" s="6">
        <f t="shared" si="29"/>
        <v>2.5960648148611654E-2</v>
      </c>
      <c r="N101" s="7">
        <f t="shared" si="45"/>
        <v>37.383333334000781</v>
      </c>
      <c r="O101" s="7"/>
      <c r="P101" s="7"/>
      <c r="Q101" s="22"/>
      <c r="R101" s="173"/>
      <c r="S101" s="176">
        <f t="shared" si="46"/>
        <v>1</v>
      </c>
      <c r="T101" s="202" t="str">
        <f t="shared" si="30"/>
        <v>Southbound</v>
      </c>
      <c r="U101" s="202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03" t="str">
        <f t="shared" si="31"/>
        <v>https://d0f6bd738d7f1b3e5a7ca70fe4ff75f0.us-east-1.aws.found.io/app/kibana#/discover/Steve-Slow-Train-Analysis-(2080s-and-2083s)?_g=(refreshInterval:(display:Off,pause:!f,section:0,value:0),time:(from:'2017-05-30T14:08:14-0600',mode:absolute,to:'2017-05-30T17:04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01" s="204" t="str">
        <f t="shared" si="32"/>
        <v>N</v>
      </c>
      <c r="X101" s="204">
        <f t="shared" si="33"/>
        <v>1</v>
      </c>
      <c r="Y101" s="204">
        <f t="shared" si="34"/>
        <v>23.300899999999999</v>
      </c>
      <c r="Z101" s="204">
        <f t="shared" si="35"/>
        <v>1.54E-2</v>
      </c>
      <c r="AA101" s="204">
        <f t="shared" si="36"/>
        <v>23.285499999999999</v>
      </c>
      <c r="AB101" s="57" t="e">
        <f>VLOOKUP(A101,Enforcements!$C$7:$K$13,8,0)</f>
        <v>#N/A</v>
      </c>
      <c r="AC101" s="53" t="e">
        <f>VLOOKUP(A101,Enforcements!$C$7:$E$13,3,0)</f>
        <v>#N/A</v>
      </c>
      <c r="AD101" s="54" t="str">
        <f t="shared" si="37"/>
        <v>0188-30</v>
      </c>
      <c r="AE101" s="80" t="str">
        <f t="shared" si="38"/>
        <v>aws s3 cp s3://rtdc.mdm.uploadarchive.raw/RTDC4015/ "%USERPROFILE%\AppData\Local\Temp\OnboardLogs"\RTDC4015\2017-05-30 --exclude "*" --recursive --include "*20170530*" &amp; "%USERPROFILE%\Documents\GitHub\mrs-test-scripts\Headless Mode &amp; Sideloading\WalkAndUnGZ.bat" "%USERPROFILE%\AppData\Local\Temp\OnboardLogs"\RTDC4015\2017-05-30 &amp; aws s3 cp s3://rtdc.mdm.uploadarchive.raw/RTDC4015/ "%USERPROFILE%\AppData\Local\Temp\OnboardLogs"\RTDC4015\2017-05-31 --exclude "*" --recursive --include "*20170531*" &amp; "%USERPROFILE%\Documents\GitHub\mrs-test-scripts\Headless Mode &amp; Sideloading\WalkAndUnGZ.bat" "%USERPROFILE%\AppData\Local\Temp\OnboardLogs"\RTDC4015\2017-05-31</v>
      </c>
      <c r="AF101" s="77" t="str">
        <f t="shared" si="39"/>
        <v>"C:\Program Files (x86)\AstroGrep\AstroGrep.exe" /e /r /s /spath="%USERPROFILE%\AppData\Local\Temp\OnboardLogs" /stypes="app*4015*20170530*" /stext=" 22:.+((SYSTEM_STATE.+slice.+state.+changed )|(ment ac)|(multiple cpu faults)|(system.+state.+changed )|(\[timeout)|(PRM\|1\|D)|(kpr)|(kdp)|(train st.+moving)|(\|lc)|(penalty))"</v>
      </c>
      <c r="AG101" s="1" t="str">
        <f t="shared" si="40"/>
        <v>EC</v>
      </c>
      <c r="AH101" s="81" t="str">
        <f t="shared" si="41"/>
        <v>"%USERPROFILE%\Documents\GitHub\eaglep3\Utilities\RefineRTDCRunTimes.py" --tripid 188-30 --locoid 4015 --swversion DE.1.0.9.0 --startMP 204:233009 --initTime 2017-05-30T15:08:14 --startdatetime 2017-05-30T15:27:16 --delay 1 --endMP 204:154 --enddatetime 2017-05-30T16:04:39 --enforcementcount 0 &gt;&gt;C:\Users\stu\Documents\GitHub\eaglep3-reporting\EC\2017-05-30-refined-times.txt</v>
      </c>
      <c r="AI101" s="99" t="str">
        <f t="shared" si="42"/>
        <v>echo {"issue":{"subject":"","project_id":79,"tracker_id":40,"status_id":1,"priority_id":2,"assigned_to_id":23,"start_date":"2017-05-30","description":"","custom_fields":[{"id":1,"name":"Subdivision","value":"EC"},{"id":4,"name":"Milepost","value":"0.0154"},{"id":17,"name":"Train ID","value":"188-30"},{"id":16,"name":"Locomotive ID","value":"4015"},{"id":130,"name":"Impact","value":""},{"id":150,"name":"Time of Event (Mountain Time)","value":"16:04:39"},{"id":151,"name":"Denver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5" t="str">
        <f t="shared" si="43"/>
        <v>start /low /b %USERPROFILE%\Documents\GitHub\eaglep3\Utilities\DownloadLogsFromS3.py --loco 4015 --day 2017-05-30</v>
      </c>
      <c r="AN101" s="154" t="str">
        <f t="shared" si="44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22:04:39"},{"id":29,"name":"Sharepoint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x14ac:dyDescent="0.25">
      <c r="A102" s="32" t="s">
        <v>784</v>
      </c>
      <c r="B102" s="7">
        <v>4018</v>
      </c>
      <c r="C102" s="21" t="s">
        <v>204</v>
      </c>
      <c r="D102" s="21" t="s">
        <v>360</v>
      </c>
      <c r="E102" s="13">
        <v>42885.609594907408</v>
      </c>
      <c r="F102" s="13">
        <v>42885.614930555559</v>
      </c>
      <c r="G102" s="7">
        <v>1</v>
      </c>
      <c r="H102" s="21" t="s">
        <v>875</v>
      </c>
      <c r="I102" s="13">
        <v>42885.640393518515</v>
      </c>
      <c r="J102" s="7">
        <v>0</v>
      </c>
      <c r="K102" s="92" t="str">
        <f t="shared" si="28"/>
        <v>4017/4018</v>
      </c>
      <c r="L102" s="21" t="str">
        <f>VLOOKUP(A102,'Trips&amp;Operators'!$C$1:$G$99999,5,FALSE)</f>
        <v>SANTIZO D. EDY</v>
      </c>
      <c r="M102" s="6">
        <f t="shared" si="29"/>
        <v>2.5462962956225965E-2</v>
      </c>
      <c r="N102" s="7">
        <f t="shared" si="45"/>
        <v>36.66666665696539</v>
      </c>
      <c r="O102" s="7"/>
      <c r="P102" s="7"/>
      <c r="Q102" s="22"/>
      <c r="R102" s="173"/>
      <c r="S102" s="176">
        <f t="shared" si="46"/>
        <v>1</v>
      </c>
      <c r="T102" s="202" t="str">
        <f t="shared" si="30"/>
        <v>NorthBound</v>
      </c>
      <c r="U102" s="202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03" t="str">
        <f t="shared" si="31"/>
        <v>https://d0f6bd738d7f1b3e5a7ca70fe4ff75f0.us-east-1.aws.found.io/app/kibana#/discover/Steve-Slow-Train-Analysis-(2080s-and-2083s)?_g=(refreshInterval:(display:Off,pause:!f,section:0,value:0),time:(from:'2017-05-30T13:37:49-0600',mode:absolute,to:'2017-05-30T16:22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02" s="204" t="str">
        <f t="shared" si="32"/>
        <v>N</v>
      </c>
      <c r="X102" s="204">
        <f t="shared" si="33"/>
        <v>1</v>
      </c>
      <c r="Y102" s="204">
        <f t="shared" si="34"/>
        <v>4.4400000000000002E-2</v>
      </c>
      <c r="Z102" s="204">
        <f t="shared" si="35"/>
        <v>23.3306</v>
      </c>
      <c r="AA102" s="204">
        <f t="shared" si="36"/>
        <v>23.286200000000001</v>
      </c>
      <c r="AB102" s="57" t="e">
        <f>VLOOKUP(A102,Enforcements!$C$7:$K$13,8,0)</f>
        <v>#N/A</v>
      </c>
      <c r="AC102" s="53" t="e">
        <f>VLOOKUP(A102,Enforcements!$C$7:$E$13,3,0)</f>
        <v>#N/A</v>
      </c>
      <c r="AD102" s="54" t="str">
        <f t="shared" si="37"/>
        <v>0189-30</v>
      </c>
      <c r="AE102" s="80" t="str">
        <f t="shared" si="38"/>
        <v>aws s3 cp s3://rtdc.mdm.uploadarchive.raw/RTDC4018/ "%USERPROFILE%\AppData\Local\Temp\OnboardLogs"\RTDC4018\2017-05-30 --exclude "*" --recursive --include "*20170530*" &amp; "%USERPROFILE%\Documents\GitHub\mrs-test-scripts\Headless Mode &amp; Sideloading\WalkAndUnGZ.bat" "%USERPROFILE%\AppData\Local\Temp\OnboardLogs"\RTDC4018\2017-05-30 &amp; aws s3 cp s3://rtdc.mdm.uploadarchive.raw/RTDC4018/ "%USERPROFILE%\AppData\Local\Temp\OnboardLogs"\RTDC4018\2017-05-31 --exclude "*" --recursive --include "*20170531*" &amp; "%USERPROFILE%\Documents\GitHub\mrs-test-scripts\Headless Mode &amp; Sideloading\WalkAndUnGZ.bat" "%USERPROFILE%\AppData\Local\Temp\OnboardLogs"\RTDC4018\2017-05-31</v>
      </c>
      <c r="AF102" s="77" t="str">
        <f t="shared" si="39"/>
        <v>"C:\Program Files (x86)\AstroGrep\AstroGrep.exe" /e /r /s /spath="%USERPROFILE%\AppData\Local\Temp\OnboardLogs" /stypes="app*4018*20170530*" /stext=" 21:.+((SYSTEM_STATE.+slice.+state.+changed )|(ment ac)|(multiple cpu faults)|(system.+state.+changed )|(\[timeout)|(PRM\|1\|D)|(kpr)|(kdp)|(train st.+moving)|(\|lc)|(penalty))"</v>
      </c>
      <c r="AG102" s="1" t="str">
        <f t="shared" si="40"/>
        <v>EC</v>
      </c>
      <c r="AH102" s="81" t="str">
        <f t="shared" si="41"/>
        <v>"%USERPROFILE%\Documents\GitHub\eaglep3\Utilities\RefineRTDCRunTimes.py" --tripid 189-30 --locoid 4018 --swversion DE.1.0.9.0 --startMP 204:444 --initTime 2017-05-30T14:37:49 --startdatetime 2017-05-30T14:45:30 --delay 1 --endMP 204:233306 --enddatetime 2017-05-30T15:22:10 --enforcementcount 0 &gt;&gt;C:\Users\stu\Documents\GitHub\eaglep3-reporting\EC\2017-05-30-refined-times.txt</v>
      </c>
      <c r="AI102" s="99" t="str">
        <f t="shared" si="42"/>
        <v>echo {"issue":{"subject":"","project_id":79,"tracker_id":40,"status_id":1,"priority_id":2,"assigned_to_id":23,"start_date":"2017-05-30","description":"","custom_fields":[{"id":1,"name":"Subdivision","value":"EC"},{"id":4,"name":"Milepost","value":"23.3306"},{"id":17,"name":"Train ID","value":"189-30"},{"id":16,"name":"Locomotive ID","value":"4018"},{"id":130,"name":"Impact","value":""},{"id":150,"name":"Time of Event (Mountain Time)","value":"15:22:10"},{"id":151,"name":"Denver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20"/>
      <c r="AK102" s="47"/>
      <c r="AL102" s="47"/>
      <c r="AM102" s="145" t="str">
        <f t="shared" si="43"/>
        <v>start /low /b %USERPROFILE%\Documents\GitHub\eaglep3\Utilities\DownloadLogsFromS3.py --loco 4018 --day 2017-05-30</v>
      </c>
      <c r="AN102" s="154" t="str">
        <f t="shared" si="44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21:22:10"},{"id":29,"name":"Sharepoint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03" spans="1:91" s="20" customFormat="1" x14ac:dyDescent="0.25">
      <c r="A103" s="32" t="s">
        <v>792</v>
      </c>
      <c r="B103" s="7">
        <v>4017</v>
      </c>
      <c r="C103" s="21" t="s">
        <v>204</v>
      </c>
      <c r="D103" s="21" t="s">
        <v>534</v>
      </c>
      <c r="E103" s="13">
        <v>42885.64199074074</v>
      </c>
      <c r="F103" s="13">
        <v>42885.654317129629</v>
      </c>
      <c r="G103" s="7">
        <v>1</v>
      </c>
      <c r="H103" s="21" t="s">
        <v>352</v>
      </c>
      <c r="I103" s="13">
        <v>42885.681076388886</v>
      </c>
      <c r="J103" s="7">
        <v>0</v>
      </c>
      <c r="K103" s="92" t="str">
        <f t="shared" si="28"/>
        <v>4017/4018</v>
      </c>
      <c r="L103" s="21" t="str">
        <f>VLOOKUP(A103,'Trips&amp;Operators'!$C$1:$G$99999,5,FALSE)</f>
        <v>SANTIZO D. EDY</v>
      </c>
      <c r="M103" s="6">
        <f t="shared" si="29"/>
        <v>2.675925925723277E-2</v>
      </c>
      <c r="N103" s="7">
        <f t="shared" si="45"/>
        <v>38.533333330415189</v>
      </c>
      <c r="O103" s="7"/>
      <c r="P103" s="7"/>
      <c r="Q103" s="22"/>
      <c r="R103" s="173"/>
      <c r="S103" s="176">
        <f t="shared" si="46"/>
        <v>1</v>
      </c>
      <c r="T103" s="202" t="str">
        <f t="shared" si="30"/>
        <v>Southbound</v>
      </c>
      <c r="U103" s="202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03" t="str">
        <f t="shared" si="31"/>
        <v>https://d0f6bd738d7f1b3e5a7ca70fe4ff75f0.us-east-1.aws.found.io/app/kibana#/discover/Steve-Slow-Train-Analysis-(2080s-and-2083s)?_g=(refreshInterval:(display:Off,pause:!f,section:0,value:0),time:(from:'2017-05-30T14:24:28-0600',mode:absolute,to:'2017-05-30T17:20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03" s="204" t="str">
        <f t="shared" si="32"/>
        <v>N</v>
      </c>
      <c r="X103" s="204">
        <f t="shared" si="33"/>
        <v>1</v>
      </c>
      <c r="Y103" s="204">
        <f t="shared" si="34"/>
        <v>23.299299999999999</v>
      </c>
      <c r="Z103" s="204">
        <f t="shared" si="35"/>
        <v>1.4999999999999999E-2</v>
      </c>
      <c r="AA103" s="204">
        <f t="shared" si="36"/>
        <v>23.284299999999998</v>
      </c>
      <c r="AB103" s="57" t="e">
        <f>VLOOKUP(A103,Enforcements!$C$7:$K$13,8,0)</f>
        <v>#N/A</v>
      </c>
      <c r="AC103" s="53" t="e">
        <f>VLOOKUP(A103,Enforcements!$C$7:$E$13,3,0)</f>
        <v>#N/A</v>
      </c>
      <c r="AD103" s="54" t="str">
        <f t="shared" si="37"/>
        <v>0190-30</v>
      </c>
      <c r="AE103" s="80" t="str">
        <f t="shared" si="38"/>
        <v>aws s3 cp s3://rtdc.mdm.uploadarchive.raw/RTDC4017/ "%USERPROFILE%\AppData\Local\Temp\OnboardLogs"\RTDC4017\2017-05-30 --exclude "*" --recursive --include "*20170530*" &amp; "%USERPROFILE%\Documents\GitHub\mrs-test-scripts\Headless Mode &amp; Sideloading\WalkAndUnGZ.bat" "%USERPROFILE%\AppData\Local\Temp\OnboardLogs"\RTDC4017\2017-05-30 &amp; aws s3 cp s3://rtdc.mdm.uploadarchive.raw/RTDC4017/ "%USERPROFILE%\AppData\Local\Temp\OnboardLogs"\RTDC4017\2017-05-31 --exclude "*" --recursive --include "*20170531*" &amp; "%USERPROFILE%\Documents\GitHub\mrs-test-scripts\Headless Mode &amp; Sideloading\WalkAndUnGZ.bat" "%USERPROFILE%\AppData\Local\Temp\OnboardLogs"\RTDC4017\2017-05-31</v>
      </c>
      <c r="AF103" s="77" t="str">
        <f t="shared" si="39"/>
        <v>"C:\Program Files (x86)\AstroGrep\AstroGrep.exe" /e /r /s /spath="%USERPROFILE%\AppData\Local\Temp\OnboardLogs" /stypes="app*4017*20170530*" /stext=" 22:.+((SYSTEM_STATE.+slice.+state.+changed )|(ment ac)|(multiple cpu faults)|(system.+state.+changed )|(\[timeout)|(PRM\|1\|D)|(kpr)|(kdp)|(train st.+moving)|(\|lc)|(penalty))"</v>
      </c>
      <c r="AG103" s="1" t="str">
        <f t="shared" si="40"/>
        <v>EC</v>
      </c>
      <c r="AH103" s="81" t="str">
        <f t="shared" si="41"/>
        <v>"%USERPROFILE%\Documents\GitHub\eaglep3\Utilities\RefineRTDCRunTimes.py" --tripid 190-30 --locoid 4017 --swversion DE.1.0.9.0 --startMP 204:232993 --initTime 2017-05-30T15:24:28 --startdatetime 2017-05-30T15:42:13 --delay 1 --endMP 204:150 --enddatetime 2017-05-30T16:20:45 --enforcementcount 0 &gt;&gt;C:\Users\stu\Documents\GitHub\eaglep3-reporting\EC\2017-05-30-refined-times.txt</v>
      </c>
      <c r="AI103" s="99" t="str">
        <f t="shared" si="42"/>
        <v>echo {"issue":{"subject":"","project_id":79,"tracker_id":40,"status_id":1,"priority_id":2,"assigned_to_id":23,"start_date":"2017-05-30","description":"","custom_fields":[{"id":1,"name":"Subdivision","value":"EC"},{"id":4,"name":"Milepost","value":"0.015"},{"id":17,"name":"Train ID","value":"190-30"},{"id":16,"name":"Locomotive ID","value":"4017"},{"id":130,"name":"Impact","value":""},{"id":150,"name":"Time of Event (Mountain Time)","value":"16:20:45"},{"id":151,"name":"Denver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5" t="str">
        <f t="shared" si="43"/>
        <v>start /low /b %USERPROFILE%\Documents\GitHub\eaglep3\Utilities\DownloadLogsFromS3.py --loco 4017 --day 2017-05-30</v>
      </c>
      <c r="AN103" s="154" t="str">
        <f t="shared" si="44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22:20:45"},{"id":29,"name":"Sharepoint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786</v>
      </c>
      <c r="B104" s="7">
        <v>4026</v>
      </c>
      <c r="C104" s="21" t="s">
        <v>204</v>
      </c>
      <c r="D104" s="21" t="s">
        <v>519</v>
      </c>
      <c r="E104" s="13">
        <v>42885.621620370373</v>
      </c>
      <c r="F104" s="13">
        <v>42885.625254629631</v>
      </c>
      <c r="G104" s="7">
        <v>2</v>
      </c>
      <c r="H104" s="21" t="s">
        <v>604</v>
      </c>
      <c r="I104" s="13">
        <v>42885.650219907409</v>
      </c>
      <c r="J104" s="7">
        <v>0</v>
      </c>
      <c r="K104" s="92" t="str">
        <f t="shared" si="28"/>
        <v>4025/4026</v>
      </c>
      <c r="L104" s="21" t="str">
        <f>VLOOKUP(A104,'Trips&amp;Operators'!$C$1:$G$99999,5,FALSE)</f>
        <v>STORY SAMANTHA</v>
      </c>
      <c r="M104" s="6">
        <f t="shared" si="29"/>
        <v>2.4965277778392192E-2</v>
      </c>
      <c r="N104" s="7">
        <f t="shared" si="45"/>
        <v>35.950000000884756</v>
      </c>
      <c r="O104" s="7"/>
      <c r="P104" s="7"/>
      <c r="Q104" s="22"/>
      <c r="R104" s="173"/>
      <c r="S104" s="176">
        <f t="shared" si="46"/>
        <v>1</v>
      </c>
      <c r="T104" s="202" t="str">
        <f t="shared" si="30"/>
        <v>NorthBound</v>
      </c>
      <c r="U104" s="202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03" t="str">
        <f t="shared" si="31"/>
        <v>https://d0f6bd738d7f1b3e5a7ca70fe4ff75f0.us-east-1.aws.found.io/app/kibana#/discover/Steve-Slow-Train-Analysis-(2080s-and-2083s)?_g=(refreshInterval:(display:Off,pause:!f,section:0,value:0),time:(from:'2017-05-30T13:55:08-0600',mode:absolute,to:'2017-05-30T16:36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04" s="204" t="str">
        <f t="shared" si="32"/>
        <v>N</v>
      </c>
      <c r="X104" s="204">
        <f t="shared" si="33"/>
        <v>1</v>
      </c>
      <c r="Y104" s="204">
        <f t="shared" si="34"/>
        <v>4.6699999999999998E-2</v>
      </c>
      <c r="Z104" s="204">
        <f t="shared" si="35"/>
        <v>23.331199999999999</v>
      </c>
      <c r="AA104" s="204">
        <f t="shared" si="36"/>
        <v>23.284499999999998</v>
      </c>
      <c r="AB104" s="57" t="e">
        <f>VLOOKUP(A104,Enforcements!$C$7:$K$13,8,0)</f>
        <v>#N/A</v>
      </c>
      <c r="AC104" s="53" t="e">
        <f>VLOOKUP(A104,Enforcements!$C$7:$E$13,3,0)</f>
        <v>#N/A</v>
      </c>
      <c r="AD104" s="54" t="str">
        <f t="shared" si="37"/>
        <v>0191-30</v>
      </c>
      <c r="AE104" s="80" t="str">
        <f t="shared" si="38"/>
        <v>aws s3 cp s3://rtdc.mdm.uploadarchive.raw/RTDC4026/ "%USERPROFILE%\AppData\Local\Temp\OnboardLogs"\RTDC4026\2017-05-30 --exclude "*" --recursive --include "*20170530*" &amp; "%USERPROFILE%\Documents\GitHub\mrs-test-scripts\Headless Mode &amp; Sideloading\WalkAndUnGZ.bat" "%USERPROFILE%\AppData\Local\Temp\OnboardLogs"\RTDC4026\2017-05-30 &amp; aws s3 cp s3://rtdc.mdm.uploadarchive.raw/RTDC4026/ "%USERPROFILE%\AppData\Local\Temp\OnboardLogs"\RTDC4026\2017-05-31 --exclude "*" --recursive --include "*20170531*" &amp; "%USERPROFILE%\Documents\GitHub\mrs-test-scripts\Headless Mode &amp; Sideloading\WalkAndUnGZ.bat" "%USERPROFILE%\AppData\Local\Temp\OnboardLogs"\RTDC4026\2017-05-31</v>
      </c>
      <c r="AF104" s="77" t="str">
        <f t="shared" si="39"/>
        <v>"C:\Program Files (x86)\AstroGrep\AstroGrep.exe" /e /r /s /spath="%USERPROFILE%\AppData\Local\Temp\OnboardLogs" /stypes="app*4026*20170530*" /stext=" 21:.+((SYSTEM_STATE.+slice.+state.+changed )|(ment ac)|(multiple cpu faults)|(system.+state.+changed )|(\[timeout)|(PRM\|1\|D)|(kpr)|(kdp)|(train st.+moving)|(\|lc)|(penalty))"</v>
      </c>
      <c r="AG104" s="1" t="str">
        <f t="shared" si="40"/>
        <v>EC</v>
      </c>
      <c r="AH104" s="81" t="str">
        <f t="shared" si="41"/>
        <v>"%USERPROFILE%\Documents\GitHub\eaglep3\Utilities\RefineRTDCRunTimes.py" --tripid 191-30 --locoid 4026 --swversion DE.1.0.9.0 --startMP 204:467 --initTime 2017-05-30T14:55:08 --startdatetime 2017-05-30T15:00:22 --delay 2 --endMP 204:233312 --enddatetime 2017-05-30T15:36:19 --enforcementcount 0 &gt;&gt;C:\Users\stu\Documents\GitHub\eaglep3-reporting\EC\2017-05-30-refined-times.txt</v>
      </c>
      <c r="AI104" s="99" t="str">
        <f t="shared" si="42"/>
        <v>echo {"issue":{"subject":"","project_id":79,"tracker_id":40,"status_id":1,"priority_id":2,"assigned_to_id":23,"start_date":"2017-05-30","description":"","custom_fields":[{"id":1,"name":"Subdivision","value":"EC"},{"id":4,"name":"Milepost","value":"23.3312"},{"id":17,"name":"Train ID","value":"191-30"},{"id":16,"name":"Locomotive ID","value":"4026"},{"id":130,"name":"Impact","value":""},{"id":150,"name":"Time of Event (Mountain Time)","value":"15:36:19"},{"id":151,"name":"Denver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5" t="str">
        <f t="shared" si="43"/>
        <v>start /low /b %USERPROFILE%\Documents\GitHub\eaglep3\Utilities\DownloadLogsFromS3.py --loco 4026 --day 2017-05-30</v>
      </c>
      <c r="AN104" s="154" t="str">
        <f t="shared" si="44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21:36:19"},{"id":29,"name":"Sharepoint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796</v>
      </c>
      <c r="B105" s="7">
        <v>4025</v>
      </c>
      <c r="C105" s="21" t="s">
        <v>204</v>
      </c>
      <c r="D105" s="21" t="s">
        <v>407</v>
      </c>
      <c r="E105" s="13">
        <v>42885.657881944448</v>
      </c>
      <c r="F105" s="13">
        <v>42885.664756944447</v>
      </c>
      <c r="G105" s="7">
        <v>1</v>
      </c>
      <c r="H105" s="21" t="s">
        <v>596</v>
      </c>
      <c r="I105" s="13">
        <v>42885.693449074075</v>
      </c>
      <c r="J105" s="7">
        <v>0</v>
      </c>
      <c r="K105" s="92" t="str">
        <f t="shared" si="28"/>
        <v>4025/4026</v>
      </c>
      <c r="L105" s="21" t="str">
        <f>VLOOKUP(A105,'Trips&amp;Operators'!$C$1:$G$99999,5,FALSE)</f>
        <v>STORY SAMANTHA</v>
      </c>
      <c r="M105" s="6">
        <f t="shared" si="29"/>
        <v>2.8692129628325347E-2</v>
      </c>
      <c r="N105" s="7">
        <f t="shared" si="45"/>
        <v>41.316666664788499</v>
      </c>
      <c r="O105" s="7"/>
      <c r="P105" s="7"/>
      <c r="Q105" s="22"/>
      <c r="R105" s="173"/>
      <c r="S105" s="176">
        <f t="shared" si="46"/>
        <v>1</v>
      </c>
      <c r="T105" s="202" t="str">
        <f t="shared" si="30"/>
        <v>Southbound</v>
      </c>
      <c r="U105" s="202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03" t="str">
        <f t="shared" si="31"/>
        <v>https://d0f6bd738d7f1b3e5a7ca70fe4ff75f0.us-east-1.aws.found.io/app/kibana#/discover/Steve-Slow-Train-Analysis-(2080s-and-2083s)?_g=(refreshInterval:(display:Off,pause:!f,section:0,value:0),time:(from:'2017-05-30T14:47:21-0600',mode:absolute,to:'2017-05-30T17:38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05" s="204" t="str">
        <f t="shared" si="32"/>
        <v>N</v>
      </c>
      <c r="X105" s="204">
        <f t="shared" si="33"/>
        <v>1</v>
      </c>
      <c r="Y105" s="204">
        <f t="shared" si="34"/>
        <v>23.298200000000001</v>
      </c>
      <c r="Z105" s="204">
        <f t="shared" si="35"/>
        <v>1.38E-2</v>
      </c>
      <c r="AA105" s="204">
        <f t="shared" si="36"/>
        <v>23.284400000000002</v>
      </c>
      <c r="AB105" s="57" t="e">
        <f>VLOOKUP(A105,Enforcements!$C$7:$K$13,8,0)</f>
        <v>#N/A</v>
      </c>
      <c r="AC105" s="53" t="e">
        <f>VLOOKUP(A105,Enforcements!$C$7:$E$13,3,0)</f>
        <v>#N/A</v>
      </c>
      <c r="AD105" s="54" t="str">
        <f t="shared" si="37"/>
        <v>0192-30</v>
      </c>
      <c r="AE105" s="80" t="str">
        <f t="shared" si="38"/>
        <v>aws s3 cp s3://rtdc.mdm.uploadarchive.raw/RTDC4025/ "%USERPROFILE%\AppData\Local\Temp\OnboardLogs"\RTDC4025\2017-05-30 --exclude "*" --recursive --include "*20170530*" &amp; "%USERPROFILE%\Documents\GitHub\mrs-test-scripts\Headless Mode &amp; Sideloading\WalkAndUnGZ.bat" "%USERPROFILE%\AppData\Local\Temp\OnboardLogs"\RTDC4025\2017-05-30 &amp; aws s3 cp s3://rtdc.mdm.uploadarchive.raw/RTDC4025/ "%USERPROFILE%\AppData\Local\Temp\OnboardLogs"\RTDC4025\2017-05-31 --exclude "*" --recursive --include "*20170531*" &amp; "%USERPROFILE%\Documents\GitHub\mrs-test-scripts\Headless Mode &amp; Sideloading\WalkAndUnGZ.bat" "%USERPROFILE%\AppData\Local\Temp\OnboardLogs"\RTDC4025\2017-05-31</v>
      </c>
      <c r="AF105" s="77" t="str">
        <f t="shared" si="39"/>
        <v>"C:\Program Files (x86)\AstroGrep\AstroGrep.exe" /e /r /s /spath="%USERPROFILE%\AppData\Local\Temp\OnboardLogs" /stypes="app*4025*20170530*" /stext=" 22:.+((SYSTEM_STATE.+slice.+state.+changed )|(ment ac)|(multiple cpu faults)|(system.+state.+changed )|(\[timeout)|(PRM\|1\|D)|(kpr)|(kdp)|(train st.+moving)|(\|lc)|(penalty))"</v>
      </c>
      <c r="AG105" s="1" t="str">
        <f t="shared" si="40"/>
        <v>EC</v>
      </c>
      <c r="AH105" s="81" t="str">
        <f t="shared" si="41"/>
        <v>"%USERPROFILE%\Documents\GitHub\eaglep3\Utilities\RefineRTDCRunTimes.py" --tripid 192-30 --locoid 4025 --swversion DE.1.0.9.0 --startMP 204:232982 --initTime 2017-05-30T15:47:21 --startdatetime 2017-05-30T15:57:15 --delay 1 --endMP 204:138 --enddatetime 2017-05-30T16:38:34 --enforcementcount 0 &gt;&gt;C:\Users\stu\Documents\GitHub\eaglep3-reporting\EC\2017-05-30-refined-times.txt</v>
      </c>
      <c r="AI105" s="99" t="str">
        <f t="shared" si="42"/>
        <v>echo {"issue":{"subject":"","project_id":79,"tracker_id":40,"status_id":1,"priority_id":2,"assigned_to_id":23,"start_date":"2017-05-30","description":"","custom_fields":[{"id":1,"name":"Subdivision","value":"EC"},{"id":4,"name":"Milepost","value":"0.0138"},{"id":17,"name":"Train ID","value":"192-30"},{"id":16,"name":"Locomotive ID","value":"4025"},{"id":130,"name":"Impact","value":""},{"id":150,"name":"Time of Event (Mountain Time)","value":"16:38:34"},{"id":151,"name":"Denver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5" t="str">
        <f t="shared" si="43"/>
        <v>start /low /b %USERPROFILE%\Documents\GitHub\eaglep3\Utilities\DownloadLogsFromS3.py --loco 4025 --day 2017-05-30</v>
      </c>
      <c r="AN105" s="154" t="str">
        <f t="shared" si="44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22:38:34"},{"id":29,"name":"Sharepoint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789</v>
      </c>
      <c r="B106" s="7">
        <v>4008</v>
      </c>
      <c r="C106" s="21" t="s">
        <v>204</v>
      </c>
      <c r="D106" s="21" t="s">
        <v>903</v>
      </c>
      <c r="E106" s="13">
        <v>42885.631956018522</v>
      </c>
      <c r="F106" s="13">
        <v>42885.635601851849</v>
      </c>
      <c r="G106" s="7">
        <v>1</v>
      </c>
      <c r="H106" s="21" t="s">
        <v>904</v>
      </c>
      <c r="I106" s="13">
        <v>42885.660995370374</v>
      </c>
      <c r="J106" s="7">
        <v>0</v>
      </c>
      <c r="K106" s="92" t="str">
        <f t="shared" si="28"/>
        <v>4007/4008</v>
      </c>
      <c r="L106" s="21" t="str">
        <f>VLOOKUP(A106,'Trips&amp;Operators'!$C$1:$G$99999,5,FALSE)</f>
        <v>LEVIN SCOTT</v>
      </c>
      <c r="M106" s="6">
        <f t="shared" si="29"/>
        <v>2.5393518524651881E-2</v>
      </c>
      <c r="N106" s="7">
        <f t="shared" si="45"/>
        <v>36.566666675498709</v>
      </c>
      <c r="O106" s="7"/>
      <c r="P106" s="7"/>
      <c r="Q106" s="22"/>
      <c r="R106" s="173"/>
      <c r="S106" s="176">
        <f t="shared" si="46"/>
        <v>1</v>
      </c>
      <c r="T106" s="202" t="str">
        <f t="shared" si="30"/>
        <v>NorthBound</v>
      </c>
      <c r="U106" s="202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03" t="str">
        <f t="shared" si="31"/>
        <v>https://d0f6bd738d7f1b3e5a7ca70fe4ff75f0.us-east-1.aws.found.io/app/kibana#/discover/Steve-Slow-Train-Analysis-(2080s-and-2083s)?_g=(refreshInterval:(display:Off,pause:!f,section:0,value:0),time:(from:'2017-05-30T14:10:01-0600',mode:absolute,to:'2017-05-30T16:51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06" s="204" t="str">
        <f t="shared" si="32"/>
        <v>N</v>
      </c>
      <c r="X106" s="204">
        <f t="shared" si="33"/>
        <v>1</v>
      </c>
      <c r="Y106" s="204">
        <f t="shared" si="34"/>
        <v>4.1599999999999998E-2</v>
      </c>
      <c r="Z106" s="204">
        <f t="shared" si="35"/>
        <v>23.337599999999998</v>
      </c>
      <c r="AA106" s="204">
        <f t="shared" si="36"/>
        <v>23.295999999999999</v>
      </c>
      <c r="AB106" s="57" t="e">
        <f>VLOOKUP(A106,Enforcements!$C$7:$K$13,8,0)</f>
        <v>#N/A</v>
      </c>
      <c r="AC106" s="53" t="e">
        <f>VLOOKUP(A106,Enforcements!$C$7:$E$13,3,0)</f>
        <v>#N/A</v>
      </c>
      <c r="AD106" s="54" t="str">
        <f t="shared" si="37"/>
        <v>0193-30</v>
      </c>
      <c r="AE106" s="80" t="str">
        <f t="shared" si="38"/>
        <v>aws s3 cp s3://rtdc.mdm.uploadarchive.raw/RTDC4008/ "%USERPROFILE%\AppData\Local\Temp\OnboardLogs"\RTDC4008\2017-05-30 --exclude "*" --recursive --include "*20170530*" &amp; "%USERPROFILE%\Documents\GitHub\mrs-test-scripts\Headless Mode &amp; Sideloading\WalkAndUnGZ.bat" "%USERPROFILE%\AppData\Local\Temp\OnboardLogs"\RTDC4008\2017-05-30 &amp; aws s3 cp s3://rtdc.mdm.uploadarchive.raw/RTDC4008/ "%USERPROFILE%\AppData\Local\Temp\OnboardLogs"\RTDC4008\2017-05-31 --exclude "*" --recursive --include "*20170531*" &amp; "%USERPROFILE%\Documents\GitHub\mrs-test-scripts\Headless Mode &amp; Sideloading\WalkAndUnGZ.bat" "%USERPROFILE%\AppData\Local\Temp\OnboardLogs"\RTDC4008\2017-05-31</v>
      </c>
      <c r="AF106" s="77" t="str">
        <f t="shared" si="39"/>
        <v>"C:\Program Files (x86)\AstroGrep\AstroGrep.exe" /e /r /s /spath="%USERPROFILE%\AppData\Local\Temp\OnboardLogs" /stypes="app*4008*20170530*" /stext=" 21:.+((SYSTEM_STATE.+slice.+state.+changed )|(ment ac)|(multiple cpu faults)|(system.+state.+changed )|(\[timeout)|(PRM\|1\|D)|(kpr)|(kdp)|(train st.+moving)|(\|lc)|(penalty))"</v>
      </c>
      <c r="AG106" s="1" t="str">
        <f t="shared" si="40"/>
        <v>EC</v>
      </c>
      <c r="AH106" s="81" t="str">
        <f t="shared" si="41"/>
        <v>"%USERPROFILE%\Documents\GitHub\eaglep3\Utilities\RefineRTDCRunTimes.py" --tripid 193-30 --locoid 4008 --swversion DE.1.0.9.0 --startMP 204:416 --initTime 2017-05-30T15:10:01 --startdatetime 2017-05-30T15:15:16 --delay 1 --endMP 204:233376 --enddatetime 2017-05-30T15:51:50 --enforcementcount 0 &gt;&gt;C:\Users\stu\Documents\GitHub\eaglep3-reporting\EC\2017-05-30-refined-times.txt</v>
      </c>
      <c r="AI106" s="99" t="str">
        <f t="shared" si="42"/>
        <v>echo {"issue":{"subject":"","project_id":79,"tracker_id":40,"status_id":1,"priority_id":2,"assigned_to_id":23,"start_date":"2017-05-30","description":"","custom_fields":[{"id":1,"name":"Subdivision","value":"EC"},{"id":4,"name":"Milepost","value":"23.3376"},{"id":17,"name":"Train ID","value":"193-30"},{"id":16,"name":"Locomotive ID","value":"4008"},{"id":130,"name":"Impact","value":""},{"id":150,"name":"Time of Event (Mountain Time)","value":"15:51:50"},{"id":151,"name":"Denver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5" t="str">
        <f t="shared" si="43"/>
        <v>start /low /b %USERPROFILE%\Documents\GitHub\eaglep3\Utilities\DownloadLogsFromS3.py --loco 4008 --day 2017-05-30</v>
      </c>
      <c r="AN106" s="154" t="str">
        <f t="shared" si="44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21:51:50"},{"id":29,"name":"Sharepoint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x14ac:dyDescent="0.25">
      <c r="A107" s="32" t="s">
        <v>798</v>
      </c>
      <c r="B107" s="7">
        <v>4007</v>
      </c>
      <c r="C107" s="21" t="s">
        <v>204</v>
      </c>
      <c r="D107" s="21" t="s">
        <v>905</v>
      </c>
      <c r="E107" s="13">
        <v>42885.671643518515</v>
      </c>
      <c r="F107" s="13">
        <v>42885.675173611111</v>
      </c>
      <c r="G107" s="7">
        <v>1</v>
      </c>
      <c r="H107" s="21" t="s">
        <v>529</v>
      </c>
      <c r="I107" s="13">
        <v>42885.701562499999</v>
      </c>
      <c r="J107" s="7">
        <v>0</v>
      </c>
      <c r="K107" s="92" t="str">
        <f t="shared" si="28"/>
        <v>4007/4008</v>
      </c>
      <c r="L107" s="21" t="str">
        <f>VLOOKUP(A107,'Trips&amp;Operators'!$C$1:$G$99999,5,FALSE)</f>
        <v>LEVIN SCOTT</v>
      </c>
      <c r="M107" s="6">
        <f t="shared" si="29"/>
        <v>2.6388888887595385E-2</v>
      </c>
      <c r="N107" s="7">
        <f t="shared" si="45"/>
        <v>37.999999998137355</v>
      </c>
      <c r="O107" s="7"/>
      <c r="P107" s="7"/>
      <c r="Q107" s="22"/>
      <c r="R107" s="173"/>
      <c r="S107" s="176">
        <f t="shared" si="46"/>
        <v>1</v>
      </c>
      <c r="T107" s="202" t="str">
        <f t="shared" si="30"/>
        <v>Southbound</v>
      </c>
      <c r="U107" s="202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03" t="str">
        <f t="shared" si="31"/>
        <v>https://d0f6bd738d7f1b3e5a7ca70fe4ff75f0.us-east-1.aws.found.io/app/kibana#/discover/Steve-Slow-Train-Analysis-(2080s-and-2083s)?_g=(refreshInterval:(display:Off,pause:!f,section:0,value:0),time:(from:'2017-05-30T15:07:10-0600',mode:absolute,to:'2017-05-30T17:50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07" s="204" t="str">
        <f t="shared" si="32"/>
        <v>N</v>
      </c>
      <c r="X107" s="204">
        <f t="shared" si="33"/>
        <v>1</v>
      </c>
      <c r="Y107" s="204">
        <f t="shared" si="34"/>
        <v>23.308299999999999</v>
      </c>
      <c r="Z107" s="204">
        <f t="shared" si="35"/>
        <v>1.34E-2</v>
      </c>
      <c r="AA107" s="204">
        <f t="shared" si="36"/>
        <v>23.294899999999998</v>
      </c>
      <c r="AB107" s="57" t="e">
        <f>VLOOKUP(A107,Enforcements!$C$7:$K$13,8,0)</f>
        <v>#N/A</v>
      </c>
      <c r="AC107" s="53" t="e">
        <f>VLOOKUP(A107,Enforcements!$C$7:$E$13,3,0)</f>
        <v>#N/A</v>
      </c>
      <c r="AD107" s="54" t="str">
        <f t="shared" si="37"/>
        <v>0194-30</v>
      </c>
      <c r="AE107" s="80" t="str">
        <f t="shared" si="38"/>
        <v>aws s3 cp s3://rtdc.mdm.uploadarchive.raw/RTDC4007/ "%USERPROFILE%\AppData\Local\Temp\OnboardLogs"\RTDC4007\2017-05-30 --exclude "*" --recursive --include "*20170530*" &amp; "%USERPROFILE%\Documents\GitHub\mrs-test-scripts\Headless Mode &amp; Sideloading\WalkAndUnGZ.bat" "%USERPROFILE%\AppData\Local\Temp\OnboardLogs"\RTDC4007\2017-05-30 &amp; aws s3 cp s3://rtdc.mdm.uploadarchive.raw/RTDC4007/ "%USERPROFILE%\AppData\Local\Temp\OnboardLogs"\RTDC4007\2017-05-31 --exclude "*" --recursive --include "*20170531*" &amp; "%USERPROFILE%\Documents\GitHub\mrs-test-scripts\Headless Mode &amp; Sideloading\WalkAndUnGZ.bat" "%USERPROFILE%\AppData\Local\Temp\OnboardLogs"\RTDC4007\2017-05-31</v>
      </c>
      <c r="AF107" s="77" t="str">
        <f t="shared" si="39"/>
        <v>"C:\Program Files (x86)\AstroGrep\AstroGrep.exe" /e /r /s /spath="%USERPROFILE%\AppData\Local\Temp\OnboardLogs" /stypes="app*4007*20170530*" /stext=" 22:.+((SYSTEM_STATE.+slice.+state.+changed )|(ment ac)|(multiple cpu faults)|(system.+state.+changed )|(\[timeout)|(PRM\|1\|D)|(kpr)|(kdp)|(train st.+moving)|(\|lc)|(penalty))"</v>
      </c>
      <c r="AG107" s="1" t="str">
        <f t="shared" si="40"/>
        <v>EC</v>
      </c>
      <c r="AH107" s="81" t="str">
        <f t="shared" si="41"/>
        <v>"%USERPROFILE%\Documents\GitHub\eaglep3\Utilities\RefineRTDCRunTimes.py" --tripid 194-30 --locoid 4007 --swversion DE.1.0.9.0 --startMP 204:233083 --initTime 2017-05-30T16:07:10 --startdatetime 2017-05-30T16:12:15 --delay 1 --endMP 204:134 --enddatetime 2017-05-30T16:50:15 --enforcementcount 0 &gt;&gt;C:\Users\stu\Documents\GitHub\eaglep3-reporting\EC\2017-05-30-refined-times.txt</v>
      </c>
      <c r="AI107" s="99" t="str">
        <f t="shared" si="42"/>
        <v>echo {"issue":{"subject":"","project_id":79,"tracker_id":40,"status_id":1,"priority_id":2,"assigned_to_id":23,"start_date":"2017-05-30","description":"","custom_fields":[{"id":1,"name":"Subdivision","value":"EC"},{"id":4,"name":"Milepost","value":"0.0134"},{"id":17,"name":"Train ID","value":"194-30"},{"id":16,"name":"Locomotive ID","value":"4007"},{"id":130,"name":"Impact","value":""},{"id":150,"name":"Time of Event (Mountain Time)","value":"16:50:15"},{"id":151,"name":"Denver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20"/>
      <c r="AK107" s="47"/>
      <c r="AL107" s="47"/>
      <c r="AM107" s="145" t="str">
        <f t="shared" si="43"/>
        <v>start /low /b %USERPROFILE%\Documents\GitHub\eaglep3\Utilities\DownloadLogsFromS3.py --loco 4007 --day 2017-05-30</v>
      </c>
      <c r="AN107" s="154" t="str">
        <f t="shared" si="44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22:50:15"},{"id":29,"name":"Sharepoint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08" spans="1:91" s="20" customFormat="1" x14ac:dyDescent="0.25">
      <c r="A108" s="32" t="s">
        <v>793</v>
      </c>
      <c r="B108" s="7">
        <v>4032</v>
      </c>
      <c r="C108" s="21" t="s">
        <v>204</v>
      </c>
      <c r="D108" s="21" t="s">
        <v>345</v>
      </c>
      <c r="E108" s="13">
        <v>42885.643784722219</v>
      </c>
      <c r="F108" s="13">
        <v>42885.646041666667</v>
      </c>
      <c r="G108" s="7">
        <v>1</v>
      </c>
      <c r="H108" s="21" t="s">
        <v>597</v>
      </c>
      <c r="I108" s="13">
        <v>42885.672546296293</v>
      </c>
      <c r="J108" s="7">
        <v>0</v>
      </c>
      <c r="K108" s="92" t="str">
        <f t="shared" si="28"/>
        <v>4031/4032</v>
      </c>
      <c r="L108" s="21" t="str">
        <f>VLOOKUP(A108,'Trips&amp;Operators'!$C$1:$G$99999,5,FALSE)</f>
        <v>LEVERE CRAIG</v>
      </c>
      <c r="M108" s="6">
        <f t="shared" si="29"/>
        <v>2.6504629626288079E-2</v>
      </c>
      <c r="N108" s="7">
        <f t="shared" si="45"/>
        <v>38.166666661854833</v>
      </c>
      <c r="O108" s="7"/>
      <c r="P108" s="7"/>
      <c r="Q108" s="22"/>
      <c r="R108" s="173"/>
      <c r="S108" s="176">
        <f t="shared" si="46"/>
        <v>1</v>
      </c>
      <c r="T108" s="202" t="str">
        <f t="shared" si="30"/>
        <v>NorthBound</v>
      </c>
      <c r="U108" s="202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03" t="str">
        <f t="shared" si="31"/>
        <v>https://d0f6bd738d7f1b3e5a7ca70fe4ff75f0.us-east-1.aws.found.io/app/kibana#/discover/Steve-Slow-Train-Analysis-(2080s-and-2083s)?_g=(refreshInterval:(display:Off,pause:!f,section:0,value:0),time:(from:'2017-05-30T14:27:03-0600',mode:absolute,to:'2017-05-30T17:08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08" s="204" t="str">
        <f t="shared" si="32"/>
        <v>N</v>
      </c>
      <c r="X108" s="204">
        <f t="shared" si="33"/>
        <v>1</v>
      </c>
      <c r="Y108" s="204">
        <f t="shared" si="34"/>
        <v>4.4900000000000002E-2</v>
      </c>
      <c r="Z108" s="204">
        <f t="shared" si="35"/>
        <v>23.330100000000002</v>
      </c>
      <c r="AA108" s="204">
        <f t="shared" si="36"/>
        <v>23.285200000000003</v>
      </c>
      <c r="AB108" s="57" t="e">
        <f>VLOOKUP(A108,Enforcements!$C$7:$K$13,8,0)</f>
        <v>#N/A</v>
      </c>
      <c r="AC108" s="53" t="e">
        <f>VLOOKUP(A108,Enforcements!$C$7:$E$13,3,0)</f>
        <v>#N/A</v>
      </c>
      <c r="AD108" s="54" t="str">
        <f t="shared" si="37"/>
        <v>0195-30</v>
      </c>
      <c r="AE108" s="80" t="str">
        <f t="shared" si="38"/>
        <v>aws s3 cp s3://rtdc.mdm.uploadarchive.raw/RTDC4032/ "%USERPROFILE%\AppData\Local\Temp\OnboardLogs"\RTDC4032\2017-05-30 --exclude "*" --recursive --include "*20170530*" &amp; "%USERPROFILE%\Documents\GitHub\mrs-test-scripts\Headless Mode &amp; Sideloading\WalkAndUnGZ.bat" "%USERPROFILE%\AppData\Local\Temp\OnboardLogs"\RTDC4032\2017-05-30 &amp; aws s3 cp s3://rtdc.mdm.uploadarchive.raw/RTDC4032/ "%USERPROFILE%\AppData\Local\Temp\OnboardLogs"\RTDC4032\2017-05-31 --exclude "*" --recursive --include "*20170531*" &amp; "%USERPROFILE%\Documents\GitHub\mrs-test-scripts\Headless Mode &amp; Sideloading\WalkAndUnGZ.bat" "%USERPROFILE%\AppData\Local\Temp\OnboardLogs"\RTDC4032\2017-05-31</v>
      </c>
      <c r="AF108" s="77" t="str">
        <f t="shared" si="39"/>
        <v>"C:\Program Files (x86)\AstroGrep\AstroGrep.exe" /e /r /s /spath="%USERPROFILE%\AppData\Local\Temp\OnboardLogs" /stypes="app*4032*20170530*" /stext=" 22:.+((SYSTEM_STATE.+slice.+state.+changed )|(ment ac)|(multiple cpu faults)|(system.+state.+changed )|(\[timeout)|(PRM\|1\|D)|(kpr)|(kdp)|(train st.+moving)|(\|lc)|(penalty))"</v>
      </c>
      <c r="AG108" s="1" t="str">
        <f t="shared" si="40"/>
        <v>EC</v>
      </c>
      <c r="AH108" s="81" t="str">
        <f t="shared" si="41"/>
        <v>"%USERPROFILE%\Documents\GitHub\eaglep3\Utilities\RefineRTDCRunTimes.py" --tripid 195-30 --locoid 4032 --swversion DE.1.0.9.0 --startMP 204:449 --initTime 2017-05-30T15:27:03 --startdatetime 2017-05-30T15:30:18 --delay 1 --endMP 204:233301 --enddatetime 2017-05-30T16:08:28 --enforcementcount 0 &gt;&gt;C:\Users\stu\Documents\GitHub\eaglep3-reporting\EC\2017-05-30-refined-times.txt</v>
      </c>
      <c r="AI108" s="99" t="str">
        <f t="shared" si="42"/>
        <v>echo {"issue":{"subject":"","project_id":79,"tracker_id":40,"status_id":1,"priority_id":2,"assigned_to_id":23,"start_date":"2017-05-30","description":"","custom_fields":[{"id":1,"name":"Subdivision","value":"EC"},{"id":4,"name":"Milepost","value":"23.3301"},{"id":17,"name":"Train ID","value":"195-30"},{"id":16,"name":"Locomotive ID","value":"4032"},{"id":130,"name":"Impact","value":""},{"id":150,"name":"Time of Event (Mountain Time)","value":"16:08:28"},{"id":151,"name":"Denver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5" t="str">
        <f t="shared" si="43"/>
        <v>start /low /b %USERPROFILE%\Documents\GitHub\eaglep3\Utilities\DownloadLogsFromS3.py --loco 4032 --day 2017-05-30</v>
      </c>
      <c r="AN108" s="154" t="str">
        <f t="shared" si="44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22:08:28"},{"id":29,"name":"Sharepoint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801</v>
      </c>
      <c r="B109" s="7">
        <v>4031</v>
      </c>
      <c r="C109" s="21" t="s">
        <v>204</v>
      </c>
      <c r="D109" s="21" t="s">
        <v>606</v>
      </c>
      <c r="E109" s="13">
        <v>42885.680335648147</v>
      </c>
      <c r="F109" s="13">
        <v>42885.685590277775</v>
      </c>
      <c r="G109" s="7">
        <v>1</v>
      </c>
      <c r="H109" s="21" t="s">
        <v>463</v>
      </c>
      <c r="I109" s="13">
        <v>42885.713113425925</v>
      </c>
      <c r="J109" s="7">
        <v>0</v>
      </c>
      <c r="K109" s="92" t="str">
        <f t="shared" si="28"/>
        <v>4031/4032</v>
      </c>
      <c r="L109" s="21" t="str">
        <f>VLOOKUP(A109,'Trips&amp;Operators'!$C$1:$G$99999,5,FALSE)</f>
        <v>LEVERE CRAIG</v>
      </c>
      <c r="M109" s="6">
        <f t="shared" si="29"/>
        <v>2.7523148150066845E-2</v>
      </c>
      <c r="N109" s="7">
        <f t="shared" si="45"/>
        <v>39.633333336096257</v>
      </c>
      <c r="O109" s="7"/>
      <c r="P109" s="7"/>
      <c r="Q109" s="22"/>
      <c r="R109" s="173"/>
      <c r="S109" s="176">
        <f t="shared" si="46"/>
        <v>1</v>
      </c>
      <c r="T109" s="202" t="str">
        <f t="shared" si="30"/>
        <v>Southbound</v>
      </c>
      <c r="U109" s="202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03" t="str">
        <f t="shared" si="31"/>
        <v>https://d0f6bd738d7f1b3e5a7ca70fe4ff75f0.us-east-1.aws.found.io/app/kibana#/discover/Steve-Slow-Train-Analysis-(2080s-and-2083s)?_g=(refreshInterval:(display:Off,pause:!f,section:0,value:0),time:(from:'2017-05-30T15:19:41-0600',mode:absolute,to:'2017-05-30T18:06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09" s="204" t="str">
        <f t="shared" si="32"/>
        <v>N</v>
      </c>
      <c r="X109" s="204">
        <f t="shared" ref="X109:X140" si="47">VALUE(LEFT(AD109,4))-VALUE(LEFT(AD108,4))</f>
        <v>1</v>
      </c>
      <c r="Y109" s="204">
        <f t="shared" ref="Y109:Y140" si="48">RIGHT(D109,LEN(D109)-4)/10000</f>
        <v>23.299199999999999</v>
      </c>
      <c r="Z109" s="204">
        <f t="shared" ref="Z109:Z140" si="49">RIGHT(H109,LEN(H109)-4)/10000</f>
        <v>1.4500000000000001E-2</v>
      </c>
      <c r="AA109" s="204">
        <f t="shared" si="36"/>
        <v>23.284699999999997</v>
      </c>
      <c r="AB109" s="57" t="e">
        <f>VLOOKUP(A109,Enforcements!$C$7:$K$13,8,0)</f>
        <v>#N/A</v>
      </c>
      <c r="AC109" s="53" t="e">
        <f>VLOOKUP(A109,Enforcements!$C$7:$E$13,3,0)</f>
        <v>#N/A</v>
      </c>
      <c r="AD109" s="54" t="str">
        <f t="shared" si="37"/>
        <v>0196-30</v>
      </c>
      <c r="AE109" s="80" t="str">
        <f t="shared" si="38"/>
        <v>aws s3 cp s3://rtdc.mdm.uploadarchive.raw/RTDC4031/ "%USERPROFILE%\AppData\Local\Temp\OnboardLogs"\RTDC4031\2017-05-30 --exclude "*" --recursive --include "*20170530*" &amp; "%USERPROFILE%\Documents\GitHub\mrs-test-scripts\Headless Mode &amp; Sideloading\WalkAndUnGZ.bat" "%USERPROFILE%\AppData\Local\Temp\OnboardLogs"\RTDC4031\2017-05-30 &amp; aws s3 cp s3://rtdc.mdm.uploadarchive.raw/RTDC4031/ "%USERPROFILE%\AppData\Local\Temp\OnboardLogs"\RTDC4031\2017-05-31 --exclude "*" --recursive --include "*20170531*" &amp; "%USERPROFILE%\Documents\GitHub\mrs-test-scripts\Headless Mode &amp; Sideloading\WalkAndUnGZ.bat" "%USERPROFILE%\AppData\Local\Temp\OnboardLogs"\RTDC4031\2017-05-31</v>
      </c>
      <c r="AF109" s="77" t="str">
        <f t="shared" si="39"/>
        <v>"C:\Program Files (x86)\AstroGrep\AstroGrep.exe" /e /r /s /spath="%USERPROFILE%\AppData\Local\Temp\OnboardLogs" /stypes="app*4031*20170530*" /stext=" 23:.+((SYSTEM_STATE.+slice.+state.+changed )|(ment ac)|(multiple cpu faults)|(system.+state.+changed )|(\[timeout)|(PRM\|1\|D)|(kpr)|(kdp)|(train st.+moving)|(\|lc)|(penalty))"</v>
      </c>
      <c r="AG109" s="1" t="str">
        <f t="shared" si="40"/>
        <v>EC</v>
      </c>
      <c r="AH109" s="81" t="str">
        <f t="shared" si="41"/>
        <v>"%USERPROFILE%\Documents\GitHub\eaglep3\Utilities\RefineRTDCRunTimes.py" --tripid 196-30 --locoid 4031 --swversion DE.1.0.9.0 --startMP 204:232992 --initTime 2017-05-30T16:19:41 --startdatetime 2017-05-30T16:27:15 --delay 1 --endMP 204:145 --enddatetime 2017-05-30T17:06:53 --enforcementcount 0 &gt;&gt;C:\Users\stu\Documents\GitHub\eaglep3-reporting\EC\2017-05-30-refined-times.txt</v>
      </c>
      <c r="AI109" s="99" t="str">
        <f t="shared" si="42"/>
        <v>echo {"issue":{"subject":"","project_id":79,"tracker_id":40,"status_id":1,"priority_id":2,"assigned_to_id":23,"start_date":"2017-05-30","description":"","custom_fields":[{"id":1,"name":"Subdivision","value":"EC"},{"id":4,"name":"Milepost","value":"0.0145"},{"id":17,"name":"Train ID","value":"196-30"},{"id":16,"name":"Locomotive ID","value":"4031"},{"id":130,"name":"Impact","value":""},{"id":150,"name":"Time of Event (Mountain Time)","value":"17:06:53"},{"id":151,"name":"Denver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5" t="str">
        <f t="shared" si="43"/>
        <v>start /low /b %USERPROFILE%\Documents\GitHub\eaglep3\Utilities\DownloadLogsFromS3.py --loco 4031 --day 2017-05-30</v>
      </c>
      <c r="AN109" s="154" t="str">
        <f t="shared" si="44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23:06:53"},{"id":29,"name":"Sharepoint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795</v>
      </c>
      <c r="B110" s="7">
        <v>4056</v>
      </c>
      <c r="C110" s="21" t="s">
        <v>204</v>
      </c>
      <c r="D110" s="21" t="s">
        <v>200</v>
      </c>
      <c r="E110" s="13">
        <v>42885.653217592589</v>
      </c>
      <c r="F110" s="13">
        <v>42885.656747685185</v>
      </c>
      <c r="G110" s="7">
        <v>1</v>
      </c>
      <c r="H110" s="21" t="s">
        <v>604</v>
      </c>
      <c r="I110" s="13">
        <v>42885.682500000003</v>
      </c>
      <c r="J110" s="7">
        <v>0</v>
      </c>
      <c r="K110" s="92" t="str">
        <f t="shared" si="28"/>
        <v>4055/4056</v>
      </c>
      <c r="L110" s="21" t="str">
        <f>VLOOKUP(A110,'Trips&amp;Operators'!$C$1:$G$99999,5,FALSE)</f>
        <v>ZEWDU DEREJE</v>
      </c>
      <c r="M110" s="6">
        <f t="shared" si="29"/>
        <v>2.5752314817509614E-2</v>
      </c>
      <c r="N110" s="7">
        <f t="shared" si="45"/>
        <v>37.083333337213844</v>
      </c>
      <c r="O110" s="7"/>
      <c r="P110" s="7"/>
      <c r="Q110" s="22"/>
      <c r="R110" s="173"/>
      <c r="S110" s="176">
        <f t="shared" si="46"/>
        <v>1</v>
      </c>
      <c r="T110" s="202" t="str">
        <f t="shared" si="30"/>
        <v>NorthBound</v>
      </c>
      <c r="U110" s="202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03" t="str">
        <f t="shared" si="31"/>
        <v>https://d0f6bd738d7f1b3e5a7ca70fe4ff75f0.us-east-1.aws.found.io/app/kibana#/discover/Steve-Slow-Train-Analysis-(2080s-and-2083s)?_g=(refreshInterval:(display:Off,pause:!f,section:0,value:0),time:(from:'2017-05-30T14:40:38-0600',mode:absolute,to:'2017-05-30T17:22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10" s="204" t="str">
        <f t="shared" si="32"/>
        <v>N</v>
      </c>
      <c r="X110" s="204">
        <f t="shared" si="47"/>
        <v>1</v>
      </c>
      <c r="Y110" s="204">
        <f t="shared" si="48"/>
        <v>4.5699999999999998E-2</v>
      </c>
      <c r="Z110" s="204">
        <f t="shared" si="49"/>
        <v>23.331199999999999</v>
      </c>
      <c r="AA110" s="204">
        <f t="shared" si="36"/>
        <v>23.285499999999999</v>
      </c>
      <c r="AB110" s="57" t="e">
        <f>VLOOKUP(A110,Enforcements!$C$7:$K$13,8,0)</f>
        <v>#N/A</v>
      </c>
      <c r="AC110" s="53" t="e">
        <f>VLOOKUP(A110,Enforcements!$C$7:$E$13,3,0)</f>
        <v>#N/A</v>
      </c>
      <c r="AD110" s="54" t="str">
        <f t="shared" si="37"/>
        <v>0197-30</v>
      </c>
      <c r="AE110" s="80" t="str">
        <f t="shared" si="38"/>
        <v>aws s3 cp s3://rtdc.mdm.uploadarchive.raw/RTDC4056/ "%USERPROFILE%\AppData\Local\Temp\OnboardLogs"\RTDC4056\2017-05-30 --exclude "*" --recursive --include "*20170530*" &amp; "%USERPROFILE%\Documents\GitHub\mrs-test-scripts\Headless Mode &amp; Sideloading\WalkAndUnGZ.bat" "%USERPROFILE%\AppData\Local\Temp\OnboardLogs"\RTDC4056\2017-05-30 &amp; aws s3 cp s3://rtdc.mdm.uploadarchive.raw/RTDC4056/ "%USERPROFILE%\AppData\Local\Temp\OnboardLogs"\RTDC4056\2017-05-31 --exclude "*" --recursive --include "*20170531*" &amp; "%USERPROFILE%\Documents\GitHub\mrs-test-scripts\Headless Mode &amp; Sideloading\WalkAndUnGZ.bat" "%USERPROFILE%\AppData\Local\Temp\OnboardLogs"\RTDC4056\2017-05-31</v>
      </c>
      <c r="AF110" s="77" t="str">
        <f t="shared" si="39"/>
        <v>"C:\Program Files (x86)\AstroGrep\AstroGrep.exe" /e /r /s /spath="%USERPROFILE%\AppData\Local\Temp\OnboardLogs" /stypes="app*4056*20170530*" /stext=" 22:.+((SYSTEM_STATE.+slice.+state.+changed )|(ment ac)|(multiple cpu faults)|(system.+state.+changed )|(\[timeout)|(PRM\|1\|D)|(kpr)|(kdp)|(train st.+moving)|(\|lc)|(penalty))"</v>
      </c>
      <c r="AG110" s="1" t="str">
        <f t="shared" si="40"/>
        <v>EC</v>
      </c>
      <c r="AH110" s="81" t="str">
        <f t="shared" si="41"/>
        <v>"%USERPROFILE%\Documents\GitHub\eaglep3\Utilities\RefineRTDCRunTimes.py" --tripid 197-30 --locoid 4056 --swversion DE.1.0.9.0 --startMP 204:457 --initTime 2017-05-30T15:40:38 --startdatetime 2017-05-30T15:45:43 --delay 1 --endMP 204:233312 --enddatetime 2017-05-30T16:22:48 --enforcementcount 0 &gt;&gt;C:\Users\stu\Documents\GitHub\eaglep3-reporting\EC\2017-05-30-refined-times.txt</v>
      </c>
      <c r="AI110" s="99" t="str">
        <f t="shared" si="42"/>
        <v>echo {"issue":{"subject":"","project_id":79,"tracker_id":40,"status_id":1,"priority_id":2,"assigned_to_id":23,"start_date":"2017-05-30","description":"","custom_fields":[{"id":1,"name":"Subdivision","value":"EC"},{"id":4,"name":"Milepost","value":"23.3312"},{"id":17,"name":"Train ID","value":"197-30"},{"id":16,"name":"Locomotive ID","value":"4056"},{"id":130,"name":"Impact","value":""},{"id":150,"name":"Time of Event (Mountain Time)","value":"16:22:48"},{"id":151,"name":"Denver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5" t="str">
        <f t="shared" si="43"/>
        <v>start /low /b %USERPROFILE%\Documents\GitHub\eaglep3\Utilities\DownloadLogsFromS3.py --loco 4056 --day 2017-05-30</v>
      </c>
      <c r="AN110" s="154" t="str">
        <f t="shared" si="44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22:22:48"},{"id":29,"name":"Sharepoint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803</v>
      </c>
      <c r="B111" s="7">
        <v>4055</v>
      </c>
      <c r="C111" s="21" t="s">
        <v>204</v>
      </c>
      <c r="D111" s="21" t="s">
        <v>906</v>
      </c>
      <c r="E111" s="13">
        <v>42885.684814814813</v>
      </c>
      <c r="F111" s="13">
        <v>42885.696053240739</v>
      </c>
      <c r="G111" s="7">
        <v>1</v>
      </c>
      <c r="H111" s="21" t="s">
        <v>405</v>
      </c>
      <c r="I111" s="13">
        <v>42885.724143518521</v>
      </c>
      <c r="J111" s="7">
        <v>0</v>
      </c>
      <c r="K111" s="92" t="str">
        <f t="shared" si="28"/>
        <v>4055/4056</v>
      </c>
      <c r="L111" s="21" t="str">
        <f>VLOOKUP(A111,'Trips&amp;Operators'!$C$1:$G$99999,5,FALSE)</f>
        <v>ZEWDU DEREJE</v>
      </c>
      <c r="M111" s="6">
        <f t="shared" si="29"/>
        <v>2.8090277781302575E-2</v>
      </c>
      <c r="N111" s="7">
        <f t="shared" ref="N111:N142" si="50">24*60*SUM($M111:$M111)</f>
        <v>40.450000005075708</v>
      </c>
      <c r="O111" s="7"/>
      <c r="P111" s="7"/>
      <c r="Q111" s="22"/>
      <c r="R111" s="173"/>
      <c r="S111" s="176">
        <f t="shared" ref="S111:S142" si="51">SUM(U111:U111)/IF(AG111="EC",12,1)</f>
        <v>1</v>
      </c>
      <c r="T111" s="202" t="str">
        <f t="shared" si="30"/>
        <v>Southbound</v>
      </c>
      <c r="U111" s="202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03" t="str">
        <f t="shared" si="31"/>
        <v>https://d0f6bd738d7f1b3e5a7ca70fe4ff75f0.us-east-1.aws.found.io/app/kibana#/discover/Steve-Slow-Train-Analysis-(2080s-and-2083s)?_g=(refreshInterval:(display:Off,pause:!f,section:0,value:0),time:(from:'2017-05-30T15:26:08-0600',mode:absolute,to:'2017-05-30T18:22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11" s="204" t="str">
        <f t="shared" si="32"/>
        <v>N</v>
      </c>
      <c r="X111" s="204">
        <f t="shared" si="47"/>
        <v>1</v>
      </c>
      <c r="Y111" s="204">
        <f t="shared" si="48"/>
        <v>23.3002</v>
      </c>
      <c r="Z111" s="204">
        <f t="shared" si="49"/>
        <v>1.54E-2</v>
      </c>
      <c r="AA111" s="204">
        <f t="shared" si="36"/>
        <v>23.284800000000001</v>
      </c>
      <c r="AB111" s="57" t="e">
        <f>VLOOKUP(A111,Enforcements!$C$7:$K$13,8,0)</f>
        <v>#N/A</v>
      </c>
      <c r="AC111" s="53" t="e">
        <f>VLOOKUP(A111,Enforcements!$C$7:$E$13,3,0)</f>
        <v>#N/A</v>
      </c>
      <c r="AD111" s="54" t="str">
        <f t="shared" si="37"/>
        <v>0198-30</v>
      </c>
      <c r="AE111" s="80" t="str">
        <f t="shared" si="38"/>
        <v>aws s3 cp s3://rtdc.mdm.uploadarchive.raw/RTDC4055/ "%USERPROFILE%\AppData\Local\Temp\OnboardLogs"\RTDC4055\2017-05-30 --exclude "*" --recursive --include "*20170530*" &amp; "%USERPROFILE%\Documents\GitHub\mrs-test-scripts\Headless Mode &amp; Sideloading\WalkAndUnGZ.bat" "%USERPROFILE%\AppData\Local\Temp\OnboardLogs"\RTDC4055\2017-05-30 &amp; aws s3 cp s3://rtdc.mdm.uploadarchive.raw/RTDC4055/ "%USERPROFILE%\AppData\Local\Temp\OnboardLogs"\RTDC4055\2017-05-31 --exclude "*" --recursive --include "*20170531*" &amp; "%USERPROFILE%\Documents\GitHub\mrs-test-scripts\Headless Mode &amp; Sideloading\WalkAndUnGZ.bat" "%USERPROFILE%\AppData\Local\Temp\OnboardLogs"\RTDC4055\2017-05-31</v>
      </c>
      <c r="AF111" s="77" t="str">
        <f t="shared" si="39"/>
        <v>"C:\Program Files (x86)\AstroGrep\AstroGrep.exe" /e /r /s /spath="%USERPROFILE%\AppData\Local\Temp\OnboardLogs" /stypes="app*4055*20170530*" /stext=" 23:.+((SYSTEM_STATE.+slice.+state.+changed )|(ment ac)|(multiple cpu faults)|(system.+state.+changed )|(\[timeout)|(PRM\|1\|D)|(kpr)|(kdp)|(train st.+moving)|(\|lc)|(penalty))"</v>
      </c>
      <c r="AG111" s="1" t="str">
        <f t="shared" si="40"/>
        <v>EC</v>
      </c>
      <c r="AH111" s="81" t="str">
        <f t="shared" si="41"/>
        <v>"%USERPROFILE%\Documents\GitHub\eaglep3\Utilities\RefineRTDCRunTimes.py" --tripid 198-30 --locoid 4055 --swversion DE.1.0.9.0 --startMP 204:233002 --initTime 2017-05-30T16:26:08 --startdatetime 2017-05-30T16:42:19 --delay 1 --endMP 204:154 --enddatetime 2017-05-30T17:22:46 --enforcementcount 0 &gt;&gt;C:\Users\stu\Documents\GitHub\eaglep3-reporting\EC\2017-05-30-refined-times.txt</v>
      </c>
      <c r="AI111" s="99" t="str">
        <f t="shared" si="42"/>
        <v>echo {"issue":{"subject":"","project_id":79,"tracker_id":40,"status_id":1,"priority_id":2,"assigned_to_id":23,"start_date":"2017-05-30","description":"","custom_fields":[{"id":1,"name":"Subdivision","value":"EC"},{"id":4,"name":"Milepost","value":"0.0154"},{"id":17,"name":"Train ID","value":"198-30"},{"id":16,"name":"Locomotive ID","value":"4055"},{"id":130,"name":"Impact","value":""},{"id":150,"name":"Time of Event (Mountain Time)","value":"17:22:46"},{"id":151,"name":"Denver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5" t="str">
        <f t="shared" si="43"/>
        <v>start /low /b %USERPROFILE%\Documents\GitHub\eaglep3\Utilities\DownloadLogsFromS3.py --loco 4055 --day 2017-05-30</v>
      </c>
      <c r="AN111" s="154" t="str">
        <f t="shared" si="44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23:22:46"},{"id":29,"name":"Sharepoint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797</v>
      </c>
      <c r="B112" s="7">
        <v>4020</v>
      </c>
      <c r="C112" s="21" t="s">
        <v>204</v>
      </c>
      <c r="D112" s="21" t="s">
        <v>401</v>
      </c>
      <c r="E112" s="13">
        <v>42885.66300925926</v>
      </c>
      <c r="F112" s="13">
        <v>42885.666956018518</v>
      </c>
      <c r="G112" s="7">
        <v>1</v>
      </c>
      <c r="H112" s="21" t="s">
        <v>402</v>
      </c>
      <c r="I112" s="13">
        <v>42885.69253472222</v>
      </c>
      <c r="J112" s="7">
        <v>0</v>
      </c>
      <c r="K112" s="92" t="str">
        <f t="shared" si="28"/>
        <v>4019/4020</v>
      </c>
      <c r="L112" s="21" t="str">
        <f>VLOOKUP(A112,'Trips&amp;Operators'!$C$1:$G$99999,5,FALSE)</f>
        <v>CHANDLER KELVIN</v>
      </c>
      <c r="M112" s="6">
        <f t="shared" si="29"/>
        <v>2.5578703702194616E-2</v>
      </c>
      <c r="N112" s="7">
        <f t="shared" si="50"/>
        <v>36.833333331160247</v>
      </c>
      <c r="O112" s="7"/>
      <c r="P112" s="7"/>
      <c r="Q112" s="22"/>
      <c r="R112" s="173"/>
      <c r="S112" s="176">
        <f t="shared" si="51"/>
        <v>1</v>
      </c>
      <c r="T112" s="202" t="str">
        <f t="shared" si="30"/>
        <v>NorthBound</v>
      </c>
      <c r="U112" s="202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03" t="str">
        <f t="shared" si="31"/>
        <v>https://d0f6bd738d7f1b3e5a7ca70fe4ff75f0.us-east-1.aws.found.io/app/kibana#/discover/Steve-Slow-Train-Analysis-(2080s-and-2083s)?_g=(refreshInterval:(display:Off,pause:!f,section:0,value:0),time:(from:'2017-05-30T14:54:44-0600',mode:absolute,to:'2017-05-30T17:37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12" s="204" t="str">
        <f t="shared" si="32"/>
        <v>N</v>
      </c>
      <c r="X112" s="204">
        <f t="shared" si="47"/>
        <v>1</v>
      </c>
      <c r="Y112" s="204">
        <f t="shared" si="48"/>
        <v>4.6199999999999998E-2</v>
      </c>
      <c r="Z112" s="204">
        <f t="shared" si="49"/>
        <v>23.3293</v>
      </c>
      <c r="AA112" s="204">
        <f t="shared" si="36"/>
        <v>23.283100000000001</v>
      </c>
      <c r="AB112" s="57" t="e">
        <f>VLOOKUP(A112,Enforcements!$C$7:$K$13,8,0)</f>
        <v>#N/A</v>
      </c>
      <c r="AC112" s="53" t="e">
        <f>VLOOKUP(A112,Enforcements!$C$7:$E$13,3,0)</f>
        <v>#N/A</v>
      </c>
      <c r="AD112" s="54" t="str">
        <f t="shared" si="37"/>
        <v>0199-30</v>
      </c>
      <c r="AE112" s="80" t="str">
        <f t="shared" si="38"/>
        <v>aws s3 cp s3://rtdc.mdm.uploadarchive.raw/RTDC4020/ "%USERPROFILE%\AppData\Local\Temp\OnboardLogs"\RTDC4020\2017-05-30 --exclude "*" --recursive --include "*20170530*" &amp; "%USERPROFILE%\Documents\GitHub\mrs-test-scripts\Headless Mode &amp; Sideloading\WalkAndUnGZ.bat" "%USERPROFILE%\AppData\Local\Temp\OnboardLogs"\RTDC4020\2017-05-30 &amp; aws s3 cp s3://rtdc.mdm.uploadarchive.raw/RTDC4020/ "%USERPROFILE%\AppData\Local\Temp\OnboardLogs"\RTDC4020\2017-05-31 --exclude "*" --recursive --include "*20170531*" &amp; "%USERPROFILE%\Documents\GitHub\mrs-test-scripts\Headless Mode &amp; Sideloading\WalkAndUnGZ.bat" "%USERPROFILE%\AppData\Local\Temp\OnboardLogs"\RTDC4020\2017-05-31</v>
      </c>
      <c r="AF112" s="77" t="str">
        <f t="shared" si="39"/>
        <v>"C:\Program Files (x86)\AstroGrep\AstroGrep.exe" /e /r /s /spath="%USERPROFILE%\AppData\Local\Temp\OnboardLogs" /stypes="app*4020*20170530*" /stext=" 22:.+((SYSTEM_STATE.+slice.+state.+changed )|(ment ac)|(multiple cpu faults)|(system.+state.+changed )|(\[timeout)|(PRM\|1\|D)|(kpr)|(kdp)|(train st.+moving)|(\|lc)|(penalty))"</v>
      </c>
      <c r="AG112" s="1" t="str">
        <f t="shared" si="40"/>
        <v>EC</v>
      </c>
      <c r="AH112" s="81" t="str">
        <f t="shared" si="41"/>
        <v>"%USERPROFILE%\Documents\GitHub\eaglep3\Utilities\RefineRTDCRunTimes.py" --tripid 199-30 --locoid 4020 --swversion DE.1.0.9.0 --startMP 204:462 --initTime 2017-05-30T15:54:44 --startdatetime 2017-05-30T16:00:25 --delay 1 --endMP 204:233293 --enddatetime 2017-05-30T16:37:15 --enforcementcount 0 &gt;&gt;C:\Users\stu\Documents\GitHub\eaglep3-reporting\EC\2017-05-30-refined-times.txt</v>
      </c>
      <c r="AI112" s="99" t="str">
        <f t="shared" si="42"/>
        <v>echo {"issue":{"subject":"","project_id":79,"tracker_id":40,"status_id":1,"priority_id":2,"assigned_to_id":23,"start_date":"2017-05-30","description":"","custom_fields":[{"id":1,"name":"Subdivision","value":"EC"},{"id":4,"name":"Milepost","value":"23.3293"},{"id":17,"name":"Train ID","value":"199-30"},{"id":16,"name":"Locomotive ID","value":"4020"},{"id":130,"name":"Impact","value":""},{"id":150,"name":"Time of Event (Mountain Time)","value":"16:37:15"},{"id":151,"name":"Denver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5" t="str">
        <f t="shared" si="43"/>
        <v>start /low /b %USERPROFILE%\Documents\GitHub\eaglep3\Utilities\DownloadLogsFromS3.py --loco 4020 --day 2017-05-30</v>
      </c>
      <c r="AN112" s="154" t="str">
        <f t="shared" si="44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22:37:15"},{"id":29,"name":"Sharepoint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807</v>
      </c>
      <c r="B113" s="7">
        <v>4019</v>
      </c>
      <c r="C113" s="21" t="s">
        <v>204</v>
      </c>
      <c r="D113" s="21" t="s">
        <v>492</v>
      </c>
      <c r="E113" s="13">
        <v>42885.702025462961</v>
      </c>
      <c r="F113" s="13">
        <v>42885.706724537034</v>
      </c>
      <c r="G113" s="7">
        <v>1</v>
      </c>
      <c r="H113" s="21" t="s">
        <v>365</v>
      </c>
      <c r="I113" s="13">
        <v>42885.733749999999</v>
      </c>
      <c r="J113" s="7">
        <v>0</v>
      </c>
      <c r="K113" s="92" t="str">
        <f t="shared" si="28"/>
        <v>4019/4020</v>
      </c>
      <c r="L113" s="21" t="str">
        <f>VLOOKUP(A113,'Trips&amp;Operators'!$C$1:$G$99999,5,FALSE)</f>
        <v>CHANDLER KELVIN</v>
      </c>
      <c r="M113" s="6">
        <f t="shared" si="29"/>
        <v>2.7025462964957114E-2</v>
      </c>
      <c r="N113" s="7">
        <f t="shared" si="50"/>
        <v>38.916666669538245</v>
      </c>
      <c r="O113" s="7"/>
      <c r="P113" s="7"/>
      <c r="Q113" s="22"/>
      <c r="R113" s="173"/>
      <c r="S113" s="176">
        <f t="shared" si="51"/>
        <v>1</v>
      </c>
      <c r="T113" s="202" t="str">
        <f t="shared" si="30"/>
        <v>Southbound</v>
      </c>
      <c r="U113" s="202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03" t="str">
        <f t="shared" si="31"/>
        <v>https://d0f6bd738d7f1b3e5a7ca70fe4ff75f0.us-east-1.aws.found.io/app/kibana#/discover/Steve-Slow-Train-Analysis-(2080s-and-2083s)?_g=(refreshInterval:(display:Off,pause:!f,section:0,value:0),time:(from:'2017-05-30T15:50:55-0600',mode:absolute,to:'2017-05-30T18:36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13" s="204" t="str">
        <f t="shared" si="32"/>
        <v>N</v>
      </c>
      <c r="X113" s="204">
        <f t="shared" si="47"/>
        <v>1</v>
      </c>
      <c r="Y113" s="204">
        <f t="shared" si="48"/>
        <v>23.296900000000001</v>
      </c>
      <c r="Z113" s="204">
        <f t="shared" si="49"/>
        <v>1.47E-2</v>
      </c>
      <c r="AA113" s="204">
        <f t="shared" si="36"/>
        <v>23.2822</v>
      </c>
      <c r="AB113" s="57" t="e">
        <f>VLOOKUP(A113,Enforcements!$C$7:$K$13,8,0)</f>
        <v>#N/A</v>
      </c>
      <c r="AC113" s="53" t="e">
        <f>VLOOKUP(A113,Enforcements!$C$7:$E$13,3,0)</f>
        <v>#N/A</v>
      </c>
      <c r="AD113" s="54" t="str">
        <f t="shared" si="37"/>
        <v>0200-30</v>
      </c>
      <c r="AE113" s="80" t="str">
        <f t="shared" si="38"/>
        <v>aws s3 cp s3://rtdc.mdm.uploadarchive.raw/RTDC4019/ "%USERPROFILE%\AppData\Local\Temp\OnboardLogs"\RTDC4019\2017-05-30 --exclude "*" --recursive --include "*20170530*" &amp; "%USERPROFILE%\Documents\GitHub\mrs-test-scripts\Headless Mode &amp; Sideloading\WalkAndUnGZ.bat" "%USERPROFILE%\AppData\Local\Temp\OnboardLogs"\RTDC4019\2017-05-30 &amp; aws s3 cp s3://rtdc.mdm.uploadarchive.raw/RTDC4019/ "%USERPROFILE%\AppData\Local\Temp\OnboardLogs"\RTDC4019\2017-05-31 --exclude "*" --recursive --include "*20170531*" &amp; "%USERPROFILE%\Documents\GitHub\mrs-test-scripts\Headless Mode &amp; Sideloading\WalkAndUnGZ.bat" "%USERPROFILE%\AppData\Local\Temp\OnboardLogs"\RTDC4019\2017-05-31</v>
      </c>
      <c r="AF113" s="77" t="str">
        <f t="shared" si="39"/>
        <v>"C:\Program Files (x86)\AstroGrep\AstroGrep.exe" /e /r /s /spath="%USERPROFILE%\AppData\Local\Temp\OnboardLogs" /stypes="app*4019*20170530*" /stext=" 23:.+((SYSTEM_STATE.+slice.+state.+changed )|(ment ac)|(multiple cpu faults)|(system.+state.+changed )|(\[timeout)|(PRM\|1\|D)|(kpr)|(kdp)|(train st.+moving)|(\|lc)|(penalty))"</v>
      </c>
      <c r="AG113" s="1" t="str">
        <f t="shared" si="40"/>
        <v>EC</v>
      </c>
      <c r="AH113" s="81" t="str">
        <f t="shared" si="41"/>
        <v>"%USERPROFILE%\Documents\GitHub\eaglep3\Utilities\RefineRTDCRunTimes.py" --tripid 200-30 --locoid 4019 --swversion DE.1.0.9.0 --startMP 204:232969 --initTime 2017-05-30T16:50:55 --startdatetime 2017-05-30T16:57:41 --delay 1 --endMP 204:147 --enddatetime 2017-05-30T17:36:36 --enforcementcount 0 &gt;&gt;C:\Users\stu\Documents\GitHub\eaglep3-reporting\EC\2017-05-30-refined-times.txt</v>
      </c>
      <c r="AI113" s="99" t="str">
        <f t="shared" si="42"/>
        <v>echo {"issue":{"subject":"","project_id":79,"tracker_id":40,"status_id":1,"priority_id":2,"assigned_to_id":23,"start_date":"2017-05-30","description":"","custom_fields":[{"id":1,"name":"Subdivision","value":"EC"},{"id":4,"name":"Milepost","value":"0.0147"},{"id":17,"name":"Train ID","value":"200-30"},{"id":16,"name":"Locomotive ID","value":"4019"},{"id":130,"name":"Impact","value":""},{"id":150,"name":"Time of Event (Mountain Time)","value":"17:36:36"},{"id":151,"name":"Denver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5" t="str">
        <f t="shared" si="43"/>
        <v>start /low /b %USERPROFILE%\Documents\GitHub\eaglep3\Utilities\DownloadLogsFromS3.py --loco 4019 --day 2017-05-30</v>
      </c>
      <c r="AN113" s="154" t="str">
        <f t="shared" si="44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23:36:36"},{"id":29,"name":"Sharepoint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799</v>
      </c>
      <c r="B114" s="7">
        <v>4016</v>
      </c>
      <c r="C114" s="21" t="s">
        <v>204</v>
      </c>
      <c r="D114" s="21" t="s">
        <v>355</v>
      </c>
      <c r="E114" s="13">
        <v>42885.672442129631</v>
      </c>
      <c r="F114" s="13">
        <v>42885.677314814813</v>
      </c>
      <c r="G114" s="7">
        <v>1</v>
      </c>
      <c r="H114" s="21" t="s">
        <v>907</v>
      </c>
      <c r="I114" s="13">
        <v>42885.7031712963</v>
      </c>
      <c r="J114" s="7">
        <v>0</v>
      </c>
      <c r="K114" s="92" t="str">
        <f t="shared" si="28"/>
        <v>4015/4016</v>
      </c>
      <c r="L114" s="21" t="str">
        <f>VLOOKUP(A114,'Trips&amp;Operators'!$C$1:$G$99999,5,FALSE)</f>
        <v>MCREYNOLDS KYLE</v>
      </c>
      <c r="M114" s="6">
        <f t="shared" si="29"/>
        <v>2.5856481486698613E-2</v>
      </c>
      <c r="N114" s="7">
        <f t="shared" si="50"/>
        <v>37.233333340846002</v>
      </c>
      <c r="O114" s="7"/>
      <c r="P114" s="7"/>
      <c r="Q114" s="22"/>
      <c r="R114" s="173"/>
      <c r="S114" s="176">
        <f t="shared" si="51"/>
        <v>1</v>
      </c>
      <c r="T114" s="202" t="str">
        <f t="shared" si="30"/>
        <v>NorthBound</v>
      </c>
      <c r="U114" s="202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03" t="str">
        <f t="shared" si="31"/>
        <v>https://d0f6bd738d7f1b3e5a7ca70fe4ff75f0.us-east-1.aws.found.io/app/kibana#/discover/Steve-Slow-Train-Analysis-(2080s-and-2083s)?_g=(refreshInterval:(display:Off,pause:!f,section:0,value:0),time:(from:'2017-05-30T15:08:19-0600',mode:absolute,to:'2017-05-30T17:52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14" s="204" t="str">
        <f t="shared" si="32"/>
        <v>N</v>
      </c>
      <c r="X114" s="204">
        <f t="shared" si="47"/>
        <v>1</v>
      </c>
      <c r="Y114" s="204">
        <f t="shared" si="48"/>
        <v>4.6600000000000003E-2</v>
      </c>
      <c r="Z114" s="204">
        <f t="shared" si="49"/>
        <v>23.338100000000001</v>
      </c>
      <c r="AA114" s="204">
        <f t="shared" si="36"/>
        <v>23.291499999999999</v>
      </c>
      <c r="AB114" s="57" t="e">
        <f>VLOOKUP(A114,Enforcements!$C$7:$K$13,8,0)</f>
        <v>#N/A</v>
      </c>
      <c r="AC114" s="53" t="e">
        <f>VLOOKUP(A114,Enforcements!$C$7:$E$13,3,0)</f>
        <v>#N/A</v>
      </c>
      <c r="AD114" s="54" t="str">
        <f t="shared" si="37"/>
        <v>0201-30</v>
      </c>
      <c r="AE114" s="80" t="str">
        <f t="shared" si="38"/>
        <v>aws s3 cp s3://rtdc.mdm.uploadarchive.raw/RTDC4016/ "%USERPROFILE%\AppData\Local\Temp\OnboardLogs"\RTDC4016\2017-05-30 --exclude "*" --recursive --include "*20170530*" &amp; "%USERPROFILE%\Documents\GitHub\mrs-test-scripts\Headless Mode &amp; Sideloading\WalkAndUnGZ.bat" "%USERPROFILE%\AppData\Local\Temp\OnboardLogs"\RTDC4016\2017-05-30 &amp; aws s3 cp s3://rtdc.mdm.uploadarchive.raw/RTDC4016/ "%USERPROFILE%\AppData\Local\Temp\OnboardLogs"\RTDC4016\2017-05-31 --exclude "*" --recursive --include "*20170531*" &amp; "%USERPROFILE%\Documents\GitHub\mrs-test-scripts\Headless Mode &amp; Sideloading\WalkAndUnGZ.bat" "%USERPROFILE%\AppData\Local\Temp\OnboardLogs"\RTDC4016\2017-05-31</v>
      </c>
      <c r="AF114" s="77" t="str">
        <f t="shared" si="39"/>
        <v>"C:\Program Files (x86)\AstroGrep\AstroGrep.exe" /e /r /s /spath="%USERPROFILE%\AppData\Local\Temp\OnboardLogs" /stypes="app*4016*20170530*" /stext=" 22:.+((SYSTEM_STATE.+slice.+state.+changed )|(ment ac)|(multiple cpu faults)|(system.+state.+changed )|(\[timeout)|(PRM\|1\|D)|(kpr)|(kdp)|(train st.+moving)|(\|lc)|(penalty))"</v>
      </c>
      <c r="AG114" s="1" t="str">
        <f t="shared" si="40"/>
        <v>EC</v>
      </c>
      <c r="AH114" s="81" t="str">
        <f t="shared" si="41"/>
        <v>"%USERPROFILE%\Documents\GitHub\eaglep3\Utilities\RefineRTDCRunTimes.py" --tripid 201-30 --locoid 4016 --swversion DE.1.0.9.0 --startMP 204:466 --initTime 2017-05-30T16:08:19 --startdatetime 2017-05-30T16:15:20 --delay 1 --endMP 204:233381 --enddatetime 2017-05-30T16:52:34 --enforcementcount 0 &gt;&gt;C:\Users\stu\Documents\GitHub\eaglep3-reporting\EC\2017-05-30-refined-times.txt</v>
      </c>
      <c r="AI114" s="99" t="str">
        <f t="shared" si="42"/>
        <v>echo {"issue":{"subject":"","project_id":79,"tracker_id":40,"status_id":1,"priority_id":2,"assigned_to_id":23,"start_date":"2017-05-30","description":"","custom_fields":[{"id":1,"name":"Subdivision","value":"EC"},{"id":4,"name":"Milepost","value":"23.3381"},{"id":17,"name":"Train ID","value":"201-30"},{"id":16,"name":"Locomotive ID","value":"4016"},{"id":130,"name":"Impact","value":""},{"id":150,"name":"Time of Event (Mountain Time)","value":"16:52:34"},{"id":151,"name":"Denver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5" t="str">
        <f t="shared" si="43"/>
        <v>start /low /b %USERPROFILE%\Documents\GitHub\eaglep3\Utilities\DownloadLogsFromS3.py --loco 4016 --day 2017-05-30</v>
      </c>
      <c r="AN114" s="154" t="str">
        <f t="shared" si="44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22:52:34"},{"id":29,"name":"Sharepoint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810</v>
      </c>
      <c r="B115" s="7">
        <v>4015</v>
      </c>
      <c r="C115" s="21" t="s">
        <v>204</v>
      </c>
      <c r="D115" s="21" t="s">
        <v>908</v>
      </c>
      <c r="E115" s="13">
        <v>42885.710370370369</v>
      </c>
      <c r="F115" s="13">
        <v>42885.716851851852</v>
      </c>
      <c r="G115" s="7">
        <v>1</v>
      </c>
      <c r="H115" s="21" t="s">
        <v>350</v>
      </c>
      <c r="I115" s="13">
        <v>42885.743449074071</v>
      </c>
      <c r="J115" s="7">
        <v>0</v>
      </c>
      <c r="K115" s="92" t="str">
        <f t="shared" si="28"/>
        <v>4015/4016</v>
      </c>
      <c r="L115" s="21" t="str">
        <f>VLOOKUP(A115,'Trips&amp;Operators'!$C$1:$G$99999,5,FALSE)</f>
        <v>MCREYNOLDS KYLE</v>
      </c>
      <c r="M115" s="6">
        <f t="shared" si="29"/>
        <v>2.6597222218697425E-2</v>
      </c>
      <c r="N115" s="7">
        <f t="shared" si="50"/>
        <v>38.299999994924292</v>
      </c>
      <c r="O115" s="7"/>
      <c r="P115" s="7"/>
      <c r="Q115" s="22"/>
      <c r="R115" s="173"/>
      <c r="S115" s="176">
        <f t="shared" si="51"/>
        <v>1</v>
      </c>
      <c r="T115" s="202" t="str">
        <f t="shared" si="30"/>
        <v>Southbound</v>
      </c>
      <c r="U115" s="202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03" t="str">
        <f t="shared" si="31"/>
        <v>https://d0f6bd738d7f1b3e5a7ca70fe4ff75f0.us-east-1.aws.found.io/app/kibana#/discover/Steve-Slow-Train-Analysis-(2080s-and-2083s)?_g=(refreshInterval:(display:Off,pause:!f,section:0,value:0),time:(from:'2017-05-30T16:02:56-0600',mode:absolute,to:'2017-05-30T18:50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15" s="204" t="str">
        <f t="shared" si="32"/>
        <v>N</v>
      </c>
      <c r="X115" s="204">
        <f t="shared" si="47"/>
        <v>1</v>
      </c>
      <c r="Y115" s="204">
        <f t="shared" si="48"/>
        <v>23.3066</v>
      </c>
      <c r="Z115" s="204">
        <f t="shared" si="49"/>
        <v>1.6E-2</v>
      </c>
      <c r="AA115" s="204">
        <f t="shared" si="36"/>
        <v>23.290600000000001</v>
      </c>
      <c r="AB115" s="57" t="e">
        <f>VLOOKUP(A115,Enforcements!$C$7:$K$13,8,0)</f>
        <v>#N/A</v>
      </c>
      <c r="AC115" s="53" t="e">
        <f>VLOOKUP(A115,Enforcements!$C$7:$E$13,3,0)</f>
        <v>#N/A</v>
      </c>
      <c r="AD115" s="54" t="str">
        <f t="shared" si="37"/>
        <v>0202-30</v>
      </c>
      <c r="AE115" s="80" t="str">
        <f t="shared" si="38"/>
        <v>aws s3 cp s3://rtdc.mdm.uploadarchive.raw/RTDC4015/ "%USERPROFILE%\AppData\Local\Temp\OnboardLogs"\RTDC4015\2017-05-30 --exclude "*" --recursive --include "*20170530*" &amp; "%USERPROFILE%\Documents\GitHub\mrs-test-scripts\Headless Mode &amp; Sideloading\WalkAndUnGZ.bat" "%USERPROFILE%\AppData\Local\Temp\OnboardLogs"\RTDC4015\2017-05-30 &amp; aws s3 cp s3://rtdc.mdm.uploadarchive.raw/RTDC4015/ "%USERPROFILE%\AppData\Local\Temp\OnboardLogs"\RTDC4015\2017-05-31 --exclude "*" --recursive --include "*20170531*" &amp; "%USERPROFILE%\Documents\GitHub\mrs-test-scripts\Headless Mode &amp; Sideloading\WalkAndUnGZ.bat" "%USERPROFILE%\AppData\Local\Temp\OnboardLogs"\RTDC4015\2017-05-31</v>
      </c>
      <c r="AF115" s="77" t="str">
        <f t="shared" si="39"/>
        <v>"C:\Program Files (x86)\AstroGrep\AstroGrep.exe" /e /r /s /spath="%USERPROFILE%\AppData\Local\Temp\OnboardLogs" /stypes="app*4015*20170530*" /stext=" 23:.+((SYSTEM_STATE.+slice.+state.+changed )|(ment ac)|(multiple cpu faults)|(system.+state.+changed )|(\[timeout)|(PRM\|1\|D)|(kpr)|(kdp)|(train st.+moving)|(\|lc)|(penalty))"</v>
      </c>
      <c r="AG115" s="1" t="str">
        <f t="shared" si="40"/>
        <v>EC</v>
      </c>
      <c r="AH115" s="81" t="str">
        <f t="shared" si="41"/>
        <v>"%USERPROFILE%\Documents\GitHub\eaglep3\Utilities\RefineRTDCRunTimes.py" --tripid 202-30 --locoid 4015 --swversion DE.1.0.9.0 --startMP 204:233066 --initTime 2017-05-30T17:02:56 --startdatetime 2017-05-30T17:12:16 --delay 1 --endMP 204:160 --enddatetime 2017-05-30T17:50:34 --enforcementcount 0 &gt;&gt;C:\Users\stu\Documents\GitHub\eaglep3-reporting\EC\2017-05-30-refined-times.txt</v>
      </c>
      <c r="AI115" s="99" t="str">
        <f t="shared" si="42"/>
        <v>echo {"issue":{"subject":"","project_id":79,"tracker_id":40,"status_id":1,"priority_id":2,"assigned_to_id":23,"start_date":"2017-05-30","description":"","custom_fields":[{"id":1,"name":"Subdivision","value":"EC"},{"id":4,"name":"Milepost","value":"0.016"},{"id":17,"name":"Train ID","value":"202-30"},{"id":16,"name":"Locomotive ID","value":"4015"},{"id":130,"name":"Impact","value":""},{"id":150,"name":"Time of Event (Mountain Time)","value":"17:50:34"},{"id":151,"name":"Denver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5" t="str">
        <f t="shared" si="43"/>
        <v>start /low /b %USERPROFILE%\Documents\GitHub\eaglep3\Utilities\DownloadLogsFromS3.py --loco 4015 --day 2017-05-30</v>
      </c>
      <c r="AN115" s="154" t="str">
        <f t="shared" si="44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23:50:34"},{"id":29,"name":"Sharepoint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802</v>
      </c>
      <c r="B116" s="7">
        <v>4018</v>
      </c>
      <c r="C116" s="21" t="s">
        <v>204</v>
      </c>
      <c r="D116" s="21" t="s">
        <v>201</v>
      </c>
      <c r="E116" s="13">
        <v>42885.683657407404</v>
      </c>
      <c r="F116" s="13">
        <v>42885.6878125</v>
      </c>
      <c r="G116" s="7">
        <v>1</v>
      </c>
      <c r="H116" s="21" t="s">
        <v>602</v>
      </c>
      <c r="I116" s="13">
        <v>42885.713425925926</v>
      </c>
      <c r="J116" s="7">
        <v>0</v>
      </c>
      <c r="K116" s="92" t="str">
        <f t="shared" si="28"/>
        <v>4017/4018</v>
      </c>
      <c r="L116" s="21" t="str">
        <f>VLOOKUP(A116,'Trips&amp;Operators'!$C$1:$G$99999,5,FALSE)</f>
        <v>STEWART MICHAEL</v>
      </c>
      <c r="M116" s="6">
        <f t="shared" si="29"/>
        <v>2.5613425925257616E-2</v>
      </c>
      <c r="N116" s="7">
        <f t="shared" si="50"/>
        <v>36.883333332370967</v>
      </c>
      <c r="O116" s="7"/>
      <c r="P116" s="7"/>
      <c r="Q116" s="22"/>
      <c r="R116" s="173" t="s">
        <v>1010</v>
      </c>
      <c r="S116" s="176">
        <f t="shared" si="51"/>
        <v>1</v>
      </c>
      <c r="T116" s="202" t="str">
        <f t="shared" si="30"/>
        <v>NorthBound</v>
      </c>
      <c r="U116" s="202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03" t="str">
        <f t="shared" si="31"/>
        <v>https://d0f6bd738d7f1b3e5a7ca70fe4ff75f0.us-east-1.aws.found.io/app/kibana#/discover/Steve-Slow-Train-Analysis-(2080s-and-2083s)?_g=(refreshInterval:(display:Off,pause:!f,section:0,value:0),time:(from:'2017-05-30T15:24:28-0600',mode:absolute,to:'2017-05-30T18:07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16" s="204" t="str">
        <f t="shared" si="32"/>
        <v>N</v>
      </c>
      <c r="X116" s="204">
        <f t="shared" si="47"/>
        <v>1</v>
      </c>
      <c r="Y116" s="204">
        <f t="shared" si="48"/>
        <v>4.5999999999999999E-2</v>
      </c>
      <c r="Z116" s="204">
        <f t="shared" si="49"/>
        <v>23.328199999999999</v>
      </c>
      <c r="AA116" s="204">
        <f t="shared" si="36"/>
        <v>23.2822</v>
      </c>
      <c r="AB116" s="57" t="e">
        <f>VLOOKUP(A116,Enforcements!$C$7:$K$13,8,0)</f>
        <v>#N/A</v>
      </c>
      <c r="AC116" s="53" t="e">
        <f>VLOOKUP(A116,Enforcements!$C$7:$E$13,3,0)</f>
        <v>#N/A</v>
      </c>
      <c r="AD116" s="54" t="str">
        <f t="shared" si="37"/>
        <v>0203-30</v>
      </c>
      <c r="AE116" s="80" t="str">
        <f t="shared" si="38"/>
        <v>aws s3 cp s3://rtdc.mdm.uploadarchive.raw/RTDC4018/ "%USERPROFILE%\AppData\Local\Temp\OnboardLogs"\RTDC4018\2017-05-30 --exclude "*" --recursive --include "*20170530*" &amp; "%USERPROFILE%\Documents\GitHub\mrs-test-scripts\Headless Mode &amp; Sideloading\WalkAndUnGZ.bat" "%USERPROFILE%\AppData\Local\Temp\OnboardLogs"\RTDC4018\2017-05-30 &amp; aws s3 cp s3://rtdc.mdm.uploadarchive.raw/RTDC4018/ "%USERPROFILE%\AppData\Local\Temp\OnboardLogs"\RTDC4018\2017-05-31 --exclude "*" --recursive --include "*20170531*" &amp; "%USERPROFILE%\Documents\GitHub\mrs-test-scripts\Headless Mode &amp; Sideloading\WalkAndUnGZ.bat" "%USERPROFILE%\AppData\Local\Temp\OnboardLogs"\RTDC4018\2017-05-31</v>
      </c>
      <c r="AF116" s="77" t="str">
        <f t="shared" si="39"/>
        <v>"C:\Program Files (x86)\AstroGrep\AstroGrep.exe" /e /r /s /spath="%USERPROFILE%\AppData\Local\Temp\OnboardLogs" /stypes="app*4018*20170530*" /stext=" 23:.+((SYSTEM_STATE.+slice.+state.+changed )|(ment ac)|(multiple cpu faults)|(system.+state.+changed )|(\[timeout)|(PRM\|1\|D)|(kpr)|(kdp)|(train st.+moving)|(\|lc)|(penalty))"</v>
      </c>
      <c r="AG116" s="1" t="str">
        <f t="shared" si="40"/>
        <v>EC</v>
      </c>
      <c r="AH116" s="81" t="str">
        <f t="shared" si="41"/>
        <v>"%USERPROFILE%\Documents\GitHub\eaglep3\Utilities\RefineRTDCRunTimes.py" --tripid 203-30 --locoid 4018 --swversion DE.1.0.9.0 --startMP 204:460 --initTime 2017-05-30T16:24:28 --startdatetime 2017-05-30T16:30:27 --delay 1 --endMP 204:233282 --enddatetime 2017-05-30T17:07:20 --enforcementcount 0 &gt;&gt;C:\Users\stu\Documents\GitHub\eaglep3-reporting\EC\2017-05-30-refined-times.txt</v>
      </c>
      <c r="AI116" s="99" t="str">
        <f t="shared" si="42"/>
        <v>echo {"issue":{"subject":"Brief Wi-MAX data drop, no enforcement or cut out","project_id":79,"tracker_id":40,"status_id":1,"priority_id":2,"assigned_to_id":23,"start_date":"2017-05-30","description":"","custom_fields":[{"id":1,"name":"Subdivision","value":"EC"},{"id":4,"name":"Milepost","value":"23.3282"},{"id":17,"name":"Train ID","value":"203-30"},{"id":16,"name":"Locomotive ID","value":"4018"},{"id":130,"name":"Impact","value":""},{"id":150,"name":"Time of Event (Mountain Time)","value":"17:07:20"},{"id":151,"name":"Denver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5" t="str">
        <f t="shared" si="43"/>
        <v>start /low /b %USERPROFILE%\Documents\GitHub\eaglep3\Utilities\DownloadLogsFromS3.py --loco 4018 --day 2017-05-30</v>
      </c>
      <c r="AN116" s="154" t="str">
        <f t="shared" si="44"/>
        <v>echo {"issue":{"subject":"Brief Wi-MAX data drop, no enforcement or cut out","project_id":30,"tracker_id":4,"status_id":1,"priority_id":1,"assigned_to_id":10,"start_date":"2017-05-30","description":"","custom_fields":[{"id":30,"name":"Category","value":"Issue"},{"id":3,"name":"Functional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23:07:20"},{"id":29,"name":"Sharepoint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814</v>
      </c>
      <c r="B117" s="7">
        <v>4017</v>
      </c>
      <c r="C117" s="21" t="s">
        <v>204</v>
      </c>
      <c r="D117" s="21" t="s">
        <v>909</v>
      </c>
      <c r="E117" s="13">
        <v>42885.723877314813</v>
      </c>
      <c r="F117" s="13">
        <v>42885.72729166667</v>
      </c>
      <c r="G117" s="7">
        <v>1</v>
      </c>
      <c r="H117" s="21" t="s">
        <v>521</v>
      </c>
      <c r="I117" s="13">
        <v>42885.754259259258</v>
      </c>
      <c r="J117" s="7">
        <v>0</v>
      </c>
      <c r="K117" s="92" t="str">
        <f t="shared" si="28"/>
        <v>4017/4018</v>
      </c>
      <c r="L117" s="21" t="str">
        <f>VLOOKUP(A117,'Trips&amp;Operators'!$C$1:$G$99999,5,FALSE)</f>
        <v>STEWART MICHAEL</v>
      </c>
      <c r="M117" s="6">
        <f t="shared" si="29"/>
        <v>2.696759258833481E-2</v>
      </c>
      <c r="N117" s="7">
        <f t="shared" si="50"/>
        <v>38.833333327202126</v>
      </c>
      <c r="O117" s="7"/>
      <c r="P117" s="7"/>
      <c r="Q117" s="22"/>
      <c r="R117" s="173"/>
      <c r="S117" s="176">
        <f t="shared" si="51"/>
        <v>1</v>
      </c>
      <c r="T117" s="202" t="str">
        <f t="shared" si="30"/>
        <v>Southbound</v>
      </c>
      <c r="U117" s="202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03" t="str">
        <f t="shared" si="31"/>
        <v>https://d0f6bd738d7f1b3e5a7ca70fe4ff75f0.us-east-1.aws.found.io/app/kibana#/discover/Steve-Slow-Train-Analysis-(2080s-and-2083s)?_g=(refreshInterval:(display:Off,pause:!f,section:0,value:0),time:(from:'2017-05-30T16:22:23-0600',mode:absolute,to:'2017-05-30T19:06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17" s="204" t="str">
        <f t="shared" si="32"/>
        <v>N</v>
      </c>
      <c r="X117" s="204">
        <f t="shared" si="47"/>
        <v>1</v>
      </c>
      <c r="Y117" s="204">
        <f t="shared" si="48"/>
        <v>23.2973</v>
      </c>
      <c r="Z117" s="204">
        <f t="shared" si="49"/>
        <v>1.5599999999999999E-2</v>
      </c>
      <c r="AA117" s="204">
        <f t="shared" si="36"/>
        <v>23.281700000000001</v>
      </c>
      <c r="AB117" s="57" t="e">
        <f>VLOOKUP(A117,Enforcements!$C$7:$K$13,8,0)</f>
        <v>#N/A</v>
      </c>
      <c r="AC117" s="53" t="e">
        <f>VLOOKUP(A117,Enforcements!$C$7:$E$13,3,0)</f>
        <v>#N/A</v>
      </c>
      <c r="AD117" s="54" t="str">
        <f t="shared" si="37"/>
        <v>0204-30</v>
      </c>
      <c r="AE117" s="80" t="str">
        <f t="shared" si="38"/>
        <v>aws s3 cp s3://rtdc.mdm.uploadarchive.raw/RTDC4017/ "%USERPROFILE%\AppData\Local\Temp\OnboardLogs"\RTDC4017\2017-05-30 --exclude "*" --recursive --include "*20170530*" &amp; "%USERPROFILE%\Documents\GitHub\mrs-test-scripts\Headless Mode &amp; Sideloading\WalkAndUnGZ.bat" "%USERPROFILE%\AppData\Local\Temp\OnboardLogs"\RTDC4017\2017-05-30 &amp; aws s3 cp s3://rtdc.mdm.uploadarchive.raw/RTDC4017/ "%USERPROFILE%\AppData\Local\Temp\OnboardLogs"\RTDC4017\2017-05-31 --exclude "*" --recursive --include "*20170531*" &amp; "%USERPROFILE%\Documents\GitHub\mrs-test-scripts\Headless Mode &amp; Sideloading\WalkAndUnGZ.bat" "%USERPROFILE%\AppData\Local\Temp\OnboardLogs"\RTDC4017\2017-05-31</v>
      </c>
      <c r="AF117" s="77" t="str">
        <f t="shared" si="39"/>
        <v>"C:\Program Files (x86)\AstroGrep\AstroGrep.exe" /e /r /s /spath="%USERPROFILE%\AppData\Local\Temp\OnboardLogs" /stypes="app*4017*20170531*" /stext=" 00:.+((SYSTEM_STATE.+slice.+state.+changed )|(ment ac)|(multiple cpu faults)|(system.+state.+changed )|(\[timeout)|(PRM\|1\|D)|(kpr)|(kdp)|(train st.+moving)|(\|lc)|(penalty))"</v>
      </c>
      <c r="AG117" s="1" t="str">
        <f t="shared" si="40"/>
        <v>EC</v>
      </c>
      <c r="AH117" s="81" t="str">
        <f t="shared" si="41"/>
        <v>"%USERPROFILE%\Documents\GitHub\eaglep3\Utilities\RefineRTDCRunTimes.py" --tripid 204-30 --locoid 4017 --swversion DE.1.0.9.0 --startMP 204:232973 --initTime 2017-05-30T17:22:23 --startdatetime 2017-05-30T17:27:18 --delay 1 --endMP 204:156 --enddatetime 2017-05-30T18:06:08 --enforcementcount 0 &gt;&gt;C:\Users\stu\Documents\GitHub\eaglep3-reporting\EC\2017-05-30-refined-times.txt</v>
      </c>
      <c r="AI117" s="99" t="str">
        <f t="shared" si="42"/>
        <v>echo {"issue":{"subject":"","project_id":79,"tracker_id":40,"status_id":1,"priority_id":2,"assigned_to_id":23,"start_date":"2017-05-30","description":"","custom_fields":[{"id":1,"name":"Subdivision","value":"EC"},{"id":4,"name":"Milepost","value":"0.0156"},{"id":17,"name":"Train ID","value":"204-30"},{"id":16,"name":"Locomotive ID","value":"4017"},{"id":130,"name":"Impact","value":""},{"id":150,"name":"Time of Event (Mountain Time)","value":"18:06:08"},{"id":151,"name":"Denver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5" t="str">
        <f t="shared" si="43"/>
        <v>start /low /b %USERPROFILE%\Documents\GitHub\eaglep3\Utilities\DownloadLogsFromS3.py --loco 4017 --day 2017-05-30</v>
      </c>
      <c r="AN117" s="154" t="str">
        <f t="shared" si="44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00:06:08"},{"id":29,"name":"Sharepoint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806</v>
      </c>
      <c r="B118" s="7">
        <v>4026</v>
      </c>
      <c r="C118" s="21" t="s">
        <v>204</v>
      </c>
      <c r="D118" s="21" t="s">
        <v>495</v>
      </c>
      <c r="E118" s="13">
        <v>42885.695011574076</v>
      </c>
      <c r="F118" s="13">
        <v>42885.698067129626</v>
      </c>
      <c r="G118" s="7">
        <v>1</v>
      </c>
      <c r="H118" s="21" t="s">
        <v>886</v>
      </c>
      <c r="I118" s="13">
        <v>42885.724270833336</v>
      </c>
      <c r="J118" s="7">
        <v>0</v>
      </c>
      <c r="K118" s="92" t="str">
        <f t="shared" si="28"/>
        <v>4025/4026</v>
      </c>
      <c r="L118" s="21" t="str">
        <f>VLOOKUP(A118,'Trips&amp;Operators'!$C$1:$G$99999,5,FALSE)</f>
        <v>CLARK KATHLEEN</v>
      </c>
      <c r="M118" s="6">
        <f t="shared" si="29"/>
        <v>2.620370371005265E-2</v>
      </c>
      <c r="N118" s="7">
        <f t="shared" si="50"/>
        <v>37.733333342475817</v>
      </c>
      <c r="O118" s="7"/>
      <c r="P118" s="7"/>
      <c r="Q118" s="22"/>
      <c r="R118" s="173"/>
      <c r="S118" s="176">
        <f t="shared" si="51"/>
        <v>1</v>
      </c>
      <c r="T118" s="202" t="str">
        <f t="shared" si="30"/>
        <v>NorthBound</v>
      </c>
      <c r="U118" s="202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03" t="str">
        <f t="shared" si="31"/>
        <v>https://d0f6bd738d7f1b3e5a7ca70fe4ff75f0.us-east-1.aws.found.io/app/kibana#/discover/Steve-Slow-Train-Analysis-(2080s-and-2083s)?_g=(refreshInterval:(display:Off,pause:!f,section:0,value:0),time:(from:'2017-05-30T15:40:49-0600',mode:absolute,to:'2017-05-30T18:22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18" s="204" t="str">
        <f t="shared" si="32"/>
        <v>N</v>
      </c>
      <c r="X118" s="204">
        <f t="shared" si="47"/>
        <v>1</v>
      </c>
      <c r="Y118" s="204">
        <f t="shared" si="48"/>
        <v>4.3999999999999997E-2</v>
      </c>
      <c r="Z118" s="204">
        <f t="shared" si="49"/>
        <v>23.328499999999998</v>
      </c>
      <c r="AA118" s="204">
        <f t="shared" si="36"/>
        <v>23.284499999999998</v>
      </c>
      <c r="AB118" s="57" t="e">
        <f>VLOOKUP(A118,Enforcements!$C$7:$K$13,8,0)</f>
        <v>#N/A</v>
      </c>
      <c r="AC118" s="53" t="e">
        <f>VLOOKUP(A118,Enforcements!$C$7:$E$13,3,0)</f>
        <v>#N/A</v>
      </c>
      <c r="AD118" s="54" t="str">
        <f t="shared" si="37"/>
        <v>0205-30</v>
      </c>
      <c r="AE118" s="80" t="str">
        <f t="shared" si="38"/>
        <v>aws s3 cp s3://rtdc.mdm.uploadarchive.raw/RTDC4026/ "%USERPROFILE%\AppData\Local\Temp\OnboardLogs"\RTDC4026\2017-05-30 --exclude "*" --recursive --include "*20170530*" &amp; "%USERPROFILE%\Documents\GitHub\mrs-test-scripts\Headless Mode &amp; Sideloading\WalkAndUnGZ.bat" "%USERPROFILE%\AppData\Local\Temp\OnboardLogs"\RTDC4026\2017-05-30 &amp; aws s3 cp s3://rtdc.mdm.uploadarchive.raw/RTDC4026/ "%USERPROFILE%\AppData\Local\Temp\OnboardLogs"\RTDC4026\2017-05-31 --exclude "*" --recursive --include "*20170531*" &amp; "%USERPROFILE%\Documents\GitHub\mrs-test-scripts\Headless Mode &amp; Sideloading\WalkAndUnGZ.bat" "%USERPROFILE%\AppData\Local\Temp\OnboardLogs"\RTDC4026\2017-05-31</v>
      </c>
      <c r="AF118" s="77" t="str">
        <f t="shared" si="39"/>
        <v>"C:\Program Files (x86)\AstroGrep\AstroGrep.exe" /e /r /s /spath="%USERPROFILE%\AppData\Local\Temp\OnboardLogs" /stypes="app*4026*20170530*" /stext=" 23:.+((SYSTEM_STATE.+slice.+state.+changed )|(ment ac)|(multiple cpu faults)|(system.+state.+changed )|(\[timeout)|(PRM\|1\|D)|(kpr)|(kdp)|(train st.+moving)|(\|lc)|(penalty))"</v>
      </c>
      <c r="AG118" s="1" t="str">
        <f t="shared" si="40"/>
        <v>EC</v>
      </c>
      <c r="AH118" s="81" t="str">
        <f t="shared" si="41"/>
        <v>"%USERPROFILE%\Documents\GitHub\eaglep3\Utilities\RefineRTDCRunTimes.py" --tripid 205-30 --locoid 4026 --swversion DE.1.0.9.0 --startMP 204:440 --initTime 2017-05-30T16:40:49 --startdatetime 2017-05-30T16:45:13 --delay 1 --endMP 204:233285 --enddatetime 2017-05-30T17:22:57 --enforcementcount 0 &gt;&gt;C:\Users\stu\Documents\GitHub\eaglep3-reporting\EC\2017-05-30-refined-times.txt</v>
      </c>
      <c r="AI118" s="99" t="str">
        <f t="shared" si="42"/>
        <v>echo {"issue":{"subject":"","project_id":79,"tracker_id":40,"status_id":1,"priority_id":2,"assigned_to_id":23,"start_date":"2017-05-30","description":"","custom_fields":[{"id":1,"name":"Subdivision","value":"EC"},{"id":4,"name":"Milepost","value":"23.3285"},{"id":17,"name":"Train ID","value":"205-30"},{"id":16,"name":"Locomotive ID","value":"4026"},{"id":130,"name":"Impact","value":""},{"id":150,"name":"Time of Event (Mountain Time)","value":"17:22:57"},{"id":151,"name":"Denver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5" t="str">
        <f t="shared" si="43"/>
        <v>start /low /b %USERPROFILE%\Documents\GitHub\eaglep3\Utilities\DownloadLogsFromS3.py --loco 4026 --day 2017-05-30</v>
      </c>
      <c r="AN118" s="154" t="str">
        <f t="shared" si="44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23:22:57"},{"id":29,"name":"Sharepoint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816</v>
      </c>
      <c r="B119" s="7">
        <v>4025</v>
      </c>
      <c r="C119" s="21" t="s">
        <v>204</v>
      </c>
      <c r="D119" s="21" t="s">
        <v>910</v>
      </c>
      <c r="E119" s="13">
        <v>42885.731828703705</v>
      </c>
      <c r="F119" s="13">
        <v>42885.737662037034</v>
      </c>
      <c r="G119" s="7">
        <v>1</v>
      </c>
      <c r="H119" s="21" t="s">
        <v>911</v>
      </c>
      <c r="I119" s="13">
        <v>42885.765868055554</v>
      </c>
      <c r="J119" s="7">
        <v>0</v>
      </c>
      <c r="K119" s="92" t="str">
        <f t="shared" si="28"/>
        <v>4025/4026</v>
      </c>
      <c r="L119" s="21" t="str">
        <f>VLOOKUP(A119,'Trips&amp;Operators'!$C$1:$G$99999,5,FALSE)</f>
        <v>CLARK KATHLEEN</v>
      </c>
      <c r="M119" s="6">
        <f t="shared" si="29"/>
        <v>2.8206018519995268E-2</v>
      </c>
      <c r="N119" s="7">
        <f t="shared" si="50"/>
        <v>40.616666668793187</v>
      </c>
      <c r="O119" s="7"/>
      <c r="P119" s="7"/>
      <c r="Q119" s="22"/>
      <c r="R119" s="173"/>
      <c r="S119" s="176">
        <f t="shared" si="51"/>
        <v>1</v>
      </c>
      <c r="T119" s="202" t="str">
        <f t="shared" si="30"/>
        <v>Southbound</v>
      </c>
      <c r="U119" s="202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03" t="str">
        <f t="shared" si="31"/>
        <v>https://d0f6bd738d7f1b3e5a7ca70fe4ff75f0.us-east-1.aws.found.io/app/kibana#/discover/Steve-Slow-Train-Analysis-(2080s-and-2083s)?_g=(refreshInterval:(display:Off,pause:!f,section:0,value:0),time:(from:'2017-05-30T16:33:50-0600',mode:absolute,to:'2017-05-30T19:22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19" s="204" t="str">
        <f t="shared" si="32"/>
        <v>N</v>
      </c>
      <c r="X119" s="204">
        <f t="shared" si="47"/>
        <v>1</v>
      </c>
      <c r="Y119" s="204">
        <f t="shared" si="48"/>
        <v>23.296399999999998</v>
      </c>
      <c r="Z119" s="204">
        <f t="shared" si="49"/>
        <v>1.83E-2</v>
      </c>
      <c r="AA119" s="204">
        <f t="shared" si="36"/>
        <v>23.278099999999998</v>
      </c>
      <c r="AB119" s="57" t="e">
        <f>VLOOKUP(A119,Enforcements!$C$7:$K$13,8,0)</f>
        <v>#N/A</v>
      </c>
      <c r="AC119" s="53" t="e">
        <f>VLOOKUP(A119,Enforcements!$C$7:$E$13,3,0)</f>
        <v>#N/A</v>
      </c>
      <c r="AD119" s="54" t="str">
        <f t="shared" si="37"/>
        <v>0206-30</v>
      </c>
      <c r="AE119" s="80" t="str">
        <f t="shared" si="38"/>
        <v>aws s3 cp s3://rtdc.mdm.uploadarchive.raw/RTDC4025/ "%USERPROFILE%\AppData\Local\Temp\OnboardLogs"\RTDC4025\2017-05-30 --exclude "*" --recursive --include "*20170530*" &amp; "%USERPROFILE%\Documents\GitHub\mrs-test-scripts\Headless Mode &amp; Sideloading\WalkAndUnGZ.bat" "%USERPROFILE%\AppData\Local\Temp\OnboardLogs"\RTDC4025\2017-05-30 &amp; aws s3 cp s3://rtdc.mdm.uploadarchive.raw/RTDC4025/ "%USERPROFILE%\AppData\Local\Temp\OnboardLogs"\RTDC4025\2017-05-31 --exclude "*" --recursive --include "*20170531*" &amp; "%USERPROFILE%\Documents\GitHub\mrs-test-scripts\Headless Mode &amp; Sideloading\WalkAndUnGZ.bat" "%USERPROFILE%\AppData\Local\Temp\OnboardLogs"\RTDC4025\2017-05-31</v>
      </c>
      <c r="AF119" s="77" t="str">
        <f t="shared" si="39"/>
        <v>"C:\Program Files (x86)\AstroGrep\AstroGrep.exe" /e /r /s /spath="%USERPROFILE%\AppData\Local\Temp\OnboardLogs" /stypes="app*4025*20170531*" /stext=" 00:.+((SYSTEM_STATE.+slice.+state.+changed )|(ment ac)|(multiple cpu faults)|(system.+state.+changed )|(\[timeout)|(PRM\|1\|D)|(kpr)|(kdp)|(train st.+moving)|(\|lc)|(penalty))"</v>
      </c>
      <c r="AG119" s="1" t="str">
        <f t="shared" si="40"/>
        <v>EC</v>
      </c>
      <c r="AH119" s="81" t="str">
        <f t="shared" si="41"/>
        <v>"%USERPROFILE%\Documents\GitHub\eaglep3\Utilities\RefineRTDCRunTimes.py" --tripid 206-30 --locoid 4025 --swversion DE.1.0.9.0 --startMP 204:232964 --initTime 2017-05-30T17:33:50 --startdatetime 2017-05-30T17:42:14 --delay 1 --endMP 204:183 --enddatetime 2017-05-30T18:22:51 --enforcementcount 0 &gt;&gt;C:\Users\stu\Documents\GitHub\eaglep3-reporting\EC\2017-05-30-refined-times.txt</v>
      </c>
      <c r="AI119" s="99" t="str">
        <f t="shared" si="42"/>
        <v>echo {"issue":{"subject":"","project_id":79,"tracker_id":40,"status_id":1,"priority_id":2,"assigned_to_id":23,"start_date":"2017-05-30","description":"","custom_fields":[{"id":1,"name":"Subdivision","value":"EC"},{"id":4,"name":"Milepost","value":"0.0183"},{"id":17,"name":"Train ID","value":"206-30"},{"id":16,"name":"Locomotive ID","value":"4025"},{"id":130,"name":"Impact","value":""},{"id":150,"name":"Time of Event (Mountain Time)","value":"18:22:51"},{"id":151,"name":"Denver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5" t="str">
        <f t="shared" si="43"/>
        <v>start /low /b %USERPROFILE%\Documents\GitHub\eaglep3\Utilities\DownloadLogsFromS3.py --loco 4025 --day 2017-05-30</v>
      </c>
      <c r="AN119" s="154" t="str">
        <f t="shared" si="44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00:22:51"},{"id":29,"name":"Sharepoint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808</v>
      </c>
      <c r="B120" s="7">
        <v>4008</v>
      </c>
      <c r="C120" s="21" t="s">
        <v>204</v>
      </c>
      <c r="D120" s="21" t="s">
        <v>356</v>
      </c>
      <c r="E120" s="13">
        <v>42885.705104166664</v>
      </c>
      <c r="F120" s="13">
        <v>42885.708564814813</v>
      </c>
      <c r="G120" s="7">
        <v>1</v>
      </c>
      <c r="H120" s="21" t="s">
        <v>912</v>
      </c>
      <c r="I120" s="13">
        <v>42885.734131944446</v>
      </c>
      <c r="J120" s="7">
        <v>0</v>
      </c>
      <c r="K120" s="92" t="str">
        <f t="shared" si="28"/>
        <v>4007/4008</v>
      </c>
      <c r="L120" s="21" t="str">
        <f>VLOOKUP(A120,'Trips&amp;Operators'!$C$1:$G$99999,5,FALSE)</f>
        <v>LEVIN SCOTT</v>
      </c>
      <c r="M120" s="6">
        <f t="shared" si="29"/>
        <v>2.5567129632690921E-2</v>
      </c>
      <c r="N120" s="7">
        <f t="shared" si="50"/>
        <v>36.816666671074927</v>
      </c>
      <c r="O120" s="7"/>
      <c r="P120" s="7"/>
      <c r="Q120" s="22"/>
      <c r="R120" s="173"/>
      <c r="S120" s="176">
        <f t="shared" si="51"/>
        <v>1</v>
      </c>
      <c r="T120" s="202" t="str">
        <f t="shared" si="30"/>
        <v>NorthBound</v>
      </c>
      <c r="U120" s="202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03" t="str">
        <f t="shared" si="31"/>
        <v>https://d0f6bd738d7f1b3e5a7ca70fe4ff75f0.us-east-1.aws.found.io/app/kibana#/discover/Steve-Slow-Train-Analysis-(2080s-and-2083s)?_g=(refreshInterval:(display:Off,pause:!f,section:0,value:0),time:(from:'2017-05-30T15:55:21-0600',mode:absolute,to:'2017-05-30T18:37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20" s="204" t="str">
        <f t="shared" si="32"/>
        <v>N</v>
      </c>
      <c r="X120" s="204">
        <f t="shared" si="47"/>
        <v>1</v>
      </c>
      <c r="Y120" s="204">
        <f t="shared" si="48"/>
        <v>4.5100000000000001E-2</v>
      </c>
      <c r="Z120" s="204">
        <f t="shared" si="49"/>
        <v>23.336400000000001</v>
      </c>
      <c r="AA120" s="204">
        <f t="shared" si="36"/>
        <v>23.2913</v>
      </c>
      <c r="AB120" s="57" t="e">
        <f>VLOOKUP(A120,Enforcements!$C$7:$K$13,8,0)</f>
        <v>#N/A</v>
      </c>
      <c r="AC120" s="53" t="e">
        <f>VLOOKUP(A120,Enforcements!$C$7:$E$13,3,0)</f>
        <v>#N/A</v>
      </c>
      <c r="AD120" s="54" t="str">
        <f t="shared" si="37"/>
        <v>0207-30</v>
      </c>
      <c r="AE120" s="80" t="str">
        <f t="shared" si="38"/>
        <v>aws s3 cp s3://rtdc.mdm.uploadarchive.raw/RTDC4008/ "%USERPROFILE%\AppData\Local\Temp\OnboardLogs"\RTDC4008\2017-05-30 --exclude "*" --recursive --include "*20170530*" &amp; "%USERPROFILE%\Documents\GitHub\mrs-test-scripts\Headless Mode &amp; Sideloading\WalkAndUnGZ.bat" "%USERPROFILE%\AppData\Local\Temp\OnboardLogs"\RTDC4008\2017-05-30 &amp; aws s3 cp s3://rtdc.mdm.uploadarchive.raw/RTDC4008/ "%USERPROFILE%\AppData\Local\Temp\OnboardLogs"\RTDC4008\2017-05-31 --exclude "*" --recursive --include "*20170531*" &amp; "%USERPROFILE%\Documents\GitHub\mrs-test-scripts\Headless Mode &amp; Sideloading\WalkAndUnGZ.bat" "%USERPROFILE%\AppData\Local\Temp\OnboardLogs"\RTDC4008\2017-05-31</v>
      </c>
      <c r="AF120" s="77" t="str">
        <f t="shared" si="39"/>
        <v>"C:\Program Files (x86)\AstroGrep\AstroGrep.exe" /e /r /s /spath="%USERPROFILE%\AppData\Local\Temp\OnboardLogs" /stypes="app*4008*20170530*" /stext=" 23:.+((SYSTEM_STATE.+slice.+state.+changed )|(ment ac)|(multiple cpu faults)|(system.+state.+changed )|(\[timeout)|(PRM\|1\|D)|(kpr)|(kdp)|(train st.+moving)|(\|lc)|(penalty))"</v>
      </c>
      <c r="AG120" s="1" t="str">
        <f t="shared" si="40"/>
        <v>EC</v>
      </c>
      <c r="AH120" s="81" t="str">
        <f t="shared" si="41"/>
        <v>"%USERPROFILE%\Documents\GitHub\eaglep3\Utilities\RefineRTDCRunTimes.py" --tripid 207-30 --locoid 4008 --swversion DE.1.0.9.0 --startMP 204:451 --initTime 2017-05-30T16:55:21 --startdatetime 2017-05-30T17:00:20 --delay 1 --endMP 204:233364 --enddatetime 2017-05-30T17:37:09 --enforcementcount 0 &gt;&gt;C:\Users\stu\Documents\GitHub\eaglep3-reporting\EC\2017-05-30-refined-times.txt</v>
      </c>
      <c r="AI120" s="99" t="str">
        <f t="shared" si="42"/>
        <v>echo {"issue":{"subject":"","project_id":79,"tracker_id":40,"status_id":1,"priority_id":2,"assigned_to_id":23,"start_date":"2017-05-30","description":"","custom_fields":[{"id":1,"name":"Subdivision","value":"EC"},{"id":4,"name":"Milepost","value":"23.3364"},{"id":17,"name":"Train ID","value":"207-30"},{"id":16,"name":"Locomotive ID","value":"4008"},{"id":130,"name":"Impact","value":""},{"id":150,"name":"Time of Event (Mountain Time)","value":"17:37:09"},{"id":151,"name":"Denver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5" t="str">
        <f t="shared" si="43"/>
        <v>start /low /b %USERPROFILE%\Documents\GitHub\eaglep3\Utilities\DownloadLogsFromS3.py --loco 4008 --day 2017-05-30</v>
      </c>
      <c r="AN120" s="154" t="str">
        <f t="shared" si="44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23:37:09"},{"id":29,"name":"Sharepoint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819</v>
      </c>
      <c r="B121" s="7">
        <v>4007</v>
      </c>
      <c r="C121" s="21" t="s">
        <v>204</v>
      </c>
      <c r="D121" s="21" t="s">
        <v>913</v>
      </c>
      <c r="E121" s="13">
        <v>42885.744456018518</v>
      </c>
      <c r="F121" s="13">
        <v>42885.748136574075</v>
      </c>
      <c r="G121" s="7">
        <v>1</v>
      </c>
      <c r="H121" s="21" t="s">
        <v>603</v>
      </c>
      <c r="I121" s="13">
        <v>42885.774282407408</v>
      </c>
      <c r="J121" s="7">
        <v>0</v>
      </c>
      <c r="K121" s="92" t="str">
        <f t="shared" si="28"/>
        <v>4007/4008</v>
      </c>
      <c r="L121" s="21" t="str">
        <f>VLOOKUP(A121,'Trips&amp;Operators'!$C$1:$G$99999,5,FALSE)</f>
        <v>LEVIN SCOTT</v>
      </c>
      <c r="M121" s="6">
        <f t="shared" si="29"/>
        <v>2.6145833333430346E-2</v>
      </c>
      <c r="N121" s="7">
        <f t="shared" si="50"/>
        <v>37.650000000139698</v>
      </c>
      <c r="O121" s="7"/>
      <c r="P121" s="7"/>
      <c r="Q121" s="22"/>
      <c r="R121" s="173"/>
      <c r="S121" s="176">
        <f t="shared" si="51"/>
        <v>1</v>
      </c>
      <c r="T121" s="202" t="str">
        <f t="shared" si="30"/>
        <v>Southbound</v>
      </c>
      <c r="U121" s="202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03" t="str">
        <f t="shared" si="31"/>
        <v>https://d0f6bd738d7f1b3e5a7ca70fe4ff75f0.us-east-1.aws.found.io/app/kibana#/discover/Steve-Slow-Train-Analysis-(2080s-and-2083s)?_g=(refreshInterval:(display:Off,pause:!f,section:0,value:0),time:(from:'2017-05-30T16:52:01-0600',mode:absolute,to:'2017-05-30T19:34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21" s="204" t="str">
        <f t="shared" si="32"/>
        <v>N</v>
      </c>
      <c r="X121" s="204">
        <f t="shared" si="47"/>
        <v>1</v>
      </c>
      <c r="Y121" s="204">
        <f t="shared" si="48"/>
        <v>23.305299999999999</v>
      </c>
      <c r="Z121" s="204">
        <f t="shared" si="49"/>
        <v>1.29E-2</v>
      </c>
      <c r="AA121" s="204">
        <f t="shared" si="36"/>
        <v>23.292400000000001</v>
      </c>
      <c r="AB121" s="57" t="e">
        <f>VLOOKUP(A121,Enforcements!$C$7:$K$13,8,0)</f>
        <v>#N/A</v>
      </c>
      <c r="AC121" s="53" t="e">
        <f>VLOOKUP(A121,Enforcements!$C$7:$E$13,3,0)</f>
        <v>#N/A</v>
      </c>
      <c r="AD121" s="54" t="str">
        <f t="shared" si="37"/>
        <v>0208-30</v>
      </c>
      <c r="AE121" s="80" t="str">
        <f t="shared" si="38"/>
        <v>aws s3 cp s3://rtdc.mdm.uploadarchive.raw/RTDC4007/ "%USERPROFILE%\AppData\Local\Temp\OnboardLogs"\RTDC4007\2017-05-30 --exclude "*" --recursive --include "*20170530*" &amp; "%USERPROFILE%\Documents\GitHub\mrs-test-scripts\Headless Mode &amp; Sideloading\WalkAndUnGZ.bat" "%USERPROFILE%\AppData\Local\Temp\OnboardLogs"\RTDC4007\2017-05-30 &amp; aws s3 cp s3://rtdc.mdm.uploadarchive.raw/RTDC4007/ "%USERPROFILE%\AppData\Local\Temp\OnboardLogs"\RTDC4007\2017-05-31 --exclude "*" --recursive --include "*20170531*" &amp; "%USERPROFILE%\Documents\GitHub\mrs-test-scripts\Headless Mode &amp; Sideloading\WalkAndUnGZ.bat" "%USERPROFILE%\AppData\Local\Temp\OnboardLogs"\RTDC4007\2017-05-31</v>
      </c>
      <c r="AF121" s="77" t="str">
        <f t="shared" si="39"/>
        <v>"C:\Program Files (x86)\AstroGrep\AstroGrep.exe" /e /r /s /spath="%USERPROFILE%\AppData\Local\Temp\OnboardLogs" /stypes="app*4007*20170531*" /stext=" 00:.+((SYSTEM_STATE.+slice.+state.+changed )|(ment ac)|(multiple cpu faults)|(system.+state.+changed )|(\[timeout)|(PRM\|1\|D)|(kpr)|(kdp)|(train st.+moving)|(\|lc)|(penalty))"</v>
      </c>
      <c r="AG121" s="1" t="str">
        <f t="shared" si="40"/>
        <v>EC</v>
      </c>
      <c r="AH121" s="81" t="str">
        <f t="shared" si="41"/>
        <v>"%USERPROFILE%\Documents\GitHub\eaglep3\Utilities\RefineRTDCRunTimes.py" --tripid 208-30 --locoid 4007 --swversion DE.1.0.9.0 --startMP 204:233053 --initTime 2017-05-30T17:52:01 --startdatetime 2017-05-30T17:57:19 --delay 1 --endMP 204:129 --enddatetime 2017-05-30T18:34:58 --enforcementcount 0 &gt;&gt;C:\Users\stu\Documents\GitHub\eaglep3-reporting\EC\2017-05-30-refined-times.txt</v>
      </c>
      <c r="AI121" s="99" t="str">
        <f t="shared" si="42"/>
        <v>echo {"issue":{"subject":"","project_id":79,"tracker_id":40,"status_id":1,"priority_id":2,"assigned_to_id":23,"start_date":"2017-05-30","description":"","custom_fields":[{"id":1,"name":"Subdivision","value":"EC"},{"id":4,"name":"Milepost","value":"0.0129"},{"id":17,"name":"Train ID","value":"208-30"},{"id":16,"name":"Locomotive ID","value":"4007"},{"id":130,"name":"Impact","value":""},{"id":150,"name":"Time of Event (Mountain Time)","value":"18:34:58"},{"id":151,"name":"Denver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5" t="str">
        <f t="shared" si="43"/>
        <v>start /low /b %USERPROFILE%\Documents\GitHub\eaglep3\Utilities\DownloadLogsFromS3.py --loco 4007 --day 2017-05-30</v>
      </c>
      <c r="AN121" s="154" t="str">
        <f t="shared" si="44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00:34:58"},{"id":29,"name":"Sharepoint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655</v>
      </c>
      <c r="B122" s="7">
        <v>4032</v>
      </c>
      <c r="C122" s="21" t="s">
        <v>204</v>
      </c>
      <c r="D122" s="21" t="s">
        <v>355</v>
      </c>
      <c r="E122" s="13">
        <v>42885.71603009259</v>
      </c>
      <c r="F122" s="13">
        <v>42885.718993055554</v>
      </c>
      <c r="G122" s="7">
        <v>1</v>
      </c>
      <c r="H122" s="21" t="s">
        <v>914</v>
      </c>
      <c r="I122" s="13">
        <v>42885.745844907404</v>
      </c>
      <c r="J122" s="7">
        <v>0</v>
      </c>
      <c r="K122" s="92" t="str">
        <f t="shared" si="28"/>
        <v>4031/4032</v>
      </c>
      <c r="L122" s="21" t="str">
        <f>VLOOKUP(A122,'Trips&amp;Operators'!$C$1:$G$99999,5,FALSE)</f>
        <v>LEVERE CRAIG</v>
      </c>
      <c r="M122" s="6">
        <f t="shared" si="29"/>
        <v>2.6851851849642117E-2</v>
      </c>
      <c r="N122" s="7">
        <f t="shared" si="50"/>
        <v>38.666666663484648</v>
      </c>
      <c r="O122" s="7"/>
      <c r="P122" s="7"/>
      <c r="Q122" s="22"/>
      <c r="R122" s="173"/>
      <c r="S122" s="176">
        <f t="shared" si="51"/>
        <v>1</v>
      </c>
      <c r="T122" s="202" t="str">
        <f t="shared" si="30"/>
        <v>NorthBound</v>
      </c>
      <c r="U122" s="202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03" t="str">
        <f t="shared" si="31"/>
        <v>https://d0f6bd738d7f1b3e5a7ca70fe4ff75f0.us-east-1.aws.found.io/app/kibana#/discover/Steve-Slow-Train-Analysis-(2080s-and-2083s)?_g=(refreshInterval:(display:Off,pause:!f,section:0,value:0),time:(from:'2017-05-30T16:11:05-0600',mode:absolute,to:'2017-05-30T18:54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22" s="204" t="str">
        <f t="shared" si="32"/>
        <v>N</v>
      </c>
      <c r="X122" s="204">
        <f t="shared" si="47"/>
        <v>1</v>
      </c>
      <c r="Y122" s="204">
        <f t="shared" si="48"/>
        <v>4.6600000000000003E-2</v>
      </c>
      <c r="Z122" s="204">
        <f t="shared" si="49"/>
        <v>23.323</v>
      </c>
      <c r="AA122" s="204">
        <f t="shared" si="36"/>
        <v>23.276399999999999</v>
      </c>
      <c r="AB122" s="57" t="e">
        <f>VLOOKUP(A122,Enforcements!$C$7:$K$13,8,0)</f>
        <v>#N/A</v>
      </c>
      <c r="AC122" s="53" t="e">
        <f>VLOOKUP(A122,Enforcements!$C$7:$E$13,3,0)</f>
        <v>#N/A</v>
      </c>
      <c r="AD122" s="54" t="str">
        <f t="shared" si="37"/>
        <v>0209-30</v>
      </c>
      <c r="AE122" s="80" t="str">
        <f t="shared" si="38"/>
        <v>aws s3 cp s3://rtdc.mdm.uploadarchive.raw/RTDC4032/ "%USERPROFILE%\AppData\Local\Temp\OnboardLogs"\RTDC4032\2017-05-30 --exclude "*" --recursive --include "*20170530*" &amp; "%USERPROFILE%\Documents\GitHub\mrs-test-scripts\Headless Mode &amp; Sideloading\WalkAndUnGZ.bat" "%USERPROFILE%\AppData\Local\Temp\OnboardLogs"\RTDC4032\2017-05-30 &amp; aws s3 cp s3://rtdc.mdm.uploadarchive.raw/RTDC4032/ "%USERPROFILE%\AppData\Local\Temp\OnboardLogs"\RTDC4032\2017-05-31 --exclude "*" --recursive --include "*20170531*" &amp; "%USERPROFILE%\Documents\GitHub\mrs-test-scripts\Headless Mode &amp; Sideloading\WalkAndUnGZ.bat" "%USERPROFILE%\AppData\Local\Temp\OnboardLogs"\RTDC4032\2017-05-31</v>
      </c>
      <c r="AF122" s="77" t="str">
        <f t="shared" si="39"/>
        <v>"C:\Program Files (x86)\AstroGrep\AstroGrep.exe" /e /r /s /spath="%USERPROFILE%\AppData\Local\Temp\OnboardLogs" /stypes="app*4032*20170530*" /stext=" 23:.+((SYSTEM_STATE.+slice.+state.+changed )|(ment ac)|(multiple cpu faults)|(system.+state.+changed )|(\[timeout)|(PRM\|1\|D)|(kpr)|(kdp)|(train st.+moving)|(\|lc)|(penalty))"</v>
      </c>
      <c r="AG122" s="1" t="str">
        <f t="shared" si="40"/>
        <v>EC</v>
      </c>
      <c r="AH122" s="81" t="str">
        <f t="shared" si="41"/>
        <v>"%USERPROFILE%\Documents\GitHub\eaglep3\Utilities\RefineRTDCRunTimes.py" --tripid 209-30 --locoid 4032 --swversion DE.1.0.9.0 --startMP 204:466 --initTime 2017-05-30T17:11:05 --startdatetime 2017-05-30T17:15:21 --delay 1 --endMP 204:233230 --enddatetime 2017-05-30T17:54:01 --enforcementcount 0 &gt;&gt;C:\Users\stu\Documents\GitHub\eaglep3-reporting\EC\2017-05-30-refined-times.txt</v>
      </c>
      <c r="AI122" s="99" t="str">
        <f t="shared" si="42"/>
        <v>echo {"issue":{"subject":"","project_id":79,"tracker_id":40,"status_id":1,"priority_id":2,"assigned_to_id":23,"start_date":"2017-05-30","description":"","custom_fields":[{"id":1,"name":"Subdivision","value":"EC"},{"id":4,"name":"Milepost","value":"23.323"},{"id":17,"name":"Train ID","value":"209-30"},{"id":16,"name":"Locomotive ID","value":"4032"},{"id":130,"name":"Impact","value":""},{"id":150,"name":"Time of Event (Mountain Time)","value":"17:54:01"},{"id":151,"name":"Denver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5" t="str">
        <f t="shared" si="43"/>
        <v>start /low /b %USERPROFILE%\Documents\GitHub\eaglep3\Utilities\DownloadLogsFromS3.py --loco 4032 --day 2017-05-30</v>
      </c>
      <c r="AN122" s="154" t="str">
        <f t="shared" si="44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23:54:01"},{"id":29,"name":"Sharepoint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821</v>
      </c>
      <c r="B123" s="7">
        <v>4031</v>
      </c>
      <c r="C123" s="21" t="s">
        <v>204</v>
      </c>
      <c r="D123" s="21" t="s">
        <v>915</v>
      </c>
      <c r="E123" s="13">
        <v>42885.751620370371</v>
      </c>
      <c r="F123" s="13">
        <v>42885.758599537039</v>
      </c>
      <c r="G123" s="7">
        <v>1</v>
      </c>
      <c r="H123" s="21" t="s">
        <v>195</v>
      </c>
      <c r="I123" s="13">
        <v>42885.786249999997</v>
      </c>
      <c r="J123" s="7">
        <v>0</v>
      </c>
      <c r="K123" s="92" t="str">
        <f t="shared" si="28"/>
        <v>4031/4032</v>
      </c>
      <c r="L123" s="21" t="str">
        <f>VLOOKUP(A123,'Trips&amp;Operators'!$C$1:$G$99999,5,FALSE)</f>
        <v>LEVERE CRAIG</v>
      </c>
      <c r="M123" s="6">
        <f t="shared" si="29"/>
        <v>2.7650462958263233E-2</v>
      </c>
      <c r="N123" s="7">
        <f t="shared" si="50"/>
        <v>39.816666659899056</v>
      </c>
      <c r="O123" s="7"/>
      <c r="P123" s="7"/>
      <c r="Q123" s="22"/>
      <c r="R123" s="173"/>
      <c r="S123" s="176">
        <f t="shared" si="51"/>
        <v>1</v>
      </c>
      <c r="T123" s="202" t="str">
        <f t="shared" si="30"/>
        <v>Southbound</v>
      </c>
      <c r="U123" s="202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03" t="str">
        <f t="shared" si="31"/>
        <v>https://d0f6bd738d7f1b3e5a7ca70fe4ff75f0.us-east-1.aws.found.io/app/kibana#/discover/Steve-Slow-Train-Analysis-(2080s-and-2083s)?_g=(refreshInterval:(display:Off,pause:!f,section:0,value:0),time:(from:'2017-05-30T17:02:20-0600',mode:absolute,to:'2017-05-30T19:52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23" s="204" t="str">
        <f t="shared" si="32"/>
        <v>N</v>
      </c>
      <c r="X123" s="204">
        <f t="shared" si="47"/>
        <v>1</v>
      </c>
      <c r="Y123" s="204">
        <f t="shared" si="48"/>
        <v>23.2911</v>
      </c>
      <c r="Z123" s="204">
        <f t="shared" si="49"/>
        <v>1.52E-2</v>
      </c>
      <c r="AA123" s="204">
        <f t="shared" si="36"/>
        <v>23.2759</v>
      </c>
      <c r="AB123" s="57" t="e">
        <f>VLOOKUP(A123,Enforcements!$C$7:$K$13,8,0)</f>
        <v>#N/A</v>
      </c>
      <c r="AC123" s="53" t="e">
        <f>VLOOKUP(A123,Enforcements!$C$7:$E$13,3,0)</f>
        <v>#N/A</v>
      </c>
      <c r="AD123" s="54" t="str">
        <f t="shared" si="37"/>
        <v>0210-30</v>
      </c>
      <c r="AE123" s="80" t="str">
        <f t="shared" si="38"/>
        <v>aws s3 cp s3://rtdc.mdm.uploadarchive.raw/RTDC4031/ "%USERPROFILE%\AppData\Local\Temp\OnboardLogs"\RTDC4031\2017-05-30 --exclude "*" --recursive --include "*20170530*" &amp; "%USERPROFILE%\Documents\GitHub\mrs-test-scripts\Headless Mode &amp; Sideloading\WalkAndUnGZ.bat" "%USERPROFILE%\AppData\Local\Temp\OnboardLogs"\RTDC4031\2017-05-30 &amp; aws s3 cp s3://rtdc.mdm.uploadarchive.raw/RTDC4031/ "%USERPROFILE%\AppData\Local\Temp\OnboardLogs"\RTDC4031\2017-05-31 --exclude "*" --recursive --include "*20170531*" &amp; "%USERPROFILE%\Documents\GitHub\mrs-test-scripts\Headless Mode &amp; Sideloading\WalkAndUnGZ.bat" "%USERPROFILE%\AppData\Local\Temp\OnboardLogs"\RTDC4031\2017-05-31</v>
      </c>
      <c r="AF123" s="77" t="str">
        <f t="shared" si="39"/>
        <v>"C:\Program Files (x86)\AstroGrep\AstroGrep.exe" /e /r /s /spath="%USERPROFILE%\AppData\Local\Temp\OnboardLogs" /stypes="app*4031*20170531*" /stext=" 00:.+((SYSTEM_STATE.+slice.+state.+changed )|(ment ac)|(multiple cpu faults)|(system.+state.+changed )|(\[timeout)|(PRM\|1\|D)|(kpr)|(kdp)|(train st.+moving)|(\|lc)|(penalty))"</v>
      </c>
      <c r="AG123" s="1" t="str">
        <f t="shared" si="40"/>
        <v>EC</v>
      </c>
      <c r="AH123" s="81" t="str">
        <f t="shared" si="41"/>
        <v>"%USERPROFILE%\Documents\GitHub\eaglep3\Utilities\RefineRTDCRunTimes.py" --tripid 210-30 --locoid 4031 --swversion DE.1.0.9.0 --startMP 204:232911 --initTime 2017-05-30T18:02:20 --startdatetime 2017-05-30T18:12:23 --delay 1 --endMP 204:152 --enddatetime 2017-05-30T18:52:12 --enforcementcount 0 &gt;&gt;C:\Users\stu\Documents\GitHub\eaglep3-reporting\EC\2017-05-30-refined-times.txt</v>
      </c>
      <c r="AI123" s="99" t="str">
        <f t="shared" si="42"/>
        <v>echo {"issue":{"subject":"","project_id":79,"tracker_id":40,"status_id":1,"priority_id":2,"assigned_to_id":23,"start_date":"2017-05-30","description":"","custom_fields":[{"id":1,"name":"Subdivision","value":"EC"},{"id":4,"name":"Milepost","value":"0.0152"},{"id":17,"name":"Train ID","value":"210-30"},{"id":16,"name":"Locomotive ID","value":"4031"},{"id":130,"name":"Impact","value":""},{"id":150,"name":"Time of Event (Mountain Time)","value":"18:52:12"},{"id":151,"name":"Denver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5" t="str">
        <f t="shared" si="43"/>
        <v>start /low /b %USERPROFILE%\Documents\GitHub\eaglep3\Utilities\DownloadLogsFromS3.py --loco 4031 --day 2017-05-30</v>
      </c>
      <c r="AN123" s="154" t="str">
        <f t="shared" si="44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00:52:12"},{"id":29,"name":"Sharepoint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815</v>
      </c>
      <c r="B124" s="7">
        <v>4056</v>
      </c>
      <c r="C124" s="21" t="s">
        <v>204</v>
      </c>
      <c r="D124" s="21" t="s">
        <v>495</v>
      </c>
      <c r="E124" s="13">
        <v>42885.726597222223</v>
      </c>
      <c r="F124" s="13">
        <v>42885.729467592595</v>
      </c>
      <c r="G124" s="7">
        <v>1</v>
      </c>
      <c r="H124" s="21" t="s">
        <v>916</v>
      </c>
      <c r="I124" s="13">
        <v>42885.755949074075</v>
      </c>
      <c r="J124" s="7">
        <v>0</v>
      </c>
      <c r="K124" s="92" t="str">
        <f t="shared" si="28"/>
        <v>4055/4056</v>
      </c>
      <c r="L124" s="21" t="str">
        <f>VLOOKUP(A124,'Trips&amp;Operators'!$C$1:$G$99999,5,FALSE)</f>
        <v>BRANDNER MELINDA</v>
      </c>
      <c r="M124" s="6">
        <f t="shared" si="29"/>
        <v>2.6481481480004732E-2</v>
      </c>
      <c r="N124" s="7">
        <f t="shared" si="50"/>
        <v>38.133333331206813</v>
      </c>
      <c r="O124" s="7"/>
      <c r="P124" s="7"/>
      <c r="Q124" s="22"/>
      <c r="R124" s="173"/>
      <c r="S124" s="176">
        <f t="shared" si="51"/>
        <v>1</v>
      </c>
      <c r="T124" s="202" t="str">
        <f t="shared" si="30"/>
        <v>NorthBound</v>
      </c>
      <c r="U124" s="202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03" t="str">
        <f t="shared" si="31"/>
        <v>https://d0f6bd738d7f1b3e5a7ca70fe4ff75f0.us-east-1.aws.found.io/app/kibana#/discover/Steve-Slow-Train-Analysis-(2080s-and-2083s)?_g=(refreshInterval:(display:Off,pause:!f,section:0,value:0),time:(from:'2017-05-30T16:26:18-0600',mode:absolute,to:'2017-05-30T19:08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24" s="204" t="str">
        <f t="shared" si="32"/>
        <v>N</v>
      </c>
      <c r="X124" s="204">
        <f t="shared" si="47"/>
        <v>1</v>
      </c>
      <c r="Y124" s="204">
        <f t="shared" si="48"/>
        <v>4.3999999999999997E-2</v>
      </c>
      <c r="Z124" s="204">
        <f t="shared" si="49"/>
        <v>23.3278</v>
      </c>
      <c r="AA124" s="204">
        <f t="shared" si="36"/>
        <v>23.283799999999999</v>
      </c>
      <c r="AB124" s="57" t="e">
        <f>VLOOKUP(A124,Enforcements!$C$7:$K$13,8,0)</f>
        <v>#N/A</v>
      </c>
      <c r="AC124" s="53" t="e">
        <f>VLOOKUP(A124,Enforcements!$C$7:$E$13,3,0)</f>
        <v>#N/A</v>
      </c>
      <c r="AD124" s="54" t="str">
        <f t="shared" si="37"/>
        <v>0211-30</v>
      </c>
      <c r="AE124" s="80" t="str">
        <f t="shared" si="38"/>
        <v>aws s3 cp s3://rtdc.mdm.uploadarchive.raw/RTDC4056/ "%USERPROFILE%\AppData\Local\Temp\OnboardLogs"\RTDC4056\2017-05-30 --exclude "*" --recursive --include "*20170530*" &amp; "%USERPROFILE%\Documents\GitHub\mrs-test-scripts\Headless Mode &amp; Sideloading\WalkAndUnGZ.bat" "%USERPROFILE%\AppData\Local\Temp\OnboardLogs"\RTDC4056\2017-05-30 &amp; aws s3 cp s3://rtdc.mdm.uploadarchive.raw/RTDC4056/ "%USERPROFILE%\AppData\Local\Temp\OnboardLogs"\RTDC4056\2017-05-31 --exclude "*" --recursive --include "*20170531*" &amp; "%USERPROFILE%\Documents\GitHub\mrs-test-scripts\Headless Mode &amp; Sideloading\WalkAndUnGZ.bat" "%USERPROFILE%\AppData\Local\Temp\OnboardLogs"\RTDC4056\2017-05-31</v>
      </c>
      <c r="AF124" s="77" t="str">
        <f t="shared" si="39"/>
        <v>"C:\Program Files (x86)\AstroGrep\AstroGrep.exe" /e /r /s /spath="%USERPROFILE%\AppData\Local\Temp\OnboardLogs" /stypes="app*4056*20170531*" /stext=" 00:.+((SYSTEM_STATE.+slice.+state.+changed )|(ment ac)|(multiple cpu faults)|(system.+state.+changed )|(\[timeout)|(PRM\|1\|D)|(kpr)|(kdp)|(train st.+moving)|(\|lc)|(penalty))"</v>
      </c>
      <c r="AG124" s="1" t="str">
        <f t="shared" si="40"/>
        <v>EC</v>
      </c>
      <c r="AH124" s="81" t="str">
        <f t="shared" si="41"/>
        <v>"%USERPROFILE%\Documents\GitHub\eaglep3\Utilities\RefineRTDCRunTimes.py" --tripid 211-30 --locoid 4056 --swversion DE.1.0.9.0 --startMP 204:440 --initTime 2017-05-30T17:26:18 --startdatetime 2017-05-30T17:30:26 --delay 1 --endMP 204:233278 --enddatetime 2017-05-30T18:08:34 --enforcementcount 0 &gt;&gt;C:\Users\stu\Documents\GitHub\eaglep3-reporting\EC\2017-05-30-refined-times.txt</v>
      </c>
      <c r="AI124" s="99" t="str">
        <f t="shared" si="42"/>
        <v>echo {"issue":{"subject":"","project_id":79,"tracker_id":40,"status_id":1,"priority_id":2,"assigned_to_id":23,"start_date":"2017-05-30","description":"","custom_fields":[{"id":1,"name":"Subdivision","value":"EC"},{"id":4,"name":"Milepost","value":"23.3278"},{"id":17,"name":"Train ID","value":"211-30"},{"id":16,"name":"Locomotive ID","value":"4056"},{"id":130,"name":"Impact","value":""},{"id":150,"name":"Time of Event (Mountain Time)","value":"18:08:34"},{"id":151,"name":"Denver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5" t="str">
        <f t="shared" si="43"/>
        <v>start /low /b %USERPROFILE%\Documents\GitHub\eaglep3\Utilities\DownloadLogsFromS3.py --loco 4056 --day 2017-05-30</v>
      </c>
      <c r="AN124" s="154" t="str">
        <f t="shared" si="44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00:08:34"},{"id":29,"name":"Sharepoint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825</v>
      </c>
      <c r="B125" s="7">
        <v>4055</v>
      </c>
      <c r="C125" s="21" t="s">
        <v>204</v>
      </c>
      <c r="D125" s="21" t="s">
        <v>592</v>
      </c>
      <c r="E125" s="13">
        <v>42885.759398148148</v>
      </c>
      <c r="F125" s="13">
        <v>42885.769004629627</v>
      </c>
      <c r="G125" s="7">
        <v>1</v>
      </c>
      <c r="H125" s="21" t="s">
        <v>372</v>
      </c>
      <c r="I125" s="13">
        <v>42885.796006944445</v>
      </c>
      <c r="J125" s="7">
        <v>0</v>
      </c>
      <c r="K125" s="92" t="str">
        <f t="shared" si="28"/>
        <v>4055/4056</v>
      </c>
      <c r="L125" s="21" t="str">
        <f>VLOOKUP(A125,'Trips&amp;Operators'!$C$1:$G$99999,5,FALSE)</f>
        <v>ZEWDU DEREJE</v>
      </c>
      <c r="M125" s="6">
        <f t="shared" si="29"/>
        <v>2.7002314818673767E-2</v>
      </c>
      <c r="N125" s="7">
        <f t="shared" si="50"/>
        <v>38.883333338890225</v>
      </c>
      <c r="O125" s="7"/>
      <c r="P125" s="7"/>
      <c r="Q125" s="22"/>
      <c r="R125" s="173"/>
      <c r="S125" s="176">
        <f t="shared" si="51"/>
        <v>1</v>
      </c>
      <c r="T125" s="202" t="str">
        <f t="shared" si="30"/>
        <v>Southbound</v>
      </c>
      <c r="U125" s="202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03" t="str">
        <f t="shared" si="31"/>
        <v>https://d0f6bd738d7f1b3e5a7ca70fe4ff75f0.us-east-1.aws.found.io/app/kibana#/discover/Steve-Slow-Train-Analysis-(2080s-and-2083s)?_g=(refreshInterval:(display:Off,pause:!f,section:0,value:0),time:(from:'2017-05-30T17:13:32-0600',mode:absolute,to:'2017-05-30T20:06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25" s="204" t="str">
        <f t="shared" si="32"/>
        <v>N</v>
      </c>
      <c r="X125" s="204">
        <f t="shared" si="47"/>
        <v>1</v>
      </c>
      <c r="Y125" s="204">
        <f t="shared" si="48"/>
        <v>23.296500000000002</v>
      </c>
      <c r="Z125" s="204">
        <f t="shared" si="49"/>
        <v>1.3599999999999999E-2</v>
      </c>
      <c r="AA125" s="204">
        <f t="shared" si="36"/>
        <v>23.282900000000001</v>
      </c>
      <c r="AB125" s="57" t="e">
        <f>VLOOKUP(A125,Enforcements!$C$7:$K$13,8,0)</f>
        <v>#N/A</v>
      </c>
      <c r="AC125" s="53" t="e">
        <f>VLOOKUP(A125,Enforcements!$C$7:$E$13,3,0)</f>
        <v>#N/A</v>
      </c>
      <c r="AD125" s="54" t="str">
        <f t="shared" si="37"/>
        <v>0212-30</v>
      </c>
      <c r="AE125" s="80" t="str">
        <f t="shared" si="38"/>
        <v>aws s3 cp s3://rtdc.mdm.uploadarchive.raw/RTDC4055/ "%USERPROFILE%\AppData\Local\Temp\OnboardLogs"\RTDC4055\2017-05-30 --exclude "*" --recursive --include "*20170530*" &amp; "%USERPROFILE%\Documents\GitHub\mrs-test-scripts\Headless Mode &amp; Sideloading\WalkAndUnGZ.bat" "%USERPROFILE%\AppData\Local\Temp\OnboardLogs"\RTDC4055\2017-05-30 &amp; aws s3 cp s3://rtdc.mdm.uploadarchive.raw/RTDC4055/ "%USERPROFILE%\AppData\Local\Temp\OnboardLogs"\RTDC4055\2017-05-31 --exclude "*" --recursive --include "*20170531*" &amp; "%USERPROFILE%\Documents\GitHub\mrs-test-scripts\Headless Mode &amp; Sideloading\WalkAndUnGZ.bat" "%USERPROFILE%\AppData\Local\Temp\OnboardLogs"\RTDC4055\2017-05-31</v>
      </c>
      <c r="AF125" s="77" t="str">
        <f t="shared" si="39"/>
        <v>"C:\Program Files (x86)\AstroGrep\AstroGrep.exe" /e /r /s /spath="%USERPROFILE%\AppData\Local\Temp\OnboardLogs" /stypes="app*4055*20170531*" /stext=" 01:.+((SYSTEM_STATE.+slice.+state.+changed )|(ment ac)|(multiple cpu faults)|(system.+state.+changed )|(\[timeout)|(PRM\|1\|D)|(kpr)|(kdp)|(train st.+moving)|(\|lc)|(penalty))"</v>
      </c>
      <c r="AG125" s="1" t="str">
        <f t="shared" si="40"/>
        <v>EC</v>
      </c>
      <c r="AH125" s="81" t="str">
        <f t="shared" si="41"/>
        <v>"%USERPROFILE%\Documents\GitHub\eaglep3\Utilities\RefineRTDCRunTimes.py" --tripid 212-30 --locoid 4055 --swversion DE.1.0.9.0 --startMP 204:232965 --initTime 2017-05-30T18:13:32 --startdatetime 2017-05-30T18:27:22 --delay 1 --endMP 204:136 --enddatetime 2017-05-30T19:06:15 --enforcementcount 0 &gt;&gt;C:\Users\stu\Documents\GitHub\eaglep3-reporting\EC\2017-05-30-refined-times.txt</v>
      </c>
      <c r="AI125" s="99" t="str">
        <f t="shared" si="42"/>
        <v>echo {"issue":{"subject":"","project_id":79,"tracker_id":40,"status_id":1,"priority_id":2,"assigned_to_id":23,"start_date":"2017-05-30","description":"","custom_fields":[{"id":1,"name":"Subdivision","value":"EC"},{"id":4,"name":"Milepost","value":"0.0136"},{"id":17,"name":"Train ID","value":"212-30"},{"id":16,"name":"Locomotive ID","value":"4055"},{"id":130,"name":"Impact","value":""},{"id":150,"name":"Time of Event (Mountain Time)","value":"19:06:15"},{"id":151,"name":"Denver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5" t="str">
        <f t="shared" si="43"/>
        <v>start /low /b %USERPROFILE%\Documents\GitHub\eaglep3\Utilities\DownloadLogsFromS3.py --loco 4055 --day 2017-05-30</v>
      </c>
      <c r="AN125" s="154" t="str">
        <f t="shared" si="44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01:06:15"},{"id":29,"name":"Sharepoint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818</v>
      </c>
      <c r="B126" s="7">
        <v>4020</v>
      </c>
      <c r="C126" s="21" t="s">
        <v>204</v>
      </c>
      <c r="D126" s="21" t="s">
        <v>401</v>
      </c>
      <c r="E126" s="13">
        <v>42885.736747685187</v>
      </c>
      <c r="F126" s="13">
        <v>42885.739965277775</v>
      </c>
      <c r="G126" s="7">
        <v>1</v>
      </c>
      <c r="H126" s="21" t="s">
        <v>886</v>
      </c>
      <c r="I126" s="13">
        <v>42885.765127314815</v>
      </c>
      <c r="J126" s="7">
        <v>0</v>
      </c>
      <c r="K126" s="92" t="str">
        <f t="shared" si="28"/>
        <v>4019/4020</v>
      </c>
      <c r="L126" s="21" t="str">
        <f>VLOOKUP(A126,'Trips&amp;Operators'!$C$1:$G$99999,5,FALSE)</f>
        <v>SMITH MICHAEL</v>
      </c>
      <c r="M126" s="6">
        <f t="shared" si="29"/>
        <v>2.5162037039990537E-2</v>
      </c>
      <c r="N126" s="7">
        <f t="shared" si="50"/>
        <v>36.233333337586373</v>
      </c>
      <c r="O126" s="7"/>
      <c r="P126" s="7"/>
      <c r="Q126" s="22"/>
      <c r="R126" s="173"/>
      <c r="S126" s="176">
        <f t="shared" si="51"/>
        <v>1</v>
      </c>
      <c r="T126" s="202" t="str">
        <f t="shared" si="30"/>
        <v>NorthBound</v>
      </c>
      <c r="U126" s="202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03" t="str">
        <f t="shared" si="31"/>
        <v>https://d0f6bd738d7f1b3e5a7ca70fe4ff75f0.us-east-1.aws.found.io/app/kibana#/discover/Steve-Slow-Train-Analysis-(2080s-and-2083s)?_g=(refreshInterval:(display:Off,pause:!f,section:0,value:0),time:(from:'2017-05-30T16:40:55-0600',mode:absolute,to:'2017-05-30T19:21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26" s="204" t="str">
        <f t="shared" si="32"/>
        <v>N</v>
      </c>
      <c r="X126" s="204">
        <f t="shared" si="47"/>
        <v>1</v>
      </c>
      <c r="Y126" s="204">
        <f t="shared" si="48"/>
        <v>4.6199999999999998E-2</v>
      </c>
      <c r="Z126" s="204">
        <f t="shared" si="49"/>
        <v>23.328499999999998</v>
      </c>
      <c r="AA126" s="204">
        <f t="shared" si="36"/>
        <v>23.282299999999999</v>
      </c>
      <c r="AB126" s="57" t="e">
        <f>VLOOKUP(A126,Enforcements!$C$7:$K$13,8,0)</f>
        <v>#N/A</v>
      </c>
      <c r="AC126" s="53" t="e">
        <f>VLOOKUP(A126,Enforcements!$C$7:$E$13,3,0)</f>
        <v>#N/A</v>
      </c>
      <c r="AD126" s="54" t="str">
        <f t="shared" si="37"/>
        <v>0213-30</v>
      </c>
      <c r="AE126" s="80" t="str">
        <f t="shared" si="38"/>
        <v>aws s3 cp s3://rtdc.mdm.uploadarchive.raw/RTDC4020/ "%USERPROFILE%\AppData\Local\Temp\OnboardLogs"\RTDC4020\2017-05-30 --exclude "*" --recursive --include "*20170530*" &amp; "%USERPROFILE%\Documents\GitHub\mrs-test-scripts\Headless Mode &amp; Sideloading\WalkAndUnGZ.bat" "%USERPROFILE%\AppData\Local\Temp\OnboardLogs"\RTDC4020\2017-05-30 &amp; aws s3 cp s3://rtdc.mdm.uploadarchive.raw/RTDC4020/ "%USERPROFILE%\AppData\Local\Temp\OnboardLogs"\RTDC4020\2017-05-31 --exclude "*" --recursive --include "*20170531*" &amp; "%USERPROFILE%\Documents\GitHub\mrs-test-scripts\Headless Mode &amp; Sideloading\WalkAndUnGZ.bat" "%USERPROFILE%\AppData\Local\Temp\OnboardLogs"\RTDC4020\2017-05-31</v>
      </c>
      <c r="AF126" s="77" t="str">
        <f t="shared" si="39"/>
        <v>"C:\Program Files (x86)\AstroGrep\AstroGrep.exe" /e /r /s /spath="%USERPROFILE%\AppData\Local\Temp\OnboardLogs" /stypes="app*4020*20170531*" /stext=" 00:.+((SYSTEM_STATE.+slice.+state.+changed )|(ment ac)|(multiple cpu faults)|(system.+state.+changed )|(\[timeout)|(PRM\|1\|D)|(kpr)|(kdp)|(train st.+moving)|(\|lc)|(penalty))"</v>
      </c>
      <c r="AG126" s="1" t="str">
        <f t="shared" si="40"/>
        <v>EC</v>
      </c>
      <c r="AH126" s="81" t="str">
        <f t="shared" si="41"/>
        <v>"%USERPROFILE%\Documents\GitHub\eaglep3\Utilities\RefineRTDCRunTimes.py" --tripid 213-30 --locoid 4020 --swversion DE.1.0.9.0 --startMP 204:462 --initTime 2017-05-30T17:40:55 --startdatetime 2017-05-30T17:45:33 --delay 1 --endMP 204:233285 --enddatetime 2017-05-30T18:21:47 --enforcementcount 0 &gt;&gt;C:\Users\stu\Documents\GitHub\eaglep3-reporting\EC\2017-05-30-refined-times.txt</v>
      </c>
      <c r="AI126" s="99" t="str">
        <f t="shared" si="42"/>
        <v>echo {"issue":{"subject":"","project_id":79,"tracker_id":40,"status_id":1,"priority_id":2,"assigned_to_id":23,"start_date":"2017-05-30","description":"","custom_fields":[{"id":1,"name":"Subdivision","value":"EC"},{"id":4,"name":"Milepost","value":"23.3285"},{"id":17,"name":"Train ID","value":"213-30"},{"id":16,"name":"Locomotive ID","value":"4020"},{"id":130,"name":"Impact","value":""},{"id":150,"name":"Time of Event (Mountain Time)","value":"18:21:47"},{"id":151,"name":"Denver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5" t="str">
        <f t="shared" si="43"/>
        <v>start /low /b %USERPROFILE%\Documents\GitHub\eaglep3\Utilities\DownloadLogsFromS3.py --loco 4020 --day 2017-05-30</v>
      </c>
      <c r="AN126" s="154" t="str">
        <f t="shared" si="44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00:21:47"},{"id":29,"name":"Sharepoint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827</v>
      </c>
      <c r="B127" s="7">
        <v>4019</v>
      </c>
      <c r="C127" s="21" t="s">
        <v>204</v>
      </c>
      <c r="D127" s="21" t="s">
        <v>462</v>
      </c>
      <c r="E127" s="13">
        <v>42885.77140046296</v>
      </c>
      <c r="F127" s="13">
        <v>42885.779456018521</v>
      </c>
      <c r="G127" s="7">
        <v>2</v>
      </c>
      <c r="H127" s="21" t="s">
        <v>354</v>
      </c>
      <c r="I127" s="13">
        <v>42885.80678240741</v>
      </c>
      <c r="J127" s="7">
        <v>0</v>
      </c>
      <c r="K127" s="92" t="str">
        <f t="shared" si="28"/>
        <v>4019/4020</v>
      </c>
      <c r="L127" s="21" t="str">
        <f>VLOOKUP(A127,'Trips&amp;Operators'!$C$1:$G$99999,5,FALSE)</f>
        <v>SMITH MICHAEL</v>
      </c>
      <c r="M127" s="6">
        <f t="shared" si="29"/>
        <v>2.73263888884685E-2</v>
      </c>
      <c r="N127" s="7">
        <f t="shared" si="50"/>
        <v>39.34999999939464</v>
      </c>
      <c r="O127" s="7"/>
      <c r="P127" s="7"/>
      <c r="Q127" s="22"/>
      <c r="R127" s="173"/>
      <c r="S127" s="176">
        <f t="shared" si="51"/>
        <v>1</v>
      </c>
      <c r="T127" s="202" t="str">
        <f t="shared" si="30"/>
        <v>Southbound</v>
      </c>
      <c r="U127" s="202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03" t="str">
        <f t="shared" si="31"/>
        <v>https://d0f6bd738d7f1b3e5a7ca70fe4ff75f0.us-east-1.aws.found.io/app/kibana#/discover/Steve-Slow-Train-Analysis-(2080s-and-2083s)?_g=(refreshInterval:(display:Off,pause:!f,section:0,value:0),time:(from:'2017-05-30T17:30:49-0600',mode:absolute,to:'2017-05-30T20:21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27" s="204" t="str">
        <f t="shared" si="32"/>
        <v>N</v>
      </c>
      <c r="X127" s="204">
        <f t="shared" si="47"/>
        <v>1</v>
      </c>
      <c r="Y127" s="204">
        <f t="shared" si="48"/>
        <v>23.299399999999999</v>
      </c>
      <c r="Z127" s="204">
        <f t="shared" si="49"/>
        <v>1.43E-2</v>
      </c>
      <c r="AA127" s="204">
        <f t="shared" si="36"/>
        <v>23.2851</v>
      </c>
      <c r="AB127" s="57" t="e">
        <f>VLOOKUP(A127,Enforcements!$C$7:$K$13,8,0)</f>
        <v>#N/A</v>
      </c>
      <c r="AC127" s="53" t="e">
        <f>VLOOKUP(A127,Enforcements!$C$7:$E$13,3,0)</f>
        <v>#N/A</v>
      </c>
      <c r="AD127" s="54" t="str">
        <f t="shared" si="37"/>
        <v>0214-30</v>
      </c>
      <c r="AE127" s="80" t="str">
        <f t="shared" si="38"/>
        <v>aws s3 cp s3://rtdc.mdm.uploadarchive.raw/RTDC4019/ "%USERPROFILE%\AppData\Local\Temp\OnboardLogs"\RTDC4019\2017-05-30 --exclude "*" --recursive --include "*20170530*" &amp; "%USERPROFILE%\Documents\GitHub\mrs-test-scripts\Headless Mode &amp; Sideloading\WalkAndUnGZ.bat" "%USERPROFILE%\AppData\Local\Temp\OnboardLogs"\RTDC4019\2017-05-30 &amp; aws s3 cp s3://rtdc.mdm.uploadarchive.raw/RTDC4019/ "%USERPROFILE%\AppData\Local\Temp\OnboardLogs"\RTDC4019\2017-05-31 --exclude "*" --recursive --include "*20170531*" &amp; "%USERPROFILE%\Documents\GitHub\mrs-test-scripts\Headless Mode &amp; Sideloading\WalkAndUnGZ.bat" "%USERPROFILE%\AppData\Local\Temp\OnboardLogs"\RTDC4019\2017-05-31</v>
      </c>
      <c r="AF127" s="77" t="str">
        <f t="shared" si="39"/>
        <v>"C:\Program Files (x86)\AstroGrep\AstroGrep.exe" /e /r /s /spath="%USERPROFILE%\AppData\Local\Temp\OnboardLogs" /stypes="app*4019*20170531*" /stext=" 01:.+((SYSTEM_STATE.+slice.+state.+changed )|(ment ac)|(multiple cpu faults)|(system.+state.+changed )|(\[timeout)|(PRM\|1\|D)|(kpr)|(kdp)|(train st.+moving)|(\|lc)|(penalty))"</v>
      </c>
      <c r="AG127" s="1" t="str">
        <f t="shared" si="40"/>
        <v>EC</v>
      </c>
      <c r="AH127" s="81" t="str">
        <f t="shared" si="41"/>
        <v>"%USERPROFILE%\Documents\GitHub\eaglep3\Utilities\RefineRTDCRunTimes.py" --tripid 214-30 --locoid 4019 --swversion DE.1.0.9.0 --startMP 204:232994 --initTime 2017-05-30T18:30:49 --startdatetime 2017-05-30T18:42:25 --delay 2 --endMP 204:143 --enddatetime 2017-05-30T19:21:46 --enforcementcount 0 &gt;&gt;C:\Users\stu\Documents\GitHub\eaglep3-reporting\EC\2017-05-30-refined-times.txt</v>
      </c>
      <c r="AI127" s="99" t="str">
        <f t="shared" si="42"/>
        <v>echo {"issue":{"subject":"","project_id":79,"tracker_id":40,"status_id":1,"priority_id":2,"assigned_to_id":23,"start_date":"2017-05-30","description":"","custom_fields":[{"id":1,"name":"Subdivision","value":"EC"},{"id":4,"name":"Milepost","value":"0.0143"},{"id":17,"name":"Train ID","value":"214-30"},{"id":16,"name":"Locomotive ID","value":"4019"},{"id":130,"name":"Impact","value":""},{"id":150,"name":"Time of Event (Mountain Time)","value":"19:21:46"},{"id":151,"name":"Denver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5" t="str">
        <f t="shared" si="43"/>
        <v>start /low /b %USERPROFILE%\Documents\GitHub\eaglep3\Utilities\DownloadLogsFromS3.py --loco 4019 --day 2017-05-30</v>
      </c>
      <c r="AN127" s="154" t="str">
        <f t="shared" si="44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01:21:46"},{"id":29,"name":"Sharepoint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820</v>
      </c>
      <c r="B128" s="7">
        <v>4016</v>
      </c>
      <c r="C128" s="21" t="s">
        <v>204</v>
      </c>
      <c r="D128" s="21" t="s">
        <v>408</v>
      </c>
      <c r="E128" s="13">
        <v>42885.745405092595</v>
      </c>
      <c r="F128" s="13">
        <v>42885.750162037039</v>
      </c>
      <c r="G128" s="7">
        <v>1</v>
      </c>
      <c r="H128" s="21" t="s">
        <v>917</v>
      </c>
      <c r="I128" s="13">
        <v>42885.776539351849</v>
      </c>
      <c r="J128" s="7">
        <v>0</v>
      </c>
      <c r="K128" s="92" t="str">
        <f t="shared" si="28"/>
        <v>4015/4016</v>
      </c>
      <c r="L128" s="21" t="str">
        <f>VLOOKUP(A128,'Trips&amp;Operators'!$C$1:$G$99999,5,FALSE)</f>
        <v>MCREYNOLDS KYLE</v>
      </c>
      <c r="M128" s="6">
        <f t="shared" si="29"/>
        <v>2.6377314810815733E-2</v>
      </c>
      <c r="N128" s="7">
        <f t="shared" si="50"/>
        <v>37.983333327574655</v>
      </c>
      <c r="O128" s="7"/>
      <c r="P128" s="7"/>
      <c r="Q128" s="22"/>
      <c r="R128" s="173"/>
      <c r="S128" s="176">
        <f t="shared" si="51"/>
        <v>1</v>
      </c>
      <c r="T128" s="202" t="str">
        <f t="shared" si="30"/>
        <v>NorthBound</v>
      </c>
      <c r="U128" s="202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03" t="str">
        <f t="shared" si="31"/>
        <v>https://d0f6bd738d7f1b3e5a7ca70fe4ff75f0.us-east-1.aws.found.io/app/kibana#/discover/Steve-Slow-Train-Analysis-(2080s-and-2083s)?_g=(refreshInterval:(display:Off,pause:!f,section:0,value:0),time:(from:'2017-05-30T16:53:23-0600',mode:absolute,to:'2017-05-30T19:38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28" s="204" t="str">
        <f t="shared" si="32"/>
        <v>N</v>
      </c>
      <c r="X128" s="204">
        <f t="shared" si="47"/>
        <v>1</v>
      </c>
      <c r="Y128" s="204">
        <f t="shared" si="48"/>
        <v>4.7300000000000002E-2</v>
      </c>
      <c r="Z128" s="204">
        <f t="shared" si="49"/>
        <v>23.3307</v>
      </c>
      <c r="AA128" s="204">
        <f t="shared" si="36"/>
        <v>23.2834</v>
      </c>
      <c r="AB128" s="57" t="e">
        <f>VLOOKUP(A128,Enforcements!$C$7:$K$13,8,0)</f>
        <v>#N/A</v>
      </c>
      <c r="AC128" s="53" t="e">
        <f>VLOOKUP(A128,Enforcements!$C$7:$E$13,3,0)</f>
        <v>#N/A</v>
      </c>
      <c r="AD128" s="54" t="str">
        <f t="shared" si="37"/>
        <v>0215-30</v>
      </c>
      <c r="AE128" s="80" t="str">
        <f t="shared" si="38"/>
        <v>aws s3 cp s3://rtdc.mdm.uploadarchive.raw/RTDC4016/ "%USERPROFILE%\AppData\Local\Temp\OnboardLogs"\RTDC4016\2017-05-30 --exclude "*" --recursive --include "*20170530*" &amp; "%USERPROFILE%\Documents\GitHub\mrs-test-scripts\Headless Mode &amp; Sideloading\WalkAndUnGZ.bat" "%USERPROFILE%\AppData\Local\Temp\OnboardLogs"\RTDC4016\2017-05-30 &amp; aws s3 cp s3://rtdc.mdm.uploadarchive.raw/RTDC4016/ "%USERPROFILE%\AppData\Local\Temp\OnboardLogs"\RTDC4016\2017-05-31 --exclude "*" --recursive --include "*20170531*" &amp; "%USERPROFILE%\Documents\GitHub\mrs-test-scripts\Headless Mode &amp; Sideloading\WalkAndUnGZ.bat" "%USERPROFILE%\AppData\Local\Temp\OnboardLogs"\RTDC4016\2017-05-31</v>
      </c>
      <c r="AF128" s="77" t="str">
        <f t="shared" si="39"/>
        <v>"C:\Program Files (x86)\AstroGrep\AstroGrep.exe" /e /r /s /spath="%USERPROFILE%\AppData\Local\Temp\OnboardLogs" /stypes="app*4016*20170531*" /stext=" 00:.+((SYSTEM_STATE.+slice.+state.+changed )|(ment ac)|(multiple cpu faults)|(system.+state.+changed )|(\[timeout)|(PRM\|1\|D)|(kpr)|(kdp)|(train st.+moving)|(\|lc)|(penalty))"</v>
      </c>
      <c r="AG128" s="1" t="str">
        <f t="shared" si="40"/>
        <v>EC</v>
      </c>
      <c r="AH128" s="81" t="str">
        <f t="shared" si="41"/>
        <v>"%USERPROFILE%\Documents\GitHub\eaglep3\Utilities\RefineRTDCRunTimes.py" --tripid 215-30 --locoid 4016 --swversion DE.1.0.9.0 --startMP 204:473 --initTime 2017-05-30T17:53:23 --startdatetime 2017-05-30T18:00:14 --delay 1 --endMP 204:233307 --enddatetime 2017-05-30T18:38:13 --enforcementcount 0 &gt;&gt;C:\Users\stu\Documents\GitHub\eaglep3-reporting\EC\2017-05-30-refined-times.txt</v>
      </c>
      <c r="AI128" s="99" t="str">
        <f t="shared" si="42"/>
        <v>echo {"issue":{"subject":"","project_id":79,"tracker_id":40,"status_id":1,"priority_id":2,"assigned_to_id":23,"start_date":"2017-05-30","description":"","custom_fields":[{"id":1,"name":"Subdivision","value":"EC"},{"id":4,"name":"Milepost","value":"23.3307"},{"id":17,"name":"Train ID","value":"215-30"},{"id":16,"name":"Locomotive ID","value":"4016"},{"id":130,"name":"Impact","value":""},{"id":150,"name":"Time of Event (Mountain Time)","value":"18:38:13"},{"id":151,"name":"Denver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5" t="str">
        <f t="shared" si="43"/>
        <v>start /low /b %USERPROFILE%\Documents\GitHub\eaglep3\Utilities\DownloadLogsFromS3.py --loco 4016 --day 2017-05-30</v>
      </c>
      <c r="AN128" s="154" t="str">
        <f t="shared" si="44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00:38:13"},{"id":29,"name":"Sharepoint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830</v>
      </c>
      <c r="B129" s="7">
        <v>4015</v>
      </c>
      <c r="C129" s="21" t="s">
        <v>204</v>
      </c>
      <c r="D129" s="21" t="s">
        <v>606</v>
      </c>
      <c r="E129" s="13">
        <v>42885.783831018518</v>
      </c>
      <c r="F129" s="13">
        <v>42885.789884259262</v>
      </c>
      <c r="G129" s="7">
        <v>1</v>
      </c>
      <c r="H129" s="21" t="s">
        <v>405</v>
      </c>
      <c r="I129" s="13">
        <v>42885.81590277778</v>
      </c>
      <c r="J129" s="7">
        <v>0</v>
      </c>
      <c r="K129" s="92" t="str">
        <f t="shared" si="28"/>
        <v>4015/4016</v>
      </c>
      <c r="L129" s="21" t="str">
        <f>VLOOKUP(A129,'Trips&amp;Operators'!$C$1:$G$99999,5,FALSE)</f>
        <v>MCREYNOLDS KYLE</v>
      </c>
      <c r="M129" s="6">
        <f t="shared" si="29"/>
        <v>2.6018518517958E-2</v>
      </c>
      <c r="N129" s="7">
        <f t="shared" si="50"/>
        <v>37.46666666585952</v>
      </c>
      <c r="O129" s="7"/>
      <c r="P129" s="7"/>
      <c r="Q129" s="22"/>
      <c r="R129" s="173"/>
      <c r="S129" s="176">
        <f t="shared" si="51"/>
        <v>1</v>
      </c>
      <c r="T129" s="202" t="str">
        <f t="shared" si="30"/>
        <v>Southbound</v>
      </c>
      <c r="U129" s="202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03" t="str">
        <f t="shared" si="31"/>
        <v>https://d0f6bd738d7f1b3e5a7ca70fe4ff75f0.us-east-1.aws.found.io/app/kibana#/discover/Steve-Slow-Train-Analysis-(2080s-and-2083s)?_g=(refreshInterval:(display:Off,pause:!f,section:0,value:0),time:(from:'2017-05-30T17:48:43-0600',mode:absolute,to:'2017-05-30T20:34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29" s="204" t="str">
        <f t="shared" si="32"/>
        <v>N</v>
      </c>
      <c r="X129" s="204">
        <f t="shared" si="47"/>
        <v>1</v>
      </c>
      <c r="Y129" s="204">
        <f t="shared" si="48"/>
        <v>23.299199999999999</v>
      </c>
      <c r="Z129" s="204">
        <f t="shared" si="49"/>
        <v>1.54E-2</v>
      </c>
      <c r="AA129" s="204">
        <f t="shared" si="36"/>
        <v>23.283799999999999</v>
      </c>
      <c r="AB129" s="57" t="e">
        <f>VLOOKUP(A129,Enforcements!$C$7:$K$13,8,0)</f>
        <v>#N/A</v>
      </c>
      <c r="AC129" s="53" t="e">
        <f>VLOOKUP(A129,Enforcements!$C$7:$E$13,3,0)</f>
        <v>#N/A</v>
      </c>
      <c r="AD129" s="54" t="str">
        <f t="shared" si="37"/>
        <v>0216-30</v>
      </c>
      <c r="AE129" s="80" t="str">
        <f t="shared" si="38"/>
        <v>aws s3 cp s3://rtdc.mdm.uploadarchive.raw/RTDC4015/ "%USERPROFILE%\AppData\Local\Temp\OnboardLogs"\RTDC4015\2017-05-30 --exclude "*" --recursive --include "*20170530*" &amp; "%USERPROFILE%\Documents\GitHub\mrs-test-scripts\Headless Mode &amp; Sideloading\WalkAndUnGZ.bat" "%USERPROFILE%\AppData\Local\Temp\OnboardLogs"\RTDC4015\2017-05-30 &amp; aws s3 cp s3://rtdc.mdm.uploadarchive.raw/RTDC4015/ "%USERPROFILE%\AppData\Local\Temp\OnboardLogs"\RTDC4015\2017-05-31 --exclude "*" --recursive --include "*20170531*" &amp; "%USERPROFILE%\Documents\GitHub\mrs-test-scripts\Headless Mode &amp; Sideloading\WalkAndUnGZ.bat" "%USERPROFILE%\AppData\Local\Temp\OnboardLogs"\RTDC4015\2017-05-31</v>
      </c>
      <c r="AF129" s="77" t="str">
        <f t="shared" si="39"/>
        <v>"C:\Program Files (x86)\AstroGrep\AstroGrep.exe" /e /r /s /spath="%USERPROFILE%\AppData\Local\Temp\OnboardLogs" /stypes="app*4015*20170531*" /stext=" 01:.+((SYSTEM_STATE.+slice.+state.+changed )|(ment ac)|(multiple cpu faults)|(system.+state.+changed )|(\[timeout)|(PRM\|1\|D)|(kpr)|(kdp)|(train st.+moving)|(\|lc)|(penalty))"</v>
      </c>
      <c r="AG129" s="1" t="str">
        <f t="shared" si="40"/>
        <v>EC</v>
      </c>
      <c r="AH129" s="81" t="str">
        <f t="shared" si="41"/>
        <v>"%USERPROFILE%\Documents\GitHub\eaglep3\Utilities\RefineRTDCRunTimes.py" --tripid 216-30 --locoid 4015 --swversion DE.1.0.9.0 --startMP 204:232992 --initTime 2017-05-30T18:48:43 --startdatetime 2017-05-30T18:57:26 --delay 1 --endMP 204:154 --enddatetime 2017-05-30T19:34:54 --enforcementcount 0 &gt;&gt;C:\Users\stu\Documents\GitHub\eaglep3-reporting\EC\2017-05-30-refined-times.txt</v>
      </c>
      <c r="AI129" s="99" t="str">
        <f t="shared" si="42"/>
        <v>echo {"issue":{"subject":"","project_id":79,"tracker_id":40,"status_id":1,"priority_id":2,"assigned_to_id":23,"start_date":"2017-05-30","description":"","custom_fields":[{"id":1,"name":"Subdivision","value":"EC"},{"id":4,"name":"Milepost","value":"0.0154"},{"id":17,"name":"Train ID","value":"216-30"},{"id":16,"name":"Locomotive ID","value":"4015"},{"id":130,"name":"Impact","value":""},{"id":150,"name":"Time of Event (Mountain Time)","value":"19:34:54"},{"id":151,"name":"Denver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5" t="str">
        <f t="shared" si="43"/>
        <v>start /low /b %USERPROFILE%\Documents\GitHub\eaglep3\Utilities\DownloadLogsFromS3.py --loco 4015 --day 2017-05-30</v>
      </c>
      <c r="AN129" s="154" t="str">
        <f t="shared" si="44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01:34:54"},{"id":29,"name":"Sharepoint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824</v>
      </c>
      <c r="B130" s="7">
        <v>4018</v>
      </c>
      <c r="C130" s="21" t="s">
        <v>204</v>
      </c>
      <c r="D130" s="21" t="s">
        <v>599</v>
      </c>
      <c r="E130" s="13">
        <v>42885.757118055553</v>
      </c>
      <c r="F130" s="13">
        <v>42885.760578703703</v>
      </c>
      <c r="G130" s="7">
        <v>1</v>
      </c>
      <c r="H130" s="21" t="s">
        <v>918</v>
      </c>
      <c r="I130" s="13">
        <v>42885.785613425927</v>
      </c>
      <c r="J130" s="7">
        <v>0</v>
      </c>
      <c r="K130" s="92" t="str">
        <f t="shared" si="28"/>
        <v>4017/4018</v>
      </c>
      <c r="L130" s="21" t="str">
        <f>VLOOKUP(A130,'Trips&amp;Operators'!$C$1:$G$99999,5,FALSE)</f>
        <v>FORTUNATO FRANK</v>
      </c>
      <c r="M130" s="6">
        <f t="shared" si="29"/>
        <v>2.5034722224518191E-2</v>
      </c>
      <c r="N130" s="7">
        <f t="shared" si="50"/>
        <v>36.050000003306195</v>
      </c>
      <c r="O130" s="7"/>
      <c r="P130" s="7"/>
      <c r="Q130" s="22"/>
      <c r="R130" s="173" t="s">
        <v>1007</v>
      </c>
      <c r="S130" s="176">
        <f t="shared" si="51"/>
        <v>1</v>
      </c>
      <c r="T130" s="202" t="str">
        <f t="shared" si="30"/>
        <v>NorthBound</v>
      </c>
      <c r="U130" s="202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03" t="str">
        <f t="shared" si="31"/>
        <v>https://d0f6bd738d7f1b3e5a7ca70fe4ff75f0.us-east-1.aws.found.io/app/kibana#/discover/Steve-Slow-Train-Analysis-(2080s-and-2083s)?_g=(refreshInterval:(display:Off,pause:!f,section:0,value:0),time:(from:'2017-05-30T17:10:15-0600',mode:absolute,to:'2017-05-30T19:51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30" s="204" t="str">
        <f t="shared" si="32"/>
        <v>Y</v>
      </c>
      <c r="X130" s="204">
        <f t="shared" si="47"/>
        <v>1</v>
      </c>
      <c r="Y130" s="204">
        <f t="shared" si="48"/>
        <v>4.7100000000000003E-2</v>
      </c>
      <c r="Z130" s="204">
        <f t="shared" si="49"/>
        <v>22.679500000000001</v>
      </c>
      <c r="AA130" s="204">
        <f t="shared" si="36"/>
        <v>22.632400000000001</v>
      </c>
      <c r="AB130" s="57" t="e">
        <f>VLOOKUP(A130,Enforcements!$C$7:$K$13,8,0)</f>
        <v>#N/A</v>
      </c>
      <c r="AC130" s="53" t="e">
        <f>VLOOKUP(A130,Enforcements!$C$7:$E$13,3,0)</f>
        <v>#N/A</v>
      </c>
      <c r="AD130" s="54" t="str">
        <f t="shared" si="37"/>
        <v>0217-30</v>
      </c>
      <c r="AE130" s="80" t="str">
        <f t="shared" si="38"/>
        <v>aws s3 cp s3://rtdc.mdm.uploadarchive.raw/RTDC4018/ "%USERPROFILE%\AppData\Local\Temp\OnboardLogs"\RTDC4018\2017-05-30 --exclude "*" --recursive --include "*20170530*" &amp; "%USERPROFILE%\Documents\GitHub\mrs-test-scripts\Headless Mode &amp; Sideloading\WalkAndUnGZ.bat" "%USERPROFILE%\AppData\Local\Temp\OnboardLogs"\RTDC4018\2017-05-30 &amp; aws s3 cp s3://rtdc.mdm.uploadarchive.raw/RTDC4018/ "%USERPROFILE%\AppData\Local\Temp\OnboardLogs"\RTDC4018\2017-05-31 --exclude "*" --recursive --include "*20170531*" &amp; "%USERPROFILE%\Documents\GitHub\mrs-test-scripts\Headless Mode &amp; Sideloading\WalkAndUnGZ.bat" "%USERPROFILE%\AppData\Local\Temp\OnboardLogs"\RTDC4018\2017-05-31</v>
      </c>
      <c r="AF130" s="77" t="str">
        <f t="shared" si="39"/>
        <v>"C:\Program Files (x86)\AstroGrep\AstroGrep.exe" /e /r /s /spath="%USERPROFILE%\AppData\Local\Temp\OnboardLogs" /stypes="app*4018*20170531*" /stext=" 00:.+((SYSTEM_STATE.+slice.+state.+changed )|(ment ac)|(multiple cpu faults)|(system.+state.+changed )|(\[timeout)|(PRM\|1\|D)|(kpr)|(kdp)|(train st.+moving)|(\|lc)|(penalty))"</v>
      </c>
      <c r="AG130" s="1" t="str">
        <f t="shared" si="40"/>
        <v>EC</v>
      </c>
      <c r="AH130" s="81" t="str">
        <f t="shared" si="41"/>
        <v>"%USERPROFILE%\Documents\GitHub\eaglep3\Utilities\RefineRTDCRunTimes.py" --tripid 217-30 --locoid 4018 --swversion DE.1.0.9.0 --startMP 204:471 --initTime 2017-05-30T18:10:15 --startdatetime 2017-05-30T18:15:14 --delay 1 --endMP 204:226795 --enddatetime 2017-05-30T18:51:17 --enforcementcount 0 &gt;&gt;C:\Users\stu\Documents\GitHub\eaglep3-reporting\EC\2017-05-30-refined-times.txt</v>
      </c>
      <c r="AI130" s="99" t="str">
        <f t="shared" si="42"/>
        <v>echo {"issue":{"subject":"Barricade test","project_id":79,"tracker_id":40,"status_id":1,"priority_id":2,"assigned_to_id":23,"start_date":"2017-05-30","description":"","custom_fields":[{"id":1,"name":"Subdivision","value":"EC"},{"id":4,"name":"Milepost","value":"22.6795"},{"id":17,"name":"Train ID","value":"217-30"},{"id":16,"name":"Locomotive ID","value":"4018"},{"id":130,"name":"Impact","value":""},{"id":150,"name":"Time of Event (Mountain Time)","value":"18:51:17"},{"id":151,"name":"Denver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5" t="str">
        <f t="shared" si="43"/>
        <v>start /low /b %USERPROFILE%\Documents\GitHub\eaglep3\Utilities\DownloadLogsFromS3.py --loco 4018 --day 2017-05-30</v>
      </c>
      <c r="AN130" s="154" t="str">
        <f t="shared" si="44"/>
        <v>echo {"issue":{"subject":"Barricade test","project_id":30,"tracker_id":4,"status_id":1,"priority_id":1,"assigned_to_id":10,"start_date":"2017-05-31","description":"","custom_fields":[{"id":30,"name":"Category","value":"Issue"},{"id":3,"name":"Functional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00:51:17"},{"id":29,"name":"Sharepoint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832</v>
      </c>
      <c r="B131" s="7">
        <v>4017</v>
      </c>
      <c r="C131" s="21" t="s">
        <v>204</v>
      </c>
      <c r="D131" s="21" t="s">
        <v>522</v>
      </c>
      <c r="E131" s="13">
        <v>42885.791284722225</v>
      </c>
      <c r="F131" s="13">
        <v>42885.800162037034</v>
      </c>
      <c r="G131" s="7">
        <v>1</v>
      </c>
      <c r="H131" s="21" t="s">
        <v>591</v>
      </c>
      <c r="I131" s="13">
        <v>42885.827488425923</v>
      </c>
      <c r="J131" s="7">
        <v>0</v>
      </c>
      <c r="K131" s="92" t="str">
        <f t="shared" si="28"/>
        <v>4017/4018</v>
      </c>
      <c r="L131" s="21" t="str">
        <f>VLOOKUP(A131,'Trips&amp;Operators'!$C$1:$G$99999,5,FALSE)</f>
        <v>FORTUNATO FRANK</v>
      </c>
      <c r="M131" s="6">
        <f t="shared" si="29"/>
        <v>2.73263888884685E-2</v>
      </c>
      <c r="N131" s="7">
        <f t="shared" si="50"/>
        <v>39.34999999939464</v>
      </c>
      <c r="O131" s="7"/>
      <c r="P131" s="7"/>
      <c r="Q131" s="22"/>
      <c r="R131" s="173"/>
      <c r="S131" s="176">
        <f t="shared" si="51"/>
        <v>1</v>
      </c>
      <c r="T131" s="202" t="str">
        <f t="shared" si="30"/>
        <v>Southbound</v>
      </c>
      <c r="U131" s="202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03" t="str">
        <f t="shared" si="31"/>
        <v>https://d0f6bd738d7f1b3e5a7ca70fe4ff75f0.us-east-1.aws.found.io/app/kibana#/discover/Steve-Slow-Train-Analysis-(2080s-and-2083s)?_g=(refreshInterval:(display:Off,pause:!f,section:0,value:0),time:(from:'2017-05-30T17:59:27-0600',mode:absolute,to:'2017-05-30T20:51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31" s="204" t="str">
        <f t="shared" si="32"/>
        <v>N</v>
      </c>
      <c r="X131" s="204">
        <f t="shared" si="47"/>
        <v>1</v>
      </c>
      <c r="Y131" s="204">
        <f t="shared" si="48"/>
        <v>23.2989</v>
      </c>
      <c r="Z131" s="204">
        <f t="shared" si="49"/>
        <v>1.2500000000000001E-2</v>
      </c>
      <c r="AA131" s="204">
        <f t="shared" si="36"/>
        <v>23.2864</v>
      </c>
      <c r="AB131" s="57" t="e">
        <f>VLOOKUP(A131,Enforcements!$C$7:$K$13,8,0)</f>
        <v>#N/A</v>
      </c>
      <c r="AC131" s="53" t="e">
        <f>VLOOKUP(A131,Enforcements!$C$7:$E$13,3,0)</f>
        <v>#N/A</v>
      </c>
      <c r="AD131" s="54" t="str">
        <f t="shared" si="37"/>
        <v>0218-30</v>
      </c>
      <c r="AE131" s="80" t="str">
        <f t="shared" si="38"/>
        <v>aws s3 cp s3://rtdc.mdm.uploadarchive.raw/RTDC4017/ "%USERPROFILE%\AppData\Local\Temp\OnboardLogs"\RTDC4017\2017-05-30 --exclude "*" --recursive --include "*20170530*" &amp; "%USERPROFILE%\Documents\GitHub\mrs-test-scripts\Headless Mode &amp; Sideloading\WalkAndUnGZ.bat" "%USERPROFILE%\AppData\Local\Temp\OnboardLogs"\RTDC4017\2017-05-30 &amp; aws s3 cp s3://rtdc.mdm.uploadarchive.raw/RTDC4017/ "%USERPROFILE%\AppData\Local\Temp\OnboardLogs"\RTDC4017\2017-05-31 --exclude "*" --recursive --include "*20170531*" &amp; "%USERPROFILE%\Documents\GitHub\mrs-test-scripts\Headless Mode &amp; Sideloading\WalkAndUnGZ.bat" "%USERPROFILE%\AppData\Local\Temp\OnboardLogs"\RTDC4017\2017-05-31</v>
      </c>
      <c r="AF131" s="77" t="str">
        <f t="shared" si="39"/>
        <v>"C:\Program Files (x86)\AstroGrep\AstroGrep.exe" /e /r /s /spath="%USERPROFILE%\AppData\Local\Temp\OnboardLogs" /stypes="app*4017*20170531*" /stext=" 01:.+((SYSTEM_STATE.+slice.+state.+changed )|(ment ac)|(multiple cpu faults)|(system.+state.+changed )|(\[timeout)|(PRM\|1\|D)|(kpr)|(kdp)|(train st.+moving)|(\|lc)|(penalty))"</v>
      </c>
      <c r="AG131" s="1" t="str">
        <f t="shared" si="40"/>
        <v>EC</v>
      </c>
      <c r="AH131" s="81" t="str">
        <f t="shared" si="41"/>
        <v>"%USERPROFILE%\Documents\GitHub\eaglep3\Utilities\RefineRTDCRunTimes.py" --tripid 218-30 --locoid 4017 --swversion DE.1.0.9.0 --startMP 204:232989 --initTime 2017-05-30T18:59:27 --startdatetime 2017-05-30T19:12:14 --delay 1 --endMP 204:125 --enddatetime 2017-05-30T19:51:35 --enforcementcount 0 &gt;&gt;C:\Users\stu\Documents\GitHub\eaglep3-reporting\EC\2017-05-30-refined-times.txt</v>
      </c>
      <c r="AI131" s="99" t="str">
        <f t="shared" si="42"/>
        <v>echo {"issue":{"subject":"","project_id":79,"tracker_id":40,"status_id":1,"priority_id":2,"assigned_to_id":23,"start_date":"2017-05-30","description":"","custom_fields":[{"id":1,"name":"Subdivision","value":"EC"},{"id":4,"name":"Milepost","value":"0.0125"},{"id":17,"name":"Train ID","value":"218-30"},{"id":16,"name":"Locomotive ID","value":"4017"},{"id":130,"name":"Impact","value":""},{"id":150,"name":"Time of Event (Mountain Time)","value":"19:51:35"},{"id":151,"name":"Denver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5" t="str">
        <f t="shared" si="43"/>
        <v>start /low /b %USERPROFILE%\Documents\GitHub\eaglep3\Utilities\DownloadLogsFromS3.py --loco 4017 --day 2017-05-30</v>
      </c>
      <c r="AN131" s="154" t="str">
        <f t="shared" si="44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01:51:35"},{"id":29,"name":"Sharepoint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826</v>
      </c>
      <c r="B132" s="7">
        <v>4026</v>
      </c>
      <c r="C132" s="21" t="s">
        <v>204</v>
      </c>
      <c r="D132" s="21" t="s">
        <v>495</v>
      </c>
      <c r="E132" s="13">
        <v>42885.769016203703</v>
      </c>
      <c r="F132" s="13">
        <v>42885.770995370367</v>
      </c>
      <c r="G132" s="7">
        <v>1</v>
      </c>
      <c r="H132" s="21" t="s">
        <v>890</v>
      </c>
      <c r="I132" s="13">
        <v>42885.797164351854</v>
      </c>
      <c r="J132" s="7">
        <v>0</v>
      </c>
      <c r="K132" s="92" t="str">
        <f t="shared" si="28"/>
        <v>4025/4026</v>
      </c>
      <c r="L132" s="21" t="str">
        <f>VLOOKUP(A132,'Trips&amp;Operators'!$C$1:$G$99999,5,FALSE)</f>
        <v>SULLIVAN BRANDON</v>
      </c>
      <c r="M132" s="6">
        <f t="shared" si="29"/>
        <v>2.6168981486989651E-2</v>
      </c>
      <c r="N132" s="7">
        <f t="shared" si="50"/>
        <v>37.683333341265097</v>
      </c>
      <c r="O132" s="7"/>
      <c r="P132" s="7"/>
      <c r="Q132" s="22"/>
      <c r="R132" s="173"/>
      <c r="S132" s="176">
        <f t="shared" si="51"/>
        <v>1</v>
      </c>
      <c r="T132" s="202" t="str">
        <f t="shared" si="30"/>
        <v>NorthBound</v>
      </c>
      <c r="U132" s="202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03" t="str">
        <f t="shared" si="31"/>
        <v>https://d0f6bd738d7f1b3e5a7ca70fe4ff75f0.us-east-1.aws.found.io/app/kibana#/discover/Steve-Slow-Train-Analysis-(2080s-and-2083s)?_g=(refreshInterval:(display:Off,pause:!f,section:0,value:0),time:(from:'2017-05-30T17:27:23-0600',mode:absolute,to:'2017-05-30T20:07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32" s="204" t="str">
        <f t="shared" si="32"/>
        <v>N</v>
      </c>
      <c r="X132" s="204">
        <f t="shared" si="47"/>
        <v>1</v>
      </c>
      <c r="Y132" s="204">
        <f t="shared" si="48"/>
        <v>4.3999999999999997E-2</v>
      </c>
      <c r="Z132" s="204">
        <f t="shared" si="49"/>
        <v>23.329499999999999</v>
      </c>
      <c r="AA132" s="204">
        <f t="shared" si="36"/>
        <v>23.285499999999999</v>
      </c>
      <c r="AB132" s="57" t="e">
        <f>VLOOKUP(A132,Enforcements!$C$7:$K$13,8,0)</f>
        <v>#N/A</v>
      </c>
      <c r="AC132" s="53" t="e">
        <f>VLOOKUP(A132,Enforcements!$C$7:$E$13,3,0)</f>
        <v>#N/A</v>
      </c>
      <c r="AD132" s="54" t="str">
        <f t="shared" si="37"/>
        <v>0219-30</v>
      </c>
      <c r="AE132" s="80" t="str">
        <f t="shared" si="38"/>
        <v>aws s3 cp s3://rtdc.mdm.uploadarchive.raw/RTDC4026/ "%USERPROFILE%\AppData\Local\Temp\OnboardLogs"\RTDC4026\2017-05-30 --exclude "*" --recursive --include "*20170530*" &amp; "%USERPROFILE%\Documents\GitHub\mrs-test-scripts\Headless Mode &amp; Sideloading\WalkAndUnGZ.bat" "%USERPROFILE%\AppData\Local\Temp\OnboardLogs"\RTDC4026\2017-05-30 &amp; aws s3 cp s3://rtdc.mdm.uploadarchive.raw/RTDC4026/ "%USERPROFILE%\AppData\Local\Temp\OnboardLogs"\RTDC4026\2017-05-31 --exclude "*" --recursive --include "*20170531*" &amp; "%USERPROFILE%\Documents\GitHub\mrs-test-scripts\Headless Mode &amp; Sideloading\WalkAndUnGZ.bat" "%USERPROFILE%\AppData\Local\Temp\OnboardLogs"\RTDC4026\2017-05-31</v>
      </c>
      <c r="AF132" s="77" t="str">
        <f t="shared" si="39"/>
        <v>"C:\Program Files (x86)\AstroGrep\AstroGrep.exe" /e /r /s /spath="%USERPROFILE%\AppData\Local\Temp\OnboardLogs" /stypes="app*4026*20170531*" /stext=" 01:.+((SYSTEM_STATE.+slice.+state.+changed )|(ment ac)|(multiple cpu faults)|(system.+state.+changed )|(\[timeout)|(PRM\|1\|D)|(kpr)|(kdp)|(train st.+moving)|(\|lc)|(penalty))"</v>
      </c>
      <c r="AG132" s="1" t="str">
        <f t="shared" si="40"/>
        <v>EC</v>
      </c>
      <c r="AH132" s="81" t="str">
        <f t="shared" si="41"/>
        <v>"%USERPROFILE%\Documents\GitHub\eaglep3\Utilities\RefineRTDCRunTimes.py" --tripid 219-30 --locoid 4026 --swversion DE.1.0.9.0 --startMP 204:440 --initTime 2017-05-30T18:27:23 --startdatetime 2017-05-30T18:30:14 --delay 1 --endMP 204:233295 --enddatetime 2017-05-30T19:07:55 --enforcementcount 0 &gt;&gt;C:\Users\stu\Documents\GitHub\eaglep3-reporting\EC\2017-05-30-refined-times.txt</v>
      </c>
      <c r="AI132" s="99" t="str">
        <f t="shared" si="42"/>
        <v>echo {"issue":{"subject":"","project_id":79,"tracker_id":40,"status_id":1,"priority_id":2,"assigned_to_id":23,"start_date":"2017-05-30","description":"","custom_fields":[{"id":1,"name":"Subdivision","value":"EC"},{"id":4,"name":"Milepost","value":"23.3295"},{"id":17,"name":"Train ID","value":"219-30"},{"id":16,"name":"Locomotive ID","value":"4026"},{"id":130,"name":"Impact","value":""},{"id":150,"name":"Time of Event (Mountain Time)","value":"19:07:55"},{"id":151,"name":"Denver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5" t="str">
        <f t="shared" si="43"/>
        <v>start /low /b %USERPROFILE%\Documents\GitHub\eaglep3\Utilities\DownloadLogsFromS3.py --loco 4026 --day 2017-05-30</v>
      </c>
      <c r="AN132" s="154" t="str">
        <f t="shared" si="44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01:07:55"},{"id":29,"name":"Sharepoint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836</v>
      </c>
      <c r="B133" s="7">
        <v>4025</v>
      </c>
      <c r="C133" s="21" t="s">
        <v>204</v>
      </c>
      <c r="D133" s="21" t="s">
        <v>592</v>
      </c>
      <c r="E133" s="13">
        <v>42885.802743055552</v>
      </c>
      <c r="F133" s="13">
        <v>42885.810590277775</v>
      </c>
      <c r="G133" s="7">
        <v>1</v>
      </c>
      <c r="H133" s="21" t="s">
        <v>884</v>
      </c>
      <c r="I133" s="13">
        <v>42885.838541666664</v>
      </c>
      <c r="J133" s="7">
        <v>0</v>
      </c>
      <c r="K133" s="92" t="str">
        <f t="shared" si="28"/>
        <v>4025/4026</v>
      </c>
      <c r="L133" s="21" t="str">
        <f>VLOOKUP(A133,'Trips&amp;Operators'!$C$1:$G$99999,5,FALSE)</f>
        <v>SULLIVAN BRANDON</v>
      </c>
      <c r="M133" s="6">
        <f t="shared" si="29"/>
        <v>2.7951388889050577E-2</v>
      </c>
      <c r="N133" s="7">
        <f t="shared" si="50"/>
        <v>40.250000000232831</v>
      </c>
      <c r="O133" s="7"/>
      <c r="P133" s="7"/>
      <c r="Q133" s="22"/>
      <c r="R133" s="173"/>
      <c r="S133" s="176">
        <f t="shared" si="51"/>
        <v>1</v>
      </c>
      <c r="T133" s="202" t="str">
        <f t="shared" si="30"/>
        <v>Southbound</v>
      </c>
      <c r="U133" s="202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03" t="str">
        <f t="shared" si="31"/>
        <v>https://d0f6bd738d7f1b3e5a7ca70fe4ff75f0.us-east-1.aws.found.io/app/kibana#/discover/Steve-Slow-Train-Analysis-(2080s-and-2083s)?_g=(refreshInterval:(display:Off,pause:!f,section:0,value:0),time:(from:'2017-05-30T18:15:57-0600',mode:absolute,to:'2017-05-30T21:07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33" s="204" t="str">
        <f t="shared" si="32"/>
        <v>N</v>
      </c>
      <c r="X133" s="204">
        <f t="shared" si="47"/>
        <v>1</v>
      </c>
      <c r="Y133" s="204">
        <f t="shared" si="48"/>
        <v>23.296500000000002</v>
      </c>
      <c r="Z133" s="204">
        <f t="shared" si="49"/>
        <v>1.6299999999999999E-2</v>
      </c>
      <c r="AA133" s="204">
        <f t="shared" si="36"/>
        <v>23.280200000000001</v>
      </c>
      <c r="AB133" s="57" t="e">
        <f>VLOOKUP(A133,Enforcements!$C$7:$K$13,8,0)</f>
        <v>#N/A</v>
      </c>
      <c r="AC133" s="53" t="e">
        <f>VLOOKUP(A133,Enforcements!$C$7:$E$13,3,0)</f>
        <v>#N/A</v>
      </c>
      <c r="AD133" s="54" t="str">
        <f t="shared" si="37"/>
        <v>0220-30</v>
      </c>
      <c r="AE133" s="80" t="str">
        <f t="shared" si="38"/>
        <v>aws s3 cp s3://rtdc.mdm.uploadarchive.raw/RTDC4025/ "%USERPROFILE%\AppData\Local\Temp\OnboardLogs"\RTDC4025\2017-05-30 --exclude "*" --recursive --include "*20170530*" &amp; "%USERPROFILE%\Documents\GitHub\mrs-test-scripts\Headless Mode &amp; Sideloading\WalkAndUnGZ.bat" "%USERPROFILE%\AppData\Local\Temp\OnboardLogs"\RTDC4025\2017-05-30 &amp; aws s3 cp s3://rtdc.mdm.uploadarchive.raw/RTDC4025/ "%USERPROFILE%\AppData\Local\Temp\OnboardLogs"\RTDC4025\2017-05-31 --exclude "*" --recursive --include "*20170531*" &amp; "%USERPROFILE%\Documents\GitHub\mrs-test-scripts\Headless Mode &amp; Sideloading\WalkAndUnGZ.bat" "%USERPROFILE%\AppData\Local\Temp\OnboardLogs"\RTDC4025\2017-05-31</v>
      </c>
      <c r="AF133" s="77" t="str">
        <f t="shared" si="39"/>
        <v>"C:\Program Files (x86)\AstroGrep\AstroGrep.exe" /e /r /s /spath="%USERPROFILE%\AppData\Local\Temp\OnboardLogs" /stypes="app*4025*20170531*" /stext=" 02:.+((SYSTEM_STATE.+slice.+state.+changed )|(ment ac)|(multiple cpu faults)|(system.+state.+changed )|(\[timeout)|(PRM\|1\|D)|(kpr)|(kdp)|(train st.+moving)|(\|lc)|(penalty))"</v>
      </c>
      <c r="AG133" s="1" t="str">
        <f t="shared" si="40"/>
        <v>EC</v>
      </c>
      <c r="AH133" s="81" t="str">
        <f t="shared" si="41"/>
        <v>"%USERPROFILE%\Documents\GitHub\eaglep3\Utilities\RefineRTDCRunTimes.py" --tripid 220-30 --locoid 4025 --swversion DE.1.0.9.0 --startMP 204:232965 --initTime 2017-05-30T19:15:57 --startdatetime 2017-05-30T19:27:15 --delay 1 --endMP 204:163 --enddatetime 2017-05-30T20:07:30 --enforcementcount 0 &gt;&gt;C:\Users\stu\Documents\GitHub\eaglep3-reporting\EC\2017-05-30-refined-times.txt</v>
      </c>
      <c r="AI133" s="99" t="str">
        <f t="shared" si="42"/>
        <v>echo {"issue":{"subject":"","project_id":79,"tracker_id":40,"status_id":1,"priority_id":2,"assigned_to_id":23,"start_date":"2017-05-30","description":"","custom_fields":[{"id":1,"name":"Subdivision","value":"EC"},{"id":4,"name":"Milepost","value":"0.0163"},{"id":17,"name":"Train ID","value":"220-30"},{"id":16,"name":"Locomotive ID","value":"4025"},{"id":130,"name":"Impact","value":""},{"id":150,"name":"Time of Event (Mountain Time)","value":"20:07:30"},{"id":151,"name":"Denver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5" t="str">
        <f t="shared" si="43"/>
        <v>start /low /b %USERPROFILE%\Documents\GitHub\eaglep3\Utilities\DownloadLogsFromS3.py --loco 4025 --day 2017-05-30</v>
      </c>
      <c r="AN133" s="154" t="str">
        <f t="shared" si="44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02:07:30"},{"id":29,"name":"Sharepoint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831</v>
      </c>
      <c r="B134" s="7">
        <v>4032</v>
      </c>
      <c r="C134" s="21" t="s">
        <v>204</v>
      </c>
      <c r="D134" s="21" t="s">
        <v>919</v>
      </c>
      <c r="E134" s="13">
        <v>42885.788587962961</v>
      </c>
      <c r="F134" s="13">
        <v>42885.791828703703</v>
      </c>
      <c r="G134" s="7">
        <v>1</v>
      </c>
      <c r="H134" s="21" t="s">
        <v>597</v>
      </c>
      <c r="I134" s="13">
        <v>42885.817164351851</v>
      </c>
      <c r="J134" s="7">
        <v>0</v>
      </c>
      <c r="K134" s="92" t="str">
        <f t="shared" si="28"/>
        <v>4031/4032</v>
      </c>
      <c r="L134" s="21" t="str">
        <f>VLOOKUP(A134,'Trips&amp;Operators'!$C$1:$G$99999,5,FALSE)</f>
        <v>DUNCAN SHEILA</v>
      </c>
      <c r="M134" s="6">
        <f t="shared" si="29"/>
        <v>2.5335648148029577E-2</v>
      </c>
      <c r="N134" s="7">
        <f t="shared" si="50"/>
        <v>36.483333333162591</v>
      </c>
      <c r="O134" s="7"/>
      <c r="P134" s="7"/>
      <c r="Q134" s="22"/>
      <c r="R134" s="173"/>
      <c r="S134" s="176">
        <f t="shared" si="51"/>
        <v>1</v>
      </c>
      <c r="T134" s="202" t="str">
        <f t="shared" si="30"/>
        <v>NorthBound</v>
      </c>
      <c r="U134" s="202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03" t="str">
        <f t="shared" si="31"/>
        <v>https://d0f6bd738d7f1b3e5a7ca70fe4ff75f0.us-east-1.aws.found.io/app/kibana#/discover/Steve-Slow-Train-Analysis-(2080s-and-2083s)?_g=(refreshInterval:(display:Off,pause:!f,section:0,value:0),time:(from:'2017-05-30T17:55:34-0600',mode:absolute,to:'2017-05-30T20:36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34" s="204" t="str">
        <f t="shared" si="32"/>
        <v>N</v>
      </c>
      <c r="X134" s="204">
        <f t="shared" si="47"/>
        <v>1</v>
      </c>
      <c r="Y134" s="204">
        <f t="shared" si="48"/>
        <v>4.07E-2</v>
      </c>
      <c r="Z134" s="204">
        <f t="shared" si="49"/>
        <v>23.330100000000002</v>
      </c>
      <c r="AA134" s="204">
        <f t="shared" si="36"/>
        <v>23.289400000000001</v>
      </c>
      <c r="AB134" s="57" t="e">
        <f>VLOOKUP(A134,Enforcements!$C$7:$K$13,8,0)</f>
        <v>#N/A</v>
      </c>
      <c r="AC134" s="53" t="e">
        <f>VLOOKUP(A134,Enforcements!$C$7:$E$13,3,0)</f>
        <v>#N/A</v>
      </c>
      <c r="AD134" s="54" t="str">
        <f t="shared" si="37"/>
        <v>0221-30</v>
      </c>
      <c r="AE134" s="80" t="str">
        <f t="shared" si="38"/>
        <v>aws s3 cp s3://rtdc.mdm.uploadarchive.raw/RTDC4032/ "%USERPROFILE%\AppData\Local\Temp\OnboardLogs"\RTDC4032\2017-05-30 --exclude "*" --recursive --include "*20170530*" &amp; "%USERPROFILE%\Documents\GitHub\mrs-test-scripts\Headless Mode &amp; Sideloading\WalkAndUnGZ.bat" "%USERPROFILE%\AppData\Local\Temp\OnboardLogs"\RTDC4032\2017-05-30 &amp; aws s3 cp s3://rtdc.mdm.uploadarchive.raw/RTDC4032/ "%USERPROFILE%\AppData\Local\Temp\OnboardLogs"\RTDC4032\2017-05-31 --exclude "*" --recursive --include "*20170531*" &amp; "%USERPROFILE%\Documents\GitHub\mrs-test-scripts\Headless Mode &amp; Sideloading\WalkAndUnGZ.bat" "%USERPROFILE%\AppData\Local\Temp\OnboardLogs"\RTDC4032\2017-05-31</v>
      </c>
      <c r="AF134" s="77" t="str">
        <f t="shared" si="39"/>
        <v>"C:\Program Files (x86)\AstroGrep\AstroGrep.exe" /e /r /s /spath="%USERPROFILE%\AppData\Local\Temp\OnboardLogs" /stypes="app*4032*20170531*" /stext=" 01:.+((SYSTEM_STATE.+slice.+state.+changed )|(ment ac)|(multiple cpu faults)|(system.+state.+changed )|(\[timeout)|(PRM\|1\|D)|(kpr)|(kdp)|(train st.+moving)|(\|lc)|(penalty))"</v>
      </c>
      <c r="AG134" s="1" t="str">
        <f t="shared" si="40"/>
        <v>EC</v>
      </c>
      <c r="AH134" s="81" t="str">
        <f t="shared" si="41"/>
        <v>"%USERPROFILE%\Documents\GitHub\eaglep3\Utilities\RefineRTDCRunTimes.py" --tripid 221-30 --locoid 4032 --swversion DE.1.0.9.0 --startMP 204:407 --initTime 2017-05-30T18:55:34 --startdatetime 2017-05-30T19:00:14 --delay 1 --endMP 204:233301 --enddatetime 2017-05-30T19:36:43 --enforcementcount 0 &gt;&gt;C:\Users\stu\Documents\GitHub\eaglep3-reporting\EC\2017-05-30-refined-times.txt</v>
      </c>
      <c r="AI134" s="99" t="str">
        <f t="shared" si="42"/>
        <v>echo {"issue":{"subject":"","project_id":79,"tracker_id":40,"status_id":1,"priority_id":2,"assigned_to_id":23,"start_date":"2017-05-30","description":"","custom_fields":[{"id":1,"name":"Subdivision","value":"EC"},{"id":4,"name":"Milepost","value":"23.3301"},{"id":17,"name":"Train ID","value":"221-30"},{"id":16,"name":"Locomotive ID","value":"4032"},{"id":130,"name":"Impact","value":""},{"id":150,"name":"Time of Event (Mountain Time)","value":"19:36:43"},{"id":151,"name":"Denver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5" t="str">
        <f t="shared" si="43"/>
        <v>start /low /b %USERPROFILE%\Documents\GitHub\eaglep3\Utilities\DownloadLogsFromS3.py --loco 4032 --day 2017-05-30</v>
      </c>
      <c r="AN134" s="154" t="str">
        <f t="shared" si="44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01:36:43"},{"id":29,"name":"Sharepoint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840</v>
      </c>
      <c r="B135" s="7">
        <v>4031</v>
      </c>
      <c r="C135" s="21" t="s">
        <v>204</v>
      </c>
      <c r="D135" s="21" t="s">
        <v>469</v>
      </c>
      <c r="E135" s="13">
        <v>42885.827615740738</v>
      </c>
      <c r="F135" s="13">
        <v>42885.831423611111</v>
      </c>
      <c r="G135" s="7">
        <v>1</v>
      </c>
      <c r="H135" s="21" t="s">
        <v>521</v>
      </c>
      <c r="I135" s="13">
        <v>42885.860231481478</v>
      </c>
      <c r="J135" s="7">
        <v>0</v>
      </c>
      <c r="K135" s="92" t="str">
        <f t="shared" si="28"/>
        <v>4031/4032</v>
      </c>
      <c r="L135" s="21" t="str">
        <f>VLOOKUP(A135,'Trips&amp;Operators'!$C$1:$G$99999,5,FALSE)</f>
        <v>DUNCAN SHEILA</v>
      </c>
      <c r="M135" s="6">
        <f t="shared" si="29"/>
        <v>2.880787036701804E-2</v>
      </c>
      <c r="N135" s="7">
        <f t="shared" si="50"/>
        <v>41.483333328505978</v>
      </c>
      <c r="O135" s="7"/>
      <c r="P135" s="7"/>
      <c r="Q135" s="22"/>
      <c r="R135" s="173"/>
      <c r="S135" s="176">
        <f t="shared" si="51"/>
        <v>1</v>
      </c>
      <c r="T135" s="202" t="str">
        <f t="shared" si="30"/>
        <v>Southbound</v>
      </c>
      <c r="U135" s="202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03" t="str">
        <f t="shared" si="31"/>
        <v>https://d0f6bd738d7f1b3e5a7ca70fe4ff75f0.us-east-1.aws.found.io/app/kibana#/discover/Steve-Slow-Train-Analysis-(2080s-and-2083s)?_g=(refreshInterval:(display:Off,pause:!f,section:0,value:0),time:(from:'2017-05-30T18:51:46-0600',mode:absolute,to:'2017-05-30T21:38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35" s="204" t="str">
        <f t="shared" si="32"/>
        <v>N</v>
      </c>
      <c r="X135" s="204">
        <f t="shared" si="47"/>
        <v>1</v>
      </c>
      <c r="Y135" s="204">
        <f t="shared" si="48"/>
        <v>23.299600000000002</v>
      </c>
      <c r="Z135" s="204">
        <f t="shared" si="49"/>
        <v>1.5599999999999999E-2</v>
      </c>
      <c r="AA135" s="204">
        <f t="shared" si="36"/>
        <v>23.284000000000002</v>
      </c>
      <c r="AB135" s="57" t="e">
        <f>VLOOKUP(A135,Enforcements!$C$7:$K$13,8,0)</f>
        <v>#N/A</v>
      </c>
      <c r="AC135" s="53" t="e">
        <f>VLOOKUP(A135,Enforcements!$C$7:$E$13,3,0)</f>
        <v>#N/A</v>
      </c>
      <c r="AD135" s="54" t="str">
        <f t="shared" si="37"/>
        <v>0222-30</v>
      </c>
      <c r="AE135" s="80" t="str">
        <f t="shared" si="38"/>
        <v>aws s3 cp s3://rtdc.mdm.uploadarchive.raw/RTDC4031/ "%USERPROFILE%\AppData\Local\Temp\OnboardLogs"\RTDC4031\2017-05-30 --exclude "*" --recursive --include "*20170530*" &amp; "%USERPROFILE%\Documents\GitHub\mrs-test-scripts\Headless Mode &amp; Sideloading\WalkAndUnGZ.bat" "%USERPROFILE%\AppData\Local\Temp\OnboardLogs"\RTDC4031\2017-05-30 &amp; aws s3 cp s3://rtdc.mdm.uploadarchive.raw/RTDC4031/ "%USERPROFILE%\AppData\Local\Temp\OnboardLogs"\RTDC4031\2017-05-31 --exclude "*" --recursive --include "*20170531*" &amp; "%USERPROFILE%\Documents\GitHub\mrs-test-scripts\Headless Mode &amp; Sideloading\WalkAndUnGZ.bat" "%USERPROFILE%\AppData\Local\Temp\OnboardLogs"\RTDC4031\2017-05-31</v>
      </c>
      <c r="AF135" s="77" t="str">
        <f t="shared" si="39"/>
        <v>"C:\Program Files (x86)\AstroGrep\AstroGrep.exe" /e /r /s /spath="%USERPROFILE%\AppData\Local\Temp\OnboardLogs" /stypes="app*4031*20170531*" /stext=" 02:.+((SYSTEM_STATE.+slice.+state.+changed )|(ment ac)|(multiple cpu faults)|(system.+state.+changed )|(\[timeout)|(PRM\|1\|D)|(kpr)|(kdp)|(train st.+moving)|(\|lc)|(penalty))"</v>
      </c>
      <c r="AG135" s="1" t="str">
        <f t="shared" si="40"/>
        <v>EC</v>
      </c>
      <c r="AH135" s="81" t="str">
        <f t="shared" si="41"/>
        <v>"%USERPROFILE%\Documents\GitHub\eaglep3\Utilities\RefineRTDCRunTimes.py" --tripid 222-30 --locoid 4031 --swversion DE.1.0.9.0 --startMP 204:232996 --initTime 2017-05-30T19:51:46 --startdatetime 2017-05-30T19:57:15 --delay 1 --endMP 204:156 --enddatetime 2017-05-30T20:38:44 --enforcementcount 0 &gt;&gt;C:\Users\stu\Documents\GitHub\eaglep3-reporting\EC\2017-05-30-refined-times.txt</v>
      </c>
      <c r="AI135" s="99" t="str">
        <f t="shared" si="42"/>
        <v>echo {"issue":{"subject":"","project_id":79,"tracker_id":40,"status_id":1,"priority_id":2,"assigned_to_id":23,"start_date":"2017-05-30","description":"","custom_fields":[{"id":1,"name":"Subdivision","value":"EC"},{"id":4,"name":"Milepost","value":"0.0156"},{"id":17,"name":"Train ID","value":"222-30"},{"id":16,"name":"Locomotive ID","value":"4031"},{"id":130,"name":"Impact","value":""},{"id":150,"name":"Time of Event (Mountain Time)","value":"20:38:44"},{"id":151,"name":"Denver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5" t="str">
        <f t="shared" si="43"/>
        <v>start /low /b %USERPROFILE%\Documents\GitHub\eaglep3\Utilities\DownloadLogsFromS3.py --loco 4031 --day 2017-05-30</v>
      </c>
      <c r="AN135" s="154" t="str">
        <f t="shared" si="44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02:38:44"},{"id":29,"name":"Sharepoint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837</v>
      </c>
      <c r="B136" s="7">
        <v>4020</v>
      </c>
      <c r="C136" s="21" t="s">
        <v>204</v>
      </c>
      <c r="D136" s="21" t="s">
        <v>531</v>
      </c>
      <c r="E136" s="13">
        <v>42885.808761574073</v>
      </c>
      <c r="F136" s="13">
        <v>42885.812743055554</v>
      </c>
      <c r="G136" s="7">
        <v>1</v>
      </c>
      <c r="H136" s="21" t="s">
        <v>917</v>
      </c>
      <c r="I136" s="13">
        <v>42885.838472222225</v>
      </c>
      <c r="J136" s="7">
        <v>0</v>
      </c>
      <c r="K136" s="92" t="str">
        <f t="shared" si="28"/>
        <v>4019/4020</v>
      </c>
      <c r="L136" s="21" t="str">
        <f>VLOOKUP(A136,'Trips&amp;Operators'!$C$1:$G$99999,5,FALSE)</f>
        <v>SMITH MICHAEL</v>
      </c>
      <c r="M136" s="6">
        <f t="shared" si="29"/>
        <v>2.5729166671226267E-2</v>
      </c>
      <c r="N136" s="7">
        <f t="shared" si="50"/>
        <v>37.050000006565824</v>
      </c>
      <c r="O136" s="7"/>
      <c r="P136" s="7"/>
      <c r="Q136" s="22"/>
      <c r="R136" s="173"/>
      <c r="S136" s="176">
        <f t="shared" si="51"/>
        <v>1</v>
      </c>
      <c r="T136" s="202" t="str">
        <f t="shared" si="30"/>
        <v>NorthBound</v>
      </c>
      <c r="U136" s="202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03" t="str">
        <f t="shared" si="31"/>
        <v>https://d0f6bd738d7f1b3e5a7ca70fe4ff75f0.us-east-1.aws.found.io/app/kibana#/discover/Steve-Slow-Train-Analysis-(2080s-and-2083s)?_g=(refreshInterval:(display:Off,pause:!f,section:0,value:0),time:(from:'2017-05-30T18:24:37-0600',mode:absolute,to:'2017-05-30T21:07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36" s="204" t="str">
        <f t="shared" si="32"/>
        <v>N</v>
      </c>
      <c r="X136" s="204">
        <f t="shared" si="47"/>
        <v>1</v>
      </c>
      <c r="Y136" s="204">
        <f t="shared" si="48"/>
        <v>4.7699999999999999E-2</v>
      </c>
      <c r="Z136" s="204">
        <f t="shared" si="49"/>
        <v>23.3307</v>
      </c>
      <c r="AA136" s="204">
        <f t="shared" si="36"/>
        <v>23.283000000000001</v>
      </c>
      <c r="AB136" s="57" t="e">
        <f>VLOOKUP(A136,Enforcements!$C$7:$K$13,8,0)</f>
        <v>#N/A</v>
      </c>
      <c r="AC136" s="53" t="e">
        <f>VLOOKUP(A136,Enforcements!$C$7:$E$13,3,0)</f>
        <v>#N/A</v>
      </c>
      <c r="AD136" s="54" t="str">
        <f t="shared" si="37"/>
        <v>0223-30</v>
      </c>
      <c r="AE136" s="80" t="str">
        <f t="shared" si="38"/>
        <v>aws s3 cp s3://rtdc.mdm.uploadarchive.raw/RTDC4020/ "%USERPROFILE%\AppData\Local\Temp\OnboardLogs"\RTDC4020\2017-05-30 --exclude "*" --recursive --include "*20170530*" &amp; "%USERPROFILE%\Documents\GitHub\mrs-test-scripts\Headless Mode &amp; Sideloading\WalkAndUnGZ.bat" "%USERPROFILE%\AppData\Local\Temp\OnboardLogs"\RTDC4020\2017-05-30 &amp; aws s3 cp s3://rtdc.mdm.uploadarchive.raw/RTDC4020/ "%USERPROFILE%\AppData\Local\Temp\OnboardLogs"\RTDC4020\2017-05-31 --exclude "*" --recursive --include "*20170531*" &amp; "%USERPROFILE%\Documents\GitHub\mrs-test-scripts\Headless Mode &amp; Sideloading\WalkAndUnGZ.bat" "%USERPROFILE%\AppData\Local\Temp\OnboardLogs"\RTDC4020\2017-05-31</v>
      </c>
      <c r="AF136" s="77" t="str">
        <f t="shared" si="39"/>
        <v>"C:\Program Files (x86)\AstroGrep\AstroGrep.exe" /e /r /s /spath="%USERPROFILE%\AppData\Local\Temp\OnboardLogs" /stypes="app*4020*20170531*" /stext=" 02:.+((SYSTEM_STATE.+slice.+state.+changed )|(ment ac)|(multiple cpu faults)|(system.+state.+changed )|(\[timeout)|(PRM\|1\|D)|(kpr)|(kdp)|(train st.+moving)|(\|lc)|(penalty))"</v>
      </c>
      <c r="AG136" s="1" t="str">
        <f t="shared" si="40"/>
        <v>EC</v>
      </c>
      <c r="AH136" s="81" t="str">
        <f t="shared" si="41"/>
        <v>"%USERPROFILE%\Documents\GitHub\eaglep3\Utilities\RefineRTDCRunTimes.py" --tripid 223-30 --locoid 4020 --swversion DE.1.0.9.0 --startMP 204:477 --initTime 2017-05-30T19:24:37 --startdatetime 2017-05-30T19:30:21 --delay 1 --endMP 204:233307 --enddatetime 2017-05-30T20:07:24 --enforcementcount 0 &gt;&gt;C:\Users\stu\Documents\GitHub\eaglep3-reporting\EC\2017-05-30-refined-times.txt</v>
      </c>
      <c r="AI136" s="99" t="str">
        <f t="shared" si="42"/>
        <v>echo {"issue":{"subject":"","project_id":79,"tracker_id":40,"status_id":1,"priority_id":2,"assigned_to_id":23,"start_date":"2017-05-30","description":"","custom_fields":[{"id":1,"name":"Subdivision","value":"EC"},{"id":4,"name":"Milepost","value":"23.3307"},{"id":17,"name":"Train ID","value":"223-30"},{"id":16,"name":"Locomotive ID","value":"4020"},{"id":130,"name":"Impact","value":""},{"id":150,"name":"Time of Event (Mountain Time)","value":"20:07:24"},{"id":151,"name":"Denver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5" t="str">
        <f t="shared" si="43"/>
        <v>start /low /b %USERPROFILE%\Documents\GitHub\eaglep3\Utilities\DownloadLogsFromS3.py --loco 4020 --day 2017-05-30</v>
      </c>
      <c r="AN136" s="154" t="str">
        <f t="shared" si="44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02:07:24"},{"id":29,"name":"Sharepoint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661</v>
      </c>
      <c r="B137" s="7">
        <v>4019</v>
      </c>
      <c r="C137" s="21" t="s">
        <v>204</v>
      </c>
      <c r="D137" s="21" t="s">
        <v>492</v>
      </c>
      <c r="E137" s="13">
        <v>42885.846863425926</v>
      </c>
      <c r="F137" s="13">
        <v>42885.853356481479</v>
      </c>
      <c r="G137" s="7">
        <v>1</v>
      </c>
      <c r="H137" s="21" t="s">
        <v>920</v>
      </c>
      <c r="I137" s="13">
        <v>42885.881793981483</v>
      </c>
      <c r="J137" s="7">
        <v>0</v>
      </c>
      <c r="K137" s="92" t="str">
        <f t="shared" si="28"/>
        <v>4019/4020</v>
      </c>
      <c r="L137" s="21" t="str">
        <f>VLOOKUP(A137,'Trips&amp;Operators'!$C$1:$G$99999,5,FALSE)</f>
        <v>SMITH MICHAEL</v>
      </c>
      <c r="M137" s="6">
        <f t="shared" si="29"/>
        <v>2.8437500004656613E-2</v>
      </c>
      <c r="N137" s="7">
        <f t="shared" si="50"/>
        <v>40.950000006705523</v>
      </c>
      <c r="O137" s="7"/>
      <c r="P137" s="7"/>
      <c r="Q137" s="22"/>
      <c r="R137" s="173"/>
      <c r="S137" s="176">
        <f t="shared" si="51"/>
        <v>1</v>
      </c>
      <c r="T137" s="202" t="str">
        <f t="shared" si="30"/>
        <v>Southbound</v>
      </c>
      <c r="U137" s="202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03" t="str">
        <f t="shared" si="31"/>
        <v>https://d0f6bd738d7f1b3e5a7ca70fe4ff75f0.us-east-1.aws.found.io/app/kibana#/discover/Steve-Slow-Train-Analysis-(2080s-and-2083s)?_g=(refreshInterval:(display:Off,pause:!f,section:0,value:0),time:(from:'2017-05-30T19:19:29-0600',mode:absolute,to:'2017-05-30T22:09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37" s="204" t="str">
        <f t="shared" si="32"/>
        <v>N</v>
      </c>
      <c r="X137" s="204">
        <f t="shared" si="47"/>
        <v>1</v>
      </c>
      <c r="Y137" s="204">
        <f t="shared" si="48"/>
        <v>23.296900000000001</v>
      </c>
      <c r="Z137" s="204">
        <f t="shared" si="49"/>
        <v>2.5600000000000001E-2</v>
      </c>
      <c r="AA137" s="204">
        <f t="shared" si="36"/>
        <v>23.2713</v>
      </c>
      <c r="AB137" s="57" t="e">
        <f>VLOOKUP(A137,Enforcements!$C$7:$K$13,8,0)</f>
        <v>#N/A</v>
      </c>
      <c r="AC137" s="53" t="e">
        <f>VLOOKUP(A137,Enforcements!$C$7:$E$13,3,0)</f>
        <v>#N/A</v>
      </c>
      <c r="AD137" s="54" t="str">
        <f t="shared" si="37"/>
        <v>0224-30</v>
      </c>
      <c r="AE137" s="80" t="str">
        <f t="shared" si="38"/>
        <v>aws s3 cp s3://rtdc.mdm.uploadarchive.raw/RTDC4019/ "%USERPROFILE%\AppData\Local\Temp\OnboardLogs"\RTDC4019\2017-05-30 --exclude "*" --recursive --include "*20170530*" &amp; "%USERPROFILE%\Documents\GitHub\mrs-test-scripts\Headless Mode &amp; Sideloading\WalkAndUnGZ.bat" "%USERPROFILE%\AppData\Local\Temp\OnboardLogs"\RTDC4019\2017-05-30 &amp; aws s3 cp s3://rtdc.mdm.uploadarchive.raw/RTDC4019/ "%USERPROFILE%\AppData\Local\Temp\OnboardLogs"\RTDC4019\2017-05-31 --exclude "*" --recursive --include "*20170531*" &amp; "%USERPROFILE%\Documents\GitHub\mrs-test-scripts\Headless Mode &amp; Sideloading\WalkAndUnGZ.bat" "%USERPROFILE%\AppData\Local\Temp\OnboardLogs"\RTDC4019\2017-05-31</v>
      </c>
      <c r="AF137" s="77" t="str">
        <f t="shared" si="39"/>
        <v>"C:\Program Files (x86)\AstroGrep\AstroGrep.exe" /e /r /s /spath="%USERPROFILE%\AppData\Local\Temp\OnboardLogs" /stypes="app*4019*20170531*" /stext=" 03:.+((SYSTEM_STATE.+slice.+state.+changed )|(ment ac)|(multiple cpu faults)|(system.+state.+changed )|(\[timeout)|(PRM\|1\|D)|(kpr)|(kdp)|(train st.+moving)|(\|lc)|(penalty))"</v>
      </c>
      <c r="AG137" s="1" t="str">
        <f t="shared" si="40"/>
        <v>EC</v>
      </c>
      <c r="AH137" s="81" t="str">
        <f t="shared" si="41"/>
        <v>"%USERPROFILE%\Documents\GitHub\eaglep3\Utilities\RefineRTDCRunTimes.py" --tripid 224-30 --locoid 4019 --swversion DE.1.0.9.0 --startMP 204:232969 --initTime 2017-05-30T20:19:29 --startdatetime 2017-05-30T20:28:50 --delay 1 --endMP 204:256 --enddatetime 2017-05-30T21:09:47 --enforcementcount 0 &gt;&gt;C:\Users\stu\Documents\GitHub\eaglep3-reporting\EC\2017-05-30-refined-times.txt</v>
      </c>
      <c r="AI137" s="99" t="str">
        <f t="shared" si="42"/>
        <v>echo {"issue":{"subject":"","project_id":79,"tracker_id":40,"status_id":1,"priority_id":2,"assigned_to_id":23,"start_date":"2017-05-30","description":"","custom_fields":[{"id":1,"name":"Subdivision","value":"EC"},{"id":4,"name":"Milepost","value":"0.0256"},{"id":17,"name":"Train ID","value":"224-30"},{"id":16,"name":"Locomotive ID","value":"4019"},{"id":130,"name":"Impact","value":""},{"id":150,"name":"Time of Event (Mountain Time)","value":"21:09:47"},{"id":151,"name":"Denver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5" t="str">
        <f t="shared" si="43"/>
        <v>start /low /b %USERPROFILE%\Documents\GitHub\eaglep3\Utilities\DownloadLogsFromS3.py --loco 4019 --day 2017-05-30</v>
      </c>
      <c r="AN137" s="154" t="str">
        <f t="shared" si="44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03:09:47"},{"id":29,"name":"Sharepoint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841</v>
      </c>
      <c r="B138" s="7">
        <v>4018</v>
      </c>
      <c r="C138" s="21" t="s">
        <v>204</v>
      </c>
      <c r="D138" s="21" t="s">
        <v>608</v>
      </c>
      <c r="E138" s="13">
        <v>42885.831620370373</v>
      </c>
      <c r="F138" s="13">
        <v>42885.833564814813</v>
      </c>
      <c r="G138" s="7">
        <v>1</v>
      </c>
      <c r="H138" s="21" t="s">
        <v>898</v>
      </c>
      <c r="I138" s="13">
        <v>42885.860555555555</v>
      </c>
      <c r="J138" s="7">
        <v>0</v>
      </c>
      <c r="K138" s="92" t="str">
        <f t="shared" si="28"/>
        <v>4017/4018</v>
      </c>
      <c r="L138" s="21" t="str">
        <f>VLOOKUP(A138,'Trips&amp;Operators'!$C$1:$G$99999,5,FALSE)</f>
        <v>FORTUNATO FRANK</v>
      </c>
      <c r="M138" s="6">
        <f t="shared" si="29"/>
        <v>2.6990740741894115E-2</v>
      </c>
      <c r="N138" s="7">
        <f t="shared" si="50"/>
        <v>38.866666668327525</v>
      </c>
      <c r="O138" s="7"/>
      <c r="P138" s="7"/>
      <c r="Q138" s="22"/>
      <c r="R138" s="173"/>
      <c r="S138" s="176">
        <f t="shared" si="51"/>
        <v>1</v>
      </c>
      <c r="T138" s="202" t="str">
        <f t="shared" si="30"/>
        <v>NorthBound</v>
      </c>
      <c r="U138" s="202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03" t="str">
        <f t="shared" si="31"/>
        <v>https://d0f6bd738d7f1b3e5a7ca70fe4ff75f0.us-east-1.aws.found.io/app/kibana#/discover/Steve-Slow-Train-Analysis-(2080s-and-2083s)?_g=(refreshInterval:(display:Off,pause:!f,section:0,value:0),time:(from:'2017-05-30T18:57:32-0600',mode:absolute,to:'2017-05-30T21:39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38" s="204" t="str">
        <f t="shared" si="32"/>
        <v>N</v>
      </c>
      <c r="X138" s="204">
        <f t="shared" si="47"/>
        <v>1</v>
      </c>
      <c r="Y138" s="204">
        <f t="shared" si="48"/>
        <v>4.3700000000000003E-2</v>
      </c>
      <c r="Z138" s="204">
        <f t="shared" si="49"/>
        <v>23.331600000000002</v>
      </c>
      <c r="AA138" s="204">
        <f t="shared" si="36"/>
        <v>23.2879</v>
      </c>
      <c r="AB138" s="57" t="e">
        <f>VLOOKUP(A138,Enforcements!$C$7:$K$13,8,0)</f>
        <v>#N/A</v>
      </c>
      <c r="AC138" s="53" t="e">
        <f>VLOOKUP(A138,Enforcements!$C$7:$E$13,3,0)</f>
        <v>#N/A</v>
      </c>
      <c r="AD138" s="54" t="str">
        <f t="shared" si="37"/>
        <v>0225-30</v>
      </c>
      <c r="AE138" s="80" t="str">
        <f t="shared" si="38"/>
        <v>aws s3 cp s3://rtdc.mdm.uploadarchive.raw/RTDC4018/ "%USERPROFILE%\AppData\Local\Temp\OnboardLogs"\RTDC4018\2017-05-30 --exclude "*" --recursive --include "*20170530*" &amp; "%USERPROFILE%\Documents\GitHub\mrs-test-scripts\Headless Mode &amp; Sideloading\WalkAndUnGZ.bat" "%USERPROFILE%\AppData\Local\Temp\OnboardLogs"\RTDC4018\2017-05-30 &amp; aws s3 cp s3://rtdc.mdm.uploadarchive.raw/RTDC4018/ "%USERPROFILE%\AppData\Local\Temp\OnboardLogs"\RTDC4018\2017-05-31 --exclude "*" --recursive --include "*20170531*" &amp; "%USERPROFILE%\Documents\GitHub\mrs-test-scripts\Headless Mode &amp; Sideloading\WalkAndUnGZ.bat" "%USERPROFILE%\AppData\Local\Temp\OnboardLogs"\RTDC4018\2017-05-31</v>
      </c>
      <c r="AF138" s="77" t="str">
        <f t="shared" si="39"/>
        <v>"C:\Program Files (x86)\AstroGrep\AstroGrep.exe" /e /r /s /spath="%USERPROFILE%\AppData\Local\Temp\OnboardLogs" /stypes="app*4018*20170531*" /stext=" 02:.+((SYSTEM_STATE.+slice.+state.+changed )|(ment ac)|(multiple cpu faults)|(system.+state.+changed )|(\[timeout)|(PRM\|1\|D)|(kpr)|(kdp)|(train st.+moving)|(\|lc)|(penalty))"</v>
      </c>
      <c r="AG138" s="1" t="str">
        <f t="shared" si="40"/>
        <v>EC</v>
      </c>
      <c r="AH138" s="81" t="str">
        <f t="shared" si="41"/>
        <v>"%USERPROFILE%\Documents\GitHub\eaglep3\Utilities\RefineRTDCRunTimes.py" --tripid 225-30 --locoid 4018 --swversion DE.1.0.9.0 --startMP 204:437 --initTime 2017-05-30T19:57:32 --startdatetime 2017-05-30T20:00:20 --delay 1 --endMP 204:233316 --enddatetime 2017-05-30T20:39:12 --enforcementcount 0 &gt;&gt;C:\Users\stu\Documents\GitHub\eaglep3-reporting\EC\2017-05-30-refined-times.txt</v>
      </c>
      <c r="AI138" s="99" t="str">
        <f t="shared" si="42"/>
        <v>echo {"issue":{"subject":"","project_id":79,"tracker_id":40,"status_id":1,"priority_id":2,"assigned_to_id":23,"start_date":"2017-05-30","description":"","custom_fields":[{"id":1,"name":"Subdivision","value":"EC"},{"id":4,"name":"Milepost","value":"23.3316"},{"id":17,"name":"Train ID","value":"225-30"},{"id":16,"name":"Locomotive ID","value":"4018"},{"id":130,"name":"Impact","value":""},{"id":150,"name":"Time of Event (Mountain Time)","value":"20:39:12"},{"id":151,"name":"Denver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5" t="str">
        <f t="shared" si="43"/>
        <v>start /low /b %USERPROFILE%\Documents\GitHub\eaglep3\Utilities\DownloadLogsFromS3.py --loco 4018 --day 2017-05-30</v>
      </c>
      <c r="AN138" s="154" t="str">
        <f t="shared" si="44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02:39:12"},{"id":29,"name":"Sharepoint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845</v>
      </c>
      <c r="B139" s="7">
        <v>4017</v>
      </c>
      <c r="C139" s="21" t="s">
        <v>204</v>
      </c>
      <c r="D139" s="21" t="s">
        <v>606</v>
      </c>
      <c r="E139" s="13">
        <v>42885.870104166665</v>
      </c>
      <c r="F139" s="13">
        <v>42885.873113425929</v>
      </c>
      <c r="G139" s="7">
        <v>1</v>
      </c>
      <c r="H139" s="21" t="s">
        <v>354</v>
      </c>
      <c r="I139" s="13">
        <v>42885.904907407406</v>
      </c>
      <c r="J139" s="7">
        <v>0</v>
      </c>
      <c r="K139" s="92" t="str">
        <f t="shared" si="28"/>
        <v>4017/4018</v>
      </c>
      <c r="L139" s="21" t="str">
        <f>VLOOKUP(A139,'Trips&amp;Operators'!$C$1:$G$99999,5,FALSE)</f>
        <v>FORTUNATO FRANK</v>
      </c>
      <c r="M139" s="6">
        <f t="shared" si="29"/>
        <v>3.1793981477676425E-2</v>
      </c>
      <c r="N139" s="7">
        <f t="shared" si="50"/>
        <v>45.783333327854052</v>
      </c>
      <c r="O139" s="7"/>
      <c r="P139" s="7"/>
      <c r="Q139" s="22"/>
      <c r="R139" s="173"/>
      <c r="S139" s="176">
        <f t="shared" si="51"/>
        <v>1</v>
      </c>
      <c r="T139" s="202" t="str">
        <f t="shared" si="30"/>
        <v>Southbound</v>
      </c>
      <c r="U139" s="202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03" t="str">
        <f t="shared" si="31"/>
        <v>https://d0f6bd738d7f1b3e5a7ca70fe4ff75f0.us-east-1.aws.found.io/app/kibana#/discover/Steve-Slow-Train-Analysis-(2080s-and-2083s)?_g=(refreshInterval:(display:Off,pause:!f,section:0,value:0),time:(from:'2017-05-30T19:52:57-0600',mode:absolute,to:'2017-05-30T22:43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39" s="204" t="str">
        <f t="shared" si="32"/>
        <v>N</v>
      </c>
      <c r="X139" s="204">
        <f t="shared" si="47"/>
        <v>1</v>
      </c>
      <c r="Y139" s="204">
        <f t="shared" si="48"/>
        <v>23.299199999999999</v>
      </c>
      <c r="Z139" s="204">
        <f t="shared" si="49"/>
        <v>1.43E-2</v>
      </c>
      <c r="AA139" s="204">
        <f t="shared" si="36"/>
        <v>23.2849</v>
      </c>
      <c r="AB139" s="57" t="e">
        <f>VLOOKUP(A139,Enforcements!$C$7:$K$13,8,0)</f>
        <v>#N/A</v>
      </c>
      <c r="AC139" s="53" t="e">
        <f>VLOOKUP(A139,Enforcements!$C$7:$E$13,3,0)</f>
        <v>#N/A</v>
      </c>
      <c r="AD139" s="54" t="str">
        <f t="shared" si="37"/>
        <v>0226-30</v>
      </c>
      <c r="AE139" s="80" t="str">
        <f t="shared" si="38"/>
        <v>aws s3 cp s3://rtdc.mdm.uploadarchive.raw/RTDC4017/ "%USERPROFILE%\AppData\Local\Temp\OnboardLogs"\RTDC4017\2017-05-30 --exclude "*" --recursive --include "*20170530*" &amp; "%USERPROFILE%\Documents\GitHub\mrs-test-scripts\Headless Mode &amp; Sideloading\WalkAndUnGZ.bat" "%USERPROFILE%\AppData\Local\Temp\OnboardLogs"\RTDC4017\2017-05-30 &amp; aws s3 cp s3://rtdc.mdm.uploadarchive.raw/RTDC4017/ "%USERPROFILE%\AppData\Local\Temp\OnboardLogs"\RTDC4017\2017-05-31 --exclude "*" --recursive --include "*20170531*" &amp; "%USERPROFILE%\Documents\GitHub\mrs-test-scripts\Headless Mode &amp; Sideloading\WalkAndUnGZ.bat" "%USERPROFILE%\AppData\Local\Temp\OnboardLogs"\RTDC4017\2017-05-31</v>
      </c>
      <c r="AF139" s="77" t="str">
        <f t="shared" si="39"/>
        <v>"C:\Program Files (x86)\AstroGrep\AstroGrep.exe" /e /r /s /spath="%USERPROFILE%\AppData\Local\Temp\OnboardLogs" /stypes="app*4017*20170531*" /stext=" 03:.+((SYSTEM_STATE.+slice.+state.+changed )|(ment ac)|(multiple cpu faults)|(system.+state.+changed )|(\[timeout)|(PRM\|1\|D)|(kpr)|(kdp)|(train st.+moving)|(\|lc)|(penalty))"</v>
      </c>
      <c r="AG139" s="1" t="str">
        <f t="shared" si="40"/>
        <v>EC</v>
      </c>
      <c r="AH139" s="81" t="str">
        <f t="shared" si="41"/>
        <v>"%USERPROFILE%\Documents\GitHub\eaglep3\Utilities\RefineRTDCRunTimes.py" --tripid 226-30 --locoid 4017 --swversion DE.1.0.9.0 --startMP 204:232992 --initTime 2017-05-30T20:52:57 --startdatetime 2017-05-30T20:57:17 --delay 1 --endMP 204:143 --enddatetime 2017-05-30T21:43:04 --enforcementcount 0 &gt;&gt;C:\Users\stu\Documents\GitHub\eaglep3-reporting\EC\2017-05-30-refined-times.txt</v>
      </c>
      <c r="AI139" s="99" t="str">
        <f t="shared" si="42"/>
        <v>echo {"issue":{"subject":"","project_id":79,"tracker_id":40,"status_id":1,"priority_id":2,"assigned_to_id":23,"start_date":"2017-05-30","description":"","custom_fields":[{"id":1,"name":"Subdivision","value":"EC"},{"id":4,"name":"Milepost","value":"0.0143"},{"id":17,"name":"Train ID","value":"226-30"},{"id":16,"name":"Locomotive ID","value":"4017"},{"id":130,"name":"Impact","value":""},{"id":150,"name":"Time of Event (Mountain Time)","value":"21:43:04"},{"id":151,"name":"Denver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5" t="str">
        <f t="shared" si="43"/>
        <v>start /low /b %USERPROFILE%\Documents\GitHub\eaglep3\Utilities\DownloadLogsFromS3.py --loco 4017 --day 2017-05-30</v>
      </c>
      <c r="AN139" s="154" t="str">
        <f t="shared" si="44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03:43:04"},{"id":29,"name":"Sharepoint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843</v>
      </c>
      <c r="B140" s="7">
        <v>4026</v>
      </c>
      <c r="C140" s="21" t="s">
        <v>204</v>
      </c>
      <c r="D140" s="21" t="s">
        <v>408</v>
      </c>
      <c r="E140" s="13">
        <v>42885.845266203702</v>
      </c>
      <c r="F140" s="13">
        <v>42885.854317129626</v>
      </c>
      <c r="G140" s="7">
        <v>1</v>
      </c>
      <c r="H140" s="21" t="s">
        <v>493</v>
      </c>
      <c r="I140" s="13">
        <v>42885.884155092594</v>
      </c>
      <c r="J140" s="7">
        <v>0</v>
      </c>
      <c r="K140" s="92" t="str">
        <f t="shared" si="28"/>
        <v>4025/4026</v>
      </c>
      <c r="L140" s="21" t="str">
        <f>VLOOKUP(A140,'Trips&amp;Operators'!$C$1:$G$99999,5,FALSE)</f>
        <v>SULLIVAN BRANDON</v>
      </c>
      <c r="M140" s="6">
        <f t="shared" si="29"/>
        <v>2.9837962967576459E-2</v>
      </c>
      <c r="N140" s="7">
        <f t="shared" si="50"/>
        <v>42.966666673310101</v>
      </c>
      <c r="O140" s="7"/>
      <c r="P140" s="7"/>
      <c r="Q140" s="22"/>
      <c r="R140" s="173"/>
      <c r="S140" s="176">
        <f t="shared" si="51"/>
        <v>1</v>
      </c>
      <c r="T140" s="202" t="str">
        <f t="shared" si="30"/>
        <v>NorthBound</v>
      </c>
      <c r="U140" s="202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03" t="str">
        <f t="shared" si="31"/>
        <v>https://d0f6bd738d7f1b3e5a7ca70fe4ff75f0.us-east-1.aws.found.io/app/kibana#/discover/Steve-Slow-Train-Analysis-(2080s-and-2083s)?_g=(refreshInterval:(display:Off,pause:!f,section:0,value:0),time:(from:'2017-05-30T19:17:11-0600',mode:absolute,to:'2017-05-30T22:13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40" s="204" t="str">
        <f t="shared" si="32"/>
        <v>N</v>
      </c>
      <c r="X140" s="204">
        <f t="shared" si="47"/>
        <v>1</v>
      </c>
      <c r="Y140" s="204">
        <f t="shared" si="48"/>
        <v>4.7300000000000002E-2</v>
      </c>
      <c r="Z140" s="204">
        <f t="shared" si="49"/>
        <v>23.331399999999999</v>
      </c>
      <c r="AA140" s="204">
        <f t="shared" si="36"/>
        <v>23.284099999999999</v>
      </c>
      <c r="AB140" s="57" t="e">
        <f>VLOOKUP(A140,Enforcements!$C$7:$K$13,8,0)</f>
        <v>#N/A</v>
      </c>
      <c r="AC140" s="53" t="e">
        <f>VLOOKUP(A140,Enforcements!$C$7:$E$13,3,0)</f>
        <v>#N/A</v>
      </c>
      <c r="AD140" s="54" t="str">
        <f t="shared" si="37"/>
        <v>0227-30</v>
      </c>
      <c r="AE140" s="80" t="str">
        <f t="shared" si="38"/>
        <v>aws s3 cp s3://rtdc.mdm.uploadarchive.raw/RTDC4026/ "%USERPROFILE%\AppData\Local\Temp\OnboardLogs"\RTDC4026\2017-05-30 --exclude "*" --recursive --include "*20170530*" &amp; "%USERPROFILE%\Documents\GitHub\mrs-test-scripts\Headless Mode &amp; Sideloading\WalkAndUnGZ.bat" "%USERPROFILE%\AppData\Local\Temp\OnboardLogs"\RTDC4026\2017-05-30 &amp; aws s3 cp s3://rtdc.mdm.uploadarchive.raw/RTDC4026/ "%USERPROFILE%\AppData\Local\Temp\OnboardLogs"\RTDC4026\2017-05-31 --exclude "*" --recursive --include "*20170531*" &amp; "%USERPROFILE%\Documents\GitHub\mrs-test-scripts\Headless Mode &amp; Sideloading\WalkAndUnGZ.bat" "%USERPROFILE%\AppData\Local\Temp\OnboardLogs"\RTDC4026\2017-05-31</v>
      </c>
      <c r="AF140" s="77" t="str">
        <f t="shared" si="39"/>
        <v>"C:\Program Files (x86)\AstroGrep\AstroGrep.exe" /e /r /s /spath="%USERPROFILE%\AppData\Local\Temp\OnboardLogs" /stypes="app*4026*20170531*" /stext=" 03:.+((SYSTEM_STATE.+slice.+state.+changed )|(ment ac)|(multiple cpu faults)|(system.+state.+changed )|(\[timeout)|(PRM\|1\|D)|(kpr)|(kdp)|(train st.+moving)|(\|lc)|(penalty))"</v>
      </c>
      <c r="AG140" s="1" t="str">
        <f t="shared" si="40"/>
        <v>EC</v>
      </c>
      <c r="AH140" s="81" t="str">
        <f t="shared" si="41"/>
        <v>"%USERPROFILE%\Documents\GitHub\eaglep3\Utilities\RefineRTDCRunTimes.py" --tripid 227-30 --locoid 4026 --swversion DE.1.0.9.0 --startMP 204:473 --initTime 2017-05-30T20:17:11 --startdatetime 2017-05-30T20:30:13 --delay 1 --endMP 204:233314 --enddatetime 2017-05-30T21:13:11 --enforcementcount 0 &gt;&gt;C:\Users\stu\Documents\GitHub\eaglep3-reporting\EC\2017-05-30-refined-times.txt</v>
      </c>
      <c r="AI140" s="99" t="str">
        <f t="shared" si="42"/>
        <v>echo {"issue":{"subject":"","project_id":79,"tracker_id":40,"status_id":1,"priority_id":2,"assigned_to_id":23,"start_date":"2017-05-30","description":"","custom_fields":[{"id":1,"name":"Subdivision","value":"EC"},{"id":4,"name":"Milepost","value":"23.3314"},{"id":17,"name":"Train ID","value":"227-30"},{"id":16,"name":"Locomotive ID","value":"4026"},{"id":130,"name":"Impact","value":""},{"id":150,"name":"Time of Event (Mountain Time)","value":"21:13:11"},{"id":151,"name":"Denver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5" t="str">
        <f t="shared" si="43"/>
        <v>start /low /b %USERPROFILE%\Documents\GitHub\eaglep3\Utilities\DownloadLogsFromS3.py --loco 4026 --day 2017-05-30</v>
      </c>
      <c r="AN140" s="154" t="str">
        <f t="shared" si="44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03:13:11"},{"id":29,"name":"Sharepoint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848</v>
      </c>
      <c r="B141" s="7">
        <v>4025</v>
      </c>
      <c r="C141" s="21" t="s">
        <v>204</v>
      </c>
      <c r="D141" s="21" t="s">
        <v>448</v>
      </c>
      <c r="E141" s="13">
        <v>42885.886041666665</v>
      </c>
      <c r="F141" s="13">
        <v>42885.893912037034</v>
      </c>
      <c r="G141" s="7">
        <v>1</v>
      </c>
      <c r="H141" s="21" t="s">
        <v>372</v>
      </c>
      <c r="I141" s="13">
        <v>42885.923020833332</v>
      </c>
      <c r="J141" s="7">
        <v>0</v>
      </c>
      <c r="K141" s="92" t="str">
        <f t="shared" ref="K141:K204" si="52">IF(ISEVEN(B141),(B141-1)&amp;"/"&amp;B141,B141&amp;"/"&amp;(B141+1))</f>
        <v>4025/4026</v>
      </c>
      <c r="L141" s="21" t="str">
        <f>VLOOKUP(A141,'Trips&amp;Operators'!$C$1:$G$99999,5,FALSE)</f>
        <v>SULLIVAN BRANDON</v>
      </c>
      <c r="M141" s="6">
        <f t="shared" ref="M141:M204" si="53">I141-F141</f>
        <v>2.9108796297805384E-2</v>
      </c>
      <c r="N141" s="7">
        <f t="shared" si="50"/>
        <v>41.916666668839753</v>
      </c>
      <c r="O141" s="7"/>
      <c r="P141" s="7"/>
      <c r="Q141" s="22"/>
      <c r="R141" s="173"/>
      <c r="S141" s="176">
        <f t="shared" si="51"/>
        <v>1</v>
      </c>
      <c r="T141" s="202" t="str">
        <f t="shared" ref="T141:T204" si="54">IF(ISEVEN(LEFT(AD141,4)),"Southbound","NorthBound")</f>
        <v>Southbound</v>
      </c>
      <c r="U141" s="202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03" t="str">
        <f t="shared" ref="V141:V204" si="55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-05-30T20:15:54-0600',mode:absolute,to:'2017-05-30T23:09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41" s="204" t="str">
        <f t="shared" ref="W141:W204" si="56">IF(AA141&lt;IF(AG141="EC",23,5.65),"Y","N")</f>
        <v>N</v>
      </c>
      <c r="X141" s="204">
        <f t="shared" ref="X141:X154" si="57">VALUE(LEFT(AD141,4))-VALUE(LEFT(AD140,4))</f>
        <v>1</v>
      </c>
      <c r="Y141" s="204">
        <f t="shared" ref="Y141:Y154" si="58">RIGHT(D141,LEN(D141)-4)/10000</f>
        <v>23.297699999999999</v>
      </c>
      <c r="Z141" s="204">
        <f t="shared" ref="Z141:Z154" si="59">RIGHT(H141,LEN(H141)-4)/10000</f>
        <v>1.3599999999999999E-2</v>
      </c>
      <c r="AA141" s="204">
        <f t="shared" ref="AA141:AA204" si="60">ABS(Z141-Y141)</f>
        <v>23.284099999999999</v>
      </c>
      <c r="AB141" s="57" t="e">
        <f>VLOOKUP(A141,Enforcements!$C$7:$K$13,8,0)</f>
        <v>#N/A</v>
      </c>
      <c r="AC141" s="53" t="e">
        <f>VLOOKUP(A141,Enforcements!$C$7:$E$13,3,0)</f>
        <v>#N/A</v>
      </c>
      <c r="AD141" s="54" t="str">
        <f t="shared" ref="AD141:AD204" si="61">IF(LEN(A141)=6,"0"&amp;A141,A141)</f>
        <v>0228-30</v>
      </c>
      <c r="AE141" s="80" t="str">
        <f t="shared" ref="AE141:AE204" si="62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s3://rtdc.mdm.uploadarchive.raw/RTDC4025/ "%USERPROFILE%\AppData\Local\Temp\OnboardLogs"\RTDC4025\2017-05-30 --exclude "*" --recursive --include "*20170530*" &amp; "%USERPROFILE%\Documents\GitHub\mrs-test-scripts\Headless Mode &amp; Sideloading\WalkAndUnGZ.bat" "%USERPROFILE%\AppData\Local\Temp\OnboardLogs"\RTDC4025\2017-05-30 &amp; aws s3 cp s3://rtdc.mdm.uploadarchive.raw/RTDC4025/ "%USERPROFILE%\AppData\Local\Temp\OnboardLogs"\RTDC4025\2017-05-31 --exclude "*" --recursive --include "*20170531*" &amp; "%USERPROFILE%\Documents\GitHub\mrs-test-scripts\Headless Mode &amp; Sideloading\WalkAndUnGZ.bat" "%USERPROFILE%\AppData\Local\Temp\OnboardLogs"\RTDC4025\2017-05-31</v>
      </c>
      <c r="AF141" s="77" t="str">
        <f t="shared" ref="AF141:AF204" si="63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/stypes="app*4025*20170531*" /stext=" 04:.+((SYSTEM_STATE.+slice.+state.+changed )|(ment ac)|(multiple cpu faults)|(system.+state.+changed )|(\[timeout)|(PRM\|1\|D)|(kpr)|(kdp)|(train st.+moving)|(\|lc)|(penalty))"</v>
      </c>
      <c r="AG141" s="1" t="str">
        <f t="shared" ref="AG141:AG204" si="64">IFERROR(IF(VALUE(LEFT(AD141,2))&lt;=2,"EC",IF(OR(VALUE(LEFT(AD141,2))=8,VALUE(LEFT(AD141,2))=18),"NW","Other")),"Other")</f>
        <v>EC</v>
      </c>
      <c r="AH141" s="81" t="str">
        <f t="shared" si="41"/>
        <v>"%USERPROFILE%\Documents\GitHub\eaglep3\Utilities\RefineRTDCRunTimes.py" --tripid 228-30 --locoid 4025 --swversion DE.1.0.9.0 --startMP 204:232977 --initTime 2017-05-30T21:15:54 --startdatetime 2017-05-30T21:27:14 --delay 1 --endMP 204:136 --enddatetime 2017-05-30T22:09:09 --enforcementcount 0 &gt;&gt;C:\Users\stu\Documents\GitHub\eaglep3-reporting\EC\2017-05-30-refined-times.txt</v>
      </c>
      <c r="AI141" s="99" t="str">
        <f t="shared" si="42"/>
        <v>echo {"issue":{"subject":"","project_id":79,"tracker_id":40,"status_id":1,"priority_id":2,"assigned_to_id":23,"start_date":"2017-05-30","description":"","custom_fields":[{"id":1,"name":"Subdivision","value":"EC"},{"id":4,"name":"Milepost","value":"0.0136"},{"id":17,"name":"Train ID","value":"228-30"},{"id":16,"name":"Locomotive ID","value":"4025"},{"id":130,"name":"Impact","value":""},{"id":150,"name":"Time of Event (Mountain Time)","value":"22:09:09"},{"id":151,"name":"Denver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5" t="str">
        <f t="shared" si="43"/>
        <v>start /low /b %USERPROFILE%\Documents\GitHub\eaglep3\Utilities\DownloadLogsFromS3.py --loco 4025 --day 2017-05-30</v>
      </c>
      <c r="AN141" s="154" t="str">
        <f t="shared" si="44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04:09:09"},{"id":29,"name":"Sharepoint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662</v>
      </c>
      <c r="B142" s="7">
        <v>4032</v>
      </c>
      <c r="C142" s="21" t="s">
        <v>204</v>
      </c>
      <c r="D142" s="21" t="s">
        <v>495</v>
      </c>
      <c r="E142" s="13">
        <v>42885.862476851849</v>
      </c>
      <c r="F142" s="13">
        <v>42885.875231481485</v>
      </c>
      <c r="G142" s="7">
        <v>1</v>
      </c>
      <c r="H142" s="21" t="s">
        <v>602</v>
      </c>
      <c r="I142" s="13">
        <v>42885.902094907404</v>
      </c>
      <c r="J142" s="7">
        <v>0</v>
      </c>
      <c r="K142" s="92" t="str">
        <f t="shared" si="52"/>
        <v>4031/4032</v>
      </c>
      <c r="L142" s="21" t="str">
        <f>VLOOKUP(A142,'Trips&amp;Operators'!$C$1:$G$99999,5,FALSE)</f>
        <v>DUNCAN SHEILA</v>
      </c>
      <c r="M142" s="6">
        <f t="shared" si="53"/>
        <v>2.6863425919145811E-2</v>
      </c>
      <c r="N142" s="7">
        <f t="shared" si="50"/>
        <v>38.683333323569968</v>
      </c>
      <c r="O142" s="7"/>
      <c r="P142" s="7"/>
      <c r="Q142" s="22"/>
      <c r="R142" s="173"/>
      <c r="S142" s="176">
        <f t="shared" si="51"/>
        <v>1</v>
      </c>
      <c r="T142" s="202" t="str">
        <f t="shared" si="54"/>
        <v>NorthBound</v>
      </c>
      <c r="U142" s="202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03" t="str">
        <f t="shared" si="55"/>
        <v>https://d0f6bd738d7f1b3e5a7ca70fe4ff75f0.us-east-1.aws.found.io/app/kibana#/discover/Steve-Slow-Train-Analysis-(2080s-and-2083s)?_g=(refreshInterval:(display:Off,pause:!f,section:0,value:0),time:(from:'2017-05-30T19:41:58-0600',mode:absolute,to:'2017-05-30T22:39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42" s="204" t="str">
        <f t="shared" si="56"/>
        <v>N</v>
      </c>
      <c r="X142" s="204">
        <f t="shared" si="57"/>
        <v>1</v>
      </c>
      <c r="Y142" s="204">
        <f t="shared" si="58"/>
        <v>4.3999999999999997E-2</v>
      </c>
      <c r="Z142" s="204">
        <f t="shared" si="59"/>
        <v>23.328199999999999</v>
      </c>
      <c r="AA142" s="204">
        <f t="shared" si="60"/>
        <v>23.284199999999998</v>
      </c>
      <c r="AB142" s="57" t="e">
        <f>VLOOKUP(A142,Enforcements!$C$7:$K$13,8,0)</f>
        <v>#N/A</v>
      </c>
      <c r="AC142" s="53" t="e">
        <f>VLOOKUP(A142,Enforcements!$C$7:$E$13,3,0)</f>
        <v>#N/A</v>
      </c>
      <c r="AD142" s="54" t="str">
        <f t="shared" si="61"/>
        <v>0229-30</v>
      </c>
      <c r="AE142" s="80" t="str">
        <f t="shared" si="62"/>
        <v>aws s3 cp s3://rtdc.mdm.uploadarchive.raw/RTDC4032/ "%USERPROFILE%\AppData\Local\Temp\OnboardLogs"\RTDC4032\2017-05-30 --exclude "*" --recursive --include "*20170530*" &amp; "%USERPROFILE%\Documents\GitHub\mrs-test-scripts\Headless Mode &amp; Sideloading\WalkAndUnGZ.bat" "%USERPROFILE%\AppData\Local\Temp\OnboardLogs"\RTDC4032\2017-05-30 &amp; aws s3 cp s3://rtdc.mdm.uploadarchive.raw/RTDC4032/ "%USERPROFILE%\AppData\Local\Temp\OnboardLogs"\RTDC4032\2017-05-31 --exclude "*" --recursive --include "*20170531*" &amp; "%USERPROFILE%\Documents\GitHub\mrs-test-scripts\Headless Mode &amp; Sideloading\WalkAndUnGZ.bat" "%USERPROFILE%\AppData\Local\Temp\OnboardLogs"\RTDC4032\2017-05-31</v>
      </c>
      <c r="AF142" s="77" t="str">
        <f t="shared" si="63"/>
        <v>"C:\Program Files (x86)\AstroGrep\AstroGrep.exe" /e /r /s /spath="%USERPROFILE%\AppData\Local\Temp\OnboardLogs" /stypes="app*4032*20170531*" /stext=" 03:.+((SYSTEM_STATE.+slice.+state.+changed )|(ment ac)|(multiple cpu faults)|(system.+state.+changed )|(\[timeout)|(PRM\|1\|D)|(kpr)|(kdp)|(train st.+moving)|(\|lc)|(penalty))"</v>
      </c>
      <c r="AG142" s="1" t="str">
        <f t="shared" si="64"/>
        <v>EC</v>
      </c>
      <c r="AH142" s="81" t="str">
        <f t="shared" ref="AH142:AH205" si="65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229-30 --locoid 4032 --swversion DE.1.0.9.0 --startMP 204:440 --initTime 2017-05-30T20:41:58 --startdatetime 2017-05-30T21:00:20 --delay 1 --endMP 204:233282 --enddatetime 2017-05-30T21:39:01 --enforcementcount 0 &gt;&gt;C:\Users\stu\Documents\GitHub\eaglep3-reporting\EC\2017-05-30-refined-times.txt</v>
      </c>
      <c r="AI142" s="99" t="str">
        <f t="shared" ref="AI142:AI205" si="66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{"issue":{"subject":"","project_id":79,"tracker_id":40,"status_id":1,"priority_id":2,"assigned_to_id":23,"start_date":"2017-05-30","description":"","custom_fields":[{"id":1,"name":"Subdivision","value":"EC"},{"id":4,"name":"Milepost","value":"23.3282"},{"id":17,"name":"Train ID","value":"229-30"},{"id":16,"name":"Locomotive ID","value":"4032"},{"id":130,"name":"Impact","value":""},{"id":150,"name":"Time of Event (Mountain Time)","value":"21:39:01"},{"id":151,"name":"Denver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5" t="str">
        <f t="shared" ref="AM142:AM205" si="67">"start /low /b "&amp;dls3logs&amp;" --loco "&amp;B142&amp;" --day "&amp;TEXT(F142,"YYYY-MM-DD")</f>
        <v>start /low /b %USERPROFILE%\Documents\GitHub\eaglep3\Utilities\DownloadLogsFromS3.py --loco 4032 --day 2017-05-30</v>
      </c>
      <c r="AN142" s="154" t="str">
        <f t="shared" ref="AN142:AN205" si="68">"echo {""issue"":{""subject"":"""&amp;R142&amp;""",""project_id"":30,""tracker_id"":4,""status_id"":"&amp;redmine_status_wcr&amp;",""priority_id"":"&amp;redmine_priority_wcr&amp;",""assigned_to_id"":"&amp;redmine_assignee_wcr&amp;",""start_date"":"""&amp;TEXT(I142-utc_offset/24,"YYYY-mm-dd")&amp;""",""description"":"""&amp;AJ142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03:39:01"},{"id":29,"name":"Sharepoint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851</v>
      </c>
      <c r="B143" s="7">
        <v>4031</v>
      </c>
      <c r="C143" s="21" t="s">
        <v>204</v>
      </c>
      <c r="D143" s="21" t="s">
        <v>885</v>
      </c>
      <c r="E143" s="13">
        <v>42885.908113425925</v>
      </c>
      <c r="F143" s="13">
        <v>42885.914733796293</v>
      </c>
      <c r="G143" s="7">
        <v>1</v>
      </c>
      <c r="H143" s="21" t="s">
        <v>463</v>
      </c>
      <c r="I143" s="13">
        <v>42885.94425925926</v>
      </c>
      <c r="J143" s="7">
        <v>0</v>
      </c>
      <c r="K143" s="92" t="str">
        <f t="shared" si="52"/>
        <v>4031/4032</v>
      </c>
      <c r="L143" s="21" t="str">
        <f>VLOOKUP(A143,'Trips&amp;Operators'!$C$1:$G$99999,5,FALSE)</f>
        <v>DUNCAN SHEILA</v>
      </c>
      <c r="M143" s="6">
        <f t="shared" si="53"/>
        <v>2.9525462967285421E-2</v>
      </c>
      <c r="N143" s="7">
        <f t="shared" ref="N143:N154" si="69">24*60*SUM($M143:$M143)</f>
        <v>42.516666672891006</v>
      </c>
      <c r="O143" s="7"/>
      <c r="P143" s="7"/>
      <c r="Q143" s="22"/>
      <c r="R143" s="173"/>
      <c r="S143" s="176">
        <f t="shared" ref="S143:S174" si="70">SUM(U143:U143)/IF(AG143="EC",12,1)</f>
        <v>1</v>
      </c>
      <c r="T143" s="202" t="str">
        <f t="shared" si="54"/>
        <v>Southbound</v>
      </c>
      <c r="U143" s="202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03" t="str">
        <f t="shared" si="55"/>
        <v>https://d0f6bd738d7f1b3e5a7ca70fe4ff75f0.us-east-1.aws.found.io/app/kibana#/discover/Steve-Slow-Train-Analysis-(2080s-and-2083s)?_g=(refreshInterval:(display:Off,pause:!f,section:0,value:0),time:(from:'2017-05-30T20:47:41-0600',mode:absolute,to:'2017-05-30T23:39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43" s="204" t="str">
        <f t="shared" si="56"/>
        <v>N</v>
      </c>
      <c r="X143" s="204">
        <f t="shared" si="57"/>
        <v>1</v>
      </c>
      <c r="Y143" s="204">
        <f t="shared" si="58"/>
        <v>23.2957</v>
      </c>
      <c r="Z143" s="204">
        <f t="shared" si="59"/>
        <v>1.4500000000000001E-2</v>
      </c>
      <c r="AA143" s="204">
        <f t="shared" si="60"/>
        <v>23.281199999999998</v>
      </c>
      <c r="AB143" s="57" t="e">
        <f>VLOOKUP(A143,Enforcements!$C$7:$K$13,8,0)</f>
        <v>#N/A</v>
      </c>
      <c r="AC143" s="53" t="e">
        <f>VLOOKUP(A143,Enforcements!$C$7:$E$13,3,0)</f>
        <v>#N/A</v>
      </c>
      <c r="AD143" s="54" t="str">
        <f t="shared" si="61"/>
        <v>0230-30</v>
      </c>
      <c r="AE143" s="80" t="str">
        <f t="shared" si="62"/>
        <v>aws s3 cp s3://rtdc.mdm.uploadarchive.raw/RTDC4031/ "%USERPROFILE%\AppData\Local\Temp\OnboardLogs"\RTDC4031\2017-05-30 --exclude "*" --recursive --include "*20170530*" &amp; "%USERPROFILE%\Documents\GitHub\mrs-test-scripts\Headless Mode &amp; Sideloading\WalkAndUnGZ.bat" "%USERPROFILE%\AppData\Local\Temp\OnboardLogs"\RTDC4031\2017-05-30 &amp; aws s3 cp s3://rtdc.mdm.uploadarchive.raw/RTDC4031/ "%USERPROFILE%\AppData\Local\Temp\OnboardLogs"\RTDC4031\2017-05-31 --exclude "*" --recursive --include "*20170531*" &amp; "%USERPROFILE%\Documents\GitHub\mrs-test-scripts\Headless Mode &amp; Sideloading\WalkAndUnGZ.bat" "%USERPROFILE%\AppData\Local\Temp\OnboardLogs"\RTDC4031\2017-05-31</v>
      </c>
      <c r="AF143" s="77" t="str">
        <f t="shared" si="63"/>
        <v>"C:\Program Files (x86)\AstroGrep\AstroGrep.exe" /e /r /s /spath="%USERPROFILE%\AppData\Local\Temp\OnboardLogs" /stypes="app*4031*20170531*" /stext=" 04:.+((SYSTEM_STATE.+slice.+state.+changed )|(ment ac)|(multiple cpu faults)|(system.+state.+changed )|(\[timeout)|(PRM\|1\|D)|(kpr)|(kdp)|(train st.+moving)|(\|lc)|(penalty))"</v>
      </c>
      <c r="AG143" s="1" t="str">
        <f t="shared" si="64"/>
        <v>EC</v>
      </c>
      <c r="AH143" s="81" t="str">
        <f t="shared" si="65"/>
        <v>"%USERPROFILE%\Documents\GitHub\eaglep3\Utilities\RefineRTDCRunTimes.py" --tripid 230-30 --locoid 4031 --swversion DE.1.0.9.0 --startMP 204:232957 --initTime 2017-05-30T21:47:41 --startdatetime 2017-05-30T21:57:13 --delay 1 --endMP 204:145 --enddatetime 2017-05-30T22:39:44 --enforcementcount 0 &gt;&gt;C:\Users\stu\Documents\GitHub\eaglep3-reporting\EC\2017-05-30-refined-times.txt</v>
      </c>
      <c r="AI143" s="99" t="str">
        <f t="shared" si="66"/>
        <v>echo {"issue":{"subject":"","project_id":79,"tracker_id":40,"status_id":1,"priority_id":2,"assigned_to_id":23,"start_date":"2017-05-30","description":"","custom_fields":[{"id":1,"name":"Subdivision","value":"EC"},{"id":4,"name":"Milepost","value":"0.0145"},{"id":17,"name":"Train ID","value":"230-30"},{"id":16,"name":"Locomotive ID","value":"4031"},{"id":130,"name":"Impact","value":""},{"id":150,"name":"Time of Event (Mountain Time)","value":"22:39:44"},{"id":151,"name":"Denver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5" t="str">
        <f t="shared" si="67"/>
        <v>start /low /b %USERPROFILE%\Documents\GitHub\eaglep3\Utilities\DownloadLogsFromS3.py --loco 4031 --day 2017-05-30</v>
      </c>
      <c r="AN143" s="154" t="str">
        <f t="shared" si="68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04:39:44"},{"id":29,"name":"Sharepoint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849</v>
      </c>
      <c r="B144" s="7">
        <v>4020</v>
      </c>
      <c r="C144" s="21" t="s">
        <v>204</v>
      </c>
      <c r="D144" s="21" t="s">
        <v>921</v>
      </c>
      <c r="E144" s="13">
        <v>42885.886064814818</v>
      </c>
      <c r="F144" s="13">
        <v>42885.89603009259</v>
      </c>
      <c r="G144" s="7">
        <v>1</v>
      </c>
      <c r="H144" s="21" t="s">
        <v>496</v>
      </c>
      <c r="I144" s="13">
        <v>42885.923472222225</v>
      </c>
      <c r="J144" s="7">
        <v>0</v>
      </c>
      <c r="K144" s="92" t="str">
        <f t="shared" si="52"/>
        <v>4019/4020</v>
      </c>
      <c r="L144" s="21" t="str">
        <f>VLOOKUP(A144,'Trips&amp;Operators'!$C$1:$G$99999,5,FALSE)</f>
        <v>SMITH MICHAEL</v>
      </c>
      <c r="M144" s="6">
        <f t="shared" si="53"/>
        <v>2.7442129634437151E-2</v>
      </c>
      <c r="N144" s="7">
        <f t="shared" si="69"/>
        <v>39.516666673589498</v>
      </c>
      <c r="O144" s="7"/>
      <c r="P144" s="7"/>
      <c r="Q144" s="22"/>
      <c r="R144" s="173"/>
      <c r="S144" s="176">
        <f t="shared" si="70"/>
        <v>1</v>
      </c>
      <c r="T144" s="202" t="str">
        <f t="shared" si="54"/>
        <v>NorthBound</v>
      </c>
      <c r="U144" s="202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03" t="str">
        <f t="shared" si="55"/>
        <v>https://d0f6bd738d7f1b3e5a7ca70fe4ff75f0.us-east-1.aws.found.io/app/kibana#/discover/Steve-Slow-Train-Analysis-(2080s-and-2083s)?_g=(refreshInterval:(display:Off,pause:!f,section:0,value:0),time:(from:'2017-05-30T20:15:56-0600',mode:absolute,to:'2017-05-30T23:09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44" s="204" t="str">
        <f t="shared" si="56"/>
        <v>N</v>
      </c>
      <c r="X144" s="204">
        <f t="shared" si="57"/>
        <v>1</v>
      </c>
      <c r="Y144" s="204">
        <f t="shared" si="58"/>
        <v>5.6599999999999998E-2</v>
      </c>
      <c r="Z144" s="204">
        <f t="shared" si="59"/>
        <v>23.328800000000001</v>
      </c>
      <c r="AA144" s="204">
        <f t="shared" si="60"/>
        <v>23.272200000000002</v>
      </c>
      <c r="AB144" s="57" t="e">
        <f>VLOOKUP(A144,Enforcements!$C$7:$K$13,8,0)</f>
        <v>#N/A</v>
      </c>
      <c r="AC144" s="53" t="e">
        <f>VLOOKUP(A144,Enforcements!$C$7:$E$13,3,0)</f>
        <v>#N/A</v>
      </c>
      <c r="AD144" s="54" t="str">
        <f t="shared" si="61"/>
        <v>0231-30</v>
      </c>
      <c r="AE144" s="80" t="str">
        <f t="shared" si="62"/>
        <v>aws s3 cp s3://rtdc.mdm.uploadarchive.raw/RTDC4020/ "%USERPROFILE%\AppData\Local\Temp\OnboardLogs"\RTDC4020\2017-05-30 --exclude "*" --recursive --include "*20170530*" &amp; "%USERPROFILE%\Documents\GitHub\mrs-test-scripts\Headless Mode &amp; Sideloading\WalkAndUnGZ.bat" "%USERPROFILE%\AppData\Local\Temp\OnboardLogs"\RTDC4020\2017-05-30 &amp; aws s3 cp s3://rtdc.mdm.uploadarchive.raw/RTDC4020/ "%USERPROFILE%\AppData\Local\Temp\OnboardLogs"\RTDC4020\2017-05-31 --exclude "*" --recursive --include "*20170531*" &amp; "%USERPROFILE%\Documents\GitHub\mrs-test-scripts\Headless Mode &amp; Sideloading\WalkAndUnGZ.bat" "%USERPROFILE%\AppData\Local\Temp\OnboardLogs"\RTDC4020\2017-05-31</v>
      </c>
      <c r="AF144" s="77" t="str">
        <f t="shared" si="63"/>
        <v>"C:\Program Files (x86)\AstroGrep\AstroGrep.exe" /e /r /s /spath="%USERPROFILE%\AppData\Local\Temp\OnboardLogs" /stypes="app*4020*20170531*" /stext=" 04:.+((SYSTEM_STATE.+slice.+state.+changed )|(ment ac)|(multiple cpu faults)|(system.+state.+changed )|(\[timeout)|(PRM\|1\|D)|(kpr)|(kdp)|(train st.+moving)|(\|lc)|(penalty))"</v>
      </c>
      <c r="AG144" s="1" t="str">
        <f t="shared" si="64"/>
        <v>EC</v>
      </c>
      <c r="AH144" s="81" t="str">
        <f t="shared" si="65"/>
        <v>"%USERPROFILE%\Documents\GitHub\eaglep3\Utilities\RefineRTDCRunTimes.py" --tripid 231-30 --locoid 4020 --swversion DE.1.0.9.0 --startMP 204:566 --initTime 2017-05-30T21:15:56 --startdatetime 2017-05-30T21:30:17 --delay 1 --endMP 204:233288 --enddatetime 2017-05-30T22:09:48 --enforcementcount 0 &gt;&gt;C:\Users\stu\Documents\GitHub\eaglep3-reporting\EC\2017-05-30-refined-times.txt</v>
      </c>
      <c r="AI144" s="99" t="str">
        <f t="shared" si="66"/>
        <v>echo {"issue":{"subject":"","project_id":79,"tracker_id":40,"status_id":1,"priority_id":2,"assigned_to_id":23,"start_date":"2017-05-30","description":"","custom_fields":[{"id":1,"name":"Subdivision","value":"EC"},{"id":4,"name":"Milepost","value":"23.3288"},{"id":17,"name":"Train ID","value":"231-30"},{"id":16,"name":"Locomotive ID","value":"4020"},{"id":130,"name":"Impact","value":""},{"id":150,"name":"Time of Event (Mountain Time)","value":"22:09:48"},{"id":151,"name":"Denver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5" t="str">
        <f t="shared" si="67"/>
        <v>start /low /b %USERPROFILE%\Documents\GitHub\eaglep3\Utilities\DownloadLogsFromS3.py --loco 4020 --day 2017-05-30</v>
      </c>
      <c r="AN144" s="154" t="str">
        <f t="shared" si="68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04:09:48"},{"id":29,"name":"Sharepoint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852</v>
      </c>
      <c r="B145" s="7">
        <v>4019</v>
      </c>
      <c r="C145" s="21" t="s">
        <v>204</v>
      </c>
      <c r="D145" s="21" t="s">
        <v>532</v>
      </c>
      <c r="E145" s="13">
        <v>42885.925069444442</v>
      </c>
      <c r="F145" s="13">
        <v>42885.935763888891</v>
      </c>
      <c r="G145" s="7">
        <v>1</v>
      </c>
      <c r="H145" s="21" t="s">
        <v>529</v>
      </c>
      <c r="I145" s="13">
        <v>42885.964363425926</v>
      </c>
      <c r="J145" s="7">
        <v>0</v>
      </c>
      <c r="K145" s="92" t="str">
        <f t="shared" si="52"/>
        <v>4019/4020</v>
      </c>
      <c r="L145" s="21" t="str">
        <f>VLOOKUP(A145,'Trips&amp;Operators'!$C$1:$G$99999,5,FALSE)</f>
        <v>SMITH MICHAEL</v>
      </c>
      <c r="M145" s="6">
        <f t="shared" si="53"/>
        <v>2.8599537035916001E-2</v>
      </c>
      <c r="N145" s="7">
        <f t="shared" si="69"/>
        <v>41.183333331719041</v>
      </c>
      <c r="O145" s="7"/>
      <c r="P145" s="7"/>
      <c r="Q145" s="22"/>
      <c r="R145" s="173"/>
      <c r="S145" s="176">
        <f t="shared" si="70"/>
        <v>1</v>
      </c>
      <c r="T145" s="202" t="str">
        <f t="shared" si="54"/>
        <v>Southbound</v>
      </c>
      <c r="U145" s="202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03" t="str">
        <f t="shared" si="55"/>
        <v>https://d0f6bd738d7f1b3e5a7ca70fe4ff75f0.us-east-1.aws.found.io/app/kibana#/discover/Steve-Slow-Train-Analysis-(2080s-and-2083s)?_g=(refreshInterval:(display:Off,pause:!f,section:0,value:0),time:(from:'2017-05-30T21:12:06-0600',mode:absolute,to:'2017-05-31T00:08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45" s="204" t="str">
        <f t="shared" si="56"/>
        <v>N</v>
      </c>
      <c r="X145" s="204">
        <f t="shared" si="57"/>
        <v>1</v>
      </c>
      <c r="Y145" s="204">
        <f t="shared" si="58"/>
        <v>23.296700000000001</v>
      </c>
      <c r="Z145" s="204">
        <f t="shared" si="59"/>
        <v>1.34E-2</v>
      </c>
      <c r="AA145" s="204">
        <f t="shared" si="60"/>
        <v>23.283300000000001</v>
      </c>
      <c r="AB145" s="57" t="e">
        <f>VLOOKUP(A145,Enforcements!$C$7:$K$13,8,0)</f>
        <v>#N/A</v>
      </c>
      <c r="AC145" s="53" t="e">
        <f>VLOOKUP(A145,Enforcements!$C$7:$E$13,3,0)</f>
        <v>#N/A</v>
      </c>
      <c r="AD145" s="54" t="str">
        <f t="shared" si="61"/>
        <v>0232-30</v>
      </c>
      <c r="AE145" s="80" t="str">
        <f t="shared" si="62"/>
        <v>aws s3 cp s3://rtdc.mdm.uploadarchive.raw/RTDC4019/ "%USERPROFILE%\AppData\Local\Temp\OnboardLogs"\RTDC4019\2017-05-30 --exclude "*" --recursive --include "*20170530*" &amp; "%USERPROFILE%\Documents\GitHub\mrs-test-scripts\Headless Mode &amp; Sideloading\WalkAndUnGZ.bat" "%USERPROFILE%\AppData\Local\Temp\OnboardLogs"\RTDC4019\2017-05-30 &amp; aws s3 cp s3://rtdc.mdm.uploadarchive.raw/RTDC4019/ "%USERPROFILE%\AppData\Local\Temp\OnboardLogs"\RTDC4019\2017-05-31 --exclude "*" --recursive --include "*20170531*" &amp; "%USERPROFILE%\Documents\GitHub\mrs-test-scripts\Headless Mode &amp; Sideloading\WalkAndUnGZ.bat" "%USERPROFILE%\AppData\Local\Temp\OnboardLogs"\RTDC4019\2017-05-31</v>
      </c>
      <c r="AF145" s="77" t="str">
        <f t="shared" si="63"/>
        <v>"C:\Program Files (x86)\AstroGrep\AstroGrep.exe" /e /r /s /spath="%USERPROFILE%\AppData\Local\Temp\OnboardLogs" /stypes="app*4019*20170531*" /stext=" 05:.+((SYSTEM_STATE.+slice.+state.+changed )|(ment ac)|(multiple cpu faults)|(system.+state.+changed )|(\[timeout)|(PRM\|1\|D)|(kpr)|(kdp)|(train st.+moving)|(\|lc)|(penalty))"</v>
      </c>
      <c r="AG145" s="1" t="str">
        <f t="shared" si="64"/>
        <v>EC</v>
      </c>
      <c r="AH145" s="81" t="str">
        <f t="shared" si="65"/>
        <v>"%USERPROFILE%\Documents\GitHub\eaglep3\Utilities\RefineRTDCRunTimes.py" --tripid 232-30 --locoid 4019 --swversion DE.1.0.9.0 --startMP 204:232967 --initTime 2017-05-30T22:12:06 --startdatetime 2017-05-30T22:27:30 --delay 1 --endMP 204:134 --enddatetime 2017-05-30T23:08:41 --enforcementcount 0 &gt;&gt;C:\Users\stu\Documents\GitHub\eaglep3-reporting\EC\2017-05-30-refined-times.txt</v>
      </c>
      <c r="AI145" s="99" t="str">
        <f t="shared" si="66"/>
        <v>echo {"issue":{"subject":"","project_id":79,"tracker_id":40,"status_id":1,"priority_id":2,"assigned_to_id":23,"start_date":"2017-05-30","description":"","custom_fields":[{"id":1,"name":"Subdivision","value":"EC"},{"id":4,"name":"Milepost","value":"0.0134"},{"id":17,"name":"Train ID","value":"232-30"},{"id":16,"name":"Locomotive ID","value":"4019"},{"id":130,"name":"Impact","value":""},{"id":150,"name":"Time of Event (Mountain Time)","value":"23:08:41"},{"id":151,"name":"Denver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5" t="str">
        <f t="shared" si="67"/>
        <v>start /low /b %USERPROFILE%\Documents\GitHub\eaglep3\Utilities\DownloadLogsFromS3.py --loco 4019 --day 2017-05-30</v>
      </c>
      <c r="AN145" s="154" t="str">
        <f t="shared" si="68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05:08:41"},{"id":29,"name":"Sharepoint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850</v>
      </c>
      <c r="B146" s="7">
        <v>4018</v>
      </c>
      <c r="C146" s="21" t="s">
        <v>204</v>
      </c>
      <c r="D146" s="21" t="s">
        <v>369</v>
      </c>
      <c r="E146" s="13">
        <v>42885.906770833331</v>
      </c>
      <c r="F146" s="13">
        <v>42885.916805555556</v>
      </c>
      <c r="G146" s="7">
        <v>1</v>
      </c>
      <c r="H146" s="21" t="s">
        <v>875</v>
      </c>
      <c r="I146" s="13">
        <v>42885.944108796299</v>
      </c>
      <c r="J146" s="7">
        <v>0</v>
      </c>
      <c r="K146" s="92" t="str">
        <f t="shared" si="52"/>
        <v>4017/4018</v>
      </c>
      <c r="L146" s="21" t="str">
        <f>VLOOKUP(A146,'Trips&amp;Operators'!$C$1:$G$99999,5,FALSE)</f>
        <v>FORTUNATO FRANK</v>
      </c>
      <c r="M146" s="6">
        <f t="shared" si="53"/>
        <v>2.7303240742185153E-2</v>
      </c>
      <c r="N146" s="7">
        <f t="shared" si="69"/>
        <v>39.31666666874662</v>
      </c>
      <c r="O146" s="7"/>
      <c r="P146" s="7"/>
      <c r="Q146" s="22"/>
      <c r="R146" s="173"/>
      <c r="S146" s="176">
        <f t="shared" si="70"/>
        <v>1</v>
      </c>
      <c r="T146" s="202" t="str">
        <f t="shared" si="54"/>
        <v>NorthBound</v>
      </c>
      <c r="U146" s="202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03" t="str">
        <f t="shared" si="55"/>
        <v>https://d0f6bd738d7f1b3e5a7ca70fe4ff75f0.us-east-1.aws.found.io/app/kibana#/discover/Steve-Slow-Train-Analysis-(2080s-and-2083s)?_g=(refreshInterval:(display:Off,pause:!f,section:0,value:0),time:(from:'2017-05-30T20:45:45-0600',mode:absolute,to:'2017-05-30T23:39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46" s="204" t="str">
        <f t="shared" si="56"/>
        <v>N</v>
      </c>
      <c r="X146" s="204">
        <f t="shared" si="57"/>
        <v>1</v>
      </c>
      <c r="Y146" s="204">
        <f t="shared" si="58"/>
        <v>4.5499999999999999E-2</v>
      </c>
      <c r="Z146" s="204">
        <f t="shared" si="59"/>
        <v>23.3306</v>
      </c>
      <c r="AA146" s="204">
        <f t="shared" si="60"/>
        <v>23.2851</v>
      </c>
      <c r="AB146" s="57" t="e">
        <f>VLOOKUP(A146,Enforcements!$C$7:$K$13,8,0)</f>
        <v>#N/A</v>
      </c>
      <c r="AC146" s="53" t="e">
        <f>VLOOKUP(A146,Enforcements!$C$7:$E$13,3,0)</f>
        <v>#N/A</v>
      </c>
      <c r="AD146" s="54" t="str">
        <f t="shared" si="61"/>
        <v>0233-30</v>
      </c>
      <c r="AE146" s="80" t="str">
        <f t="shared" si="62"/>
        <v>aws s3 cp s3://rtdc.mdm.uploadarchive.raw/RTDC4018/ "%USERPROFILE%\AppData\Local\Temp\OnboardLogs"\RTDC4018\2017-05-30 --exclude "*" --recursive --include "*20170530*" &amp; "%USERPROFILE%\Documents\GitHub\mrs-test-scripts\Headless Mode &amp; Sideloading\WalkAndUnGZ.bat" "%USERPROFILE%\AppData\Local\Temp\OnboardLogs"\RTDC4018\2017-05-30 &amp; aws s3 cp s3://rtdc.mdm.uploadarchive.raw/RTDC4018/ "%USERPROFILE%\AppData\Local\Temp\OnboardLogs"\RTDC4018\2017-05-31 --exclude "*" --recursive --include "*20170531*" &amp; "%USERPROFILE%\Documents\GitHub\mrs-test-scripts\Headless Mode &amp; Sideloading\WalkAndUnGZ.bat" "%USERPROFILE%\AppData\Local\Temp\OnboardLogs"\RTDC4018\2017-05-31</v>
      </c>
      <c r="AF146" s="77" t="str">
        <f t="shared" si="63"/>
        <v>"C:\Program Files (x86)\AstroGrep\AstroGrep.exe" /e /r /s /spath="%USERPROFILE%\AppData\Local\Temp\OnboardLogs" /stypes="app*4018*20170531*" /stext=" 04:.+((SYSTEM_STATE.+slice.+state.+changed )|(ment ac)|(multiple cpu faults)|(system.+state.+changed )|(\[timeout)|(PRM\|1\|D)|(kpr)|(kdp)|(train st.+moving)|(\|lc)|(penalty))"</v>
      </c>
      <c r="AG146" s="1" t="str">
        <f t="shared" si="64"/>
        <v>EC</v>
      </c>
      <c r="AH146" s="81" t="str">
        <f t="shared" si="65"/>
        <v>"%USERPROFILE%\Documents\GitHub\eaglep3\Utilities\RefineRTDCRunTimes.py" --tripid 233-30 --locoid 4018 --swversion DE.1.0.9.0 --startMP 204:455 --initTime 2017-05-30T21:45:45 --startdatetime 2017-05-30T22:00:12 --delay 1 --endMP 204:233306 --enddatetime 2017-05-30T22:39:31 --enforcementcount 0 &gt;&gt;C:\Users\stu\Documents\GitHub\eaglep3-reporting\EC\2017-05-30-refined-times.txt</v>
      </c>
      <c r="AI146" s="99" t="str">
        <f t="shared" si="66"/>
        <v>echo {"issue":{"subject":"","project_id":79,"tracker_id":40,"status_id":1,"priority_id":2,"assigned_to_id":23,"start_date":"2017-05-30","description":"","custom_fields":[{"id":1,"name":"Subdivision","value":"EC"},{"id":4,"name":"Milepost","value":"23.3306"},{"id":17,"name":"Train ID","value":"233-30"},{"id":16,"name":"Locomotive ID","value":"4018"},{"id":130,"name":"Impact","value":""},{"id":150,"name":"Time of Event (Mountain Time)","value":"22:39:31"},{"id":151,"name":"Denver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5" t="str">
        <f t="shared" si="67"/>
        <v>start /low /b %USERPROFILE%\Documents\GitHub\eaglep3\Utilities\DownloadLogsFromS3.py --loco 4018 --day 2017-05-30</v>
      </c>
      <c r="AN146" s="154" t="str">
        <f t="shared" si="68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04:39:31"},{"id":29,"name":"Sharepoint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857</v>
      </c>
      <c r="B147" s="7">
        <v>4017</v>
      </c>
      <c r="C147" s="21" t="s">
        <v>204</v>
      </c>
      <c r="D147" s="21" t="s">
        <v>469</v>
      </c>
      <c r="E147" s="13">
        <v>42885.949004629627</v>
      </c>
      <c r="F147" s="13">
        <v>42885.956412037034</v>
      </c>
      <c r="G147" s="7">
        <v>1</v>
      </c>
      <c r="H147" s="21" t="s">
        <v>364</v>
      </c>
      <c r="I147" s="13">
        <v>42885.984918981485</v>
      </c>
      <c r="J147" s="7">
        <v>0</v>
      </c>
      <c r="K147" s="92" t="str">
        <f t="shared" si="52"/>
        <v>4017/4018</v>
      </c>
      <c r="L147" s="21" t="str">
        <f>VLOOKUP(A147,'Trips&amp;Operators'!$C$1:$G$99999,5,FALSE)</f>
        <v>FORTUNATO FRANK</v>
      </c>
      <c r="M147" s="6">
        <f t="shared" si="53"/>
        <v>2.8506944450782612E-2</v>
      </c>
      <c r="N147" s="7">
        <f t="shared" si="69"/>
        <v>41.050000009126961</v>
      </c>
      <c r="O147" s="7"/>
      <c r="P147" s="7"/>
      <c r="Q147" s="22"/>
      <c r="R147" s="173"/>
      <c r="S147" s="176">
        <f t="shared" si="70"/>
        <v>1</v>
      </c>
      <c r="T147" s="202" t="str">
        <f t="shared" si="54"/>
        <v>Southbound</v>
      </c>
      <c r="U147" s="202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03" t="str">
        <f t="shared" si="55"/>
        <v>https://d0f6bd738d7f1b3e5a7ca70fe4ff75f0.us-east-1.aws.found.io/app/kibana#/discover/Steve-Slow-Train-Analysis-(2080s-and-2083s)?_g=(refreshInterval:(display:Off,pause:!f,section:0,value:0),time:(from:'2017-05-30T21:46:34-0600',mode:absolute,to:'2017-05-31T00:38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47" s="204" t="str">
        <f t="shared" si="56"/>
        <v>N</v>
      </c>
      <c r="X147" s="204">
        <f t="shared" si="57"/>
        <v>1</v>
      </c>
      <c r="Y147" s="204">
        <f t="shared" si="58"/>
        <v>23.299600000000002</v>
      </c>
      <c r="Z147" s="204">
        <f t="shared" si="59"/>
        <v>1.41E-2</v>
      </c>
      <c r="AA147" s="204">
        <f t="shared" si="60"/>
        <v>23.285500000000003</v>
      </c>
      <c r="AB147" s="57" t="e">
        <f>VLOOKUP(A147,Enforcements!$C$7:$K$13,8,0)</f>
        <v>#N/A</v>
      </c>
      <c r="AC147" s="53" t="e">
        <f>VLOOKUP(A147,Enforcements!$C$7:$E$13,3,0)</f>
        <v>#N/A</v>
      </c>
      <c r="AD147" s="54" t="str">
        <f t="shared" si="61"/>
        <v>0234-30</v>
      </c>
      <c r="AE147" s="80" t="str">
        <f t="shared" si="62"/>
        <v>aws s3 cp s3://rtdc.mdm.uploadarchive.raw/RTDC4017/ "%USERPROFILE%\AppData\Local\Temp\OnboardLogs"\RTDC4017\2017-05-30 --exclude "*" --recursive --include "*20170530*" &amp; "%USERPROFILE%\Documents\GitHub\mrs-test-scripts\Headless Mode &amp; Sideloading\WalkAndUnGZ.bat" "%USERPROFILE%\AppData\Local\Temp\OnboardLogs"\RTDC4017\2017-05-30 &amp; aws s3 cp s3://rtdc.mdm.uploadarchive.raw/RTDC4017/ "%USERPROFILE%\AppData\Local\Temp\OnboardLogs"\RTDC4017\2017-05-31 --exclude "*" --recursive --include "*20170531*" &amp; "%USERPROFILE%\Documents\GitHub\mrs-test-scripts\Headless Mode &amp; Sideloading\WalkAndUnGZ.bat" "%USERPROFILE%\AppData\Local\Temp\OnboardLogs"\RTDC4017\2017-05-31</v>
      </c>
      <c r="AF147" s="77" t="str">
        <f t="shared" si="63"/>
        <v>"C:\Program Files (x86)\AstroGrep\AstroGrep.exe" /e /r /s /spath="%USERPROFILE%\AppData\Local\Temp\OnboardLogs" /stypes="app*4017*20170531*" /stext=" 05:.+((SYSTEM_STATE.+slice.+state.+changed )|(ment ac)|(multiple cpu faults)|(system.+state.+changed )|(\[timeout)|(PRM\|1\|D)|(kpr)|(kdp)|(train st.+moving)|(\|lc)|(penalty))"</v>
      </c>
      <c r="AG147" s="1" t="str">
        <f t="shared" si="64"/>
        <v>EC</v>
      </c>
      <c r="AH147" s="81" t="str">
        <f t="shared" si="65"/>
        <v>"%USERPROFILE%\Documents\GitHub\eaglep3\Utilities\RefineRTDCRunTimes.py" --tripid 234-30 --locoid 4017 --swversion DE.1.0.9.0 --startMP 204:232996 --initTime 2017-05-30T22:46:34 --startdatetime 2017-05-30T22:57:14 --delay 1 --endMP 204:141 --enddatetime 2017-05-30T23:38:17 --enforcementcount 0 &gt;&gt;C:\Users\stu\Documents\GitHub\eaglep3-reporting\EC\2017-05-30-refined-times.txt</v>
      </c>
      <c r="AI147" s="99" t="str">
        <f t="shared" si="66"/>
        <v>echo {"issue":{"subject":"","project_id":79,"tracker_id":40,"status_id":1,"priority_id":2,"assigned_to_id":23,"start_date":"2017-05-30","description":"","custom_fields":[{"id":1,"name":"Subdivision","value":"EC"},{"id":4,"name":"Milepost","value":"0.0141"},{"id":17,"name":"Train ID","value":"234-30"},{"id":16,"name":"Locomotive ID","value":"4017"},{"id":130,"name":"Impact","value":""},{"id":150,"name":"Time of Event (Mountain Time)","value":"23:38:17"},{"id":151,"name":"Denver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5" t="str">
        <f t="shared" si="67"/>
        <v>start /low /b %USERPROFILE%\Documents\GitHub\eaglep3\Utilities\DownloadLogsFromS3.py --loco 4017 --day 2017-05-30</v>
      </c>
      <c r="AN147" s="154" t="str">
        <f t="shared" si="68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05:38:17"},{"id":29,"name":"Sharepoint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854</v>
      </c>
      <c r="B148" s="7">
        <v>4026</v>
      </c>
      <c r="C148" s="21" t="s">
        <v>204</v>
      </c>
      <c r="D148" s="21" t="s">
        <v>468</v>
      </c>
      <c r="E148" s="13">
        <v>42885.929409722223</v>
      </c>
      <c r="F148" s="13">
        <v>42885.937650462962</v>
      </c>
      <c r="G148" s="7">
        <v>1</v>
      </c>
      <c r="H148" s="21" t="s">
        <v>602</v>
      </c>
      <c r="I148" s="13">
        <v>42885.963935185187</v>
      </c>
      <c r="J148" s="7">
        <v>0</v>
      </c>
      <c r="K148" s="92" t="str">
        <f t="shared" si="52"/>
        <v>4025/4026</v>
      </c>
      <c r="L148" s="21" t="str">
        <f>VLOOKUP(A148,'Trips&amp;Operators'!$C$1:$G$99999,5,FALSE)</f>
        <v>SULLIVAN BRANDON</v>
      </c>
      <c r="M148" s="6">
        <f t="shared" si="53"/>
        <v>2.6284722225682344E-2</v>
      </c>
      <c r="N148" s="7">
        <f t="shared" si="69"/>
        <v>37.850000004982576</v>
      </c>
      <c r="O148" s="7"/>
      <c r="P148" s="7"/>
      <c r="Q148" s="22"/>
      <c r="R148" s="173"/>
      <c r="S148" s="176">
        <f t="shared" si="70"/>
        <v>1</v>
      </c>
      <c r="T148" s="202" t="str">
        <f t="shared" si="54"/>
        <v>NorthBound</v>
      </c>
      <c r="U148" s="202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03" t="str">
        <f t="shared" si="55"/>
        <v>https://d0f6bd738d7f1b3e5a7ca70fe4ff75f0.us-east-1.aws.found.io/app/kibana#/discover/Steve-Slow-Train-Analysis-(2080s-and-2083s)?_g=(refreshInterval:(display:Off,pause:!f,section:0,value:0),time:(from:'2017-05-30T21:18:21-0600',mode:absolute,to:'2017-05-31T00:08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48" s="204" t="str">
        <f t="shared" si="56"/>
        <v>N</v>
      </c>
      <c r="X148" s="204">
        <f t="shared" si="57"/>
        <v>1</v>
      </c>
      <c r="Y148" s="204">
        <f t="shared" si="58"/>
        <v>4.4200000000000003E-2</v>
      </c>
      <c r="Z148" s="204">
        <f t="shared" si="59"/>
        <v>23.328199999999999</v>
      </c>
      <c r="AA148" s="204">
        <f t="shared" si="60"/>
        <v>23.283999999999999</v>
      </c>
      <c r="AB148" s="57" t="e">
        <f>VLOOKUP(A148,Enforcements!$C$7:$K$13,8,0)</f>
        <v>#N/A</v>
      </c>
      <c r="AC148" s="53" t="e">
        <f>VLOOKUP(A148,Enforcements!$C$7:$E$13,3,0)</f>
        <v>#N/A</v>
      </c>
      <c r="AD148" s="54" t="str">
        <f t="shared" si="61"/>
        <v>0235-30</v>
      </c>
      <c r="AE148" s="80" t="str">
        <f t="shared" si="62"/>
        <v>aws s3 cp s3://rtdc.mdm.uploadarchive.raw/RTDC4026/ "%USERPROFILE%\AppData\Local\Temp\OnboardLogs"\RTDC4026\2017-05-30 --exclude "*" --recursive --include "*20170530*" &amp; "%USERPROFILE%\Documents\GitHub\mrs-test-scripts\Headless Mode &amp; Sideloading\WalkAndUnGZ.bat" "%USERPROFILE%\AppData\Local\Temp\OnboardLogs"\RTDC4026\2017-05-30 &amp; aws s3 cp s3://rtdc.mdm.uploadarchive.raw/RTDC4026/ "%USERPROFILE%\AppData\Local\Temp\OnboardLogs"\RTDC4026\2017-05-31 --exclude "*" --recursive --include "*20170531*" &amp; "%USERPROFILE%\Documents\GitHub\mrs-test-scripts\Headless Mode &amp; Sideloading\WalkAndUnGZ.bat" "%USERPROFILE%\AppData\Local\Temp\OnboardLogs"\RTDC4026\2017-05-31</v>
      </c>
      <c r="AF148" s="77" t="str">
        <f t="shared" si="63"/>
        <v>"C:\Program Files (x86)\AstroGrep\AstroGrep.exe" /e /r /s /spath="%USERPROFILE%\AppData\Local\Temp\OnboardLogs" /stypes="app*4026*20170531*" /stext=" 05:.+((SYSTEM_STATE.+slice.+state.+changed )|(ment ac)|(multiple cpu faults)|(system.+state.+changed )|(\[timeout)|(PRM\|1\|D)|(kpr)|(kdp)|(train st.+moving)|(\|lc)|(penalty))"</v>
      </c>
      <c r="AG148" s="1" t="str">
        <f t="shared" si="64"/>
        <v>EC</v>
      </c>
      <c r="AH148" s="81" t="str">
        <f t="shared" si="65"/>
        <v>"%USERPROFILE%\Documents\GitHub\eaglep3\Utilities\RefineRTDCRunTimes.py" --tripid 235-30 --locoid 4026 --swversion DE.1.0.9.0 --startMP 204:442 --initTime 2017-05-30T22:18:21 --startdatetime 2017-05-30T22:30:13 --delay 1 --endMP 204:233282 --enddatetime 2017-05-30T23:08:04 --enforcementcount 0 &gt;&gt;C:\Users\stu\Documents\GitHub\eaglep3-reporting\EC\2017-05-30-refined-times.txt</v>
      </c>
      <c r="AI148" s="99" t="str">
        <f t="shared" si="66"/>
        <v>echo {"issue":{"subject":"","project_id":79,"tracker_id":40,"status_id":1,"priority_id":2,"assigned_to_id":23,"start_date":"2017-05-30","description":"","custom_fields":[{"id":1,"name":"Subdivision","value":"EC"},{"id":4,"name":"Milepost","value":"23.3282"},{"id":17,"name":"Train ID","value":"235-30"},{"id":16,"name":"Locomotive ID","value":"4026"},{"id":130,"name":"Impact","value":""},{"id":150,"name":"Time of Event (Mountain Time)","value":"23:08:04"},{"id":151,"name":"Denver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5" t="str">
        <f t="shared" si="67"/>
        <v>start /low /b %USERPROFILE%\Documents\GitHub\eaglep3\Utilities\DownloadLogsFromS3.py --loco 4026 --day 2017-05-30</v>
      </c>
      <c r="AN148" s="154" t="str">
        <f t="shared" si="68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05:08:04"},{"id":29,"name":"Sharepoint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859</v>
      </c>
      <c r="B149" s="7">
        <v>4025</v>
      </c>
      <c r="C149" s="21" t="s">
        <v>204</v>
      </c>
      <c r="D149" s="21" t="s">
        <v>443</v>
      </c>
      <c r="E149" s="13">
        <v>42885.968402777777</v>
      </c>
      <c r="F149" s="13">
        <v>42885.97729166667</v>
      </c>
      <c r="G149" s="7">
        <v>1</v>
      </c>
      <c r="H149" s="21" t="s">
        <v>353</v>
      </c>
      <c r="I149" s="13">
        <v>42886.006006944444</v>
      </c>
      <c r="J149" s="7">
        <v>0</v>
      </c>
      <c r="K149" s="92" t="str">
        <f t="shared" si="52"/>
        <v>4025/4026</v>
      </c>
      <c r="L149" s="21" t="str">
        <f>VLOOKUP(A149,'Trips&amp;Operators'!$C$1:$G$99999,5,FALSE)</f>
        <v>SULLIVAN BRANDON</v>
      </c>
      <c r="M149" s="6">
        <f t="shared" si="53"/>
        <v>2.8715277774608694E-2</v>
      </c>
      <c r="N149" s="7">
        <f t="shared" si="69"/>
        <v>41.349999995436519</v>
      </c>
      <c r="O149" s="7"/>
      <c r="P149" s="7"/>
      <c r="Q149" s="22"/>
      <c r="R149" s="173"/>
      <c r="S149" s="176">
        <f t="shared" si="70"/>
        <v>1</v>
      </c>
      <c r="T149" s="202" t="str">
        <f t="shared" si="54"/>
        <v>Southbound</v>
      </c>
      <c r="U149" s="202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03" t="str">
        <f t="shared" si="55"/>
        <v>https://d0f6bd738d7f1b3e5a7ca70fe4ff75f0.us-east-1.aws.found.io/app/kibana#/discover/Steve-Slow-Train-Analysis-(2080s-and-2083s)?_g=(refreshInterval:(display:Off,pause:!f,section:0,value:0),time:(from:'2017-05-30T22:14:30-0600',mode:absolute,to:'2017-05-31T01:08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49" s="204" t="str">
        <f t="shared" si="56"/>
        <v>N</v>
      </c>
      <c r="X149" s="204">
        <f t="shared" si="57"/>
        <v>1</v>
      </c>
      <c r="Y149" s="204">
        <f t="shared" si="58"/>
        <v>23.299800000000001</v>
      </c>
      <c r="Z149" s="204">
        <f t="shared" si="59"/>
        <v>1.49E-2</v>
      </c>
      <c r="AA149" s="204">
        <f t="shared" si="60"/>
        <v>23.2849</v>
      </c>
      <c r="AB149" s="57" t="e">
        <f>VLOOKUP(A149,Enforcements!$C$7:$K$13,8,0)</f>
        <v>#N/A</v>
      </c>
      <c r="AC149" s="53" t="e">
        <f>VLOOKUP(A149,Enforcements!$C$7:$E$13,3,0)</f>
        <v>#N/A</v>
      </c>
      <c r="AD149" s="54" t="str">
        <f t="shared" si="61"/>
        <v>0236-30</v>
      </c>
      <c r="AE149" s="80" t="str">
        <f t="shared" si="62"/>
        <v>aws s3 cp s3://rtdc.mdm.uploadarchive.raw/RTDC4025/ "%USERPROFILE%\AppData\Local\Temp\OnboardLogs"\RTDC4025\2017-05-30 --exclude "*" --recursive --include "*20170530*" &amp; "%USERPROFILE%\Documents\GitHub\mrs-test-scripts\Headless Mode &amp; Sideloading\WalkAndUnGZ.bat" "%USERPROFILE%\AppData\Local\Temp\OnboardLogs"\RTDC4025\2017-05-30 &amp; aws s3 cp s3://rtdc.mdm.uploadarchive.raw/RTDC4025/ "%USERPROFILE%\AppData\Local\Temp\OnboardLogs"\RTDC4025\2017-05-31 --exclude "*" --recursive --include "*20170531*" &amp; "%USERPROFILE%\Documents\GitHub\mrs-test-scripts\Headless Mode &amp; Sideloading\WalkAndUnGZ.bat" "%USERPROFILE%\AppData\Local\Temp\OnboardLogs"\RTDC4025\2017-05-31</v>
      </c>
      <c r="AF149" s="77" t="str">
        <f t="shared" si="63"/>
        <v>"C:\Program Files (x86)\AstroGrep\AstroGrep.exe" /e /r /s /spath="%USERPROFILE%\AppData\Local\Temp\OnboardLogs" /stypes="app*4025*20170531*" /stext=" 06:.+((SYSTEM_STATE.+slice.+state.+changed )|(ment ac)|(multiple cpu faults)|(system.+state.+changed )|(\[timeout)|(PRM\|1\|D)|(kpr)|(kdp)|(train st.+moving)|(\|lc)|(penalty))"</v>
      </c>
      <c r="AG149" s="1" t="str">
        <f t="shared" si="64"/>
        <v>EC</v>
      </c>
      <c r="AH149" s="81" t="str">
        <f t="shared" si="65"/>
        <v>"%USERPROFILE%\Documents\GitHub\eaglep3\Utilities\RefineRTDCRunTimes.py" --tripid 236-30 --locoid 4025 --swversion DE.1.0.9.0 --startMP 204:232998 --initTime 2017-05-30T23:14:30 --startdatetime 2017-05-30T23:27:18 --delay 1 --endMP 204:149 --enddatetime 2017-05-31T00:08:39 --enforcementcount 0 &gt;&gt;C:\Users\stu\Documents\GitHub\eaglep3-reporting\EC\2017-05-30-refined-times.txt</v>
      </c>
      <c r="AI149" s="99" t="str">
        <f t="shared" si="66"/>
        <v>echo {"issue":{"subject":"","project_id":79,"tracker_id":40,"status_id":1,"priority_id":2,"assigned_to_id":23,"start_date":"2017-05-31","description":"","custom_fields":[{"id":1,"name":"Subdivision","value":"EC"},{"id":4,"name":"Milepost","value":"0.0149"},{"id":17,"name":"Train ID","value":"236-30"},{"id":16,"name":"Locomotive ID","value":"4025"},{"id":130,"name":"Impact","value":""},{"id":150,"name":"Time of Event (Mountain Time)","value":"00:08:39"},{"id":151,"name":"Denver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5" t="str">
        <f t="shared" si="67"/>
        <v>start /low /b %USERPROFILE%\Documents\GitHub\eaglep3\Utilities\DownloadLogsFromS3.py --loco 4025 --day 2017-05-30</v>
      </c>
      <c r="AN149" s="154" t="str">
        <f t="shared" si="68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06:08:39"},{"id":29,"name":"Sharepoint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x14ac:dyDescent="0.25">
      <c r="A150" s="32" t="s">
        <v>856</v>
      </c>
      <c r="B150" s="7">
        <v>4032</v>
      </c>
      <c r="C150" s="21" t="s">
        <v>204</v>
      </c>
      <c r="D150" s="21" t="s">
        <v>466</v>
      </c>
      <c r="E150" s="13">
        <v>42885.948229166665</v>
      </c>
      <c r="F150" s="13">
        <v>42885.958495370367</v>
      </c>
      <c r="G150" s="7">
        <v>2</v>
      </c>
      <c r="H150" s="21" t="s">
        <v>464</v>
      </c>
      <c r="I150" s="13">
        <v>42885.983472222222</v>
      </c>
      <c r="J150" s="7">
        <v>0</v>
      </c>
      <c r="K150" s="92" t="str">
        <f t="shared" si="52"/>
        <v>4031/4032</v>
      </c>
      <c r="L150" s="21" t="str">
        <f>VLOOKUP(A150,'Trips&amp;Operators'!$C$1:$G$99999,5,FALSE)</f>
        <v>DUNCAN SHEILA</v>
      </c>
      <c r="M150" s="6">
        <f t="shared" si="53"/>
        <v>2.4976851855171844E-2</v>
      </c>
      <c r="N150" s="7">
        <f t="shared" si="69"/>
        <v>35.966666671447456</v>
      </c>
      <c r="O150" s="7"/>
      <c r="P150" s="7"/>
      <c r="Q150" s="22"/>
      <c r="R150" s="173"/>
      <c r="S150" s="176">
        <f t="shared" si="70"/>
        <v>1</v>
      </c>
      <c r="T150" s="202" t="str">
        <f t="shared" si="54"/>
        <v>NorthBound</v>
      </c>
      <c r="U150" s="202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03" t="str">
        <f t="shared" si="55"/>
        <v>https://d0f6bd738d7f1b3e5a7ca70fe4ff75f0.us-east-1.aws.found.io/app/kibana#/discover/Steve-Slow-Train-Analysis-(2080s-and-2083s)?_g=(refreshInterval:(display:Off,pause:!f,section:0,value:0),time:(from:'2017-05-30T21:45:27-0600',mode:absolute,to:'2017-05-31T00:36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50" s="204" t="str">
        <f t="shared" si="56"/>
        <v>N</v>
      </c>
      <c r="X150" s="204">
        <f t="shared" si="57"/>
        <v>1</v>
      </c>
      <c r="Y150" s="204">
        <f t="shared" si="58"/>
        <v>4.8000000000000001E-2</v>
      </c>
      <c r="Z150" s="204">
        <f t="shared" si="59"/>
        <v>23.329799999999999</v>
      </c>
      <c r="AA150" s="204">
        <f t="shared" si="60"/>
        <v>23.2818</v>
      </c>
      <c r="AB150" s="57" t="e">
        <f>VLOOKUP(A150,Enforcements!$C$7:$K$13,8,0)</f>
        <v>#N/A</v>
      </c>
      <c r="AC150" s="53" t="e">
        <f>VLOOKUP(A150,Enforcements!$C$7:$E$13,3,0)</f>
        <v>#N/A</v>
      </c>
      <c r="AD150" s="54" t="str">
        <f t="shared" si="61"/>
        <v>0237-30</v>
      </c>
      <c r="AE150" s="80" t="str">
        <f t="shared" si="62"/>
        <v>aws s3 cp s3://rtdc.mdm.uploadarchive.raw/RTDC4032/ "%USERPROFILE%\AppData\Local\Temp\OnboardLogs"\RTDC4032\2017-05-30 --exclude "*" --recursive --include "*20170530*" &amp; "%USERPROFILE%\Documents\GitHub\mrs-test-scripts\Headless Mode &amp; Sideloading\WalkAndUnGZ.bat" "%USERPROFILE%\AppData\Local\Temp\OnboardLogs"\RTDC4032\2017-05-30 &amp; aws s3 cp s3://rtdc.mdm.uploadarchive.raw/RTDC4032/ "%USERPROFILE%\AppData\Local\Temp\OnboardLogs"\RTDC4032\2017-05-31 --exclude "*" --recursive --include "*20170531*" &amp; "%USERPROFILE%\Documents\GitHub\mrs-test-scripts\Headless Mode &amp; Sideloading\WalkAndUnGZ.bat" "%USERPROFILE%\AppData\Local\Temp\OnboardLogs"\RTDC4032\2017-05-31</v>
      </c>
      <c r="AF150" s="77" t="str">
        <f t="shared" si="63"/>
        <v>"C:\Program Files (x86)\AstroGrep\AstroGrep.exe" /e /r /s /spath="%USERPROFILE%\AppData\Local\Temp\OnboardLogs" /stypes="app*4032*20170531*" /stext=" 05:.+((SYSTEM_STATE.+slice.+state.+changed )|(ment ac)|(multiple cpu faults)|(system.+state.+changed )|(\[timeout)|(PRM\|1\|D)|(kpr)|(kdp)|(train st.+moving)|(\|lc)|(penalty))"</v>
      </c>
      <c r="AG150" s="1" t="str">
        <f t="shared" si="64"/>
        <v>EC</v>
      </c>
      <c r="AH150" s="81" t="str">
        <f t="shared" si="65"/>
        <v>"%USERPROFILE%\Documents\GitHub\eaglep3\Utilities\RefineRTDCRunTimes.py" --tripid 237-30 --locoid 4032 --swversion DE.1.0.9.0 --startMP 204:480 --initTime 2017-05-30T22:45:27 --startdatetime 2017-05-30T23:00:14 --delay 2 --endMP 204:233298 --enddatetime 2017-05-30T23:36:12 --enforcementcount 0 &gt;&gt;C:\Users\stu\Documents\GitHub\eaglep3-reporting\EC\2017-05-30-refined-times.txt</v>
      </c>
      <c r="AI150" s="99" t="str">
        <f t="shared" si="66"/>
        <v>echo {"issue":{"subject":"","project_id":79,"tracker_id":40,"status_id":1,"priority_id":2,"assigned_to_id":23,"start_date":"2017-05-30","description":"","custom_fields":[{"id":1,"name":"Subdivision","value":"EC"},{"id":4,"name":"Milepost","value":"23.3298"},{"id":17,"name":"Train ID","value":"237-30"},{"id":16,"name":"Locomotive ID","value":"4032"},{"id":130,"name":"Impact","value":""},{"id":150,"name":"Time of Event (Mountain Time)","value":"23:36:12"},{"id":151,"name":"Denver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20"/>
      <c r="AK150" s="47"/>
      <c r="AL150" s="47"/>
      <c r="AM150" s="145" t="str">
        <f t="shared" si="67"/>
        <v>start /low /b %USERPROFILE%\Documents\GitHub\eaglep3\Utilities\DownloadLogsFromS3.py --loco 4032 --day 2017-05-30</v>
      </c>
      <c r="AN150" s="154" t="str">
        <f t="shared" si="68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05:36:12"},{"id":29,"name":"Sharepoint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1" spans="1:91" s="20" customFormat="1" x14ac:dyDescent="0.25">
      <c r="A151" s="32" t="s">
        <v>860</v>
      </c>
      <c r="B151" s="7">
        <v>4031</v>
      </c>
      <c r="C151" s="21" t="s">
        <v>204</v>
      </c>
      <c r="D151" s="21" t="s">
        <v>607</v>
      </c>
      <c r="E151" s="13">
        <v>42885.984675925924</v>
      </c>
      <c r="F151" s="13">
        <v>42885.998032407406</v>
      </c>
      <c r="G151" s="7">
        <v>1</v>
      </c>
      <c r="H151" s="21" t="s">
        <v>195</v>
      </c>
      <c r="I151" s="13">
        <v>42886.025497685187</v>
      </c>
      <c r="J151" s="7">
        <v>0</v>
      </c>
      <c r="K151" s="92" t="str">
        <f t="shared" si="52"/>
        <v>4031/4032</v>
      </c>
      <c r="L151" s="21" t="str">
        <f>VLOOKUP(A151,'Trips&amp;Operators'!$C$1:$G$99999,5,FALSE)</f>
        <v>DUNCAN SHEILA</v>
      </c>
      <c r="M151" s="6">
        <f t="shared" si="53"/>
        <v>2.7465277780720498E-2</v>
      </c>
      <c r="N151" s="7">
        <f t="shared" si="69"/>
        <v>39.550000004237518</v>
      </c>
      <c r="O151" s="7"/>
      <c r="P151" s="7"/>
      <c r="Q151" s="22"/>
      <c r="R151" s="173"/>
      <c r="S151" s="176">
        <f t="shared" si="70"/>
        <v>1</v>
      </c>
      <c r="T151" s="202" t="str">
        <f t="shared" si="54"/>
        <v>Southbound</v>
      </c>
      <c r="U151" s="202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03" t="str">
        <f t="shared" si="55"/>
        <v>https://d0f6bd738d7f1b3e5a7ca70fe4ff75f0.us-east-1.aws.found.io/app/kibana#/discover/Steve-Slow-Train-Analysis-(2080s-and-2083s)?_g=(refreshInterval:(display:Off,pause:!f,section:0,value:0),time:(from:'2017-05-30T22:37:56-0600',mode:absolute,to:'2017-05-31T01:36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51" s="204" t="str">
        <f t="shared" si="56"/>
        <v>N</v>
      </c>
      <c r="X151" s="204">
        <f t="shared" si="57"/>
        <v>1</v>
      </c>
      <c r="Y151" s="204">
        <f t="shared" si="58"/>
        <v>23.296800000000001</v>
      </c>
      <c r="Z151" s="204">
        <f t="shared" si="59"/>
        <v>1.52E-2</v>
      </c>
      <c r="AA151" s="204">
        <f t="shared" si="60"/>
        <v>23.281600000000001</v>
      </c>
      <c r="AB151" s="57" t="e">
        <f>VLOOKUP(A151,Enforcements!$C$7:$K$13,8,0)</f>
        <v>#N/A</v>
      </c>
      <c r="AC151" s="53" t="e">
        <f>VLOOKUP(A151,Enforcements!$C$7:$E$13,3,0)</f>
        <v>#N/A</v>
      </c>
      <c r="AD151" s="54" t="str">
        <f t="shared" si="61"/>
        <v>0238-30</v>
      </c>
      <c r="AE151" s="80" t="str">
        <f t="shared" si="62"/>
        <v>aws s3 cp s3://rtdc.mdm.uploadarchive.raw/RTDC4031/ "%USERPROFILE%\AppData\Local\Temp\OnboardLogs"\RTDC4031\2017-05-30 --exclude "*" --recursive --include "*20170530*" &amp; "%USERPROFILE%\Documents\GitHub\mrs-test-scripts\Headless Mode &amp; Sideloading\WalkAndUnGZ.bat" "%USERPROFILE%\AppData\Local\Temp\OnboardLogs"\RTDC4031\2017-05-30 &amp; aws s3 cp s3://rtdc.mdm.uploadarchive.raw/RTDC4031/ "%USERPROFILE%\AppData\Local\Temp\OnboardLogs"\RTDC4031\2017-05-31 --exclude "*" --recursive --include "*20170531*" &amp; "%USERPROFILE%\Documents\GitHub\mrs-test-scripts\Headless Mode &amp; Sideloading\WalkAndUnGZ.bat" "%USERPROFILE%\AppData\Local\Temp\OnboardLogs"\RTDC4031\2017-05-31</v>
      </c>
      <c r="AF151" s="77" t="str">
        <f t="shared" si="63"/>
        <v>"C:\Program Files (x86)\AstroGrep\AstroGrep.exe" /e /r /s /spath="%USERPROFILE%\AppData\Local\Temp\OnboardLogs" /stypes="app*4031*20170531*" /stext=" 06:.+((SYSTEM_STATE.+slice.+state.+changed )|(ment ac)|(multiple cpu faults)|(system.+state.+changed )|(\[timeout)|(PRM\|1\|D)|(kpr)|(kdp)|(train st.+moving)|(\|lc)|(penalty))"</v>
      </c>
      <c r="AG151" s="1" t="str">
        <f t="shared" si="64"/>
        <v>EC</v>
      </c>
      <c r="AH151" s="81" t="str">
        <f t="shared" si="65"/>
        <v>"%USERPROFILE%\Documents\GitHub\eaglep3\Utilities\RefineRTDCRunTimes.py" --tripid 238-30 --locoid 4031 --swversion DE.1.0.9.0 --startMP 204:232968 --initTime 2017-05-30T23:37:56 --startdatetime 2017-05-30T23:57:10 --delay 1 --endMP 204:152 --enddatetime 2017-05-31T00:36:43 --enforcementcount 0 &gt;&gt;C:\Users\stu\Documents\GitHub\eaglep3-reporting\EC\2017-05-30-refined-times.txt</v>
      </c>
      <c r="AI151" s="99" t="str">
        <f t="shared" si="66"/>
        <v>echo {"issue":{"subject":"","project_id":79,"tracker_id":40,"status_id":1,"priority_id":2,"assigned_to_id":23,"start_date":"2017-05-31","description":"","custom_fields":[{"id":1,"name":"Subdivision","value":"EC"},{"id":4,"name":"Milepost","value":"0.0152"},{"id":17,"name":"Train ID","value":"238-30"},{"id":16,"name":"Locomotive ID","value":"4031"},{"id":130,"name":"Impact","value":""},{"id":150,"name":"Time of Event (Mountain Time)","value":"00:36:43"},{"id":151,"name":"Denver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7"/>
      <c r="AL151" s="47"/>
      <c r="AM151" s="145" t="str">
        <f t="shared" si="67"/>
        <v>start /low /b %USERPROFILE%\Documents\GitHub\eaglep3\Utilities\DownloadLogsFromS3.py --loco 4031 --day 2017-05-30</v>
      </c>
      <c r="AN151" s="154" t="str">
        <f t="shared" si="68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06:36:43"},{"id":29,"name":"Sharepoint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858</v>
      </c>
      <c r="B152" s="7">
        <v>4020</v>
      </c>
      <c r="C152" s="21" t="s">
        <v>204</v>
      </c>
      <c r="D152" s="21" t="s">
        <v>523</v>
      </c>
      <c r="E152" s="13">
        <v>42885.966145833336</v>
      </c>
      <c r="F152" s="13">
        <v>42885.979398148149</v>
      </c>
      <c r="G152" s="7">
        <v>1</v>
      </c>
      <c r="H152" s="21" t="s">
        <v>922</v>
      </c>
      <c r="I152" s="13">
        <v>42886.005497685182</v>
      </c>
      <c r="J152" s="7">
        <v>0</v>
      </c>
      <c r="K152" s="92" t="str">
        <f t="shared" si="52"/>
        <v>4019/4020</v>
      </c>
      <c r="L152" s="21" t="str">
        <f>VLOOKUP(A152,'Trips&amp;Operators'!$C$1:$G$99999,5,FALSE)</f>
        <v>SMITH MICHAEL</v>
      </c>
      <c r="M152" s="6">
        <f t="shared" si="53"/>
        <v>2.6099537033587694E-2</v>
      </c>
      <c r="N152" s="7">
        <f t="shared" si="69"/>
        <v>37.58333332836628</v>
      </c>
      <c r="O152" s="7"/>
      <c r="P152" s="7"/>
      <c r="Q152" s="22"/>
      <c r="R152" s="173"/>
      <c r="S152" s="176">
        <f t="shared" si="70"/>
        <v>1</v>
      </c>
      <c r="T152" s="202" t="str">
        <f t="shared" si="54"/>
        <v>NorthBound</v>
      </c>
      <c r="U152" s="202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03" t="str">
        <f t="shared" si="55"/>
        <v>https://d0f6bd738d7f1b3e5a7ca70fe4ff75f0.us-east-1.aws.found.io/app/kibana#/discover/Steve-Slow-Train-Analysis-(2080s-and-2083s)?_g=(refreshInterval:(display:Off,pause:!f,section:0,value:0),time:(from:'2017-05-30T22:11:15-0600',mode:absolute,to:'2017-05-31T01:07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52" s="204" t="str">
        <f t="shared" si="56"/>
        <v>N</v>
      </c>
      <c r="X152" s="204">
        <f t="shared" si="57"/>
        <v>1</v>
      </c>
      <c r="Y152" s="204">
        <f t="shared" si="58"/>
        <v>4.3799999999999999E-2</v>
      </c>
      <c r="Z152" s="204">
        <f t="shared" si="59"/>
        <v>23.329899999999999</v>
      </c>
      <c r="AA152" s="204">
        <f t="shared" si="60"/>
        <v>23.286099999999998</v>
      </c>
      <c r="AB152" s="57" t="e">
        <f>VLOOKUP(A152,Enforcements!$C$7:$K$13,8,0)</f>
        <v>#N/A</v>
      </c>
      <c r="AC152" s="53" t="e">
        <f>VLOOKUP(A152,Enforcements!$C$7:$E$13,3,0)</f>
        <v>#N/A</v>
      </c>
      <c r="AD152" s="54" t="str">
        <f t="shared" si="61"/>
        <v>0239-30</v>
      </c>
      <c r="AE152" s="80" t="str">
        <f t="shared" si="62"/>
        <v>aws s3 cp s3://rtdc.mdm.uploadarchive.raw/RTDC4020/ "%USERPROFILE%\AppData\Local\Temp\OnboardLogs"\RTDC4020\2017-05-30 --exclude "*" --recursive --include "*20170530*" &amp; "%USERPROFILE%\Documents\GitHub\mrs-test-scripts\Headless Mode &amp; Sideloading\WalkAndUnGZ.bat" "%USERPROFILE%\AppData\Local\Temp\OnboardLogs"\RTDC4020\2017-05-30 &amp; aws s3 cp s3://rtdc.mdm.uploadarchive.raw/RTDC4020/ "%USERPROFILE%\AppData\Local\Temp\OnboardLogs"\RTDC4020\2017-05-31 --exclude "*" --recursive --include "*20170531*" &amp; "%USERPROFILE%\Documents\GitHub\mrs-test-scripts\Headless Mode &amp; Sideloading\WalkAndUnGZ.bat" "%USERPROFILE%\AppData\Local\Temp\OnboardLogs"\RTDC4020\2017-05-31</v>
      </c>
      <c r="AF152" s="77" t="str">
        <f t="shared" si="63"/>
        <v>"C:\Program Files (x86)\AstroGrep\AstroGrep.exe" /e /r /s /spath="%USERPROFILE%\AppData\Local\Temp\OnboardLogs" /stypes="app*4020*20170531*" /stext=" 06:.+((SYSTEM_STATE.+slice.+state.+changed )|(ment ac)|(multiple cpu faults)|(system.+state.+changed )|(\[timeout)|(PRM\|1\|D)|(kpr)|(kdp)|(train st.+moving)|(\|lc)|(penalty))"</v>
      </c>
      <c r="AG152" s="1" t="str">
        <f t="shared" si="64"/>
        <v>EC</v>
      </c>
      <c r="AH152" s="81" t="str">
        <f t="shared" si="65"/>
        <v>"%USERPROFILE%\Documents\GitHub\eaglep3\Utilities\RefineRTDCRunTimes.py" --tripid 239-30 --locoid 4020 --swversion DE.1.0.9.0 --startMP 204:438 --initTime 2017-05-30T23:11:15 --startdatetime 2017-05-30T23:30:20 --delay 1 --endMP 204:233299 --enddatetime 2017-05-31T00:07:55 --enforcementcount 0 &gt;&gt;C:\Users\stu\Documents\GitHub\eaglep3-reporting\EC\2017-05-30-refined-times.txt</v>
      </c>
      <c r="AI152" s="99" t="str">
        <f t="shared" si="66"/>
        <v>echo {"issue":{"subject":"","project_id":79,"tracker_id":40,"status_id":1,"priority_id":2,"assigned_to_id":23,"start_date":"2017-05-31","description":"","custom_fields":[{"id":1,"name":"Subdivision","value":"EC"},{"id":4,"name":"Milepost","value":"23.3299"},{"id":17,"name":"Train ID","value":"239-30"},{"id":16,"name":"Locomotive ID","value":"4020"},{"id":130,"name":"Impact","value":""},{"id":150,"name":"Time of Event (Mountain Time)","value":"00:07:55"},{"id":151,"name":"Denver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5" t="str">
        <f t="shared" si="67"/>
        <v>start /low /b %USERPROFILE%\Documents\GitHub\eaglep3\Utilities\DownloadLogsFromS3.py --loco 4020 --day 2017-05-30</v>
      </c>
      <c r="AN152" s="154" t="str">
        <f t="shared" si="68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06:07:55"},{"id":29,"name":"Sharepoint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862</v>
      </c>
      <c r="B153" s="7">
        <v>4019</v>
      </c>
      <c r="C153" s="21" t="s">
        <v>204</v>
      </c>
      <c r="D153" s="21" t="s">
        <v>605</v>
      </c>
      <c r="E153" s="13">
        <v>42886.007592592592</v>
      </c>
      <c r="F153" s="13">
        <v>42886.018923611111</v>
      </c>
      <c r="G153" s="7">
        <v>1</v>
      </c>
      <c r="H153" s="21" t="s">
        <v>463</v>
      </c>
      <c r="I153" s="13">
        <v>42886.045532407406</v>
      </c>
      <c r="J153" s="7">
        <v>0</v>
      </c>
      <c r="K153" s="92" t="str">
        <f t="shared" si="52"/>
        <v>4019/4020</v>
      </c>
      <c r="L153" s="21" t="str">
        <f>VLOOKUP(A153,'Trips&amp;Operators'!$C$1:$G$99999,5,FALSE)</f>
        <v>SMITH MICHAEL</v>
      </c>
      <c r="M153" s="6">
        <f t="shared" si="53"/>
        <v>2.6608796295477077E-2</v>
      </c>
      <c r="N153" s="7">
        <f t="shared" si="69"/>
        <v>38.316666665486991</v>
      </c>
      <c r="O153" s="7"/>
      <c r="P153" s="7"/>
      <c r="Q153" s="22"/>
      <c r="R153" s="173"/>
      <c r="S153" s="176">
        <f t="shared" si="70"/>
        <v>1</v>
      </c>
      <c r="T153" s="202" t="str">
        <f t="shared" si="54"/>
        <v>Southbound</v>
      </c>
      <c r="U153" s="202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03" t="str">
        <f t="shared" si="55"/>
        <v>https://d0f6bd738d7f1b3e5a7ca70fe4ff75f0.us-east-1.aws.found.io/app/kibana#/discover/Steve-Slow-Train-Analysis-(2080s-and-2083s)?_g=(refreshInterval:(display:Off,pause:!f,section:0,value:0),time:(from:'2017-05-30T23:10:56-0600',mode:absolute,to:'2017-05-31T02:05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53" s="204" t="str">
        <f t="shared" si="56"/>
        <v>N</v>
      </c>
      <c r="X153" s="204">
        <f t="shared" si="57"/>
        <v>1</v>
      </c>
      <c r="Y153" s="204">
        <f t="shared" si="58"/>
        <v>23.296299999999999</v>
      </c>
      <c r="Z153" s="204">
        <f t="shared" si="59"/>
        <v>1.4500000000000001E-2</v>
      </c>
      <c r="AA153" s="204">
        <f t="shared" si="60"/>
        <v>23.281799999999997</v>
      </c>
      <c r="AB153" s="57" t="e">
        <f>VLOOKUP(A153,Enforcements!$C$7:$K$13,8,0)</f>
        <v>#N/A</v>
      </c>
      <c r="AC153" s="53" t="e">
        <f>VLOOKUP(A153,Enforcements!$C$7:$E$13,3,0)</f>
        <v>#N/A</v>
      </c>
      <c r="AD153" s="54" t="str">
        <f t="shared" si="61"/>
        <v>0240-30</v>
      </c>
      <c r="AE153" s="80" t="str">
        <f t="shared" si="62"/>
        <v>aws s3 cp s3://rtdc.mdm.uploadarchive.raw/RTDC4019/ "%USERPROFILE%\AppData\Local\Temp\OnboardLogs"\RTDC4019\2017-05-31 --exclude "*" --recursive --include "*20170531*" &amp; "%USERPROFILE%\Documents\GitHub\mrs-test-scripts\Headless Mode &amp; Sideloading\WalkAndUnGZ.bat" "%USERPROFILE%\AppData\Local\Temp\OnboardLogs"\RTDC4019\2017-05-31 &amp; aws s3 cp s3://rtdc.mdm.uploadarchive.raw/RTDC4019/ "%USERPROFILE%\AppData\Local\Temp\OnboardLogs"\RTDC4019\2017-06-01 --exclude "*" --recursive --include "*20170601*" &amp; "%USERPROFILE%\Documents\GitHub\mrs-test-scripts\Headless Mode &amp; Sideloading\WalkAndUnGZ.bat" "%USERPROFILE%\AppData\Local\Temp\OnboardLogs"\RTDC4019\2017-06-01</v>
      </c>
      <c r="AF153" s="77" t="str">
        <f t="shared" si="63"/>
        <v>"C:\Program Files (x86)\AstroGrep\AstroGrep.exe" /e /r /s /spath="%USERPROFILE%\AppData\Local\Temp\OnboardLogs" /stypes="app*4019*20170531*" /stext=" 07:.+((SYSTEM_STATE.+slice.+state.+changed )|(ment ac)|(multiple cpu faults)|(system.+state.+changed )|(\[timeout)|(PRM\|1\|D)|(kpr)|(kdp)|(train st.+moving)|(\|lc)|(penalty))"</v>
      </c>
      <c r="AG153" s="1" t="str">
        <f t="shared" si="64"/>
        <v>EC</v>
      </c>
      <c r="AH153" s="81" t="str">
        <f t="shared" si="65"/>
        <v>"%USERPROFILE%\Documents\GitHub\eaglep3\Utilities\RefineRTDCRunTimes.py" --tripid 240-30 --locoid 4019 --swversion DE.1.0.9.0 --startMP 204:232963 --initTime 2017-05-31T00:10:56 --startdatetime 2017-05-31T00:27:15 --delay 1 --endMP 204:145 --enddatetime 2017-05-31T01:05:34 --enforcementcount 0 &gt;&gt;C:\Users\stu\Documents\GitHub\eaglep3-reporting\EC\2017-05-30-refined-times.txt</v>
      </c>
      <c r="AI153" s="99" t="str">
        <f t="shared" si="66"/>
        <v>echo {"issue":{"subject":"","project_id":79,"tracker_id":40,"status_id":1,"priority_id":2,"assigned_to_id":23,"start_date":"2017-05-31","description":"","custom_fields":[{"id":1,"name":"Subdivision","value":"EC"},{"id":4,"name":"Milepost","value":"0.0145"},{"id":17,"name":"Train ID","value":"240-30"},{"id":16,"name":"Locomotive ID","value":"4019"},{"id":130,"name":"Impact","value":""},{"id":150,"name":"Time of Event (Mountain Time)","value":"01:05:34"},{"id":151,"name":"Denver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7"/>
      <c r="AL153" s="47"/>
      <c r="AM153" s="145" t="str">
        <f t="shared" si="67"/>
        <v>start /low /b %USERPROFILE%\Documents\GitHub\eaglep3\Utilities\DownloadLogsFromS3.py --loco 4019 --day 2017-05-31</v>
      </c>
      <c r="AN153" s="154" t="str">
        <f t="shared" si="68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07:05:34"},{"id":29,"name":"Sharepoint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861</v>
      </c>
      <c r="B154" s="7">
        <v>4018</v>
      </c>
      <c r="C154" s="21" t="s">
        <v>204</v>
      </c>
      <c r="D154" s="21" t="s">
        <v>468</v>
      </c>
      <c r="E154" s="13">
        <v>42885.989120370374</v>
      </c>
      <c r="F154" s="13">
        <v>42886.000138888892</v>
      </c>
      <c r="G154" s="7">
        <v>1</v>
      </c>
      <c r="H154" s="21" t="s">
        <v>493</v>
      </c>
      <c r="I154" s="13">
        <v>42886.026261574072</v>
      </c>
      <c r="J154" s="7">
        <v>0</v>
      </c>
      <c r="K154" s="92" t="str">
        <f t="shared" si="52"/>
        <v>4017/4018</v>
      </c>
      <c r="L154" s="21" t="str">
        <f>VLOOKUP(A154,'Trips&amp;Operators'!$C$1:$G$99999,5,FALSE)</f>
        <v>FORTUNATO FRANK</v>
      </c>
      <c r="M154" s="6">
        <f t="shared" si="53"/>
        <v>2.6122685179871041E-2</v>
      </c>
      <c r="N154" s="7">
        <f t="shared" si="69"/>
        <v>37.6166666590143</v>
      </c>
      <c r="O154" s="7"/>
      <c r="P154" s="7"/>
      <c r="Q154" s="22"/>
      <c r="R154" s="173"/>
      <c r="S154" s="176">
        <f t="shared" si="70"/>
        <v>1</v>
      </c>
      <c r="T154" s="202" t="str">
        <f t="shared" si="54"/>
        <v>NorthBound</v>
      </c>
      <c r="U154" s="202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03" t="str">
        <f t="shared" si="55"/>
        <v>https://d0f6bd738d7f1b3e5a7ca70fe4ff75f0.us-east-1.aws.found.io/app/kibana#/discover/Steve-Slow-Train-Analysis-(2080s-and-2083s)?_g=(refreshInterval:(display:Off,pause:!f,section:0,value:0),time:(from:'2017-05-30T22:44:20-0600',mode:absolute,to:'2017-05-31T01:37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54" s="204" t="str">
        <f t="shared" si="56"/>
        <v>N</v>
      </c>
      <c r="X154" s="204">
        <f t="shared" si="57"/>
        <v>1</v>
      </c>
      <c r="Y154" s="204">
        <f t="shared" si="58"/>
        <v>4.4200000000000003E-2</v>
      </c>
      <c r="Z154" s="204">
        <f t="shared" si="59"/>
        <v>23.331399999999999</v>
      </c>
      <c r="AA154" s="204">
        <f t="shared" si="60"/>
        <v>23.287199999999999</v>
      </c>
      <c r="AB154" s="57" t="e">
        <f>VLOOKUP(A154,Enforcements!$C$7:$K$13,8,0)</f>
        <v>#N/A</v>
      </c>
      <c r="AC154" s="53" t="e">
        <f>VLOOKUP(A154,Enforcements!$C$7:$E$13,3,0)</f>
        <v>#N/A</v>
      </c>
      <c r="AD154" s="54" t="str">
        <f t="shared" si="61"/>
        <v>0241-30</v>
      </c>
      <c r="AE154" s="80" t="str">
        <f t="shared" si="62"/>
        <v>aws s3 cp s3://rtdc.mdm.uploadarchive.raw/RTDC4018/ "%USERPROFILE%\AppData\Local\Temp\OnboardLogs"\RTDC4018\2017-05-31 --exclude "*" --recursive --include "*20170531*" &amp; "%USERPROFILE%\Documents\GitHub\mrs-test-scripts\Headless Mode &amp; Sideloading\WalkAndUnGZ.bat" "%USERPROFILE%\AppData\Local\Temp\OnboardLogs"\RTDC4018\2017-05-31 &amp; aws s3 cp s3://rtdc.mdm.uploadarchive.raw/RTDC4018/ "%USERPROFILE%\AppData\Local\Temp\OnboardLogs"\RTDC4018\2017-06-01 --exclude "*" --recursive --include "*20170601*" &amp; "%USERPROFILE%\Documents\GitHub\mrs-test-scripts\Headless Mode &amp; Sideloading\WalkAndUnGZ.bat" "%USERPROFILE%\AppData\Local\Temp\OnboardLogs"\RTDC4018\2017-06-01</v>
      </c>
      <c r="AF154" s="77" t="str">
        <f t="shared" si="63"/>
        <v>"C:\Program Files (x86)\AstroGrep\AstroGrep.exe" /e /r /s /spath="%USERPROFILE%\AppData\Local\Temp\OnboardLogs" /stypes="app*4018*20170531*" /stext=" 06:.+((SYSTEM_STATE.+slice.+state.+changed )|(ment ac)|(multiple cpu faults)|(system.+state.+changed )|(\[timeout)|(PRM\|1\|D)|(kpr)|(kdp)|(train st.+moving)|(\|lc)|(penalty))"</v>
      </c>
      <c r="AG154" s="1" t="str">
        <f t="shared" si="64"/>
        <v>EC</v>
      </c>
      <c r="AH154" s="81" t="str">
        <f t="shared" si="65"/>
        <v>"%USERPROFILE%\Documents\GitHub\eaglep3\Utilities\RefineRTDCRunTimes.py" --tripid 241-30 --locoid 4018 --swversion DE.1.0.9.0 --startMP 204:442 --initTime 2017-05-30T23:44:20 --startdatetime 2017-05-31T00:00:12 --delay 1 --endMP 204:233314 --enddatetime 2017-05-31T00:37:49 --enforcementcount 0 &gt;&gt;C:\Users\stu\Documents\GitHub\eaglep3-reporting\EC\2017-05-30-refined-times.txt</v>
      </c>
      <c r="AI154" s="99" t="str">
        <f t="shared" si="66"/>
        <v>echo {"issue":{"subject":"","project_id":79,"tracker_id":40,"status_id":1,"priority_id":2,"assigned_to_id":23,"start_date":"2017-05-31","description":"","custom_fields":[{"id":1,"name":"Subdivision","value":"EC"},{"id":4,"name":"Milepost","value":"23.3314"},{"id":17,"name":"Train ID","value":"241-30"},{"id":16,"name":"Locomotive ID","value":"4018"},{"id":130,"name":"Impact","value":""},{"id":150,"name":"Time of Event (Mountain Time)","value":"00:37:49"},{"id":151,"name":"Denver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4" s="47"/>
      <c r="AL154" s="47"/>
      <c r="AM154" s="145" t="str">
        <f t="shared" si="67"/>
        <v>start /low /b %USERPROFILE%\Documents\GitHub\eaglep3\Utilities\DownloadLogsFromS3.py --loco 4018 --day 2017-05-31</v>
      </c>
      <c r="AN154" s="154" t="str">
        <f t="shared" si="68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06:37:49"},{"id":29,"name":"Sharepoint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865</v>
      </c>
      <c r="B155" s="7">
        <v>4017</v>
      </c>
      <c r="C155" s="21" t="s">
        <v>204</v>
      </c>
      <c r="D155" s="21" t="s">
        <v>468</v>
      </c>
      <c r="E155" s="13">
        <v>42885.989120370374</v>
      </c>
      <c r="F155" s="13">
        <v>42886.03974537037</v>
      </c>
      <c r="G155" s="7">
        <v>1</v>
      </c>
      <c r="H155" s="21" t="s">
        <v>493</v>
      </c>
      <c r="I155" s="13">
        <v>42886.048506944448</v>
      </c>
      <c r="J155" s="7">
        <v>0</v>
      </c>
      <c r="K155" s="92" t="str">
        <f t="shared" si="52"/>
        <v>4017/4018</v>
      </c>
      <c r="L155" s="21" t="str">
        <f>VLOOKUP(A155,'Trips&amp;Operators'!$C$1:$G$99999,5,FALSE)</f>
        <v>FORTUNATO FRANK</v>
      </c>
      <c r="M155" s="6">
        <f t="shared" si="53"/>
        <v>8.7615740776527673E-3</v>
      </c>
      <c r="N155" s="7"/>
      <c r="O155" s="7"/>
      <c r="P155" s="7">
        <f>24*60*SUM($M155:$M155)</f>
        <v>12.616666671819985</v>
      </c>
      <c r="Q155" s="22"/>
      <c r="R155" s="173" t="s">
        <v>1009</v>
      </c>
      <c r="S155" s="176">
        <f t="shared" si="70"/>
        <v>0</v>
      </c>
      <c r="T155" s="202" t="str">
        <f t="shared" si="54"/>
        <v>Southbound</v>
      </c>
      <c r="U155" s="202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0</v>
      </c>
      <c r="V155" s="203" t="str">
        <f t="shared" si="55"/>
        <v>https://d0f6bd738d7f1b3e5a7ca70fe4ff75f0.us-east-1.aws.found.io/app/kibana#/discover/Steve-Slow-Train-Analysis-(2080s-and-2083s)?_g=(refreshInterval:(display:Off,pause:!f,section:0,value:0),time:(from:'2017-05-30T22:44:20-0600',mode:absolute,to:'2017-05-31T02:09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55" s="204" t="str">
        <f t="shared" si="56"/>
        <v>Y</v>
      </c>
      <c r="X155" s="204">
        <f t="shared" ref="X155:X158" si="71">VALUE(LEFT(AD155,4))-VALUE(LEFT(AD154,4))</f>
        <v>1</v>
      </c>
      <c r="Y155" s="204">
        <v>23.296299999999999</v>
      </c>
      <c r="Z155" s="204">
        <v>13.8</v>
      </c>
      <c r="AA155" s="204">
        <f t="shared" si="60"/>
        <v>9.496299999999998</v>
      </c>
      <c r="AB155" s="57" t="e">
        <f>VLOOKUP(A155,Enforcements!$C$7:$K$13,8,0)</f>
        <v>#N/A</v>
      </c>
      <c r="AC155" s="53" t="e">
        <f>VLOOKUP(A155,Enforcements!$C$7:$E$13,3,0)</f>
        <v>#N/A</v>
      </c>
      <c r="AD155" s="54" t="str">
        <f t="shared" si="61"/>
        <v>0242-30</v>
      </c>
      <c r="AE155" s="80" t="str">
        <f t="shared" si="62"/>
        <v>aws s3 cp s3://rtdc.mdm.uploadarchive.raw/RTDC4017/ "%USERPROFILE%\AppData\Local\Temp\OnboardLogs"\RTDC4017\2017-05-31 --exclude "*" --recursive --include "*20170531*" &amp; "%USERPROFILE%\Documents\GitHub\mrs-test-scripts\Headless Mode &amp; Sideloading\WalkAndUnGZ.bat" "%USERPROFILE%\AppData\Local\Temp\OnboardLogs"\RTDC4017\2017-05-31 &amp; aws s3 cp s3://rtdc.mdm.uploadarchive.raw/RTDC4017/ "%USERPROFILE%\AppData\Local\Temp\OnboardLogs"\RTDC4017\2017-06-01 --exclude "*" --recursive --include "*20170601*" &amp; "%USERPROFILE%\Documents\GitHub\mrs-test-scripts\Headless Mode &amp; Sideloading\WalkAndUnGZ.bat" "%USERPROFILE%\AppData\Local\Temp\OnboardLogs"\RTDC4017\2017-06-01</v>
      </c>
      <c r="AF155" s="77" t="str">
        <f t="shared" si="63"/>
        <v>"C:\Program Files (x86)\AstroGrep\AstroGrep.exe" /e /r /s /spath="%USERPROFILE%\AppData\Local\Temp\OnboardLogs" /stypes="app*4017*20170531*" /stext=" 07:.+((SYSTEM_STATE.+slice.+state.+changed )|(ment ac)|(multiple cpu faults)|(system.+state.+changed )|(\[timeout)|(PRM\|1\|D)|(kpr)|(kdp)|(train st.+moving)|(\|lc)|(penalty))"</v>
      </c>
      <c r="AG155" s="1" t="str">
        <f t="shared" si="64"/>
        <v>EC</v>
      </c>
      <c r="AH155" s="81" t="str">
        <f t="shared" ref="AH155" si="72">refinertdcruntimes&amp;" --tripid "&amp;A155&amp;" --locoid "&amp;B155&amp;" --swversion "&amp;C155&amp;" --startMP "&amp;D155&amp;" --initTime "&amp;TEXT(E155,"yyyy-mm-ddTHH:MM:SS")&amp;" --startdatetime "&amp;TEXT(F155,"yyyy-mm-ddTHH:MM:SS")&amp;" --delay "&amp;G155&amp;" --endMP "&amp;H155&amp;" --enddatetime "&amp;TEXT(I155,"yyyy-mm-ddTHH:MM:SS")&amp;" --enforcementcount "&amp;J155&amp;IF(outputrefinedruntimes," &gt;&gt;"&amp;RefinedRTDCRunTimesOutputFile,"")</f>
        <v>"%USERPROFILE%\Documents\GitHub\eaglep3\Utilities\RefineRTDCRunTimes.py" --tripid 242-30 --locoid 4017 --swversion DE.1.0.9.0 --startMP 204:442 --initTime 2017-05-30T23:44:20 --startdatetime 2017-05-31T00:57:14 --delay 1 --endMP 204:233314 --enddatetime 2017-05-31T01:09:51 --enforcementcount 0 &gt;&gt;C:\Users\stu\Documents\GitHub\eaglep3-reporting\EC\2017-05-30-refined-times.txt</v>
      </c>
      <c r="AI155" s="99" t="str">
        <f t="shared" ref="AI155" si="73">"echo {""issue"":{""subject"":"""&amp;R155&amp;""",""project_id"":79,""tracker_id"":40,""status_id"":"&amp;redmine_status&amp;",""priority_id"":"&amp;redmine_priority&amp;",""assigned_to_id"":"&amp;redmine_assignee&amp;",""start_date"":"""&amp;TEXT(I155,"YYYY-mm-dd")&amp;""",""description"":"""&amp;AJ155&amp;""",""custom_fields"":[{""id"":1,""name"":""Subdivision"",""value"":"""&amp;AG155&amp;"""},{""id"":4,""name"":""Milepost"",""value"":"""&amp;Z155&amp;"""},{""id"":17,""name"":""Train ID"",""value"":"""&amp;A155&amp;"""},{""id"":16,""name"":""Locomotive ID"",""value"":"""&amp;B155&amp;"""},{""id"":130,""name"":""Impact"",""value"":"""&amp;AK155&amp;"""},{""id"":150,""name"":""Time of Event (Mountain Time)"",""value"":"""&amp;TEXT(I155,"hh:mm:ss")&amp;"""},{""id"":151,""name"":""Denver Issue ID"",""value"":"""&amp;"""},{""id"":178,""name"":""Operational Impact"",""value"":"""&amp;redmine_op_impact&amp;"""},{""id"":179,""name"":""Denver Segment Assigned"",""value"":"""&amp;AL155&amp;"""}]}}"&amp;" | curl -X POST -H ""Content-Type: application/json"" -H ""X-Redmine-API-Key: "&amp;redm_api_key&amp;""" "&amp;redm_url&amp;" --data @-"</f>
        <v>echo {"issue":{"subject":"Extended Onboard Wi-MAX data drop","project_id":79,"tracker_id":40,"status_id":1,"priority_id":2,"assigned_to_id":23,"start_date":"2017-05-31","description":"http://stevetu21.github.io/eaglep3/load_kml.html?kml=http://rtdc.gmaps-snips.s3.amazonaws.com/3091d0cf-b651-4645-9e7e-ac9b6aa00d47.kml","custom_fields":[{"id":1,"name":"Subdivision","value":"EC"},{"id":4,"name":"Milepost","value":"13.8"},{"id":17,"name":"Train ID","value":"242-30"},{"id":16,"name":"Locomotive ID","value":"4017"},{"id":130,"name":"Impact","value":"Unexpected Cut-Out or Disengaged"},{"id":150,"name":"Time of Event (Mountain Time)","value":"01:09:51"},{"id":151,"name":"Denver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AJ155" t="s">
        <v>1008</v>
      </c>
      <c r="AK155" s="47" t="s">
        <v>128</v>
      </c>
      <c r="AL155" s="47" t="s">
        <v>135</v>
      </c>
      <c r="AM155" s="145" t="str">
        <f t="shared" ref="AM155" si="74">"start /low /b "&amp;dls3logs&amp;" --loco "&amp;B155&amp;" --day "&amp;TEXT(F155,"YYYY-MM-DD")</f>
        <v>start /low /b %USERPROFILE%\Documents\GitHub\eaglep3\Utilities\DownloadLogsFromS3.py --loco 4017 --day 2017-05-31</v>
      </c>
      <c r="AN155" s="154" t="str">
        <f t="shared" ref="AN155" si="75">"echo {""issue"":{""subject"":"""&amp;R155&amp;""",""project_id"":30,""tracker_id"":4,""status_id"":"&amp;redmine_status_wcr&amp;",""priority_id"":"&amp;redmine_priority_wcr&amp;",""assigned_to_id"":"&amp;redmine_assignee_wcr&amp;",""start_date"":"""&amp;TEXT(I155-utc_offset/24,"YYYY-mm-dd")&amp;""",""description"":"""&amp;AJ155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{"issue":{"subject":"Extended Onboard Wi-MAX data drop","project_id":30,"tracker_id":4,"status_id":1,"priority_id":1,"assigned_to_id":10,"start_date":"2017-05-31","description":"http://stevetu21.github.io/eaglep3/load_kml.html?kml=http://rtdc.gmaps-snips.s3.amazonaws.com/3091d0cf-b651-4645-9e7e-ac9b6aa00d47.kml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07:09:51"},{"id":29,"name":"Sharepoint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6" spans="1:91" s="20" customFormat="1" x14ac:dyDescent="0.25">
      <c r="A156" s="32" t="s">
        <v>863</v>
      </c>
      <c r="B156" s="7">
        <v>4026</v>
      </c>
      <c r="C156" s="21" t="s">
        <v>204</v>
      </c>
      <c r="D156" s="21" t="s">
        <v>201</v>
      </c>
      <c r="E156" s="13">
        <v>42886.015752314815</v>
      </c>
      <c r="F156" s="13">
        <v>42886.021006944444</v>
      </c>
      <c r="G156" s="7">
        <v>2</v>
      </c>
      <c r="H156" s="21" t="s">
        <v>527</v>
      </c>
      <c r="I156" s="13">
        <v>42886.046770833331</v>
      </c>
      <c r="J156" s="7">
        <v>0</v>
      </c>
      <c r="K156" s="92" t="str">
        <f t="shared" si="52"/>
        <v>4025/4026</v>
      </c>
      <c r="L156" s="21" t="str">
        <f>VLOOKUP(A156,'Trips&amp;Operators'!$C$1:$G$99999,5,FALSE)</f>
        <v>SULLIVAN BRANDON</v>
      </c>
      <c r="M156" s="6">
        <f t="shared" si="53"/>
        <v>2.5763888887013309E-2</v>
      </c>
      <c r="N156" s="7">
        <f t="shared" ref="N156:N187" si="76">24*60*SUM($M156:$M156)</f>
        <v>37.099999997299165</v>
      </c>
      <c r="O156" s="7"/>
      <c r="P156" s="7"/>
      <c r="Q156" s="22"/>
      <c r="R156" s="173"/>
      <c r="S156" s="176">
        <f t="shared" si="70"/>
        <v>1</v>
      </c>
      <c r="T156" s="202" t="str">
        <f t="shared" si="54"/>
        <v>NorthBound</v>
      </c>
      <c r="U156" s="202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03" t="str">
        <f t="shared" si="55"/>
        <v>https://d0f6bd738d7f1b3e5a7ca70fe4ff75f0.us-east-1.aws.found.io/app/kibana#/discover/Steve-Slow-Train-Analysis-(2080s-and-2083s)?_g=(refreshInterval:(display:Off,pause:!f,section:0,value:0),time:(from:'2017-05-30T23:22:41-0600',mode:absolute,to:'2017-05-31T02:07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56" s="204" t="str">
        <f t="shared" si="56"/>
        <v>N</v>
      </c>
      <c r="X156" s="204">
        <f t="shared" si="71"/>
        <v>1</v>
      </c>
      <c r="Y156" s="204">
        <f t="shared" ref="Y156:Y187" si="77">RIGHT(D156,LEN(D156)-4)/10000</f>
        <v>4.5999999999999999E-2</v>
      </c>
      <c r="Z156" s="204">
        <f t="shared" ref="Z156:Z187" si="78">RIGHT(H156,LEN(H156)-4)/10000</f>
        <v>23.331099999999999</v>
      </c>
      <c r="AA156" s="204">
        <f t="shared" si="60"/>
        <v>23.2851</v>
      </c>
      <c r="AB156" s="57" t="e">
        <f>VLOOKUP(A156,Enforcements!$C$7:$K$13,8,0)</f>
        <v>#N/A</v>
      </c>
      <c r="AC156" s="53" t="e">
        <f>VLOOKUP(A156,Enforcements!$C$7:$E$13,3,0)</f>
        <v>#N/A</v>
      </c>
      <c r="AD156" s="54" t="str">
        <f t="shared" si="61"/>
        <v>0243-30</v>
      </c>
      <c r="AE156" s="80" t="str">
        <f t="shared" si="62"/>
        <v>aws s3 cp s3://rtdc.mdm.uploadarchive.raw/RTDC4026/ "%USERPROFILE%\AppData\Local\Temp\OnboardLogs"\RTDC4026\2017-05-31 --exclude "*" --recursive --include "*20170531*" &amp; "%USERPROFILE%\Documents\GitHub\mrs-test-scripts\Headless Mode &amp; Sideloading\WalkAndUnGZ.bat" "%USERPROFILE%\AppData\Local\Temp\OnboardLogs"\RTDC4026\2017-05-31 &amp; aws s3 cp s3://rtdc.mdm.uploadarchive.raw/RTDC4026/ "%USERPROFILE%\AppData\Local\Temp\OnboardLogs"\RTDC4026\2017-06-01 --exclude "*" --recursive --include "*20170601*" &amp; "%USERPROFILE%\Documents\GitHub\mrs-test-scripts\Headless Mode &amp; Sideloading\WalkAndUnGZ.bat" "%USERPROFILE%\AppData\Local\Temp\OnboardLogs"\RTDC4026\2017-06-01</v>
      </c>
      <c r="AF156" s="77" t="str">
        <f t="shared" si="63"/>
        <v>"C:\Program Files (x86)\AstroGrep\AstroGrep.exe" /e /r /s /spath="%USERPROFILE%\AppData\Local\Temp\OnboardLogs" /stypes="app*4026*20170531*" /stext=" 07:.+((SYSTEM_STATE.+slice.+state.+changed )|(ment ac)|(multiple cpu faults)|(system.+state.+changed )|(\[timeout)|(PRM\|1\|D)|(kpr)|(kdp)|(train st.+moving)|(\|lc)|(penalty))"</v>
      </c>
      <c r="AG156" s="1" t="str">
        <f t="shared" si="64"/>
        <v>EC</v>
      </c>
      <c r="AH156" s="81" t="str">
        <f t="shared" si="65"/>
        <v>"%USERPROFILE%\Documents\GitHub\eaglep3\Utilities\RefineRTDCRunTimes.py" --tripid 243-30 --locoid 4026 --swversion DE.1.0.9.0 --startMP 204:460 --initTime 2017-05-31T00:22:41 --startdatetime 2017-05-31T00:30:15 --delay 2 --endMP 204:233311 --enddatetime 2017-05-31T01:07:21 --enforcementcount 0 &gt;&gt;C:\Users\stu\Documents\GitHub\eaglep3-reporting\EC\2017-05-30-refined-times.txt</v>
      </c>
      <c r="AI156" s="99" t="str">
        <f t="shared" si="66"/>
        <v>echo {"issue":{"subject":"","project_id":79,"tracker_id":40,"status_id":1,"priority_id":2,"assigned_to_id":23,"start_date":"2017-05-31","description":"","custom_fields":[{"id":1,"name":"Subdivision","value":"EC"},{"id":4,"name":"Milepost","value":"23.3311"},{"id":17,"name":"Train ID","value":"243-30"},{"id":16,"name":"Locomotive ID","value":"4026"},{"id":130,"name":"Impact","value":""},{"id":150,"name":"Time of Event (Mountain Time)","value":"01:07:21"},{"id":151,"name":"Denver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6" s="47"/>
      <c r="AL156" s="47"/>
      <c r="AM156" s="145" t="str">
        <f t="shared" si="67"/>
        <v>start /low /b %USERPROFILE%\Documents\GitHub\eaglep3\Utilities\DownloadLogsFromS3.py --loco 4026 --day 2017-05-31</v>
      </c>
      <c r="AN156" s="154" t="str">
        <f t="shared" si="68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07:07:21"},{"id":29,"name":"Sharepoint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2" t="s">
        <v>866</v>
      </c>
      <c r="B157" s="7">
        <v>4025</v>
      </c>
      <c r="C157" s="21" t="s">
        <v>204</v>
      </c>
      <c r="D157" s="21" t="s">
        <v>465</v>
      </c>
      <c r="E157" s="13">
        <v>42886.0549537037</v>
      </c>
      <c r="F157" s="13">
        <v>42886.060590277775</v>
      </c>
      <c r="G157" s="7">
        <v>2</v>
      </c>
      <c r="H157" s="21" t="s">
        <v>195</v>
      </c>
      <c r="I157" s="13">
        <v>42886.088738425926</v>
      </c>
      <c r="J157" s="7">
        <v>0</v>
      </c>
      <c r="K157" s="92" t="str">
        <f t="shared" si="52"/>
        <v>4025/4026</v>
      </c>
      <c r="L157" s="21" t="str">
        <f>VLOOKUP(A157,'Trips&amp;Operators'!$C$1:$G$99999,5,FALSE)</f>
        <v>SULLIVAN BRANDON</v>
      </c>
      <c r="M157" s="6">
        <f t="shared" si="53"/>
        <v>2.8148148150648922E-2</v>
      </c>
      <c r="N157" s="7">
        <f t="shared" si="76"/>
        <v>40.533333336934447</v>
      </c>
      <c r="O157" s="7"/>
      <c r="P157" s="7"/>
      <c r="Q157" s="22"/>
      <c r="R157" s="173"/>
      <c r="S157" s="176">
        <f t="shared" si="70"/>
        <v>1</v>
      </c>
      <c r="T157" s="202" t="str">
        <f t="shared" si="54"/>
        <v>Southbound</v>
      </c>
      <c r="U157" s="202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03" t="str">
        <f t="shared" si="55"/>
        <v>https://d0f6bd738d7f1b3e5a7ca70fe4ff75f0.us-east-1.aws.found.io/app/kibana#/discover/Steve-Slow-Train-Analysis-(2080s-and-2083s)?_g=(refreshInterval:(display:Off,pause:!f,section:0,value:0),time:(from:'2017-05-31T00:19:08-0600',mode:absolute,to:'2017-05-31T03:07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57" s="204" t="str">
        <f t="shared" si="56"/>
        <v>N</v>
      </c>
      <c r="X157" s="204">
        <f t="shared" si="71"/>
        <v>1</v>
      </c>
      <c r="Y157" s="204">
        <f t="shared" si="77"/>
        <v>23.297999999999998</v>
      </c>
      <c r="Z157" s="204">
        <f t="shared" si="78"/>
        <v>1.52E-2</v>
      </c>
      <c r="AA157" s="204">
        <f t="shared" si="60"/>
        <v>23.282799999999998</v>
      </c>
      <c r="AB157" s="57" t="e">
        <f>VLOOKUP(A157,Enforcements!$C$7:$K$13,8,0)</f>
        <v>#N/A</v>
      </c>
      <c r="AC157" s="53" t="e">
        <f>VLOOKUP(A157,Enforcements!$C$7:$E$13,3,0)</f>
        <v>#N/A</v>
      </c>
      <c r="AD157" s="54" t="str">
        <f t="shared" si="61"/>
        <v>0244-30</v>
      </c>
      <c r="AE157" s="80" t="str">
        <f t="shared" si="62"/>
        <v>aws s3 cp s3://rtdc.mdm.uploadarchive.raw/RTDC4025/ "%USERPROFILE%\AppData\Local\Temp\OnboardLogs"\RTDC4025\2017-05-31 --exclude "*" --recursive --include "*20170531*" &amp; "%USERPROFILE%\Documents\GitHub\mrs-test-scripts\Headless Mode &amp; Sideloading\WalkAndUnGZ.bat" "%USERPROFILE%\AppData\Local\Temp\OnboardLogs"\RTDC4025\2017-05-31 &amp; aws s3 cp s3://rtdc.mdm.uploadarchive.raw/RTDC4025/ "%USERPROFILE%\AppData\Local\Temp\OnboardLogs"\RTDC4025\2017-06-01 --exclude "*" --recursive --include "*20170601*" &amp; "%USERPROFILE%\Documents\GitHub\mrs-test-scripts\Headless Mode &amp; Sideloading\WalkAndUnGZ.bat" "%USERPROFILE%\AppData\Local\Temp\OnboardLogs"\RTDC4025\2017-06-01</v>
      </c>
      <c r="AF157" s="77" t="str">
        <f t="shared" si="63"/>
        <v>"C:\Program Files (x86)\AstroGrep\AstroGrep.exe" /e /r /s /spath="%USERPROFILE%\AppData\Local\Temp\OnboardLogs" /stypes="app*4025*20170531*" /stext=" 08:.+((SYSTEM_STATE.+slice.+state.+changed )|(ment ac)|(multiple cpu faults)|(system.+state.+changed )|(\[timeout)|(PRM\|1\|D)|(kpr)|(kdp)|(train st.+moving)|(\|lc)|(penalty))"</v>
      </c>
      <c r="AG157" s="1" t="str">
        <f t="shared" si="64"/>
        <v>EC</v>
      </c>
      <c r="AH157" s="81" t="str">
        <f t="shared" si="65"/>
        <v>"%USERPROFILE%\Documents\GitHub\eaglep3\Utilities\RefineRTDCRunTimes.py" --tripid 244-30 --locoid 4025 --swversion DE.1.0.9.0 --startMP 204:232980 --initTime 2017-05-31T01:19:08 --startdatetime 2017-05-31T01:27:15 --delay 2 --endMP 204:152 --enddatetime 2017-05-31T02:07:47 --enforcementcount 0 &gt;&gt;C:\Users\stu\Documents\GitHub\eaglep3-reporting\EC\2017-05-30-refined-times.txt</v>
      </c>
      <c r="AI157" s="99" t="str">
        <f t="shared" si="66"/>
        <v>echo {"issue":{"subject":"","project_id":79,"tracker_id":40,"status_id":1,"priority_id":2,"assigned_to_id":23,"start_date":"2017-05-31","description":"","custom_fields":[{"id":1,"name":"Subdivision","value":"EC"},{"id":4,"name":"Milepost","value":"0.0152"},{"id":17,"name":"Train ID","value":"244-30"},{"id":16,"name":"Locomotive ID","value":"4025"},{"id":130,"name":"Impact","value":""},{"id":150,"name":"Time of Event (Mountain Time)","value":"02:07:47"},{"id":151,"name":"Denver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7" s="47"/>
      <c r="AL157" s="47"/>
      <c r="AM157" s="145" t="str">
        <f t="shared" si="67"/>
        <v>start /low /b %USERPROFILE%\Documents\GitHub\eaglep3\Utilities\DownloadLogsFromS3.py --loco 4025 --day 2017-05-31</v>
      </c>
      <c r="AN157" s="154" t="str">
        <f t="shared" si="68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08:07:47"},{"id":29,"name":"Sharepoint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x14ac:dyDescent="0.25">
      <c r="A158" s="32" t="s">
        <v>682</v>
      </c>
      <c r="B158" s="7">
        <v>4041</v>
      </c>
      <c r="C158" s="21" t="s">
        <v>204</v>
      </c>
      <c r="D158" s="21" t="s">
        <v>940</v>
      </c>
      <c r="E158" s="13">
        <v>42885.20784722222</v>
      </c>
      <c r="F158" s="13">
        <v>42885.211099537039</v>
      </c>
      <c r="G158" s="7">
        <v>1</v>
      </c>
      <c r="H158" s="21" t="s">
        <v>941</v>
      </c>
      <c r="I158" s="13">
        <v>42885.226064814815</v>
      </c>
      <c r="J158" s="7">
        <v>0</v>
      </c>
      <c r="K158" s="92" t="str">
        <f t="shared" si="52"/>
        <v>4041/4042</v>
      </c>
      <c r="L158" s="21" t="str">
        <f>VLOOKUP(A158,'Trips&amp;Operators'!$C$1:$G$99999,5,FALSE)</f>
        <v>LAMAR NEKESHA</v>
      </c>
      <c r="M158" s="6">
        <f t="shared" si="53"/>
        <v>1.4965277776354924E-2</v>
      </c>
      <c r="N158" s="7">
        <f t="shared" si="76"/>
        <v>21.54999999795109</v>
      </c>
      <c r="O158" s="7"/>
      <c r="P158" s="7"/>
      <c r="Q158" s="22"/>
      <c r="R158" s="173"/>
      <c r="S158" s="176">
        <f t="shared" si="70"/>
        <v>1</v>
      </c>
      <c r="T158" s="202" t="str">
        <f t="shared" si="54"/>
        <v>Southbound</v>
      </c>
      <c r="U158" s="202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203" t="str">
        <f t="shared" si="55"/>
        <v>https://d0f6bd738d7f1b3e5a7ca70fe4ff75f0.us-east-1.aws.found.io/app/kibana#/discover/Steve-Slow-Train-Analysis-(2080s-and-2083s)?_g=(refreshInterval:(display:Off,pause:!f,section:0,value:0),time:(from:'2017-05-30T03:59:18-0600',mode:absolute,to:'2017-05-30T06:25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58" s="204" t="str">
        <f t="shared" si="56"/>
        <v>N</v>
      </c>
      <c r="X158" s="204">
        <f t="shared" si="71"/>
        <v>556</v>
      </c>
      <c r="Y158" s="204">
        <f t="shared" si="77"/>
        <v>5.8619000000000003</v>
      </c>
      <c r="Z158" s="204">
        <f t="shared" si="78"/>
        <v>7.4099999999999999E-2</v>
      </c>
      <c r="AA158" s="204">
        <f t="shared" si="60"/>
        <v>5.7878000000000007</v>
      </c>
      <c r="AB158" s="57" t="e">
        <f>VLOOKUP(A158,Enforcements!$C$7:$K$13,8,0)</f>
        <v>#N/A</v>
      </c>
      <c r="AC158" s="53" t="e">
        <f>VLOOKUP(A158,Enforcements!$C$7:$E$13,3,0)</f>
        <v>#N/A</v>
      </c>
      <c r="AD158" s="54" t="str">
        <f t="shared" si="61"/>
        <v>0800-30</v>
      </c>
      <c r="AE158" s="80" t="str">
        <f t="shared" si="62"/>
        <v>aws s3 cp s3://rtdc.mdm.uploadarchive.raw/RTDC4041/ "%USERPROFILE%\AppData\Local\Temp\OnboardLogs"\RTDC4041\2017-05-30 --exclude "*" --recursive --include "*20170530*" &amp; "%USERPROFILE%\Documents\GitHub\mrs-test-scripts\Headless Mode &amp; Sideloading\WalkAndUnGZ.bat" "%USERPROFILE%\AppData\Local\Temp\OnboardLogs"\RTDC4041\2017-05-30 &amp; aws s3 cp s3://rtdc.mdm.uploadarchive.raw/RTDC4041/ "%USERPROFILE%\AppData\Local\Temp\OnboardLogs"\RTDC4041\2017-05-31 --exclude "*" --recursive --include "*20170531*" &amp; "%USERPROFILE%\Documents\GitHub\mrs-test-scripts\Headless Mode &amp; Sideloading\WalkAndUnGZ.bat" "%USERPROFILE%\AppData\Local\Temp\OnboardLogs"\RTDC4041\2017-05-31</v>
      </c>
      <c r="AF158" s="77" t="str">
        <f t="shared" si="63"/>
        <v>"C:\Program Files (x86)\AstroGrep\AstroGrep.exe" /e /r /s /spath="%USERPROFILE%\AppData\Local\Temp\OnboardLogs" /stypes="app*4041*20170530*" /stext=" 11:.+((SYSTEM_STATE.+slice.+state.+changed )|(ment ac)|(multiple cpu faults)|(system.+state.+changed )|(\[timeout)|(PRM\|1\|D)|(kpr)|(kdp)|(train st.+moving)|(\|lc)|(penalty))"</v>
      </c>
      <c r="AG158" s="1" t="str">
        <f t="shared" si="64"/>
        <v>NW</v>
      </c>
      <c r="AH158" s="81" t="str">
        <f t="shared" si="65"/>
        <v>"%USERPROFILE%\Documents\GitHub\eaglep3\Utilities\RefineRTDCRunTimes.py" --tripid 800-30 --locoid 4041 --swversion DE.1.0.9.0 --startMP 300:58619 --initTime 2017-05-30T04:59:18 --startdatetime 2017-05-30T05:03:59 --delay 1 --endMP 204:741 --enddatetime 2017-05-30T05:25:32 --enforcementcount 0 &gt;&gt;C:\Users\stu\Documents\GitHub\eaglep3-reporting\EC\2017-05-30-refined-times.txt</v>
      </c>
      <c r="AI158" s="99" t="str">
        <f t="shared" si="66"/>
        <v>echo {"issue":{"subject":"","project_id":79,"tracker_id":40,"status_id":1,"priority_id":2,"assigned_to_id":23,"start_date":"2017-05-30","description":"","custom_fields":[{"id":1,"name":"Subdivision","value":"NW"},{"id":4,"name":"Milepost","value":"0.0741"},{"id":17,"name":"Train ID","value":"800-30"},{"id":16,"name":"Locomotive ID","value":"4041"},{"id":130,"name":"Impact","value":""},{"id":150,"name":"Time of Event (Mountain Time)","value":"05:25:32"},{"id":151,"name":"Denver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20"/>
      <c r="AK158" s="47"/>
      <c r="AL158" s="47"/>
      <c r="AM158" s="145" t="str">
        <f t="shared" si="67"/>
        <v>start /low /b %USERPROFILE%\Documents\GitHub\eaglep3\Utilities\DownloadLogsFromS3.py --loco 4041 --day 2017-05-30</v>
      </c>
      <c r="AN158" s="154" t="str">
        <f t="shared" si="68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11:25:32"},{"id":29,"name":"Sharepoint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9" spans="1:91" s="20" customFormat="1" x14ac:dyDescent="0.25">
      <c r="A159" s="32" t="s">
        <v>690</v>
      </c>
      <c r="B159" s="7">
        <v>4042</v>
      </c>
      <c r="C159" s="21" t="s">
        <v>204</v>
      </c>
      <c r="D159" s="21" t="s">
        <v>942</v>
      </c>
      <c r="E159" s="13">
        <v>42885.240370370368</v>
      </c>
      <c r="F159" s="13">
        <v>42885.243969907409</v>
      </c>
      <c r="G159" s="7">
        <v>2</v>
      </c>
      <c r="H159" s="21" t="s">
        <v>615</v>
      </c>
      <c r="I159" s="13">
        <v>42885.253298611111</v>
      </c>
      <c r="J159" s="7">
        <v>0</v>
      </c>
      <c r="K159" s="92" t="str">
        <f t="shared" si="52"/>
        <v>4041/4042</v>
      </c>
      <c r="L159" s="21" t="str">
        <f>VLOOKUP(A159,'Trips&amp;Operators'!$C$1:$G$99999,5,FALSE)</f>
        <v>LAMAR NEKESHA</v>
      </c>
      <c r="M159" s="6">
        <f t="shared" si="53"/>
        <v>9.3287037016125396E-3</v>
      </c>
      <c r="N159" s="7">
        <f t="shared" si="76"/>
        <v>13.433333330322057</v>
      </c>
      <c r="O159" s="7"/>
      <c r="P159" s="7"/>
      <c r="Q159" s="22"/>
      <c r="R159" s="173"/>
      <c r="S159" s="176">
        <f t="shared" si="70"/>
        <v>1</v>
      </c>
      <c r="T159" s="202" t="str">
        <f t="shared" si="54"/>
        <v>NorthBound</v>
      </c>
      <c r="U159" s="202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203" t="str">
        <f t="shared" si="55"/>
        <v>https://d0f6bd738d7f1b3e5a7ca70fe4ff75f0.us-east-1.aws.found.io/app/kibana#/discover/Steve-Slow-Train-Analysis-(2080s-and-2083s)?_g=(refreshInterval:(display:Off,pause:!f,section:0,value:0),time:(from:'2017-05-30T04:46:08-0600',mode:absolute,to:'2017-05-30T07:04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59" s="204" t="str">
        <f t="shared" si="56"/>
        <v>N</v>
      </c>
      <c r="X159" s="204">
        <f t="shared" ref="X159:X177" si="79">VALUE(LEFT(AD159,4))-VALUE(LEFT(AD158,4))</f>
        <v>1</v>
      </c>
      <c r="Y159" s="204">
        <f t="shared" si="77"/>
        <v>0.1037</v>
      </c>
      <c r="Z159" s="204">
        <f t="shared" si="78"/>
        <v>5.8914</v>
      </c>
      <c r="AA159" s="204">
        <f t="shared" si="60"/>
        <v>5.7877000000000001</v>
      </c>
      <c r="AB159" s="57" t="e">
        <f>VLOOKUP(A159,Enforcements!$C$7:$K$13,8,0)</f>
        <v>#N/A</v>
      </c>
      <c r="AC159" s="53" t="e">
        <f>VLOOKUP(A159,Enforcements!$C$7:$E$13,3,0)</f>
        <v>#N/A</v>
      </c>
      <c r="AD159" s="54" t="str">
        <f t="shared" si="61"/>
        <v>0801-30</v>
      </c>
      <c r="AE159" s="80" t="str">
        <f t="shared" si="62"/>
        <v>aws s3 cp s3://rtdc.mdm.uploadarchive.raw/RTDC4042/ "%USERPROFILE%\AppData\Local\Temp\OnboardLogs"\RTDC4042\2017-05-30 --exclude "*" --recursive --include "*20170530*" &amp; "%USERPROFILE%\Documents\GitHub\mrs-test-scripts\Headless Mode &amp; Sideloading\WalkAndUnGZ.bat" "%USERPROFILE%\AppData\Local\Temp\OnboardLogs"\RTDC4042\2017-05-30 &amp; aws s3 cp s3://rtdc.mdm.uploadarchive.raw/RTDC4042/ "%USERPROFILE%\AppData\Local\Temp\OnboardLogs"\RTDC4042\2017-05-31 --exclude "*" --recursive --include "*20170531*" &amp; "%USERPROFILE%\Documents\GitHub\mrs-test-scripts\Headless Mode &amp; Sideloading\WalkAndUnGZ.bat" "%USERPROFILE%\AppData\Local\Temp\OnboardLogs"\RTDC4042\2017-05-31</v>
      </c>
      <c r="AF159" s="77" t="str">
        <f t="shared" si="63"/>
        <v>"C:\Program Files (x86)\AstroGrep\AstroGrep.exe" /e /r /s /spath="%USERPROFILE%\AppData\Local\Temp\OnboardLogs" /stypes="app*4042*20170530*" /stext=" 12:.+((SYSTEM_STATE.+slice.+state.+changed )|(ment ac)|(multiple cpu faults)|(system.+state.+changed )|(\[timeout)|(PRM\|1\|D)|(kpr)|(kdp)|(train st.+moving)|(\|lc)|(penalty))"</v>
      </c>
      <c r="AG159" s="1" t="str">
        <f t="shared" si="64"/>
        <v>NW</v>
      </c>
      <c r="AH159" s="81" t="str">
        <f t="shared" si="65"/>
        <v>"%USERPROFILE%\Documents\GitHub\eaglep3\Utilities\RefineRTDCRunTimes.py" --tripid 801-30 --locoid 4042 --swversion DE.1.0.9.0 --startMP 204:1037 --initTime 2017-05-30T05:46:08 --startdatetime 2017-05-30T05:51:19 --delay 2 --endMP 300:58914 --enddatetime 2017-05-30T06:04:45 --enforcementcount 0 &gt;&gt;C:\Users\stu\Documents\GitHub\eaglep3-reporting\EC\2017-05-30-refined-times.txt</v>
      </c>
      <c r="AI159" s="99" t="str">
        <f t="shared" si="66"/>
        <v>echo {"issue":{"subject":"","project_id":79,"tracker_id":40,"status_id":1,"priority_id":2,"assigned_to_id":23,"start_date":"2017-05-30","description":"","custom_fields":[{"id":1,"name":"Subdivision","value":"NW"},{"id":4,"name":"Milepost","value":"5.8914"},{"id":17,"name":"Train ID","value":"801-30"},{"id":16,"name":"Locomotive ID","value":"4042"},{"id":130,"name":"Impact","value":""},{"id":150,"name":"Time of Event (Mountain Time)","value":"06:04:45"},{"id":151,"name":"Denver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9" s="47"/>
      <c r="AL159" s="47"/>
      <c r="AM159" s="145" t="str">
        <f t="shared" si="67"/>
        <v>start /low /b %USERPROFILE%\Documents\GitHub\eaglep3\Utilities\DownloadLogsFromS3.py --loco 4042 --day 2017-05-30</v>
      </c>
      <c r="AN159" s="154" t="str">
        <f t="shared" si="68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12:04:45"},{"id":29,"name":"Sharepoint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x14ac:dyDescent="0.25">
      <c r="A160" s="32" t="s">
        <v>639</v>
      </c>
      <c r="B160" s="7">
        <v>4041</v>
      </c>
      <c r="C160" s="21" t="s">
        <v>204</v>
      </c>
      <c r="D160" s="21" t="s">
        <v>943</v>
      </c>
      <c r="E160" s="13">
        <v>42885.25440972222</v>
      </c>
      <c r="F160" s="13">
        <v>42885.255740740744</v>
      </c>
      <c r="G160" s="7">
        <v>1</v>
      </c>
      <c r="H160" s="21" t="s">
        <v>944</v>
      </c>
      <c r="I160" s="13">
        <v>42885.268425925926</v>
      </c>
      <c r="J160" s="7">
        <v>0</v>
      </c>
      <c r="K160" s="92" t="str">
        <f t="shared" si="52"/>
        <v>4041/4042</v>
      </c>
      <c r="L160" s="21" t="str">
        <f>VLOOKUP(A160,'Trips&amp;Operators'!$C$1:$G$99999,5,FALSE)</f>
        <v>LAMAR NEKESHA</v>
      </c>
      <c r="M160" s="6">
        <f t="shared" si="53"/>
        <v>1.2685185181908309E-2</v>
      </c>
      <c r="N160" s="7">
        <f t="shared" si="76"/>
        <v>18.266666661947966</v>
      </c>
      <c r="O160" s="7"/>
      <c r="P160" s="7"/>
      <c r="Q160" s="22"/>
      <c r="R160" s="173"/>
      <c r="S160" s="176">
        <f t="shared" si="70"/>
        <v>1</v>
      </c>
      <c r="T160" s="202" t="str">
        <f t="shared" si="54"/>
        <v>Southbound</v>
      </c>
      <c r="U160" s="202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203" t="str">
        <f t="shared" si="55"/>
        <v>https://d0f6bd738d7f1b3e5a7ca70fe4ff75f0.us-east-1.aws.found.io/app/kibana#/discover/Steve-Slow-Train-Analysis-(2080s-and-2083s)?_g=(refreshInterval:(display:Off,pause:!f,section:0,value:0),time:(from:'2017-05-30T05:06:21-0600',mode:absolute,to:'2017-05-30T07:26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60" s="204" t="str">
        <f t="shared" si="56"/>
        <v>N</v>
      </c>
      <c r="X160" s="204">
        <f t="shared" si="79"/>
        <v>1</v>
      </c>
      <c r="Y160" s="204">
        <f t="shared" si="77"/>
        <v>5.8596000000000004</v>
      </c>
      <c r="Z160" s="204">
        <f t="shared" si="78"/>
        <v>7.1999999999999995E-2</v>
      </c>
      <c r="AA160" s="204">
        <f t="shared" si="60"/>
        <v>5.7876000000000003</v>
      </c>
      <c r="AB160" s="57" t="e">
        <f>VLOOKUP(A160,Enforcements!$C$7:$K$13,8,0)</f>
        <v>#N/A</v>
      </c>
      <c r="AC160" s="53" t="e">
        <f>VLOOKUP(A160,Enforcements!$C$7:$E$13,3,0)</f>
        <v>#N/A</v>
      </c>
      <c r="AD160" s="54" t="str">
        <f t="shared" si="61"/>
        <v>0802-30</v>
      </c>
      <c r="AE160" s="80" t="str">
        <f t="shared" si="62"/>
        <v>aws s3 cp s3://rtdc.mdm.uploadarchive.raw/RTDC4041/ "%USERPROFILE%\AppData\Local\Temp\OnboardLogs"\RTDC4041\2017-05-30 --exclude "*" --recursive --include "*20170530*" &amp; "%USERPROFILE%\Documents\GitHub\mrs-test-scripts\Headless Mode &amp; Sideloading\WalkAndUnGZ.bat" "%USERPROFILE%\AppData\Local\Temp\OnboardLogs"\RTDC4041\2017-05-30 &amp; aws s3 cp s3://rtdc.mdm.uploadarchive.raw/RTDC4041/ "%USERPROFILE%\AppData\Local\Temp\OnboardLogs"\RTDC4041\2017-05-31 --exclude "*" --recursive --include "*20170531*" &amp; "%USERPROFILE%\Documents\GitHub\mrs-test-scripts\Headless Mode &amp; Sideloading\WalkAndUnGZ.bat" "%USERPROFILE%\AppData\Local\Temp\OnboardLogs"\RTDC4041\2017-05-31</v>
      </c>
      <c r="AF160" s="77" t="str">
        <f t="shared" si="63"/>
        <v>"C:\Program Files (x86)\AstroGrep\AstroGrep.exe" /e /r /s /spath="%USERPROFILE%\AppData\Local\Temp\OnboardLogs" /stypes="app*4041*20170530*" /stext=" 12:.+((SYSTEM_STATE.+slice.+state.+changed )|(ment ac)|(multiple cpu faults)|(system.+state.+changed )|(\[timeout)|(PRM\|1\|D)|(kpr)|(kdp)|(train st.+moving)|(\|lc)|(penalty))"</v>
      </c>
      <c r="AG160" s="1" t="str">
        <f t="shared" si="64"/>
        <v>NW</v>
      </c>
      <c r="AH160" s="81" t="str">
        <f t="shared" si="65"/>
        <v>"%USERPROFILE%\Documents\GitHub\eaglep3\Utilities\RefineRTDCRunTimes.py" --tripid 802-30 --locoid 4041 --swversion DE.1.0.9.0 --startMP 300:58596 --initTime 2017-05-30T06:06:21 --startdatetime 2017-05-30T06:08:16 --delay 1 --endMP 204:720 --enddatetime 2017-05-30T06:26:32 --enforcementcount 0 &gt;&gt;C:\Users\stu\Documents\GitHub\eaglep3-reporting\EC\2017-05-30-refined-times.txt</v>
      </c>
      <c r="AI160" s="99" t="str">
        <f t="shared" si="66"/>
        <v>echo {"issue":{"subject":"","project_id":79,"tracker_id":40,"status_id":1,"priority_id":2,"assigned_to_id":23,"start_date":"2017-05-30","description":"","custom_fields":[{"id":1,"name":"Subdivision","value":"NW"},{"id":4,"name":"Milepost","value":"0.072"},{"id":17,"name":"Train ID","value":"802-30"},{"id":16,"name":"Locomotive ID","value":"4041"},{"id":130,"name":"Impact","value":""},{"id":150,"name":"Time of Event (Mountain Time)","value":"06:26:32"},{"id":151,"name":"Denver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20"/>
      <c r="AK160" s="47"/>
      <c r="AL160" s="47"/>
      <c r="AM160" s="145" t="str">
        <f t="shared" si="67"/>
        <v>start /low /b %USERPROFILE%\Documents\GitHub\eaglep3\Utilities\DownloadLogsFromS3.py --loco 4041 --day 2017-05-30</v>
      </c>
      <c r="AN160" s="154" t="str">
        <f t="shared" si="68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12:26:32"},{"id":29,"name":"Sharepoint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1" spans="1:91" x14ac:dyDescent="0.25">
      <c r="A161" s="32" t="s">
        <v>640</v>
      </c>
      <c r="B161" s="7">
        <v>4050</v>
      </c>
      <c r="C161" s="21" t="s">
        <v>204</v>
      </c>
      <c r="D161" s="21" t="s">
        <v>627</v>
      </c>
      <c r="E161" s="13">
        <v>42885.260092592594</v>
      </c>
      <c r="F161" s="13">
        <v>42885.264780092592</v>
      </c>
      <c r="G161" s="7">
        <v>1</v>
      </c>
      <c r="H161" s="21" t="s">
        <v>624</v>
      </c>
      <c r="I161" s="13">
        <v>42885.274664351855</v>
      </c>
      <c r="J161" s="7">
        <v>0</v>
      </c>
      <c r="K161" s="92" t="str">
        <f t="shared" si="52"/>
        <v>4049/4050</v>
      </c>
      <c r="L161" s="21" t="str">
        <f>VLOOKUP(A161,'Trips&amp;Operators'!$C$1:$G$99999,5,FALSE)</f>
        <v>YANG JAN</v>
      </c>
      <c r="M161" s="6">
        <f t="shared" si="53"/>
        <v>9.8842592633445747E-3</v>
      </c>
      <c r="N161" s="7">
        <f t="shared" si="76"/>
        <v>14.233333339216188</v>
      </c>
      <c r="O161" s="7"/>
      <c r="P161" s="7"/>
      <c r="Q161" s="22"/>
      <c r="R161" s="173"/>
      <c r="S161" s="176">
        <f t="shared" si="70"/>
        <v>1</v>
      </c>
      <c r="T161" s="202" t="str">
        <f t="shared" si="54"/>
        <v>NorthBound</v>
      </c>
      <c r="U161" s="202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03" t="str">
        <f t="shared" si="55"/>
        <v>https://d0f6bd738d7f1b3e5a7ca70fe4ff75f0.us-east-1.aws.found.io/app/kibana#/discover/Steve-Slow-Train-Analysis-(2080s-and-2083s)?_g=(refreshInterval:(display:Off,pause:!f,section:0,value:0),time:(from:'2017-05-30T05:14:32-0600',mode:absolute,to:'2017-05-30T07:35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61" s="204" t="str">
        <f t="shared" si="56"/>
        <v>N</v>
      </c>
      <c r="X161" s="204">
        <f t="shared" si="79"/>
        <v>1</v>
      </c>
      <c r="Y161" s="204">
        <f t="shared" si="77"/>
        <v>9.7100000000000006E-2</v>
      </c>
      <c r="Z161" s="204">
        <f t="shared" si="78"/>
        <v>5.8958000000000004</v>
      </c>
      <c r="AA161" s="204">
        <f t="shared" si="60"/>
        <v>5.7987000000000002</v>
      </c>
      <c r="AB161" s="57" t="e">
        <f>VLOOKUP(A161,Enforcements!$C$7:$K$13,8,0)</f>
        <v>#N/A</v>
      </c>
      <c r="AC161" s="53" t="e">
        <f>VLOOKUP(A161,Enforcements!$C$7:$E$13,3,0)</f>
        <v>#N/A</v>
      </c>
      <c r="AD161" s="54" t="str">
        <f t="shared" si="61"/>
        <v>0803-30</v>
      </c>
      <c r="AE161" s="80" t="str">
        <f t="shared" si="62"/>
        <v>aws s3 cp s3://rtdc.mdm.uploadarchive.raw/RTDC4050/ "%USERPROFILE%\AppData\Local\Temp\OnboardLogs"\RTDC4050\2017-05-30 --exclude "*" --recursive --include "*20170530*" &amp; "%USERPROFILE%\Documents\GitHub\mrs-test-scripts\Headless Mode &amp; Sideloading\WalkAndUnGZ.bat" "%USERPROFILE%\AppData\Local\Temp\OnboardLogs"\RTDC4050\2017-05-30 &amp; aws s3 cp s3://rtdc.mdm.uploadarchive.raw/RTDC4050/ "%USERPROFILE%\AppData\Local\Temp\OnboardLogs"\RTDC4050\2017-05-31 --exclude "*" --recursive --include "*20170531*" &amp; "%USERPROFILE%\Documents\GitHub\mrs-test-scripts\Headless Mode &amp; Sideloading\WalkAndUnGZ.bat" "%USERPROFILE%\AppData\Local\Temp\OnboardLogs"\RTDC4050\2017-05-31</v>
      </c>
      <c r="AF161" s="77" t="str">
        <f t="shared" si="63"/>
        <v>"C:\Program Files (x86)\AstroGrep\AstroGrep.exe" /e /r /s /spath="%USERPROFILE%\AppData\Local\Temp\OnboardLogs" /stypes="app*4050*20170530*" /stext=" 12:.+((SYSTEM_STATE.+slice.+state.+changed )|(ment ac)|(multiple cpu faults)|(system.+state.+changed )|(\[timeout)|(PRM\|1\|D)|(kpr)|(kdp)|(train st.+moving)|(\|lc)|(penalty))"</v>
      </c>
      <c r="AG161" s="1" t="str">
        <f t="shared" si="64"/>
        <v>NW</v>
      </c>
      <c r="AH161" s="81" t="str">
        <f t="shared" si="65"/>
        <v>"%USERPROFILE%\Documents\GitHub\eaglep3\Utilities\RefineRTDCRunTimes.py" --tripid 803-30 --locoid 4050 --swversion DE.1.0.9.0 --startMP 204:971 --initTime 2017-05-30T06:14:32 --startdatetime 2017-05-30T06:21:17 --delay 1 --endMP 300:58958 --enddatetime 2017-05-30T06:35:31 --enforcementcount 0 &gt;&gt;C:\Users\stu\Documents\GitHub\eaglep3-reporting\EC\2017-05-30-refined-times.txt</v>
      </c>
      <c r="AI161" s="99" t="str">
        <f t="shared" si="66"/>
        <v>echo {"issue":{"subject":"","project_id":79,"tracker_id":40,"status_id":1,"priority_id":2,"assigned_to_id":23,"start_date":"2017-05-30","description":"","custom_fields":[{"id":1,"name":"Subdivision","value":"NW"},{"id":4,"name":"Milepost","value":"5.8958"},{"id":17,"name":"Train ID","value":"803-30"},{"id":16,"name":"Locomotive ID","value":"4050"},{"id":130,"name":"Impact","value":""},{"id":150,"name":"Time of Event (Mountain Time)","value":"06:35:31"},{"id":151,"name":"Denver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20"/>
      <c r="AK161" s="47"/>
      <c r="AL161" s="47"/>
      <c r="AM161" s="145" t="str">
        <f t="shared" si="67"/>
        <v>start /low /b %USERPROFILE%\Documents\GitHub\eaglep3\Utilities\DownloadLogsFromS3.py --loco 4050 --day 2017-05-30</v>
      </c>
      <c r="AN161" s="154" t="str">
        <f t="shared" si="68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12:35:31"},{"id":29,"name":"Sharepoint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2" spans="1:91" s="20" customFormat="1" x14ac:dyDescent="0.25">
      <c r="A162" s="32" t="s">
        <v>700</v>
      </c>
      <c r="B162" s="7">
        <v>4049</v>
      </c>
      <c r="C162" s="21" t="s">
        <v>204</v>
      </c>
      <c r="D162" s="21" t="s">
        <v>618</v>
      </c>
      <c r="E162" s="13">
        <v>42885.275879629633</v>
      </c>
      <c r="F162" s="13">
        <v>42885.277928240743</v>
      </c>
      <c r="G162" s="7">
        <v>1</v>
      </c>
      <c r="H162" s="21" t="s">
        <v>538</v>
      </c>
      <c r="I162" s="13">
        <v>42885.288738425923</v>
      </c>
      <c r="J162" s="7">
        <v>0</v>
      </c>
      <c r="K162" s="92" t="str">
        <f t="shared" si="52"/>
        <v>4049/4050</v>
      </c>
      <c r="L162" s="21" t="str">
        <f>VLOOKUP(A162,'Trips&amp;Operators'!$C$1:$G$99999,5,FALSE)</f>
        <v>YANG JAN</v>
      </c>
      <c r="M162" s="6">
        <f t="shared" si="53"/>
        <v>1.081018518016208E-2</v>
      </c>
      <c r="N162" s="7">
        <f t="shared" si="76"/>
        <v>15.566666659433395</v>
      </c>
      <c r="O162" s="7"/>
      <c r="P162" s="7"/>
      <c r="Q162" s="22"/>
      <c r="R162" s="173"/>
      <c r="S162" s="176">
        <f t="shared" si="70"/>
        <v>1</v>
      </c>
      <c r="T162" s="202" t="str">
        <f t="shared" si="54"/>
        <v>Southbound</v>
      </c>
      <c r="U162" s="202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03" t="str">
        <f t="shared" si="55"/>
        <v>https://d0f6bd738d7f1b3e5a7ca70fe4ff75f0.us-east-1.aws.found.io/app/kibana#/discover/Steve-Slow-Train-Analysis-(2080s-and-2083s)?_g=(refreshInterval:(display:Off,pause:!f,section:0,value:0),time:(from:'2017-05-30T05:37:16-0600',mode:absolute,to:'2017-05-30T07:55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62" s="204" t="str">
        <f t="shared" si="56"/>
        <v>N</v>
      </c>
      <c r="X162" s="204">
        <f t="shared" si="79"/>
        <v>1</v>
      </c>
      <c r="Y162" s="204">
        <f t="shared" si="77"/>
        <v>5.8653000000000004</v>
      </c>
      <c r="Z162" s="204">
        <f t="shared" si="78"/>
        <v>6.6799999999999998E-2</v>
      </c>
      <c r="AA162" s="204">
        <f t="shared" si="60"/>
        <v>5.7985000000000007</v>
      </c>
      <c r="AB162" s="57" t="e">
        <f>VLOOKUP(A162,Enforcements!$C$7:$K$13,8,0)</f>
        <v>#N/A</v>
      </c>
      <c r="AC162" s="53" t="e">
        <f>VLOOKUP(A162,Enforcements!$C$7:$E$13,3,0)</f>
        <v>#N/A</v>
      </c>
      <c r="AD162" s="54" t="str">
        <f t="shared" si="61"/>
        <v>0804-30</v>
      </c>
      <c r="AE162" s="80" t="str">
        <f t="shared" si="62"/>
        <v>aws s3 cp s3://rtdc.mdm.uploadarchive.raw/RTDC4049/ "%USERPROFILE%\AppData\Local\Temp\OnboardLogs"\RTDC4049\2017-05-30 --exclude "*" --recursive --include "*20170530*" &amp; "%USERPROFILE%\Documents\GitHub\mrs-test-scripts\Headless Mode &amp; Sideloading\WalkAndUnGZ.bat" "%USERPROFILE%\AppData\Local\Temp\OnboardLogs"\RTDC4049\2017-05-30 &amp; aws s3 cp s3://rtdc.mdm.uploadarchive.raw/RTDC4049/ "%USERPROFILE%\AppData\Local\Temp\OnboardLogs"\RTDC4049\2017-05-31 --exclude "*" --recursive --include "*20170531*" &amp; "%USERPROFILE%\Documents\GitHub\mrs-test-scripts\Headless Mode &amp; Sideloading\WalkAndUnGZ.bat" "%USERPROFILE%\AppData\Local\Temp\OnboardLogs"\RTDC4049\2017-05-31</v>
      </c>
      <c r="AF162" s="77" t="str">
        <f t="shared" si="63"/>
        <v>"C:\Program Files (x86)\AstroGrep\AstroGrep.exe" /e /r /s /spath="%USERPROFILE%\AppData\Local\Temp\OnboardLogs" /stypes="app*4049*20170530*" /stext=" 12:.+((SYSTEM_STATE.+slice.+state.+changed )|(ment ac)|(multiple cpu faults)|(system.+state.+changed )|(\[timeout)|(PRM\|1\|D)|(kpr)|(kdp)|(train st.+moving)|(\|lc)|(penalty))"</v>
      </c>
      <c r="AG162" s="1" t="str">
        <f t="shared" si="64"/>
        <v>NW</v>
      </c>
      <c r="AH162" s="81" t="str">
        <f t="shared" si="65"/>
        <v>"%USERPROFILE%\Documents\GitHub\eaglep3\Utilities\RefineRTDCRunTimes.py" --tripid 804-30 --locoid 4049 --swversion DE.1.0.9.0 --startMP 300:58653 --initTime 2017-05-30T06:37:16 --startdatetime 2017-05-30T06:40:13 --delay 1 --endMP 204:668 --enddatetime 2017-05-30T06:55:47 --enforcementcount 0 &gt;&gt;C:\Users\stu\Documents\GitHub\eaglep3-reporting\EC\2017-05-30-refined-times.txt</v>
      </c>
      <c r="AI162" s="99" t="str">
        <f t="shared" si="66"/>
        <v>echo {"issue":{"subject":"","project_id":79,"tracker_id":40,"status_id":1,"priority_id":2,"assigned_to_id":23,"start_date":"2017-05-30","description":"","custom_fields":[{"id":1,"name":"Subdivision","value":"NW"},{"id":4,"name":"Milepost","value":"0.0668"},{"id":17,"name":"Train ID","value":"804-30"},{"id":16,"name":"Locomotive ID","value":"4049"},{"id":130,"name":"Impact","value":""},{"id":150,"name":"Time of Event (Mountain Time)","value":"06:55:47"},{"id":151,"name":"Denver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2" s="47"/>
      <c r="AL162" s="47"/>
      <c r="AM162" s="145" t="str">
        <f t="shared" si="67"/>
        <v>start /low /b %USERPROFILE%\Documents\GitHub\eaglep3\Utilities\DownloadLogsFromS3.py --loco 4049 --day 2017-05-30</v>
      </c>
      <c r="AN162" s="154" t="str">
        <f t="shared" si="68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12:55:47"},{"id":29,"name":"Sharepoint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x14ac:dyDescent="0.25">
      <c r="A163" s="32" t="s">
        <v>703</v>
      </c>
      <c r="B163" s="7">
        <v>4042</v>
      </c>
      <c r="C163" s="21" t="s">
        <v>204</v>
      </c>
      <c r="D163" s="21" t="s">
        <v>540</v>
      </c>
      <c r="E163" s="13">
        <v>42885.282453703701</v>
      </c>
      <c r="F163" s="13">
        <v>42885.28570601852</v>
      </c>
      <c r="G163" s="7">
        <v>1</v>
      </c>
      <c r="H163" s="21" t="s">
        <v>945</v>
      </c>
      <c r="I163" s="13">
        <v>42885.295185185183</v>
      </c>
      <c r="J163" s="7">
        <v>0</v>
      </c>
      <c r="K163" s="92" t="str">
        <f t="shared" si="52"/>
        <v>4041/4042</v>
      </c>
      <c r="L163" s="21" t="str">
        <f>VLOOKUP(A163,'Trips&amp;Operators'!$C$1:$G$99999,5,FALSE)</f>
        <v>LAMAR NEKESHA</v>
      </c>
      <c r="M163" s="6">
        <f t="shared" si="53"/>
        <v>9.4791666633682325E-3</v>
      </c>
      <c r="N163" s="7">
        <f t="shared" si="76"/>
        <v>13.649999995250255</v>
      </c>
      <c r="O163" s="7"/>
      <c r="P163" s="7"/>
      <c r="Q163" s="22"/>
      <c r="R163" s="173"/>
      <c r="S163" s="176">
        <f t="shared" si="70"/>
        <v>1</v>
      </c>
      <c r="T163" s="202" t="str">
        <f t="shared" si="54"/>
        <v>NorthBound</v>
      </c>
      <c r="U163" s="202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03" t="str">
        <f t="shared" si="55"/>
        <v>https://d0f6bd738d7f1b3e5a7ca70fe4ff75f0.us-east-1.aws.found.io/app/kibana#/discover/Steve-Slow-Train-Analysis-(2080s-and-2083s)?_g=(refreshInterval:(display:Off,pause:!f,section:0,value:0),time:(from:'2017-05-30T05:46:44-0600',mode:absolute,to:'2017-05-30T08:05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63" s="204" t="str">
        <f t="shared" si="56"/>
        <v>N</v>
      </c>
      <c r="X163" s="204">
        <f t="shared" si="79"/>
        <v>1</v>
      </c>
      <c r="Y163" s="204">
        <f t="shared" si="77"/>
        <v>9.9900000000000003E-2</v>
      </c>
      <c r="Z163" s="204">
        <f t="shared" si="78"/>
        <v>5.8935000000000004</v>
      </c>
      <c r="AA163" s="204">
        <f t="shared" si="60"/>
        <v>5.7936000000000005</v>
      </c>
      <c r="AB163" s="57" t="e">
        <f>VLOOKUP(A163,Enforcements!$C$7:$K$13,8,0)</f>
        <v>#N/A</v>
      </c>
      <c r="AC163" s="53" t="e">
        <f>VLOOKUP(A163,Enforcements!$C$7:$E$13,3,0)</f>
        <v>#N/A</v>
      </c>
      <c r="AD163" s="54" t="str">
        <f t="shared" si="61"/>
        <v>0805-30</v>
      </c>
      <c r="AE163" s="80" t="str">
        <f t="shared" si="62"/>
        <v>aws s3 cp s3://rtdc.mdm.uploadarchive.raw/RTDC4042/ "%USERPROFILE%\AppData\Local\Temp\OnboardLogs"\RTDC4042\2017-05-30 --exclude "*" --recursive --include "*20170530*" &amp; "%USERPROFILE%\Documents\GitHub\mrs-test-scripts\Headless Mode &amp; Sideloading\WalkAndUnGZ.bat" "%USERPROFILE%\AppData\Local\Temp\OnboardLogs"\RTDC4042\2017-05-30 &amp; aws s3 cp s3://rtdc.mdm.uploadarchive.raw/RTDC4042/ "%USERPROFILE%\AppData\Local\Temp\OnboardLogs"\RTDC4042\2017-05-31 --exclude "*" --recursive --include "*20170531*" &amp; "%USERPROFILE%\Documents\GitHub\mrs-test-scripts\Headless Mode &amp; Sideloading\WalkAndUnGZ.bat" "%USERPROFILE%\AppData\Local\Temp\OnboardLogs"\RTDC4042\2017-05-31</v>
      </c>
      <c r="AF163" s="77" t="str">
        <f t="shared" si="63"/>
        <v>"C:\Program Files (x86)\AstroGrep\AstroGrep.exe" /e /r /s /spath="%USERPROFILE%\AppData\Local\Temp\OnboardLogs" /stypes="app*4042*20170530*" /stext=" 13:.+((SYSTEM_STATE.+slice.+state.+changed )|(ment ac)|(multiple cpu faults)|(system.+state.+changed )|(\[timeout)|(PRM\|1\|D)|(kpr)|(kdp)|(train st.+moving)|(\|lc)|(penalty))"</v>
      </c>
      <c r="AG163" s="1" t="str">
        <f t="shared" si="64"/>
        <v>NW</v>
      </c>
      <c r="AH163" s="81" t="str">
        <f t="shared" si="65"/>
        <v>"%USERPROFILE%\Documents\GitHub\eaglep3\Utilities\RefineRTDCRunTimes.py" --tripid 805-30 --locoid 4042 --swversion DE.1.0.9.0 --startMP 204:999 --initTime 2017-05-30T06:46:44 --startdatetime 2017-05-30T06:51:25 --delay 1 --endMP 300:58935 --enddatetime 2017-05-30T07:05:04 --enforcementcount 0 &gt;&gt;C:\Users\stu\Documents\GitHub\eaglep3-reporting\EC\2017-05-30-refined-times.txt</v>
      </c>
      <c r="AI163" s="99" t="str">
        <f t="shared" si="66"/>
        <v>echo {"issue":{"subject":"","project_id":79,"tracker_id":40,"status_id":1,"priority_id":2,"assigned_to_id":23,"start_date":"2017-05-30","description":"","custom_fields":[{"id":1,"name":"Subdivision","value":"NW"},{"id":4,"name":"Milepost","value":"5.8935"},{"id":17,"name":"Train ID","value":"805-30"},{"id":16,"name":"Locomotive ID","value":"4042"},{"id":130,"name":"Impact","value":""},{"id":150,"name":"Time of Event (Mountain Time)","value":"07:05:04"},{"id":151,"name":"Denver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20"/>
      <c r="AK163" s="47"/>
      <c r="AL163" s="47"/>
      <c r="AM163" s="145" t="str">
        <f t="shared" si="67"/>
        <v>start /low /b %USERPROFILE%\Documents\GitHub\eaglep3\Utilities\DownloadLogsFromS3.py --loco 4042 --day 2017-05-30</v>
      </c>
      <c r="AN163" s="154" t="str">
        <f t="shared" si="68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13:05:04"},{"id":29,"name":"Sharepoint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4" spans="1:91" s="20" customFormat="1" x14ac:dyDescent="0.25">
      <c r="A164" s="32" t="s">
        <v>702</v>
      </c>
      <c r="B164" s="7">
        <v>4041</v>
      </c>
      <c r="C164" s="21" t="s">
        <v>204</v>
      </c>
      <c r="D164" s="21" t="s">
        <v>626</v>
      </c>
      <c r="E164" s="13">
        <v>42885.296180555553</v>
      </c>
      <c r="F164" s="13">
        <v>42885.297939814816</v>
      </c>
      <c r="G164" s="7">
        <v>1</v>
      </c>
      <c r="H164" s="21" t="s">
        <v>946</v>
      </c>
      <c r="I164" s="13">
        <v>42885.309282407405</v>
      </c>
      <c r="J164" s="7">
        <v>0</v>
      </c>
      <c r="K164" s="92" t="str">
        <f t="shared" si="52"/>
        <v>4041/4042</v>
      </c>
      <c r="L164" s="21" t="str">
        <f>VLOOKUP(A164,'Trips&amp;Operators'!$C$1:$G$99999,5,FALSE)</f>
        <v>LAMAR NEKESHA</v>
      </c>
      <c r="M164" s="6">
        <f t="shared" si="53"/>
        <v>1.134259258833481E-2</v>
      </c>
      <c r="N164" s="7">
        <f t="shared" si="76"/>
        <v>16.333333327202126</v>
      </c>
      <c r="O164" s="7"/>
      <c r="P164" s="7"/>
      <c r="Q164" s="22"/>
      <c r="R164" s="173"/>
      <c r="S164" s="176">
        <f t="shared" si="70"/>
        <v>1</v>
      </c>
      <c r="T164" s="202" t="str">
        <f t="shared" si="54"/>
        <v>Southbound</v>
      </c>
      <c r="U164" s="202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03" t="str">
        <f t="shared" si="55"/>
        <v>https://d0f6bd738d7f1b3e5a7ca70fe4ff75f0.us-east-1.aws.found.io/app/kibana#/discover/Steve-Slow-Train-Analysis-(2080s-and-2083s)?_g=(refreshInterval:(display:Off,pause:!f,section:0,value:0),time:(from:'2017-05-30T06:06:30-0600',mode:absolute,to:'2017-05-30T08:25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64" s="204" t="str">
        <f t="shared" si="56"/>
        <v>N</v>
      </c>
      <c r="X164" s="204">
        <f t="shared" si="79"/>
        <v>1</v>
      </c>
      <c r="Y164" s="204">
        <f t="shared" si="77"/>
        <v>5.8625999999999996</v>
      </c>
      <c r="Z164" s="204">
        <f t="shared" si="78"/>
        <v>7.7600000000000002E-2</v>
      </c>
      <c r="AA164" s="204">
        <f t="shared" si="60"/>
        <v>5.7849999999999993</v>
      </c>
      <c r="AB164" s="57" t="e">
        <f>VLOOKUP(A164,Enforcements!$C$7:$K$13,8,0)</f>
        <v>#N/A</v>
      </c>
      <c r="AC164" s="53" t="e">
        <f>VLOOKUP(A164,Enforcements!$C$7:$E$13,3,0)</f>
        <v>#N/A</v>
      </c>
      <c r="AD164" s="54" t="str">
        <f t="shared" si="61"/>
        <v>0806-30</v>
      </c>
      <c r="AE164" s="80" t="str">
        <f t="shared" si="62"/>
        <v>aws s3 cp s3://rtdc.mdm.uploadarchive.raw/RTDC4041/ "%USERPROFILE%\AppData\Local\Temp\OnboardLogs"\RTDC4041\2017-05-30 --exclude "*" --recursive --include "*20170530*" &amp; "%USERPROFILE%\Documents\GitHub\mrs-test-scripts\Headless Mode &amp; Sideloading\WalkAndUnGZ.bat" "%USERPROFILE%\AppData\Local\Temp\OnboardLogs"\RTDC4041\2017-05-30 &amp; aws s3 cp s3://rtdc.mdm.uploadarchive.raw/RTDC4041/ "%USERPROFILE%\AppData\Local\Temp\OnboardLogs"\RTDC4041\2017-05-31 --exclude "*" --recursive --include "*20170531*" &amp; "%USERPROFILE%\Documents\GitHub\mrs-test-scripts\Headless Mode &amp; Sideloading\WalkAndUnGZ.bat" "%USERPROFILE%\AppData\Local\Temp\OnboardLogs"\RTDC4041\2017-05-31</v>
      </c>
      <c r="AF164" s="77" t="str">
        <f t="shared" si="63"/>
        <v>"C:\Program Files (x86)\AstroGrep\AstroGrep.exe" /e /r /s /spath="%USERPROFILE%\AppData\Local\Temp\OnboardLogs" /stypes="app*4041*20170530*" /stext=" 13:.+((SYSTEM_STATE.+slice.+state.+changed )|(ment ac)|(multiple cpu faults)|(system.+state.+changed )|(\[timeout)|(PRM\|1\|D)|(kpr)|(kdp)|(train st.+moving)|(\|lc)|(penalty))"</v>
      </c>
      <c r="AG164" s="1" t="str">
        <f t="shared" si="64"/>
        <v>NW</v>
      </c>
      <c r="AH164" s="81" t="str">
        <f t="shared" si="65"/>
        <v>"%USERPROFILE%\Documents\GitHub\eaglep3\Utilities\RefineRTDCRunTimes.py" --tripid 806-30 --locoid 4041 --swversion DE.1.0.9.0 --startMP 300:58626 --initTime 2017-05-30T07:06:30 --startdatetime 2017-05-30T07:09:02 --delay 1 --endMP 204:776 --enddatetime 2017-05-30T07:25:22 --enforcementcount 0 &gt;&gt;C:\Users\stu\Documents\GitHub\eaglep3-reporting\EC\2017-05-30-refined-times.txt</v>
      </c>
      <c r="AI164" s="99" t="str">
        <f t="shared" si="66"/>
        <v>echo {"issue":{"subject":"","project_id":79,"tracker_id":40,"status_id":1,"priority_id":2,"assigned_to_id":23,"start_date":"2017-05-30","description":"","custom_fields":[{"id":1,"name":"Subdivision","value":"NW"},{"id":4,"name":"Milepost","value":"0.0776"},{"id":17,"name":"Train ID","value":"806-30"},{"id":16,"name":"Locomotive ID","value":"4041"},{"id":130,"name":"Impact","value":""},{"id":150,"name":"Time of Event (Mountain Time)","value":"07:25:22"},{"id":151,"name":"Denver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4" s="47"/>
      <c r="AL164" s="47"/>
      <c r="AM164" s="145" t="str">
        <f t="shared" si="67"/>
        <v>start /low /b %USERPROFILE%\Documents\GitHub\eaglep3\Utilities\DownloadLogsFromS3.py --loco 4041 --day 2017-05-30</v>
      </c>
      <c r="AN164" s="154" t="str">
        <f t="shared" si="68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13:25:22"},{"id":29,"name":"Sharepoint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x14ac:dyDescent="0.25">
      <c r="A165" s="32" t="s">
        <v>707</v>
      </c>
      <c r="B165" s="7">
        <v>4050</v>
      </c>
      <c r="C165" s="21" t="s">
        <v>204</v>
      </c>
      <c r="D165" s="21" t="s">
        <v>947</v>
      </c>
      <c r="E165" s="13">
        <v>42885.291516203702</v>
      </c>
      <c r="F165" s="13">
        <v>42885.306666666664</v>
      </c>
      <c r="G165" s="7">
        <v>0</v>
      </c>
      <c r="H165" s="21" t="s">
        <v>500</v>
      </c>
      <c r="I165" s="13">
        <v>42885.316296296296</v>
      </c>
      <c r="J165" s="7">
        <v>0</v>
      </c>
      <c r="K165" s="92" t="str">
        <f t="shared" si="52"/>
        <v>4049/4050</v>
      </c>
      <c r="L165" s="21" t="str">
        <f>VLOOKUP(A165,'Trips&amp;Operators'!$C$1:$G$99999,5,FALSE)</f>
        <v>YANG JAN</v>
      </c>
      <c r="M165" s="6">
        <f t="shared" si="53"/>
        <v>9.6296296323998831E-3</v>
      </c>
      <c r="N165" s="7">
        <f t="shared" si="76"/>
        <v>13.866666670655832</v>
      </c>
      <c r="O165" s="7"/>
      <c r="P165" s="7"/>
      <c r="Q165" s="22"/>
      <c r="R165" s="173"/>
      <c r="S165" s="176">
        <f t="shared" si="70"/>
        <v>1</v>
      </c>
      <c r="T165" s="202" t="str">
        <f t="shared" si="54"/>
        <v>NorthBound</v>
      </c>
      <c r="U165" s="202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03" t="str">
        <f t="shared" si="55"/>
        <v>https://d0f6bd738d7f1b3e5a7ca70fe4ff75f0.us-east-1.aws.found.io/app/kibana#/discover/Steve-Slow-Train-Analysis-(2080s-and-2083s)?_g=(refreshInterval:(display:Off,pause:!f,section:0,value:0),time:(from:'2017-05-30T05:59:47-0600',mode:absolute,to:'2017-05-30T08:35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65" s="204" t="str">
        <f t="shared" si="56"/>
        <v>N</v>
      </c>
      <c r="X165" s="204">
        <f t="shared" si="79"/>
        <v>1</v>
      </c>
      <c r="Y165" s="204">
        <f t="shared" si="77"/>
        <v>9.6199999999999994E-2</v>
      </c>
      <c r="Z165" s="204">
        <f t="shared" si="78"/>
        <v>5.8954000000000004</v>
      </c>
      <c r="AA165" s="204">
        <f t="shared" si="60"/>
        <v>5.7992000000000008</v>
      </c>
      <c r="AB165" s="57" t="e">
        <f>VLOOKUP(A165,Enforcements!$C$7:$K$13,8,0)</f>
        <v>#N/A</v>
      </c>
      <c r="AC165" s="53" t="e">
        <f>VLOOKUP(A165,Enforcements!$C$7:$E$13,3,0)</f>
        <v>#N/A</v>
      </c>
      <c r="AD165" s="54" t="str">
        <f t="shared" si="61"/>
        <v>0807-30</v>
      </c>
      <c r="AE165" s="80" t="str">
        <f t="shared" si="62"/>
        <v>aws s3 cp s3://rtdc.mdm.uploadarchive.raw/RTDC4050/ "%USERPROFILE%\AppData\Local\Temp\OnboardLogs"\RTDC4050\2017-05-30 --exclude "*" --recursive --include "*20170530*" &amp; "%USERPROFILE%\Documents\GitHub\mrs-test-scripts\Headless Mode &amp; Sideloading\WalkAndUnGZ.bat" "%USERPROFILE%\AppData\Local\Temp\OnboardLogs"\RTDC4050\2017-05-30 &amp; aws s3 cp s3://rtdc.mdm.uploadarchive.raw/RTDC4050/ "%USERPROFILE%\AppData\Local\Temp\OnboardLogs"\RTDC4050\2017-05-31 --exclude "*" --recursive --include "*20170531*" &amp; "%USERPROFILE%\Documents\GitHub\mrs-test-scripts\Headless Mode &amp; Sideloading\WalkAndUnGZ.bat" "%USERPROFILE%\AppData\Local\Temp\OnboardLogs"\RTDC4050\2017-05-31</v>
      </c>
      <c r="AF165" s="77" t="str">
        <f t="shared" si="63"/>
        <v>"C:\Program Files (x86)\AstroGrep\AstroGrep.exe" /e /r /s /spath="%USERPROFILE%\AppData\Local\Temp\OnboardLogs" /stypes="app*4050*20170530*" /stext=" 13:.+((SYSTEM_STATE.+slice.+state.+changed )|(ment ac)|(multiple cpu faults)|(system.+state.+changed )|(\[timeout)|(PRM\|1\|D)|(kpr)|(kdp)|(train st.+moving)|(\|lc)|(penalty))"</v>
      </c>
      <c r="AG165" s="1" t="str">
        <f t="shared" si="64"/>
        <v>NW</v>
      </c>
      <c r="AH165" s="81" t="str">
        <f t="shared" si="65"/>
        <v>"%USERPROFILE%\Documents\GitHub\eaglep3\Utilities\RefineRTDCRunTimes.py" --tripid 807-30 --locoid 4050 --swversion DE.1.0.9.0 --startMP 204:962 --initTime 2017-05-30T06:59:47 --startdatetime 2017-05-30T07:21:36 --delay 0 --endMP 300:58954 --enddatetime 2017-05-30T07:35:28 --enforcementcount 0 &gt;&gt;C:\Users\stu\Documents\GitHub\eaglep3-reporting\EC\2017-05-30-refined-times.txt</v>
      </c>
      <c r="AI165" s="99" t="str">
        <f t="shared" si="66"/>
        <v>echo {"issue":{"subject":"","project_id":79,"tracker_id":40,"status_id":1,"priority_id":2,"assigned_to_id":23,"start_date":"2017-05-30","description":"","custom_fields":[{"id":1,"name":"Subdivision","value":"NW"},{"id":4,"name":"Milepost","value":"5.8954"},{"id":17,"name":"Train ID","value":"807-30"},{"id":16,"name":"Locomotive ID","value":"4050"},{"id":130,"name":"Impact","value":""},{"id":150,"name":"Time of Event (Mountain Time)","value":"07:35:28"},{"id":151,"name":"Denver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20"/>
      <c r="AK165" s="47"/>
      <c r="AL165" s="47"/>
      <c r="AM165" s="145" t="str">
        <f t="shared" si="67"/>
        <v>start /low /b %USERPROFILE%\Documents\GitHub\eaglep3\Utilities\DownloadLogsFromS3.py --loco 4050 --day 2017-05-30</v>
      </c>
      <c r="AN165" s="154" t="str">
        <f t="shared" si="68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13:35:28"},{"id":29,"name":"Sharepoint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6" spans="1:91" s="20" customFormat="1" x14ac:dyDescent="0.25">
      <c r="A166" s="32" t="s">
        <v>713</v>
      </c>
      <c r="B166" s="7">
        <v>4049</v>
      </c>
      <c r="C166" s="21" t="s">
        <v>204</v>
      </c>
      <c r="D166" s="21" t="s">
        <v>948</v>
      </c>
      <c r="E166" s="13">
        <v>42885.317777777775</v>
      </c>
      <c r="F166" s="13">
        <v>42885.319606481484</v>
      </c>
      <c r="G166" s="7">
        <v>1</v>
      </c>
      <c r="H166" s="21" t="s">
        <v>949</v>
      </c>
      <c r="I166" s="13">
        <v>42885.330358796295</v>
      </c>
      <c r="J166" s="7">
        <v>0</v>
      </c>
      <c r="K166" s="92" t="str">
        <f t="shared" si="52"/>
        <v>4049/4050</v>
      </c>
      <c r="L166" s="21" t="str">
        <f>VLOOKUP(A166,'Trips&amp;Operators'!$C$1:$G$99999,5,FALSE)</f>
        <v>YANG JAN</v>
      </c>
      <c r="M166" s="6">
        <f t="shared" si="53"/>
        <v>1.0752314810815733E-2</v>
      </c>
      <c r="N166" s="7">
        <f t="shared" si="76"/>
        <v>15.483333327574655</v>
      </c>
      <c r="O166" s="7"/>
      <c r="P166" s="7"/>
      <c r="Q166" s="22"/>
      <c r="R166" s="173"/>
      <c r="S166" s="176">
        <f t="shared" si="70"/>
        <v>1</v>
      </c>
      <c r="T166" s="202" t="str">
        <f t="shared" si="54"/>
        <v>Southbound</v>
      </c>
      <c r="U166" s="202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03" t="str">
        <f t="shared" si="55"/>
        <v>https://d0f6bd738d7f1b3e5a7ca70fe4ff75f0.us-east-1.aws.found.io/app/kibana#/discover/Steve-Slow-Train-Analysis-(2080s-and-2083s)?_g=(refreshInterval:(display:Off,pause:!f,section:0,value:0),time:(from:'2017-05-30T06:37:36-0600',mode:absolute,to:'2017-05-30T08:55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66" s="204" t="str">
        <f t="shared" si="56"/>
        <v>N</v>
      </c>
      <c r="X166" s="204">
        <f t="shared" si="79"/>
        <v>1</v>
      </c>
      <c r="Y166" s="204">
        <f t="shared" si="77"/>
        <v>5.8643000000000001</v>
      </c>
      <c r="Z166" s="204">
        <f t="shared" si="78"/>
        <v>6.7699999999999996E-2</v>
      </c>
      <c r="AA166" s="204">
        <f t="shared" si="60"/>
        <v>5.7965999999999998</v>
      </c>
      <c r="AB166" s="57" t="e">
        <f>VLOOKUP(A166,Enforcements!$C$7:$K$13,8,0)</f>
        <v>#N/A</v>
      </c>
      <c r="AC166" s="53" t="e">
        <f>VLOOKUP(A166,Enforcements!$C$7:$E$13,3,0)</f>
        <v>#N/A</v>
      </c>
      <c r="AD166" s="54" t="str">
        <f t="shared" si="61"/>
        <v>0808-30</v>
      </c>
      <c r="AE166" s="80" t="str">
        <f t="shared" si="62"/>
        <v>aws s3 cp s3://rtdc.mdm.uploadarchive.raw/RTDC4049/ "%USERPROFILE%\AppData\Local\Temp\OnboardLogs"\RTDC4049\2017-05-30 --exclude "*" --recursive --include "*20170530*" &amp; "%USERPROFILE%\Documents\GitHub\mrs-test-scripts\Headless Mode &amp; Sideloading\WalkAndUnGZ.bat" "%USERPROFILE%\AppData\Local\Temp\OnboardLogs"\RTDC4049\2017-05-30 &amp; aws s3 cp s3://rtdc.mdm.uploadarchive.raw/RTDC4049/ "%USERPROFILE%\AppData\Local\Temp\OnboardLogs"\RTDC4049\2017-05-31 --exclude "*" --recursive --include "*20170531*" &amp; "%USERPROFILE%\Documents\GitHub\mrs-test-scripts\Headless Mode &amp; Sideloading\WalkAndUnGZ.bat" "%USERPROFILE%\AppData\Local\Temp\OnboardLogs"\RTDC4049\2017-05-31</v>
      </c>
      <c r="AF166" s="77" t="str">
        <f t="shared" si="63"/>
        <v>"C:\Program Files (x86)\AstroGrep\AstroGrep.exe" /e /r /s /spath="%USERPROFILE%\AppData\Local\Temp\OnboardLogs" /stypes="app*4049*20170530*" /stext=" 13:.+((SYSTEM_STATE.+slice.+state.+changed )|(ment ac)|(multiple cpu faults)|(system.+state.+changed )|(\[timeout)|(PRM\|1\|D)|(kpr)|(kdp)|(train st.+moving)|(\|lc)|(penalty))"</v>
      </c>
      <c r="AG166" s="1" t="str">
        <f t="shared" si="64"/>
        <v>NW</v>
      </c>
      <c r="AH166" s="81" t="str">
        <f t="shared" si="65"/>
        <v>"%USERPROFILE%\Documents\GitHub\eaglep3\Utilities\RefineRTDCRunTimes.py" --tripid 808-30 --locoid 4049 --swversion DE.1.0.9.0 --startMP 300:58643 --initTime 2017-05-30T07:37:36 --startdatetime 2017-05-30T07:40:14 --delay 1 --endMP 204:677 --enddatetime 2017-05-30T07:55:43 --enforcementcount 0 &gt;&gt;C:\Users\stu\Documents\GitHub\eaglep3-reporting\EC\2017-05-30-refined-times.txt</v>
      </c>
      <c r="AI166" s="99" t="str">
        <f t="shared" si="66"/>
        <v>echo {"issue":{"subject":"","project_id":79,"tracker_id":40,"status_id":1,"priority_id":2,"assigned_to_id":23,"start_date":"2017-05-30","description":"","custom_fields":[{"id":1,"name":"Subdivision","value":"NW"},{"id":4,"name":"Milepost","value":"0.0677"},{"id":17,"name":"Train ID","value":"808-30"},{"id":16,"name":"Locomotive ID","value":"4049"},{"id":130,"name":"Impact","value":""},{"id":150,"name":"Time of Event (Mountain Time)","value":"07:55:43"},{"id":151,"name":"Denver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6" s="47"/>
      <c r="AL166" s="47"/>
      <c r="AM166" s="145" t="str">
        <f t="shared" si="67"/>
        <v>start /low /b %USERPROFILE%\Documents\GitHub\eaglep3\Utilities\DownloadLogsFromS3.py --loco 4049 --day 2017-05-30</v>
      </c>
      <c r="AN166" s="154" t="str">
        <f t="shared" si="68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13:55:43"},{"id":29,"name":"Sharepoint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x14ac:dyDescent="0.25">
      <c r="A167" s="32" t="s">
        <v>712</v>
      </c>
      <c r="B167" s="7">
        <v>4042</v>
      </c>
      <c r="C167" s="21" t="s">
        <v>204</v>
      </c>
      <c r="D167" s="21" t="s">
        <v>950</v>
      </c>
      <c r="E167" s="13">
        <v>42885.316296296296</v>
      </c>
      <c r="F167" s="13">
        <v>42885.327245370368</v>
      </c>
      <c r="G167" s="7">
        <v>1</v>
      </c>
      <c r="H167" s="21" t="s">
        <v>625</v>
      </c>
      <c r="I167" s="13">
        <v>42885.336469907408</v>
      </c>
      <c r="J167" s="7">
        <v>0</v>
      </c>
      <c r="K167" s="92" t="str">
        <f t="shared" si="52"/>
        <v>4041/4042</v>
      </c>
      <c r="L167" s="21" t="str">
        <f>VLOOKUP(A167,'Trips&amp;Operators'!$C$1:$G$99999,5,FALSE)</f>
        <v>LAMAR NEKESHA</v>
      </c>
      <c r="M167" s="6">
        <f t="shared" si="53"/>
        <v>9.2245370396994986E-3</v>
      </c>
      <c r="N167" s="7">
        <f t="shared" si="76"/>
        <v>13.283333337167278</v>
      </c>
      <c r="O167" s="7"/>
      <c r="P167" s="7"/>
      <c r="Q167" s="22"/>
      <c r="R167" s="173"/>
      <c r="S167" s="176">
        <f t="shared" si="70"/>
        <v>1</v>
      </c>
      <c r="T167" s="202" t="str">
        <f t="shared" si="54"/>
        <v>NorthBound</v>
      </c>
      <c r="U167" s="202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03" t="str">
        <f t="shared" si="55"/>
        <v>https://d0f6bd738d7f1b3e5a7ca70fe4ff75f0.us-east-1.aws.found.io/app/kibana#/discover/Steve-Slow-Train-Analysis-(2080s-and-2083s)?_g=(refreshInterval:(display:Off,pause:!f,section:0,value:0),time:(from:'2017-05-30T06:35:28-0600',mode:absolute,to:'2017-05-30T09:04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67" s="204" t="str">
        <f t="shared" si="56"/>
        <v>N</v>
      </c>
      <c r="X167" s="204">
        <f t="shared" si="79"/>
        <v>1</v>
      </c>
      <c r="Y167" s="204">
        <f t="shared" si="77"/>
        <v>0.1069</v>
      </c>
      <c r="Z167" s="204">
        <f t="shared" si="78"/>
        <v>5.8948</v>
      </c>
      <c r="AA167" s="204">
        <f t="shared" si="60"/>
        <v>5.7879000000000005</v>
      </c>
      <c r="AB167" s="57" t="e">
        <f>VLOOKUP(A167,Enforcements!$C$7:$K$13,8,0)</f>
        <v>#N/A</v>
      </c>
      <c r="AC167" s="53" t="e">
        <f>VLOOKUP(A167,Enforcements!$C$7:$E$13,3,0)</f>
        <v>#N/A</v>
      </c>
      <c r="AD167" s="54" t="str">
        <f t="shared" si="61"/>
        <v>0809-30</v>
      </c>
      <c r="AE167" s="80" t="str">
        <f t="shared" si="62"/>
        <v>aws s3 cp s3://rtdc.mdm.uploadarchive.raw/RTDC4042/ "%USERPROFILE%\AppData\Local\Temp\OnboardLogs"\RTDC4042\2017-05-30 --exclude "*" --recursive --include "*20170530*" &amp; "%USERPROFILE%\Documents\GitHub\mrs-test-scripts\Headless Mode &amp; Sideloading\WalkAndUnGZ.bat" "%USERPROFILE%\AppData\Local\Temp\OnboardLogs"\RTDC4042\2017-05-30 &amp; aws s3 cp s3://rtdc.mdm.uploadarchive.raw/RTDC4042/ "%USERPROFILE%\AppData\Local\Temp\OnboardLogs"\RTDC4042\2017-05-31 --exclude "*" --recursive --include "*20170531*" &amp; "%USERPROFILE%\Documents\GitHub\mrs-test-scripts\Headless Mode &amp; Sideloading\WalkAndUnGZ.bat" "%USERPROFILE%\AppData\Local\Temp\OnboardLogs"\RTDC4042\2017-05-31</v>
      </c>
      <c r="AF167" s="77" t="str">
        <f t="shared" si="63"/>
        <v>"C:\Program Files (x86)\AstroGrep\AstroGrep.exe" /e /r /s /spath="%USERPROFILE%\AppData\Local\Temp\OnboardLogs" /stypes="app*4042*20170530*" /stext=" 14:.+((SYSTEM_STATE.+slice.+state.+changed )|(ment ac)|(multiple cpu faults)|(system.+state.+changed )|(\[timeout)|(PRM\|1\|D)|(kpr)|(kdp)|(train st.+moving)|(\|lc)|(penalty))"</v>
      </c>
      <c r="AG167" s="1" t="str">
        <f t="shared" si="64"/>
        <v>NW</v>
      </c>
      <c r="AH167" s="81" t="str">
        <f t="shared" si="65"/>
        <v>"%USERPROFILE%\Documents\GitHub\eaglep3\Utilities\RefineRTDCRunTimes.py" --tripid 809-30 --locoid 4042 --swversion DE.1.0.9.0 --startMP 204:1069 --initTime 2017-05-30T07:35:28 --startdatetime 2017-05-30T07:51:14 --delay 1 --endMP 300:58948 --enddatetime 2017-05-30T08:04:31 --enforcementcount 0 &gt;&gt;C:\Users\stu\Documents\GitHub\eaglep3-reporting\EC\2017-05-30-refined-times.txt</v>
      </c>
      <c r="AI167" s="99" t="str">
        <f t="shared" si="66"/>
        <v>echo {"issue":{"subject":"","project_id":79,"tracker_id":40,"status_id":1,"priority_id":2,"assigned_to_id":23,"start_date":"2017-05-30","description":"","custom_fields":[{"id":1,"name":"Subdivision","value":"NW"},{"id":4,"name":"Milepost","value":"5.8948"},{"id":17,"name":"Train ID","value":"809-30"},{"id":16,"name":"Locomotive ID","value":"4042"},{"id":130,"name":"Impact","value":""},{"id":150,"name":"Time of Event (Mountain Time)","value":"08:04:31"},{"id":151,"name":"Denver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20"/>
      <c r="AK167" s="47"/>
      <c r="AL167" s="47"/>
      <c r="AM167" s="145" t="str">
        <f t="shared" si="67"/>
        <v>start /low /b %USERPROFILE%\Documents\GitHub\eaglep3\Utilities\DownloadLogsFromS3.py --loco 4042 --day 2017-05-30</v>
      </c>
      <c r="AN167" s="154" t="str">
        <f t="shared" si="68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14:04:31"},{"id":29,"name":"Sharepoint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8" spans="1:91" s="20" customFormat="1" x14ac:dyDescent="0.25">
      <c r="A168" s="32" t="s">
        <v>716</v>
      </c>
      <c r="B168" s="7">
        <v>4041</v>
      </c>
      <c r="C168" s="21" t="s">
        <v>204</v>
      </c>
      <c r="D168" s="21" t="s">
        <v>501</v>
      </c>
      <c r="E168" s="13">
        <v>42885.338009259256</v>
      </c>
      <c r="F168" s="13">
        <v>42885.339305555557</v>
      </c>
      <c r="G168" s="7">
        <v>1</v>
      </c>
      <c r="H168" s="21" t="s">
        <v>951</v>
      </c>
      <c r="I168" s="13">
        <v>42885.351539351854</v>
      </c>
      <c r="J168" s="7">
        <v>0</v>
      </c>
      <c r="K168" s="92" t="str">
        <f t="shared" si="52"/>
        <v>4041/4042</v>
      </c>
      <c r="L168" s="21" t="str">
        <f>VLOOKUP(A168,'Trips&amp;Operators'!$C$1:$G$99999,5,FALSE)</f>
        <v>LAMAR NEKESHA</v>
      </c>
      <c r="M168" s="6">
        <f t="shared" si="53"/>
        <v>1.2233796296641231E-2</v>
      </c>
      <c r="N168" s="7">
        <f t="shared" si="76"/>
        <v>17.616666667163372</v>
      </c>
      <c r="O168" s="7"/>
      <c r="P168" s="7"/>
      <c r="Q168" s="22"/>
      <c r="R168" s="173"/>
      <c r="S168" s="176">
        <f t="shared" si="70"/>
        <v>1</v>
      </c>
      <c r="T168" s="202" t="str">
        <f t="shared" si="54"/>
        <v>Southbound</v>
      </c>
      <c r="U168" s="202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03" t="str">
        <f t="shared" si="55"/>
        <v>https://d0f6bd738d7f1b3e5a7ca70fe4ff75f0.us-east-1.aws.found.io/app/kibana#/discover/Steve-Slow-Train-Analysis-(2080s-and-2083s)?_g=(refreshInterval:(display:Off,pause:!f,section:0,value:0),time:(from:'2017-05-30T07:06:44-0600',mode:absolute,to:'2017-05-30T09:26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68" s="204" t="str">
        <f t="shared" si="56"/>
        <v>N</v>
      </c>
      <c r="X168" s="204">
        <f t="shared" si="79"/>
        <v>1</v>
      </c>
      <c r="Y168" s="204">
        <f t="shared" si="77"/>
        <v>5.8634000000000004</v>
      </c>
      <c r="Z168" s="204">
        <f t="shared" si="78"/>
        <v>7.6399999999999996E-2</v>
      </c>
      <c r="AA168" s="204">
        <f t="shared" si="60"/>
        <v>5.7870000000000008</v>
      </c>
      <c r="AB168" s="57" t="e">
        <f>VLOOKUP(A168,Enforcements!$C$7:$K$13,8,0)</f>
        <v>#N/A</v>
      </c>
      <c r="AC168" s="53" t="e">
        <f>VLOOKUP(A168,Enforcements!$C$7:$E$13,3,0)</f>
        <v>#N/A</v>
      </c>
      <c r="AD168" s="54" t="str">
        <f t="shared" si="61"/>
        <v>0810-30</v>
      </c>
      <c r="AE168" s="80" t="str">
        <f t="shared" si="62"/>
        <v>aws s3 cp s3://rtdc.mdm.uploadarchive.raw/RTDC4041/ "%USERPROFILE%\AppData\Local\Temp\OnboardLogs"\RTDC4041\2017-05-30 --exclude "*" --recursive --include "*20170530*" &amp; "%USERPROFILE%\Documents\GitHub\mrs-test-scripts\Headless Mode &amp; Sideloading\WalkAndUnGZ.bat" "%USERPROFILE%\AppData\Local\Temp\OnboardLogs"\RTDC4041\2017-05-30 &amp; aws s3 cp s3://rtdc.mdm.uploadarchive.raw/RTDC4041/ "%USERPROFILE%\AppData\Local\Temp\OnboardLogs"\RTDC4041\2017-05-31 --exclude "*" --recursive --include "*20170531*" &amp; "%USERPROFILE%\Documents\GitHub\mrs-test-scripts\Headless Mode &amp; Sideloading\WalkAndUnGZ.bat" "%USERPROFILE%\AppData\Local\Temp\OnboardLogs"\RTDC4041\2017-05-31</v>
      </c>
      <c r="AF168" s="77" t="str">
        <f t="shared" si="63"/>
        <v>"C:\Program Files (x86)\AstroGrep\AstroGrep.exe" /e /r /s /spath="%USERPROFILE%\AppData\Local\Temp\OnboardLogs" /stypes="app*4041*20170530*" /stext=" 14:.+((SYSTEM_STATE.+slice.+state.+changed )|(ment ac)|(multiple cpu faults)|(system.+state.+changed )|(\[timeout)|(PRM\|1\|D)|(kpr)|(kdp)|(train st.+moving)|(\|lc)|(penalty))"</v>
      </c>
      <c r="AG168" s="1" t="str">
        <f t="shared" si="64"/>
        <v>NW</v>
      </c>
      <c r="AH168" s="81" t="str">
        <f t="shared" si="65"/>
        <v>"%USERPROFILE%\Documents\GitHub\eaglep3\Utilities\RefineRTDCRunTimes.py" --tripid 810-30 --locoid 4041 --swversion DE.1.0.9.0 --startMP 300:58634 --initTime 2017-05-30T08:06:44 --startdatetime 2017-05-30T08:08:36 --delay 1 --endMP 204:764 --enddatetime 2017-05-30T08:26:13 --enforcementcount 0 &gt;&gt;C:\Users\stu\Documents\GitHub\eaglep3-reporting\EC\2017-05-30-refined-times.txt</v>
      </c>
      <c r="AI168" s="99" t="str">
        <f t="shared" si="66"/>
        <v>echo {"issue":{"subject":"","project_id":79,"tracker_id":40,"status_id":1,"priority_id":2,"assigned_to_id":23,"start_date":"2017-05-30","description":"","custom_fields":[{"id":1,"name":"Subdivision","value":"NW"},{"id":4,"name":"Milepost","value":"0.0764"},{"id":17,"name":"Train ID","value":"810-30"},{"id":16,"name":"Locomotive ID","value":"4041"},{"id":130,"name":"Impact","value":""},{"id":150,"name":"Time of Event (Mountain Time)","value":"08:26:13"},{"id":151,"name":"Denver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8" s="47"/>
      <c r="AL168" s="47"/>
      <c r="AM168" s="145" t="str">
        <f t="shared" si="67"/>
        <v>start /low /b %USERPROFILE%\Documents\GitHub\eaglep3\Utilities\DownloadLogsFromS3.py --loco 4041 --day 2017-05-30</v>
      </c>
      <c r="AN168" s="154" t="str">
        <f t="shared" si="68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14:26:13"},{"id":29,"name":"Sharepoint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718</v>
      </c>
      <c r="B169" s="7">
        <v>4050</v>
      </c>
      <c r="C169" s="21" t="s">
        <v>204</v>
      </c>
      <c r="D169" s="21" t="s">
        <v>952</v>
      </c>
      <c r="E169" s="13">
        <v>42885.339143518519</v>
      </c>
      <c r="F169" s="13">
        <v>42885.348113425927</v>
      </c>
      <c r="G169" s="7">
        <v>2</v>
      </c>
      <c r="H169" s="21" t="s">
        <v>953</v>
      </c>
      <c r="I169" s="13">
        <v>42885.357777777775</v>
      </c>
      <c r="J169" s="7">
        <v>0</v>
      </c>
      <c r="K169" s="92" t="str">
        <f t="shared" si="52"/>
        <v>4049/4050</v>
      </c>
      <c r="L169" s="21" t="str">
        <f>VLOOKUP(A169,'Trips&amp;Operators'!$C$1:$G$99999,5,FALSE)</f>
        <v>COOLAHAN JOHN</v>
      </c>
      <c r="M169" s="6">
        <f t="shared" si="53"/>
        <v>9.6643518481869251E-3</v>
      </c>
      <c r="N169" s="7">
        <f t="shared" si="76"/>
        <v>13.916666661389172</v>
      </c>
      <c r="O169" s="7"/>
      <c r="P169" s="7"/>
      <c r="Q169" s="22"/>
      <c r="R169" s="173"/>
      <c r="S169" s="176">
        <f t="shared" si="70"/>
        <v>1</v>
      </c>
      <c r="T169" s="202" t="str">
        <f t="shared" si="54"/>
        <v>NorthBound</v>
      </c>
      <c r="U169" s="202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03" t="str">
        <f t="shared" si="55"/>
        <v>https://d0f6bd738d7f1b3e5a7ca70fe4ff75f0.us-east-1.aws.found.io/app/kibana#/discover/Steve-Slow-Train-Analysis-(2080s-and-2083s)?_g=(refreshInterval:(display:Off,pause:!f,section:0,value:0),time:(from:'2017-05-30T07:08:22-0600',mode:absolute,to:'2017-05-30T09:35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69" s="204" t="str">
        <f t="shared" si="56"/>
        <v>N</v>
      </c>
      <c r="X169" s="204">
        <f t="shared" si="79"/>
        <v>1</v>
      </c>
      <c r="Y169" s="204">
        <f t="shared" si="77"/>
        <v>9.7199999999999995E-2</v>
      </c>
      <c r="Z169" s="204">
        <f t="shared" si="78"/>
        <v>5.8964999999999996</v>
      </c>
      <c r="AA169" s="204">
        <f t="shared" si="60"/>
        <v>5.7992999999999997</v>
      </c>
      <c r="AB169" s="57" t="e">
        <f>VLOOKUP(A169,Enforcements!$C$7:$K$13,8,0)</f>
        <v>#N/A</v>
      </c>
      <c r="AC169" s="53" t="e">
        <f>VLOOKUP(A169,Enforcements!$C$7:$E$13,3,0)</f>
        <v>#N/A</v>
      </c>
      <c r="AD169" s="54" t="str">
        <f t="shared" si="61"/>
        <v>0811-30</v>
      </c>
      <c r="AE169" s="80" t="str">
        <f t="shared" si="62"/>
        <v>aws s3 cp s3://rtdc.mdm.uploadarchive.raw/RTDC4050/ "%USERPROFILE%\AppData\Local\Temp\OnboardLogs"\RTDC4050\2017-05-30 --exclude "*" --recursive --include "*20170530*" &amp; "%USERPROFILE%\Documents\GitHub\mrs-test-scripts\Headless Mode &amp; Sideloading\WalkAndUnGZ.bat" "%USERPROFILE%\AppData\Local\Temp\OnboardLogs"\RTDC4050\2017-05-30 &amp; aws s3 cp s3://rtdc.mdm.uploadarchive.raw/RTDC4050/ "%USERPROFILE%\AppData\Local\Temp\OnboardLogs"\RTDC4050\2017-05-31 --exclude "*" --recursive --include "*20170531*" &amp; "%USERPROFILE%\Documents\GitHub\mrs-test-scripts\Headless Mode &amp; Sideloading\WalkAndUnGZ.bat" "%USERPROFILE%\AppData\Local\Temp\OnboardLogs"\RTDC4050\2017-05-31</v>
      </c>
      <c r="AF169" s="77" t="str">
        <f t="shared" si="63"/>
        <v>"C:\Program Files (x86)\AstroGrep\AstroGrep.exe" /e /r /s /spath="%USERPROFILE%\AppData\Local\Temp\OnboardLogs" /stypes="app*4050*20170530*" /stext=" 14:.+((SYSTEM_STATE.+slice.+state.+changed )|(ment ac)|(multiple cpu faults)|(system.+state.+changed )|(\[timeout)|(PRM\|1\|D)|(kpr)|(kdp)|(train st.+moving)|(\|lc)|(penalty))"</v>
      </c>
      <c r="AG169" s="1" t="str">
        <f t="shared" si="64"/>
        <v>NW</v>
      </c>
      <c r="AH169" s="81" t="str">
        <f t="shared" si="65"/>
        <v>"%USERPROFILE%\Documents\GitHub\eaglep3\Utilities\RefineRTDCRunTimes.py" --tripid 811-30 --locoid 4050 --swversion DE.1.0.9.0 --startMP 204:972 --initTime 2017-05-30T08:08:22 --startdatetime 2017-05-30T08:21:17 --delay 2 --endMP 300:58965 --enddatetime 2017-05-30T08:35:12 --enforcementcount 0 &gt;&gt;C:\Users\stu\Documents\GitHub\eaglep3-reporting\EC\2017-05-30-refined-times.txt</v>
      </c>
      <c r="AI169" s="99" t="str">
        <f t="shared" si="66"/>
        <v>echo {"issue":{"subject":"","project_id":79,"tracker_id":40,"status_id":1,"priority_id":2,"assigned_to_id":23,"start_date":"2017-05-30","description":"","custom_fields":[{"id":1,"name":"Subdivision","value":"NW"},{"id":4,"name":"Milepost","value":"5.8965"},{"id":17,"name":"Train ID","value":"811-30"},{"id":16,"name":"Locomotive ID","value":"4050"},{"id":130,"name":"Impact","value":""},{"id":150,"name":"Time of Event (Mountain Time)","value":"08:35:12"},{"id":151,"name":"Denver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9" s="47"/>
      <c r="AL169" s="47"/>
      <c r="AM169" s="145" t="str">
        <f t="shared" si="67"/>
        <v>start /low /b %USERPROFILE%\Documents\GitHub\eaglep3\Utilities\DownloadLogsFromS3.py --loco 4050 --day 2017-05-30</v>
      </c>
      <c r="AN169" s="154" t="str">
        <f t="shared" si="68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14:35:12"},{"id":29,"name":"Sharepoint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2" t="s">
        <v>727</v>
      </c>
      <c r="B170" s="7">
        <v>4049</v>
      </c>
      <c r="C170" s="21" t="s">
        <v>204</v>
      </c>
      <c r="D170" s="21" t="s">
        <v>619</v>
      </c>
      <c r="E170" s="13">
        <v>42885.358969907407</v>
      </c>
      <c r="F170" s="13">
        <v>42885.360694444447</v>
      </c>
      <c r="G170" s="7">
        <v>1</v>
      </c>
      <c r="H170" s="21" t="s">
        <v>954</v>
      </c>
      <c r="I170" s="13">
        <v>42885.371736111112</v>
      </c>
      <c r="J170" s="7">
        <v>0</v>
      </c>
      <c r="K170" s="92" t="str">
        <f t="shared" si="52"/>
        <v>4049/4050</v>
      </c>
      <c r="L170" s="21" t="str">
        <f>VLOOKUP(A170,'Trips&amp;Operators'!$C$1:$G$99999,5,FALSE)</f>
        <v>COOLAHAN JOHN</v>
      </c>
      <c r="M170" s="6">
        <f t="shared" si="53"/>
        <v>1.1041666664823424E-2</v>
      </c>
      <c r="N170" s="7">
        <f t="shared" si="76"/>
        <v>15.899999997345731</v>
      </c>
      <c r="O170" s="7"/>
      <c r="P170" s="7"/>
      <c r="Q170" s="22"/>
      <c r="R170" s="173"/>
      <c r="S170" s="176">
        <f t="shared" si="70"/>
        <v>1</v>
      </c>
      <c r="T170" s="202" t="str">
        <f t="shared" si="54"/>
        <v>Southbound</v>
      </c>
      <c r="U170" s="202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03" t="str">
        <f t="shared" si="55"/>
        <v>https://d0f6bd738d7f1b3e5a7ca70fe4ff75f0.us-east-1.aws.found.io/app/kibana#/discover/Steve-Slow-Train-Analysis-(2080s-and-2083s)?_g=(refreshInterval:(display:Off,pause:!f,section:0,value:0),time:(from:'2017-05-30T07:36:55-0600',mode:absolute,to:'2017-05-30T09:55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70" s="204" t="str">
        <f t="shared" si="56"/>
        <v>N</v>
      </c>
      <c r="X170" s="204">
        <f t="shared" si="79"/>
        <v>1</v>
      </c>
      <c r="Y170" s="204">
        <f t="shared" si="77"/>
        <v>5.8640999999999996</v>
      </c>
      <c r="Z170" s="204">
        <f t="shared" si="78"/>
        <v>6.6400000000000001E-2</v>
      </c>
      <c r="AA170" s="204">
        <f t="shared" si="60"/>
        <v>5.7976999999999999</v>
      </c>
      <c r="AB170" s="57" t="e">
        <f>VLOOKUP(A170,Enforcements!$C$7:$K$13,8,0)</f>
        <v>#N/A</v>
      </c>
      <c r="AC170" s="53" t="e">
        <f>VLOOKUP(A170,Enforcements!$C$7:$E$13,3,0)</f>
        <v>#N/A</v>
      </c>
      <c r="AD170" s="54" t="str">
        <f t="shared" si="61"/>
        <v>0812-30</v>
      </c>
      <c r="AE170" s="80" t="str">
        <f t="shared" si="62"/>
        <v>aws s3 cp s3://rtdc.mdm.uploadarchive.raw/RTDC4049/ "%USERPROFILE%\AppData\Local\Temp\OnboardLogs"\RTDC4049\2017-05-30 --exclude "*" --recursive --include "*20170530*" &amp; "%USERPROFILE%\Documents\GitHub\mrs-test-scripts\Headless Mode &amp; Sideloading\WalkAndUnGZ.bat" "%USERPROFILE%\AppData\Local\Temp\OnboardLogs"\RTDC4049\2017-05-30 &amp; aws s3 cp s3://rtdc.mdm.uploadarchive.raw/RTDC4049/ "%USERPROFILE%\AppData\Local\Temp\OnboardLogs"\RTDC4049\2017-05-31 --exclude "*" --recursive --include "*20170531*" &amp; "%USERPROFILE%\Documents\GitHub\mrs-test-scripts\Headless Mode &amp; Sideloading\WalkAndUnGZ.bat" "%USERPROFILE%\AppData\Local\Temp\OnboardLogs"\RTDC4049\2017-05-31</v>
      </c>
      <c r="AF170" s="77" t="str">
        <f t="shared" si="63"/>
        <v>"C:\Program Files (x86)\AstroGrep\AstroGrep.exe" /e /r /s /spath="%USERPROFILE%\AppData\Local\Temp\OnboardLogs" /stypes="app*4049*20170530*" /stext=" 14:.+((SYSTEM_STATE.+slice.+state.+changed )|(ment ac)|(multiple cpu faults)|(system.+state.+changed )|(\[timeout)|(PRM\|1\|D)|(kpr)|(kdp)|(train st.+moving)|(\|lc)|(penalty))"</v>
      </c>
      <c r="AG170" s="1" t="str">
        <f t="shared" si="64"/>
        <v>NW</v>
      </c>
      <c r="AH170" s="81" t="str">
        <f t="shared" si="65"/>
        <v>"%USERPROFILE%\Documents\GitHub\eaglep3\Utilities\RefineRTDCRunTimes.py" --tripid 812-30 --locoid 4049 --swversion DE.1.0.9.0 --startMP 300:58641 --initTime 2017-05-30T08:36:55 --startdatetime 2017-05-30T08:39:24 --delay 1 --endMP 204:664 --enddatetime 2017-05-30T08:55:18 --enforcementcount 0 &gt;&gt;C:\Users\stu\Documents\GitHub\eaglep3-reporting\EC\2017-05-30-refined-times.txt</v>
      </c>
      <c r="AI170" s="99" t="str">
        <f t="shared" si="66"/>
        <v>echo {"issue":{"subject":"","project_id":79,"tracker_id":40,"status_id":1,"priority_id":2,"assigned_to_id":23,"start_date":"2017-05-30","description":"","custom_fields":[{"id":1,"name":"Subdivision","value":"NW"},{"id":4,"name":"Milepost","value":"0.0664"},{"id":17,"name":"Train ID","value":"812-30"},{"id":16,"name":"Locomotive ID","value":"4049"},{"id":130,"name":"Impact","value":""},{"id":150,"name":"Time of Event (Mountain Time)","value":"08:55:18"},{"id":151,"name":"Denver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0" s="47"/>
      <c r="AL170" s="47"/>
      <c r="AM170" s="145" t="str">
        <f t="shared" si="67"/>
        <v>start /low /b %USERPROFILE%\Documents\GitHub\eaglep3\Utilities\DownloadLogsFromS3.py --loco 4049 --day 2017-05-30</v>
      </c>
      <c r="AN170" s="154" t="str">
        <f t="shared" si="68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14:55:18"},{"id":29,"name":"Sharepoint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32" t="s">
        <v>731</v>
      </c>
      <c r="B171" s="7">
        <v>4050</v>
      </c>
      <c r="C171" s="21" t="s">
        <v>204</v>
      </c>
      <c r="D171" s="21" t="s">
        <v>955</v>
      </c>
      <c r="E171" s="13">
        <v>42885.374074074076</v>
      </c>
      <c r="F171" s="13">
        <v>42885.389814814815</v>
      </c>
      <c r="G171" s="7">
        <v>1</v>
      </c>
      <c r="H171" s="21" t="s">
        <v>497</v>
      </c>
      <c r="I171" s="13">
        <v>42885.39984953704</v>
      </c>
      <c r="J171" s="7">
        <v>0</v>
      </c>
      <c r="K171" s="92" t="str">
        <f t="shared" si="52"/>
        <v>4049/4050</v>
      </c>
      <c r="L171" s="21" t="str">
        <f>VLOOKUP(A171,'Trips&amp;Operators'!$C$1:$G$99999,5,FALSE)</f>
        <v>YANG JAN</v>
      </c>
      <c r="M171" s="6">
        <f t="shared" si="53"/>
        <v>1.0034722225100268E-2</v>
      </c>
      <c r="N171" s="7">
        <f t="shared" si="76"/>
        <v>14.450000004144385</v>
      </c>
      <c r="O171" s="7"/>
      <c r="P171" s="7"/>
      <c r="Q171" s="22"/>
      <c r="R171" s="173"/>
      <c r="S171" s="176">
        <f t="shared" si="70"/>
        <v>1</v>
      </c>
      <c r="T171" s="202" t="str">
        <f t="shared" si="54"/>
        <v>NorthBound</v>
      </c>
      <c r="U171" s="202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03" t="str">
        <f t="shared" si="55"/>
        <v>https://d0f6bd738d7f1b3e5a7ca70fe4ff75f0.us-east-1.aws.found.io/app/kibana#/discover/Steve-Slow-Train-Analysis-(2080s-and-2083s)?_g=(refreshInterval:(display:Off,pause:!f,section:0,value:0),time:(from:'2017-05-30T07:58:40-0600',mode:absolute,to:'2017-05-30T10:35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71" s="204" t="str">
        <f t="shared" si="56"/>
        <v>N</v>
      </c>
      <c r="X171" s="204">
        <f t="shared" si="79"/>
        <v>1</v>
      </c>
      <c r="Y171" s="204">
        <f t="shared" si="77"/>
        <v>9.5500000000000002E-2</v>
      </c>
      <c r="Z171" s="204">
        <f t="shared" si="78"/>
        <v>5.8952</v>
      </c>
      <c r="AA171" s="204">
        <f t="shared" si="60"/>
        <v>5.7996999999999996</v>
      </c>
      <c r="AB171" s="57" t="e">
        <f>VLOOKUP(A171,Enforcements!$C$7:$K$13,8,0)</f>
        <v>#N/A</v>
      </c>
      <c r="AC171" s="53" t="e">
        <f>VLOOKUP(A171,Enforcements!$C$7:$E$13,3,0)</f>
        <v>#N/A</v>
      </c>
      <c r="AD171" s="54" t="str">
        <f t="shared" si="61"/>
        <v>0813-30</v>
      </c>
      <c r="AE171" s="80" t="str">
        <f t="shared" si="62"/>
        <v>aws s3 cp s3://rtdc.mdm.uploadarchive.raw/RTDC4050/ "%USERPROFILE%\AppData\Local\Temp\OnboardLogs"\RTDC4050\2017-05-30 --exclude "*" --recursive --include "*20170530*" &amp; "%USERPROFILE%\Documents\GitHub\mrs-test-scripts\Headless Mode &amp; Sideloading\WalkAndUnGZ.bat" "%USERPROFILE%\AppData\Local\Temp\OnboardLogs"\RTDC4050\2017-05-30 &amp; aws s3 cp s3://rtdc.mdm.uploadarchive.raw/RTDC4050/ "%USERPROFILE%\AppData\Local\Temp\OnboardLogs"\RTDC4050\2017-05-31 --exclude "*" --recursive --include "*20170531*" &amp; "%USERPROFILE%\Documents\GitHub\mrs-test-scripts\Headless Mode &amp; Sideloading\WalkAndUnGZ.bat" "%USERPROFILE%\AppData\Local\Temp\OnboardLogs"\RTDC4050\2017-05-31</v>
      </c>
      <c r="AF171" s="77" t="str">
        <f t="shared" si="63"/>
        <v>"C:\Program Files (x86)\AstroGrep\AstroGrep.exe" /e /r /s /spath="%USERPROFILE%\AppData\Local\Temp\OnboardLogs" /stypes="app*4050*20170530*" /stext=" 15:.+((SYSTEM_STATE.+slice.+state.+changed )|(ment ac)|(multiple cpu faults)|(system.+state.+changed )|(\[timeout)|(PRM\|1\|D)|(kpr)|(kdp)|(train st.+moving)|(\|lc)|(penalty))"</v>
      </c>
      <c r="AG171" s="1" t="str">
        <f t="shared" si="64"/>
        <v>NW</v>
      </c>
      <c r="AH171" s="81" t="str">
        <f t="shared" si="65"/>
        <v>"%USERPROFILE%\Documents\GitHub\eaglep3\Utilities\RefineRTDCRunTimes.py" --tripid 813-30 --locoid 4050 --swversion DE.1.0.9.0 --startMP 204:955 --initTime 2017-05-30T08:58:40 --startdatetime 2017-05-30T09:21:20 --delay 1 --endMP 300:58952 --enddatetime 2017-05-30T09:35:47 --enforcementcount 0 &gt;&gt;C:\Users\stu\Documents\GitHub\eaglep3-reporting\EC\2017-05-30-refined-times.txt</v>
      </c>
      <c r="AI171" s="99" t="str">
        <f t="shared" si="66"/>
        <v>echo {"issue":{"subject":"","project_id":79,"tracker_id":40,"status_id":1,"priority_id":2,"assigned_to_id":23,"start_date":"2017-05-30","description":"","custom_fields":[{"id":1,"name":"Subdivision","value":"NW"},{"id":4,"name":"Milepost","value":"5.8952"},{"id":17,"name":"Train ID","value":"813-30"},{"id":16,"name":"Locomotive ID","value":"4050"},{"id":130,"name":"Impact","value":""},{"id":150,"name":"Time of Event (Mountain Time)","value":"09:35:47"},{"id":151,"name":"Denver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1" s="47"/>
      <c r="AL171" s="47"/>
      <c r="AM171" s="145" t="str">
        <f t="shared" si="67"/>
        <v>start /low /b %USERPROFILE%\Documents\GitHub\eaglep3\Utilities\DownloadLogsFromS3.py --loco 4050 --day 2017-05-30</v>
      </c>
      <c r="AN171" s="154" t="str">
        <f t="shared" si="68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15:35:47"},{"id":29,"name":"Sharepoint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2" t="s">
        <v>738</v>
      </c>
      <c r="B172" s="7">
        <v>4049</v>
      </c>
      <c r="C172" s="21" t="s">
        <v>204</v>
      </c>
      <c r="D172" s="21" t="s">
        <v>431</v>
      </c>
      <c r="E172" s="13">
        <v>42885.401273148149</v>
      </c>
      <c r="F172" s="13">
        <v>42885.402962962966</v>
      </c>
      <c r="G172" s="7">
        <v>1</v>
      </c>
      <c r="H172" s="21" t="s">
        <v>956</v>
      </c>
      <c r="I172" s="13">
        <v>42885.413958333331</v>
      </c>
      <c r="J172" s="7">
        <v>0</v>
      </c>
      <c r="K172" s="92" t="str">
        <f t="shared" si="52"/>
        <v>4049/4050</v>
      </c>
      <c r="L172" s="21" t="str">
        <f>VLOOKUP(A172,'Trips&amp;Operators'!$C$1:$G$99999,5,FALSE)</f>
        <v>YANG JAN</v>
      </c>
      <c r="M172" s="6">
        <f t="shared" si="53"/>
        <v>1.0995370364980772E-2</v>
      </c>
      <c r="N172" s="7">
        <f t="shared" si="76"/>
        <v>15.833333325572312</v>
      </c>
      <c r="O172" s="7"/>
      <c r="P172" s="7"/>
      <c r="Q172" s="22"/>
      <c r="R172" s="173"/>
      <c r="S172" s="176">
        <f t="shared" si="70"/>
        <v>1</v>
      </c>
      <c r="T172" s="202" t="str">
        <f t="shared" si="54"/>
        <v>Southbound</v>
      </c>
      <c r="U172" s="202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03" t="str">
        <f t="shared" si="55"/>
        <v>https://d0f6bd738d7f1b3e5a7ca70fe4ff75f0.us-east-1.aws.found.io/app/kibana#/discover/Steve-Slow-Train-Analysis-(2080s-and-2083s)?_g=(refreshInterval:(display:Off,pause:!f,section:0,value:0),time:(from:'2017-05-30T08:37:50-0600',mode:absolute,to:'2017-05-30T10:56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72" s="204" t="str">
        <f t="shared" si="56"/>
        <v>N</v>
      </c>
      <c r="X172" s="204">
        <f t="shared" si="79"/>
        <v>1</v>
      </c>
      <c r="Y172" s="204">
        <f t="shared" si="77"/>
        <v>5.8630000000000004</v>
      </c>
      <c r="Z172" s="204">
        <f t="shared" si="78"/>
        <v>7.0999999999999994E-2</v>
      </c>
      <c r="AA172" s="204">
        <f t="shared" si="60"/>
        <v>5.7920000000000007</v>
      </c>
      <c r="AB172" s="57" t="e">
        <f>VLOOKUP(A172,Enforcements!$C$7:$K$13,8,0)</f>
        <v>#N/A</v>
      </c>
      <c r="AC172" s="53" t="e">
        <f>VLOOKUP(A172,Enforcements!$C$7:$E$13,3,0)</f>
        <v>#N/A</v>
      </c>
      <c r="AD172" s="54" t="str">
        <f t="shared" si="61"/>
        <v>0814-30</v>
      </c>
      <c r="AE172" s="80" t="str">
        <f t="shared" si="62"/>
        <v>aws s3 cp s3://rtdc.mdm.uploadarchive.raw/RTDC4049/ "%USERPROFILE%\AppData\Local\Temp\OnboardLogs"\RTDC4049\2017-05-30 --exclude "*" --recursive --include "*20170530*" &amp; "%USERPROFILE%\Documents\GitHub\mrs-test-scripts\Headless Mode &amp; Sideloading\WalkAndUnGZ.bat" "%USERPROFILE%\AppData\Local\Temp\OnboardLogs"\RTDC4049\2017-05-30 &amp; aws s3 cp s3://rtdc.mdm.uploadarchive.raw/RTDC4049/ "%USERPROFILE%\AppData\Local\Temp\OnboardLogs"\RTDC4049\2017-05-31 --exclude "*" --recursive --include "*20170531*" &amp; "%USERPROFILE%\Documents\GitHub\mrs-test-scripts\Headless Mode &amp; Sideloading\WalkAndUnGZ.bat" "%USERPROFILE%\AppData\Local\Temp\OnboardLogs"\RTDC4049\2017-05-31</v>
      </c>
      <c r="AF172" s="77" t="str">
        <f t="shared" si="63"/>
        <v>"C:\Program Files (x86)\AstroGrep\AstroGrep.exe" /e /r /s /spath="%USERPROFILE%\AppData\Local\Temp\OnboardLogs" /stypes="app*4049*20170530*" /stext=" 15:.+((SYSTEM_STATE.+slice.+state.+changed )|(ment ac)|(multiple cpu faults)|(system.+state.+changed )|(\[timeout)|(PRM\|1\|D)|(kpr)|(kdp)|(train st.+moving)|(\|lc)|(penalty))"</v>
      </c>
      <c r="AG172" s="1" t="str">
        <f t="shared" si="64"/>
        <v>NW</v>
      </c>
      <c r="AH172" s="81" t="str">
        <f t="shared" si="65"/>
        <v>"%USERPROFILE%\Documents\GitHub\eaglep3\Utilities\RefineRTDCRunTimes.py" --tripid 814-30 --locoid 4049 --swversion DE.1.0.9.0 --startMP 300:58630 --initTime 2017-05-30T09:37:50 --startdatetime 2017-05-30T09:40:16 --delay 1 --endMP 204:710 --enddatetime 2017-05-30T09:56:06 --enforcementcount 0 &gt;&gt;C:\Users\stu\Documents\GitHub\eaglep3-reporting\EC\2017-05-30-refined-times.txt</v>
      </c>
      <c r="AI172" s="99" t="str">
        <f t="shared" si="66"/>
        <v>echo {"issue":{"subject":"","project_id":79,"tracker_id":40,"status_id":1,"priority_id":2,"assigned_to_id":23,"start_date":"2017-05-30","description":"","custom_fields":[{"id":1,"name":"Subdivision","value":"NW"},{"id":4,"name":"Milepost","value":"0.071"},{"id":17,"name":"Train ID","value":"814-30"},{"id":16,"name":"Locomotive ID","value":"4049"},{"id":130,"name":"Impact","value":""},{"id":150,"name":"Time of Event (Mountain Time)","value":"09:56:06"},{"id":151,"name":"Denver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2" s="47"/>
      <c r="AL172" s="47"/>
      <c r="AM172" s="145" t="str">
        <f t="shared" si="67"/>
        <v>start /low /b %USERPROFILE%\Documents\GitHub\eaglep3\Utilities\DownloadLogsFromS3.py --loco 4049 --day 2017-05-30</v>
      </c>
      <c r="AN172" s="154" t="str">
        <f t="shared" si="68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15:56:06"},{"id":29,"name":"Sharepoint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32" t="s">
        <v>743</v>
      </c>
      <c r="B173" s="7">
        <v>4050</v>
      </c>
      <c r="C173" s="21" t="s">
        <v>204</v>
      </c>
      <c r="D173" s="21" t="s">
        <v>957</v>
      </c>
      <c r="E173" s="13">
        <v>42885.426145833335</v>
      </c>
      <c r="F173" s="13">
        <v>42885.431458333333</v>
      </c>
      <c r="G173" s="7">
        <v>1</v>
      </c>
      <c r="H173" s="21" t="s">
        <v>622</v>
      </c>
      <c r="I173" s="13">
        <v>42885.441250000003</v>
      </c>
      <c r="J173" s="7">
        <v>0</v>
      </c>
      <c r="K173" s="92" t="str">
        <f t="shared" si="52"/>
        <v>4049/4050</v>
      </c>
      <c r="L173" s="21" t="str">
        <f>VLOOKUP(A173,'Trips&amp;Operators'!$C$1:$G$99999,5,FALSE)</f>
        <v>YANG JAN</v>
      </c>
      <c r="M173" s="6">
        <f t="shared" si="53"/>
        <v>9.7916666709352285E-3</v>
      </c>
      <c r="N173" s="7">
        <f t="shared" si="76"/>
        <v>14.100000006146729</v>
      </c>
      <c r="O173" s="7"/>
      <c r="P173" s="7"/>
      <c r="Q173" s="22"/>
      <c r="R173" s="173"/>
      <c r="S173" s="176">
        <f t="shared" si="70"/>
        <v>1</v>
      </c>
      <c r="T173" s="202" t="str">
        <f t="shared" si="54"/>
        <v>NorthBound</v>
      </c>
      <c r="U173" s="202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03" t="str">
        <f t="shared" si="55"/>
        <v>https://d0f6bd738d7f1b3e5a7ca70fe4ff75f0.us-east-1.aws.found.io/app/kibana#/discover/Steve-Slow-Train-Analysis-(2080s-and-2083s)?_g=(refreshInterval:(display:Off,pause:!f,section:0,value:0),time:(from:'2017-05-30T09:13:39-0600',mode:absolute,to:'2017-05-30T11:35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73" s="204" t="str">
        <f t="shared" si="56"/>
        <v>N</v>
      </c>
      <c r="X173" s="204">
        <f t="shared" si="79"/>
        <v>1</v>
      </c>
      <c r="Y173" s="204">
        <f t="shared" si="77"/>
        <v>9.69E-2</v>
      </c>
      <c r="Z173" s="204">
        <f t="shared" si="78"/>
        <v>5.8963000000000001</v>
      </c>
      <c r="AA173" s="204">
        <f t="shared" si="60"/>
        <v>5.7994000000000003</v>
      </c>
      <c r="AB173" s="57" t="e">
        <f>VLOOKUP(A173,Enforcements!$C$7:$K$13,8,0)</f>
        <v>#N/A</v>
      </c>
      <c r="AC173" s="53" t="e">
        <f>VLOOKUP(A173,Enforcements!$C$7:$E$13,3,0)</f>
        <v>#N/A</v>
      </c>
      <c r="AD173" s="54" t="str">
        <f t="shared" si="61"/>
        <v>0815-30</v>
      </c>
      <c r="AE173" s="80" t="str">
        <f t="shared" si="62"/>
        <v>aws s3 cp s3://rtdc.mdm.uploadarchive.raw/RTDC4050/ "%USERPROFILE%\AppData\Local\Temp\OnboardLogs"\RTDC4050\2017-05-30 --exclude "*" --recursive --include "*20170530*" &amp; "%USERPROFILE%\Documents\GitHub\mrs-test-scripts\Headless Mode &amp; Sideloading\WalkAndUnGZ.bat" "%USERPROFILE%\AppData\Local\Temp\OnboardLogs"\RTDC4050\2017-05-30 &amp; aws s3 cp s3://rtdc.mdm.uploadarchive.raw/RTDC4050/ "%USERPROFILE%\AppData\Local\Temp\OnboardLogs"\RTDC4050\2017-05-31 --exclude "*" --recursive --include "*20170531*" &amp; "%USERPROFILE%\Documents\GitHub\mrs-test-scripts\Headless Mode &amp; Sideloading\WalkAndUnGZ.bat" "%USERPROFILE%\AppData\Local\Temp\OnboardLogs"\RTDC4050\2017-05-31</v>
      </c>
      <c r="AF173" s="77" t="str">
        <f t="shared" si="63"/>
        <v>"C:\Program Files (x86)\AstroGrep\AstroGrep.exe" /e /r /s /spath="%USERPROFILE%\AppData\Local\Temp\OnboardLogs" /stypes="app*4050*20170530*" /stext=" 16:.+((SYSTEM_STATE.+slice.+state.+changed )|(ment ac)|(multiple cpu faults)|(system.+state.+changed )|(\[timeout)|(PRM\|1\|D)|(kpr)|(kdp)|(train st.+moving)|(\|lc)|(penalty))"</v>
      </c>
      <c r="AG173" s="1" t="str">
        <f t="shared" si="64"/>
        <v>NW</v>
      </c>
      <c r="AH173" s="81" t="str">
        <f t="shared" si="65"/>
        <v>"%USERPROFILE%\Documents\GitHub\eaglep3\Utilities\RefineRTDCRunTimes.py" --tripid 815-30 --locoid 4050 --swversion DE.1.0.9.0 --startMP 204:969 --initTime 2017-05-30T10:13:39 --startdatetime 2017-05-30T10:21:18 --delay 1 --endMP 300:58963 --enddatetime 2017-05-30T10:35:24 --enforcementcount 0 &gt;&gt;C:\Users\stu\Documents\GitHub\eaglep3-reporting\EC\2017-05-30-refined-times.txt</v>
      </c>
      <c r="AI173" s="99" t="str">
        <f t="shared" si="66"/>
        <v>echo {"issue":{"subject":"","project_id":79,"tracker_id":40,"status_id":1,"priority_id":2,"assigned_to_id":23,"start_date":"2017-05-30","description":"","custom_fields":[{"id":1,"name":"Subdivision","value":"NW"},{"id":4,"name":"Milepost","value":"5.8963"},{"id":17,"name":"Train ID","value":"815-30"},{"id":16,"name":"Locomotive ID","value":"4050"},{"id":130,"name":"Impact","value":""},{"id":150,"name":"Time of Event (Mountain Time)","value":"10:35:24"},{"id":151,"name":"Denver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3" s="47"/>
      <c r="AL173" s="47"/>
      <c r="AM173" s="145" t="str">
        <f t="shared" si="67"/>
        <v>start /low /b %USERPROFILE%\Documents\GitHub\eaglep3\Utilities\DownloadLogsFromS3.py --loco 4050 --day 2017-05-30</v>
      </c>
      <c r="AN173" s="154" t="str">
        <f t="shared" si="68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16:35:24"},{"id":29,"name":"Sharepoint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32" t="s">
        <v>746</v>
      </c>
      <c r="B174" s="7">
        <v>4049</v>
      </c>
      <c r="C174" s="21" t="s">
        <v>204</v>
      </c>
      <c r="D174" s="21" t="s">
        <v>621</v>
      </c>
      <c r="E174" s="13">
        <v>42885.442523148151</v>
      </c>
      <c r="F174" s="13">
        <v>42885.443969907406</v>
      </c>
      <c r="G174" s="7">
        <v>0</v>
      </c>
      <c r="H174" s="21" t="s">
        <v>949</v>
      </c>
      <c r="I174" s="13">
        <v>42885.45521990741</v>
      </c>
      <c r="J174" s="7">
        <v>0</v>
      </c>
      <c r="K174" s="92" t="str">
        <f t="shared" si="52"/>
        <v>4049/4050</v>
      </c>
      <c r="L174" s="21" t="str">
        <f>VLOOKUP(A174,'Trips&amp;Operators'!$C$1:$G$99999,5,FALSE)</f>
        <v>YANG JAN</v>
      </c>
      <c r="M174" s="6">
        <f t="shared" si="53"/>
        <v>1.1250000003201421E-2</v>
      </c>
      <c r="N174" s="7">
        <f t="shared" si="76"/>
        <v>16.200000004610047</v>
      </c>
      <c r="O174" s="7"/>
      <c r="P174" s="7"/>
      <c r="Q174" s="22"/>
      <c r="R174" s="173"/>
      <c r="S174" s="176">
        <f t="shared" si="70"/>
        <v>1</v>
      </c>
      <c r="T174" s="202" t="str">
        <f t="shared" si="54"/>
        <v>Southbound</v>
      </c>
      <c r="U174" s="202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03" t="str">
        <f t="shared" si="55"/>
        <v>https://d0f6bd738d7f1b3e5a7ca70fe4ff75f0.us-east-1.aws.found.io/app/kibana#/discover/Steve-Slow-Train-Analysis-(2080s-and-2083s)?_g=(refreshInterval:(display:Off,pause:!f,section:0,value:0),time:(from:'2017-05-30T09:37:14-0600',mode:absolute,to:'2017-05-30T11:55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74" s="204" t="str">
        <f t="shared" si="56"/>
        <v>N</v>
      </c>
      <c r="X174" s="204">
        <f t="shared" si="79"/>
        <v>1</v>
      </c>
      <c r="Y174" s="204">
        <f t="shared" si="77"/>
        <v>5.8651</v>
      </c>
      <c r="Z174" s="204">
        <f t="shared" si="78"/>
        <v>6.7699999999999996E-2</v>
      </c>
      <c r="AA174" s="204">
        <f t="shared" si="60"/>
        <v>5.7973999999999997</v>
      </c>
      <c r="AB174" s="57" t="e">
        <f>VLOOKUP(A174,Enforcements!$C$7:$K$13,8,0)</f>
        <v>#N/A</v>
      </c>
      <c r="AC174" s="53" t="e">
        <f>VLOOKUP(A174,Enforcements!$C$7:$E$13,3,0)</f>
        <v>#N/A</v>
      </c>
      <c r="AD174" s="54" t="str">
        <f t="shared" si="61"/>
        <v>0816-30</v>
      </c>
      <c r="AE174" s="80" t="str">
        <f t="shared" si="62"/>
        <v>aws s3 cp s3://rtdc.mdm.uploadarchive.raw/RTDC4049/ "%USERPROFILE%\AppData\Local\Temp\OnboardLogs"\RTDC4049\2017-05-30 --exclude "*" --recursive --include "*20170530*" &amp; "%USERPROFILE%\Documents\GitHub\mrs-test-scripts\Headless Mode &amp; Sideloading\WalkAndUnGZ.bat" "%USERPROFILE%\AppData\Local\Temp\OnboardLogs"\RTDC4049\2017-05-30 &amp; aws s3 cp s3://rtdc.mdm.uploadarchive.raw/RTDC4049/ "%USERPROFILE%\AppData\Local\Temp\OnboardLogs"\RTDC4049\2017-05-31 --exclude "*" --recursive --include "*20170531*" &amp; "%USERPROFILE%\Documents\GitHub\mrs-test-scripts\Headless Mode &amp; Sideloading\WalkAndUnGZ.bat" "%USERPROFILE%\AppData\Local\Temp\OnboardLogs"\RTDC4049\2017-05-31</v>
      </c>
      <c r="AF174" s="77" t="str">
        <f t="shared" si="63"/>
        <v>"C:\Program Files (x86)\AstroGrep\AstroGrep.exe" /e /r /s /spath="%USERPROFILE%\AppData\Local\Temp\OnboardLogs" /stypes="app*4049*20170530*" /stext=" 16:.+((SYSTEM_STATE.+slice.+state.+changed )|(ment ac)|(multiple cpu faults)|(system.+state.+changed )|(\[timeout)|(PRM\|1\|D)|(kpr)|(kdp)|(train st.+moving)|(\|lc)|(penalty))"</v>
      </c>
      <c r="AG174" s="1" t="str">
        <f t="shared" si="64"/>
        <v>NW</v>
      </c>
      <c r="AH174" s="81" t="str">
        <f t="shared" si="65"/>
        <v>"%USERPROFILE%\Documents\GitHub\eaglep3\Utilities\RefineRTDCRunTimes.py" --tripid 816-30 --locoid 4049 --swversion DE.1.0.9.0 --startMP 300:58651 --initTime 2017-05-30T10:37:14 --startdatetime 2017-05-30T10:39:19 --delay 0 --endMP 204:677 --enddatetime 2017-05-30T10:55:31 --enforcementcount 0 &gt;&gt;C:\Users\stu\Documents\GitHub\eaglep3-reporting\EC\2017-05-30-refined-times.txt</v>
      </c>
      <c r="AI174" s="99" t="str">
        <f t="shared" si="66"/>
        <v>echo {"issue":{"subject":"","project_id":79,"tracker_id":40,"status_id":1,"priority_id":2,"assigned_to_id":23,"start_date":"2017-05-30","description":"","custom_fields":[{"id":1,"name":"Subdivision","value":"NW"},{"id":4,"name":"Milepost","value":"0.0677"},{"id":17,"name":"Train ID","value":"816-30"},{"id":16,"name":"Locomotive ID","value":"4049"},{"id":130,"name":"Impact","value":""},{"id":150,"name":"Time of Event (Mountain Time)","value":"10:55:31"},{"id":151,"name":"Denver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4" s="47"/>
      <c r="AL174" s="47"/>
      <c r="AM174" s="145" t="str">
        <f t="shared" si="67"/>
        <v>start /low /b %USERPROFILE%\Documents\GitHub\eaglep3\Utilities\DownloadLogsFromS3.py --loco 4049 --day 2017-05-30</v>
      </c>
      <c r="AN174" s="154" t="str">
        <f t="shared" si="68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16:55:31"},{"id":29,"name":"Sharepoint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32" t="s">
        <v>751</v>
      </c>
      <c r="B175" s="7">
        <v>4050</v>
      </c>
      <c r="C175" s="21" t="s">
        <v>204</v>
      </c>
      <c r="D175" s="21" t="s">
        <v>958</v>
      </c>
      <c r="E175" s="13">
        <v>42885.470671296294</v>
      </c>
      <c r="F175" s="13">
        <v>42885.473101851851</v>
      </c>
      <c r="G175" s="7">
        <v>1</v>
      </c>
      <c r="H175" s="21" t="s">
        <v>959</v>
      </c>
      <c r="I175" s="13">
        <v>42885.482430555552</v>
      </c>
      <c r="J175" s="7">
        <v>0</v>
      </c>
      <c r="K175" s="92" t="str">
        <f t="shared" si="52"/>
        <v>4049/4050</v>
      </c>
      <c r="L175" s="21" t="str">
        <f>VLOOKUP(A175,'Trips&amp;Operators'!$C$1:$G$99999,5,FALSE)</f>
        <v>BIRENBAUM THOMAS</v>
      </c>
      <c r="M175" s="6">
        <f t="shared" si="53"/>
        <v>9.3287037016125396E-3</v>
      </c>
      <c r="N175" s="7">
        <f t="shared" si="76"/>
        <v>13.433333330322057</v>
      </c>
      <c r="O175" s="7"/>
      <c r="P175" s="7"/>
      <c r="Q175" s="22"/>
      <c r="R175" s="173"/>
      <c r="S175" s="176">
        <f t="shared" ref="S175:S206" si="80">SUM(U175:U175)/IF(AG175="EC",12,1)</f>
        <v>1</v>
      </c>
      <c r="T175" s="202" t="str">
        <f t="shared" si="54"/>
        <v>NorthBound</v>
      </c>
      <c r="U175" s="202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03" t="str">
        <f t="shared" si="55"/>
        <v>https://d0f6bd738d7f1b3e5a7ca70fe4ff75f0.us-east-1.aws.found.io/app/kibana#/discover/Steve-Slow-Train-Analysis-(2080s-and-2083s)?_g=(refreshInterval:(display:Off,pause:!f,section:0,value:0),time:(from:'2017-05-30T10:17:46-0600',mode:absolute,to:'2017-05-30T12:34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75" s="204" t="str">
        <f t="shared" si="56"/>
        <v>N</v>
      </c>
      <c r="X175" s="204">
        <f t="shared" si="79"/>
        <v>1</v>
      </c>
      <c r="Y175" s="204">
        <f t="shared" si="77"/>
        <v>9.6699999999999994E-2</v>
      </c>
      <c r="Z175" s="204">
        <f t="shared" si="78"/>
        <v>5.8959999999999999</v>
      </c>
      <c r="AA175" s="204">
        <f t="shared" si="60"/>
        <v>5.7992999999999997</v>
      </c>
      <c r="AB175" s="57" t="e">
        <f>VLOOKUP(A175,Enforcements!$C$7:$K$13,8,0)</f>
        <v>#N/A</v>
      </c>
      <c r="AC175" s="53" t="e">
        <f>VLOOKUP(A175,Enforcements!$C$7:$E$13,3,0)</f>
        <v>#N/A</v>
      </c>
      <c r="AD175" s="54" t="str">
        <f t="shared" si="61"/>
        <v>0817-30</v>
      </c>
      <c r="AE175" s="80" t="str">
        <f t="shared" si="62"/>
        <v>aws s3 cp s3://rtdc.mdm.uploadarchive.raw/RTDC4050/ "%USERPROFILE%\AppData\Local\Temp\OnboardLogs"\RTDC4050\2017-05-30 --exclude "*" --recursive --include "*20170530*" &amp; "%USERPROFILE%\Documents\GitHub\mrs-test-scripts\Headless Mode &amp; Sideloading\WalkAndUnGZ.bat" "%USERPROFILE%\AppData\Local\Temp\OnboardLogs"\RTDC4050\2017-05-30 &amp; aws s3 cp s3://rtdc.mdm.uploadarchive.raw/RTDC4050/ "%USERPROFILE%\AppData\Local\Temp\OnboardLogs"\RTDC4050\2017-05-31 --exclude "*" --recursive --include "*20170531*" &amp; "%USERPROFILE%\Documents\GitHub\mrs-test-scripts\Headless Mode &amp; Sideloading\WalkAndUnGZ.bat" "%USERPROFILE%\AppData\Local\Temp\OnboardLogs"\RTDC4050\2017-05-31</v>
      </c>
      <c r="AF175" s="77" t="str">
        <f t="shared" si="63"/>
        <v>"C:\Program Files (x86)\AstroGrep\AstroGrep.exe" /e /r /s /spath="%USERPROFILE%\AppData\Local\Temp\OnboardLogs" /stypes="app*4050*20170530*" /stext=" 17:.+((SYSTEM_STATE.+slice.+state.+changed )|(ment ac)|(multiple cpu faults)|(system.+state.+changed )|(\[timeout)|(PRM\|1\|D)|(kpr)|(kdp)|(train st.+moving)|(\|lc)|(penalty))"</v>
      </c>
      <c r="AG175" s="1" t="str">
        <f t="shared" si="64"/>
        <v>NW</v>
      </c>
      <c r="AH175" s="81" t="str">
        <f t="shared" si="65"/>
        <v>"%USERPROFILE%\Documents\GitHub\eaglep3\Utilities\RefineRTDCRunTimes.py" --tripid 817-30 --locoid 4050 --swversion DE.1.0.9.0 --startMP 204:967 --initTime 2017-05-30T11:17:46 --startdatetime 2017-05-30T11:21:16 --delay 1 --endMP 300:58960 --enddatetime 2017-05-30T11:34:42 --enforcementcount 0 &gt;&gt;C:\Users\stu\Documents\GitHub\eaglep3-reporting\EC\2017-05-30-refined-times.txt</v>
      </c>
      <c r="AI175" s="99" t="str">
        <f t="shared" si="66"/>
        <v>echo {"issue":{"subject":"","project_id":79,"tracker_id":40,"status_id":1,"priority_id":2,"assigned_to_id":23,"start_date":"2017-05-30","description":"","custom_fields":[{"id":1,"name":"Subdivision","value":"NW"},{"id":4,"name":"Milepost","value":"5.896"},{"id":17,"name":"Train ID","value":"817-30"},{"id":16,"name":"Locomotive ID","value":"4050"},{"id":130,"name":"Impact","value":""},{"id":150,"name":"Time of Event (Mountain Time)","value":"11:34:42"},{"id":151,"name":"Denver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5" s="47"/>
      <c r="AL175" s="47"/>
      <c r="AM175" s="145" t="str">
        <f t="shared" si="67"/>
        <v>start /low /b %USERPROFILE%\Documents\GitHub\eaglep3\Utilities\DownloadLogsFromS3.py --loco 4050 --day 2017-05-30</v>
      </c>
      <c r="AN175" s="154" t="str">
        <f t="shared" si="68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17:34:42"},{"id":29,"name":"Sharepoint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25">
      <c r="A176" s="32" t="s">
        <v>755</v>
      </c>
      <c r="B176" s="7">
        <v>4049</v>
      </c>
      <c r="C176" s="21" t="s">
        <v>204</v>
      </c>
      <c r="D176" s="21" t="s">
        <v>623</v>
      </c>
      <c r="E176" s="13">
        <v>42885.485879629632</v>
      </c>
      <c r="F176" s="13">
        <v>42885.487453703703</v>
      </c>
      <c r="G176" s="7">
        <v>1</v>
      </c>
      <c r="H176" s="21" t="s">
        <v>960</v>
      </c>
      <c r="I176" s="13">
        <v>42885.496979166666</v>
      </c>
      <c r="J176" s="7">
        <v>0</v>
      </c>
      <c r="K176" s="92" t="str">
        <f t="shared" si="52"/>
        <v>4049/4050</v>
      </c>
      <c r="L176" s="21" t="str">
        <f>VLOOKUP(A176,'Trips&amp;Operators'!$C$1:$G$99999,5,FALSE)</f>
        <v>BIRENBAUM THOMAS</v>
      </c>
      <c r="M176" s="6">
        <f t="shared" si="53"/>
        <v>9.5254629632108845E-3</v>
      </c>
      <c r="N176" s="7">
        <f t="shared" si="76"/>
        <v>13.716666667023674</v>
      </c>
      <c r="O176" s="7"/>
      <c r="P176" s="7"/>
      <c r="Q176" s="22"/>
      <c r="R176" s="173"/>
      <c r="S176" s="176">
        <f t="shared" si="80"/>
        <v>1</v>
      </c>
      <c r="T176" s="202" t="str">
        <f t="shared" si="54"/>
        <v>Southbound</v>
      </c>
      <c r="U176" s="202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03" t="str">
        <f t="shared" si="55"/>
        <v>https://d0f6bd738d7f1b3e5a7ca70fe4ff75f0.us-east-1.aws.found.io/app/kibana#/discover/Steve-Slow-Train-Analysis-(2080s-and-2083s)?_g=(refreshInterval:(display:Off,pause:!f,section:0,value:0),time:(from:'2017-05-30T10:39:40-0600',mode:absolute,to:'2017-05-30T12:55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76" s="204" t="str">
        <f t="shared" si="56"/>
        <v>N</v>
      </c>
      <c r="X176" s="204">
        <f t="shared" si="79"/>
        <v>1</v>
      </c>
      <c r="Y176" s="204">
        <f t="shared" si="77"/>
        <v>5.8639999999999999</v>
      </c>
      <c r="Z176" s="204">
        <f t="shared" si="78"/>
        <v>6.9400000000000003E-2</v>
      </c>
      <c r="AA176" s="204">
        <f t="shared" si="60"/>
        <v>5.7946</v>
      </c>
      <c r="AB176" s="57" t="e">
        <f>VLOOKUP(A176,Enforcements!$C$7:$K$13,8,0)</f>
        <v>#N/A</v>
      </c>
      <c r="AC176" s="53" t="e">
        <f>VLOOKUP(A176,Enforcements!$C$7:$E$13,3,0)</f>
        <v>#N/A</v>
      </c>
      <c r="AD176" s="54" t="str">
        <f t="shared" si="61"/>
        <v>0818-30</v>
      </c>
      <c r="AE176" s="80" t="str">
        <f t="shared" si="62"/>
        <v>aws s3 cp s3://rtdc.mdm.uploadarchive.raw/RTDC4049/ "%USERPROFILE%\AppData\Local\Temp\OnboardLogs"\RTDC4049\2017-05-30 --exclude "*" --recursive --include "*20170530*" &amp; "%USERPROFILE%\Documents\GitHub\mrs-test-scripts\Headless Mode &amp; Sideloading\WalkAndUnGZ.bat" "%USERPROFILE%\AppData\Local\Temp\OnboardLogs"\RTDC4049\2017-05-30 &amp; aws s3 cp s3://rtdc.mdm.uploadarchive.raw/RTDC4049/ "%USERPROFILE%\AppData\Local\Temp\OnboardLogs"\RTDC4049\2017-05-31 --exclude "*" --recursive --include "*20170531*" &amp; "%USERPROFILE%\Documents\GitHub\mrs-test-scripts\Headless Mode &amp; Sideloading\WalkAndUnGZ.bat" "%USERPROFILE%\AppData\Local\Temp\OnboardLogs"\RTDC4049\2017-05-31</v>
      </c>
      <c r="AF176" s="77" t="str">
        <f t="shared" si="63"/>
        <v>"C:\Program Files (x86)\AstroGrep\AstroGrep.exe" /e /r /s /spath="%USERPROFILE%\AppData\Local\Temp\OnboardLogs" /stypes="app*4049*20170530*" /stext=" 17:.+((SYSTEM_STATE.+slice.+state.+changed )|(ment ac)|(multiple cpu faults)|(system.+state.+changed )|(\[timeout)|(PRM\|1\|D)|(kpr)|(kdp)|(train st.+moving)|(\|lc)|(penalty))"</v>
      </c>
      <c r="AG176" s="1" t="str">
        <f t="shared" si="64"/>
        <v>NW</v>
      </c>
      <c r="AH176" s="81" t="str">
        <f t="shared" si="65"/>
        <v>"%USERPROFILE%\Documents\GitHub\eaglep3\Utilities\RefineRTDCRunTimes.py" --tripid 818-30 --locoid 4049 --swversion DE.1.0.9.0 --startMP 300:58640 --initTime 2017-05-30T11:39:40 --startdatetime 2017-05-30T11:41:56 --delay 1 --endMP 204:694 --enddatetime 2017-05-30T11:55:39 --enforcementcount 0 &gt;&gt;C:\Users\stu\Documents\GitHub\eaglep3-reporting\EC\2017-05-30-refined-times.txt</v>
      </c>
      <c r="AI176" s="99" t="str">
        <f t="shared" si="66"/>
        <v>echo {"issue":{"subject":"","project_id":79,"tracker_id":40,"status_id":1,"priority_id":2,"assigned_to_id":23,"start_date":"2017-05-30","description":"","custom_fields":[{"id":1,"name":"Subdivision","value":"NW"},{"id":4,"name":"Milepost","value":"0.0694"},{"id":17,"name":"Train ID","value":"818-30"},{"id":16,"name":"Locomotive ID","value":"4049"},{"id":130,"name":"Impact","value":""},{"id":150,"name":"Time of Event (Mountain Time)","value":"11:55:39"},{"id":151,"name":"Denver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6" s="47"/>
      <c r="AL176" s="47"/>
      <c r="AM176" s="145" t="str">
        <f t="shared" si="67"/>
        <v>start /low /b %USERPROFILE%\Documents\GitHub\eaglep3\Utilities\DownloadLogsFromS3.py --loco 4049 --day 2017-05-30</v>
      </c>
      <c r="AN176" s="154" t="str">
        <f t="shared" si="68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17:55:39"},{"id":29,"name":"Sharepoint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x14ac:dyDescent="0.25">
      <c r="A177" s="32" t="s">
        <v>648</v>
      </c>
      <c r="B177" s="7">
        <v>4050</v>
      </c>
      <c r="C177" s="21" t="s">
        <v>204</v>
      </c>
      <c r="D177" s="21" t="s">
        <v>502</v>
      </c>
      <c r="E177" s="13">
        <v>42885.508715277778</v>
      </c>
      <c r="F177" s="13">
        <v>42885.514907407407</v>
      </c>
      <c r="G177" s="7">
        <v>1</v>
      </c>
      <c r="H177" s="21" t="s">
        <v>628</v>
      </c>
      <c r="I177" s="13">
        <v>42885.524664351855</v>
      </c>
      <c r="J177" s="7">
        <v>0</v>
      </c>
      <c r="K177" s="92" t="str">
        <f t="shared" si="52"/>
        <v>4049/4050</v>
      </c>
      <c r="L177" s="21" t="str">
        <f>VLOOKUP(A177,'Trips&amp;Operators'!$C$1:$G$99999,5,FALSE)</f>
        <v>BIRENBAUM THOMAS</v>
      </c>
      <c r="M177" s="6">
        <f t="shared" si="53"/>
        <v>9.7569444478722289E-3</v>
      </c>
      <c r="N177" s="7">
        <f t="shared" si="76"/>
        <v>14.05000000493601</v>
      </c>
      <c r="O177" s="7"/>
      <c r="P177" s="7"/>
      <c r="Q177" s="22"/>
      <c r="R177" s="173"/>
      <c r="S177" s="176">
        <f t="shared" si="80"/>
        <v>1</v>
      </c>
      <c r="T177" s="202" t="str">
        <f t="shared" si="54"/>
        <v>NorthBound</v>
      </c>
      <c r="U177" s="202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03" t="str">
        <f t="shared" si="55"/>
        <v>https://d0f6bd738d7f1b3e5a7ca70fe4ff75f0.us-east-1.aws.found.io/app/kibana#/discover/Steve-Slow-Train-Analysis-(2080s-and-2083s)?_g=(refreshInterval:(display:Off,pause:!f,section:0,value:0),time:(from:'2017-05-30T11:12:33-0600',mode:absolute,to:'2017-05-30T13:35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77" s="204" t="str">
        <f t="shared" si="56"/>
        <v>N</v>
      </c>
      <c r="X177" s="204">
        <f t="shared" si="79"/>
        <v>1</v>
      </c>
      <c r="Y177" s="204">
        <f t="shared" si="77"/>
        <v>9.8299999999999998E-2</v>
      </c>
      <c r="Z177" s="204">
        <f t="shared" si="78"/>
        <v>5.8925999999999998</v>
      </c>
      <c r="AA177" s="204">
        <f t="shared" si="60"/>
        <v>5.7942999999999998</v>
      </c>
      <c r="AB177" s="57" t="e">
        <f>VLOOKUP(A177,Enforcements!$C$7:$K$13,8,0)</f>
        <v>#N/A</v>
      </c>
      <c r="AC177" s="53" t="e">
        <f>VLOOKUP(A177,Enforcements!$C$7:$E$13,3,0)</f>
        <v>#N/A</v>
      </c>
      <c r="AD177" s="54" t="str">
        <f t="shared" si="61"/>
        <v>0819-30</v>
      </c>
      <c r="AE177" s="80" t="str">
        <f t="shared" si="62"/>
        <v>aws s3 cp s3://rtdc.mdm.uploadarchive.raw/RTDC4050/ "%USERPROFILE%\AppData\Local\Temp\OnboardLogs"\RTDC4050\2017-05-30 --exclude "*" --recursive --include "*20170530*" &amp; "%USERPROFILE%\Documents\GitHub\mrs-test-scripts\Headless Mode &amp; Sideloading\WalkAndUnGZ.bat" "%USERPROFILE%\AppData\Local\Temp\OnboardLogs"\RTDC4050\2017-05-30 &amp; aws s3 cp s3://rtdc.mdm.uploadarchive.raw/RTDC4050/ "%USERPROFILE%\AppData\Local\Temp\OnboardLogs"\RTDC4050\2017-05-31 --exclude "*" --recursive --include "*20170531*" &amp; "%USERPROFILE%\Documents\GitHub\mrs-test-scripts\Headless Mode &amp; Sideloading\WalkAndUnGZ.bat" "%USERPROFILE%\AppData\Local\Temp\OnboardLogs"\RTDC4050\2017-05-31</v>
      </c>
      <c r="AF177" s="77" t="str">
        <f t="shared" si="63"/>
        <v>"C:\Program Files (x86)\AstroGrep\AstroGrep.exe" /e /r /s /spath="%USERPROFILE%\AppData\Local\Temp\OnboardLogs" /stypes="app*4050*20170530*" /stext=" 18:.+((SYSTEM_STATE.+slice.+state.+changed )|(ment ac)|(multiple cpu faults)|(system.+state.+changed )|(\[timeout)|(PRM\|1\|D)|(kpr)|(kdp)|(train st.+moving)|(\|lc)|(penalty))"</v>
      </c>
      <c r="AG177" s="1" t="str">
        <f t="shared" si="64"/>
        <v>NW</v>
      </c>
      <c r="AH177" s="81" t="str">
        <f t="shared" si="65"/>
        <v>"%USERPROFILE%\Documents\GitHub\eaglep3\Utilities\RefineRTDCRunTimes.py" --tripid 819-30 --locoid 4050 --swversion DE.1.0.9.0 --startMP 204:983 --initTime 2017-05-30T12:12:33 --startdatetime 2017-05-30T12:21:28 --delay 1 --endMP 300:58926 --enddatetime 2017-05-30T12:35:31 --enforcementcount 0 &gt;&gt;C:\Users\stu\Documents\GitHub\eaglep3-reporting\EC\2017-05-30-refined-times.txt</v>
      </c>
      <c r="AI177" s="99" t="str">
        <f t="shared" si="66"/>
        <v>echo {"issue":{"subject":"","project_id":79,"tracker_id":40,"status_id":1,"priority_id":2,"assigned_to_id":23,"start_date":"2017-05-30","description":"","custom_fields":[{"id":1,"name":"Subdivision","value":"NW"},{"id":4,"name":"Milepost","value":"5.8926"},{"id":17,"name":"Train ID","value":"819-30"},{"id":16,"name":"Locomotive ID","value":"4050"},{"id":130,"name":"Impact","value":""},{"id":150,"name":"Time of Event (Mountain Time)","value":"12:35:31"},{"id":151,"name":"Denver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7"/>
      <c r="AL177" s="47"/>
      <c r="AM177" s="145" t="str">
        <f t="shared" si="67"/>
        <v>start /low /b %USERPROFILE%\Documents\GitHub\eaglep3\Utilities\DownloadLogsFromS3.py --loco 4050 --day 2017-05-30</v>
      </c>
      <c r="AN177" s="154" t="str">
        <f t="shared" si="68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18:35:31"},{"id":29,"name":"Sharepoint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8" spans="1:91" x14ac:dyDescent="0.25">
      <c r="A178" s="32" t="s">
        <v>762</v>
      </c>
      <c r="B178" s="7">
        <v>4049</v>
      </c>
      <c r="C178" s="21" t="s">
        <v>204</v>
      </c>
      <c r="D178" s="21" t="s">
        <v>631</v>
      </c>
      <c r="E178" s="13">
        <v>42885.525902777779</v>
      </c>
      <c r="F178" s="13">
        <v>42885.527326388888</v>
      </c>
      <c r="G178" s="7">
        <v>1</v>
      </c>
      <c r="H178" s="21" t="s">
        <v>961</v>
      </c>
      <c r="I178" s="13">
        <v>42885.538599537038</v>
      </c>
      <c r="J178" s="7">
        <v>0</v>
      </c>
      <c r="K178" s="92" t="str">
        <f t="shared" si="52"/>
        <v>4049/4050</v>
      </c>
      <c r="L178" s="21" t="str">
        <f>VLOOKUP(A178,'Trips&amp;Operators'!$C$1:$G$99999,5,FALSE)</f>
        <v>YANG JAN</v>
      </c>
      <c r="M178" s="6">
        <f t="shared" si="53"/>
        <v>1.1273148149484769E-2</v>
      </c>
      <c r="N178" s="7">
        <f t="shared" si="76"/>
        <v>16.233333335258067</v>
      </c>
      <c r="O178" s="7"/>
      <c r="P178" s="7"/>
      <c r="Q178" s="22"/>
      <c r="R178" s="173"/>
      <c r="S178" s="176">
        <f t="shared" si="80"/>
        <v>1</v>
      </c>
      <c r="T178" s="202" t="str">
        <f t="shared" si="54"/>
        <v>Southbound</v>
      </c>
      <c r="U178" s="202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03" t="str">
        <f t="shared" si="55"/>
        <v>https://d0f6bd738d7f1b3e5a7ca70fe4ff75f0.us-east-1.aws.found.io/app/kibana#/discover/Steve-Slow-Train-Analysis-(2080s-and-2083s)?_g=(refreshInterval:(display:Off,pause:!f,section:0,value:0),time:(from:'2017-05-30T11:37:18-0600',mode:absolute,to:'2017-05-30T13:55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78" s="204" t="str">
        <f t="shared" si="56"/>
        <v>N</v>
      </c>
      <c r="X178" s="204">
        <f t="shared" ref="X178:X183" si="81">VALUE(LEFT(AD178,4))-VALUE(LEFT(AD177,4))</f>
        <v>1</v>
      </c>
      <c r="Y178" s="204">
        <f t="shared" si="77"/>
        <v>5.8593999999999999</v>
      </c>
      <c r="Z178" s="204">
        <f t="shared" si="78"/>
        <v>7.2599999999999998E-2</v>
      </c>
      <c r="AA178" s="204">
        <f t="shared" si="60"/>
        <v>5.7867999999999995</v>
      </c>
      <c r="AB178" s="57" t="e">
        <f>VLOOKUP(A178,Enforcements!$C$7:$K$13,8,0)</f>
        <v>#N/A</v>
      </c>
      <c r="AC178" s="53" t="e">
        <f>VLOOKUP(A178,Enforcements!$C$7:$E$13,3,0)</f>
        <v>#N/A</v>
      </c>
      <c r="AD178" s="54" t="str">
        <f t="shared" si="61"/>
        <v>0820-30</v>
      </c>
      <c r="AE178" s="80" t="str">
        <f t="shared" si="62"/>
        <v>aws s3 cp s3://rtdc.mdm.uploadarchive.raw/RTDC4049/ "%USERPROFILE%\AppData\Local\Temp\OnboardLogs"\RTDC4049\2017-05-30 --exclude "*" --recursive --include "*20170530*" &amp; "%USERPROFILE%\Documents\GitHub\mrs-test-scripts\Headless Mode &amp; Sideloading\WalkAndUnGZ.bat" "%USERPROFILE%\AppData\Local\Temp\OnboardLogs"\RTDC4049\2017-05-30 &amp; aws s3 cp s3://rtdc.mdm.uploadarchive.raw/RTDC4049/ "%USERPROFILE%\AppData\Local\Temp\OnboardLogs"\RTDC4049\2017-05-31 --exclude "*" --recursive --include "*20170531*" &amp; "%USERPROFILE%\Documents\GitHub\mrs-test-scripts\Headless Mode &amp; Sideloading\WalkAndUnGZ.bat" "%USERPROFILE%\AppData\Local\Temp\OnboardLogs"\RTDC4049\2017-05-31</v>
      </c>
      <c r="AF178" s="77" t="str">
        <f t="shared" si="63"/>
        <v>"C:\Program Files (x86)\AstroGrep\AstroGrep.exe" /e /r /s /spath="%USERPROFILE%\AppData\Local\Temp\OnboardLogs" /stypes="app*4049*20170530*" /stext=" 18:.+((SYSTEM_STATE.+slice.+state.+changed )|(ment ac)|(multiple cpu faults)|(system.+state.+changed )|(\[timeout)|(PRM\|1\|D)|(kpr)|(kdp)|(train st.+moving)|(\|lc)|(penalty))"</v>
      </c>
      <c r="AG178" s="1" t="str">
        <f t="shared" si="64"/>
        <v>NW</v>
      </c>
      <c r="AH178" s="81" t="str">
        <f t="shared" si="65"/>
        <v>"%USERPROFILE%\Documents\GitHub\eaglep3\Utilities\RefineRTDCRunTimes.py" --tripid 820-30 --locoid 4049 --swversion DE.1.0.9.0 --startMP 300:58594 --initTime 2017-05-30T12:37:18 --startdatetime 2017-05-30T12:39:21 --delay 1 --endMP 204:726 --enddatetime 2017-05-30T12:55:35 --enforcementcount 0 &gt;&gt;C:\Users\stu\Documents\GitHub\eaglep3-reporting\EC\2017-05-30-refined-times.txt</v>
      </c>
      <c r="AI178" s="99" t="str">
        <f t="shared" si="66"/>
        <v>echo {"issue":{"subject":"","project_id":79,"tracker_id":40,"status_id":1,"priority_id":2,"assigned_to_id":23,"start_date":"2017-05-30","description":"","custom_fields":[{"id":1,"name":"Subdivision","value":"NW"},{"id":4,"name":"Milepost","value":"0.0726"},{"id":17,"name":"Train ID","value":"820-30"},{"id":16,"name":"Locomotive ID","value":"4049"},{"id":130,"name":"Impact","value":""},{"id":150,"name":"Time of Event (Mountain Time)","value":"12:55:35"},{"id":151,"name":"Denver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7"/>
      <c r="AL178" s="47"/>
      <c r="AM178" s="145" t="str">
        <f t="shared" si="67"/>
        <v>start /low /b %USERPROFILE%\Documents\GitHub\eaglep3\Utilities\DownloadLogsFromS3.py --loco 4049 --day 2017-05-30</v>
      </c>
      <c r="AN178" s="154" t="str">
        <f t="shared" si="68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18:55:35"},{"id":29,"name":"Sharepoint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9" spans="1:91" x14ac:dyDescent="0.25">
      <c r="A179" s="32" t="s">
        <v>767</v>
      </c>
      <c r="B179" s="7">
        <v>4050</v>
      </c>
      <c r="C179" s="21" t="s">
        <v>204</v>
      </c>
      <c r="D179" s="21" t="s">
        <v>962</v>
      </c>
      <c r="E179" s="13">
        <v>42885.550543981481</v>
      </c>
      <c r="F179" s="13">
        <v>42885.55641203704</v>
      </c>
      <c r="G179" s="7">
        <v>1</v>
      </c>
      <c r="H179" s="21" t="s">
        <v>963</v>
      </c>
      <c r="I179" s="13">
        <v>42885.56554398148</v>
      </c>
      <c r="J179" s="7">
        <v>0</v>
      </c>
      <c r="K179" s="92" t="str">
        <f t="shared" si="52"/>
        <v>4049/4050</v>
      </c>
      <c r="L179" s="21" t="str">
        <f>VLOOKUP(A179,'Trips&amp;Operators'!$C$1:$G$99999,5,FALSE)</f>
        <v>BRUDER RICHARD</v>
      </c>
      <c r="M179" s="6">
        <f t="shared" si="53"/>
        <v>9.1319444400141947E-3</v>
      </c>
      <c r="N179" s="7">
        <f t="shared" si="76"/>
        <v>13.14999999362044</v>
      </c>
      <c r="O179" s="7"/>
      <c r="P179" s="7"/>
      <c r="Q179" s="22"/>
      <c r="R179" s="173"/>
      <c r="S179" s="176">
        <f t="shared" si="80"/>
        <v>1</v>
      </c>
      <c r="T179" s="202" t="str">
        <f t="shared" si="54"/>
        <v>NorthBound</v>
      </c>
      <c r="U179" s="202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03" t="str">
        <f t="shared" si="55"/>
        <v>https://d0f6bd738d7f1b3e5a7ca70fe4ff75f0.us-east-1.aws.found.io/app/kibana#/discover/Steve-Slow-Train-Analysis-(2080s-and-2083s)?_g=(refreshInterval:(display:Off,pause:!f,section:0,value:0),time:(from:'2017-05-30T12:12:47-0600',mode:absolute,to:'2017-05-30T14:34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79" s="204" t="str">
        <f t="shared" si="56"/>
        <v>N</v>
      </c>
      <c r="X179" s="204">
        <f t="shared" si="81"/>
        <v>1</v>
      </c>
      <c r="Y179" s="204">
        <f t="shared" si="77"/>
        <v>0.1016</v>
      </c>
      <c r="Z179" s="204">
        <f t="shared" si="78"/>
        <v>5.8920000000000003</v>
      </c>
      <c r="AA179" s="204">
        <f t="shared" si="60"/>
        <v>5.7904</v>
      </c>
      <c r="AB179" s="57" t="e">
        <f>VLOOKUP(A179,Enforcements!$C$7:$K$13,8,0)</f>
        <v>#N/A</v>
      </c>
      <c r="AC179" s="53" t="e">
        <f>VLOOKUP(A179,Enforcements!$C$7:$E$13,3,0)</f>
        <v>#N/A</v>
      </c>
      <c r="AD179" s="54" t="str">
        <f t="shared" si="61"/>
        <v>0821-30</v>
      </c>
      <c r="AE179" s="80" t="str">
        <f t="shared" si="62"/>
        <v>aws s3 cp s3://rtdc.mdm.uploadarchive.raw/RTDC4050/ "%USERPROFILE%\AppData\Local\Temp\OnboardLogs"\RTDC4050\2017-05-30 --exclude "*" --recursive --include "*20170530*" &amp; "%USERPROFILE%\Documents\GitHub\mrs-test-scripts\Headless Mode &amp; Sideloading\WalkAndUnGZ.bat" "%USERPROFILE%\AppData\Local\Temp\OnboardLogs"\RTDC4050\2017-05-30 &amp; aws s3 cp s3://rtdc.mdm.uploadarchive.raw/RTDC4050/ "%USERPROFILE%\AppData\Local\Temp\OnboardLogs"\RTDC4050\2017-05-31 --exclude "*" --recursive --include "*20170531*" &amp; "%USERPROFILE%\Documents\GitHub\mrs-test-scripts\Headless Mode &amp; Sideloading\WalkAndUnGZ.bat" "%USERPROFILE%\AppData\Local\Temp\OnboardLogs"\RTDC4050\2017-05-31</v>
      </c>
      <c r="AF179" s="77" t="str">
        <f t="shared" si="63"/>
        <v>"C:\Program Files (x86)\AstroGrep\AstroGrep.exe" /e /r /s /spath="%USERPROFILE%\AppData\Local\Temp\OnboardLogs" /stypes="app*4050*20170530*" /stext=" 19:.+((SYSTEM_STATE.+slice.+state.+changed )|(ment ac)|(multiple cpu faults)|(system.+state.+changed )|(\[timeout)|(PRM\|1\|D)|(kpr)|(kdp)|(train st.+moving)|(\|lc)|(penalty))"</v>
      </c>
      <c r="AG179" s="1" t="str">
        <f t="shared" si="64"/>
        <v>NW</v>
      </c>
      <c r="AH179" s="81" t="str">
        <f t="shared" si="65"/>
        <v>"%USERPROFILE%\Documents\GitHub\eaglep3\Utilities\RefineRTDCRunTimes.py" --tripid 821-30 --locoid 4050 --swversion DE.1.0.9.0 --startMP 204:1016 --initTime 2017-05-30T13:12:47 --startdatetime 2017-05-30T13:21:14 --delay 1 --endMP 300:58920 --enddatetime 2017-05-30T13:34:23 --enforcementcount 0 &gt;&gt;C:\Users\stu\Documents\GitHub\eaglep3-reporting\EC\2017-05-30-refined-times.txt</v>
      </c>
      <c r="AI179" s="99" t="str">
        <f t="shared" si="66"/>
        <v>echo {"issue":{"subject":"","project_id":79,"tracker_id":40,"status_id":1,"priority_id":2,"assigned_to_id":23,"start_date":"2017-05-30","description":"","custom_fields":[{"id":1,"name":"Subdivision","value":"NW"},{"id":4,"name":"Milepost","value":"5.892"},{"id":17,"name":"Train ID","value":"821-30"},{"id":16,"name":"Locomotive ID","value":"4050"},{"id":130,"name":"Impact","value":""},{"id":150,"name":"Time of Event (Mountain Time)","value":"13:34:23"},{"id":151,"name":"Denver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7"/>
      <c r="AL179" s="47"/>
      <c r="AM179" s="145" t="str">
        <f t="shared" si="67"/>
        <v>start /low /b %USERPROFILE%\Documents\GitHub\eaglep3\Utilities\DownloadLogsFromS3.py --loco 4050 --day 2017-05-30</v>
      </c>
      <c r="AN179" s="154" t="str">
        <f t="shared" si="68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19:34:23"},{"id":29,"name":"Sharepoint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0" spans="1:91" x14ac:dyDescent="0.25">
      <c r="A180" s="32" t="s">
        <v>773</v>
      </c>
      <c r="B180" s="7">
        <v>4049</v>
      </c>
      <c r="C180" s="21" t="s">
        <v>204</v>
      </c>
      <c r="D180" s="21" t="s">
        <v>629</v>
      </c>
      <c r="E180" s="13">
        <v>42885.566504629627</v>
      </c>
      <c r="F180" s="13">
        <v>42885.568425925929</v>
      </c>
      <c r="G180" s="7">
        <v>1</v>
      </c>
      <c r="H180" s="21" t="s">
        <v>445</v>
      </c>
      <c r="I180" s="13">
        <v>42885.579606481479</v>
      </c>
      <c r="J180" s="7">
        <v>0</v>
      </c>
      <c r="K180" s="92" t="str">
        <f t="shared" si="52"/>
        <v>4049/4050</v>
      </c>
      <c r="L180" s="21" t="str">
        <f>VLOOKUP(A180,'Trips&amp;Operators'!$C$1:$G$99999,5,FALSE)</f>
        <v>NEWELL JAMES</v>
      </c>
      <c r="M180" s="6">
        <f t="shared" si="53"/>
        <v>1.1180555549799465E-2</v>
      </c>
      <c r="N180" s="7">
        <f t="shared" si="76"/>
        <v>16.099999991711229</v>
      </c>
      <c r="O180" s="7"/>
      <c r="P180" s="7"/>
      <c r="Q180" s="22"/>
      <c r="R180" s="173"/>
      <c r="S180" s="176">
        <f t="shared" si="80"/>
        <v>1</v>
      </c>
      <c r="T180" s="202" t="str">
        <f t="shared" si="54"/>
        <v>Southbound</v>
      </c>
      <c r="U180" s="202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03" t="str">
        <f t="shared" si="55"/>
        <v>https://d0f6bd738d7f1b3e5a7ca70fe4ff75f0.us-east-1.aws.found.io/app/kibana#/discover/Steve-Slow-Train-Analysis-(2080s-and-2083s)?_g=(refreshInterval:(display:Off,pause:!f,section:0,value:0),time:(from:'2017-05-30T12:35:46-0600',mode:absolute,to:'2017-05-30T14:54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80" s="204" t="str">
        <f t="shared" si="56"/>
        <v>N</v>
      </c>
      <c r="X180" s="204">
        <f t="shared" si="81"/>
        <v>1</v>
      </c>
      <c r="Y180" s="204">
        <f t="shared" si="77"/>
        <v>5.8615000000000004</v>
      </c>
      <c r="Z180" s="204">
        <f t="shared" si="78"/>
        <v>6.8400000000000002E-2</v>
      </c>
      <c r="AA180" s="204">
        <f t="shared" si="60"/>
        <v>5.7931000000000008</v>
      </c>
      <c r="AB180" s="57" t="e">
        <f>VLOOKUP(A180,Enforcements!$C$7:$K$13,8,0)</f>
        <v>#N/A</v>
      </c>
      <c r="AC180" s="53" t="e">
        <f>VLOOKUP(A180,Enforcements!$C$7:$E$13,3,0)</f>
        <v>#N/A</v>
      </c>
      <c r="AD180" s="54" t="str">
        <f t="shared" si="61"/>
        <v>0822-30</v>
      </c>
      <c r="AE180" s="80" t="str">
        <f t="shared" si="62"/>
        <v>aws s3 cp s3://rtdc.mdm.uploadarchive.raw/RTDC4049/ "%USERPROFILE%\AppData\Local\Temp\OnboardLogs"\RTDC4049\2017-05-30 --exclude "*" --recursive --include "*20170530*" &amp; "%USERPROFILE%\Documents\GitHub\mrs-test-scripts\Headless Mode &amp; Sideloading\WalkAndUnGZ.bat" "%USERPROFILE%\AppData\Local\Temp\OnboardLogs"\RTDC4049\2017-05-30 &amp; aws s3 cp s3://rtdc.mdm.uploadarchive.raw/RTDC4049/ "%USERPROFILE%\AppData\Local\Temp\OnboardLogs"\RTDC4049\2017-05-31 --exclude "*" --recursive --include "*20170531*" &amp; "%USERPROFILE%\Documents\GitHub\mrs-test-scripts\Headless Mode &amp; Sideloading\WalkAndUnGZ.bat" "%USERPROFILE%\AppData\Local\Temp\OnboardLogs"\RTDC4049\2017-05-31</v>
      </c>
      <c r="AF180" s="77" t="str">
        <f t="shared" si="63"/>
        <v>"C:\Program Files (x86)\AstroGrep\AstroGrep.exe" /e /r /s /spath="%USERPROFILE%\AppData\Local\Temp\OnboardLogs" /stypes="app*4049*20170530*" /stext=" 19:.+((SYSTEM_STATE.+slice.+state.+changed )|(ment ac)|(multiple cpu faults)|(system.+state.+changed )|(\[timeout)|(PRM\|1\|D)|(kpr)|(kdp)|(train st.+moving)|(\|lc)|(penalty))"</v>
      </c>
      <c r="AG180" s="1" t="str">
        <f t="shared" si="64"/>
        <v>NW</v>
      </c>
      <c r="AH180" s="81" t="str">
        <f t="shared" si="65"/>
        <v>"%USERPROFILE%\Documents\GitHub\eaglep3\Utilities\RefineRTDCRunTimes.py" --tripid 822-30 --locoid 4049 --swversion DE.1.0.9.0 --startMP 300:58615 --initTime 2017-05-30T13:35:46 --startdatetime 2017-05-30T13:38:32 --delay 1 --endMP 204:684 --enddatetime 2017-05-30T13:54:38 --enforcementcount 0 &gt;&gt;C:\Users\stu\Documents\GitHub\eaglep3-reporting\EC\2017-05-30-refined-times.txt</v>
      </c>
      <c r="AI180" s="99" t="str">
        <f t="shared" si="66"/>
        <v>echo {"issue":{"subject":"","project_id":79,"tracker_id":40,"status_id":1,"priority_id":2,"assigned_to_id":23,"start_date":"2017-05-30","description":"","custom_fields":[{"id":1,"name":"Subdivision","value":"NW"},{"id":4,"name":"Milepost","value":"0.0684"},{"id":17,"name":"Train ID","value":"822-30"},{"id":16,"name":"Locomotive ID","value":"4049"},{"id":130,"name":"Impact","value":""},{"id":150,"name":"Time of Event (Mountain Time)","value":"13:54:38"},{"id":151,"name":"Denver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7"/>
      <c r="AL180" s="47"/>
      <c r="AM180" s="145" t="str">
        <f t="shared" si="67"/>
        <v>start /low /b %USERPROFILE%\Documents\GitHub\eaglep3\Utilities\DownloadLogsFromS3.py --loco 4049 --day 2017-05-30</v>
      </c>
      <c r="AN180" s="154" t="str">
        <f t="shared" si="68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19:54:38"},{"id":29,"name":"Sharepoint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1" spans="1:91" x14ac:dyDescent="0.25">
      <c r="A181" s="32" t="s">
        <v>779</v>
      </c>
      <c r="B181" s="7">
        <v>4050</v>
      </c>
      <c r="C181" s="21" t="s">
        <v>204</v>
      </c>
      <c r="D181" s="21" t="s">
        <v>620</v>
      </c>
      <c r="E181" s="13">
        <v>42885.593692129631</v>
      </c>
      <c r="F181" s="13">
        <v>42885.598101851851</v>
      </c>
      <c r="G181" s="7">
        <v>2</v>
      </c>
      <c r="H181" s="21" t="s">
        <v>964</v>
      </c>
      <c r="I181" s="13">
        <v>42885.60733796296</v>
      </c>
      <c r="J181" s="7">
        <v>0</v>
      </c>
      <c r="K181" s="92" t="str">
        <f t="shared" si="52"/>
        <v>4049/4050</v>
      </c>
      <c r="L181" s="21" t="str">
        <f>VLOOKUP(A181,'Trips&amp;Operators'!$C$1:$G$99999,5,FALSE)</f>
        <v>BRUDER RICHARD</v>
      </c>
      <c r="M181" s="6">
        <f t="shared" si="53"/>
        <v>9.2361111092031933E-3</v>
      </c>
      <c r="N181" s="7">
        <f t="shared" si="76"/>
        <v>13.299999997252598</v>
      </c>
      <c r="O181" s="7"/>
      <c r="P181" s="7"/>
      <c r="Q181" s="22"/>
      <c r="R181" s="173"/>
      <c r="S181" s="176">
        <f t="shared" si="80"/>
        <v>1</v>
      </c>
      <c r="T181" s="202" t="str">
        <f t="shared" si="54"/>
        <v>NorthBound</v>
      </c>
      <c r="U181" s="202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03" t="str">
        <f t="shared" si="55"/>
        <v>https://d0f6bd738d7f1b3e5a7ca70fe4ff75f0.us-east-1.aws.found.io/app/kibana#/discover/Steve-Slow-Train-Analysis-(2080s-and-2083s)?_g=(refreshInterval:(display:Off,pause:!f,section:0,value:0),time:(from:'2017-05-30T13:14:55-0600',mode:absolute,to:'2017-05-30T15:34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81" s="204" t="str">
        <f t="shared" si="56"/>
        <v>N</v>
      </c>
      <c r="X181" s="204">
        <f t="shared" si="81"/>
        <v>1</v>
      </c>
      <c r="Y181" s="204">
        <f t="shared" si="77"/>
        <v>9.6500000000000002E-2</v>
      </c>
      <c r="Z181" s="204">
        <f t="shared" si="78"/>
        <v>5.8943000000000003</v>
      </c>
      <c r="AA181" s="204">
        <f t="shared" si="60"/>
        <v>5.7978000000000005</v>
      </c>
      <c r="AB181" s="57" t="e">
        <f>VLOOKUP(A181,Enforcements!$C$7:$K$13,8,0)</f>
        <v>#N/A</v>
      </c>
      <c r="AC181" s="53" t="e">
        <f>VLOOKUP(A181,Enforcements!$C$7:$E$13,3,0)</f>
        <v>#N/A</v>
      </c>
      <c r="AD181" s="54" t="str">
        <f t="shared" si="61"/>
        <v>0823-30</v>
      </c>
      <c r="AE181" s="80" t="str">
        <f t="shared" si="62"/>
        <v>aws s3 cp s3://rtdc.mdm.uploadarchive.raw/RTDC4050/ "%USERPROFILE%\AppData\Local\Temp\OnboardLogs"\RTDC4050\2017-05-30 --exclude "*" --recursive --include "*20170530*" &amp; "%USERPROFILE%\Documents\GitHub\mrs-test-scripts\Headless Mode &amp; Sideloading\WalkAndUnGZ.bat" "%USERPROFILE%\AppData\Local\Temp\OnboardLogs"\RTDC4050\2017-05-30 &amp; aws s3 cp s3://rtdc.mdm.uploadarchive.raw/RTDC4050/ "%USERPROFILE%\AppData\Local\Temp\OnboardLogs"\RTDC4050\2017-05-31 --exclude "*" --recursive --include "*20170531*" &amp; "%USERPROFILE%\Documents\GitHub\mrs-test-scripts\Headless Mode &amp; Sideloading\WalkAndUnGZ.bat" "%USERPROFILE%\AppData\Local\Temp\OnboardLogs"\RTDC4050\2017-05-31</v>
      </c>
      <c r="AF181" s="77" t="str">
        <f t="shared" si="63"/>
        <v>"C:\Program Files (x86)\AstroGrep\AstroGrep.exe" /e /r /s /spath="%USERPROFILE%\AppData\Local\Temp\OnboardLogs" /stypes="app*4050*20170530*" /stext=" 20:.+((SYSTEM_STATE.+slice.+state.+changed )|(ment ac)|(multiple cpu faults)|(system.+state.+changed )|(\[timeout)|(PRM\|1\|D)|(kpr)|(kdp)|(train st.+moving)|(\|lc)|(penalty))"</v>
      </c>
      <c r="AG181" s="1" t="str">
        <f t="shared" si="64"/>
        <v>NW</v>
      </c>
      <c r="AH181" s="81" t="str">
        <f t="shared" si="65"/>
        <v>"%USERPROFILE%\Documents\GitHub\eaglep3\Utilities\RefineRTDCRunTimes.py" --tripid 823-30 --locoid 4050 --swversion DE.1.0.9.0 --startMP 204:965 --initTime 2017-05-30T14:14:55 --startdatetime 2017-05-30T14:21:16 --delay 2 --endMP 300:58943 --enddatetime 2017-05-30T14:34:34 --enforcementcount 0 &gt;&gt;C:\Users\stu\Documents\GitHub\eaglep3-reporting\EC\2017-05-30-refined-times.txt</v>
      </c>
      <c r="AI181" s="99" t="str">
        <f t="shared" si="66"/>
        <v>echo {"issue":{"subject":"","project_id":79,"tracker_id":40,"status_id":1,"priority_id":2,"assigned_to_id":23,"start_date":"2017-05-30","description":"","custom_fields":[{"id":1,"name":"Subdivision","value":"NW"},{"id":4,"name":"Milepost","value":"5.8943"},{"id":17,"name":"Train ID","value":"823-30"},{"id":16,"name":"Locomotive ID","value":"4050"},{"id":130,"name":"Impact","value":""},{"id":150,"name":"Time of Event (Mountain Time)","value":"14:34:34"},{"id":151,"name":"Denver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5" t="str">
        <f t="shared" si="67"/>
        <v>start /low /b %USERPROFILE%\Documents\GitHub\eaglep3\Utilities\DownloadLogsFromS3.py --loco 4050 --day 2017-05-30</v>
      </c>
      <c r="AN181" s="154" t="str">
        <f t="shared" si="68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20:34:34"},{"id":29,"name":"Sharepoint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2" spans="1:91" x14ac:dyDescent="0.25">
      <c r="A182" s="32" t="s">
        <v>783</v>
      </c>
      <c r="B182" s="7">
        <v>4049</v>
      </c>
      <c r="C182" s="21" t="s">
        <v>204</v>
      </c>
      <c r="D182" s="21" t="s">
        <v>539</v>
      </c>
      <c r="E182" s="13">
        <v>42885.608298611114</v>
      </c>
      <c r="F182" s="13">
        <v>42885.61</v>
      </c>
      <c r="G182" s="7">
        <v>1</v>
      </c>
      <c r="H182" s="21" t="s">
        <v>965</v>
      </c>
      <c r="I182" s="13">
        <v>42885.621608796297</v>
      </c>
      <c r="J182" s="7">
        <v>0</v>
      </c>
      <c r="K182" s="92" t="str">
        <f t="shared" si="52"/>
        <v>4049/4050</v>
      </c>
      <c r="L182" s="21" t="str">
        <f>VLOOKUP(A182,'Trips&amp;Operators'!$C$1:$G$99999,5,FALSE)</f>
        <v>BRUDER RICHARD</v>
      </c>
      <c r="M182" s="6">
        <f t="shared" si="53"/>
        <v>1.1608796296059154E-2</v>
      </c>
      <c r="N182" s="7">
        <f t="shared" si="76"/>
        <v>16.716666666325182</v>
      </c>
      <c r="O182" s="7"/>
      <c r="P182" s="7"/>
      <c r="Q182" s="22"/>
      <c r="R182" s="173"/>
      <c r="S182" s="176">
        <f t="shared" si="80"/>
        <v>1</v>
      </c>
      <c r="T182" s="202" t="str">
        <f t="shared" si="54"/>
        <v>Southbound</v>
      </c>
      <c r="U182" s="202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03" t="str">
        <f t="shared" si="55"/>
        <v>https://d0f6bd738d7f1b3e5a7ca70fe4ff75f0.us-east-1.aws.found.io/app/kibana#/discover/Steve-Slow-Train-Analysis-(2080s-and-2083s)?_g=(refreshInterval:(display:Off,pause:!f,section:0,value:0),time:(from:'2017-05-30T13:35:57-0600',mode:absolute,to:'2017-05-30T15:55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82" s="204" t="str">
        <f t="shared" si="56"/>
        <v>N</v>
      </c>
      <c r="X182" s="204">
        <f t="shared" si="81"/>
        <v>1</v>
      </c>
      <c r="Y182" s="204">
        <f t="shared" si="77"/>
        <v>5.8623000000000003</v>
      </c>
      <c r="Z182" s="204">
        <f t="shared" si="78"/>
        <v>6.7299999999999999E-2</v>
      </c>
      <c r="AA182" s="204">
        <f t="shared" si="60"/>
        <v>5.7949999999999999</v>
      </c>
      <c r="AB182" s="57" t="e">
        <f>VLOOKUP(A182,Enforcements!$C$7:$K$13,8,0)</f>
        <v>#N/A</v>
      </c>
      <c r="AC182" s="53" t="e">
        <f>VLOOKUP(A182,Enforcements!$C$7:$E$13,3,0)</f>
        <v>#N/A</v>
      </c>
      <c r="AD182" s="54" t="str">
        <f t="shared" si="61"/>
        <v>0824-30</v>
      </c>
      <c r="AE182" s="80" t="str">
        <f t="shared" si="62"/>
        <v>aws s3 cp s3://rtdc.mdm.uploadarchive.raw/RTDC4049/ "%USERPROFILE%\AppData\Local\Temp\OnboardLogs"\RTDC4049\2017-05-30 --exclude "*" --recursive --include "*20170530*" &amp; "%USERPROFILE%\Documents\GitHub\mrs-test-scripts\Headless Mode &amp; Sideloading\WalkAndUnGZ.bat" "%USERPROFILE%\AppData\Local\Temp\OnboardLogs"\RTDC4049\2017-05-30 &amp; aws s3 cp s3://rtdc.mdm.uploadarchive.raw/RTDC4049/ "%USERPROFILE%\AppData\Local\Temp\OnboardLogs"\RTDC4049\2017-05-31 --exclude "*" --recursive --include "*20170531*" &amp; "%USERPROFILE%\Documents\GitHub\mrs-test-scripts\Headless Mode &amp; Sideloading\WalkAndUnGZ.bat" "%USERPROFILE%\AppData\Local\Temp\OnboardLogs"\RTDC4049\2017-05-31</v>
      </c>
      <c r="AF182" s="77" t="str">
        <f t="shared" si="63"/>
        <v>"C:\Program Files (x86)\AstroGrep\AstroGrep.exe" /e /r /s /spath="%USERPROFILE%\AppData\Local\Temp\OnboardLogs" /stypes="app*4049*20170530*" /stext=" 20:.+((SYSTEM_STATE.+slice.+state.+changed )|(ment ac)|(multiple cpu faults)|(system.+state.+changed )|(\[timeout)|(PRM\|1\|D)|(kpr)|(kdp)|(train st.+moving)|(\|lc)|(penalty))"</v>
      </c>
      <c r="AG182" s="1" t="str">
        <f t="shared" si="64"/>
        <v>NW</v>
      </c>
      <c r="AH182" s="81" t="str">
        <f t="shared" si="65"/>
        <v>"%USERPROFILE%\Documents\GitHub\eaglep3\Utilities\RefineRTDCRunTimes.py" --tripid 824-30 --locoid 4049 --swversion DE.1.0.9.0 --startMP 300:58623 --initTime 2017-05-30T14:35:57 --startdatetime 2017-05-30T14:38:24 --delay 1 --endMP 204:673 --enddatetime 2017-05-30T14:55:07 --enforcementcount 0 &gt;&gt;C:\Users\stu\Documents\GitHub\eaglep3-reporting\EC\2017-05-30-refined-times.txt</v>
      </c>
      <c r="AI182" s="99" t="str">
        <f t="shared" si="66"/>
        <v>echo {"issue":{"subject":"","project_id":79,"tracker_id":40,"status_id":1,"priority_id":2,"assigned_to_id":23,"start_date":"2017-05-30","description":"","custom_fields":[{"id":1,"name":"Subdivision","value":"NW"},{"id":4,"name":"Milepost","value":"0.0673"},{"id":17,"name":"Train ID","value":"824-30"},{"id":16,"name":"Locomotive ID","value":"4049"},{"id":130,"name":"Impact","value":""},{"id":150,"name":"Time of Event (Mountain Time)","value":"14:55:07"},{"id":151,"name":"Denver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5" t="str">
        <f t="shared" si="67"/>
        <v>start /low /b %USERPROFILE%\Documents\GitHub\eaglep3\Utilities\DownloadLogsFromS3.py --loco 4049 --day 2017-05-30</v>
      </c>
      <c r="AN182" s="154" t="str">
        <f t="shared" si="68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20:55:07"},{"id":29,"name":"Sharepoint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3" spans="1:91" x14ac:dyDescent="0.25">
      <c r="A183" s="32" t="s">
        <v>790</v>
      </c>
      <c r="B183" s="7">
        <v>4050</v>
      </c>
      <c r="C183" s="21" t="s">
        <v>204</v>
      </c>
      <c r="D183" s="21" t="s">
        <v>966</v>
      </c>
      <c r="E183" s="13">
        <v>42885.636192129627</v>
      </c>
      <c r="F183" s="13">
        <v>42885.639780092592</v>
      </c>
      <c r="G183" s="7">
        <v>1</v>
      </c>
      <c r="H183" s="21" t="s">
        <v>500</v>
      </c>
      <c r="I183" s="13">
        <v>42885.648981481485</v>
      </c>
      <c r="J183" s="7">
        <v>0</v>
      </c>
      <c r="K183" s="92" t="str">
        <f t="shared" si="52"/>
        <v>4049/4050</v>
      </c>
      <c r="L183" s="21" t="str">
        <f>VLOOKUP(A183,'Trips&amp;Operators'!$C$1:$G$99999,5,FALSE)</f>
        <v>BRUDER RICHARD</v>
      </c>
      <c r="M183" s="6">
        <f t="shared" si="53"/>
        <v>9.2013888934161514E-3</v>
      </c>
      <c r="N183" s="7">
        <f t="shared" si="76"/>
        <v>13.250000006519258</v>
      </c>
      <c r="O183" s="7"/>
      <c r="P183" s="7"/>
      <c r="Q183" s="22"/>
      <c r="R183" s="173"/>
      <c r="S183" s="176">
        <f t="shared" si="80"/>
        <v>1</v>
      </c>
      <c r="T183" s="202" t="str">
        <f t="shared" si="54"/>
        <v>NorthBound</v>
      </c>
      <c r="U183" s="202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03" t="str">
        <f t="shared" si="55"/>
        <v>https://d0f6bd738d7f1b3e5a7ca70fe4ff75f0.us-east-1.aws.found.io/app/kibana#/discover/Steve-Slow-Train-Analysis-(2080s-and-2083s)?_g=(refreshInterval:(display:Off,pause:!f,section:0,value:0),time:(from:'2017-05-30T14:16:07-0600',mode:absolute,to:'2017-05-30T16:34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83" s="204" t="str">
        <f t="shared" si="56"/>
        <v>N</v>
      </c>
      <c r="X183" s="204">
        <f t="shared" si="81"/>
        <v>1</v>
      </c>
      <c r="Y183" s="204">
        <f t="shared" si="77"/>
        <v>9.7799999999999998E-2</v>
      </c>
      <c r="Z183" s="204">
        <f t="shared" si="78"/>
        <v>5.8954000000000004</v>
      </c>
      <c r="AA183" s="204">
        <f t="shared" si="60"/>
        <v>5.7976000000000001</v>
      </c>
      <c r="AB183" s="57" t="e">
        <f>VLOOKUP(A183,Enforcements!$C$7:$K$13,8,0)</f>
        <v>#N/A</v>
      </c>
      <c r="AC183" s="53" t="e">
        <f>VLOOKUP(A183,Enforcements!$C$7:$E$13,3,0)</f>
        <v>#N/A</v>
      </c>
      <c r="AD183" s="54" t="str">
        <f t="shared" si="61"/>
        <v>0825-30</v>
      </c>
      <c r="AE183" s="80" t="str">
        <f t="shared" si="62"/>
        <v>aws s3 cp s3://rtdc.mdm.uploadarchive.raw/RTDC4050/ "%USERPROFILE%\AppData\Local\Temp\OnboardLogs"\RTDC4050\2017-05-30 --exclude "*" --recursive --include "*20170530*" &amp; "%USERPROFILE%\Documents\GitHub\mrs-test-scripts\Headless Mode &amp; Sideloading\WalkAndUnGZ.bat" "%USERPROFILE%\AppData\Local\Temp\OnboardLogs"\RTDC4050\2017-05-30 &amp; aws s3 cp s3://rtdc.mdm.uploadarchive.raw/RTDC4050/ "%USERPROFILE%\AppData\Local\Temp\OnboardLogs"\RTDC4050\2017-05-31 --exclude "*" --recursive --include "*20170531*" &amp; "%USERPROFILE%\Documents\GitHub\mrs-test-scripts\Headless Mode &amp; Sideloading\WalkAndUnGZ.bat" "%USERPROFILE%\AppData\Local\Temp\OnboardLogs"\RTDC4050\2017-05-31</v>
      </c>
      <c r="AF183" s="77" t="str">
        <f t="shared" si="63"/>
        <v>"C:\Program Files (x86)\AstroGrep\AstroGrep.exe" /e /r /s /spath="%USERPROFILE%\AppData\Local\Temp\OnboardLogs" /stypes="app*4050*20170530*" /stext=" 21:.+((SYSTEM_STATE.+slice.+state.+changed )|(ment ac)|(multiple cpu faults)|(system.+state.+changed )|(\[timeout)|(PRM\|1\|D)|(kpr)|(kdp)|(train st.+moving)|(\|lc)|(penalty))"</v>
      </c>
      <c r="AG183" s="1" t="str">
        <f t="shared" si="64"/>
        <v>NW</v>
      </c>
      <c r="AH183" s="81" t="str">
        <f t="shared" si="65"/>
        <v>"%USERPROFILE%\Documents\GitHub\eaglep3\Utilities\RefineRTDCRunTimes.py" --tripid 825-30 --locoid 4050 --swversion DE.1.0.9.0 --startMP 204:978 --initTime 2017-05-30T15:16:07 --startdatetime 2017-05-30T15:21:17 --delay 1 --endMP 300:58954 --enddatetime 2017-05-30T15:34:32 --enforcementcount 0 &gt;&gt;C:\Users\stu\Documents\GitHub\eaglep3-reporting\EC\2017-05-30-refined-times.txt</v>
      </c>
      <c r="AI183" s="99" t="str">
        <f t="shared" si="66"/>
        <v>echo {"issue":{"subject":"","project_id":79,"tracker_id":40,"status_id":1,"priority_id":2,"assigned_to_id":23,"start_date":"2017-05-30","description":"","custom_fields":[{"id":1,"name":"Subdivision","value":"NW"},{"id":4,"name":"Milepost","value":"5.8954"},{"id":17,"name":"Train ID","value":"825-30"},{"id":16,"name":"Locomotive ID","value":"4050"},{"id":130,"name":"Impact","value":""},{"id":150,"name":"Time of Event (Mountain Time)","value":"15:34:32"},{"id":151,"name":"Denver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7"/>
      <c r="AL183" s="47"/>
      <c r="AM183" s="145" t="str">
        <f t="shared" si="67"/>
        <v>start /low /b %USERPROFILE%\Documents\GitHub\eaglep3\Utilities\DownloadLogsFromS3.py --loco 4050 --day 2017-05-30</v>
      </c>
      <c r="AN183" s="154" t="str">
        <f t="shared" si="68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21:34:32"},{"id":29,"name":"Sharepoint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4" spans="1:91" x14ac:dyDescent="0.25">
      <c r="A184" s="32" t="s">
        <v>794</v>
      </c>
      <c r="B184" s="7">
        <v>4049</v>
      </c>
      <c r="C184" s="21" t="s">
        <v>204</v>
      </c>
      <c r="D184" s="21" t="s">
        <v>623</v>
      </c>
      <c r="E184" s="13">
        <v>42885.650335648148</v>
      </c>
      <c r="F184" s="13">
        <v>42885.651921296296</v>
      </c>
      <c r="G184" s="7">
        <v>1</v>
      </c>
      <c r="H184" s="21" t="s">
        <v>967</v>
      </c>
      <c r="I184" s="13">
        <v>42885.663472222222</v>
      </c>
      <c r="J184" s="7">
        <v>0</v>
      </c>
      <c r="K184" s="92" t="str">
        <f t="shared" si="52"/>
        <v>4049/4050</v>
      </c>
      <c r="L184" s="21" t="str">
        <f>VLOOKUP(A184,'Trips&amp;Operators'!$C$1:$G$99999,5,FALSE)</f>
        <v>BRUDER RICHARD</v>
      </c>
      <c r="M184" s="6">
        <f t="shared" si="53"/>
        <v>1.1550925926712807E-2</v>
      </c>
      <c r="N184" s="7">
        <f t="shared" si="76"/>
        <v>16.633333334466442</v>
      </c>
      <c r="O184" s="7"/>
      <c r="P184" s="7"/>
      <c r="Q184" s="22"/>
      <c r="R184" s="173"/>
      <c r="S184" s="176">
        <f t="shared" si="80"/>
        <v>1</v>
      </c>
      <c r="T184" s="202" t="str">
        <f t="shared" si="54"/>
        <v>Southbound</v>
      </c>
      <c r="U184" s="202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03" t="str">
        <f t="shared" si="55"/>
        <v>https://d0f6bd738d7f1b3e5a7ca70fe4ff75f0.us-east-1.aws.found.io/app/kibana#/discover/Steve-Slow-Train-Analysis-(2080s-and-2083s)?_g=(refreshInterval:(display:Off,pause:!f,section:0,value:0),time:(from:'2017-05-30T14:36:29-0600',mode:absolute,to:'2017-05-30T16:55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84" s="204" t="str">
        <f t="shared" si="56"/>
        <v>N</v>
      </c>
      <c r="X184" s="204">
        <f t="shared" ref="X184:X231" si="82">VALUE(LEFT(AD184,4))-VALUE(LEFT(AD183,4))</f>
        <v>1</v>
      </c>
      <c r="Y184" s="204">
        <f t="shared" si="77"/>
        <v>5.8639999999999999</v>
      </c>
      <c r="Z184" s="204">
        <f t="shared" si="78"/>
        <v>6.8000000000000005E-2</v>
      </c>
      <c r="AA184" s="204">
        <f t="shared" si="60"/>
        <v>5.7960000000000003</v>
      </c>
      <c r="AB184" s="57" t="e">
        <f>VLOOKUP(A184,Enforcements!$C$7:$K$13,8,0)</f>
        <v>#N/A</v>
      </c>
      <c r="AC184" s="53" t="e">
        <f>VLOOKUP(A184,Enforcements!$C$7:$E$13,3,0)</f>
        <v>#N/A</v>
      </c>
      <c r="AD184" s="54" t="str">
        <f t="shared" si="61"/>
        <v>0826-30</v>
      </c>
      <c r="AE184" s="80" t="str">
        <f t="shared" si="62"/>
        <v>aws s3 cp s3://rtdc.mdm.uploadarchive.raw/RTDC4049/ "%USERPROFILE%\AppData\Local\Temp\OnboardLogs"\RTDC4049\2017-05-30 --exclude "*" --recursive --include "*20170530*" &amp; "%USERPROFILE%\Documents\GitHub\mrs-test-scripts\Headless Mode &amp; Sideloading\WalkAndUnGZ.bat" "%USERPROFILE%\AppData\Local\Temp\OnboardLogs"\RTDC4049\2017-05-30 &amp; aws s3 cp s3://rtdc.mdm.uploadarchive.raw/RTDC4049/ "%USERPROFILE%\AppData\Local\Temp\OnboardLogs"\RTDC4049\2017-05-31 --exclude "*" --recursive --include "*20170531*" &amp; "%USERPROFILE%\Documents\GitHub\mrs-test-scripts\Headless Mode &amp; Sideloading\WalkAndUnGZ.bat" "%USERPROFILE%\AppData\Local\Temp\OnboardLogs"\RTDC4049\2017-05-31</v>
      </c>
      <c r="AF184" s="77" t="str">
        <f t="shared" si="63"/>
        <v>"C:\Program Files (x86)\AstroGrep\AstroGrep.exe" /e /r /s /spath="%USERPROFILE%\AppData\Local\Temp\OnboardLogs" /stypes="app*4049*20170530*" /stext=" 21:.+((SYSTEM_STATE.+slice.+state.+changed )|(ment ac)|(multiple cpu faults)|(system.+state.+changed )|(\[timeout)|(PRM\|1\|D)|(kpr)|(kdp)|(train st.+moving)|(\|lc)|(penalty))"</v>
      </c>
      <c r="AG184" s="1" t="str">
        <f t="shared" si="64"/>
        <v>NW</v>
      </c>
      <c r="AH184" s="81" t="str">
        <f t="shared" si="65"/>
        <v>"%USERPROFILE%\Documents\GitHub\eaglep3\Utilities\RefineRTDCRunTimes.py" --tripid 826-30 --locoid 4049 --swversion DE.1.0.9.0 --startMP 300:58640 --initTime 2017-05-30T15:36:29 --startdatetime 2017-05-30T15:38:46 --delay 1 --endMP 204:680 --enddatetime 2017-05-30T15:55:24 --enforcementcount 0 &gt;&gt;C:\Users\stu\Documents\GitHub\eaglep3-reporting\EC\2017-05-30-refined-times.txt</v>
      </c>
      <c r="AI184" s="99" t="str">
        <f t="shared" si="66"/>
        <v>echo {"issue":{"subject":"","project_id":79,"tracker_id":40,"status_id":1,"priority_id":2,"assigned_to_id":23,"start_date":"2017-05-30","description":"","custom_fields":[{"id":1,"name":"Subdivision","value":"NW"},{"id":4,"name":"Milepost","value":"0.068"},{"id":17,"name":"Train ID","value":"826-30"},{"id":16,"name":"Locomotive ID","value":"4049"},{"id":130,"name":"Impact","value":""},{"id":150,"name":"Time of Event (Mountain Time)","value":"15:55:24"},{"id":151,"name":"Denver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20"/>
      <c r="AK184" s="47"/>
      <c r="AL184" s="47"/>
      <c r="AM184" s="145" t="str">
        <f t="shared" si="67"/>
        <v>start /low /b %USERPROFILE%\Documents\GitHub\eaglep3\Utilities\DownloadLogsFromS3.py --loco 4049 --day 2017-05-30</v>
      </c>
      <c r="AN184" s="154" t="str">
        <f t="shared" si="68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21:55:24"},{"id":29,"name":"Sharepoint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5" spans="1:91" s="20" customFormat="1" x14ac:dyDescent="0.25">
      <c r="A185" s="32" t="s">
        <v>652</v>
      </c>
      <c r="B185" s="7">
        <v>4042</v>
      </c>
      <c r="C185" s="21" t="s">
        <v>204</v>
      </c>
      <c r="D185" s="21" t="s">
        <v>627</v>
      </c>
      <c r="E185" s="13">
        <v>42885.655902777777</v>
      </c>
      <c r="F185" s="13">
        <v>42885.660717592589</v>
      </c>
      <c r="G185" s="7">
        <v>1</v>
      </c>
      <c r="H185" s="21" t="s">
        <v>968</v>
      </c>
      <c r="I185" s="13">
        <v>42885.6719212963</v>
      </c>
      <c r="J185" s="7">
        <v>0</v>
      </c>
      <c r="K185" s="92" t="str">
        <f t="shared" si="52"/>
        <v>4041/4042</v>
      </c>
      <c r="L185" s="21" t="str">
        <f>VLOOKUP(A185,'Trips&amp;Operators'!$C$1:$G$99999,5,FALSE)</f>
        <v>THOMPSON LESTER</v>
      </c>
      <c r="M185" s="6">
        <f t="shared" si="53"/>
        <v>1.1203703710634727E-2</v>
      </c>
      <c r="N185" s="7">
        <f t="shared" si="76"/>
        <v>16.133333343314007</v>
      </c>
      <c r="O185" s="7"/>
      <c r="P185" s="7"/>
      <c r="Q185" s="22"/>
      <c r="R185" s="173"/>
      <c r="S185" s="176">
        <f t="shared" si="80"/>
        <v>1</v>
      </c>
      <c r="T185" s="202" t="str">
        <f t="shared" si="54"/>
        <v>NorthBound</v>
      </c>
      <c r="U185" s="202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03" t="str">
        <f t="shared" si="55"/>
        <v>https://d0f6bd738d7f1b3e5a7ca70fe4ff75f0.us-east-1.aws.found.io/app/kibana#/discover/Steve-Slow-Train-Analysis-(2080s-and-2083s)?_g=(refreshInterval:(display:Off,pause:!f,section:0,value:0),time:(from:'2017-05-30T14:44:30-0600',mode:absolute,to:'2017-05-30T17:07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85" s="204" t="str">
        <f t="shared" si="56"/>
        <v>N</v>
      </c>
      <c r="X185" s="204">
        <f t="shared" si="82"/>
        <v>1</v>
      </c>
      <c r="Y185" s="204">
        <f t="shared" si="77"/>
        <v>9.7100000000000006E-2</v>
      </c>
      <c r="Z185" s="204">
        <f t="shared" si="78"/>
        <v>5.8929</v>
      </c>
      <c r="AA185" s="204">
        <f t="shared" si="60"/>
        <v>5.7957999999999998</v>
      </c>
      <c r="AB185" s="57" t="e">
        <f>VLOOKUP(A185,Enforcements!$C$7:$K$13,8,0)</f>
        <v>#N/A</v>
      </c>
      <c r="AC185" s="53" t="e">
        <f>VLOOKUP(A185,Enforcements!$C$7:$E$13,3,0)</f>
        <v>#N/A</v>
      </c>
      <c r="AD185" s="54" t="str">
        <f t="shared" si="61"/>
        <v>0827-30</v>
      </c>
      <c r="AE185" s="80" t="str">
        <f t="shared" si="62"/>
        <v>aws s3 cp s3://rtdc.mdm.uploadarchive.raw/RTDC4042/ "%USERPROFILE%\AppData\Local\Temp\OnboardLogs"\RTDC4042\2017-05-30 --exclude "*" --recursive --include "*20170530*" &amp; "%USERPROFILE%\Documents\GitHub\mrs-test-scripts\Headless Mode &amp; Sideloading\WalkAndUnGZ.bat" "%USERPROFILE%\AppData\Local\Temp\OnboardLogs"\RTDC4042\2017-05-30 &amp; aws s3 cp s3://rtdc.mdm.uploadarchive.raw/RTDC4042/ "%USERPROFILE%\AppData\Local\Temp\OnboardLogs"\RTDC4042\2017-05-31 --exclude "*" --recursive --include "*20170531*" &amp; "%USERPROFILE%\Documents\GitHub\mrs-test-scripts\Headless Mode &amp; Sideloading\WalkAndUnGZ.bat" "%USERPROFILE%\AppData\Local\Temp\OnboardLogs"\RTDC4042\2017-05-31</v>
      </c>
      <c r="AF185" s="77" t="str">
        <f t="shared" si="63"/>
        <v>"C:\Program Files (x86)\AstroGrep\AstroGrep.exe" /e /r /s /spath="%USERPROFILE%\AppData\Local\Temp\OnboardLogs" /stypes="app*4042*20170530*" /stext=" 22:.+((SYSTEM_STATE.+slice.+state.+changed )|(ment ac)|(multiple cpu faults)|(system.+state.+changed )|(\[timeout)|(PRM\|1\|D)|(kpr)|(kdp)|(train st.+moving)|(\|lc)|(penalty))"</v>
      </c>
      <c r="AG185" s="1" t="str">
        <f t="shared" si="64"/>
        <v>NW</v>
      </c>
      <c r="AH185" s="81" t="str">
        <f t="shared" si="65"/>
        <v>"%USERPROFILE%\Documents\GitHub\eaglep3\Utilities\RefineRTDCRunTimes.py" --tripid 827-30 --locoid 4042 --swversion DE.1.0.9.0 --startMP 204:971 --initTime 2017-05-30T15:44:30 --startdatetime 2017-05-30T15:51:26 --delay 1 --endMP 300:58929 --enddatetime 2017-05-30T16:07:34 --enforcementcount 0 &gt;&gt;C:\Users\stu\Documents\GitHub\eaglep3-reporting\EC\2017-05-30-refined-times.txt</v>
      </c>
      <c r="AI185" s="99" t="str">
        <f t="shared" si="66"/>
        <v>echo {"issue":{"subject":"","project_id":79,"tracker_id":40,"status_id":1,"priority_id":2,"assigned_to_id":23,"start_date":"2017-05-30","description":"","custom_fields":[{"id":1,"name":"Subdivision","value":"NW"},{"id":4,"name":"Milepost","value":"5.8929"},{"id":17,"name":"Train ID","value":"827-30"},{"id":16,"name":"Locomotive ID","value":"4042"},{"id":130,"name":"Impact","value":""},{"id":150,"name":"Time of Event (Mountain Time)","value":"16:07:34"},{"id":151,"name":"Denver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5" s="47"/>
      <c r="AL185" s="47"/>
      <c r="AM185" s="145" t="str">
        <f t="shared" si="67"/>
        <v>start /low /b %USERPROFILE%\Documents\GitHub\eaglep3\Utilities\DownloadLogsFromS3.py --loco 4042 --day 2017-05-30</v>
      </c>
      <c r="AN185" s="154" t="str">
        <f t="shared" si="68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22:07:34"},{"id":29,"name":"Sharepoint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25">
      <c r="A186" s="32" t="s">
        <v>653</v>
      </c>
      <c r="B186" s="7">
        <v>4041</v>
      </c>
      <c r="C186" s="21" t="s">
        <v>204</v>
      </c>
      <c r="D186" s="21" t="s">
        <v>614</v>
      </c>
      <c r="E186" s="13">
        <v>42885.672743055555</v>
      </c>
      <c r="F186" s="13">
        <v>42885.674212962964</v>
      </c>
      <c r="G186" s="7">
        <v>1</v>
      </c>
      <c r="H186" s="21" t="s">
        <v>969</v>
      </c>
      <c r="I186" s="13">
        <v>42885.685219907406</v>
      </c>
      <c r="J186" s="7">
        <v>0</v>
      </c>
      <c r="K186" s="92" t="str">
        <f t="shared" si="52"/>
        <v>4041/4042</v>
      </c>
      <c r="L186" s="21" t="str">
        <f>VLOOKUP(A186,'Trips&amp;Operators'!$C$1:$G$99999,5,FALSE)</f>
        <v>THOMPSON LESTER</v>
      </c>
      <c r="M186" s="6">
        <f t="shared" si="53"/>
        <v>1.1006944441760425E-2</v>
      </c>
      <c r="N186" s="7">
        <f t="shared" si="76"/>
        <v>15.849999996135011</v>
      </c>
      <c r="O186" s="7"/>
      <c r="P186" s="7"/>
      <c r="Q186" s="22"/>
      <c r="R186" s="173"/>
      <c r="S186" s="176">
        <f t="shared" si="80"/>
        <v>1</v>
      </c>
      <c r="T186" s="202" t="str">
        <f t="shared" si="54"/>
        <v>Southbound</v>
      </c>
      <c r="U186" s="202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03" t="str">
        <f t="shared" si="55"/>
        <v>https://d0f6bd738d7f1b3e5a7ca70fe4ff75f0.us-east-1.aws.found.io/app/kibana#/discover/Steve-Slow-Train-Analysis-(2080s-and-2083s)?_g=(refreshInterval:(display:Off,pause:!f,section:0,value:0),time:(from:'2017-05-30T15:08:45-0600',mode:absolute,to:'2017-05-30T17:26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86" s="204" t="str">
        <f t="shared" si="56"/>
        <v>N</v>
      </c>
      <c r="X186" s="204">
        <f t="shared" si="82"/>
        <v>1</v>
      </c>
      <c r="Y186" s="204">
        <f t="shared" si="77"/>
        <v>5.86</v>
      </c>
      <c r="Z186" s="204">
        <f t="shared" si="78"/>
        <v>7.2400000000000006E-2</v>
      </c>
      <c r="AA186" s="204">
        <f t="shared" si="60"/>
        <v>5.7876000000000003</v>
      </c>
      <c r="AB186" s="57" t="e">
        <f>VLOOKUP(A186,Enforcements!$C$7:$K$13,8,0)</f>
        <v>#N/A</v>
      </c>
      <c r="AC186" s="53" t="e">
        <f>VLOOKUP(A186,Enforcements!$C$7:$E$13,3,0)</f>
        <v>#N/A</v>
      </c>
      <c r="AD186" s="54" t="str">
        <f t="shared" si="61"/>
        <v>0828-30</v>
      </c>
      <c r="AE186" s="80" t="str">
        <f t="shared" si="62"/>
        <v>aws s3 cp s3://rtdc.mdm.uploadarchive.raw/RTDC4041/ "%USERPROFILE%\AppData\Local\Temp\OnboardLogs"\RTDC4041\2017-05-30 --exclude "*" --recursive --include "*20170530*" &amp; "%USERPROFILE%\Documents\GitHub\mrs-test-scripts\Headless Mode &amp; Sideloading\WalkAndUnGZ.bat" "%USERPROFILE%\AppData\Local\Temp\OnboardLogs"\RTDC4041\2017-05-30 &amp; aws s3 cp s3://rtdc.mdm.uploadarchive.raw/RTDC4041/ "%USERPROFILE%\AppData\Local\Temp\OnboardLogs"\RTDC4041\2017-05-31 --exclude "*" --recursive --include "*20170531*" &amp; "%USERPROFILE%\Documents\GitHub\mrs-test-scripts\Headless Mode &amp; Sideloading\WalkAndUnGZ.bat" "%USERPROFILE%\AppData\Local\Temp\OnboardLogs"\RTDC4041\2017-05-31</v>
      </c>
      <c r="AF186" s="77" t="str">
        <f t="shared" si="63"/>
        <v>"C:\Program Files (x86)\AstroGrep\AstroGrep.exe" /e /r /s /spath="%USERPROFILE%\AppData\Local\Temp\OnboardLogs" /stypes="app*4041*20170530*" /stext=" 22:.+((SYSTEM_STATE.+slice.+state.+changed )|(ment ac)|(multiple cpu faults)|(system.+state.+changed )|(\[timeout)|(PRM\|1\|D)|(kpr)|(kdp)|(train st.+moving)|(\|lc)|(penalty))"</v>
      </c>
      <c r="AG186" s="1" t="str">
        <f t="shared" si="64"/>
        <v>NW</v>
      </c>
      <c r="AH186" s="81" t="str">
        <f t="shared" si="65"/>
        <v>"%USERPROFILE%\Documents\GitHub\eaglep3\Utilities\RefineRTDCRunTimes.py" --tripid 828-30 --locoid 4041 --swversion DE.1.0.9.0 --startMP 300:58600 --initTime 2017-05-30T16:08:45 --startdatetime 2017-05-30T16:10:52 --delay 1 --endMP 204:724 --enddatetime 2017-05-30T16:26:43 --enforcementcount 0 &gt;&gt;C:\Users\stu\Documents\GitHub\eaglep3-reporting\EC\2017-05-30-refined-times.txt</v>
      </c>
      <c r="AI186" s="99" t="str">
        <f t="shared" si="66"/>
        <v>echo {"issue":{"subject":"","project_id":79,"tracker_id":40,"status_id":1,"priority_id":2,"assigned_to_id":23,"start_date":"2017-05-30","description":"","custom_fields":[{"id":1,"name":"Subdivision","value":"NW"},{"id":4,"name":"Milepost","value":"0.0724"},{"id":17,"name":"Train ID","value":"828-30"},{"id":16,"name":"Locomotive ID","value":"4041"},{"id":130,"name":"Impact","value":""},{"id":150,"name":"Time of Event (Mountain Time)","value":"16:26:43"},{"id":151,"name":"Denver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6" s="47"/>
      <c r="AL186" s="47"/>
      <c r="AM186" s="145" t="str">
        <f t="shared" si="67"/>
        <v>start /low /b %USERPROFILE%\Documents\GitHub\eaglep3\Utilities\DownloadLogsFromS3.py --loco 4041 --day 2017-05-30</v>
      </c>
      <c r="AN186" s="154" t="str">
        <f t="shared" si="68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22:26:43"},{"id":29,"name":"Sharepoint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25">
      <c r="A187" s="32" t="s">
        <v>800</v>
      </c>
      <c r="B187" s="7">
        <v>4050</v>
      </c>
      <c r="C187" s="21" t="s">
        <v>204</v>
      </c>
      <c r="D187" s="21" t="s">
        <v>966</v>
      </c>
      <c r="E187" s="13">
        <v>42885.677824074075</v>
      </c>
      <c r="F187" s="13">
        <v>42885.681446759256</v>
      </c>
      <c r="G187" s="7">
        <v>1</v>
      </c>
      <c r="H187" s="21" t="s">
        <v>632</v>
      </c>
      <c r="I187" s="13">
        <v>42885.690798611111</v>
      </c>
      <c r="J187" s="7">
        <v>0</v>
      </c>
      <c r="K187" s="92" t="str">
        <f t="shared" si="52"/>
        <v>4049/4050</v>
      </c>
      <c r="L187" s="21" t="str">
        <f>VLOOKUP(A187,'Trips&amp;Operators'!$C$1:$G$99999,5,FALSE)</f>
        <v>BRUDER RICHARD</v>
      </c>
      <c r="M187" s="6">
        <f t="shared" si="53"/>
        <v>9.3518518551718444E-3</v>
      </c>
      <c r="N187" s="7">
        <f t="shared" si="76"/>
        <v>13.466666671447456</v>
      </c>
      <c r="O187" s="7"/>
      <c r="P187" s="7"/>
      <c r="Q187" s="22"/>
      <c r="R187" s="173"/>
      <c r="S187" s="176">
        <f t="shared" si="80"/>
        <v>1</v>
      </c>
      <c r="T187" s="202" t="str">
        <f t="shared" si="54"/>
        <v>NorthBound</v>
      </c>
      <c r="U187" s="202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03" t="str">
        <f t="shared" si="55"/>
        <v>https://d0f6bd738d7f1b3e5a7ca70fe4ff75f0.us-east-1.aws.found.io/app/kibana#/discover/Steve-Slow-Train-Analysis-(2080s-and-2083s)?_g=(refreshInterval:(display:Off,pause:!f,section:0,value:0),time:(from:'2017-05-30T15:16:04-0600',mode:absolute,to:'2017-05-30T17:34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87" s="204" t="str">
        <f t="shared" si="56"/>
        <v>N</v>
      </c>
      <c r="X187" s="204">
        <f t="shared" si="82"/>
        <v>1</v>
      </c>
      <c r="Y187" s="204">
        <f t="shared" si="77"/>
        <v>9.7799999999999998E-2</v>
      </c>
      <c r="Z187" s="204">
        <f t="shared" si="78"/>
        <v>5.8936999999999999</v>
      </c>
      <c r="AA187" s="204">
        <f t="shared" si="60"/>
        <v>5.7958999999999996</v>
      </c>
      <c r="AB187" s="57" t="e">
        <f>VLOOKUP(A187,Enforcements!$C$7:$K$13,8,0)</f>
        <v>#N/A</v>
      </c>
      <c r="AC187" s="53" t="e">
        <f>VLOOKUP(A187,Enforcements!$C$7:$E$13,3,0)</f>
        <v>#N/A</v>
      </c>
      <c r="AD187" s="54" t="str">
        <f t="shared" si="61"/>
        <v>0829-30</v>
      </c>
      <c r="AE187" s="80" t="str">
        <f t="shared" si="62"/>
        <v>aws s3 cp s3://rtdc.mdm.uploadarchive.raw/RTDC4050/ "%USERPROFILE%\AppData\Local\Temp\OnboardLogs"\RTDC4050\2017-05-30 --exclude "*" --recursive --include "*20170530*" &amp; "%USERPROFILE%\Documents\GitHub\mrs-test-scripts\Headless Mode &amp; Sideloading\WalkAndUnGZ.bat" "%USERPROFILE%\AppData\Local\Temp\OnboardLogs"\RTDC4050\2017-05-30 &amp; aws s3 cp s3://rtdc.mdm.uploadarchive.raw/RTDC4050/ "%USERPROFILE%\AppData\Local\Temp\OnboardLogs"\RTDC4050\2017-05-31 --exclude "*" --recursive --include "*20170531*" &amp; "%USERPROFILE%\Documents\GitHub\mrs-test-scripts\Headless Mode &amp; Sideloading\WalkAndUnGZ.bat" "%USERPROFILE%\AppData\Local\Temp\OnboardLogs"\RTDC4050\2017-05-31</v>
      </c>
      <c r="AF187" s="77" t="str">
        <f t="shared" si="63"/>
        <v>"C:\Program Files (x86)\AstroGrep\AstroGrep.exe" /e /r /s /spath="%USERPROFILE%\AppData\Local\Temp\OnboardLogs" /stypes="app*4050*20170530*" /stext=" 22:.+((SYSTEM_STATE.+slice.+state.+changed )|(ment ac)|(multiple cpu faults)|(system.+state.+changed )|(\[timeout)|(PRM\|1\|D)|(kpr)|(kdp)|(train st.+moving)|(\|lc)|(penalty))"</v>
      </c>
      <c r="AG187" s="1" t="str">
        <f t="shared" si="64"/>
        <v>NW</v>
      </c>
      <c r="AH187" s="81" t="str">
        <f t="shared" si="65"/>
        <v>"%USERPROFILE%\Documents\GitHub\eaglep3\Utilities\RefineRTDCRunTimes.py" --tripid 829-30 --locoid 4050 --swversion DE.1.0.9.0 --startMP 204:978 --initTime 2017-05-30T16:16:04 --startdatetime 2017-05-30T16:21:17 --delay 1 --endMP 300:58937 --enddatetime 2017-05-30T16:34:45 --enforcementcount 0 &gt;&gt;C:\Users\stu\Documents\GitHub\eaglep3-reporting\EC\2017-05-30-refined-times.txt</v>
      </c>
      <c r="AI187" s="99" t="str">
        <f t="shared" si="66"/>
        <v>echo {"issue":{"subject":"","project_id":79,"tracker_id":40,"status_id":1,"priority_id":2,"assigned_to_id":23,"start_date":"2017-05-30","description":"","custom_fields":[{"id":1,"name":"Subdivision","value":"NW"},{"id":4,"name":"Milepost","value":"5.8937"},{"id":17,"name":"Train ID","value":"829-30"},{"id":16,"name":"Locomotive ID","value":"4050"},{"id":130,"name":"Impact","value":""},{"id":150,"name":"Time of Event (Mountain Time)","value":"16:34:45"},{"id":151,"name":"Denver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7" s="47"/>
      <c r="AL187" s="47"/>
      <c r="AM187" s="145" t="str">
        <f t="shared" si="67"/>
        <v>start /low /b %USERPROFILE%\Documents\GitHub\eaglep3\Utilities\DownloadLogsFromS3.py --loco 4050 --day 2017-05-30</v>
      </c>
      <c r="AN187" s="154" t="str">
        <f t="shared" si="68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22:34:45"},{"id":29,"name":"Sharepoint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x14ac:dyDescent="0.25">
      <c r="A188" s="32" t="s">
        <v>805</v>
      </c>
      <c r="B188" s="7">
        <v>4049</v>
      </c>
      <c r="C188" s="21" t="s">
        <v>204</v>
      </c>
      <c r="D188" s="21" t="s">
        <v>970</v>
      </c>
      <c r="E188" s="13">
        <v>42885.691828703704</v>
      </c>
      <c r="F188" s="13">
        <v>42885.693148148152</v>
      </c>
      <c r="G188" s="7">
        <v>1</v>
      </c>
      <c r="H188" s="21" t="s">
        <v>960</v>
      </c>
      <c r="I188" s="13">
        <v>42885.705069444448</v>
      </c>
      <c r="J188" s="7">
        <v>0</v>
      </c>
      <c r="K188" s="92" t="str">
        <f t="shared" si="52"/>
        <v>4049/4050</v>
      </c>
      <c r="L188" s="21" t="str">
        <f>VLOOKUP(A188,'Trips&amp;Operators'!$C$1:$G$99999,5,FALSE)</f>
        <v>BRUDER RICHARD</v>
      </c>
      <c r="M188" s="6">
        <f t="shared" si="53"/>
        <v>1.1921296296350192E-2</v>
      </c>
      <c r="N188" s="7">
        <f t="shared" ref="N188:N219" si="83">24*60*SUM($M188:$M188)</f>
        <v>17.166666666744277</v>
      </c>
      <c r="O188" s="7"/>
      <c r="P188" s="7"/>
      <c r="Q188" s="22"/>
      <c r="R188" s="173"/>
      <c r="S188" s="176">
        <f t="shared" si="80"/>
        <v>1</v>
      </c>
      <c r="T188" s="202" t="str">
        <f t="shared" si="54"/>
        <v>Southbound</v>
      </c>
      <c r="U188" s="202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03" t="str">
        <f t="shared" si="55"/>
        <v>https://d0f6bd738d7f1b3e5a7ca70fe4ff75f0.us-east-1.aws.found.io/app/kibana#/discover/Steve-Slow-Train-Analysis-(2080s-and-2083s)?_g=(refreshInterval:(display:Off,pause:!f,section:0,value:0),time:(from:'2017-05-30T15:36:14-0600',mode:absolute,to:'2017-05-30T17:55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88" s="204" t="str">
        <f t="shared" si="56"/>
        <v>N</v>
      </c>
      <c r="X188" s="204">
        <f t="shared" si="82"/>
        <v>1</v>
      </c>
      <c r="Y188" s="204">
        <f t="shared" ref="Y188:Y219" si="84">RIGHT(D188,LEN(D188)-4)/10000</f>
        <v>5.8638000000000003</v>
      </c>
      <c r="Z188" s="204">
        <f t="shared" ref="Z188:Z219" si="85">RIGHT(H188,LEN(H188)-4)/10000</f>
        <v>6.9400000000000003E-2</v>
      </c>
      <c r="AA188" s="204">
        <f t="shared" si="60"/>
        <v>5.7944000000000004</v>
      </c>
      <c r="AB188" s="57" t="e">
        <f>VLOOKUP(A188,Enforcements!$C$7:$K$13,8,0)</f>
        <v>#N/A</v>
      </c>
      <c r="AC188" s="53" t="e">
        <f>VLOOKUP(A188,Enforcements!$C$7:$E$13,3,0)</f>
        <v>#N/A</v>
      </c>
      <c r="AD188" s="54" t="str">
        <f t="shared" si="61"/>
        <v>0830-30</v>
      </c>
      <c r="AE188" s="80" t="str">
        <f t="shared" si="62"/>
        <v>aws s3 cp s3://rtdc.mdm.uploadarchive.raw/RTDC4049/ "%USERPROFILE%\AppData\Local\Temp\OnboardLogs"\RTDC4049\2017-05-30 --exclude "*" --recursive --include "*20170530*" &amp; "%USERPROFILE%\Documents\GitHub\mrs-test-scripts\Headless Mode &amp; Sideloading\WalkAndUnGZ.bat" "%USERPROFILE%\AppData\Local\Temp\OnboardLogs"\RTDC4049\2017-05-30 &amp; aws s3 cp s3://rtdc.mdm.uploadarchive.raw/RTDC4049/ "%USERPROFILE%\AppData\Local\Temp\OnboardLogs"\RTDC4049\2017-05-31 --exclude "*" --recursive --include "*20170531*" &amp; "%USERPROFILE%\Documents\GitHub\mrs-test-scripts\Headless Mode &amp; Sideloading\WalkAndUnGZ.bat" "%USERPROFILE%\AppData\Local\Temp\OnboardLogs"\RTDC4049\2017-05-31</v>
      </c>
      <c r="AF188" s="77" t="str">
        <f t="shared" si="63"/>
        <v>"C:\Program Files (x86)\AstroGrep\AstroGrep.exe" /e /r /s /spath="%USERPROFILE%\AppData\Local\Temp\OnboardLogs" /stypes="app*4049*20170530*" /stext=" 22:.+((SYSTEM_STATE.+slice.+state.+changed )|(ment ac)|(multiple cpu faults)|(system.+state.+changed )|(\[timeout)|(PRM\|1\|D)|(kpr)|(kdp)|(train st.+moving)|(\|lc)|(penalty))"</v>
      </c>
      <c r="AG188" s="1" t="str">
        <f t="shared" si="64"/>
        <v>NW</v>
      </c>
      <c r="AH188" s="81" t="str">
        <f t="shared" si="65"/>
        <v>"%USERPROFILE%\Documents\GitHub\eaglep3\Utilities\RefineRTDCRunTimes.py" --tripid 830-30 --locoid 4049 --swversion DE.1.0.9.0 --startMP 300:58638 --initTime 2017-05-30T16:36:14 --startdatetime 2017-05-30T16:38:08 --delay 1 --endMP 204:694 --enddatetime 2017-05-30T16:55:18 --enforcementcount 0 &gt;&gt;C:\Users\stu\Documents\GitHub\eaglep3-reporting\EC\2017-05-30-refined-times.txt</v>
      </c>
      <c r="AI188" s="99" t="str">
        <f t="shared" si="66"/>
        <v>echo {"issue":{"subject":"","project_id":79,"tracker_id":40,"status_id":1,"priority_id":2,"assigned_to_id":23,"start_date":"2017-05-30","description":"","custom_fields":[{"id":1,"name":"Subdivision","value":"NW"},{"id":4,"name":"Milepost","value":"0.0694"},{"id":17,"name":"Train ID","value":"830-30"},{"id":16,"name":"Locomotive ID","value":"4049"},{"id":130,"name":"Impact","value":""},{"id":150,"name":"Time of Event (Mountain Time)","value":"16:55:18"},{"id":151,"name":"Denver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5" t="str">
        <f t="shared" si="67"/>
        <v>start /low /b %USERPROFILE%\Documents\GitHub\eaglep3\Utilities\DownloadLogsFromS3.py --loco 4049 --day 2017-05-30</v>
      </c>
      <c r="AN188" s="154" t="str">
        <f t="shared" si="68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22:55:18"},{"id":29,"name":"Sharepoint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9" spans="1:91" x14ac:dyDescent="0.25">
      <c r="A189" s="32" t="s">
        <v>804</v>
      </c>
      <c r="B189" s="7">
        <v>4042</v>
      </c>
      <c r="C189" s="21" t="s">
        <v>204</v>
      </c>
      <c r="D189" s="21" t="s">
        <v>971</v>
      </c>
      <c r="E189" s="13">
        <v>42885.686689814815</v>
      </c>
      <c r="F189" s="13">
        <v>42885.702337962961</v>
      </c>
      <c r="G189" s="7">
        <v>1</v>
      </c>
      <c r="H189" s="21" t="s">
        <v>972</v>
      </c>
      <c r="I189" s="13">
        <v>42885.711678240739</v>
      </c>
      <c r="J189" s="7">
        <v>0</v>
      </c>
      <c r="K189" s="92" t="str">
        <f t="shared" si="52"/>
        <v>4041/4042</v>
      </c>
      <c r="L189" s="21" t="str">
        <f>VLOOKUP(A189,'Trips&amp;Operators'!$C$1:$G$99999,5,FALSE)</f>
        <v>THOMPSON LESTER</v>
      </c>
      <c r="M189" s="6">
        <f t="shared" si="53"/>
        <v>9.340277778392192E-3</v>
      </c>
      <c r="N189" s="7">
        <f t="shared" si="83"/>
        <v>13.450000000884756</v>
      </c>
      <c r="O189" s="7"/>
      <c r="P189" s="7"/>
      <c r="Q189" s="22"/>
      <c r="R189" s="173"/>
      <c r="S189" s="176">
        <f t="shared" si="80"/>
        <v>1</v>
      </c>
      <c r="T189" s="202" t="str">
        <f t="shared" si="54"/>
        <v>NorthBound</v>
      </c>
      <c r="U189" s="202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03" t="str">
        <f t="shared" si="55"/>
        <v>https://d0f6bd738d7f1b3e5a7ca70fe4ff75f0.us-east-1.aws.found.io/app/kibana#/discover/Steve-Slow-Train-Analysis-(2080s-and-2083s)?_g=(refreshInterval:(display:Off,pause:!f,section:0,value:0),time:(from:'2017-05-30T15:28:50-0600',mode:absolute,to:'2017-05-30T18:04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89" s="204" t="str">
        <f t="shared" si="56"/>
        <v>N</v>
      </c>
      <c r="X189" s="204">
        <f t="shared" si="82"/>
        <v>1</v>
      </c>
      <c r="Y189" s="204">
        <f t="shared" si="84"/>
        <v>9.9500000000000005E-2</v>
      </c>
      <c r="Z189" s="204">
        <f t="shared" si="85"/>
        <v>5.8924000000000003</v>
      </c>
      <c r="AA189" s="204">
        <f t="shared" si="60"/>
        <v>5.7929000000000004</v>
      </c>
      <c r="AB189" s="57" t="e">
        <f>VLOOKUP(A189,Enforcements!$C$7:$K$13,8,0)</f>
        <v>#N/A</v>
      </c>
      <c r="AC189" s="53" t="e">
        <f>VLOOKUP(A189,Enforcements!$C$7:$E$13,3,0)</f>
        <v>#N/A</v>
      </c>
      <c r="AD189" s="54" t="str">
        <f t="shared" si="61"/>
        <v>0831-30</v>
      </c>
      <c r="AE189" s="80" t="str">
        <f t="shared" si="62"/>
        <v>aws s3 cp s3://rtdc.mdm.uploadarchive.raw/RTDC4042/ "%USERPROFILE%\AppData\Local\Temp\OnboardLogs"\RTDC4042\2017-05-30 --exclude "*" --recursive --include "*20170530*" &amp; "%USERPROFILE%\Documents\GitHub\mrs-test-scripts\Headless Mode &amp; Sideloading\WalkAndUnGZ.bat" "%USERPROFILE%\AppData\Local\Temp\OnboardLogs"\RTDC4042\2017-05-30 &amp; aws s3 cp s3://rtdc.mdm.uploadarchive.raw/RTDC4042/ "%USERPROFILE%\AppData\Local\Temp\OnboardLogs"\RTDC4042\2017-05-31 --exclude "*" --recursive --include "*20170531*" &amp; "%USERPROFILE%\Documents\GitHub\mrs-test-scripts\Headless Mode &amp; Sideloading\WalkAndUnGZ.bat" "%USERPROFILE%\AppData\Local\Temp\OnboardLogs"\RTDC4042\2017-05-31</v>
      </c>
      <c r="AF189" s="77" t="str">
        <f t="shared" si="63"/>
        <v>"C:\Program Files (x86)\AstroGrep\AstroGrep.exe" /e /r /s /spath="%USERPROFILE%\AppData\Local\Temp\OnboardLogs" /stypes="app*4042*20170530*" /stext=" 23:.+((SYSTEM_STATE.+slice.+state.+changed )|(ment ac)|(multiple cpu faults)|(system.+state.+changed )|(\[timeout)|(PRM\|1\|D)|(kpr)|(kdp)|(train st.+moving)|(\|lc)|(penalty))"</v>
      </c>
      <c r="AG189" s="1" t="str">
        <f t="shared" si="64"/>
        <v>NW</v>
      </c>
      <c r="AH189" s="81" t="str">
        <f t="shared" si="65"/>
        <v>"%USERPROFILE%\Documents\GitHub\eaglep3\Utilities\RefineRTDCRunTimes.py" --tripid 831-30 --locoid 4042 --swversion DE.1.0.9.0 --startMP 204:995 --initTime 2017-05-30T16:28:50 --startdatetime 2017-05-30T16:51:22 --delay 1 --endMP 300:58924 --enddatetime 2017-05-30T17:04:49 --enforcementcount 0 &gt;&gt;C:\Users\stu\Documents\GitHub\eaglep3-reporting\EC\2017-05-30-refined-times.txt</v>
      </c>
      <c r="AI189" s="99" t="str">
        <f t="shared" si="66"/>
        <v>echo {"issue":{"subject":"","project_id":79,"tracker_id":40,"status_id":1,"priority_id":2,"assigned_to_id":23,"start_date":"2017-05-30","description":"","custom_fields":[{"id":1,"name":"Subdivision","value":"NW"},{"id":4,"name":"Milepost","value":"5.8924"},{"id":17,"name":"Train ID","value":"831-30"},{"id":16,"name":"Locomotive ID","value":"4042"},{"id":130,"name":"Impact","value":""},{"id":150,"name":"Time of Event (Mountain Time)","value":"17:04:49"},{"id":151,"name":"Denver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5" t="str">
        <f t="shared" si="67"/>
        <v>start /low /b %USERPROFILE%\Documents\GitHub\eaglep3\Utilities\DownloadLogsFromS3.py --loco 4042 --day 2017-05-30</v>
      </c>
      <c r="AN189" s="154" t="str">
        <f t="shared" si="68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23:04:49"},{"id":29,"name":"Sharepoint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0" spans="1:91" x14ac:dyDescent="0.25">
      <c r="A190" s="32" t="s">
        <v>811</v>
      </c>
      <c r="B190" s="7">
        <v>4041</v>
      </c>
      <c r="C190" s="21" t="s">
        <v>204</v>
      </c>
      <c r="D190" s="21" t="s">
        <v>629</v>
      </c>
      <c r="E190" s="13">
        <v>42885.712824074071</v>
      </c>
      <c r="F190" s="13">
        <v>42885.714386574073</v>
      </c>
      <c r="G190" s="7">
        <v>1</v>
      </c>
      <c r="H190" s="21" t="s">
        <v>445</v>
      </c>
      <c r="I190" s="13">
        <v>42885.726631944446</v>
      </c>
      <c r="J190" s="7">
        <v>0</v>
      </c>
      <c r="K190" s="92" t="str">
        <f t="shared" si="52"/>
        <v>4041/4042</v>
      </c>
      <c r="L190" s="21" t="str">
        <f>VLOOKUP(A190,'Trips&amp;Operators'!$C$1:$G$99999,5,FALSE)</f>
        <v>THOMPSON LESTER</v>
      </c>
      <c r="M190" s="6">
        <f t="shared" si="53"/>
        <v>1.2245370373420883E-2</v>
      </c>
      <c r="N190" s="7">
        <f t="shared" si="83"/>
        <v>17.633333337726071</v>
      </c>
      <c r="O190" s="7"/>
      <c r="P190" s="7"/>
      <c r="Q190" s="22"/>
      <c r="R190" s="173"/>
      <c r="S190" s="176">
        <f t="shared" si="80"/>
        <v>1</v>
      </c>
      <c r="T190" s="202" t="str">
        <f t="shared" si="54"/>
        <v>Southbound</v>
      </c>
      <c r="U190" s="202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03" t="str">
        <f t="shared" si="55"/>
        <v>https://d0f6bd738d7f1b3e5a7ca70fe4ff75f0.us-east-1.aws.found.io/app/kibana#/discover/Steve-Slow-Train-Analysis-(2080s-and-2083s)?_g=(refreshInterval:(display:Off,pause:!f,section:0,value:0),time:(from:'2017-05-30T16:06:28-0600',mode:absolute,to:'2017-05-30T18:26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90" s="204" t="str">
        <f t="shared" si="56"/>
        <v>N</v>
      </c>
      <c r="X190" s="204">
        <f t="shared" si="82"/>
        <v>1</v>
      </c>
      <c r="Y190" s="204">
        <f t="shared" si="84"/>
        <v>5.8615000000000004</v>
      </c>
      <c r="Z190" s="204">
        <f t="shared" si="85"/>
        <v>6.8400000000000002E-2</v>
      </c>
      <c r="AA190" s="204">
        <f t="shared" si="60"/>
        <v>5.7931000000000008</v>
      </c>
      <c r="AB190" s="57" t="e">
        <f>VLOOKUP(A190,Enforcements!$C$7:$K$13,8,0)</f>
        <v>#N/A</v>
      </c>
      <c r="AC190" s="53" t="e">
        <f>VLOOKUP(A190,Enforcements!$C$7:$E$13,3,0)</f>
        <v>#N/A</v>
      </c>
      <c r="AD190" s="54" t="str">
        <f t="shared" si="61"/>
        <v>0832-30</v>
      </c>
      <c r="AE190" s="80" t="str">
        <f t="shared" si="62"/>
        <v>aws s3 cp s3://rtdc.mdm.uploadarchive.raw/RTDC4041/ "%USERPROFILE%\AppData\Local\Temp\OnboardLogs"\RTDC4041\2017-05-30 --exclude "*" --recursive --include "*20170530*" &amp; "%USERPROFILE%\Documents\GitHub\mrs-test-scripts\Headless Mode &amp; Sideloading\WalkAndUnGZ.bat" "%USERPROFILE%\AppData\Local\Temp\OnboardLogs"\RTDC4041\2017-05-30 &amp; aws s3 cp s3://rtdc.mdm.uploadarchive.raw/RTDC4041/ "%USERPROFILE%\AppData\Local\Temp\OnboardLogs"\RTDC4041\2017-05-31 --exclude "*" --recursive --include "*20170531*" &amp; "%USERPROFILE%\Documents\GitHub\mrs-test-scripts\Headless Mode &amp; Sideloading\WalkAndUnGZ.bat" "%USERPROFILE%\AppData\Local\Temp\OnboardLogs"\RTDC4041\2017-05-31</v>
      </c>
      <c r="AF190" s="77" t="str">
        <f t="shared" si="63"/>
        <v>"C:\Program Files (x86)\AstroGrep\AstroGrep.exe" /e /r /s /spath="%USERPROFILE%\AppData\Local\Temp\OnboardLogs" /stypes="app*4041*20170530*" /stext=" 23:.+((SYSTEM_STATE.+slice.+state.+changed )|(ment ac)|(multiple cpu faults)|(system.+state.+changed )|(\[timeout)|(PRM\|1\|D)|(kpr)|(kdp)|(train st.+moving)|(\|lc)|(penalty))"</v>
      </c>
      <c r="AG190" s="1" t="str">
        <f t="shared" si="64"/>
        <v>NW</v>
      </c>
      <c r="AH190" s="81" t="str">
        <f t="shared" si="65"/>
        <v>"%USERPROFILE%\Documents\GitHub\eaglep3\Utilities\RefineRTDCRunTimes.py" --tripid 832-30 --locoid 4041 --swversion DE.1.0.9.0 --startMP 300:58615 --initTime 2017-05-30T17:06:28 --startdatetime 2017-05-30T17:08:43 --delay 1 --endMP 204:684 --enddatetime 2017-05-30T17:26:21 --enforcementcount 0 &gt;&gt;C:\Users\stu\Documents\GitHub\eaglep3-reporting\EC\2017-05-30-refined-times.txt</v>
      </c>
      <c r="AI190" s="99" t="str">
        <f t="shared" si="66"/>
        <v>echo {"issue":{"subject":"","project_id":79,"tracker_id":40,"status_id":1,"priority_id":2,"assigned_to_id":23,"start_date":"2017-05-30","description":"","custom_fields":[{"id":1,"name":"Subdivision","value":"NW"},{"id":4,"name":"Milepost","value":"0.0684"},{"id":17,"name":"Train ID","value":"832-30"},{"id":16,"name":"Locomotive ID","value":"4041"},{"id":130,"name":"Impact","value":""},{"id":150,"name":"Time of Event (Mountain Time)","value":"17:26:21"},{"id":151,"name":"Denver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5" t="str">
        <f t="shared" si="67"/>
        <v>start /low /b %USERPROFILE%\Documents\GitHub\eaglep3\Utilities\DownloadLogsFromS3.py --loco 4041 --day 2017-05-30</v>
      </c>
      <c r="AN190" s="154" t="str">
        <f t="shared" si="68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23:26:21"},{"id":29,"name":"Sharepoint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1" spans="1:91" x14ac:dyDescent="0.25">
      <c r="A191" s="32" t="s">
        <v>654</v>
      </c>
      <c r="B191" s="7">
        <v>4050</v>
      </c>
      <c r="C191" s="21" t="s">
        <v>204</v>
      </c>
      <c r="D191" s="21" t="s">
        <v>446</v>
      </c>
      <c r="E191" s="13">
        <v>42885.719560185185</v>
      </c>
      <c r="F191" s="13">
        <v>42885.723113425927</v>
      </c>
      <c r="G191" s="7">
        <v>1</v>
      </c>
      <c r="H191" s="21" t="s">
        <v>470</v>
      </c>
      <c r="I191" s="13">
        <v>42885.732858796298</v>
      </c>
      <c r="J191" s="7">
        <v>0</v>
      </c>
      <c r="K191" s="92" t="str">
        <f t="shared" si="52"/>
        <v>4049/4050</v>
      </c>
      <c r="L191" s="21" t="str">
        <f>VLOOKUP(A191,'Trips&amp;Operators'!$C$1:$G$99999,5,FALSE)</f>
        <v>BRUDER RICHARD</v>
      </c>
      <c r="M191" s="6">
        <f t="shared" si="53"/>
        <v>9.7453703710925765E-3</v>
      </c>
      <c r="N191" s="7">
        <f t="shared" si="83"/>
        <v>14.03333333437331</v>
      </c>
      <c r="O191" s="7"/>
      <c r="P191" s="7"/>
      <c r="Q191" s="22"/>
      <c r="R191" s="173"/>
      <c r="S191" s="176">
        <f t="shared" si="80"/>
        <v>1</v>
      </c>
      <c r="T191" s="202" t="str">
        <f t="shared" si="54"/>
        <v>NorthBound</v>
      </c>
      <c r="U191" s="202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03" t="str">
        <f t="shared" si="55"/>
        <v>https://d0f6bd738d7f1b3e5a7ca70fe4ff75f0.us-east-1.aws.found.io/app/kibana#/discover/Steve-Slow-Train-Analysis-(2080s-and-2083s)?_g=(refreshInterval:(display:Off,pause:!f,section:0,value:0),time:(from:'2017-05-30T16:16:10-0600',mode:absolute,to:'2017-05-30T18:35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91" s="204" t="str">
        <f t="shared" si="56"/>
        <v>N</v>
      </c>
      <c r="X191" s="204">
        <f t="shared" si="82"/>
        <v>1</v>
      </c>
      <c r="Y191" s="204">
        <f t="shared" si="84"/>
        <v>9.7600000000000006E-2</v>
      </c>
      <c r="Z191" s="204">
        <f t="shared" si="85"/>
        <v>5.8945999999999996</v>
      </c>
      <c r="AA191" s="204">
        <f t="shared" si="60"/>
        <v>5.7969999999999997</v>
      </c>
      <c r="AB191" s="57" t="e">
        <f>VLOOKUP(A191,Enforcements!$C$7:$K$13,8,0)</f>
        <v>#N/A</v>
      </c>
      <c r="AC191" s="53" t="e">
        <f>VLOOKUP(A191,Enforcements!$C$7:$E$13,3,0)</f>
        <v>#N/A</v>
      </c>
      <c r="AD191" s="54" t="str">
        <f t="shared" si="61"/>
        <v>0833-30</v>
      </c>
      <c r="AE191" s="80" t="str">
        <f t="shared" si="62"/>
        <v>aws s3 cp s3://rtdc.mdm.uploadarchive.raw/RTDC4050/ "%USERPROFILE%\AppData\Local\Temp\OnboardLogs"\RTDC4050\2017-05-30 --exclude "*" --recursive --include "*20170530*" &amp; "%USERPROFILE%\Documents\GitHub\mrs-test-scripts\Headless Mode &amp; Sideloading\WalkAndUnGZ.bat" "%USERPROFILE%\AppData\Local\Temp\OnboardLogs"\RTDC4050\2017-05-30 &amp; aws s3 cp s3://rtdc.mdm.uploadarchive.raw/RTDC4050/ "%USERPROFILE%\AppData\Local\Temp\OnboardLogs"\RTDC4050\2017-05-31 --exclude "*" --recursive --include "*20170531*" &amp; "%USERPROFILE%\Documents\GitHub\mrs-test-scripts\Headless Mode &amp; Sideloading\WalkAndUnGZ.bat" "%USERPROFILE%\AppData\Local\Temp\OnboardLogs"\RTDC4050\2017-05-31</v>
      </c>
      <c r="AF191" s="77" t="str">
        <f t="shared" si="63"/>
        <v>"C:\Program Files (x86)\AstroGrep\AstroGrep.exe" /e /r /s /spath="%USERPROFILE%\AppData\Local\Temp\OnboardLogs" /stypes="app*4050*20170530*" /stext=" 23:.+((SYSTEM_STATE.+slice.+state.+changed )|(ment ac)|(multiple cpu faults)|(system.+state.+changed )|(\[timeout)|(PRM\|1\|D)|(kpr)|(kdp)|(train st.+moving)|(\|lc)|(penalty))"</v>
      </c>
      <c r="AG191" s="1" t="str">
        <f t="shared" si="64"/>
        <v>NW</v>
      </c>
      <c r="AH191" s="81" t="str">
        <f t="shared" si="65"/>
        <v>"%USERPROFILE%\Documents\GitHub\eaglep3\Utilities\RefineRTDCRunTimes.py" --tripid 833-30 --locoid 4050 --swversion DE.1.0.9.0 --startMP 204:976 --initTime 2017-05-30T17:16:10 --startdatetime 2017-05-30T17:21:17 --delay 1 --endMP 300:58946 --enddatetime 2017-05-30T17:35:19 --enforcementcount 0 &gt;&gt;C:\Users\stu\Documents\GitHub\eaglep3-reporting\EC\2017-05-30-refined-times.txt</v>
      </c>
      <c r="AI191" s="99" t="str">
        <f t="shared" si="66"/>
        <v>echo {"issue":{"subject":"","project_id":79,"tracker_id":40,"status_id":1,"priority_id":2,"assigned_to_id":23,"start_date":"2017-05-30","description":"","custom_fields":[{"id":1,"name":"Subdivision","value":"NW"},{"id":4,"name":"Milepost","value":"5.8946"},{"id":17,"name":"Train ID","value":"833-30"},{"id":16,"name":"Locomotive ID","value":"4050"},{"id":130,"name":"Impact","value":""},{"id":150,"name":"Time of Event (Mountain Time)","value":"17:35:19"},{"id":151,"name":"Denver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5" t="str">
        <f t="shared" si="67"/>
        <v>start /low /b %USERPROFILE%\Documents\GitHub\eaglep3\Utilities\DownloadLogsFromS3.py --loco 4050 --day 2017-05-30</v>
      </c>
      <c r="AN191" s="154" t="str">
        <f t="shared" si="68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23:35:19"},{"id":29,"name":"Sharepoint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2" spans="1:91" x14ac:dyDescent="0.25">
      <c r="A192" s="32" t="s">
        <v>817</v>
      </c>
      <c r="B192" s="7">
        <v>4049</v>
      </c>
      <c r="C192" s="21" t="s">
        <v>204</v>
      </c>
      <c r="D192" s="21" t="s">
        <v>539</v>
      </c>
      <c r="E192" s="13">
        <v>42885.733969907407</v>
      </c>
      <c r="F192" s="13">
        <v>42885.735451388886</v>
      </c>
      <c r="G192" s="7">
        <v>1</v>
      </c>
      <c r="H192" s="21" t="s">
        <v>973</v>
      </c>
      <c r="I192" s="13">
        <v>42885.747997685183</v>
      </c>
      <c r="J192" s="7">
        <v>0</v>
      </c>
      <c r="K192" s="92" t="str">
        <f t="shared" si="52"/>
        <v>4049/4050</v>
      </c>
      <c r="L192" s="21" t="str">
        <f>VLOOKUP(A192,'Trips&amp;Operators'!$C$1:$G$99999,5,FALSE)</f>
        <v>BRUDER RICHARD</v>
      </c>
      <c r="M192" s="6">
        <f t="shared" si="53"/>
        <v>1.2546296296932269E-2</v>
      </c>
      <c r="N192" s="7">
        <f t="shared" si="83"/>
        <v>18.066666667582467</v>
      </c>
      <c r="O192" s="7"/>
      <c r="P192" s="7"/>
      <c r="Q192" s="22"/>
      <c r="R192" s="173"/>
      <c r="S192" s="176">
        <f t="shared" si="80"/>
        <v>1</v>
      </c>
      <c r="T192" s="202" t="str">
        <f t="shared" si="54"/>
        <v>Southbound</v>
      </c>
      <c r="U192" s="202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03" t="str">
        <f t="shared" si="55"/>
        <v>https://d0f6bd738d7f1b3e5a7ca70fe4ff75f0.us-east-1.aws.found.io/app/kibana#/discover/Steve-Slow-Train-Analysis-(2080s-and-2083s)?_g=(refreshInterval:(display:Off,pause:!f,section:0,value:0),time:(from:'2017-05-30T16:36:55-0600',mode:absolute,to:'2017-05-30T18:57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92" s="204" t="str">
        <f t="shared" si="56"/>
        <v>N</v>
      </c>
      <c r="X192" s="204">
        <f t="shared" si="82"/>
        <v>1</v>
      </c>
      <c r="Y192" s="204">
        <f t="shared" si="84"/>
        <v>5.8623000000000003</v>
      </c>
      <c r="Z192" s="204">
        <f t="shared" si="85"/>
        <v>6.9099999999999995E-2</v>
      </c>
      <c r="AA192" s="204">
        <f t="shared" si="60"/>
        <v>5.7932000000000006</v>
      </c>
      <c r="AB192" s="57" t="e">
        <f>VLOOKUP(A192,Enforcements!$C$7:$K$13,8,0)</f>
        <v>#N/A</v>
      </c>
      <c r="AC192" s="53" t="e">
        <f>VLOOKUP(A192,Enforcements!$C$7:$E$13,3,0)</f>
        <v>#N/A</v>
      </c>
      <c r="AD192" s="54" t="str">
        <f t="shared" si="61"/>
        <v>0834-30</v>
      </c>
      <c r="AE192" s="80" t="str">
        <f t="shared" si="62"/>
        <v>aws s3 cp s3://rtdc.mdm.uploadarchive.raw/RTDC4049/ "%USERPROFILE%\AppData\Local\Temp\OnboardLogs"\RTDC4049\2017-05-30 --exclude "*" --recursive --include "*20170530*" &amp; "%USERPROFILE%\Documents\GitHub\mrs-test-scripts\Headless Mode &amp; Sideloading\WalkAndUnGZ.bat" "%USERPROFILE%\AppData\Local\Temp\OnboardLogs"\RTDC4049\2017-05-30 &amp; aws s3 cp s3://rtdc.mdm.uploadarchive.raw/RTDC4049/ "%USERPROFILE%\AppData\Local\Temp\OnboardLogs"\RTDC4049\2017-05-31 --exclude "*" --recursive --include "*20170531*" &amp; "%USERPROFILE%\Documents\GitHub\mrs-test-scripts\Headless Mode &amp; Sideloading\WalkAndUnGZ.bat" "%USERPROFILE%\AppData\Local\Temp\OnboardLogs"\RTDC4049\2017-05-31</v>
      </c>
      <c r="AF192" s="77" t="str">
        <f t="shared" si="63"/>
        <v>"C:\Program Files (x86)\AstroGrep\AstroGrep.exe" /e /r /s /spath="%USERPROFILE%\AppData\Local\Temp\OnboardLogs" /stypes="app*4049*20170530*" /stext=" 23:.+((SYSTEM_STATE.+slice.+state.+changed )|(ment ac)|(multiple cpu faults)|(system.+state.+changed )|(\[timeout)|(PRM\|1\|D)|(kpr)|(kdp)|(train st.+moving)|(\|lc)|(penalty))"</v>
      </c>
      <c r="AG192" s="1" t="str">
        <f t="shared" si="64"/>
        <v>NW</v>
      </c>
      <c r="AH192" s="81" t="str">
        <f t="shared" si="65"/>
        <v>"%USERPROFILE%\Documents\GitHub\eaglep3\Utilities\RefineRTDCRunTimes.py" --tripid 834-30 --locoid 4049 --swversion DE.1.0.9.0 --startMP 300:58623 --initTime 2017-05-30T17:36:55 --startdatetime 2017-05-30T17:39:03 --delay 1 --endMP 204:691 --enddatetime 2017-05-30T17:57:07 --enforcementcount 0 &gt;&gt;C:\Users\stu\Documents\GitHub\eaglep3-reporting\EC\2017-05-30-refined-times.txt</v>
      </c>
      <c r="AI192" s="99" t="str">
        <f t="shared" si="66"/>
        <v>echo {"issue":{"subject":"","project_id":79,"tracker_id":40,"status_id":1,"priority_id":2,"assigned_to_id":23,"start_date":"2017-05-30","description":"","custom_fields":[{"id":1,"name":"Subdivision","value":"NW"},{"id":4,"name":"Milepost","value":"0.0691"},{"id":17,"name":"Train ID","value":"834-30"},{"id":16,"name":"Locomotive ID","value":"4049"},{"id":130,"name":"Impact","value":""},{"id":150,"name":"Time of Event (Mountain Time)","value":"17:57:07"},{"id":151,"name":"Denver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5" t="str">
        <f t="shared" si="67"/>
        <v>start /low /b %USERPROFILE%\Documents\GitHub\eaglep3\Utilities\DownloadLogsFromS3.py --loco 4049 --day 2017-05-30</v>
      </c>
      <c r="AN192" s="154" t="str">
        <f t="shared" si="68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23:57:07"},{"id":29,"name":"Sharepoint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3" spans="1:91" x14ac:dyDescent="0.25">
      <c r="A193" s="32" t="s">
        <v>656</v>
      </c>
      <c r="B193" s="7">
        <v>4042</v>
      </c>
      <c r="C193" s="21" t="s">
        <v>204</v>
      </c>
      <c r="D193" s="21" t="s">
        <v>966</v>
      </c>
      <c r="E193" s="13">
        <v>42885.740370370368</v>
      </c>
      <c r="F193" s="13">
        <v>42885.744166666664</v>
      </c>
      <c r="G193" s="7">
        <v>1</v>
      </c>
      <c r="H193" s="21" t="s">
        <v>974</v>
      </c>
      <c r="I193" s="13">
        <v>42885.755520833336</v>
      </c>
      <c r="J193" s="7">
        <v>0</v>
      </c>
      <c r="K193" s="92" t="str">
        <f t="shared" si="52"/>
        <v>4041/4042</v>
      </c>
      <c r="L193" s="21" t="str">
        <f>VLOOKUP(A193,'Trips&amp;Operators'!$C$1:$G$99999,5,FALSE)</f>
        <v>THOMPSON LESTER</v>
      </c>
      <c r="M193" s="6">
        <f t="shared" si="53"/>
        <v>1.135416667239042E-2</v>
      </c>
      <c r="N193" s="7">
        <f t="shared" si="83"/>
        <v>16.350000008242205</v>
      </c>
      <c r="O193" s="7"/>
      <c r="P193" s="7"/>
      <c r="Q193" s="22"/>
      <c r="R193" s="173" t="s">
        <v>1010</v>
      </c>
      <c r="S193" s="176">
        <f t="shared" si="80"/>
        <v>1</v>
      </c>
      <c r="T193" s="202" t="str">
        <f t="shared" si="54"/>
        <v>NorthBound</v>
      </c>
      <c r="U193" s="202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03" t="str">
        <f t="shared" si="55"/>
        <v>https://d0f6bd738d7f1b3e5a7ca70fe4ff75f0.us-east-1.aws.found.io/app/kibana#/discover/Steve-Slow-Train-Analysis-(2080s-and-2083s)?_g=(refreshInterval:(display:Off,pause:!f,section:0,value:0),time:(from:'2017-05-30T16:46:08-0600',mode:absolute,to:'2017-05-30T19:07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93" s="204" t="str">
        <f t="shared" si="56"/>
        <v>N</v>
      </c>
      <c r="X193" s="204">
        <f t="shared" si="82"/>
        <v>1</v>
      </c>
      <c r="Y193" s="204">
        <f t="shared" si="84"/>
        <v>9.7799999999999998E-2</v>
      </c>
      <c r="Z193" s="204">
        <f t="shared" si="85"/>
        <v>5.8912000000000004</v>
      </c>
      <c r="AA193" s="204">
        <f t="shared" si="60"/>
        <v>5.7934000000000001</v>
      </c>
      <c r="AB193" s="57" t="e">
        <f>VLOOKUP(A193,Enforcements!$C$7:$K$13,8,0)</f>
        <v>#N/A</v>
      </c>
      <c r="AC193" s="53" t="e">
        <f>VLOOKUP(A193,Enforcements!$C$7:$E$13,3,0)</f>
        <v>#N/A</v>
      </c>
      <c r="AD193" s="54" t="str">
        <f t="shared" si="61"/>
        <v>0835-30</v>
      </c>
      <c r="AE193" s="80" t="str">
        <f t="shared" si="62"/>
        <v>aws s3 cp s3://rtdc.mdm.uploadarchive.raw/RTDC4042/ "%USERPROFILE%\AppData\Local\Temp\OnboardLogs"\RTDC4042\2017-05-30 --exclude "*" --recursive --include "*20170530*" &amp; "%USERPROFILE%\Documents\GitHub\mrs-test-scripts\Headless Mode &amp; Sideloading\WalkAndUnGZ.bat" "%USERPROFILE%\AppData\Local\Temp\OnboardLogs"\RTDC4042\2017-05-30 &amp; aws s3 cp s3://rtdc.mdm.uploadarchive.raw/RTDC4042/ "%USERPROFILE%\AppData\Local\Temp\OnboardLogs"\RTDC4042\2017-05-31 --exclude "*" --recursive --include "*20170531*" &amp; "%USERPROFILE%\Documents\GitHub\mrs-test-scripts\Headless Mode &amp; Sideloading\WalkAndUnGZ.bat" "%USERPROFILE%\AppData\Local\Temp\OnboardLogs"\RTDC4042\2017-05-31</v>
      </c>
      <c r="AF193" s="77" t="str">
        <f t="shared" si="63"/>
        <v>"C:\Program Files (x86)\AstroGrep\AstroGrep.exe" /e /r /s /spath="%USERPROFILE%\AppData\Local\Temp\OnboardLogs" /stypes="app*4042*20170531*" /stext=" 00:.+((SYSTEM_STATE.+slice.+state.+changed )|(ment ac)|(multiple cpu faults)|(system.+state.+changed )|(\[timeout)|(PRM\|1\|D)|(kpr)|(kdp)|(train st.+moving)|(\|lc)|(penalty))"</v>
      </c>
      <c r="AG193" s="1" t="str">
        <f t="shared" si="64"/>
        <v>NW</v>
      </c>
      <c r="AH193" s="81" t="str">
        <f t="shared" si="65"/>
        <v>"%USERPROFILE%\Documents\GitHub\eaglep3\Utilities\RefineRTDCRunTimes.py" --tripid 835-30 --locoid 4042 --swversion DE.1.0.9.0 --startMP 204:978 --initTime 2017-05-30T17:46:08 --startdatetime 2017-05-30T17:51:36 --delay 1 --endMP 300:58912 --enddatetime 2017-05-30T18:07:57 --enforcementcount 0 &gt;&gt;C:\Users\stu\Documents\GitHub\eaglep3-reporting\EC\2017-05-30-refined-times.txt</v>
      </c>
      <c r="AI193" s="99" t="str">
        <f t="shared" si="66"/>
        <v>echo {"issue":{"subject":"Brief Wi-MAX data drop, no enforcement or cut out","project_id":79,"tracker_id":40,"status_id":1,"priority_id":2,"assigned_to_id":23,"start_date":"2017-05-30","description":"","custom_fields":[{"id":1,"name":"Subdivision","value":"NW"},{"id":4,"name":"Milepost","value":"5.8912"},{"id":17,"name":"Train ID","value":"835-30"},{"id":16,"name":"Locomotive ID","value":"4042"},{"id":130,"name":"Impact","value":""},{"id":150,"name":"Time of Event (Mountain Time)","value":"18:07:57"},{"id":151,"name":"Denver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5" t="str">
        <f t="shared" si="67"/>
        <v>start /low /b %USERPROFILE%\Documents\GitHub\eaglep3\Utilities\DownloadLogsFromS3.py --loco 4042 --day 2017-05-30</v>
      </c>
      <c r="AN193" s="154" t="str">
        <f t="shared" si="68"/>
        <v>echo {"issue":{"subject":"Brief Wi-MAX data drop, no enforcement or cut out","project_id":30,"tracker_id":4,"status_id":1,"priority_id":1,"assigned_to_id":10,"start_date":"2017-05-31","description":"","custom_fields":[{"id":30,"name":"Category","value":"Issue"},{"id":3,"name":"Functional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00:07:57"},{"id":29,"name":"Sharepoint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4" spans="1:91" x14ac:dyDescent="0.25">
      <c r="A194" s="32" t="s">
        <v>658</v>
      </c>
      <c r="B194" s="7">
        <v>4041</v>
      </c>
      <c r="C194" s="21" t="s">
        <v>204</v>
      </c>
      <c r="D194" s="21" t="s">
        <v>975</v>
      </c>
      <c r="E194" s="13">
        <v>42885.756435185183</v>
      </c>
      <c r="F194" s="13">
        <v>42885.758067129631</v>
      </c>
      <c r="G194" s="7">
        <v>1</v>
      </c>
      <c r="H194" s="21" t="s">
        <v>976</v>
      </c>
      <c r="I194" s="13">
        <v>42885.768877314818</v>
      </c>
      <c r="J194" s="7">
        <v>0</v>
      </c>
      <c r="K194" s="92" t="str">
        <f t="shared" si="52"/>
        <v>4041/4042</v>
      </c>
      <c r="L194" s="21" t="str">
        <f>VLOOKUP(A194,'Trips&amp;Operators'!$C$1:$G$99999,5,FALSE)</f>
        <v>THOMPSON LESTER</v>
      </c>
      <c r="M194" s="6">
        <f t="shared" si="53"/>
        <v>1.0810185187438037E-2</v>
      </c>
      <c r="N194" s="7">
        <f t="shared" si="83"/>
        <v>15.566666669910774</v>
      </c>
      <c r="O194" s="7"/>
      <c r="P194" s="7"/>
      <c r="Q194" s="22"/>
      <c r="R194" s="173"/>
      <c r="S194" s="176">
        <f t="shared" si="80"/>
        <v>1</v>
      </c>
      <c r="T194" s="202" t="str">
        <f t="shared" si="54"/>
        <v>Southbound</v>
      </c>
      <c r="U194" s="202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03" t="str">
        <f t="shared" si="55"/>
        <v>https://d0f6bd738d7f1b3e5a7ca70fe4ff75f0.us-east-1.aws.found.io/app/kibana#/discover/Steve-Slow-Train-Analysis-(2080s-and-2083s)?_g=(refreshInterval:(display:Off,pause:!f,section:0,value:0),time:(from:'2017-05-30T17:09:16-0600',mode:absolute,to:'2017-05-30T19:27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94" s="204" t="str">
        <f t="shared" si="56"/>
        <v>N</v>
      </c>
      <c r="X194" s="204">
        <f t="shared" si="82"/>
        <v>1</v>
      </c>
      <c r="Y194" s="204">
        <f t="shared" si="84"/>
        <v>5.8597999999999999</v>
      </c>
      <c r="Z194" s="204">
        <f t="shared" si="85"/>
        <v>7.5200000000000003E-2</v>
      </c>
      <c r="AA194" s="204">
        <f t="shared" si="60"/>
        <v>5.7846000000000002</v>
      </c>
      <c r="AB194" s="57" t="e">
        <f>VLOOKUP(A194,Enforcements!$C$7:$K$13,8,0)</f>
        <v>#N/A</v>
      </c>
      <c r="AC194" s="53" t="e">
        <f>VLOOKUP(A194,Enforcements!$C$7:$E$13,3,0)</f>
        <v>#N/A</v>
      </c>
      <c r="AD194" s="54" t="str">
        <f t="shared" si="61"/>
        <v>0836-30</v>
      </c>
      <c r="AE194" s="80" t="str">
        <f t="shared" si="62"/>
        <v>aws s3 cp s3://rtdc.mdm.uploadarchive.raw/RTDC4041/ "%USERPROFILE%\AppData\Local\Temp\OnboardLogs"\RTDC4041\2017-05-30 --exclude "*" --recursive --include "*20170530*" &amp; "%USERPROFILE%\Documents\GitHub\mrs-test-scripts\Headless Mode &amp; Sideloading\WalkAndUnGZ.bat" "%USERPROFILE%\AppData\Local\Temp\OnboardLogs"\RTDC4041\2017-05-30 &amp; aws s3 cp s3://rtdc.mdm.uploadarchive.raw/RTDC4041/ "%USERPROFILE%\AppData\Local\Temp\OnboardLogs"\RTDC4041\2017-05-31 --exclude "*" --recursive --include "*20170531*" &amp; "%USERPROFILE%\Documents\GitHub\mrs-test-scripts\Headless Mode &amp; Sideloading\WalkAndUnGZ.bat" "%USERPROFILE%\AppData\Local\Temp\OnboardLogs"\RTDC4041\2017-05-31</v>
      </c>
      <c r="AF194" s="77" t="str">
        <f t="shared" si="63"/>
        <v>"C:\Program Files (x86)\AstroGrep\AstroGrep.exe" /e /r /s /spath="%USERPROFILE%\AppData\Local\Temp\OnboardLogs" /stypes="app*4041*20170531*" /stext=" 00:.+((SYSTEM_STATE.+slice.+state.+changed )|(ment ac)|(multiple cpu faults)|(system.+state.+changed )|(\[timeout)|(PRM\|1\|D)|(kpr)|(kdp)|(train st.+moving)|(\|lc)|(penalty))"</v>
      </c>
      <c r="AG194" s="1" t="str">
        <f t="shared" si="64"/>
        <v>NW</v>
      </c>
      <c r="AH194" s="81" t="str">
        <f t="shared" si="65"/>
        <v>"%USERPROFILE%\Documents\GitHub\eaglep3\Utilities\RefineRTDCRunTimes.py" --tripid 836-30 --locoid 4041 --swversion DE.1.0.9.0 --startMP 300:58598 --initTime 2017-05-30T18:09:16 --startdatetime 2017-05-30T18:11:37 --delay 1 --endMP 204:752 --enddatetime 2017-05-30T18:27:11 --enforcementcount 0 &gt;&gt;C:\Users\stu\Documents\GitHub\eaglep3-reporting\EC\2017-05-30-refined-times.txt</v>
      </c>
      <c r="AI194" s="99" t="str">
        <f t="shared" si="66"/>
        <v>echo {"issue":{"subject":"","project_id":79,"tracker_id":40,"status_id":1,"priority_id":2,"assigned_to_id":23,"start_date":"2017-05-30","description":"","custom_fields":[{"id":1,"name":"Subdivision","value":"NW"},{"id":4,"name":"Milepost","value":"0.0752"},{"id":17,"name":"Train ID","value":"836-30"},{"id":16,"name":"Locomotive ID","value":"4041"},{"id":130,"name":"Impact","value":""},{"id":150,"name":"Time of Event (Mountain Time)","value":"18:27:11"},{"id":151,"name":"Denver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5" t="str">
        <f t="shared" si="67"/>
        <v>start /low /b %USERPROFILE%\Documents\GitHub\eaglep3\Utilities\DownloadLogsFromS3.py --loco 4041 --day 2017-05-30</v>
      </c>
      <c r="AN194" s="154" t="str">
        <f t="shared" si="68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00:27:11"},{"id":29,"name":"Sharepoint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5" spans="1:91" x14ac:dyDescent="0.25">
      <c r="A195" s="32" t="s">
        <v>659</v>
      </c>
      <c r="B195" s="7">
        <v>4050</v>
      </c>
      <c r="C195" s="21" t="s">
        <v>204</v>
      </c>
      <c r="D195" s="21" t="s">
        <v>617</v>
      </c>
      <c r="E195" s="13">
        <v>42885.759675925925</v>
      </c>
      <c r="F195" s="13">
        <v>42885.764780092592</v>
      </c>
      <c r="G195" s="7">
        <v>1</v>
      </c>
      <c r="H195" s="21" t="s">
        <v>625</v>
      </c>
      <c r="I195" s="13">
        <v>42885.774467592593</v>
      </c>
      <c r="J195" s="7">
        <v>0</v>
      </c>
      <c r="K195" s="92" t="str">
        <f t="shared" si="52"/>
        <v>4049/4050</v>
      </c>
      <c r="L195" s="21" t="str">
        <f>VLOOKUP(A195,'Trips&amp;Operators'!$C$1:$G$99999,5,FALSE)</f>
        <v>BRUDER RICHARD</v>
      </c>
      <c r="M195" s="6">
        <f t="shared" si="53"/>
        <v>9.6875000017462298E-3</v>
      </c>
      <c r="N195" s="7">
        <f t="shared" si="83"/>
        <v>13.950000002514571</v>
      </c>
      <c r="O195" s="7"/>
      <c r="P195" s="7"/>
      <c r="Q195" s="22"/>
      <c r="R195" s="173"/>
      <c r="S195" s="176">
        <f t="shared" si="80"/>
        <v>1</v>
      </c>
      <c r="T195" s="202" t="str">
        <f t="shared" si="54"/>
        <v>NorthBound</v>
      </c>
      <c r="U195" s="202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03" t="str">
        <f t="shared" si="55"/>
        <v>https://d0f6bd738d7f1b3e5a7ca70fe4ff75f0.us-east-1.aws.found.io/app/kibana#/discover/Steve-Slow-Train-Analysis-(2080s-and-2083s)?_g=(refreshInterval:(display:Off,pause:!f,section:0,value:0),time:(from:'2017-05-30T17:13:56-0600',mode:absolute,to:'2017-05-30T19:35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95" s="204" t="str">
        <f t="shared" si="56"/>
        <v>N</v>
      </c>
      <c r="X195" s="204">
        <f t="shared" si="82"/>
        <v>1</v>
      </c>
      <c r="Y195" s="204">
        <f t="shared" si="84"/>
        <v>9.74E-2</v>
      </c>
      <c r="Z195" s="204">
        <f t="shared" si="85"/>
        <v>5.8948</v>
      </c>
      <c r="AA195" s="204">
        <f t="shared" si="60"/>
        <v>5.7973999999999997</v>
      </c>
      <c r="AB195" s="57" t="e">
        <f>VLOOKUP(A195,Enforcements!$C$7:$K$13,8,0)</f>
        <v>#N/A</v>
      </c>
      <c r="AC195" s="53" t="e">
        <f>VLOOKUP(A195,Enforcements!$C$7:$E$13,3,0)</f>
        <v>#N/A</v>
      </c>
      <c r="AD195" s="54" t="str">
        <f t="shared" si="61"/>
        <v>0837-30</v>
      </c>
      <c r="AE195" s="80" t="str">
        <f t="shared" si="62"/>
        <v>aws s3 cp s3://rtdc.mdm.uploadarchive.raw/RTDC4050/ "%USERPROFILE%\AppData\Local\Temp\OnboardLogs"\RTDC4050\2017-05-30 --exclude "*" --recursive --include "*20170530*" &amp; "%USERPROFILE%\Documents\GitHub\mrs-test-scripts\Headless Mode &amp; Sideloading\WalkAndUnGZ.bat" "%USERPROFILE%\AppData\Local\Temp\OnboardLogs"\RTDC4050\2017-05-30 &amp; aws s3 cp s3://rtdc.mdm.uploadarchive.raw/RTDC4050/ "%USERPROFILE%\AppData\Local\Temp\OnboardLogs"\RTDC4050\2017-05-31 --exclude "*" --recursive --include "*20170531*" &amp; "%USERPROFILE%\Documents\GitHub\mrs-test-scripts\Headless Mode &amp; Sideloading\WalkAndUnGZ.bat" "%USERPROFILE%\AppData\Local\Temp\OnboardLogs"\RTDC4050\2017-05-31</v>
      </c>
      <c r="AF195" s="77" t="str">
        <f t="shared" si="63"/>
        <v>"C:\Program Files (x86)\AstroGrep\AstroGrep.exe" /e /r /s /spath="%USERPROFILE%\AppData\Local\Temp\OnboardLogs" /stypes="app*4050*20170531*" /stext=" 00:.+((SYSTEM_STATE.+slice.+state.+changed )|(ment ac)|(multiple cpu faults)|(system.+state.+changed )|(\[timeout)|(PRM\|1\|D)|(kpr)|(kdp)|(train st.+moving)|(\|lc)|(penalty))"</v>
      </c>
      <c r="AG195" s="1" t="str">
        <f t="shared" si="64"/>
        <v>NW</v>
      </c>
      <c r="AH195" s="81" t="str">
        <f t="shared" si="65"/>
        <v>"%USERPROFILE%\Documents\GitHub\eaglep3\Utilities\RefineRTDCRunTimes.py" --tripid 837-30 --locoid 4050 --swversion DE.1.0.9.0 --startMP 204:974 --initTime 2017-05-30T18:13:56 --startdatetime 2017-05-30T18:21:17 --delay 1 --endMP 300:58948 --enddatetime 2017-05-30T18:35:14 --enforcementcount 0 &gt;&gt;C:\Users\stu\Documents\GitHub\eaglep3-reporting\EC\2017-05-30-refined-times.txt</v>
      </c>
      <c r="AI195" s="99" t="str">
        <f t="shared" si="66"/>
        <v>echo {"issue":{"subject":"","project_id":79,"tracker_id":40,"status_id":1,"priority_id":2,"assigned_to_id":23,"start_date":"2017-05-30","description":"","custom_fields":[{"id":1,"name":"Subdivision","value":"NW"},{"id":4,"name":"Milepost","value":"5.8948"},{"id":17,"name":"Train ID","value":"837-30"},{"id":16,"name":"Locomotive ID","value":"4050"},{"id":130,"name":"Impact","value":""},{"id":150,"name":"Time of Event (Mountain Time)","value":"18:35:14"},{"id":151,"name":"Denver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5" t="str">
        <f t="shared" si="67"/>
        <v>start /low /b %USERPROFILE%\Documents\GitHub\eaglep3\Utilities\DownloadLogsFromS3.py --loco 4050 --day 2017-05-30</v>
      </c>
      <c r="AN195" s="154" t="str">
        <f t="shared" si="68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00:35:14"},{"id":29,"name":"Sharepoint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6" spans="1:91" s="20" customFormat="1" x14ac:dyDescent="0.25">
      <c r="A196" s="32" t="s">
        <v>828</v>
      </c>
      <c r="B196" s="7">
        <v>4049</v>
      </c>
      <c r="C196" s="21" t="s">
        <v>204</v>
      </c>
      <c r="D196" s="21" t="s">
        <v>501</v>
      </c>
      <c r="E196" s="13">
        <v>42885.775636574072</v>
      </c>
      <c r="F196" s="13">
        <v>42885.77715277778</v>
      </c>
      <c r="G196" s="7">
        <v>1</v>
      </c>
      <c r="H196" s="21" t="s">
        <v>537</v>
      </c>
      <c r="I196" s="13">
        <v>42885.789675925924</v>
      </c>
      <c r="J196" s="7">
        <v>0</v>
      </c>
      <c r="K196" s="92" t="str">
        <f t="shared" si="52"/>
        <v>4049/4050</v>
      </c>
      <c r="L196" s="21" t="str">
        <f>VLOOKUP(A196,'Trips&amp;Operators'!$C$1:$G$99999,5,FALSE)</f>
        <v>BRUDER RICHARD</v>
      </c>
      <c r="M196" s="6">
        <f t="shared" si="53"/>
        <v>1.2523148143372964E-2</v>
      </c>
      <c r="N196" s="7">
        <f t="shared" si="83"/>
        <v>18.033333326457068</v>
      </c>
      <c r="O196" s="7"/>
      <c r="P196" s="7"/>
      <c r="Q196" s="22"/>
      <c r="R196" s="173"/>
      <c r="S196" s="176">
        <f t="shared" si="80"/>
        <v>1</v>
      </c>
      <c r="T196" s="202" t="str">
        <f t="shared" si="54"/>
        <v>Southbound</v>
      </c>
      <c r="U196" s="202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03" t="str">
        <f t="shared" si="55"/>
        <v>https://d0f6bd738d7f1b3e5a7ca70fe4ff75f0.us-east-1.aws.found.io/app/kibana#/discover/Steve-Slow-Train-Analysis-(2080s-and-2083s)?_g=(refreshInterval:(display:Off,pause:!f,section:0,value:0),time:(from:'2017-05-30T17:36:55-0600',mode:absolute,to:'2017-05-30T19:57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96" s="204" t="str">
        <f t="shared" si="56"/>
        <v>N</v>
      </c>
      <c r="X196" s="204">
        <f t="shared" si="82"/>
        <v>1</v>
      </c>
      <c r="Y196" s="204">
        <f t="shared" si="84"/>
        <v>5.8634000000000004</v>
      </c>
      <c r="Z196" s="204">
        <f t="shared" si="85"/>
        <v>6.8199999999999997E-2</v>
      </c>
      <c r="AA196" s="204">
        <f t="shared" si="60"/>
        <v>5.7952000000000004</v>
      </c>
      <c r="AB196" s="57" t="e">
        <f>VLOOKUP(A196,Enforcements!$C$7:$K$13,8,0)</f>
        <v>#N/A</v>
      </c>
      <c r="AC196" s="53" t="e">
        <f>VLOOKUP(A196,Enforcements!$C$7:$E$13,3,0)</f>
        <v>#N/A</v>
      </c>
      <c r="AD196" s="54" t="str">
        <f t="shared" si="61"/>
        <v>0838-30</v>
      </c>
      <c r="AE196" s="80" t="str">
        <f t="shared" si="62"/>
        <v>aws s3 cp s3://rtdc.mdm.uploadarchive.raw/RTDC4049/ "%USERPROFILE%\AppData\Local\Temp\OnboardLogs"\RTDC4049\2017-05-30 --exclude "*" --recursive --include "*20170530*" &amp; "%USERPROFILE%\Documents\GitHub\mrs-test-scripts\Headless Mode &amp; Sideloading\WalkAndUnGZ.bat" "%USERPROFILE%\AppData\Local\Temp\OnboardLogs"\RTDC4049\2017-05-30 &amp; aws s3 cp s3://rtdc.mdm.uploadarchive.raw/RTDC4049/ "%USERPROFILE%\AppData\Local\Temp\OnboardLogs"\RTDC4049\2017-05-31 --exclude "*" --recursive --include "*20170531*" &amp; "%USERPROFILE%\Documents\GitHub\mrs-test-scripts\Headless Mode &amp; Sideloading\WalkAndUnGZ.bat" "%USERPROFILE%\AppData\Local\Temp\OnboardLogs"\RTDC4049\2017-05-31</v>
      </c>
      <c r="AF196" s="77" t="str">
        <f t="shared" si="63"/>
        <v>"C:\Program Files (x86)\AstroGrep\AstroGrep.exe" /e /r /s /spath="%USERPROFILE%\AppData\Local\Temp\OnboardLogs" /stypes="app*4049*20170531*" /stext=" 00:.+((SYSTEM_STATE.+slice.+state.+changed )|(ment ac)|(multiple cpu faults)|(system.+state.+changed )|(\[timeout)|(PRM\|1\|D)|(kpr)|(kdp)|(train st.+moving)|(\|lc)|(penalty))"</v>
      </c>
      <c r="AG196" s="1" t="str">
        <f t="shared" si="64"/>
        <v>NW</v>
      </c>
      <c r="AH196" s="81" t="str">
        <f t="shared" si="65"/>
        <v>"%USERPROFILE%\Documents\GitHub\eaglep3\Utilities\RefineRTDCRunTimes.py" --tripid 838-30 --locoid 4049 --swversion DE.1.0.9.0 --startMP 300:58634 --initTime 2017-05-30T18:36:55 --startdatetime 2017-05-30T18:39:06 --delay 1 --endMP 204:682 --enddatetime 2017-05-30T18:57:08 --enforcementcount 0 &gt;&gt;C:\Users\stu\Documents\GitHub\eaglep3-reporting\EC\2017-05-30-refined-times.txt</v>
      </c>
      <c r="AI196" s="99" t="str">
        <f t="shared" si="66"/>
        <v>echo {"issue":{"subject":"","project_id":79,"tracker_id":40,"status_id":1,"priority_id":2,"assigned_to_id":23,"start_date":"2017-05-30","description":"","custom_fields":[{"id":1,"name":"Subdivision","value":"NW"},{"id":4,"name":"Milepost","value":"0.0682"},{"id":17,"name":"Train ID","value":"838-30"},{"id":16,"name":"Locomotive ID","value":"4049"},{"id":130,"name":"Impact","value":""},{"id":150,"name":"Time of Event (Mountain Time)","value":"18:57:08"},{"id":151,"name":"Denver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6" s="47"/>
      <c r="AL196" s="47"/>
      <c r="AM196" s="145" t="str">
        <f t="shared" si="67"/>
        <v>start /low /b %USERPROFILE%\Documents\GitHub\eaglep3\Utilities\DownloadLogsFromS3.py --loco 4049 --day 2017-05-30</v>
      </c>
      <c r="AN196" s="154" t="str">
        <f t="shared" si="68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00:57:08"},{"id":29,"name":"Sharepoint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x14ac:dyDescent="0.25">
      <c r="A197" s="32" t="s">
        <v>660</v>
      </c>
      <c r="B197" s="7">
        <v>4042</v>
      </c>
      <c r="C197" s="21" t="s">
        <v>204</v>
      </c>
      <c r="D197" s="21" t="s">
        <v>977</v>
      </c>
      <c r="E197" s="13">
        <v>42885.77003472222</v>
      </c>
      <c r="F197" s="13">
        <v>42885.786157407405</v>
      </c>
      <c r="G197" s="7">
        <v>1</v>
      </c>
      <c r="H197" s="21" t="s">
        <v>630</v>
      </c>
      <c r="I197" s="13">
        <v>42885.796030092592</v>
      </c>
      <c r="J197" s="7">
        <v>0</v>
      </c>
      <c r="K197" s="92" t="str">
        <f t="shared" si="52"/>
        <v>4041/4042</v>
      </c>
      <c r="L197" s="21" t="str">
        <f>VLOOKUP(A197,'Trips&amp;Operators'!$C$1:$G$99999,5,FALSE)</f>
        <v>THOMPSON LESTER</v>
      </c>
      <c r="M197" s="6">
        <f t="shared" si="53"/>
        <v>9.8726851865649223E-3</v>
      </c>
      <c r="N197" s="7">
        <f t="shared" si="83"/>
        <v>14.216666668653488</v>
      </c>
      <c r="O197" s="7"/>
      <c r="P197" s="7"/>
      <c r="Q197" s="22"/>
      <c r="R197" s="173"/>
      <c r="S197" s="176">
        <f t="shared" si="80"/>
        <v>1</v>
      </c>
      <c r="T197" s="202" t="str">
        <f t="shared" si="54"/>
        <v>NorthBound</v>
      </c>
      <c r="U197" s="202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03" t="str">
        <f t="shared" si="55"/>
        <v>https://d0f6bd738d7f1b3e5a7ca70fe4ff75f0.us-east-1.aws.found.io/app/kibana#/discover/Steve-Slow-Train-Analysis-(2080s-and-2083s)?_g=(refreshInterval:(display:Off,pause:!f,section:0,value:0),time:(from:'2017-05-30T17:28:51-0600',mode:absolute,to:'2017-05-30T20:06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97" s="204" t="str">
        <f t="shared" si="56"/>
        <v>N</v>
      </c>
      <c r="X197" s="204">
        <f t="shared" si="82"/>
        <v>1</v>
      </c>
      <c r="Y197" s="204">
        <f t="shared" si="84"/>
        <v>0.10489999999999999</v>
      </c>
      <c r="Z197" s="204">
        <f t="shared" si="85"/>
        <v>5.8916000000000004</v>
      </c>
      <c r="AA197" s="204">
        <f t="shared" si="60"/>
        <v>5.7867000000000006</v>
      </c>
      <c r="AB197" s="57" t="e">
        <f>VLOOKUP(A197,Enforcements!$C$7:$K$13,8,0)</f>
        <v>#N/A</v>
      </c>
      <c r="AC197" s="53" t="e">
        <f>VLOOKUP(A197,Enforcements!$C$7:$E$13,3,0)</f>
        <v>#N/A</v>
      </c>
      <c r="AD197" s="54" t="str">
        <f t="shared" si="61"/>
        <v>0839-30</v>
      </c>
      <c r="AE197" s="80" t="str">
        <f t="shared" si="62"/>
        <v>aws s3 cp s3://rtdc.mdm.uploadarchive.raw/RTDC4042/ "%USERPROFILE%\AppData\Local\Temp\OnboardLogs"\RTDC4042\2017-05-30 --exclude "*" --recursive --include "*20170530*" &amp; "%USERPROFILE%\Documents\GitHub\mrs-test-scripts\Headless Mode &amp; Sideloading\WalkAndUnGZ.bat" "%USERPROFILE%\AppData\Local\Temp\OnboardLogs"\RTDC4042\2017-05-30 &amp; aws s3 cp s3://rtdc.mdm.uploadarchive.raw/RTDC4042/ "%USERPROFILE%\AppData\Local\Temp\OnboardLogs"\RTDC4042\2017-05-31 --exclude "*" --recursive --include "*20170531*" &amp; "%USERPROFILE%\Documents\GitHub\mrs-test-scripts\Headless Mode &amp; Sideloading\WalkAndUnGZ.bat" "%USERPROFILE%\AppData\Local\Temp\OnboardLogs"\RTDC4042\2017-05-31</v>
      </c>
      <c r="AF197" s="77" t="str">
        <f t="shared" si="63"/>
        <v>"C:\Program Files (x86)\AstroGrep\AstroGrep.exe" /e /r /s /spath="%USERPROFILE%\AppData\Local\Temp\OnboardLogs" /stypes="app*4042*20170531*" /stext=" 01:.+((SYSTEM_STATE.+slice.+state.+changed )|(ment ac)|(multiple cpu faults)|(system.+state.+changed )|(\[timeout)|(PRM\|1\|D)|(kpr)|(kdp)|(train st.+moving)|(\|lc)|(penalty))"</v>
      </c>
      <c r="AG197" s="1" t="str">
        <f t="shared" si="64"/>
        <v>NW</v>
      </c>
      <c r="AH197" s="81" t="str">
        <f t="shared" si="65"/>
        <v>"%USERPROFILE%\Documents\GitHub\eaglep3\Utilities\RefineRTDCRunTimes.py" --tripid 839-30 --locoid 4042 --swversion DE.1.0.9.0 --startMP 204:1049 --initTime 2017-05-30T18:28:51 --startdatetime 2017-05-30T18:52:04 --delay 1 --endMP 300:58916 --enddatetime 2017-05-30T19:06:17 --enforcementcount 0 &gt;&gt;C:\Users\stu\Documents\GitHub\eaglep3-reporting\EC\2017-05-30-refined-times.txt</v>
      </c>
      <c r="AI197" s="99" t="str">
        <f t="shared" si="66"/>
        <v>echo {"issue":{"subject":"","project_id":79,"tracker_id":40,"status_id":1,"priority_id":2,"assigned_to_id":23,"start_date":"2017-05-30","description":"","custom_fields":[{"id":1,"name":"Subdivision","value":"NW"},{"id":4,"name":"Milepost","value":"5.8916"},{"id":17,"name":"Train ID","value":"839-30"},{"id":16,"name":"Locomotive ID","value":"4042"},{"id":130,"name":"Impact","value":""},{"id":150,"name":"Time of Event (Mountain Time)","value":"19:06:17"},{"id":151,"name":"Denver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5" t="str">
        <f t="shared" si="67"/>
        <v>start /low /b %USERPROFILE%\Documents\GitHub\eaglep3\Utilities\DownloadLogsFromS3.py --loco 4042 --day 2017-05-30</v>
      </c>
      <c r="AN197" s="154" t="str">
        <f t="shared" si="68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01:06:17"},{"id":29,"name":"Sharepoint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8" spans="1:91" x14ac:dyDescent="0.25">
      <c r="A198" s="32" t="s">
        <v>838</v>
      </c>
      <c r="B198" s="7">
        <v>4049</v>
      </c>
      <c r="C198" s="21" t="s">
        <v>204</v>
      </c>
      <c r="D198" s="21" t="s">
        <v>539</v>
      </c>
      <c r="E198" s="13">
        <v>42885.817280092589</v>
      </c>
      <c r="F198" s="13">
        <v>42885.818703703706</v>
      </c>
      <c r="G198" s="7">
        <v>1</v>
      </c>
      <c r="H198" s="21" t="s">
        <v>978</v>
      </c>
      <c r="I198" s="13">
        <v>42885.831458333334</v>
      </c>
      <c r="J198" s="7">
        <v>0</v>
      </c>
      <c r="K198" s="92" t="str">
        <f t="shared" si="52"/>
        <v>4049/4050</v>
      </c>
      <c r="L198" s="21" t="str">
        <f>VLOOKUP(A198,'Trips&amp;Operators'!$C$1:$G$99999,5,FALSE)</f>
        <v>BRUDER RICHARD</v>
      </c>
      <c r="M198" s="6">
        <f t="shared" si="53"/>
        <v>1.2754629628034309E-2</v>
      </c>
      <c r="N198" s="7">
        <f t="shared" si="83"/>
        <v>18.366666664369404</v>
      </c>
      <c r="O198" s="7"/>
      <c r="P198" s="7"/>
      <c r="Q198" s="22"/>
      <c r="R198" s="173"/>
      <c r="S198" s="176">
        <f t="shared" si="80"/>
        <v>1</v>
      </c>
      <c r="T198" s="202" t="str">
        <f t="shared" si="54"/>
        <v>Southbound</v>
      </c>
      <c r="U198" s="202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03" t="str">
        <f t="shared" si="55"/>
        <v>https://d0f6bd738d7f1b3e5a7ca70fe4ff75f0.us-east-1.aws.found.io/app/kibana#/discover/Steve-Slow-Train-Analysis-(2080s-and-2083s)?_g=(refreshInterval:(display:Off,pause:!f,section:0,value:0),time:(from:'2017-05-30T18:36:53-0600',mode:absolute,to:'2017-05-30T20:57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98" s="204" t="str">
        <f t="shared" si="56"/>
        <v>N</v>
      </c>
      <c r="X198" s="204">
        <f t="shared" si="82"/>
        <v>1</v>
      </c>
      <c r="Y198" s="204">
        <f t="shared" si="84"/>
        <v>5.8623000000000003</v>
      </c>
      <c r="Z198" s="204">
        <f t="shared" si="85"/>
        <v>6.7799999999999999E-2</v>
      </c>
      <c r="AA198" s="204">
        <f t="shared" si="60"/>
        <v>5.7945000000000002</v>
      </c>
      <c r="AB198" s="57" t="e">
        <f>VLOOKUP(A198,Enforcements!$C$7:$K$13,8,0)</f>
        <v>#N/A</v>
      </c>
      <c r="AC198" s="53" t="e">
        <f>VLOOKUP(A198,Enforcements!$C$7:$E$13,3,0)</f>
        <v>#N/A</v>
      </c>
      <c r="AD198" s="54" t="str">
        <f t="shared" si="61"/>
        <v>0840-30</v>
      </c>
      <c r="AE198" s="80" t="str">
        <f t="shared" si="62"/>
        <v>aws s3 cp s3://rtdc.mdm.uploadarchive.raw/RTDC4049/ "%USERPROFILE%\AppData\Local\Temp\OnboardLogs"\RTDC4049\2017-05-30 --exclude "*" --recursive --include "*20170530*" &amp; "%USERPROFILE%\Documents\GitHub\mrs-test-scripts\Headless Mode &amp; Sideloading\WalkAndUnGZ.bat" "%USERPROFILE%\AppData\Local\Temp\OnboardLogs"\RTDC4049\2017-05-30 &amp; aws s3 cp s3://rtdc.mdm.uploadarchive.raw/RTDC4049/ "%USERPROFILE%\AppData\Local\Temp\OnboardLogs"\RTDC4049\2017-05-31 --exclude "*" --recursive --include "*20170531*" &amp; "%USERPROFILE%\Documents\GitHub\mrs-test-scripts\Headless Mode &amp; Sideloading\WalkAndUnGZ.bat" "%USERPROFILE%\AppData\Local\Temp\OnboardLogs"\RTDC4049\2017-05-31</v>
      </c>
      <c r="AF198" s="77" t="str">
        <f t="shared" si="63"/>
        <v>"C:\Program Files (x86)\AstroGrep\AstroGrep.exe" /e /r /s /spath="%USERPROFILE%\AppData\Local\Temp\OnboardLogs" /stypes="app*4049*20170531*" /stext=" 01:.+((SYSTEM_STATE.+slice.+state.+changed )|(ment ac)|(multiple cpu faults)|(system.+state.+changed )|(\[timeout)|(PRM\|1\|D)|(kpr)|(kdp)|(train st.+moving)|(\|lc)|(penalty))"</v>
      </c>
      <c r="AG198" s="1" t="str">
        <f t="shared" si="64"/>
        <v>NW</v>
      </c>
      <c r="AH198" s="81" t="str">
        <f t="shared" si="65"/>
        <v>"%USERPROFILE%\Documents\GitHub\eaglep3\Utilities\RefineRTDCRunTimes.py" --tripid 840-30 --locoid 4049 --swversion DE.1.0.9.0 --startMP 300:58623 --initTime 2017-05-30T19:36:53 --startdatetime 2017-05-30T19:38:56 --delay 1 --endMP 204:678 --enddatetime 2017-05-30T19:57:18 --enforcementcount 0 &gt;&gt;C:\Users\stu\Documents\GitHub\eaglep3-reporting\EC\2017-05-30-refined-times.txt</v>
      </c>
      <c r="AI198" s="99" t="str">
        <f t="shared" si="66"/>
        <v>echo {"issue":{"subject":"","project_id":79,"tracker_id":40,"status_id":1,"priority_id":2,"assigned_to_id":23,"start_date":"2017-05-30","description":"","custom_fields":[{"id":1,"name":"Subdivision","value":"NW"},{"id":4,"name":"Milepost","value":"0.0678"},{"id":17,"name":"Train ID","value":"840-30"},{"id":16,"name":"Locomotive ID","value":"4049"},{"id":130,"name":"Impact","value":""},{"id":150,"name":"Time of Event (Mountain Time)","value":"19:57:18"},{"id":151,"name":"Denver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5" t="str">
        <f t="shared" si="67"/>
        <v>start /low /b %USERPROFILE%\Documents\GitHub\eaglep3\Utilities\DownloadLogsFromS3.py --loco 4049 --day 2017-05-30</v>
      </c>
      <c r="AN198" s="154" t="str">
        <f t="shared" si="68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01:57:18"},{"id":29,"name":"Sharepoint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9" spans="1:91" x14ac:dyDescent="0.25">
      <c r="A199" s="32" t="s">
        <v>835</v>
      </c>
      <c r="B199" s="7">
        <v>4050</v>
      </c>
      <c r="C199" s="21" t="s">
        <v>204</v>
      </c>
      <c r="D199" s="21" t="s">
        <v>957</v>
      </c>
      <c r="E199" s="13">
        <v>42885.802268518521</v>
      </c>
      <c r="F199" s="13">
        <v>42885.806435185186</v>
      </c>
      <c r="G199" s="7">
        <v>1</v>
      </c>
      <c r="H199" s="21" t="s">
        <v>945</v>
      </c>
      <c r="I199" s="13">
        <v>42885.816122685188</v>
      </c>
      <c r="J199" s="7">
        <v>0</v>
      </c>
      <c r="K199" s="92" t="str">
        <f t="shared" si="52"/>
        <v>4049/4050</v>
      </c>
      <c r="L199" s="21" t="str">
        <f>VLOOKUP(A199,'Trips&amp;Operators'!$C$1:$G$99999,5,FALSE)</f>
        <v>BRUDER RICHARD</v>
      </c>
      <c r="M199" s="6">
        <f t="shared" si="53"/>
        <v>9.6875000017462298E-3</v>
      </c>
      <c r="N199" s="7">
        <f t="shared" si="83"/>
        <v>13.950000002514571</v>
      </c>
      <c r="O199" s="7"/>
      <c r="P199" s="7"/>
      <c r="Q199" s="22"/>
      <c r="R199" s="173"/>
      <c r="S199" s="176">
        <f t="shared" si="80"/>
        <v>1</v>
      </c>
      <c r="T199" s="202" t="str">
        <f t="shared" si="54"/>
        <v>NorthBound</v>
      </c>
      <c r="U199" s="202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03" t="str">
        <f t="shared" si="55"/>
        <v>https://d0f6bd738d7f1b3e5a7ca70fe4ff75f0.us-east-1.aws.found.io/app/kibana#/discover/Steve-Slow-Train-Analysis-(2080s-and-2083s)?_g=(refreshInterval:(display:Off,pause:!f,section:0,value:0),time:(from:'2017-05-30T18:15:16-0600',mode:absolute,to:'2017-05-30T20:35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99" s="204" t="str">
        <f t="shared" si="56"/>
        <v>N</v>
      </c>
      <c r="X199" s="204">
        <f t="shared" si="82"/>
        <v>1</v>
      </c>
      <c r="Y199" s="204">
        <f t="shared" si="84"/>
        <v>9.69E-2</v>
      </c>
      <c r="Z199" s="204">
        <f t="shared" si="85"/>
        <v>5.8935000000000004</v>
      </c>
      <c r="AA199" s="204">
        <f t="shared" si="60"/>
        <v>5.7966000000000006</v>
      </c>
      <c r="AB199" s="57" t="e">
        <f>VLOOKUP(A199,Enforcements!$C$7:$K$13,8,0)</f>
        <v>#N/A</v>
      </c>
      <c r="AC199" s="53" t="e">
        <f>VLOOKUP(A199,Enforcements!$C$7:$E$13,3,0)</f>
        <v>#N/A</v>
      </c>
      <c r="AD199" s="54" t="str">
        <f t="shared" si="61"/>
        <v>0841-30</v>
      </c>
      <c r="AE199" s="80" t="str">
        <f t="shared" si="62"/>
        <v>aws s3 cp s3://rtdc.mdm.uploadarchive.raw/RTDC4050/ "%USERPROFILE%\AppData\Local\Temp\OnboardLogs"\RTDC4050\2017-05-30 --exclude "*" --recursive --include "*20170530*" &amp; "%USERPROFILE%\Documents\GitHub\mrs-test-scripts\Headless Mode &amp; Sideloading\WalkAndUnGZ.bat" "%USERPROFILE%\AppData\Local\Temp\OnboardLogs"\RTDC4050\2017-05-30 &amp; aws s3 cp s3://rtdc.mdm.uploadarchive.raw/RTDC4050/ "%USERPROFILE%\AppData\Local\Temp\OnboardLogs"\RTDC4050\2017-05-31 --exclude "*" --recursive --include "*20170531*" &amp; "%USERPROFILE%\Documents\GitHub\mrs-test-scripts\Headless Mode &amp; Sideloading\WalkAndUnGZ.bat" "%USERPROFILE%\AppData\Local\Temp\OnboardLogs"\RTDC4050\2017-05-31</v>
      </c>
      <c r="AF199" s="77" t="str">
        <f t="shared" si="63"/>
        <v>"C:\Program Files (x86)\AstroGrep\AstroGrep.exe" /e /r /s /spath="%USERPROFILE%\AppData\Local\Temp\OnboardLogs" /stypes="app*4050*20170531*" /stext=" 01:.+((SYSTEM_STATE.+slice.+state.+changed )|(ment ac)|(multiple cpu faults)|(system.+state.+changed )|(\[timeout)|(PRM\|1\|D)|(kpr)|(kdp)|(train st.+moving)|(\|lc)|(penalty))"</v>
      </c>
      <c r="AG199" s="1" t="str">
        <f t="shared" si="64"/>
        <v>NW</v>
      </c>
      <c r="AH199" s="81" t="str">
        <f t="shared" si="65"/>
        <v>"%USERPROFILE%\Documents\GitHub\eaglep3\Utilities\RefineRTDCRunTimes.py" --tripid 841-30 --locoid 4050 --swversion DE.1.0.9.0 --startMP 204:969 --initTime 2017-05-30T19:15:16 --startdatetime 2017-05-30T19:21:16 --delay 1 --endMP 300:58935 --enddatetime 2017-05-30T19:35:13 --enforcementcount 0 &gt;&gt;C:\Users\stu\Documents\GitHub\eaglep3-reporting\EC\2017-05-30-refined-times.txt</v>
      </c>
      <c r="AI199" s="99" t="str">
        <f t="shared" si="66"/>
        <v>echo {"issue":{"subject":"","project_id":79,"tracker_id":40,"status_id":1,"priority_id":2,"assigned_to_id":23,"start_date":"2017-05-30","description":"","custom_fields":[{"id":1,"name":"Subdivision","value":"NW"},{"id":4,"name":"Milepost","value":"5.8935"},{"id":17,"name":"Train ID","value":"841-30"},{"id":16,"name":"Locomotive ID","value":"4050"},{"id":130,"name":"Impact","value":""},{"id":150,"name":"Time of Event (Mountain Time)","value":"19:35:13"},{"id":151,"name":"Denver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5" t="str">
        <f t="shared" si="67"/>
        <v>start /low /b %USERPROFILE%\Documents\GitHub\eaglep3\Utilities\DownloadLogsFromS3.py --loco 4050 --day 2017-05-30</v>
      </c>
      <c r="AN199" s="154" t="str">
        <f t="shared" si="68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01:35:13"},{"id":29,"name":"Sharepoint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0" spans="1:91" x14ac:dyDescent="0.25">
      <c r="A200" s="32" t="s">
        <v>844</v>
      </c>
      <c r="B200" s="7">
        <v>4049</v>
      </c>
      <c r="C200" s="21" t="s">
        <v>204</v>
      </c>
      <c r="D200" s="21" t="s">
        <v>501</v>
      </c>
      <c r="E200" s="13">
        <v>42885.859224537038</v>
      </c>
      <c r="F200" s="13">
        <v>42885.861030092594</v>
      </c>
      <c r="G200" s="7">
        <v>1</v>
      </c>
      <c r="H200" s="21" t="s">
        <v>979</v>
      </c>
      <c r="I200" s="13">
        <v>42885.871932870374</v>
      </c>
      <c r="J200" s="7">
        <v>0</v>
      </c>
      <c r="K200" s="92" t="str">
        <f t="shared" si="52"/>
        <v>4049/4050</v>
      </c>
      <c r="L200" s="21" t="str">
        <f>VLOOKUP(A200,'Trips&amp;Operators'!$C$1:$G$99999,5,FALSE)</f>
        <v>BRUDER RICHARD</v>
      </c>
      <c r="M200" s="6">
        <f t="shared" si="53"/>
        <v>1.0902777779847383E-2</v>
      </c>
      <c r="N200" s="7">
        <f t="shared" si="83"/>
        <v>15.700000002980232</v>
      </c>
      <c r="O200" s="7"/>
      <c r="P200" s="7"/>
      <c r="Q200" s="22"/>
      <c r="R200" s="173"/>
      <c r="S200" s="176">
        <f t="shared" si="80"/>
        <v>1</v>
      </c>
      <c r="T200" s="202" t="str">
        <f t="shared" si="54"/>
        <v>Southbound</v>
      </c>
      <c r="U200" s="202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03" t="str">
        <f t="shared" si="55"/>
        <v>https://d0f6bd738d7f1b3e5a7ca70fe4ff75f0.us-east-1.aws.found.io/app/kibana#/discover/Steve-Slow-Train-Analysis-(2080s-and-2083s)?_g=(refreshInterval:(display:Off,pause:!f,section:0,value:0),time:(from:'2017-05-30T19:37:17-0600',mode:absolute,to:'2017-05-30T21:55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00" s="204" t="str">
        <f t="shared" si="56"/>
        <v>N</v>
      </c>
      <c r="X200" s="204">
        <f t="shared" si="82"/>
        <v>1</v>
      </c>
      <c r="Y200" s="204">
        <f t="shared" si="84"/>
        <v>5.8634000000000004</v>
      </c>
      <c r="Z200" s="204">
        <f t="shared" si="85"/>
        <v>6.8900000000000003E-2</v>
      </c>
      <c r="AA200" s="204">
        <f t="shared" si="60"/>
        <v>5.7945000000000002</v>
      </c>
      <c r="AB200" s="57" t="e">
        <f>VLOOKUP(A200,Enforcements!$C$7:$K$13,8,0)</f>
        <v>#N/A</v>
      </c>
      <c r="AC200" s="53" t="e">
        <f>VLOOKUP(A200,Enforcements!$C$7:$E$13,3,0)</f>
        <v>#N/A</v>
      </c>
      <c r="AD200" s="54" t="str">
        <f t="shared" si="61"/>
        <v>0842-30</v>
      </c>
      <c r="AE200" s="80" t="str">
        <f t="shared" si="62"/>
        <v>aws s3 cp s3://rtdc.mdm.uploadarchive.raw/RTDC4049/ "%USERPROFILE%\AppData\Local\Temp\OnboardLogs"\RTDC4049\2017-05-30 --exclude "*" --recursive --include "*20170530*" &amp; "%USERPROFILE%\Documents\GitHub\mrs-test-scripts\Headless Mode &amp; Sideloading\WalkAndUnGZ.bat" "%USERPROFILE%\AppData\Local\Temp\OnboardLogs"\RTDC4049\2017-05-30 &amp; aws s3 cp s3://rtdc.mdm.uploadarchive.raw/RTDC4049/ "%USERPROFILE%\AppData\Local\Temp\OnboardLogs"\RTDC4049\2017-05-31 --exclude "*" --recursive --include "*20170531*" &amp; "%USERPROFILE%\Documents\GitHub\mrs-test-scripts\Headless Mode &amp; Sideloading\WalkAndUnGZ.bat" "%USERPROFILE%\AppData\Local\Temp\OnboardLogs"\RTDC4049\2017-05-31</v>
      </c>
      <c r="AF200" s="77" t="str">
        <f t="shared" si="63"/>
        <v>"C:\Program Files (x86)\AstroGrep\AstroGrep.exe" /e /r /s /spath="%USERPROFILE%\AppData\Local\Temp\OnboardLogs" /stypes="app*4049*20170531*" /stext=" 02:.+((SYSTEM_STATE.+slice.+state.+changed )|(ment ac)|(multiple cpu faults)|(system.+state.+changed )|(\[timeout)|(PRM\|1\|D)|(kpr)|(kdp)|(train st.+moving)|(\|lc)|(penalty))"</v>
      </c>
      <c r="AG200" s="1" t="str">
        <f t="shared" si="64"/>
        <v>NW</v>
      </c>
      <c r="AH200" s="81" t="str">
        <f t="shared" si="65"/>
        <v>"%USERPROFILE%\Documents\GitHub\eaglep3\Utilities\RefineRTDCRunTimes.py" --tripid 842-30 --locoid 4049 --swversion DE.1.0.9.0 --startMP 300:58634 --initTime 2017-05-30T20:37:17 --startdatetime 2017-05-30T20:39:53 --delay 1 --endMP 204:689 --enddatetime 2017-05-30T20:55:35 --enforcementcount 0 &gt;&gt;C:\Users\stu\Documents\GitHub\eaglep3-reporting\EC\2017-05-30-refined-times.txt</v>
      </c>
      <c r="AI200" s="99" t="str">
        <f t="shared" si="66"/>
        <v>echo {"issue":{"subject":"","project_id":79,"tracker_id":40,"status_id":1,"priority_id":2,"assigned_to_id":23,"start_date":"2017-05-30","description":"","custom_fields":[{"id":1,"name":"Subdivision","value":"NW"},{"id":4,"name":"Milepost","value":"0.0689"},{"id":17,"name":"Train ID","value":"842-30"},{"id":16,"name":"Locomotive ID","value":"4049"},{"id":130,"name":"Impact","value":""},{"id":150,"name":"Time of Event (Mountain Time)","value":"20:55:35"},{"id":151,"name":"Denver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5" t="str">
        <f t="shared" si="67"/>
        <v>start /low /b %USERPROFILE%\Documents\GitHub\eaglep3\Utilities\DownloadLogsFromS3.py --loco 4049 --day 2017-05-30</v>
      </c>
      <c r="AN200" s="154" t="str">
        <f t="shared" si="68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02:55:35"},{"id":29,"name":"Sharepoint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1" spans="1:91" x14ac:dyDescent="0.25">
      <c r="A201" s="32" t="s">
        <v>842</v>
      </c>
      <c r="B201" s="7">
        <v>4050</v>
      </c>
      <c r="C201" s="21" t="s">
        <v>204</v>
      </c>
      <c r="D201" s="21" t="s">
        <v>980</v>
      </c>
      <c r="E201" s="13">
        <v>42885.842858796299</v>
      </c>
      <c r="F201" s="13">
        <v>42885.84814814815</v>
      </c>
      <c r="G201" s="7">
        <v>1</v>
      </c>
      <c r="H201" s="21" t="s">
        <v>981</v>
      </c>
      <c r="I201" s="13">
        <v>42885.857847222222</v>
      </c>
      <c r="J201" s="7">
        <v>0</v>
      </c>
      <c r="K201" s="92" t="str">
        <f t="shared" si="52"/>
        <v>4049/4050</v>
      </c>
      <c r="L201" s="21" t="str">
        <f>VLOOKUP(A201,'Trips&amp;Operators'!$C$1:$G$99999,5,FALSE)</f>
        <v>BRUDER RICHARD</v>
      </c>
      <c r="M201" s="6">
        <f t="shared" si="53"/>
        <v>9.6990740712499246E-3</v>
      </c>
      <c r="N201" s="7">
        <f t="shared" si="83"/>
        <v>13.966666662599891</v>
      </c>
      <c r="O201" s="7"/>
      <c r="P201" s="7"/>
      <c r="Q201" s="22"/>
      <c r="R201" s="173"/>
      <c r="S201" s="176">
        <f t="shared" si="80"/>
        <v>1</v>
      </c>
      <c r="T201" s="202" t="str">
        <f t="shared" si="54"/>
        <v>NorthBound</v>
      </c>
      <c r="U201" s="202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03" t="str">
        <f t="shared" si="55"/>
        <v>https://d0f6bd738d7f1b3e5a7ca70fe4ff75f0.us-east-1.aws.found.io/app/kibana#/discover/Steve-Slow-Train-Analysis-(2080s-and-2083s)?_g=(refreshInterval:(display:Off,pause:!f,section:0,value:0),time:(from:'2017-05-30T19:13:43-0600',mode:absolute,to:'2017-05-30T21:35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01" s="204" t="str">
        <f t="shared" si="56"/>
        <v>N</v>
      </c>
      <c r="X201" s="204">
        <f t="shared" si="82"/>
        <v>1</v>
      </c>
      <c r="Y201" s="204">
        <f t="shared" si="84"/>
        <v>9.6000000000000002E-2</v>
      </c>
      <c r="Z201" s="204">
        <f t="shared" si="85"/>
        <v>5.8944000000000001</v>
      </c>
      <c r="AA201" s="204">
        <f t="shared" si="60"/>
        <v>5.7984</v>
      </c>
      <c r="AB201" s="57" t="e">
        <f>VLOOKUP(A201,Enforcements!$C$7:$K$13,8,0)</f>
        <v>#N/A</v>
      </c>
      <c r="AC201" s="53" t="e">
        <f>VLOOKUP(A201,Enforcements!$C$7:$E$13,3,0)</f>
        <v>#N/A</v>
      </c>
      <c r="AD201" s="54" t="str">
        <f t="shared" si="61"/>
        <v>0843-30</v>
      </c>
      <c r="AE201" s="80" t="str">
        <f t="shared" si="62"/>
        <v>aws s3 cp s3://rtdc.mdm.uploadarchive.raw/RTDC4050/ "%USERPROFILE%\AppData\Local\Temp\OnboardLogs"\RTDC4050\2017-05-30 --exclude "*" --recursive --include "*20170530*" &amp; "%USERPROFILE%\Documents\GitHub\mrs-test-scripts\Headless Mode &amp; Sideloading\WalkAndUnGZ.bat" "%USERPROFILE%\AppData\Local\Temp\OnboardLogs"\RTDC4050\2017-05-30 &amp; aws s3 cp s3://rtdc.mdm.uploadarchive.raw/RTDC4050/ "%USERPROFILE%\AppData\Local\Temp\OnboardLogs"\RTDC4050\2017-05-31 --exclude "*" --recursive --include "*20170531*" &amp; "%USERPROFILE%\Documents\GitHub\mrs-test-scripts\Headless Mode &amp; Sideloading\WalkAndUnGZ.bat" "%USERPROFILE%\AppData\Local\Temp\OnboardLogs"\RTDC4050\2017-05-31</v>
      </c>
      <c r="AF201" s="77" t="str">
        <f t="shared" si="63"/>
        <v>"C:\Program Files (x86)\AstroGrep\AstroGrep.exe" /e /r /s /spath="%USERPROFILE%\AppData\Local\Temp\OnboardLogs" /stypes="app*4050*20170531*" /stext=" 02:.+((SYSTEM_STATE.+slice.+state.+changed )|(ment ac)|(multiple cpu faults)|(system.+state.+changed )|(\[timeout)|(PRM\|1\|D)|(kpr)|(kdp)|(train st.+moving)|(\|lc)|(penalty))"</v>
      </c>
      <c r="AG201" s="1" t="str">
        <f t="shared" si="64"/>
        <v>NW</v>
      </c>
      <c r="AH201" s="81" t="str">
        <f t="shared" si="65"/>
        <v>"%USERPROFILE%\Documents\GitHub\eaglep3\Utilities\RefineRTDCRunTimes.py" --tripid 843-30 --locoid 4050 --swversion DE.1.0.9.0 --startMP 204:960 --initTime 2017-05-30T20:13:43 --startdatetime 2017-05-30T20:21:20 --delay 1 --endMP 300:58944 --enddatetime 2017-05-30T20:35:18 --enforcementcount 0 &gt;&gt;C:\Users\stu\Documents\GitHub\eaglep3-reporting\EC\2017-05-30-refined-times.txt</v>
      </c>
      <c r="AI201" s="99" t="str">
        <f t="shared" si="66"/>
        <v>echo {"issue":{"subject":"","project_id":79,"tracker_id":40,"status_id":1,"priority_id":2,"assigned_to_id":23,"start_date":"2017-05-30","description":"","custom_fields":[{"id":1,"name":"Subdivision","value":"NW"},{"id":4,"name":"Milepost","value":"5.8944"},{"id":17,"name":"Train ID","value":"843-30"},{"id":16,"name":"Locomotive ID","value":"4050"},{"id":130,"name":"Impact","value":""},{"id":150,"name":"Time of Event (Mountain Time)","value":"20:35:18"},{"id":151,"name":"Denver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5" t="str">
        <f t="shared" si="67"/>
        <v>start /low /b %USERPROFILE%\Documents\GitHub\eaglep3\Utilities\DownloadLogsFromS3.py --loco 4050 --day 2017-05-30</v>
      </c>
      <c r="AN201" s="154" t="str">
        <f t="shared" si="68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02:35:18"},{"id":29,"name":"Sharepoint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2" spans="1:91" x14ac:dyDescent="0.25">
      <c r="A202" s="32" t="s">
        <v>846</v>
      </c>
      <c r="B202" s="7">
        <v>4049</v>
      </c>
      <c r="C202" s="21" t="s">
        <v>204</v>
      </c>
      <c r="D202" s="21" t="s">
        <v>631</v>
      </c>
      <c r="E202" s="13">
        <v>42885.900972222225</v>
      </c>
      <c r="F202" s="13">
        <v>42885.90253472222</v>
      </c>
      <c r="G202" s="7">
        <v>1</v>
      </c>
      <c r="H202" s="21" t="s">
        <v>982</v>
      </c>
      <c r="I202" s="13">
        <v>42885.913171296299</v>
      </c>
      <c r="J202" s="7">
        <v>0</v>
      </c>
      <c r="K202" s="92" t="str">
        <f t="shared" si="52"/>
        <v>4049/4050</v>
      </c>
      <c r="L202" s="21" t="str">
        <f>VLOOKUP(A202,'Trips&amp;Operators'!$C$1:$G$99999,5,FALSE)</f>
        <v>THOMPSON LESTER</v>
      </c>
      <c r="M202" s="6">
        <f t="shared" si="53"/>
        <v>1.0636574079398997E-2</v>
      </c>
      <c r="N202" s="7">
        <f t="shared" si="83"/>
        <v>15.316666674334556</v>
      </c>
      <c r="O202" s="7"/>
      <c r="P202" s="7"/>
      <c r="Q202" s="22"/>
      <c r="R202" s="173"/>
      <c r="S202" s="176">
        <f t="shared" si="80"/>
        <v>1</v>
      </c>
      <c r="T202" s="202" t="str">
        <f t="shared" si="54"/>
        <v>Southbound</v>
      </c>
      <c r="U202" s="202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03" t="str">
        <f t="shared" si="55"/>
        <v>https://d0f6bd738d7f1b3e5a7ca70fe4ff75f0.us-east-1.aws.found.io/app/kibana#/discover/Steve-Slow-Train-Analysis-(2080s-and-2083s)?_g=(refreshInterval:(display:Off,pause:!f,section:0,value:0),time:(from:'2017-05-30T20:37:24-0600',mode:absolute,to:'2017-05-30T22:54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02" s="204" t="str">
        <f t="shared" si="56"/>
        <v>N</v>
      </c>
      <c r="X202" s="204">
        <f t="shared" si="82"/>
        <v>1</v>
      </c>
      <c r="Y202" s="204">
        <f t="shared" si="84"/>
        <v>5.8593999999999999</v>
      </c>
      <c r="Z202" s="204">
        <f t="shared" si="85"/>
        <v>6.9599999999999995E-2</v>
      </c>
      <c r="AA202" s="204">
        <f t="shared" si="60"/>
        <v>5.7897999999999996</v>
      </c>
      <c r="AB202" s="57" t="e">
        <f>VLOOKUP(A202,Enforcements!$C$7:$K$13,8,0)</f>
        <v>#N/A</v>
      </c>
      <c r="AC202" s="53" t="e">
        <f>VLOOKUP(A202,Enforcements!$C$7:$E$13,3,0)</f>
        <v>#N/A</v>
      </c>
      <c r="AD202" s="54" t="str">
        <f t="shared" si="61"/>
        <v>0844-30</v>
      </c>
      <c r="AE202" s="80" t="str">
        <f t="shared" si="62"/>
        <v>aws s3 cp s3://rtdc.mdm.uploadarchive.raw/RTDC4049/ "%USERPROFILE%\AppData\Local\Temp\OnboardLogs"\RTDC4049\2017-05-30 --exclude "*" --recursive --include "*20170530*" &amp; "%USERPROFILE%\Documents\GitHub\mrs-test-scripts\Headless Mode &amp; Sideloading\WalkAndUnGZ.bat" "%USERPROFILE%\AppData\Local\Temp\OnboardLogs"\RTDC4049\2017-05-30 &amp; aws s3 cp s3://rtdc.mdm.uploadarchive.raw/RTDC4049/ "%USERPROFILE%\AppData\Local\Temp\OnboardLogs"\RTDC4049\2017-05-31 --exclude "*" --recursive --include "*20170531*" &amp; "%USERPROFILE%\Documents\GitHub\mrs-test-scripts\Headless Mode &amp; Sideloading\WalkAndUnGZ.bat" "%USERPROFILE%\AppData\Local\Temp\OnboardLogs"\RTDC4049\2017-05-31</v>
      </c>
      <c r="AF202" s="77" t="str">
        <f t="shared" si="63"/>
        <v>"C:\Program Files (x86)\AstroGrep\AstroGrep.exe" /e /r /s /spath="%USERPROFILE%\AppData\Local\Temp\OnboardLogs" /stypes="app*4049*20170531*" /stext=" 03:.+((SYSTEM_STATE.+slice.+state.+changed )|(ment ac)|(multiple cpu faults)|(system.+state.+changed )|(\[timeout)|(PRM\|1\|D)|(kpr)|(kdp)|(train st.+moving)|(\|lc)|(penalty))"</v>
      </c>
      <c r="AG202" s="1" t="str">
        <f t="shared" si="64"/>
        <v>NW</v>
      </c>
      <c r="AH202" s="81" t="str">
        <f t="shared" si="65"/>
        <v>"%USERPROFILE%\Documents\GitHub\eaglep3\Utilities\RefineRTDCRunTimes.py" --tripid 844-30 --locoid 4049 --swversion DE.1.0.9.0 --startMP 300:58594 --initTime 2017-05-30T21:37:24 --startdatetime 2017-05-30T21:39:39 --delay 1 --endMP 204:696 --enddatetime 2017-05-30T21:54:58 --enforcementcount 0 &gt;&gt;C:\Users\stu\Documents\GitHub\eaglep3-reporting\EC\2017-05-30-refined-times.txt</v>
      </c>
      <c r="AI202" s="99" t="str">
        <f t="shared" si="66"/>
        <v>echo {"issue":{"subject":"","project_id":79,"tracker_id":40,"status_id":1,"priority_id":2,"assigned_to_id":23,"start_date":"2017-05-30","description":"","custom_fields":[{"id":1,"name":"Subdivision","value":"NW"},{"id":4,"name":"Milepost","value":"0.0696"},{"id":17,"name":"Train ID","value":"844-30"},{"id":16,"name":"Locomotive ID","value":"4049"},{"id":130,"name":"Impact","value":""},{"id":150,"name":"Time of Event (Mountain Time)","value":"21:54:58"},{"id":151,"name":"Denver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5" t="str">
        <f t="shared" si="67"/>
        <v>start /low /b %USERPROFILE%\Documents\GitHub\eaglep3\Utilities\DownloadLogsFromS3.py --loco 4049 --day 2017-05-30</v>
      </c>
      <c r="AN202" s="154" t="str">
        <f t="shared" si="68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03:54:58"},{"id":29,"name":"Sharepoint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3" spans="1:91" s="20" customFormat="1" x14ac:dyDescent="0.25">
      <c r="A203" s="32" t="s">
        <v>847</v>
      </c>
      <c r="B203" s="7">
        <v>4050</v>
      </c>
      <c r="C203" s="21" t="s">
        <v>204</v>
      </c>
      <c r="D203" s="21" t="s">
        <v>617</v>
      </c>
      <c r="E203" s="13">
        <v>42885.881724537037</v>
      </c>
      <c r="F203" s="13">
        <v>42885.890034722222</v>
      </c>
      <c r="G203" s="7">
        <v>1</v>
      </c>
      <c r="H203" s="21" t="s">
        <v>974</v>
      </c>
      <c r="I203" s="13">
        <v>42885.899942129632</v>
      </c>
      <c r="J203" s="7">
        <v>0</v>
      </c>
      <c r="K203" s="92" t="str">
        <f t="shared" si="52"/>
        <v>4049/4050</v>
      </c>
      <c r="L203" s="21" t="str">
        <f>VLOOKUP(A203,'Trips&amp;Operators'!$C$1:$G$99999,5,FALSE)</f>
        <v>THOMPSON LESTER</v>
      </c>
      <c r="M203" s="6">
        <f t="shared" si="53"/>
        <v>9.9074074096279219E-3</v>
      </c>
      <c r="N203" s="7">
        <f t="shared" si="83"/>
        <v>14.266666669864208</v>
      </c>
      <c r="O203" s="7"/>
      <c r="P203" s="7"/>
      <c r="Q203" s="22"/>
      <c r="R203" s="173"/>
      <c r="S203" s="176">
        <f t="shared" si="80"/>
        <v>1</v>
      </c>
      <c r="T203" s="202" t="str">
        <f t="shared" si="54"/>
        <v>NorthBound</v>
      </c>
      <c r="U203" s="202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03" t="str">
        <f t="shared" si="55"/>
        <v>https://d0f6bd738d7f1b3e5a7ca70fe4ff75f0.us-east-1.aws.found.io/app/kibana#/discover/Steve-Slow-Train-Analysis-(2080s-and-2083s)?_g=(refreshInterval:(display:Off,pause:!f,section:0,value:0),time:(from:'2017-05-30T20:09:41-0600',mode:absolute,to:'2017-05-30T22:35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03" s="204" t="str">
        <f t="shared" si="56"/>
        <v>N</v>
      </c>
      <c r="X203" s="204">
        <f t="shared" si="82"/>
        <v>1</v>
      </c>
      <c r="Y203" s="204">
        <f t="shared" si="84"/>
        <v>9.74E-2</v>
      </c>
      <c r="Z203" s="204">
        <f t="shared" si="85"/>
        <v>5.8912000000000004</v>
      </c>
      <c r="AA203" s="204">
        <f t="shared" si="60"/>
        <v>5.7938000000000001</v>
      </c>
      <c r="AB203" s="57" t="e">
        <f>VLOOKUP(A203,Enforcements!$C$7:$K$13,8,0)</f>
        <v>#N/A</v>
      </c>
      <c r="AC203" s="53" t="e">
        <f>VLOOKUP(A203,Enforcements!$C$7:$E$13,3,0)</f>
        <v>#N/A</v>
      </c>
      <c r="AD203" s="54" t="str">
        <f t="shared" si="61"/>
        <v>0845-30</v>
      </c>
      <c r="AE203" s="80" t="str">
        <f t="shared" si="62"/>
        <v>aws s3 cp s3://rtdc.mdm.uploadarchive.raw/RTDC4050/ "%USERPROFILE%\AppData\Local\Temp\OnboardLogs"\RTDC4050\2017-05-30 --exclude "*" --recursive --include "*20170530*" &amp; "%USERPROFILE%\Documents\GitHub\mrs-test-scripts\Headless Mode &amp; Sideloading\WalkAndUnGZ.bat" "%USERPROFILE%\AppData\Local\Temp\OnboardLogs"\RTDC4050\2017-05-30 &amp; aws s3 cp s3://rtdc.mdm.uploadarchive.raw/RTDC4050/ "%USERPROFILE%\AppData\Local\Temp\OnboardLogs"\RTDC4050\2017-05-31 --exclude "*" --recursive --include "*20170531*" &amp; "%USERPROFILE%\Documents\GitHub\mrs-test-scripts\Headless Mode &amp; Sideloading\WalkAndUnGZ.bat" "%USERPROFILE%\AppData\Local\Temp\OnboardLogs"\RTDC4050\2017-05-31</v>
      </c>
      <c r="AF203" s="77" t="str">
        <f t="shared" si="63"/>
        <v>"C:\Program Files (x86)\AstroGrep\AstroGrep.exe" /e /r /s /spath="%USERPROFILE%\AppData\Local\Temp\OnboardLogs" /stypes="app*4050*20170531*" /stext=" 03:.+((SYSTEM_STATE.+slice.+state.+changed )|(ment ac)|(multiple cpu faults)|(system.+state.+changed )|(\[timeout)|(PRM\|1\|D)|(kpr)|(kdp)|(train st.+moving)|(\|lc)|(penalty))"</v>
      </c>
      <c r="AG203" s="1" t="str">
        <f t="shared" si="64"/>
        <v>NW</v>
      </c>
      <c r="AH203" s="81" t="str">
        <f t="shared" si="65"/>
        <v>"%USERPROFILE%\Documents\GitHub\eaglep3\Utilities\RefineRTDCRunTimes.py" --tripid 845-30 --locoid 4050 --swversion DE.1.0.9.0 --startMP 204:974 --initTime 2017-05-30T21:09:41 --startdatetime 2017-05-30T21:21:39 --delay 1 --endMP 300:58912 --enddatetime 2017-05-30T21:35:55 --enforcementcount 0 &gt;&gt;C:\Users\stu\Documents\GitHub\eaglep3-reporting\EC\2017-05-30-refined-times.txt</v>
      </c>
      <c r="AI203" s="99" t="str">
        <f t="shared" si="66"/>
        <v>echo {"issue":{"subject":"","project_id":79,"tracker_id":40,"status_id":1,"priority_id":2,"assigned_to_id":23,"start_date":"2017-05-30","description":"","custom_fields":[{"id":1,"name":"Subdivision","value":"NW"},{"id":4,"name":"Milepost","value":"5.8912"},{"id":17,"name":"Train ID","value":"845-30"},{"id":16,"name":"Locomotive ID","value":"4050"},{"id":130,"name":"Impact","value":""},{"id":150,"name":"Time of Event (Mountain Time)","value":"21:35:55"},{"id":151,"name":"Denver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3" s="47"/>
      <c r="AL203" s="47"/>
      <c r="AM203" s="145" t="str">
        <f t="shared" si="67"/>
        <v>start /low /b %USERPROFILE%\Documents\GitHub\eaglep3\Utilities\DownloadLogsFromS3.py --loco 4050 --day 2017-05-30</v>
      </c>
      <c r="AN203" s="154" t="str">
        <f t="shared" si="68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03:35:55"},{"id":29,"name":"Sharepoint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x14ac:dyDescent="0.25">
      <c r="A204" s="32" t="s">
        <v>853</v>
      </c>
      <c r="B204" s="7">
        <v>4050</v>
      </c>
      <c r="C204" s="21" t="s">
        <v>204</v>
      </c>
      <c r="D204" s="21" t="s">
        <v>502</v>
      </c>
      <c r="E204" s="13">
        <v>42885.928599537037</v>
      </c>
      <c r="F204" s="13">
        <v>42885.931770833333</v>
      </c>
      <c r="G204" s="7">
        <v>1</v>
      </c>
      <c r="H204" s="21" t="s">
        <v>974</v>
      </c>
      <c r="I204" s="13">
        <v>42885.943067129629</v>
      </c>
      <c r="J204" s="7">
        <v>0</v>
      </c>
      <c r="K204" s="92" t="str">
        <f t="shared" si="52"/>
        <v>4049/4050</v>
      </c>
      <c r="L204" s="21" t="str">
        <f>VLOOKUP(A204,'Trips&amp;Operators'!$C$1:$G$99999,5,FALSE)</f>
        <v>THOMPSON LESTER</v>
      </c>
      <c r="M204" s="6">
        <f t="shared" si="53"/>
        <v>1.1296296295768116E-2</v>
      </c>
      <c r="N204" s="7">
        <f t="shared" si="83"/>
        <v>16.266666665906087</v>
      </c>
      <c r="O204" s="7"/>
      <c r="P204" s="7"/>
      <c r="Q204" s="22"/>
      <c r="R204" s="173"/>
      <c r="S204" s="176">
        <f t="shared" si="80"/>
        <v>1</v>
      </c>
      <c r="T204" s="202" t="str">
        <f t="shared" si="54"/>
        <v>NorthBound</v>
      </c>
      <c r="U204" s="202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03" t="str">
        <f t="shared" si="55"/>
        <v>https://d0f6bd738d7f1b3e5a7ca70fe4ff75f0.us-east-1.aws.found.io/app/kibana#/discover/Steve-Slow-Train-Analysis-(2080s-and-2083s)?_g=(refreshInterval:(display:Off,pause:!f,section:0,value:0),time:(from:'2017-05-30T21:17:11-0600',mode:absolute,to:'2017-05-30T23:38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04" s="204" t="str">
        <f t="shared" si="56"/>
        <v>N</v>
      </c>
      <c r="X204" s="204">
        <f t="shared" si="82"/>
        <v>2</v>
      </c>
      <c r="Y204" s="204">
        <f t="shared" si="84"/>
        <v>9.8299999999999998E-2</v>
      </c>
      <c r="Z204" s="204">
        <f t="shared" si="85"/>
        <v>5.8912000000000004</v>
      </c>
      <c r="AA204" s="204">
        <f t="shared" si="60"/>
        <v>5.7929000000000004</v>
      </c>
      <c r="AB204" s="57" t="e">
        <f>VLOOKUP(A204,Enforcements!$C$7:$K$13,8,0)</f>
        <v>#N/A</v>
      </c>
      <c r="AC204" s="53" t="e">
        <f>VLOOKUP(A204,Enforcements!$C$7:$E$13,3,0)</f>
        <v>#N/A</v>
      </c>
      <c r="AD204" s="54" t="str">
        <f t="shared" si="61"/>
        <v>0847-30</v>
      </c>
      <c r="AE204" s="80" t="str">
        <f t="shared" si="62"/>
        <v>aws s3 cp s3://rtdc.mdm.uploadarchive.raw/RTDC4050/ "%USERPROFILE%\AppData\Local\Temp\OnboardLogs"\RTDC4050\2017-05-30 --exclude "*" --recursive --include "*20170530*" &amp; "%USERPROFILE%\Documents\GitHub\mrs-test-scripts\Headless Mode &amp; Sideloading\WalkAndUnGZ.bat" "%USERPROFILE%\AppData\Local\Temp\OnboardLogs"\RTDC4050\2017-05-30 &amp; aws s3 cp s3://rtdc.mdm.uploadarchive.raw/RTDC4050/ "%USERPROFILE%\AppData\Local\Temp\OnboardLogs"\RTDC4050\2017-05-31 --exclude "*" --recursive --include "*20170531*" &amp; "%USERPROFILE%\Documents\GitHub\mrs-test-scripts\Headless Mode &amp; Sideloading\WalkAndUnGZ.bat" "%USERPROFILE%\AppData\Local\Temp\OnboardLogs"\RTDC4050\2017-05-31</v>
      </c>
      <c r="AF204" s="77" t="str">
        <f t="shared" si="63"/>
        <v>"C:\Program Files (x86)\AstroGrep\AstroGrep.exe" /e /r /s /spath="%USERPROFILE%\AppData\Local\Temp\OnboardLogs" /stypes="app*4050*20170531*" /stext=" 04:.+((SYSTEM_STATE.+slice.+state.+changed )|(ment ac)|(multiple cpu faults)|(system.+state.+changed )|(\[timeout)|(PRM\|1\|D)|(kpr)|(kdp)|(train st.+moving)|(\|lc)|(penalty))"</v>
      </c>
      <c r="AG204" s="1" t="str">
        <f t="shared" si="64"/>
        <v>NW</v>
      </c>
      <c r="AH204" s="81" t="str">
        <f t="shared" si="65"/>
        <v>"%USERPROFILE%\Documents\GitHub\eaglep3\Utilities\RefineRTDCRunTimes.py" --tripid 847-30 --locoid 4050 --swversion DE.1.0.9.0 --startMP 204:983 --initTime 2017-05-30T22:17:11 --startdatetime 2017-05-30T22:21:45 --delay 1 --endMP 300:58912 --enddatetime 2017-05-30T22:38:01 --enforcementcount 0 &gt;&gt;C:\Users\stu\Documents\GitHub\eaglep3-reporting\EC\2017-05-30-refined-times.txt</v>
      </c>
      <c r="AI204" s="99" t="str">
        <f t="shared" si="66"/>
        <v>echo {"issue":{"subject":"","project_id":79,"tracker_id":40,"status_id":1,"priority_id":2,"assigned_to_id":23,"start_date":"2017-05-30","description":"","custom_fields":[{"id":1,"name":"Subdivision","value":"NW"},{"id":4,"name":"Milepost","value":"5.8912"},{"id":17,"name":"Train ID","value":"847-30"},{"id":16,"name":"Locomotive ID","value":"4050"},{"id":130,"name":"Impact","value":""},{"id":150,"name":"Time of Event (Mountain Time)","value":"22:38:01"},{"id":151,"name":"Denver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5" t="str">
        <f t="shared" si="67"/>
        <v>start /low /b %USERPROFILE%\Documents\GitHub\eaglep3\Utilities\DownloadLogsFromS3.py --loco 4050 --day 2017-05-30</v>
      </c>
      <c r="AN204" s="154" t="str">
        <f t="shared" si="68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04:38:01"},{"id":29,"name":"Sharepoint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5" spans="1:91" s="20" customFormat="1" x14ac:dyDescent="0.25">
      <c r="A205" s="32" t="s">
        <v>665</v>
      </c>
      <c r="B205" s="7">
        <v>4001</v>
      </c>
      <c r="C205" s="21" t="s">
        <v>204</v>
      </c>
      <c r="D205" s="21" t="s">
        <v>923</v>
      </c>
      <c r="E205" s="13">
        <v>42885.118958333333</v>
      </c>
      <c r="F205" s="13">
        <v>42885.13559027778</v>
      </c>
      <c r="G205" s="7">
        <v>4</v>
      </c>
      <c r="H205" s="21" t="s">
        <v>405</v>
      </c>
      <c r="I205" s="13">
        <v>42885.160740740743</v>
      </c>
      <c r="J205" s="7">
        <v>0</v>
      </c>
      <c r="K205" s="92" t="str">
        <f t="shared" ref="K205:K231" si="86">IF(ISEVEN(B205),(B205-1)&amp;"/"&amp;B205,B205&amp;"/"&amp;(B205+1))</f>
        <v>4001/4002</v>
      </c>
      <c r="L205" s="21" t="str">
        <f>VLOOKUP(A205,'Trips&amp;Operators'!$C$1:$G$99999,5,FALSE)</f>
        <v>STARKS ANGELINA</v>
      </c>
      <c r="M205" s="6">
        <f t="shared" ref="M205:M231" si="87">I205-F205</f>
        <v>2.5150462963210884E-2</v>
      </c>
      <c r="N205" s="7">
        <f t="shared" si="83"/>
        <v>36.216666667023674</v>
      </c>
      <c r="O205" s="7"/>
      <c r="P205" s="7"/>
      <c r="Q205" s="22"/>
      <c r="R205" s="173"/>
      <c r="S205" s="176">
        <f t="shared" si="80"/>
        <v>1</v>
      </c>
      <c r="T205" s="202" t="str">
        <f t="shared" ref="T205:T231" si="88">IF(ISEVEN(LEFT(AD205,4)),"Southbound","NorthBound")</f>
        <v>Southbound</v>
      </c>
      <c r="U205" s="202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03" t="str">
        <f t="shared" ref="V205:V231" si="89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-05-30T01:51:18-0600',mode:absolute,to:'2017-05-30T04:51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05" s="204" t="str">
        <f t="shared" ref="W205:W231" si="90">IF(AA205&lt;IF(AG205="EC",23,5.65),"Y","N")</f>
        <v>Y</v>
      </c>
      <c r="X205" s="204">
        <f t="shared" si="82"/>
        <v>-547</v>
      </c>
      <c r="Y205" s="204">
        <f t="shared" si="84"/>
        <v>2.2692000000000001</v>
      </c>
      <c r="Z205" s="204">
        <f t="shared" si="85"/>
        <v>1.54E-2</v>
      </c>
      <c r="AA205" s="204">
        <f t="shared" ref="AA205:AA268" si="91">ABS(Z205-Y205)</f>
        <v>2.2538</v>
      </c>
      <c r="AB205" s="57" t="e">
        <f>VLOOKUP(A205,Enforcements!$C$7:$K$13,8,0)</f>
        <v>#N/A</v>
      </c>
      <c r="AC205" s="53" t="e">
        <f>VLOOKUP(A205,Enforcements!$C$7:$E$13,3,0)</f>
        <v>#N/A</v>
      </c>
      <c r="AD205" s="54" t="str">
        <f t="shared" ref="AD205:AD231" si="92">IF(LEN(A205)=6,"0"&amp;A205,A205)</f>
        <v>0300-30</v>
      </c>
      <c r="AE205" s="80" t="str">
        <f t="shared" ref="AE205:AE231" si="93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s3://rtdc.mdm.uploadarchive.raw/RTDC4001/ "%USERPROFILE%\AppData\Local\Temp\OnboardLogs"\RTDC4001\2017-05-30 --exclude "*" --recursive --include "*20170530*" &amp; "%USERPROFILE%\Documents\GitHub\mrs-test-scripts\Headless Mode &amp; Sideloading\WalkAndUnGZ.bat" "%USERPROFILE%\AppData\Local\Temp\OnboardLogs"\RTDC4001\2017-05-30 &amp; aws s3 cp s3://rtdc.mdm.uploadarchive.raw/RTDC4001/ "%USERPROFILE%\AppData\Local\Temp\OnboardLogs"\RTDC4001\2017-05-31 --exclude "*" --recursive --include "*20170531*" &amp; "%USERPROFILE%\Documents\GitHub\mrs-test-scripts\Headless Mode &amp; Sideloading\WalkAndUnGZ.bat" "%USERPROFILE%\AppData\Local\Temp\OnboardLogs"\RTDC4001\2017-05-31</v>
      </c>
      <c r="AF205" s="77" t="str">
        <f t="shared" ref="AF205:AF231" si="94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/stypes="app*4001*20170530*" /stext=" 09:.+((SYSTEM_STATE.+slice.+state.+changed )|(ment ac)|(multiple cpu faults)|(system.+state.+changed )|(\[timeout)|(PRM\|1\|D)|(kpr)|(kdp)|(train st.+moving)|(\|lc)|(penalty))"</v>
      </c>
      <c r="AG205" s="1" t="str">
        <f t="shared" ref="AG205:AG231" si="95">IFERROR(IF(VALUE(LEFT(AD205,2))&lt;=2,"EC",IF(OR(VALUE(LEFT(AD205,2))=8,VALUE(LEFT(AD205,2))=18),"NW","Other")),"Other")</f>
        <v>Other</v>
      </c>
      <c r="AH205" s="81" t="str">
        <f t="shared" si="65"/>
        <v>"%USERPROFILE%\Documents\GitHub\eaglep3\Utilities\RefineRTDCRunTimes.py" --tripid 300-30 --locoid 4001 --swversion DE.1.0.9.0 --startMP 300:22692 --initTime 2017-05-30T02:51:18 --startdatetime 2017-05-30T03:15:15 --delay 4 --endMP 204:154 --enddatetime 2017-05-30T03:51:28 --enforcementcount 0 &gt;&gt;C:\Users\stu\Documents\GitHub\eaglep3-reporting\EC\2017-05-30-refined-times.txt</v>
      </c>
      <c r="AI205" s="99" t="str">
        <f t="shared" si="66"/>
        <v>echo {"issue":{"subject":"","project_id":79,"tracker_id":40,"status_id":1,"priority_id":2,"assigned_to_id":23,"start_date":"2017-05-30","description":"","custom_fields":[{"id":1,"name":"Subdivision","value":"Other"},{"id":4,"name":"Milepost","value":"0.0154"},{"id":17,"name":"Train ID","value":"300-30"},{"id":16,"name":"Locomotive ID","value":"4001"},{"id":130,"name":"Impact","value":""},{"id":150,"name":"Time of Event (Mountain Time)","value":"03:51:28"},{"id":151,"name":"Denver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5" s="47"/>
      <c r="AL205" s="47"/>
      <c r="AM205" s="145" t="str">
        <f t="shared" si="67"/>
        <v>start /low /b %USERPROFILE%\Documents\GitHub\eaglep3\Utilities\DownloadLogsFromS3.py --loco 4001 --day 2017-05-30</v>
      </c>
      <c r="AN205" s="154" t="str">
        <f t="shared" si="68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09:51:28"},{"id":29,"name":"Sharepoint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x14ac:dyDescent="0.25">
      <c r="A206" s="32" t="s">
        <v>829</v>
      </c>
      <c r="B206" s="7">
        <v>4008</v>
      </c>
      <c r="C206" s="21" t="s">
        <v>204</v>
      </c>
      <c r="D206" s="21" t="s">
        <v>924</v>
      </c>
      <c r="E206" s="13">
        <v>42885.776053240741</v>
      </c>
      <c r="F206" s="13">
        <v>42885.781076388892</v>
      </c>
      <c r="G206" s="7">
        <v>0</v>
      </c>
      <c r="H206" s="21" t="s">
        <v>357</v>
      </c>
      <c r="I206" s="13">
        <v>42885.787407407406</v>
      </c>
      <c r="J206" s="7">
        <v>0</v>
      </c>
      <c r="K206" s="92" t="str">
        <f t="shared" si="86"/>
        <v>4007/4008</v>
      </c>
      <c r="L206" s="21" t="str">
        <f>VLOOKUP(A206,'Trips&amp;Operators'!$C$1:$G$99999,5,FALSE)</f>
        <v>LEVIN SCOTT</v>
      </c>
      <c r="M206" s="6">
        <f t="shared" si="87"/>
        <v>6.3310185141745023E-3</v>
      </c>
      <c r="N206" s="7">
        <f t="shared" si="83"/>
        <v>9.1166666604112834</v>
      </c>
      <c r="O206" s="7"/>
      <c r="P206" s="7"/>
      <c r="Q206" s="22"/>
      <c r="R206" s="173"/>
      <c r="S206" s="176">
        <f t="shared" si="80"/>
        <v>1</v>
      </c>
      <c r="T206" s="202" t="str">
        <f t="shared" si="88"/>
        <v>NorthBound</v>
      </c>
      <c r="U206" s="202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03" t="str">
        <f t="shared" si="89"/>
        <v>https://d0f6bd738d7f1b3e5a7ca70fe4ff75f0.us-east-1.aws.found.io/app/kibana#/discover/Steve-Slow-Train-Analysis-(2080s-and-2083s)?_g=(refreshInterval:(display:Off,pause:!f,section:0,value:0),time:(from:'2017-05-30T17:37:31-0600',mode:absolute,to:'2017-05-30T19:53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06" s="204" t="str">
        <f t="shared" si="90"/>
        <v>Y</v>
      </c>
      <c r="X206" s="204">
        <f t="shared" si="82"/>
        <v>1</v>
      </c>
      <c r="Y206" s="204">
        <f t="shared" si="84"/>
        <v>4.24E-2</v>
      </c>
      <c r="Z206" s="204">
        <f t="shared" si="85"/>
        <v>2.3346</v>
      </c>
      <c r="AA206" s="204">
        <f t="shared" si="91"/>
        <v>2.2921999999999998</v>
      </c>
      <c r="AB206" s="57" t="e">
        <f>VLOOKUP(A206,Enforcements!$C$7:$K$13,8,0)</f>
        <v>#N/A</v>
      </c>
      <c r="AC206" s="53" t="e">
        <f>VLOOKUP(A206,Enforcements!$C$7:$E$13,3,0)</f>
        <v>#N/A</v>
      </c>
      <c r="AD206" s="54" t="str">
        <f t="shared" si="92"/>
        <v>0301-30</v>
      </c>
      <c r="AE206" s="80" t="str">
        <f t="shared" si="93"/>
        <v>aws s3 cp s3://rtdc.mdm.uploadarchive.raw/RTDC4008/ "%USERPROFILE%\AppData\Local\Temp\OnboardLogs"\RTDC4008\2017-05-30 --exclude "*" --recursive --include "*20170530*" &amp; "%USERPROFILE%\Documents\GitHub\mrs-test-scripts\Headless Mode &amp; Sideloading\WalkAndUnGZ.bat" "%USERPROFILE%\AppData\Local\Temp\OnboardLogs"\RTDC4008\2017-05-30 &amp; aws s3 cp s3://rtdc.mdm.uploadarchive.raw/RTDC4008/ "%USERPROFILE%\AppData\Local\Temp\OnboardLogs"\RTDC4008\2017-05-31 --exclude "*" --recursive --include "*20170531*" &amp; "%USERPROFILE%\Documents\GitHub\mrs-test-scripts\Headless Mode &amp; Sideloading\WalkAndUnGZ.bat" "%USERPROFILE%\AppData\Local\Temp\OnboardLogs"\RTDC4008\2017-05-31</v>
      </c>
      <c r="AF206" s="77" t="str">
        <f t="shared" si="94"/>
        <v>"C:\Program Files (x86)\AstroGrep\AstroGrep.exe" /e /r /s /spath="%USERPROFILE%\AppData\Local\Temp\OnboardLogs" /stypes="app*4008*20170531*" /stext=" 00:.+((SYSTEM_STATE.+slice.+state.+changed )|(ment ac)|(multiple cpu faults)|(system.+state.+changed )|(\[timeout)|(PRM\|1\|D)|(kpr)|(kdp)|(train st.+moving)|(\|lc)|(penalty))"</v>
      </c>
      <c r="AG206" s="1" t="str">
        <f t="shared" si="95"/>
        <v>Other</v>
      </c>
      <c r="AH206" s="81" t="str">
        <f t="shared" ref="AH206:AH231" si="96">refinertdcruntimes&amp;" --tripid "&amp;A206&amp;" --locoid "&amp;B206&amp;" --swversion "&amp;C206&amp;" --startMP "&amp;D206&amp;" --initTime "&amp;TEXT(E206,"yyyy-mm-ddTHH:MM:SS")&amp;" --startdatetime "&amp;TEXT(F206,"yyyy-mm-ddTHH:MM:SS")&amp;" --delay "&amp;G206&amp;" --endMP "&amp;H206&amp;" --enddatetime "&amp;TEXT(I206,"yyyy-mm-ddTHH:MM:SS")&amp;" --enforcementcount "&amp;J206&amp;IF(outputrefinedruntimes," &gt;&gt;"&amp;RefinedRTDCRunTimesOutputFile,"")</f>
        <v>"%USERPROFILE%\Documents\GitHub\eaglep3\Utilities\RefineRTDCRunTimes.py" --tripid 301-30 --locoid 4008 --swversion DE.1.0.9.0 --startMP 204:424 --initTime 2017-05-30T18:37:31 --startdatetime 2017-05-30T18:44:45 --delay 0 --endMP 300:23346 --enddatetime 2017-05-30T18:53:52 --enforcementcount 0 &gt;&gt;C:\Users\stu\Documents\GitHub\eaglep3-reporting\EC\2017-05-30-refined-times.txt</v>
      </c>
      <c r="AI206" s="99" t="str">
        <f t="shared" ref="AI206:AI231" si="97">"echo {""issue"":{""subject"":"""&amp;R206&amp;""",""project_id"":79,""tracker_id"":40,""status_id"":"&amp;redmine_status&amp;",""priority_id"":"&amp;redmine_priority&amp;",""assigned_to_id"":"&amp;redmine_assignee&amp;",""start_date"":"""&amp;TEXT(I206,"YYYY-mm-dd")&amp;""",""description"":"""&amp;AJ206&amp;""",""custom_fields"":[{""id"":1,""name"":""Subdivision"",""value"":"""&amp;AG206&amp;"""},{""id"":4,""name"":""Milepost"",""value"":"""&amp;Z206&amp;"""},{""id"":17,""name"":""Train ID"",""value"":"""&amp;A206&amp;"""},{""id"":16,""name"":""Locomotive ID"",""value"":"""&amp;B206&amp;"""},{""id"":130,""name"":""Impact"",""value"":"""&amp;AK206&amp;"""},{""id"":150,""name"":""Time of Event (Mountain Time)"",""value"":"""&amp;TEXT(I206,"hh:mm:ss")&amp;"""},{""id"":151,""name"":""Denver Issue ID"",""value"":"""&amp;"""},{""id"":178,""name"":""Operational Impact"",""value"":"""&amp;redmine_op_impact&amp;"""},{""id"":179,""name"":""Denver Segment Assigned"",""value"":"""&amp;AL206&amp;"""}]}}"&amp;"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{"issue":{"subject":"","project_id":79,"tracker_id":40,"status_id":1,"priority_id":2,"assigned_to_id":23,"start_date":"2017-05-30","description":"","custom_fields":[{"id":1,"name":"Subdivision","value":"Other"},{"id":4,"name":"Milepost","value":"2.3346"},{"id":17,"name":"Train ID","value":"301-30"},{"id":16,"name":"Locomotive ID","value":"4008"},{"id":130,"name":"Impact","value":""},{"id":150,"name":"Time of Event (Mountain Time)","value":"18:53:52"},{"id":151,"name":"Denver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5" t="str">
        <f t="shared" ref="AM206:AM231" si="98">"start /low /b "&amp;dls3logs&amp;" --loco "&amp;B206&amp;" --day "&amp;TEXT(F206,"YYYY-MM-DD")</f>
        <v>start /low /b %USERPROFILE%\Documents\GitHub\eaglep3\Utilities\DownloadLogsFromS3.py --loco 4008 --day 2017-05-30</v>
      </c>
      <c r="AN206" s="154" t="str">
        <f t="shared" ref="AN206:AN231" si="99">"echo {""issue"":{""subject"":"""&amp;R206&amp;""",""project_id"":30,""tracker_id"":4,""status_id"":"&amp;redmine_status_wcr&amp;",""priority_id"":"&amp;redmine_priority_wcr&amp;",""assigned_to_id"":"&amp;redmine_assignee_wcr&amp;",""start_date"":"""&amp;TEXT(I206-utc_offset/24,"YYYY-mm-dd")&amp;""",""description"":"""&amp;AJ206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00:53:52"},{"id":29,"name":"Sharepoint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7" spans="1:91" x14ac:dyDescent="0.25">
      <c r="A207" s="32" t="s">
        <v>669</v>
      </c>
      <c r="B207" s="7">
        <v>4019</v>
      </c>
      <c r="C207" s="21" t="s">
        <v>204</v>
      </c>
      <c r="D207" s="21" t="s">
        <v>925</v>
      </c>
      <c r="E207" s="13">
        <v>42885.137037037035</v>
      </c>
      <c r="F207" s="13">
        <v>42885.139467592591</v>
      </c>
      <c r="G207" s="7">
        <v>3</v>
      </c>
      <c r="H207" s="21" t="s">
        <v>610</v>
      </c>
      <c r="I207" s="13">
        <v>42885.14739583333</v>
      </c>
      <c r="J207" s="7">
        <v>0</v>
      </c>
      <c r="K207" s="92" t="str">
        <f t="shared" si="86"/>
        <v>4019/4020</v>
      </c>
      <c r="L207" s="21" t="str">
        <f>VLOOKUP(A207,'Trips&amp;Operators'!$C$1:$G$99999,5,FALSE)</f>
        <v>BONDS REYNALDO</v>
      </c>
      <c r="M207" s="6">
        <f t="shared" si="87"/>
        <v>7.9282407386926934E-3</v>
      </c>
      <c r="N207" s="7">
        <f t="shared" si="83"/>
        <v>11.416666663717479</v>
      </c>
      <c r="O207" s="7"/>
      <c r="P207" s="7"/>
      <c r="Q207" s="22"/>
      <c r="R207" s="173"/>
      <c r="S207" s="176">
        <f t="shared" ref="S207:S231" si="100">SUM(U207:U207)/IF(AG207="EC",12,1)</f>
        <v>1</v>
      </c>
      <c r="T207" s="202" t="str">
        <f t="shared" si="88"/>
        <v>Southbound</v>
      </c>
      <c r="U207" s="202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03" t="str">
        <f t="shared" si="89"/>
        <v>https://d0f6bd738d7f1b3e5a7ca70fe4ff75f0.us-east-1.aws.found.io/app/kibana#/discover/Steve-Slow-Train-Analysis-(2080s-and-2083s)?_g=(refreshInterval:(display:Off,pause:!f,section:0,value:0),time:(from:'2017-05-30T02:17:20-0600',mode:absolute,to:'2017-05-30T04:32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07" s="204" t="str">
        <f t="shared" si="90"/>
        <v>Y</v>
      </c>
      <c r="X207" s="204">
        <f t="shared" si="82"/>
        <v>1</v>
      </c>
      <c r="Y207" s="204">
        <f t="shared" si="84"/>
        <v>2.3538000000000001</v>
      </c>
      <c r="Z207" s="204">
        <f t="shared" si="85"/>
        <v>1.67E-2</v>
      </c>
      <c r="AA207" s="204">
        <f t="shared" si="91"/>
        <v>2.3371</v>
      </c>
      <c r="AB207" s="57" t="e">
        <f>VLOOKUP(A207,Enforcements!$C$7:$K$13,8,0)</f>
        <v>#N/A</v>
      </c>
      <c r="AC207" s="53" t="e">
        <f>VLOOKUP(A207,Enforcements!$C$7:$E$13,3,0)</f>
        <v>#N/A</v>
      </c>
      <c r="AD207" s="54" t="str">
        <f t="shared" si="92"/>
        <v>0302-30</v>
      </c>
      <c r="AE207" s="80" t="str">
        <f t="shared" si="93"/>
        <v>aws s3 cp s3://rtdc.mdm.uploadarchive.raw/RTDC4019/ "%USERPROFILE%\AppData\Local\Temp\OnboardLogs"\RTDC4019\2017-05-30 --exclude "*" --recursive --include "*20170530*" &amp; "%USERPROFILE%\Documents\GitHub\mrs-test-scripts\Headless Mode &amp; Sideloading\WalkAndUnGZ.bat" "%USERPROFILE%\AppData\Local\Temp\OnboardLogs"\RTDC4019\2017-05-30 &amp; aws s3 cp s3://rtdc.mdm.uploadarchive.raw/RTDC4019/ "%USERPROFILE%\AppData\Local\Temp\OnboardLogs"\RTDC4019\2017-05-31 --exclude "*" --recursive --include "*20170531*" &amp; "%USERPROFILE%\Documents\GitHub\mrs-test-scripts\Headless Mode &amp; Sideloading\WalkAndUnGZ.bat" "%USERPROFILE%\AppData\Local\Temp\OnboardLogs"\RTDC4019\2017-05-31</v>
      </c>
      <c r="AF207" s="77" t="str">
        <f t="shared" si="94"/>
        <v>"C:\Program Files (x86)\AstroGrep\AstroGrep.exe" /e /r /s /spath="%USERPROFILE%\AppData\Local\Temp\OnboardLogs" /stypes="app*4019*20170530*" /stext=" 09:.+((SYSTEM_STATE.+slice.+state.+changed )|(ment ac)|(multiple cpu faults)|(system.+state.+changed )|(\[timeout)|(PRM\|1\|D)|(kpr)|(kdp)|(train st.+moving)|(\|lc)|(penalty))"</v>
      </c>
      <c r="AG207" s="1" t="str">
        <f t="shared" si="95"/>
        <v>Other</v>
      </c>
      <c r="AH207" s="81" t="str">
        <f t="shared" si="96"/>
        <v>"%USERPROFILE%\Documents\GitHub\eaglep3\Utilities\RefineRTDCRunTimes.py" --tripid 302-30 --locoid 4019 --swversion DE.1.0.9.0 --startMP 300:23538 --initTime 2017-05-30T03:17:20 --startdatetime 2017-05-30T03:20:50 --delay 3 --endMP 204:167 --enddatetime 2017-05-30T03:32:15 --enforcementcount 0 &gt;&gt;C:\Users\stu\Documents\GitHub\eaglep3-reporting\EC\2017-05-30-refined-times.txt</v>
      </c>
      <c r="AI207" s="99" t="str">
        <f t="shared" si="97"/>
        <v>echo {"issue":{"subject":"","project_id":79,"tracker_id":40,"status_id":1,"priority_id":2,"assigned_to_id":23,"start_date":"2017-05-30","description":"","custom_fields":[{"id":1,"name":"Subdivision","value":"Other"},{"id":4,"name":"Milepost","value":"0.0167"},{"id":17,"name":"Train ID","value":"302-30"},{"id":16,"name":"Locomotive ID","value":"4019"},{"id":130,"name":"Impact","value":""},{"id":150,"name":"Time of Event (Mountain Time)","value":"03:32:15"},{"id":151,"name":"Denver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5" t="str">
        <f t="shared" si="98"/>
        <v>start /low /b %USERPROFILE%\Documents\GitHub\eaglep3\Utilities\DownloadLogsFromS3.py --loco 4019 --day 2017-05-30</v>
      </c>
      <c r="AN207" s="154" t="str">
        <f t="shared" si="99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09:32:15"},{"id":29,"name":"Sharepoint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8" spans="1:91" x14ac:dyDescent="0.25">
      <c r="A208" s="32" t="s">
        <v>834</v>
      </c>
      <c r="B208" s="7">
        <v>4056</v>
      </c>
      <c r="C208" s="21" t="s">
        <v>204</v>
      </c>
      <c r="D208" s="21" t="s">
        <v>401</v>
      </c>
      <c r="E208" s="13">
        <v>42885.798368055555</v>
      </c>
      <c r="F208" s="13">
        <v>42885.800775462965</v>
      </c>
      <c r="G208" s="7">
        <v>2</v>
      </c>
      <c r="H208" s="21" t="s">
        <v>535</v>
      </c>
      <c r="I208" s="13">
        <v>42885.809131944443</v>
      </c>
      <c r="J208" s="7">
        <v>0</v>
      </c>
      <c r="K208" s="92" t="str">
        <f t="shared" si="86"/>
        <v>4055/4056</v>
      </c>
      <c r="L208" s="21" t="str">
        <f>VLOOKUP(A208,'Trips&amp;Operators'!$C$1:$G$99999,5,FALSE)</f>
        <v>ZEWDU DEREJE</v>
      </c>
      <c r="M208" s="6">
        <f t="shared" si="87"/>
        <v>8.3564814776764251E-3</v>
      </c>
      <c r="N208" s="7">
        <f t="shared" si="83"/>
        <v>12.033333327854052</v>
      </c>
      <c r="O208" s="7"/>
      <c r="P208" s="7"/>
      <c r="Q208" s="22"/>
      <c r="R208" s="173"/>
      <c r="S208" s="176">
        <f t="shared" si="100"/>
        <v>1</v>
      </c>
      <c r="T208" s="202" t="str">
        <f t="shared" si="88"/>
        <v>NorthBound</v>
      </c>
      <c r="U208" s="202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03" t="str">
        <f t="shared" si="89"/>
        <v>https://d0f6bd738d7f1b3e5a7ca70fe4ff75f0.us-east-1.aws.found.io/app/kibana#/discover/Steve-Slow-Train-Analysis-(2080s-and-2083s)?_g=(refreshInterval:(display:Off,pause:!f,section:0,value:0),time:(from:'2017-05-30T18:09:39-0600',mode:absolute,to:'2017-05-30T20:25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08" s="204" t="str">
        <f t="shared" si="90"/>
        <v>Y</v>
      </c>
      <c r="X208" s="204">
        <f t="shared" si="82"/>
        <v>1</v>
      </c>
      <c r="Y208" s="204">
        <f t="shared" si="84"/>
        <v>4.6199999999999998E-2</v>
      </c>
      <c r="Z208" s="204">
        <f t="shared" si="85"/>
        <v>2.3306</v>
      </c>
      <c r="AA208" s="204">
        <f t="shared" si="91"/>
        <v>2.2844000000000002</v>
      </c>
      <c r="AB208" s="57" t="e">
        <f>VLOOKUP(A208,Enforcements!$C$7:$K$13,8,0)</f>
        <v>#N/A</v>
      </c>
      <c r="AC208" s="53" t="e">
        <f>VLOOKUP(A208,Enforcements!$C$7:$E$13,3,0)</f>
        <v>#N/A</v>
      </c>
      <c r="AD208" s="54" t="str">
        <f t="shared" si="92"/>
        <v>0303-30</v>
      </c>
      <c r="AE208" s="80" t="str">
        <f t="shared" si="93"/>
        <v>aws s3 cp s3://rtdc.mdm.uploadarchive.raw/RTDC4056/ "%USERPROFILE%\AppData\Local\Temp\OnboardLogs"\RTDC4056\2017-05-30 --exclude "*" --recursive --include "*20170530*" &amp; "%USERPROFILE%\Documents\GitHub\mrs-test-scripts\Headless Mode &amp; Sideloading\WalkAndUnGZ.bat" "%USERPROFILE%\AppData\Local\Temp\OnboardLogs"\RTDC4056\2017-05-30 &amp; aws s3 cp s3://rtdc.mdm.uploadarchive.raw/RTDC4056/ "%USERPROFILE%\AppData\Local\Temp\OnboardLogs"\RTDC4056\2017-05-31 --exclude "*" --recursive --include "*20170531*" &amp; "%USERPROFILE%\Documents\GitHub\mrs-test-scripts\Headless Mode &amp; Sideloading\WalkAndUnGZ.bat" "%USERPROFILE%\AppData\Local\Temp\OnboardLogs"\RTDC4056\2017-05-31</v>
      </c>
      <c r="AF208" s="77" t="str">
        <f t="shared" si="94"/>
        <v>"C:\Program Files (x86)\AstroGrep\AstroGrep.exe" /e /r /s /spath="%USERPROFILE%\AppData\Local\Temp\OnboardLogs" /stypes="app*4056*20170531*" /stext=" 01:.+((SYSTEM_STATE.+slice.+state.+changed )|(ment ac)|(multiple cpu faults)|(system.+state.+changed )|(\[timeout)|(PRM\|1\|D)|(kpr)|(kdp)|(train st.+moving)|(\|lc)|(penalty))"</v>
      </c>
      <c r="AG208" s="1" t="str">
        <f t="shared" si="95"/>
        <v>Other</v>
      </c>
      <c r="AH208" s="81" t="str">
        <f t="shared" si="96"/>
        <v>"%USERPROFILE%\Documents\GitHub\eaglep3\Utilities\RefineRTDCRunTimes.py" --tripid 303-30 --locoid 4056 --swversion DE.1.0.9.0 --startMP 204:462 --initTime 2017-05-30T19:09:39 --startdatetime 2017-05-30T19:13:07 --delay 2 --endMP 300:23306 --enddatetime 2017-05-30T19:25:09 --enforcementcount 0 &gt;&gt;C:\Users\stu\Documents\GitHub\eaglep3-reporting\EC\2017-05-30-refined-times.txt</v>
      </c>
      <c r="AI208" s="99" t="str">
        <f t="shared" si="97"/>
        <v>echo {"issue":{"subject":"","project_id":79,"tracker_id":40,"status_id":1,"priority_id":2,"assigned_to_id":23,"start_date":"2017-05-30","description":"","custom_fields":[{"id":1,"name":"Subdivision","value":"Other"},{"id":4,"name":"Milepost","value":"2.3306"},{"id":17,"name":"Train ID","value":"303-30"},{"id":16,"name":"Locomotive ID","value":"4056"},{"id":130,"name":"Impact","value":""},{"id":150,"name":"Time of Event (Mountain Time)","value":"19:25:09"},{"id":151,"name":"Denver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5" t="str">
        <f t="shared" si="98"/>
        <v>start /low /b %USERPROFILE%\Documents\GitHub\eaglep3\Utilities\DownloadLogsFromS3.py --loco 4056 --day 2017-05-30</v>
      </c>
      <c r="AN208" s="154" t="str">
        <f t="shared" si="99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01:25:09"},{"id":29,"name":"Sharepoint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9" spans="1:40" x14ac:dyDescent="0.25">
      <c r="A209" s="32" t="s">
        <v>671</v>
      </c>
      <c r="B209" s="7">
        <v>4017</v>
      </c>
      <c r="C209" s="21" t="s">
        <v>204</v>
      </c>
      <c r="D209" s="21" t="s">
        <v>926</v>
      </c>
      <c r="E209" s="13">
        <v>42885.158888888887</v>
      </c>
      <c r="F209" s="13">
        <v>42885.162881944445</v>
      </c>
      <c r="G209" s="7">
        <v>5</v>
      </c>
      <c r="H209" s="21" t="s">
        <v>195</v>
      </c>
      <c r="I209" s="13">
        <v>42885.168622685182</v>
      </c>
      <c r="J209" s="7">
        <v>0</v>
      </c>
      <c r="K209" s="92" t="str">
        <f t="shared" si="86"/>
        <v>4017/4018</v>
      </c>
      <c r="L209" s="21" t="str">
        <f>VLOOKUP(A209,'Trips&amp;Operators'!$C$1:$G$99999,5,FALSE)</f>
        <v>MAELZER KURT</v>
      </c>
      <c r="M209" s="6">
        <f t="shared" si="87"/>
        <v>5.7407407366554253E-3</v>
      </c>
      <c r="N209" s="7">
        <f t="shared" si="83"/>
        <v>8.2666666607838124</v>
      </c>
      <c r="O209" s="7"/>
      <c r="P209" s="7"/>
      <c r="Q209" s="22"/>
      <c r="R209" s="173"/>
      <c r="S209" s="176">
        <f t="shared" si="100"/>
        <v>1</v>
      </c>
      <c r="T209" s="202" t="str">
        <f t="shared" si="88"/>
        <v>Southbound</v>
      </c>
      <c r="U209" s="202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03" t="str">
        <f t="shared" si="89"/>
        <v>https://d0f6bd738d7f1b3e5a7ca70fe4ff75f0.us-east-1.aws.found.io/app/kibana#/discover/Steve-Slow-Train-Analysis-(2080s-and-2083s)?_g=(refreshInterval:(display:Off,pause:!f,section:0,value:0),time:(from:'2017-05-30T02:48:48-0600',mode:absolute,to:'2017-05-30T05:02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09" s="204" t="str">
        <f t="shared" si="90"/>
        <v>Y</v>
      </c>
      <c r="X209" s="204">
        <f t="shared" si="82"/>
        <v>1</v>
      </c>
      <c r="Y209" s="204">
        <f t="shared" si="84"/>
        <v>2.2494999999999998</v>
      </c>
      <c r="Z209" s="204">
        <f t="shared" si="85"/>
        <v>1.52E-2</v>
      </c>
      <c r="AA209" s="204">
        <f t="shared" si="91"/>
        <v>2.2342999999999997</v>
      </c>
      <c r="AB209" s="57" t="e">
        <f>VLOOKUP(A209,Enforcements!$C$7:$K$13,8,0)</f>
        <v>#N/A</v>
      </c>
      <c r="AC209" s="53" t="e">
        <f>VLOOKUP(A209,Enforcements!$C$7:$E$13,3,0)</f>
        <v>#N/A</v>
      </c>
      <c r="AD209" s="54" t="str">
        <f t="shared" si="92"/>
        <v>0304-30</v>
      </c>
      <c r="AE209" s="80" t="str">
        <f t="shared" si="93"/>
        <v>aws s3 cp s3://rtdc.mdm.uploadarchive.raw/RTDC4017/ "%USERPROFILE%\AppData\Local\Temp\OnboardLogs"\RTDC4017\2017-05-30 --exclude "*" --recursive --include "*20170530*" &amp; "%USERPROFILE%\Documents\GitHub\mrs-test-scripts\Headless Mode &amp; Sideloading\WalkAndUnGZ.bat" "%USERPROFILE%\AppData\Local\Temp\OnboardLogs"\RTDC4017\2017-05-30 &amp; aws s3 cp s3://rtdc.mdm.uploadarchive.raw/RTDC4017/ "%USERPROFILE%\AppData\Local\Temp\OnboardLogs"\RTDC4017\2017-05-31 --exclude "*" --recursive --include "*20170531*" &amp; "%USERPROFILE%\Documents\GitHub\mrs-test-scripts\Headless Mode &amp; Sideloading\WalkAndUnGZ.bat" "%USERPROFILE%\AppData\Local\Temp\OnboardLogs"\RTDC4017\2017-05-31</v>
      </c>
      <c r="AF209" s="77" t="str">
        <f t="shared" si="94"/>
        <v>"C:\Program Files (x86)\AstroGrep\AstroGrep.exe" /e /r /s /spath="%USERPROFILE%\AppData\Local\Temp\OnboardLogs" /stypes="app*4017*20170530*" /stext=" 10:.+((SYSTEM_STATE.+slice.+state.+changed )|(ment ac)|(multiple cpu faults)|(system.+state.+changed )|(\[timeout)|(PRM\|1\|D)|(kpr)|(kdp)|(train st.+moving)|(\|lc)|(penalty))"</v>
      </c>
      <c r="AG209" s="1" t="str">
        <f t="shared" si="95"/>
        <v>Other</v>
      </c>
      <c r="AH209" s="81" t="str">
        <f t="shared" si="96"/>
        <v>"%USERPROFILE%\Documents\GitHub\eaglep3\Utilities\RefineRTDCRunTimes.py" --tripid 304-30 --locoid 4017 --swversion DE.1.0.9.0 --startMP 300:22495 --initTime 2017-05-30T03:48:48 --startdatetime 2017-05-30T03:54:33 --delay 5 --endMP 204:152 --enddatetime 2017-05-30T04:02:49 --enforcementcount 0 &gt;&gt;C:\Users\stu\Documents\GitHub\eaglep3-reporting\EC\2017-05-30-refined-times.txt</v>
      </c>
      <c r="AI209" s="99" t="str">
        <f t="shared" si="97"/>
        <v>echo {"issue":{"subject":"","project_id":79,"tracker_id":40,"status_id":1,"priority_id":2,"assigned_to_id":23,"start_date":"2017-05-30","description":"","custom_fields":[{"id":1,"name":"Subdivision","value":"Other"},{"id":4,"name":"Milepost","value":"0.0152"},{"id":17,"name":"Train ID","value":"304-30"},{"id":16,"name":"Locomotive ID","value":"4017"},{"id":130,"name":"Impact","value":""},{"id":150,"name":"Time of Event (Mountain Time)","value":"04:02:49"},{"id":151,"name":"Denver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5" t="str">
        <f t="shared" si="98"/>
        <v>start /low /b %USERPROFILE%\Documents\GitHub\eaglep3\Utilities\DownloadLogsFromS3.py --loco 4017 --day 2017-05-30</v>
      </c>
      <c r="AN209" s="154" t="str">
        <f t="shared" si="99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10:02:49"},{"id":29,"name":"Sharepoint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0" spans="1:40" x14ac:dyDescent="0.25">
      <c r="A210" s="32" t="s">
        <v>673</v>
      </c>
      <c r="B210" s="7">
        <v>4025</v>
      </c>
      <c r="C210" s="21" t="s">
        <v>204</v>
      </c>
      <c r="D210" s="21" t="s">
        <v>927</v>
      </c>
      <c r="E210" s="13">
        <v>42885.168055555558</v>
      </c>
      <c r="F210" s="13">
        <v>42885.17454861111</v>
      </c>
      <c r="G210" s="7">
        <v>9</v>
      </c>
      <c r="H210" s="21" t="s">
        <v>364</v>
      </c>
      <c r="I210" s="13">
        <v>42885.180706018517</v>
      </c>
      <c r="J210" s="7">
        <v>0</v>
      </c>
      <c r="K210" s="92" t="str">
        <f t="shared" si="86"/>
        <v>4025/4026</v>
      </c>
      <c r="L210" s="21" t="str">
        <f>VLOOKUP(A210,'Trips&amp;Operators'!$C$1:$G$99999,5,FALSE)</f>
        <v>LALONDE GREGORY</v>
      </c>
      <c r="M210" s="6">
        <f t="shared" si="87"/>
        <v>6.1574074061354622E-3</v>
      </c>
      <c r="N210" s="7">
        <f t="shared" si="83"/>
        <v>8.8666666648350656</v>
      </c>
      <c r="O210" s="7"/>
      <c r="P210" s="7"/>
      <c r="Q210" s="22"/>
      <c r="R210" s="173"/>
      <c r="S210" s="176">
        <f t="shared" si="100"/>
        <v>1</v>
      </c>
      <c r="T210" s="202" t="str">
        <f t="shared" si="88"/>
        <v>Southbound</v>
      </c>
      <c r="U210" s="202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03" t="str">
        <f t="shared" si="89"/>
        <v>https://d0f6bd738d7f1b3e5a7ca70fe4ff75f0.us-east-1.aws.found.io/app/kibana#/discover/Steve-Slow-Train-Analysis-(2080s-and-2083s)?_g=(refreshInterval:(display:Off,pause:!f,section:0,value:0),time:(from:'2017-05-30T03:02:00-0600',mode:absolute,to:'2017-05-30T05:20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10" s="204" t="str">
        <f t="shared" si="90"/>
        <v>Y</v>
      </c>
      <c r="X210" s="204">
        <f t="shared" si="82"/>
        <v>2</v>
      </c>
      <c r="Y210" s="204">
        <f t="shared" si="84"/>
        <v>2.3239000000000001</v>
      </c>
      <c r="Z210" s="204">
        <f t="shared" si="85"/>
        <v>1.41E-2</v>
      </c>
      <c r="AA210" s="204">
        <f t="shared" si="91"/>
        <v>2.3098000000000001</v>
      </c>
      <c r="AB210" s="57" t="e">
        <f>VLOOKUP(A210,Enforcements!$C$7:$K$13,8,0)</f>
        <v>#N/A</v>
      </c>
      <c r="AC210" s="53" t="e">
        <f>VLOOKUP(A210,Enforcements!$C$7:$E$13,3,0)</f>
        <v>#N/A</v>
      </c>
      <c r="AD210" s="54" t="str">
        <f t="shared" si="92"/>
        <v>0306-30</v>
      </c>
      <c r="AE210" s="80" t="str">
        <f t="shared" si="93"/>
        <v>aws s3 cp s3://rtdc.mdm.uploadarchive.raw/RTDC4025/ "%USERPROFILE%\AppData\Local\Temp\OnboardLogs"\RTDC4025\2017-05-30 --exclude "*" --recursive --include "*20170530*" &amp; "%USERPROFILE%\Documents\GitHub\mrs-test-scripts\Headless Mode &amp; Sideloading\WalkAndUnGZ.bat" "%USERPROFILE%\AppData\Local\Temp\OnboardLogs"\RTDC4025\2017-05-30 &amp; aws s3 cp s3://rtdc.mdm.uploadarchive.raw/RTDC4025/ "%USERPROFILE%\AppData\Local\Temp\OnboardLogs"\RTDC4025\2017-05-31 --exclude "*" --recursive --include "*20170531*" &amp; "%USERPROFILE%\Documents\GitHub\mrs-test-scripts\Headless Mode &amp; Sideloading\WalkAndUnGZ.bat" "%USERPROFILE%\AppData\Local\Temp\OnboardLogs"\RTDC4025\2017-05-31</v>
      </c>
      <c r="AF210" s="77" t="str">
        <f t="shared" si="94"/>
        <v>"C:\Program Files (x86)\AstroGrep\AstroGrep.exe" /e /r /s /spath="%USERPROFILE%\AppData\Local\Temp\OnboardLogs" /stypes="app*4025*20170530*" /stext=" 10:.+((SYSTEM_STATE.+slice.+state.+changed )|(ment ac)|(multiple cpu faults)|(system.+state.+changed )|(\[timeout)|(PRM\|1\|D)|(kpr)|(kdp)|(train st.+moving)|(\|lc)|(penalty))"</v>
      </c>
      <c r="AG210" s="1" t="str">
        <f t="shared" si="95"/>
        <v>Other</v>
      </c>
      <c r="AH210" s="81" t="str">
        <f t="shared" si="96"/>
        <v>"%USERPROFILE%\Documents\GitHub\eaglep3\Utilities\RefineRTDCRunTimes.py" --tripid 306-30 --locoid 4025 --swversion DE.1.0.9.0 --startMP 300:23239 --initTime 2017-05-30T04:02:00 --startdatetime 2017-05-30T04:11:21 --delay 9 --endMP 204:141 --enddatetime 2017-05-30T04:20:13 --enforcementcount 0 &gt;&gt;C:\Users\stu\Documents\GitHub\eaglep3-reporting\EC\2017-05-30-refined-times.txt</v>
      </c>
      <c r="AI210" s="99" t="str">
        <f t="shared" si="97"/>
        <v>echo {"issue":{"subject":"","project_id":79,"tracker_id":40,"status_id":1,"priority_id":2,"assigned_to_id":23,"start_date":"2017-05-30","description":"","custom_fields":[{"id":1,"name":"Subdivision","value":"Other"},{"id":4,"name":"Milepost","value":"0.0141"},{"id":17,"name":"Train ID","value":"306-30"},{"id":16,"name":"Locomotive ID","value":"4025"},{"id":130,"name":"Impact","value":""},{"id":150,"name":"Time of Event (Mountain Time)","value":"04:20:13"},{"id":151,"name":"Denver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5" t="str">
        <f t="shared" si="98"/>
        <v>start /low /b %USERPROFILE%\Documents\GitHub\eaglep3\Utilities\DownloadLogsFromS3.py --loco 4025 --day 2017-05-30</v>
      </c>
      <c r="AN210" s="154" t="str">
        <f t="shared" si="99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10:20:13"},{"id":29,"name":"Sharepoint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1" spans="1:40" x14ac:dyDescent="0.25">
      <c r="A211" s="32" t="s">
        <v>864</v>
      </c>
      <c r="B211" s="7">
        <v>4032</v>
      </c>
      <c r="C211" s="21" t="s">
        <v>204</v>
      </c>
      <c r="D211" s="21" t="s">
        <v>349</v>
      </c>
      <c r="E211" s="13">
        <v>42886.027569444443</v>
      </c>
      <c r="F211" s="13">
        <v>42886.031134259261</v>
      </c>
      <c r="G211" s="7">
        <v>1</v>
      </c>
      <c r="H211" s="21" t="s">
        <v>357</v>
      </c>
      <c r="I211" s="13">
        <v>42886.039594907408</v>
      </c>
      <c r="J211" s="7">
        <v>0</v>
      </c>
      <c r="K211" s="92" t="str">
        <f t="shared" si="86"/>
        <v>4031/4032</v>
      </c>
      <c r="L211" s="21" t="str">
        <f>VLOOKUP(A211,'Trips&amp;Operators'!$C$1:$G$99999,5,FALSE)</f>
        <v>DUNCAN SHEILA</v>
      </c>
      <c r="M211" s="6">
        <f t="shared" si="87"/>
        <v>8.4606481468654238E-3</v>
      </c>
      <c r="N211" s="7">
        <f t="shared" si="83"/>
        <v>12.18333333148621</v>
      </c>
      <c r="O211" s="7"/>
      <c r="P211" s="7"/>
      <c r="Q211" s="22"/>
      <c r="R211" s="173"/>
      <c r="S211" s="176">
        <f t="shared" si="100"/>
        <v>1</v>
      </c>
      <c r="T211" s="202" t="str">
        <f t="shared" si="88"/>
        <v>NorthBound</v>
      </c>
      <c r="U211" s="202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03" t="str">
        <f t="shared" si="89"/>
        <v>https://d0f6bd738d7f1b3e5a7ca70fe4ff75f0.us-east-1.aws.found.io/app/kibana#/discover/Steve-Slow-Train-Analysis-(2080s-and-2083s)?_g=(refreshInterval:(display:Off,pause:!f,section:0,value:0),time:(from:'2017-05-30T23:39:42-0600',mode:absolute,to:'2017-05-31T01:57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11" s="204" t="str">
        <f t="shared" si="90"/>
        <v>Y</v>
      </c>
      <c r="X211" s="204">
        <f t="shared" si="82"/>
        <v>1</v>
      </c>
      <c r="Y211" s="204">
        <f t="shared" si="84"/>
        <v>4.4600000000000001E-2</v>
      </c>
      <c r="Z211" s="204">
        <f t="shared" si="85"/>
        <v>2.3346</v>
      </c>
      <c r="AA211" s="204">
        <f t="shared" si="91"/>
        <v>2.29</v>
      </c>
      <c r="AB211" s="57" t="e">
        <f>VLOOKUP(A211,Enforcements!$C$7:$K$13,8,0)</f>
        <v>#N/A</v>
      </c>
      <c r="AC211" s="53" t="e">
        <f>VLOOKUP(A211,Enforcements!$C$7:$E$13,3,0)</f>
        <v>#N/A</v>
      </c>
      <c r="AD211" s="54" t="str">
        <f t="shared" si="92"/>
        <v>0307-30</v>
      </c>
      <c r="AE211" s="80" t="str">
        <f t="shared" si="93"/>
        <v>aws s3 cp s3://rtdc.mdm.uploadarchive.raw/RTDC4032/ "%USERPROFILE%\AppData\Local\Temp\OnboardLogs"\RTDC4032\2017-05-31 --exclude "*" --recursive --include "*20170531*" &amp; "%USERPROFILE%\Documents\GitHub\mrs-test-scripts\Headless Mode &amp; Sideloading\WalkAndUnGZ.bat" "%USERPROFILE%\AppData\Local\Temp\OnboardLogs"\RTDC4032\2017-05-31 &amp; aws s3 cp s3://rtdc.mdm.uploadarchive.raw/RTDC4032/ "%USERPROFILE%\AppData\Local\Temp\OnboardLogs"\RTDC4032\2017-06-01 --exclude "*" --recursive --include "*20170601*" &amp; "%USERPROFILE%\Documents\GitHub\mrs-test-scripts\Headless Mode &amp; Sideloading\WalkAndUnGZ.bat" "%USERPROFILE%\AppData\Local\Temp\OnboardLogs"\RTDC4032\2017-06-01</v>
      </c>
      <c r="AF211" s="77" t="str">
        <f t="shared" si="94"/>
        <v>"C:\Program Files (x86)\AstroGrep\AstroGrep.exe" /e /r /s /spath="%USERPROFILE%\AppData\Local\Temp\OnboardLogs" /stypes="app*4032*20170531*" /stext=" 06:.+((SYSTEM_STATE.+slice.+state.+changed )|(ment ac)|(multiple cpu faults)|(system.+state.+changed )|(\[timeout)|(PRM\|1\|D)|(kpr)|(kdp)|(train st.+moving)|(\|lc)|(penalty))"</v>
      </c>
      <c r="AG211" s="1" t="str">
        <f t="shared" si="95"/>
        <v>Other</v>
      </c>
      <c r="AH211" s="81" t="str">
        <f t="shared" si="96"/>
        <v>"%USERPROFILE%\Documents\GitHub\eaglep3\Utilities\RefineRTDCRunTimes.py" --tripid 307-30 --locoid 4032 --swversion DE.1.0.9.0 --startMP 204:446 --initTime 2017-05-31T00:39:42 --startdatetime 2017-05-31T00:44:50 --delay 1 --endMP 300:23346 --enddatetime 2017-05-31T00:57:01 --enforcementcount 0 &gt;&gt;C:\Users\stu\Documents\GitHub\eaglep3-reporting\EC\2017-05-30-refined-times.txt</v>
      </c>
      <c r="AI211" s="99" t="str">
        <f t="shared" si="97"/>
        <v>echo {"issue":{"subject":"","project_id":79,"tracker_id":40,"status_id":1,"priority_id":2,"assigned_to_id":23,"start_date":"2017-05-31","description":"","custom_fields":[{"id":1,"name":"Subdivision","value":"Other"},{"id":4,"name":"Milepost","value":"2.3346"},{"id":17,"name":"Train ID","value":"307-30"},{"id":16,"name":"Locomotive ID","value":"4032"},{"id":130,"name":"Impact","value":""},{"id":150,"name":"Time of Event (Mountain Time)","value":"00:57:01"},{"id":151,"name":"Denver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5" t="str">
        <f t="shared" si="98"/>
        <v>start /low /b %USERPROFILE%\Documents\GitHub\eaglep3\Utilities\DownloadLogsFromS3.py --loco 4032 --day 2017-05-31</v>
      </c>
      <c r="AN211" s="154" t="str">
        <f t="shared" si="99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06:57:01"},{"id":29,"name":"Sharepoint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2" spans="1:40" x14ac:dyDescent="0.25">
      <c r="A212" s="32" t="s">
        <v>676</v>
      </c>
      <c r="B212" s="7">
        <v>4007</v>
      </c>
      <c r="C212" s="21" t="s">
        <v>204</v>
      </c>
      <c r="D212" s="21" t="s">
        <v>928</v>
      </c>
      <c r="E212" s="13">
        <v>42885.174490740741</v>
      </c>
      <c r="F212" s="13">
        <v>42885.180023148147</v>
      </c>
      <c r="G212" s="7">
        <v>7</v>
      </c>
      <c r="H212" s="21" t="s">
        <v>352</v>
      </c>
      <c r="I212" s="13">
        <v>42885.19122685185</v>
      </c>
      <c r="J212" s="7">
        <v>0</v>
      </c>
      <c r="K212" s="92" t="str">
        <f t="shared" si="86"/>
        <v>4007/4008</v>
      </c>
      <c r="L212" s="21" t="str">
        <f>VLOOKUP(A212,'Trips&amp;Operators'!$C$1:$G$99999,5,FALSE)</f>
        <v>MACDONALD THOMAS</v>
      </c>
      <c r="M212" s="6">
        <f t="shared" si="87"/>
        <v>1.1203703703358769E-2</v>
      </c>
      <c r="N212" s="7">
        <f t="shared" si="83"/>
        <v>16.133333332836628</v>
      </c>
      <c r="O212" s="7"/>
      <c r="P212" s="7"/>
      <c r="Q212" s="22"/>
      <c r="R212" s="173"/>
      <c r="S212" s="176">
        <f t="shared" si="100"/>
        <v>1</v>
      </c>
      <c r="T212" s="202" t="str">
        <f t="shared" si="88"/>
        <v>Southbound</v>
      </c>
      <c r="U212" s="202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03" t="str">
        <f t="shared" si="89"/>
        <v>https://d0f6bd738d7f1b3e5a7ca70fe4ff75f0.us-east-1.aws.found.io/app/kibana#/discover/Steve-Slow-Train-Analysis-(2080s-and-2083s)?_g=(refreshInterval:(display:Off,pause:!f,section:0,value:0),time:(from:'2017-05-30T03:11:16-0600',mode:absolute,to:'2017-05-30T05:35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12" s="204" t="str">
        <f t="shared" si="90"/>
        <v>Y</v>
      </c>
      <c r="X212" s="204">
        <f t="shared" si="82"/>
        <v>1</v>
      </c>
      <c r="Y212" s="204">
        <f t="shared" si="84"/>
        <v>2.3525</v>
      </c>
      <c r="Z212" s="204">
        <f t="shared" si="85"/>
        <v>1.4999999999999999E-2</v>
      </c>
      <c r="AA212" s="204">
        <f t="shared" si="91"/>
        <v>2.3374999999999999</v>
      </c>
      <c r="AB212" s="57" t="e">
        <f>VLOOKUP(A212,Enforcements!$C$7:$K$13,8,0)</f>
        <v>#N/A</v>
      </c>
      <c r="AC212" s="53" t="e">
        <f>VLOOKUP(A212,Enforcements!$C$7:$E$13,3,0)</f>
        <v>#N/A</v>
      </c>
      <c r="AD212" s="54" t="str">
        <f t="shared" si="92"/>
        <v>0308-30</v>
      </c>
      <c r="AE212" s="80" t="str">
        <f t="shared" si="93"/>
        <v>aws s3 cp s3://rtdc.mdm.uploadarchive.raw/RTDC4007/ "%USERPROFILE%\AppData\Local\Temp\OnboardLogs"\RTDC4007\2017-05-30 --exclude "*" --recursive --include "*20170530*" &amp; "%USERPROFILE%\Documents\GitHub\mrs-test-scripts\Headless Mode &amp; Sideloading\WalkAndUnGZ.bat" "%USERPROFILE%\AppData\Local\Temp\OnboardLogs"\RTDC4007\2017-05-30 &amp; aws s3 cp s3://rtdc.mdm.uploadarchive.raw/RTDC4007/ "%USERPROFILE%\AppData\Local\Temp\OnboardLogs"\RTDC4007\2017-05-31 --exclude "*" --recursive --include "*20170531*" &amp; "%USERPROFILE%\Documents\GitHub\mrs-test-scripts\Headless Mode &amp; Sideloading\WalkAndUnGZ.bat" "%USERPROFILE%\AppData\Local\Temp\OnboardLogs"\RTDC4007\2017-05-31</v>
      </c>
      <c r="AF212" s="77" t="str">
        <f t="shared" si="94"/>
        <v>"C:\Program Files (x86)\AstroGrep\AstroGrep.exe" /e /r /s /spath="%USERPROFILE%\AppData\Local\Temp\OnboardLogs" /stypes="app*4007*20170530*" /stext=" 10:.+((SYSTEM_STATE.+slice.+state.+changed )|(ment ac)|(multiple cpu faults)|(system.+state.+changed )|(\[timeout)|(PRM\|1\|D)|(kpr)|(kdp)|(train st.+moving)|(\|lc)|(penalty))"</v>
      </c>
      <c r="AG212" s="1" t="str">
        <f t="shared" si="95"/>
        <v>Other</v>
      </c>
      <c r="AH212" s="81" t="str">
        <f t="shared" si="96"/>
        <v>"%USERPROFILE%\Documents\GitHub\eaglep3\Utilities\RefineRTDCRunTimes.py" --tripid 308-30 --locoid 4007 --swversion DE.1.0.9.0 --startMP 300:23525 --initTime 2017-05-30T04:11:16 --startdatetime 2017-05-30T04:19:14 --delay 7 --endMP 204:150 --enddatetime 2017-05-30T04:35:22 --enforcementcount 0 &gt;&gt;C:\Users\stu\Documents\GitHub\eaglep3-reporting\EC\2017-05-30-refined-times.txt</v>
      </c>
      <c r="AI212" s="99" t="str">
        <f t="shared" si="97"/>
        <v>echo {"issue":{"subject":"","project_id":79,"tracker_id":40,"status_id":1,"priority_id":2,"assigned_to_id":23,"start_date":"2017-05-30","description":"","custom_fields":[{"id":1,"name":"Subdivision","value":"Other"},{"id":4,"name":"Milepost","value":"0.015"},{"id":17,"name":"Train ID","value":"308-30"},{"id":16,"name":"Locomotive ID","value":"4007"},{"id":130,"name":"Impact","value":""},{"id":150,"name":"Time of Event (Mountain Time)","value":"04:35:22"},{"id":151,"name":"Denver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5" t="str">
        <f t="shared" si="98"/>
        <v>start /low /b %USERPROFILE%\Documents\GitHub\eaglep3\Utilities\DownloadLogsFromS3.py --loco 4007 --day 2017-05-30</v>
      </c>
      <c r="AN212" s="154" t="str">
        <f t="shared" si="99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10:35:22"},{"id":29,"name":"Sharepoint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3" spans="1:40" x14ac:dyDescent="0.25">
      <c r="A213" s="32" t="s">
        <v>663</v>
      </c>
      <c r="B213" s="7">
        <v>4020</v>
      </c>
      <c r="C213" s="21" t="s">
        <v>204</v>
      </c>
      <c r="D213" s="21" t="s">
        <v>355</v>
      </c>
      <c r="E213" s="13">
        <v>42886.047395833331</v>
      </c>
      <c r="F213" s="13">
        <v>42886.048692129632</v>
      </c>
      <c r="G213" s="7">
        <v>0</v>
      </c>
      <c r="H213" s="21" t="s">
        <v>424</v>
      </c>
      <c r="I213" s="13">
        <v>42886.05841435185</v>
      </c>
      <c r="J213" s="7">
        <v>0</v>
      </c>
      <c r="K213" s="92" t="str">
        <f t="shared" si="86"/>
        <v>4019/4020</v>
      </c>
      <c r="L213" s="21" t="str">
        <f>VLOOKUP(A213,'Trips&amp;Operators'!$C$1:$G$99999,5,FALSE)</f>
        <v>SMITH MICHAEL</v>
      </c>
      <c r="M213" s="6">
        <f t="shared" si="87"/>
        <v>9.7222222175332718E-3</v>
      </c>
      <c r="N213" s="7">
        <f t="shared" si="83"/>
        <v>13.999999993247911</v>
      </c>
      <c r="O213" s="7"/>
      <c r="P213" s="7"/>
      <c r="Q213" s="22"/>
      <c r="R213" s="173"/>
      <c r="S213" s="176">
        <f t="shared" si="100"/>
        <v>1</v>
      </c>
      <c r="T213" s="202" t="str">
        <f t="shared" si="88"/>
        <v>NorthBound</v>
      </c>
      <c r="U213" s="202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03" t="str">
        <f t="shared" si="89"/>
        <v>https://d0f6bd738d7f1b3e5a7ca70fe4ff75f0.us-east-1.aws.found.io/app/kibana#/discover/Steve-Slow-Train-Analysis-(2080s-and-2083s)?_g=(refreshInterval:(display:Off,pause:!f,section:0,value:0),time:(from:'2017-05-31T00:08:15-0600',mode:absolute,to:'2017-05-31T02:24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13" s="204" t="str">
        <f t="shared" si="90"/>
        <v>Y</v>
      </c>
      <c r="X213" s="204">
        <f t="shared" si="82"/>
        <v>1</v>
      </c>
      <c r="Y213" s="204">
        <f t="shared" si="84"/>
        <v>4.6600000000000003E-2</v>
      </c>
      <c r="Z213" s="204">
        <f t="shared" si="85"/>
        <v>2.3308</v>
      </c>
      <c r="AA213" s="204">
        <f t="shared" si="91"/>
        <v>2.2841999999999998</v>
      </c>
      <c r="AB213" s="57" t="e">
        <f>VLOOKUP(A213,Enforcements!$C$7:$K$13,8,0)</f>
        <v>#N/A</v>
      </c>
      <c r="AC213" s="53" t="e">
        <f>VLOOKUP(A213,Enforcements!$C$7:$E$13,3,0)</f>
        <v>#N/A</v>
      </c>
      <c r="AD213" s="54" t="str">
        <f t="shared" si="92"/>
        <v>0309-30</v>
      </c>
      <c r="AE213" s="80" t="str">
        <f t="shared" si="93"/>
        <v>aws s3 cp s3://rtdc.mdm.uploadarchive.raw/RTDC4020/ "%USERPROFILE%\AppData\Local\Temp\OnboardLogs"\RTDC4020\2017-05-31 --exclude "*" --recursive --include "*20170531*" &amp; "%USERPROFILE%\Documents\GitHub\mrs-test-scripts\Headless Mode &amp; Sideloading\WalkAndUnGZ.bat" "%USERPROFILE%\AppData\Local\Temp\OnboardLogs"\RTDC4020\2017-05-31 &amp; aws s3 cp s3://rtdc.mdm.uploadarchive.raw/RTDC4020/ "%USERPROFILE%\AppData\Local\Temp\OnboardLogs"\RTDC4020\2017-06-01 --exclude "*" --recursive --include "*20170601*" &amp; "%USERPROFILE%\Documents\GitHub\mrs-test-scripts\Headless Mode &amp; Sideloading\WalkAndUnGZ.bat" "%USERPROFILE%\AppData\Local\Temp\OnboardLogs"\RTDC4020\2017-06-01</v>
      </c>
      <c r="AF213" s="77" t="str">
        <f t="shared" si="94"/>
        <v>"C:\Program Files (x86)\AstroGrep\AstroGrep.exe" /e /r /s /spath="%USERPROFILE%\AppData\Local\Temp\OnboardLogs" /stypes="app*4020*20170531*" /stext=" 07:.+((SYSTEM_STATE.+slice.+state.+changed )|(ment ac)|(multiple cpu faults)|(system.+state.+changed )|(\[timeout)|(PRM\|1\|D)|(kpr)|(kdp)|(train st.+moving)|(\|lc)|(penalty))"</v>
      </c>
      <c r="AG213" s="1" t="str">
        <f t="shared" si="95"/>
        <v>Other</v>
      </c>
      <c r="AH213" s="81" t="str">
        <f t="shared" si="96"/>
        <v>"%USERPROFILE%\Documents\GitHub\eaglep3\Utilities\RefineRTDCRunTimes.py" --tripid 309-30 --locoid 4020 --swversion DE.1.0.9.0 --startMP 204:466 --initTime 2017-05-31T01:08:15 --startdatetime 2017-05-31T01:10:07 --delay 0 --endMP 300:23308 --enddatetime 2017-05-31T01:24:07 --enforcementcount 0 &gt;&gt;C:\Users\stu\Documents\GitHub\eaglep3-reporting\EC\2017-05-30-refined-times.txt</v>
      </c>
      <c r="AI213" s="99" t="str">
        <f t="shared" si="97"/>
        <v>echo {"issue":{"subject":"","project_id":79,"tracker_id":40,"status_id":1,"priority_id":2,"assigned_to_id":23,"start_date":"2017-05-31","description":"","custom_fields":[{"id":1,"name":"Subdivision","value":"Other"},{"id":4,"name":"Milepost","value":"2.3308"},{"id":17,"name":"Train ID","value":"309-30"},{"id":16,"name":"Locomotive ID","value":"4020"},{"id":130,"name":"Impact","value":""},{"id":150,"name":"Time of Event (Mountain Time)","value":"01:24:07"},{"id":151,"name":"Denver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5" t="str">
        <f t="shared" si="98"/>
        <v>start /low /b %USERPROFILE%\Documents\GitHub\eaglep3\Utilities\DownloadLogsFromS3.py --loco 4020 --day 2017-05-31</v>
      </c>
      <c r="AN213" s="154" t="str">
        <f t="shared" si="99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07:24:07"},{"id":29,"name":"Sharepoint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4" spans="1:40" x14ac:dyDescent="0.25">
      <c r="A214" s="32" t="s">
        <v>636</v>
      </c>
      <c r="B214" s="7">
        <v>4055</v>
      </c>
      <c r="C214" s="21" t="s">
        <v>204</v>
      </c>
      <c r="D214" s="21" t="s">
        <v>929</v>
      </c>
      <c r="E214" s="13">
        <v>42885.198217592595</v>
      </c>
      <c r="F214" s="13">
        <v>42885.200914351852</v>
      </c>
      <c r="G214" s="7">
        <v>3</v>
      </c>
      <c r="H214" s="21" t="s">
        <v>353</v>
      </c>
      <c r="I214" s="13">
        <v>42885.207280092596</v>
      </c>
      <c r="J214" s="7">
        <v>0</v>
      </c>
      <c r="K214" s="92" t="str">
        <f t="shared" si="86"/>
        <v>4055/4056</v>
      </c>
      <c r="L214" s="21" t="str">
        <f>VLOOKUP(A214,'Trips&amp;Operators'!$C$1:$G$99999,5,FALSE)</f>
        <v>BIRENBAUM THOMAS</v>
      </c>
      <c r="M214" s="6">
        <f t="shared" si="87"/>
        <v>6.3657407445134595E-3</v>
      </c>
      <c r="N214" s="7">
        <f t="shared" si="83"/>
        <v>9.1666666720993817</v>
      </c>
      <c r="O214" s="7"/>
      <c r="P214" s="7"/>
      <c r="Q214" s="22"/>
      <c r="R214" s="173"/>
      <c r="S214" s="176">
        <f t="shared" si="100"/>
        <v>1</v>
      </c>
      <c r="T214" s="202" t="str">
        <f t="shared" si="88"/>
        <v>Southbound</v>
      </c>
      <c r="U214" s="202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03" t="str">
        <f t="shared" si="89"/>
        <v>https://d0f6bd738d7f1b3e5a7ca70fe4ff75f0.us-east-1.aws.found.io/app/kibana#/discover/Steve-Slow-Train-Analysis-(2080s-and-2083s)?_g=(refreshInterval:(display:Off,pause:!f,section:0,value:0),time:(from:'2017-05-30T03:45:26-0600',mode:absolute,to:'2017-05-30T05:58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14" s="204" t="str">
        <f t="shared" si="90"/>
        <v>Y</v>
      </c>
      <c r="X214" s="204">
        <f t="shared" si="82"/>
        <v>1</v>
      </c>
      <c r="Y214" s="204">
        <f t="shared" si="84"/>
        <v>2.3677000000000001</v>
      </c>
      <c r="Z214" s="204">
        <f t="shared" si="85"/>
        <v>1.49E-2</v>
      </c>
      <c r="AA214" s="204">
        <f t="shared" si="91"/>
        <v>2.3528000000000002</v>
      </c>
      <c r="AB214" s="57" t="e">
        <f>VLOOKUP(A214,Enforcements!$C$7:$K$13,8,0)</f>
        <v>#N/A</v>
      </c>
      <c r="AC214" s="53" t="e">
        <f>VLOOKUP(A214,Enforcements!$C$7:$E$13,3,0)</f>
        <v>#N/A</v>
      </c>
      <c r="AD214" s="54" t="str">
        <f t="shared" si="92"/>
        <v>0310-30</v>
      </c>
      <c r="AE214" s="80" t="str">
        <f t="shared" si="93"/>
        <v>aws s3 cp s3://rtdc.mdm.uploadarchive.raw/RTDC4055/ "%USERPROFILE%\AppData\Local\Temp\OnboardLogs"\RTDC4055\2017-05-30 --exclude "*" --recursive --include "*20170530*" &amp; "%USERPROFILE%\Documents\GitHub\mrs-test-scripts\Headless Mode &amp; Sideloading\WalkAndUnGZ.bat" "%USERPROFILE%\AppData\Local\Temp\OnboardLogs"\RTDC4055\2017-05-30 &amp; aws s3 cp s3://rtdc.mdm.uploadarchive.raw/RTDC4055/ "%USERPROFILE%\AppData\Local\Temp\OnboardLogs"\RTDC4055\2017-05-31 --exclude "*" --recursive --include "*20170531*" &amp; "%USERPROFILE%\Documents\GitHub\mrs-test-scripts\Headless Mode &amp; Sideloading\WalkAndUnGZ.bat" "%USERPROFILE%\AppData\Local\Temp\OnboardLogs"\RTDC4055\2017-05-31</v>
      </c>
      <c r="AF214" s="77" t="str">
        <f t="shared" si="94"/>
        <v>"C:\Program Files (x86)\AstroGrep\AstroGrep.exe" /e /r /s /spath="%USERPROFILE%\AppData\Local\Temp\OnboardLogs" /stypes="app*4055*20170530*" /stext=" 10:.+((SYSTEM_STATE.+slice.+state.+changed )|(ment ac)|(multiple cpu faults)|(system.+state.+changed )|(\[timeout)|(PRM\|1\|D)|(kpr)|(kdp)|(train st.+moving)|(\|lc)|(penalty))"</v>
      </c>
      <c r="AG214" s="1" t="str">
        <f t="shared" si="95"/>
        <v>Other</v>
      </c>
      <c r="AH214" s="81" t="str">
        <f t="shared" si="96"/>
        <v>"%USERPROFILE%\Documents\GitHub\eaglep3\Utilities\RefineRTDCRunTimes.py" --tripid 310-30 --locoid 4055 --swversion DE.1.0.9.0 --startMP 300:23677 --initTime 2017-05-30T04:45:26 --startdatetime 2017-05-30T04:49:19 --delay 3 --endMP 204:149 --enddatetime 2017-05-30T04:58:29 --enforcementcount 0 &gt;&gt;C:\Users\stu\Documents\GitHub\eaglep3-reporting\EC\2017-05-30-refined-times.txt</v>
      </c>
      <c r="AI214" s="99" t="str">
        <f t="shared" si="97"/>
        <v>echo {"issue":{"subject":"","project_id":79,"tracker_id":40,"status_id":1,"priority_id":2,"assigned_to_id":23,"start_date":"2017-05-30","description":"","custom_fields":[{"id":1,"name":"Subdivision","value":"Other"},{"id":4,"name":"Milepost","value":"0.0149"},{"id":17,"name":"Train ID","value":"310-30"},{"id":16,"name":"Locomotive ID","value":"4055"},{"id":130,"name":"Impact","value":""},{"id":150,"name":"Time of Event (Mountain Time)","value":"04:58:29"},{"id":151,"name":"Denver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5" t="str">
        <f t="shared" si="98"/>
        <v>start /low /b %USERPROFILE%\Documents\GitHub\eaglep3\Utilities\DownloadLogsFromS3.py --loco 4055 --day 2017-05-30</v>
      </c>
      <c r="AN214" s="154" t="str">
        <f t="shared" si="99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10:58:29"},{"id":29,"name":"Sharepoint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5" spans="1:40" x14ac:dyDescent="0.25">
      <c r="A215" s="32" t="s">
        <v>867</v>
      </c>
      <c r="B215" s="7">
        <v>4018</v>
      </c>
      <c r="C215" s="21" t="s">
        <v>204</v>
      </c>
      <c r="D215" s="21" t="s">
        <v>495</v>
      </c>
      <c r="E215" s="13">
        <v>42886.071574074071</v>
      </c>
      <c r="F215" s="13">
        <v>42886.072939814818</v>
      </c>
      <c r="G215" s="7">
        <v>1</v>
      </c>
      <c r="H215" s="21" t="s">
        <v>357</v>
      </c>
      <c r="I215" s="13">
        <v>42886.083553240744</v>
      </c>
      <c r="J215" s="7">
        <v>0</v>
      </c>
      <c r="K215" s="92" t="str">
        <f t="shared" si="86"/>
        <v>4017/4018</v>
      </c>
      <c r="L215" s="21" t="str">
        <f>VLOOKUP(A215,'Trips&amp;Operators'!$C$1:$G$99999,5,FALSE)</f>
        <v>FORTUNATO FRANK</v>
      </c>
      <c r="M215" s="6">
        <f t="shared" si="87"/>
        <v>1.0613425925839692E-2</v>
      </c>
      <c r="N215" s="7">
        <f t="shared" si="83"/>
        <v>15.283333333209157</v>
      </c>
      <c r="O215" s="7"/>
      <c r="P215" s="7"/>
      <c r="Q215" s="22"/>
      <c r="R215" s="173"/>
      <c r="S215" s="176">
        <f t="shared" si="100"/>
        <v>1</v>
      </c>
      <c r="T215" s="202" t="str">
        <f t="shared" si="88"/>
        <v>NorthBound</v>
      </c>
      <c r="U215" s="202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03" t="str">
        <f t="shared" si="89"/>
        <v>https://d0f6bd738d7f1b3e5a7ca70fe4ff75f0.us-east-1.aws.found.io/app/kibana#/discover/Steve-Slow-Train-Analysis-(2080s-and-2083s)?_g=(refreshInterval:(display:Off,pause:!f,section:0,value:0),time:(from:'2017-05-31T00:43:04-0600',mode:absolute,to:'2017-05-31T03:00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15" s="204" t="str">
        <f t="shared" si="90"/>
        <v>Y</v>
      </c>
      <c r="X215" s="204">
        <f t="shared" si="82"/>
        <v>1</v>
      </c>
      <c r="Y215" s="204">
        <f t="shared" si="84"/>
        <v>4.3999999999999997E-2</v>
      </c>
      <c r="Z215" s="204">
        <f t="shared" si="85"/>
        <v>2.3346</v>
      </c>
      <c r="AA215" s="204">
        <f t="shared" si="91"/>
        <v>2.2906</v>
      </c>
      <c r="AB215" s="57" t="e">
        <f>VLOOKUP(A215,Enforcements!$C$7:$K$13,8,0)</f>
        <v>#N/A</v>
      </c>
      <c r="AC215" s="53" t="e">
        <f>VLOOKUP(A215,Enforcements!$C$7:$E$13,3,0)</f>
        <v>#N/A</v>
      </c>
      <c r="AD215" s="54" t="str">
        <f t="shared" si="92"/>
        <v>0311-30</v>
      </c>
      <c r="AE215" s="80" t="str">
        <f t="shared" si="93"/>
        <v>aws s3 cp s3://rtdc.mdm.uploadarchive.raw/RTDC4018/ "%USERPROFILE%\AppData\Local\Temp\OnboardLogs"\RTDC4018\2017-05-31 --exclude "*" --recursive --include "*20170531*" &amp; "%USERPROFILE%\Documents\GitHub\mrs-test-scripts\Headless Mode &amp; Sideloading\WalkAndUnGZ.bat" "%USERPROFILE%\AppData\Local\Temp\OnboardLogs"\RTDC4018\2017-05-31 &amp; aws s3 cp s3://rtdc.mdm.uploadarchive.raw/RTDC4018/ "%USERPROFILE%\AppData\Local\Temp\OnboardLogs"\RTDC4018\2017-06-01 --exclude "*" --recursive --include "*20170601*" &amp; "%USERPROFILE%\Documents\GitHub\mrs-test-scripts\Headless Mode &amp; Sideloading\WalkAndUnGZ.bat" "%USERPROFILE%\AppData\Local\Temp\OnboardLogs"\RTDC4018\2017-06-01</v>
      </c>
      <c r="AF215" s="77" t="str">
        <f t="shared" si="94"/>
        <v>"C:\Program Files (x86)\AstroGrep\AstroGrep.exe" /e /r /s /spath="%USERPROFILE%\AppData\Local\Temp\OnboardLogs" /stypes="app*4018*20170531*" /stext=" 08:.+((SYSTEM_STATE.+slice.+state.+changed )|(ment ac)|(multiple cpu faults)|(system.+state.+changed )|(\[timeout)|(PRM\|1\|D)|(kpr)|(kdp)|(train st.+moving)|(\|lc)|(penalty))"</v>
      </c>
      <c r="AG215" s="1" t="str">
        <f t="shared" si="95"/>
        <v>Other</v>
      </c>
      <c r="AH215" s="81" t="str">
        <f t="shared" si="96"/>
        <v>"%USERPROFILE%\Documents\GitHub\eaglep3\Utilities\RefineRTDCRunTimes.py" --tripid 311-30 --locoid 4018 --swversion DE.1.0.9.0 --startMP 204:440 --initTime 2017-05-31T01:43:04 --startdatetime 2017-05-31T01:45:02 --delay 1 --endMP 300:23346 --enddatetime 2017-05-31T02:00:19 --enforcementcount 0 &gt;&gt;C:\Users\stu\Documents\GitHub\eaglep3-reporting\EC\2017-05-30-refined-times.txt</v>
      </c>
      <c r="AI215" s="99" t="str">
        <f t="shared" si="97"/>
        <v>echo {"issue":{"subject":"","project_id":79,"tracker_id":40,"status_id":1,"priority_id":2,"assigned_to_id":23,"start_date":"2017-05-31","description":"","custom_fields":[{"id":1,"name":"Subdivision","value":"Other"},{"id":4,"name":"Milepost","value":"2.3346"},{"id":17,"name":"Train ID","value":"311-30"},{"id":16,"name":"Locomotive ID","value":"4018"},{"id":130,"name":"Impact","value":""},{"id":150,"name":"Time of Event (Mountain Time)","value":"02:00:19"},{"id":151,"name":"Denver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5" t="str">
        <f t="shared" si="98"/>
        <v>start /low /b %USERPROFILE%\Documents\GitHub\eaglep3\Utilities\DownloadLogsFromS3.py --loco 4018 --day 2017-05-31</v>
      </c>
      <c r="AN215" s="154" t="str">
        <f t="shared" si="99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08:00:19"},{"id":29,"name":"Sharepoint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6" spans="1:40" x14ac:dyDescent="0.25">
      <c r="A216" s="32" t="s">
        <v>686</v>
      </c>
      <c r="B216" s="7">
        <v>4015</v>
      </c>
      <c r="C216" s="21" t="s">
        <v>204</v>
      </c>
      <c r="D216" s="21" t="s">
        <v>930</v>
      </c>
      <c r="E216" s="13">
        <v>42885.218101851853</v>
      </c>
      <c r="F216" s="13">
        <v>42885.224895833337</v>
      </c>
      <c r="G216" s="7">
        <v>9</v>
      </c>
      <c r="H216" s="21" t="s">
        <v>463</v>
      </c>
      <c r="I216" s="13">
        <v>42885.231249999997</v>
      </c>
      <c r="J216" s="7">
        <v>0</v>
      </c>
      <c r="K216" s="92" t="str">
        <f t="shared" si="86"/>
        <v>4015/4016</v>
      </c>
      <c r="L216" s="21" t="str">
        <f>VLOOKUP(A216,'Trips&amp;Operators'!$C$1:$G$99999,5,FALSE)</f>
        <v>DAVIDSON DAVID</v>
      </c>
      <c r="M216" s="6">
        <f t="shared" si="87"/>
        <v>6.3541666604578495E-3</v>
      </c>
      <c r="N216" s="7">
        <f t="shared" si="83"/>
        <v>9.1499999910593033</v>
      </c>
      <c r="O216" s="7"/>
      <c r="P216" s="7"/>
      <c r="Q216" s="22"/>
      <c r="R216" s="173"/>
      <c r="S216" s="176">
        <f t="shared" si="100"/>
        <v>1</v>
      </c>
      <c r="T216" s="202" t="str">
        <f t="shared" si="88"/>
        <v>Southbound</v>
      </c>
      <c r="U216" s="202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03" t="str">
        <f t="shared" si="89"/>
        <v>https://d0f6bd738d7f1b3e5a7ca70fe4ff75f0.us-east-1.aws.found.io/app/kibana#/discover/Steve-Slow-Train-Analysis-(2080s-and-2083s)?_g=(refreshInterval:(display:Off,pause:!f,section:0,value:0),time:(from:'2017-05-30T04:14:04-0600',mode:absolute,to:'2017-05-30T06:33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16" s="204" t="str">
        <f t="shared" si="90"/>
        <v>Y</v>
      </c>
      <c r="X216" s="204">
        <f t="shared" si="82"/>
        <v>1</v>
      </c>
      <c r="Y216" s="204">
        <f t="shared" si="84"/>
        <v>2.3384999999999998</v>
      </c>
      <c r="Z216" s="204">
        <f t="shared" si="85"/>
        <v>1.4500000000000001E-2</v>
      </c>
      <c r="AA216" s="204">
        <f t="shared" si="91"/>
        <v>2.3239999999999998</v>
      </c>
      <c r="AB216" s="57" t="e">
        <f>VLOOKUP(A216,Enforcements!$C$7:$K$13,8,0)</f>
        <v>#N/A</v>
      </c>
      <c r="AC216" s="53" t="e">
        <f>VLOOKUP(A216,Enforcements!$C$7:$E$13,3,0)</f>
        <v>#N/A</v>
      </c>
      <c r="AD216" s="54" t="str">
        <f t="shared" si="92"/>
        <v>0312-30</v>
      </c>
      <c r="AE216" s="80" t="str">
        <f t="shared" si="93"/>
        <v>aws s3 cp s3://rtdc.mdm.uploadarchive.raw/RTDC4015/ "%USERPROFILE%\AppData\Local\Temp\OnboardLogs"\RTDC4015\2017-05-30 --exclude "*" --recursive --include "*20170530*" &amp; "%USERPROFILE%\Documents\GitHub\mrs-test-scripts\Headless Mode &amp; Sideloading\WalkAndUnGZ.bat" "%USERPROFILE%\AppData\Local\Temp\OnboardLogs"\RTDC4015\2017-05-30 &amp; aws s3 cp s3://rtdc.mdm.uploadarchive.raw/RTDC4015/ "%USERPROFILE%\AppData\Local\Temp\OnboardLogs"\RTDC4015\2017-05-31 --exclude "*" --recursive --include "*20170531*" &amp; "%USERPROFILE%\Documents\GitHub\mrs-test-scripts\Headless Mode &amp; Sideloading\WalkAndUnGZ.bat" "%USERPROFILE%\AppData\Local\Temp\OnboardLogs"\RTDC4015\2017-05-31</v>
      </c>
      <c r="AF216" s="77" t="str">
        <f t="shared" si="94"/>
        <v>"C:\Program Files (x86)\AstroGrep\AstroGrep.exe" /e /r /s /spath="%USERPROFILE%\AppData\Local\Temp\OnboardLogs" /stypes="app*4015*20170530*" /stext=" 11:.+((SYSTEM_STATE.+slice.+state.+changed )|(ment ac)|(multiple cpu faults)|(system.+state.+changed )|(\[timeout)|(PRM\|1\|D)|(kpr)|(kdp)|(train st.+moving)|(\|lc)|(penalty))"</v>
      </c>
      <c r="AG216" s="1" t="str">
        <f t="shared" si="95"/>
        <v>Other</v>
      </c>
      <c r="AH216" s="81" t="str">
        <f t="shared" si="96"/>
        <v>"%USERPROFILE%\Documents\GitHub\eaglep3\Utilities\RefineRTDCRunTimes.py" --tripid 312-30 --locoid 4015 --swversion DE.1.0.9.0 --startMP 300:23385 --initTime 2017-05-30T05:14:04 --startdatetime 2017-05-30T05:23:51 --delay 9 --endMP 204:145 --enddatetime 2017-05-30T05:33:00 --enforcementcount 0 &gt;&gt;C:\Users\stu\Documents\GitHub\eaglep3-reporting\EC\2017-05-30-refined-times.txt</v>
      </c>
      <c r="AI216" s="99" t="str">
        <f t="shared" si="97"/>
        <v>echo {"issue":{"subject":"","project_id":79,"tracker_id":40,"status_id":1,"priority_id":2,"assigned_to_id":23,"start_date":"2017-05-30","description":"","custom_fields":[{"id":1,"name":"Subdivision","value":"Other"},{"id":4,"name":"Milepost","value":"0.0145"},{"id":17,"name":"Train ID","value":"312-30"},{"id":16,"name":"Locomotive ID","value":"4015"},{"id":130,"name":"Impact","value":""},{"id":150,"name":"Time of Event (Mountain Time)","value":"05:33:00"},{"id":151,"name":"Denver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5" t="str">
        <f t="shared" si="98"/>
        <v>start /low /b %USERPROFILE%\Documents\GitHub\eaglep3\Utilities\DownloadLogsFromS3.py --loco 4015 --day 2017-05-30</v>
      </c>
      <c r="AN216" s="154" t="str">
        <f t="shared" si="99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11:33:00"},{"id":29,"name":"Sharepoint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7" spans="1:40" x14ac:dyDescent="0.25">
      <c r="A217" s="32" t="s">
        <v>583</v>
      </c>
      <c r="B217" s="7">
        <v>4010</v>
      </c>
      <c r="C217" s="21" t="s">
        <v>204</v>
      </c>
      <c r="D217" s="21" t="s">
        <v>200</v>
      </c>
      <c r="E217" s="13">
        <v>42885.090509259258</v>
      </c>
      <c r="F217" s="13">
        <v>42885.092465277776</v>
      </c>
      <c r="G217" s="7">
        <v>1</v>
      </c>
      <c r="H217" s="21" t="s">
        <v>536</v>
      </c>
      <c r="I217" s="13">
        <v>42885.101597222223</v>
      </c>
      <c r="J217" s="7">
        <v>0</v>
      </c>
      <c r="K217" s="92" t="str">
        <f t="shared" si="86"/>
        <v>4009/4010</v>
      </c>
      <c r="L217" s="21" t="str">
        <f>VLOOKUP(A217,'Trips&amp;Operators'!$C$1:$G$99999,5,FALSE)</f>
        <v>GUZMAN DANNY</v>
      </c>
      <c r="M217" s="6">
        <f t="shared" si="87"/>
        <v>9.1319444472901523E-3</v>
      </c>
      <c r="N217" s="7">
        <f t="shared" si="83"/>
        <v>13.150000004097819</v>
      </c>
      <c r="O217" s="7"/>
      <c r="P217" s="7"/>
      <c r="Q217" s="22"/>
      <c r="R217" s="173"/>
      <c r="S217" s="176">
        <f t="shared" si="100"/>
        <v>1</v>
      </c>
      <c r="T217" s="202" t="str">
        <f t="shared" si="88"/>
        <v>NorthBound</v>
      </c>
      <c r="U217" s="202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03" t="str">
        <f t="shared" si="89"/>
        <v>https://d0f6bd738d7f1b3e5a7ca70fe4ff75f0.us-east-1.aws.found.io/app/kibana#/discover/Steve-Slow-Train-Analysis-(2080s-and-2083s)?_g=(refreshInterval:(display:Off,pause:!f,section:0,value:0),time:(from:'2017-05-30T01:10:20-0600',mode:absolute,to:'2017-05-30T03:26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17" s="204" t="str">
        <f t="shared" si="90"/>
        <v>Y</v>
      </c>
      <c r="X217" s="204">
        <f t="shared" si="82"/>
        <v>1</v>
      </c>
      <c r="Y217" s="204">
        <f t="shared" si="84"/>
        <v>4.5699999999999998E-2</v>
      </c>
      <c r="Z217" s="204">
        <f t="shared" si="85"/>
        <v>2.3302</v>
      </c>
      <c r="AA217" s="204">
        <f t="shared" si="91"/>
        <v>2.2845</v>
      </c>
      <c r="AB217" s="57" t="e">
        <f>VLOOKUP(A217,Enforcements!$C$7:$K$13,8,0)</f>
        <v>#N/A</v>
      </c>
      <c r="AC217" s="53" t="e">
        <f>VLOOKUP(A217,Enforcements!$C$7:$E$13,3,0)</f>
        <v>#N/A</v>
      </c>
      <c r="AD217" s="54" t="str">
        <f t="shared" si="92"/>
        <v>0313-29</v>
      </c>
      <c r="AE217" s="80" t="str">
        <f t="shared" si="93"/>
        <v>aws s3 cp s3://rtdc.mdm.uploadarchive.raw/RTDC4010/ "%USERPROFILE%\AppData\Local\Temp\OnboardLogs"\RTDC4010\2017-05-30 --exclude "*" --recursive --include "*20170530*" &amp; "%USERPROFILE%\Documents\GitHub\mrs-test-scripts\Headless Mode &amp; Sideloading\WalkAndUnGZ.bat" "%USERPROFILE%\AppData\Local\Temp\OnboardLogs"\RTDC4010\2017-05-30 &amp; aws s3 cp s3://rtdc.mdm.uploadarchive.raw/RTDC4010/ "%USERPROFILE%\AppData\Local\Temp\OnboardLogs"\RTDC4010\2017-05-31 --exclude "*" --recursive --include "*20170531*" &amp; "%USERPROFILE%\Documents\GitHub\mrs-test-scripts\Headless Mode &amp; Sideloading\WalkAndUnGZ.bat" "%USERPROFILE%\AppData\Local\Temp\OnboardLogs"\RTDC4010\2017-05-31</v>
      </c>
      <c r="AF217" s="77" t="str">
        <f t="shared" si="94"/>
        <v>"C:\Program Files (x86)\AstroGrep\AstroGrep.exe" /e /r /s /spath="%USERPROFILE%\AppData\Local\Temp\OnboardLogs" /stypes="app*4010*20170530*" /stext=" 08:.+((SYSTEM_STATE.+slice.+state.+changed )|(ment ac)|(multiple cpu faults)|(system.+state.+changed )|(\[timeout)|(PRM\|1\|D)|(kpr)|(kdp)|(train st.+moving)|(\|lc)|(penalty))"</v>
      </c>
      <c r="AG217" s="1" t="str">
        <f t="shared" si="95"/>
        <v>Other</v>
      </c>
      <c r="AH217" s="81" t="str">
        <f t="shared" si="96"/>
        <v>"%USERPROFILE%\Documents\GitHub\eaglep3\Utilities\RefineRTDCRunTimes.py" --tripid 313-29 --locoid 4010 --swversion DE.1.0.9.0 --startMP 204:457 --initTime 2017-05-30T02:10:20 --startdatetime 2017-05-30T02:13:09 --delay 1 --endMP 300:23302 --enddatetime 2017-05-30T02:26:18 --enforcementcount 0 &gt;&gt;C:\Users\stu\Documents\GitHub\eaglep3-reporting\EC\2017-05-30-refined-times.txt</v>
      </c>
      <c r="AI217" s="99" t="str">
        <f t="shared" si="97"/>
        <v>echo {"issue":{"subject":"","project_id":79,"tracker_id":40,"status_id":1,"priority_id":2,"assigned_to_id":23,"start_date":"2017-05-30","description":"","custom_fields":[{"id":1,"name":"Subdivision","value":"Other"},{"id":4,"name":"Milepost","value":"2.3302"},{"id":17,"name":"Train ID","value":"313-29"},{"id":16,"name":"Locomotive ID","value":"4010"},{"id":130,"name":"Impact","value":""},{"id":150,"name":"Time of Event (Mountain Time)","value":"02:26:18"},{"id":151,"name":"Denver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5" t="str">
        <f t="shared" si="98"/>
        <v>start /low /b %USERPROFILE%\Documents\GitHub\eaglep3\Utilities\DownloadLogsFromS3.py --loco 4010 --day 2017-05-30</v>
      </c>
      <c r="AN217" s="154" t="str">
        <f t="shared" si="99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08:26:18"},{"id":29,"name":"Sharepoint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8" spans="1:40" x14ac:dyDescent="0.25">
      <c r="A218" s="32" t="s">
        <v>868</v>
      </c>
      <c r="B218" s="7">
        <v>4026</v>
      </c>
      <c r="C218" s="21" t="s">
        <v>204</v>
      </c>
      <c r="D218" s="21" t="s">
        <v>200</v>
      </c>
      <c r="E218" s="13">
        <v>42886.090694444443</v>
      </c>
      <c r="F218" s="13">
        <v>42886.092048611114</v>
      </c>
      <c r="G218" s="7">
        <v>1</v>
      </c>
      <c r="H218" s="21" t="s">
        <v>357</v>
      </c>
      <c r="I218" s="13">
        <v>42886.101574074077</v>
      </c>
      <c r="J218" s="7">
        <v>0</v>
      </c>
      <c r="K218" s="92" t="str">
        <f t="shared" si="86"/>
        <v>4025/4026</v>
      </c>
      <c r="L218" s="21" t="str">
        <f>VLOOKUP(A218,'Trips&amp;Operators'!$C$1:$G$99999,5,FALSE)</f>
        <v>SULLIVAN BRANDON</v>
      </c>
      <c r="M218" s="6">
        <f t="shared" si="87"/>
        <v>9.5254629632108845E-3</v>
      </c>
      <c r="N218" s="7">
        <f t="shared" si="83"/>
        <v>13.716666667023674</v>
      </c>
      <c r="O218" s="7"/>
      <c r="P218" s="7"/>
      <c r="Q218" s="22"/>
      <c r="R218" s="173"/>
      <c r="S218" s="176">
        <f t="shared" si="100"/>
        <v>1</v>
      </c>
      <c r="T218" s="202" t="str">
        <f t="shared" si="88"/>
        <v>NorthBound</v>
      </c>
      <c r="U218" s="202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03" t="str">
        <f t="shared" si="89"/>
        <v>https://d0f6bd738d7f1b3e5a7ca70fe4ff75f0.us-east-1.aws.found.io/app/kibana#/discover/Steve-Slow-Train-Analysis-(2080s-and-2083s)?_g=(refreshInterval:(display:Off,pause:!f,section:0,value:0),time:(from:'2017-05-31T01:10:36-0600',mode:absolute,to:'2017-05-31T03:26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18" s="204" t="str">
        <f t="shared" si="90"/>
        <v>Y</v>
      </c>
      <c r="X218" s="204">
        <f t="shared" si="82"/>
        <v>0</v>
      </c>
      <c r="Y218" s="204">
        <f t="shared" si="84"/>
        <v>4.5699999999999998E-2</v>
      </c>
      <c r="Z218" s="204">
        <f t="shared" si="85"/>
        <v>2.3346</v>
      </c>
      <c r="AA218" s="204">
        <f t="shared" si="91"/>
        <v>2.2888999999999999</v>
      </c>
      <c r="AB218" s="57" t="e">
        <f>VLOOKUP(A218,Enforcements!$C$7:$K$13,8,0)</f>
        <v>#N/A</v>
      </c>
      <c r="AC218" s="53" t="e">
        <f>VLOOKUP(A218,Enforcements!$C$7:$E$13,3,0)</f>
        <v>#N/A</v>
      </c>
      <c r="AD218" s="54" t="str">
        <f t="shared" si="92"/>
        <v>0313-30</v>
      </c>
      <c r="AE218" s="80" t="str">
        <f t="shared" si="93"/>
        <v>aws s3 cp s3://rtdc.mdm.uploadarchive.raw/RTDC4026/ "%USERPROFILE%\AppData\Local\Temp\OnboardLogs"\RTDC4026\2017-05-31 --exclude "*" --recursive --include "*20170531*" &amp; "%USERPROFILE%\Documents\GitHub\mrs-test-scripts\Headless Mode &amp; Sideloading\WalkAndUnGZ.bat" "%USERPROFILE%\AppData\Local\Temp\OnboardLogs"\RTDC4026\2017-05-31 &amp; aws s3 cp s3://rtdc.mdm.uploadarchive.raw/RTDC4026/ "%USERPROFILE%\AppData\Local\Temp\OnboardLogs"\RTDC4026\2017-06-01 --exclude "*" --recursive --include "*20170601*" &amp; "%USERPROFILE%\Documents\GitHub\mrs-test-scripts\Headless Mode &amp; Sideloading\WalkAndUnGZ.bat" "%USERPROFILE%\AppData\Local\Temp\OnboardLogs"\RTDC4026\2017-06-01</v>
      </c>
      <c r="AF218" s="77" t="str">
        <f t="shared" si="94"/>
        <v>"C:\Program Files (x86)\AstroGrep\AstroGrep.exe" /e /r /s /spath="%USERPROFILE%\AppData\Local\Temp\OnboardLogs" /stypes="app*4026*20170531*" /stext=" 08:.+((SYSTEM_STATE.+slice.+state.+changed )|(ment ac)|(multiple cpu faults)|(system.+state.+changed )|(\[timeout)|(PRM\|1\|D)|(kpr)|(kdp)|(train st.+moving)|(\|lc)|(penalty))"</v>
      </c>
      <c r="AG218" s="1" t="str">
        <f t="shared" si="95"/>
        <v>Other</v>
      </c>
      <c r="AH218" s="81" t="str">
        <f t="shared" si="96"/>
        <v>"%USERPROFILE%\Documents\GitHub\eaglep3\Utilities\RefineRTDCRunTimes.py" --tripid 313-30 --locoid 4026 --swversion DE.1.0.9.0 --startMP 204:457 --initTime 2017-05-31T02:10:36 --startdatetime 2017-05-31T02:12:33 --delay 1 --endMP 300:23346 --enddatetime 2017-05-31T02:26:16 --enforcementcount 0 &gt;&gt;C:\Users\stu\Documents\GitHub\eaglep3-reporting\EC\2017-05-30-refined-times.txt</v>
      </c>
      <c r="AI218" s="99" t="str">
        <f t="shared" si="97"/>
        <v>echo {"issue":{"subject":"","project_id":79,"tracker_id":40,"status_id":1,"priority_id":2,"assigned_to_id":23,"start_date":"2017-05-31","description":"","custom_fields":[{"id":1,"name":"Subdivision","value":"Other"},{"id":4,"name":"Milepost","value":"2.3346"},{"id":17,"name":"Train ID","value":"313-30"},{"id":16,"name":"Locomotive ID","value":"4026"},{"id":130,"name":"Impact","value":""},{"id":150,"name":"Time of Event (Mountain Time)","value":"02:26:16"},{"id":151,"name":"Denver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5" t="str">
        <f t="shared" si="98"/>
        <v>start /low /b %USERPROFILE%\Documents\GitHub\eaglep3\Utilities\DownloadLogsFromS3.py --loco 4026 --day 2017-05-31</v>
      </c>
      <c r="AN218" s="154" t="str">
        <f t="shared" si="99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08:26:16"},{"id":29,"name":"Sharepoint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9" spans="1:40" x14ac:dyDescent="0.25">
      <c r="A219" s="32" t="s">
        <v>680</v>
      </c>
      <c r="B219" s="7">
        <v>4042</v>
      </c>
      <c r="C219" s="21" t="s">
        <v>204</v>
      </c>
      <c r="D219" s="21" t="s">
        <v>983</v>
      </c>
      <c r="E219" s="13">
        <v>42885.195532407408</v>
      </c>
      <c r="F219" s="13">
        <v>42885.200231481482</v>
      </c>
      <c r="G219" s="7">
        <v>6</v>
      </c>
      <c r="H219" s="21" t="s">
        <v>632</v>
      </c>
      <c r="I219" s="13">
        <v>42885.205937500003</v>
      </c>
      <c r="J219" s="7">
        <v>0</v>
      </c>
      <c r="K219" s="92" t="str">
        <f t="shared" si="86"/>
        <v>4041/4042</v>
      </c>
      <c r="L219" s="21" t="str">
        <f>VLOOKUP(A219,'Trips&amp;Operators'!$C$1:$G$99999,5,FALSE)</f>
        <v>LAMAR NEKESHA</v>
      </c>
      <c r="M219" s="6">
        <f t="shared" si="87"/>
        <v>5.7060185208683833E-3</v>
      </c>
      <c r="N219" s="7">
        <f t="shared" si="83"/>
        <v>8.216666670050472</v>
      </c>
      <c r="O219" s="7"/>
      <c r="P219" s="7"/>
      <c r="Q219" s="22"/>
      <c r="R219" s="173"/>
      <c r="S219" s="176">
        <f t="shared" si="100"/>
        <v>0</v>
      </c>
      <c r="T219" s="202" t="str">
        <f t="shared" si="88"/>
        <v>NorthBound</v>
      </c>
      <c r="U219" s="202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203" t="str">
        <f t="shared" si="89"/>
        <v>https://d0f6bd738d7f1b3e5a7ca70fe4ff75f0.us-east-1.aws.found.io/app/kibana#/discover/Steve-Slow-Train-Analysis-(2080s-and-2083s)?_g=(refreshInterval:(display:Off,pause:!f,section:0,value:0),time:(from:'2017-05-30T03:41:34-0600',mode:absolute,to:'2017-05-30T05:56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9" s="204" t="str">
        <f t="shared" si="90"/>
        <v>Y</v>
      </c>
      <c r="X219" s="204">
        <f t="shared" si="82"/>
        <v>588</v>
      </c>
      <c r="Y219" s="204">
        <f t="shared" si="84"/>
        <v>3.0249999999999999</v>
      </c>
      <c r="Z219" s="204">
        <f t="shared" si="85"/>
        <v>5.8936999999999999</v>
      </c>
      <c r="AA219" s="204">
        <f t="shared" si="91"/>
        <v>2.8687</v>
      </c>
      <c r="AB219" s="57" t="e">
        <f>VLOOKUP(A219,Enforcements!$C$7:$K$13,8,0)</f>
        <v>#N/A</v>
      </c>
      <c r="AC219" s="53" t="e">
        <f>VLOOKUP(A219,Enforcements!$C$7:$E$13,3,0)</f>
        <v>#N/A</v>
      </c>
      <c r="AD219" s="54" t="str">
        <f t="shared" si="92"/>
        <v>0901-30</v>
      </c>
      <c r="AE219" s="80" t="str">
        <f t="shared" si="93"/>
        <v>aws s3 cp s3://rtdc.mdm.uploadarchive.raw/RTDC4042/ "%USERPROFILE%\AppData\Local\Temp\OnboardLogs"\RTDC4042\2017-05-30 --exclude "*" --recursive --include "*20170530*" &amp; "%USERPROFILE%\Documents\GitHub\mrs-test-scripts\Headless Mode &amp; Sideloading\WalkAndUnGZ.bat" "%USERPROFILE%\AppData\Local\Temp\OnboardLogs"\RTDC4042\2017-05-30 &amp; aws s3 cp s3://rtdc.mdm.uploadarchive.raw/RTDC4042/ "%USERPROFILE%\AppData\Local\Temp\OnboardLogs"\RTDC4042\2017-05-31 --exclude "*" --recursive --include "*20170531*" &amp; "%USERPROFILE%\Documents\GitHub\mrs-test-scripts\Headless Mode &amp; Sideloading\WalkAndUnGZ.bat" "%USERPROFILE%\AppData\Local\Temp\OnboardLogs"\RTDC4042\2017-05-31</v>
      </c>
      <c r="AF219" s="77" t="str">
        <f t="shared" si="94"/>
        <v>"C:\Program Files (x86)\AstroGrep\AstroGrep.exe" /e /r /s /spath="%USERPROFILE%\AppData\Local\Temp\OnboardLogs" /stypes="app*4042*20170530*" /stext=" 10:.+((SYSTEM_STATE.+slice.+state.+changed )|(ment ac)|(multiple cpu faults)|(system.+state.+changed )|(\[timeout)|(PRM\|1\|D)|(kpr)|(kdp)|(train st.+moving)|(\|lc)|(penalty))"</v>
      </c>
      <c r="AG219" s="1" t="str">
        <f t="shared" si="95"/>
        <v>Other</v>
      </c>
      <c r="AH219" s="81" t="str">
        <f t="shared" si="96"/>
        <v>"%USERPROFILE%\Documents\GitHub\eaglep3\Utilities\RefineRTDCRunTimes.py" --tripid 901-30 --locoid 4042 --swversion DE.1.0.9.0 --startMP 300:30250 --initTime 2017-05-30T04:41:34 --startdatetime 2017-05-30T04:48:20 --delay 6 --endMP 300:58937 --enddatetime 2017-05-30T04:56:33 --enforcementcount 0 &gt;&gt;C:\Users\stu\Documents\GitHub\eaglep3-reporting\EC\2017-05-30-refined-times.txt</v>
      </c>
      <c r="AI219" s="99" t="str">
        <f t="shared" si="97"/>
        <v>echo {"issue":{"subject":"","project_id":79,"tracker_id":40,"status_id":1,"priority_id":2,"assigned_to_id":23,"start_date":"2017-05-30","description":"","custom_fields":[{"id":1,"name":"Subdivision","value":"Other"},{"id":4,"name":"Milepost","value":"5.8937"},{"id":17,"name":"Train ID","value":"901-30"},{"id":16,"name":"Locomotive ID","value":"4042"},{"id":130,"name":"Impact","value":""},{"id":150,"name":"Time of Event (Mountain Time)","value":"04:56:33"},{"id":151,"name":"Denver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5" t="str">
        <f t="shared" si="98"/>
        <v>start /low /b %USERPROFILE%\Documents\GitHub\eaglep3\Utilities\DownloadLogsFromS3.py --loco 4042 --day 2017-05-30</v>
      </c>
      <c r="AN219" s="154" t="str">
        <f t="shared" si="99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10:56:33"},{"id":29,"name":"Sharepoint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0" spans="1:40" x14ac:dyDescent="0.25">
      <c r="A220" s="32" t="s">
        <v>692</v>
      </c>
      <c r="B220" s="7">
        <v>4049</v>
      </c>
      <c r="C220" s="21" t="s">
        <v>204</v>
      </c>
      <c r="D220" s="21" t="s">
        <v>984</v>
      </c>
      <c r="E220" s="13">
        <v>42885.246736111112</v>
      </c>
      <c r="F220" s="13">
        <v>42885.25099537037</v>
      </c>
      <c r="G220" s="7">
        <v>6</v>
      </c>
      <c r="H220" s="21" t="s">
        <v>965</v>
      </c>
      <c r="I220" s="13">
        <v>42885.256435185183</v>
      </c>
      <c r="J220" s="7">
        <v>0</v>
      </c>
      <c r="K220" s="92" t="str">
        <f t="shared" si="86"/>
        <v>4049/4050</v>
      </c>
      <c r="L220" s="21" t="str">
        <f>VLOOKUP(A220,'Trips&amp;Operators'!$C$1:$G$99999,5,FALSE)</f>
        <v>YANG JAN</v>
      </c>
      <c r="M220" s="6">
        <f t="shared" si="87"/>
        <v>5.4398148131440394E-3</v>
      </c>
      <c r="N220" s="7">
        <f t="shared" ref="N220:N231" si="101">24*60*SUM($M220:$M220)</f>
        <v>7.8333333309274167</v>
      </c>
      <c r="O220" s="7"/>
      <c r="P220" s="7"/>
      <c r="Q220" s="22"/>
      <c r="R220" s="173"/>
      <c r="S220" s="176">
        <f t="shared" si="100"/>
        <v>1</v>
      </c>
      <c r="T220" s="202" t="str">
        <f t="shared" si="88"/>
        <v>Southbound</v>
      </c>
      <c r="U220" s="202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203" t="str">
        <f t="shared" si="89"/>
        <v>https://d0f6bd738d7f1b3e5a7ca70fe4ff75f0.us-east-1.aws.found.io/app/kibana#/discover/Steve-Slow-Train-Analysis-(2080s-and-2083s)?_g=(refreshInterval:(display:Off,pause:!f,section:0,value:0),time:(from:'2017-05-30T04:55:18-0600',mode:absolute,to:'2017-05-30T07:09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20" s="204" t="str">
        <f t="shared" si="90"/>
        <v>Y</v>
      </c>
      <c r="X220" s="204">
        <f t="shared" si="82"/>
        <v>1</v>
      </c>
      <c r="Y220" s="204">
        <f t="shared" ref="Y220:Y231" si="102">RIGHT(D220,LEN(D220)-4)/10000</f>
        <v>2.2277999999999998</v>
      </c>
      <c r="Z220" s="204">
        <f t="shared" ref="Z220:Z231" si="103">RIGHT(H220,LEN(H220)-4)/10000</f>
        <v>6.7299999999999999E-2</v>
      </c>
      <c r="AA220" s="204">
        <f t="shared" si="91"/>
        <v>2.1604999999999999</v>
      </c>
      <c r="AB220" s="57" t="e">
        <f>VLOOKUP(A220,Enforcements!$C$7:$K$13,8,0)</f>
        <v>#N/A</v>
      </c>
      <c r="AC220" s="53" t="e">
        <f>VLOOKUP(A220,Enforcements!$C$7:$E$13,3,0)</f>
        <v>#N/A</v>
      </c>
      <c r="AD220" s="54" t="str">
        <f t="shared" si="92"/>
        <v>0902-30</v>
      </c>
      <c r="AE220" s="80" t="str">
        <f t="shared" si="93"/>
        <v>aws s3 cp s3://rtdc.mdm.uploadarchive.raw/RTDC4049/ "%USERPROFILE%\AppData\Local\Temp\OnboardLogs"\RTDC4049\2017-05-30 --exclude "*" --recursive --include "*20170530*" &amp; "%USERPROFILE%\Documents\GitHub\mrs-test-scripts\Headless Mode &amp; Sideloading\WalkAndUnGZ.bat" "%USERPROFILE%\AppData\Local\Temp\OnboardLogs"\RTDC4049\2017-05-30 &amp; aws s3 cp s3://rtdc.mdm.uploadarchive.raw/RTDC4049/ "%USERPROFILE%\AppData\Local\Temp\OnboardLogs"\RTDC4049\2017-05-31 --exclude "*" --recursive --include "*20170531*" &amp; "%USERPROFILE%\Documents\GitHub\mrs-test-scripts\Headless Mode &amp; Sideloading\WalkAndUnGZ.bat" "%USERPROFILE%\AppData\Local\Temp\OnboardLogs"\RTDC4049\2017-05-31</v>
      </c>
      <c r="AF220" s="77" t="str">
        <f t="shared" si="94"/>
        <v>"C:\Program Files (x86)\AstroGrep\AstroGrep.exe" /e /r /s /spath="%USERPROFILE%\AppData\Local\Temp\OnboardLogs" /stypes="app*4049*20170530*" /stext=" 12:.+((SYSTEM_STATE.+slice.+state.+changed )|(ment ac)|(multiple cpu faults)|(system.+state.+changed )|(\[timeout)|(PRM\|1\|D)|(kpr)|(kdp)|(train st.+moving)|(\|lc)|(penalty))"</v>
      </c>
      <c r="AG220" s="1" t="str">
        <f t="shared" si="95"/>
        <v>Other</v>
      </c>
      <c r="AH220" s="81" t="str">
        <f t="shared" si="96"/>
        <v>"%USERPROFILE%\Documents\GitHub\eaglep3\Utilities\RefineRTDCRunTimes.py" --tripid 902-30 --locoid 4049 --swversion DE.1.0.9.0 --startMP 300:22278 --initTime 2017-05-30T05:55:18 --startdatetime 2017-05-30T06:01:26 --delay 6 --endMP 204:673 --enddatetime 2017-05-30T06:09:16 --enforcementcount 0 &gt;&gt;C:\Users\stu\Documents\GitHub\eaglep3-reporting\EC\2017-05-30-refined-times.txt</v>
      </c>
      <c r="AI220" s="99" t="str">
        <f t="shared" si="97"/>
        <v>echo {"issue":{"subject":"","project_id":79,"tracker_id":40,"status_id":1,"priority_id":2,"assigned_to_id":23,"start_date":"2017-05-30","description":"","custom_fields":[{"id":1,"name":"Subdivision","value":"Other"},{"id":4,"name":"Milepost","value":"0.0673"},{"id":17,"name":"Train ID","value":"902-30"},{"id":16,"name":"Locomotive ID","value":"4049"},{"id":130,"name":"Impact","value":""},{"id":150,"name":"Time of Event (Mountain Time)","value":"06:09:16"},{"id":151,"name":"Denver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5" t="str">
        <f t="shared" si="98"/>
        <v>start /low /b %USERPROFILE%\Documents\GitHub\eaglep3\Utilities\DownloadLogsFromS3.py --loco 4049 --day 2017-05-30</v>
      </c>
      <c r="AN220" s="154" t="str">
        <f t="shared" si="99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12:09:16"},{"id":29,"name":"Sharepoint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1" spans="1:40" x14ac:dyDescent="0.25">
      <c r="A221" s="32" t="s">
        <v>726</v>
      </c>
      <c r="B221" s="7">
        <v>4042</v>
      </c>
      <c r="C221" s="21" t="s">
        <v>204</v>
      </c>
      <c r="D221" s="21" t="s">
        <v>985</v>
      </c>
      <c r="E221" s="13">
        <v>42885.35355324074</v>
      </c>
      <c r="F221" s="13">
        <v>42885.35497685185</v>
      </c>
      <c r="G221" s="7">
        <v>1</v>
      </c>
      <c r="H221" s="21" t="s">
        <v>986</v>
      </c>
      <c r="I221" s="13">
        <v>42885.360381944447</v>
      </c>
      <c r="J221" s="7">
        <v>0</v>
      </c>
      <c r="K221" s="92" t="str">
        <f t="shared" si="86"/>
        <v>4041/4042</v>
      </c>
      <c r="L221" s="21" t="str">
        <f>VLOOKUP(A221,'Trips&amp;Operators'!$C$1:$G$99999,5,FALSE)</f>
        <v>LAMAR NEKESHA</v>
      </c>
      <c r="M221" s="6">
        <f t="shared" si="87"/>
        <v>5.4050925973569974E-3</v>
      </c>
      <c r="N221" s="7">
        <f t="shared" si="101"/>
        <v>7.7833333401940763</v>
      </c>
      <c r="O221" s="7"/>
      <c r="P221" s="7"/>
      <c r="Q221" s="22"/>
      <c r="R221" s="173"/>
      <c r="S221" s="176">
        <f t="shared" si="100"/>
        <v>1</v>
      </c>
      <c r="T221" s="202" t="str">
        <f t="shared" si="88"/>
        <v>NorthBound</v>
      </c>
      <c r="U221" s="202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203" t="str">
        <f t="shared" si="89"/>
        <v>https://d0f6bd738d7f1b3e5a7ca70fe4ff75f0.us-east-1.aws.found.io/app/kibana#/discover/Steve-Slow-Train-Analysis-(2080s-and-2083s)?_g=(refreshInterval:(display:Off,pause:!f,section:0,value:0),time:(from:'2017-05-30T07:29:07-0600',mode:absolute,to:'2017-05-30T09:38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21" s="204" t="str">
        <f t="shared" si="90"/>
        <v>Y</v>
      </c>
      <c r="X221" s="204">
        <f t="shared" si="82"/>
        <v>1</v>
      </c>
      <c r="Y221" s="204">
        <f t="shared" si="102"/>
        <v>0.1048</v>
      </c>
      <c r="Z221" s="204">
        <f t="shared" si="103"/>
        <v>2.4220000000000002</v>
      </c>
      <c r="AA221" s="204">
        <f t="shared" si="91"/>
        <v>2.3172000000000001</v>
      </c>
      <c r="AB221" s="57" t="e">
        <f>VLOOKUP(A221,Enforcements!$C$7:$K$13,8,0)</f>
        <v>#N/A</v>
      </c>
      <c r="AC221" s="53" t="e">
        <f>VLOOKUP(A221,Enforcements!$C$7:$E$13,3,0)</f>
        <v>#N/A</v>
      </c>
      <c r="AD221" s="54" t="str">
        <f t="shared" si="92"/>
        <v>0903-30</v>
      </c>
      <c r="AE221" s="80" t="str">
        <f t="shared" si="93"/>
        <v>aws s3 cp s3://rtdc.mdm.uploadarchive.raw/RTDC4042/ "%USERPROFILE%\AppData\Local\Temp\OnboardLogs"\RTDC4042\2017-05-30 --exclude "*" --recursive --include "*20170530*" &amp; "%USERPROFILE%\Documents\GitHub\mrs-test-scripts\Headless Mode &amp; Sideloading\WalkAndUnGZ.bat" "%USERPROFILE%\AppData\Local\Temp\OnboardLogs"\RTDC4042\2017-05-30 &amp; aws s3 cp s3://rtdc.mdm.uploadarchive.raw/RTDC4042/ "%USERPROFILE%\AppData\Local\Temp\OnboardLogs"\RTDC4042\2017-05-31 --exclude "*" --recursive --include "*20170531*" &amp; "%USERPROFILE%\Documents\GitHub\mrs-test-scripts\Headless Mode &amp; Sideloading\WalkAndUnGZ.bat" "%USERPROFILE%\AppData\Local\Temp\OnboardLogs"\RTDC4042\2017-05-31</v>
      </c>
      <c r="AF221" s="77" t="str">
        <f t="shared" si="94"/>
        <v>"C:\Program Files (x86)\AstroGrep\AstroGrep.exe" /e /r /s /spath="%USERPROFILE%\AppData\Local\Temp\OnboardLogs" /stypes="app*4042*20170530*" /stext=" 14:.+((SYSTEM_STATE.+slice.+state.+changed )|(ment ac)|(multiple cpu faults)|(system.+state.+changed )|(\[timeout)|(PRM\|1\|D)|(kpr)|(kdp)|(train st.+moving)|(\|lc)|(penalty))"</v>
      </c>
      <c r="AG221" s="1" t="str">
        <f t="shared" si="95"/>
        <v>Other</v>
      </c>
      <c r="AH221" s="81" t="str">
        <f t="shared" si="96"/>
        <v>"%USERPROFILE%\Documents\GitHub\eaglep3\Utilities\RefineRTDCRunTimes.py" --tripid 903-30 --locoid 4042 --swversion DE.1.0.9.0 --startMP 204:1048 --initTime 2017-05-30T08:29:07 --startdatetime 2017-05-30T08:31:10 --delay 1 --endMP 300:24220 --enddatetime 2017-05-30T08:38:57 --enforcementcount 0 &gt;&gt;C:\Users\stu\Documents\GitHub\eaglep3-reporting\EC\2017-05-30-refined-times.txt</v>
      </c>
      <c r="AI221" s="99" t="str">
        <f t="shared" si="97"/>
        <v>echo {"issue":{"subject":"","project_id":79,"tracker_id":40,"status_id":1,"priority_id":2,"assigned_to_id":23,"start_date":"2017-05-30","description":"","custom_fields":[{"id":1,"name":"Subdivision","value":"Other"},{"id":4,"name":"Milepost","value":"2.422"},{"id":17,"name":"Train ID","value":"903-30"},{"id":16,"name":"Locomotive ID","value":"4042"},{"id":130,"name":"Impact","value":""},{"id":150,"name":"Time of Event (Mountain Time)","value":"08:38:57"},{"id":151,"name":"Denver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5" t="str">
        <f t="shared" si="98"/>
        <v>start /low /b %USERPROFILE%\Documents\GitHub\eaglep3\Utilities\DownloadLogsFromS3.py --loco 4042 --day 2017-05-30</v>
      </c>
      <c r="AN221" s="154" t="str">
        <f t="shared" si="99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14:38:57"},{"id":29,"name":"Sharepoint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2" spans="1:40" x14ac:dyDescent="0.25">
      <c r="A222" s="32" t="s">
        <v>791</v>
      </c>
      <c r="B222" s="7">
        <v>4041</v>
      </c>
      <c r="C222" s="21" t="s">
        <v>204</v>
      </c>
      <c r="D222" s="21" t="s">
        <v>987</v>
      </c>
      <c r="E222" s="13">
        <v>42885.637511574074</v>
      </c>
      <c r="F222" s="13">
        <v>42885.639421296299</v>
      </c>
      <c r="G222" s="7">
        <v>2</v>
      </c>
      <c r="H222" s="21" t="s">
        <v>978</v>
      </c>
      <c r="I222" s="13">
        <v>42885.645219907405</v>
      </c>
      <c r="J222" s="7">
        <v>0</v>
      </c>
      <c r="K222" s="92" t="str">
        <f t="shared" si="86"/>
        <v>4041/4042</v>
      </c>
      <c r="L222" s="21" t="str">
        <f>VLOOKUP(A222,'Trips&amp;Operators'!$C$1:$G$99999,5,FALSE)</f>
        <v>THOMPSON LESTER</v>
      </c>
      <c r="M222" s="6">
        <f t="shared" si="87"/>
        <v>5.798611106001772E-3</v>
      </c>
      <c r="N222" s="7">
        <f t="shared" si="101"/>
        <v>8.3499999926425517</v>
      </c>
      <c r="O222" s="7"/>
      <c r="P222" s="7"/>
      <c r="Q222" s="22"/>
      <c r="R222" s="173"/>
      <c r="S222" s="176">
        <f t="shared" si="100"/>
        <v>1</v>
      </c>
      <c r="T222" s="202" t="str">
        <f t="shared" si="88"/>
        <v>Southbound</v>
      </c>
      <c r="U222" s="202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203" t="str">
        <f t="shared" si="89"/>
        <v>https://d0f6bd738d7f1b3e5a7ca70fe4ff75f0.us-east-1.aws.found.io/app/kibana#/discover/Steve-Slow-Train-Analysis-(2080s-and-2083s)?_g=(refreshInterval:(display:Off,pause:!f,section:0,value:0),time:(from:'2017-05-30T14:18:01-0600',mode:absolute,to:'2017-05-30T16:29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22" s="204" t="str">
        <f t="shared" si="90"/>
        <v>Y</v>
      </c>
      <c r="X222" s="204">
        <f t="shared" si="82"/>
        <v>1</v>
      </c>
      <c r="Y222" s="204">
        <f t="shared" si="102"/>
        <v>2.3679999999999999</v>
      </c>
      <c r="Z222" s="204">
        <f t="shared" si="103"/>
        <v>6.7799999999999999E-2</v>
      </c>
      <c r="AA222" s="204">
        <f t="shared" si="91"/>
        <v>2.3001999999999998</v>
      </c>
      <c r="AB222" s="57" t="e">
        <f>VLOOKUP(A222,Enforcements!$C$7:$K$13,8,0)</f>
        <v>#N/A</v>
      </c>
      <c r="AC222" s="53" t="e">
        <f>VLOOKUP(A222,Enforcements!$C$7:$E$13,3,0)</f>
        <v>#N/A</v>
      </c>
      <c r="AD222" s="54" t="str">
        <f t="shared" si="92"/>
        <v>0904-30</v>
      </c>
      <c r="AE222" s="80" t="str">
        <f t="shared" si="93"/>
        <v>aws s3 cp s3://rtdc.mdm.uploadarchive.raw/RTDC4041/ "%USERPROFILE%\AppData\Local\Temp\OnboardLogs"\RTDC4041\2017-05-30 --exclude "*" --recursive --include "*20170530*" &amp; "%USERPROFILE%\Documents\GitHub\mrs-test-scripts\Headless Mode &amp; Sideloading\WalkAndUnGZ.bat" "%USERPROFILE%\AppData\Local\Temp\OnboardLogs"\RTDC4041\2017-05-30 &amp; aws s3 cp s3://rtdc.mdm.uploadarchive.raw/RTDC4041/ "%USERPROFILE%\AppData\Local\Temp\OnboardLogs"\RTDC4041\2017-05-31 --exclude "*" --recursive --include "*20170531*" &amp; "%USERPROFILE%\Documents\GitHub\mrs-test-scripts\Headless Mode &amp; Sideloading\WalkAndUnGZ.bat" "%USERPROFILE%\AppData\Local\Temp\OnboardLogs"\RTDC4041\2017-05-31</v>
      </c>
      <c r="AF222" s="77" t="str">
        <f t="shared" si="94"/>
        <v>"C:\Program Files (x86)\AstroGrep\AstroGrep.exe" /e /r /s /spath="%USERPROFILE%\AppData\Local\Temp\OnboardLogs" /stypes="app*4041*20170530*" /stext=" 21:.+((SYSTEM_STATE.+slice.+state.+changed )|(ment ac)|(multiple cpu faults)|(system.+state.+changed )|(\[timeout)|(PRM\|1\|D)|(kpr)|(kdp)|(train st.+moving)|(\|lc)|(penalty))"</v>
      </c>
      <c r="AG222" s="1" t="str">
        <f t="shared" si="95"/>
        <v>Other</v>
      </c>
      <c r="AH222" s="81" t="str">
        <f t="shared" si="96"/>
        <v>"%USERPROFILE%\Documents\GitHub\eaglep3\Utilities\RefineRTDCRunTimes.py" --tripid 904-30 --locoid 4041 --swversion DE.1.0.9.0 --startMP 300:23680 --initTime 2017-05-30T15:18:01 --startdatetime 2017-05-30T15:20:46 --delay 2 --endMP 204:678 --enddatetime 2017-05-30T15:29:07 --enforcementcount 0 &gt;&gt;C:\Users\stu\Documents\GitHub\eaglep3-reporting\EC\2017-05-30-refined-times.txt</v>
      </c>
      <c r="AI222" s="99" t="str">
        <f t="shared" si="97"/>
        <v>echo {"issue":{"subject":"","project_id":79,"tracker_id":40,"status_id":1,"priority_id":2,"assigned_to_id":23,"start_date":"2017-05-30","description":"","custom_fields":[{"id":1,"name":"Subdivision","value":"Other"},{"id":4,"name":"Milepost","value":"0.0678"},{"id":17,"name":"Train ID","value":"904-30"},{"id":16,"name":"Locomotive ID","value":"4041"},{"id":130,"name":"Impact","value":""},{"id":150,"name":"Time of Event (Mountain Time)","value":"15:29:07"},{"id":151,"name":"Denver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5" t="str">
        <f t="shared" si="98"/>
        <v>start /low /b %USERPROFILE%\Documents\GitHub\eaglep3\Utilities\DownloadLogsFromS3.py --loco 4041 --day 2017-05-30</v>
      </c>
      <c r="AN222" s="154" t="str">
        <f t="shared" si="99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21:29:07"},{"id":29,"name":"Sharepoint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3" spans="1:40" s="20" customFormat="1" x14ac:dyDescent="0.25">
      <c r="A223" s="32" t="s">
        <v>833</v>
      </c>
      <c r="B223" s="7">
        <v>4041</v>
      </c>
      <c r="C223" s="21" t="s">
        <v>204</v>
      </c>
      <c r="D223" s="21" t="s">
        <v>975</v>
      </c>
      <c r="E223" s="13">
        <v>42885.797199074077</v>
      </c>
      <c r="F223" s="13">
        <v>42885.798449074071</v>
      </c>
      <c r="G223" s="7">
        <v>1</v>
      </c>
      <c r="H223" s="21" t="s">
        <v>988</v>
      </c>
      <c r="I223" s="13">
        <v>42885.806828703702</v>
      </c>
      <c r="J223" s="7">
        <v>0</v>
      </c>
      <c r="K223" s="92" t="str">
        <f t="shared" si="86"/>
        <v>4041/4042</v>
      </c>
      <c r="L223" s="21" t="str">
        <f>VLOOKUP(A223,'Trips&amp;Operators'!$C$1:$G$99999,5,FALSE)</f>
        <v>THOMPSON LESTER</v>
      </c>
      <c r="M223" s="6">
        <f t="shared" si="87"/>
        <v>8.3796296312357299E-3</v>
      </c>
      <c r="N223" s="7">
        <f t="shared" si="101"/>
        <v>12.066666668979451</v>
      </c>
      <c r="O223" s="7"/>
      <c r="P223" s="7"/>
      <c r="Q223" s="22"/>
      <c r="R223" s="173"/>
      <c r="S223" s="176">
        <f t="shared" si="100"/>
        <v>0</v>
      </c>
      <c r="T223" s="202" t="str">
        <f t="shared" si="88"/>
        <v>Southbound</v>
      </c>
      <c r="U223" s="202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203" t="str">
        <f t="shared" si="89"/>
        <v>https://d0f6bd738d7f1b3e5a7ca70fe4ff75f0.us-east-1.aws.found.io/app/kibana#/discover/Steve-Slow-Train-Analysis-(2080s-and-2083s)?_g=(refreshInterval:(display:Off,pause:!f,section:0,value:0),time:(from:'2017-05-30T18:07:58-0600',mode:absolute,to:'2017-05-30T20:21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23" s="204" t="str">
        <f t="shared" si="90"/>
        <v>Y</v>
      </c>
      <c r="X223" s="204">
        <f t="shared" si="82"/>
        <v>2</v>
      </c>
      <c r="Y223" s="204">
        <f t="shared" si="102"/>
        <v>5.8597999999999999</v>
      </c>
      <c r="Z223" s="204">
        <f t="shared" si="103"/>
        <v>2.8780000000000001</v>
      </c>
      <c r="AA223" s="204">
        <f t="shared" si="91"/>
        <v>2.9817999999999998</v>
      </c>
      <c r="AB223" s="57" t="e">
        <f>VLOOKUP(A223,Enforcements!$C$7:$K$13,8,0)</f>
        <v>#N/A</v>
      </c>
      <c r="AC223" s="53" t="e">
        <f>VLOOKUP(A223,Enforcements!$C$7:$E$13,3,0)</f>
        <v>#N/A</v>
      </c>
      <c r="AD223" s="54" t="str">
        <f t="shared" si="92"/>
        <v>0906-30</v>
      </c>
      <c r="AE223" s="80" t="str">
        <f t="shared" si="93"/>
        <v>aws s3 cp s3://rtdc.mdm.uploadarchive.raw/RTDC4041/ "%USERPROFILE%\AppData\Local\Temp\OnboardLogs"\RTDC4041\2017-05-30 --exclude "*" --recursive --include "*20170530*" &amp; "%USERPROFILE%\Documents\GitHub\mrs-test-scripts\Headless Mode &amp; Sideloading\WalkAndUnGZ.bat" "%USERPROFILE%\AppData\Local\Temp\OnboardLogs"\RTDC4041\2017-05-30 &amp; aws s3 cp s3://rtdc.mdm.uploadarchive.raw/RTDC4041/ "%USERPROFILE%\AppData\Local\Temp\OnboardLogs"\RTDC4041\2017-05-31 --exclude "*" --recursive --include "*20170531*" &amp; "%USERPROFILE%\Documents\GitHub\mrs-test-scripts\Headless Mode &amp; Sideloading\WalkAndUnGZ.bat" "%USERPROFILE%\AppData\Local\Temp\OnboardLogs"\RTDC4041\2017-05-31</v>
      </c>
      <c r="AF223" s="77" t="str">
        <f t="shared" si="94"/>
        <v>"C:\Program Files (x86)\AstroGrep\AstroGrep.exe" /e /r /s /spath="%USERPROFILE%\AppData\Local\Temp\OnboardLogs" /stypes="app*4041*20170531*" /stext=" 01:.+((SYSTEM_STATE.+slice.+state.+changed )|(ment ac)|(multiple cpu faults)|(system.+state.+changed )|(\[timeout)|(PRM\|1\|D)|(kpr)|(kdp)|(train st.+moving)|(\|lc)|(penalty))"</v>
      </c>
      <c r="AG223" s="1" t="str">
        <f t="shared" si="95"/>
        <v>Other</v>
      </c>
      <c r="AH223" s="81" t="str">
        <f t="shared" si="96"/>
        <v>"%USERPROFILE%\Documents\GitHub\eaglep3\Utilities\RefineRTDCRunTimes.py" --tripid 906-30 --locoid 4041 --swversion DE.1.0.9.0 --startMP 300:58598 --initTime 2017-05-30T19:07:58 --startdatetime 2017-05-30T19:09:46 --delay 1 --endMP 300:28780 --enddatetime 2017-05-30T19:21:50 --enforcementcount 0 &gt;&gt;C:\Users\stu\Documents\GitHub\eaglep3-reporting\EC\2017-05-30-refined-times.txt</v>
      </c>
      <c r="AI223" s="99" t="str">
        <f t="shared" si="97"/>
        <v>echo {"issue":{"subject":"","project_id":79,"tracker_id":40,"status_id":1,"priority_id":2,"assigned_to_id":23,"start_date":"2017-05-30","description":"","custom_fields":[{"id":1,"name":"Subdivision","value":"Other"},{"id":4,"name":"Milepost","value":"2.878"},{"id":17,"name":"Train ID","value":"906-30"},{"id":16,"name":"Locomotive ID","value":"4041"},{"id":130,"name":"Impact","value":""},{"id":150,"name":"Time of Event (Mountain Time)","value":"19:21:50"},{"id":151,"name":"Denver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3" s="47"/>
      <c r="AL223" s="47"/>
      <c r="AM223" s="145" t="str">
        <f t="shared" si="98"/>
        <v>start /low /b %USERPROFILE%\Documents\GitHub\eaglep3\Utilities\DownloadLogsFromS3.py --loco 4041 --day 2017-05-30</v>
      </c>
      <c r="AN223" s="154" t="str">
        <f t="shared" si="99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01:21:50"},{"id":29,"name":"Sharepoint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4" spans="1:40" x14ac:dyDescent="0.25">
      <c r="A224" s="32" t="s">
        <v>855</v>
      </c>
      <c r="B224" s="7">
        <v>4049</v>
      </c>
      <c r="C224" s="21" t="s">
        <v>204</v>
      </c>
      <c r="D224" s="21" t="s">
        <v>943</v>
      </c>
      <c r="E224" s="13">
        <v>42885.948078703703</v>
      </c>
      <c r="F224" s="13">
        <v>42885.958923611113</v>
      </c>
      <c r="G224" s="7">
        <v>1</v>
      </c>
      <c r="H224" s="21" t="s">
        <v>989</v>
      </c>
      <c r="I224" s="13">
        <v>42885.962604166663</v>
      </c>
      <c r="J224" s="7">
        <v>0</v>
      </c>
      <c r="K224" s="92" t="str">
        <f t="shared" si="86"/>
        <v>4049/4050</v>
      </c>
      <c r="L224" s="21" t="str">
        <f>VLOOKUP(A224,'Trips&amp;Operators'!$C$1:$G$99999,5,FALSE)</f>
        <v>STAMBAUGH JAMES</v>
      </c>
      <c r="M224" s="6">
        <f t="shared" si="87"/>
        <v>3.6805555500905029E-3</v>
      </c>
      <c r="N224" s="7">
        <f t="shared" si="101"/>
        <v>5.2999999921303242</v>
      </c>
      <c r="O224" s="7"/>
      <c r="P224" s="7"/>
      <c r="Q224" s="22"/>
      <c r="R224" s="173"/>
      <c r="S224" s="176">
        <f t="shared" si="100"/>
        <v>0</v>
      </c>
      <c r="T224" s="202" t="str">
        <f t="shared" si="88"/>
        <v>Southbound</v>
      </c>
      <c r="U224" s="202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203" t="str">
        <f t="shared" si="89"/>
        <v>https://d0f6bd738d7f1b3e5a7ca70fe4ff75f0.us-east-1.aws.found.io/app/kibana#/discover/Steve-Slow-Train-Analysis-(2080s-and-2083s)?_g=(refreshInterval:(display:Off,pause:!f,section:0,value:0),time:(from:'2017-05-30T21:45:14-0600',mode:absolute,to:'2017-05-31T00:06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24" s="204" t="str">
        <f t="shared" si="90"/>
        <v>Y</v>
      </c>
      <c r="X224" s="204">
        <f t="shared" si="82"/>
        <v>2</v>
      </c>
      <c r="Y224" s="204">
        <f t="shared" si="102"/>
        <v>5.8596000000000004</v>
      </c>
      <c r="Z224" s="204">
        <f t="shared" si="103"/>
        <v>2.1814</v>
      </c>
      <c r="AA224" s="204">
        <f t="shared" si="91"/>
        <v>3.6782000000000004</v>
      </c>
      <c r="AB224" s="57" t="e">
        <f>VLOOKUP(A224,Enforcements!$C$7:$K$13,8,0)</f>
        <v>#N/A</v>
      </c>
      <c r="AC224" s="53" t="e">
        <f>VLOOKUP(A224,Enforcements!$C$7:$E$13,3,0)</f>
        <v>#N/A</v>
      </c>
      <c r="AD224" s="54" t="str">
        <f t="shared" si="92"/>
        <v>0908-30</v>
      </c>
      <c r="AE224" s="80" t="str">
        <f t="shared" si="93"/>
        <v>aws s3 cp s3://rtdc.mdm.uploadarchive.raw/RTDC4049/ "%USERPROFILE%\AppData\Local\Temp\OnboardLogs"\RTDC4049\2017-05-30 --exclude "*" --recursive --include "*20170530*" &amp; "%USERPROFILE%\Documents\GitHub\mrs-test-scripts\Headless Mode &amp; Sideloading\WalkAndUnGZ.bat" "%USERPROFILE%\AppData\Local\Temp\OnboardLogs"\RTDC4049\2017-05-30 &amp; aws s3 cp s3://rtdc.mdm.uploadarchive.raw/RTDC4049/ "%USERPROFILE%\AppData\Local\Temp\OnboardLogs"\RTDC4049\2017-05-31 --exclude "*" --recursive --include "*20170531*" &amp; "%USERPROFILE%\Documents\GitHub\mrs-test-scripts\Headless Mode &amp; Sideloading\WalkAndUnGZ.bat" "%USERPROFILE%\AppData\Local\Temp\OnboardLogs"\RTDC4049\2017-05-31</v>
      </c>
      <c r="AF224" s="77" t="str">
        <f t="shared" si="94"/>
        <v>"C:\Program Files (x86)\AstroGrep\AstroGrep.exe" /e /r /s /spath="%USERPROFILE%\AppData\Local\Temp\OnboardLogs" /stypes="app*4049*20170531*" /stext=" 05:.+((SYSTEM_STATE.+slice.+state.+changed )|(ment ac)|(multiple cpu faults)|(system.+state.+changed )|(\[timeout)|(PRM\|1\|D)|(kpr)|(kdp)|(train st.+moving)|(\|lc)|(penalty))"</v>
      </c>
      <c r="AG224" s="1" t="str">
        <f t="shared" si="95"/>
        <v>Other</v>
      </c>
      <c r="AH224" s="81" t="str">
        <f t="shared" si="96"/>
        <v>"%USERPROFILE%\Documents\GitHub\eaglep3\Utilities\RefineRTDCRunTimes.py" --tripid 908-30 --locoid 4049 --swversion DE.1.0.9.0 --startMP 300:58596 --initTime 2017-05-30T22:45:14 --startdatetime 2017-05-30T23:00:51 --delay 1 --endMP 300:21814 --enddatetime 2017-05-30T23:06:09 --enforcementcount 0 &gt;&gt;C:\Users\stu\Documents\GitHub\eaglep3-reporting\EC\2017-05-30-refined-times.txt</v>
      </c>
      <c r="AI224" s="99" t="str">
        <f t="shared" si="97"/>
        <v>echo {"issue":{"subject":"","project_id":79,"tracker_id":40,"status_id":1,"priority_id":2,"assigned_to_id":23,"start_date":"2017-05-30","description":"","custom_fields":[{"id":1,"name":"Subdivision","value":"Other"},{"id":4,"name":"Milepost","value":"2.1814"},{"id":17,"name":"Train ID","value":"908-30"},{"id":16,"name":"Locomotive ID","value":"4049"},{"id":130,"name":"Impact","value":""},{"id":150,"name":"Time of Event (Mountain Time)","value":"23:06:09"},{"id":151,"name":"Denver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5" t="str">
        <f t="shared" si="98"/>
        <v>start /low /b %USERPROFILE%\Documents\GitHub\eaglep3\Utilities\DownloadLogsFromS3.py --loco 4049 --day 2017-05-30</v>
      </c>
      <c r="AN224" s="154" t="str">
        <f t="shared" si="99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05:06:09"},{"id":29,"name":"Sharepoint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5" spans="1:40" x14ac:dyDescent="0.25">
      <c r="A225" s="32" t="s">
        <v>855</v>
      </c>
      <c r="B225" s="7">
        <v>4050</v>
      </c>
      <c r="C225" s="21" t="s">
        <v>204</v>
      </c>
      <c r="D225" s="21" t="s">
        <v>990</v>
      </c>
      <c r="E225" s="13">
        <v>42885.957488425927</v>
      </c>
      <c r="F225" s="13">
        <v>42885.958923611113</v>
      </c>
      <c r="G225" s="7">
        <v>1</v>
      </c>
      <c r="H225" s="21" t="s">
        <v>991</v>
      </c>
      <c r="I225" s="13">
        <v>42885.962604166663</v>
      </c>
      <c r="J225" s="7">
        <v>0</v>
      </c>
      <c r="K225" s="92" t="str">
        <f t="shared" si="86"/>
        <v>4049/4050</v>
      </c>
      <c r="L225" s="21" t="str">
        <f>VLOOKUP(A225,'Trips&amp;Operators'!$C$1:$G$99999,5,FALSE)</f>
        <v>STAMBAUGH JAMES</v>
      </c>
      <c r="M225" s="6">
        <f t="shared" si="87"/>
        <v>3.6805555500905029E-3</v>
      </c>
      <c r="N225" s="7">
        <f t="shared" si="101"/>
        <v>5.2999999921303242</v>
      </c>
      <c r="O225" s="7"/>
      <c r="P225" s="7"/>
      <c r="Q225" s="22"/>
      <c r="R225" s="173"/>
      <c r="S225" s="176">
        <f t="shared" si="100"/>
        <v>0</v>
      </c>
      <c r="T225" s="202" t="str">
        <f t="shared" si="88"/>
        <v>Southbound</v>
      </c>
      <c r="U225" s="202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203" t="str">
        <f t="shared" si="89"/>
        <v>https://d0f6bd738d7f1b3e5a7ca70fe4ff75f0.us-east-1.aws.found.io/app/kibana#/discover/Steve-Slow-Train-Analysis-(2080s-and-2083s)?_g=(refreshInterval:(display:Off,pause:!f,section:0,value:0),time:(from:'2017-05-30T21:58:47-0600',mode:absolute,to:'2017-05-31T00:06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25" s="204" t="str">
        <f t="shared" si="90"/>
        <v>Y</v>
      </c>
      <c r="X225" s="204">
        <f t="shared" si="82"/>
        <v>0</v>
      </c>
      <c r="Y225" s="204">
        <f t="shared" si="102"/>
        <v>2.2134</v>
      </c>
      <c r="Z225" s="204">
        <f t="shared" si="103"/>
        <v>2.3296999999999999</v>
      </c>
      <c r="AA225" s="204">
        <f t="shared" si="91"/>
        <v>0.11629999999999985</v>
      </c>
      <c r="AB225" s="57" t="e">
        <f>VLOOKUP(A225,Enforcements!$C$7:$K$13,8,0)</f>
        <v>#N/A</v>
      </c>
      <c r="AC225" s="53" t="e">
        <f>VLOOKUP(A225,Enforcements!$C$7:$E$13,3,0)</f>
        <v>#N/A</v>
      </c>
      <c r="AD225" s="54" t="str">
        <f t="shared" si="92"/>
        <v>0908-30</v>
      </c>
      <c r="AE225" s="80" t="str">
        <f t="shared" si="93"/>
        <v>aws s3 cp s3://rtdc.mdm.uploadarchive.raw/RTDC4050/ "%USERPROFILE%\AppData\Local\Temp\OnboardLogs"\RTDC4050\2017-05-30 --exclude "*" --recursive --include "*20170530*" &amp; "%USERPROFILE%\Documents\GitHub\mrs-test-scripts\Headless Mode &amp; Sideloading\WalkAndUnGZ.bat" "%USERPROFILE%\AppData\Local\Temp\OnboardLogs"\RTDC4050\2017-05-30 &amp; aws s3 cp s3://rtdc.mdm.uploadarchive.raw/RTDC4050/ "%USERPROFILE%\AppData\Local\Temp\OnboardLogs"\RTDC4050\2017-05-31 --exclude "*" --recursive --include "*20170531*" &amp; "%USERPROFILE%\Documents\GitHub\mrs-test-scripts\Headless Mode &amp; Sideloading\WalkAndUnGZ.bat" "%USERPROFILE%\AppData\Local\Temp\OnboardLogs"\RTDC4050\2017-05-31</v>
      </c>
      <c r="AF225" s="77" t="str">
        <f t="shared" si="94"/>
        <v>"C:\Program Files (x86)\AstroGrep\AstroGrep.exe" /e /r /s /spath="%USERPROFILE%\AppData\Local\Temp\OnboardLogs" /stypes="app*4050*20170531*" /stext=" 05:.+((SYSTEM_STATE.+slice.+state.+changed )|(ment ac)|(multiple cpu faults)|(system.+state.+changed )|(\[timeout)|(PRM\|1\|D)|(kpr)|(kdp)|(train st.+moving)|(\|lc)|(penalty))"</v>
      </c>
      <c r="AG225" s="1" t="str">
        <f t="shared" si="95"/>
        <v>Other</v>
      </c>
      <c r="AH225" s="81" t="str">
        <f t="shared" si="96"/>
        <v>"%USERPROFILE%\Documents\GitHub\eaglep3\Utilities\RefineRTDCRunTimes.py" --tripid 908-30 --locoid 4050 --swversion DE.1.0.9.0 --startMP 300:22134 --initTime 2017-05-30T22:58:47 --startdatetime 2017-05-30T23:00:51 --delay 1 --endMP 300:23297 --enddatetime 2017-05-30T23:06:09 --enforcementcount 0 &gt;&gt;C:\Users\stu\Documents\GitHub\eaglep3-reporting\EC\2017-05-30-refined-times.txt</v>
      </c>
      <c r="AI225" s="99" t="str">
        <f t="shared" si="97"/>
        <v>echo {"issue":{"subject":"","project_id":79,"tracker_id":40,"status_id":1,"priority_id":2,"assigned_to_id":23,"start_date":"2017-05-30","description":"","custom_fields":[{"id":1,"name":"Subdivision","value":"Other"},{"id":4,"name":"Milepost","value":"2.3297"},{"id":17,"name":"Train ID","value":"908-30"},{"id":16,"name":"Locomotive ID","value":"4050"},{"id":130,"name":"Impact","value":""},{"id":150,"name":"Time of Event (Mountain Time)","value":"23:06:09"},{"id":151,"name":"Denver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5" t="str">
        <f t="shared" si="98"/>
        <v>start /low /b %USERPROFILE%\Documents\GitHub\eaglep3\Utilities\DownloadLogsFromS3.py --loco 4050 --day 2017-05-30</v>
      </c>
      <c r="AN225" s="154" t="str">
        <f t="shared" si="99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05:06:09"},{"id":29,"name":"Sharepoint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6" spans="1:40" x14ac:dyDescent="0.25">
      <c r="A226" s="32" t="s">
        <v>657</v>
      </c>
      <c r="B226" s="7">
        <v>4027</v>
      </c>
      <c r="C226" s="21" t="s">
        <v>204</v>
      </c>
      <c r="D226" s="21" t="s">
        <v>931</v>
      </c>
      <c r="E226" s="13">
        <v>42885.752175925925</v>
      </c>
      <c r="F226" s="13">
        <v>42885.754699074074</v>
      </c>
      <c r="G226" s="7">
        <v>3</v>
      </c>
      <c r="H226" s="21" t="s">
        <v>932</v>
      </c>
      <c r="I226" s="13">
        <v>42885.762465277781</v>
      </c>
      <c r="J226" s="7">
        <v>0</v>
      </c>
      <c r="K226" s="92" t="str">
        <f t="shared" si="86"/>
        <v>4027/4028</v>
      </c>
      <c r="L226" s="21" t="str">
        <f>VLOOKUP(A226,'Trips&amp;Operators'!$C$1:$G$99999,5,FALSE)</f>
        <v>SAFIEF AEIMEN</v>
      </c>
      <c r="M226" s="6">
        <f t="shared" si="87"/>
        <v>7.7662037074333057E-3</v>
      </c>
      <c r="N226" s="7">
        <f t="shared" si="101"/>
        <v>11.18333333870396</v>
      </c>
      <c r="O226" s="7"/>
      <c r="P226" s="7"/>
      <c r="Q226" s="22"/>
      <c r="R226" s="173"/>
      <c r="S226" s="176">
        <f t="shared" si="100"/>
        <v>0</v>
      </c>
      <c r="T226" s="202" t="e">
        <f t="shared" si="88"/>
        <v>#VALUE!</v>
      </c>
      <c r="U226" s="202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203" t="str">
        <f t="shared" si="89"/>
        <v>https://d0f6bd738d7f1b3e5a7ca70fe4ff75f0.us-east-1.aws.found.io/app/kibana#/discover/Steve-Slow-Train-Analysis-(2080s-and-2083s)?_g=(refreshInterval:(display:Off,pause:!f,section:0,value:0),time:(from:'2017-05-30T17:03:08-0600',mode:absolute,to:'2017-05-30T19:17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26" s="204" t="str">
        <f t="shared" si="90"/>
        <v>Y</v>
      </c>
      <c r="X226" s="204" t="e">
        <f t="shared" si="82"/>
        <v>#VALUE!</v>
      </c>
      <c r="Y226" s="204">
        <f t="shared" si="102"/>
        <v>2.3447</v>
      </c>
      <c r="Z226" s="204">
        <f t="shared" si="103"/>
        <v>0.4642</v>
      </c>
      <c r="AA226" s="204">
        <f t="shared" si="91"/>
        <v>1.8805000000000001</v>
      </c>
      <c r="AB226" s="57" t="e">
        <f>VLOOKUP(A226,Enforcements!$C$7:$K$13,8,0)</f>
        <v>#N/A</v>
      </c>
      <c r="AC226" s="53" t="e">
        <f>VLOOKUP(A226,Enforcements!$C$7:$E$13,3,0)</f>
        <v>#N/A</v>
      </c>
      <c r="AD226" s="54" t="str">
        <f t="shared" si="92"/>
        <v>50-30</v>
      </c>
      <c r="AE226" s="80" t="str">
        <f t="shared" si="93"/>
        <v>aws s3 cp s3://rtdc.mdm.uploadarchive.raw/RTDC4027/ "%USERPROFILE%\AppData\Local\Temp\OnboardLogs"\RTDC4027\2017-05-30 --exclude "*" --recursive --include "*20170530*" &amp; "%USERPROFILE%\Documents\GitHub\mrs-test-scripts\Headless Mode &amp; Sideloading\WalkAndUnGZ.bat" "%USERPROFILE%\AppData\Local\Temp\OnboardLogs"\RTDC4027\2017-05-30 &amp; aws s3 cp s3://rtdc.mdm.uploadarchive.raw/RTDC4027/ "%USERPROFILE%\AppData\Local\Temp\OnboardLogs"\RTDC4027\2017-05-31 --exclude "*" --recursive --include "*20170531*" &amp; "%USERPROFILE%\Documents\GitHub\mrs-test-scripts\Headless Mode &amp; Sideloading\WalkAndUnGZ.bat" "%USERPROFILE%\AppData\Local\Temp\OnboardLogs"\RTDC4027\2017-05-31</v>
      </c>
      <c r="AF226" s="77" t="str">
        <f t="shared" si="94"/>
        <v>"C:\Program Files (x86)\AstroGrep\AstroGrep.exe" /e /r /s /spath="%USERPROFILE%\AppData\Local\Temp\OnboardLogs" /stypes="app*4027*20170531*" /stext=" 00:.+((SYSTEM_STATE.+slice.+state.+changed )|(ment ac)|(multiple cpu faults)|(system.+state.+changed )|(\[timeout)|(PRM\|1\|D)|(kpr)|(kdp)|(train st.+moving)|(\|lc)|(penalty))"</v>
      </c>
      <c r="AG226" s="1" t="str">
        <f t="shared" si="95"/>
        <v>Other</v>
      </c>
      <c r="AH226" s="81" t="str">
        <f t="shared" si="96"/>
        <v>"%USERPROFILE%\Documents\GitHub\eaglep3\Utilities\RefineRTDCRunTimes.py" --tripid 50-30 --locoid 4027 --swversion DE.1.0.9.0 --startMP 300:23447 --initTime 2017-05-30T18:03:08 --startdatetime 2017-05-30T18:06:46 --delay 3 --endMP 204:4642 --enddatetime 2017-05-30T18:17:57 --enforcementcount 0 &gt;&gt;C:\Users\stu\Documents\GitHub\eaglep3-reporting\EC\2017-05-30-refined-times.txt</v>
      </c>
      <c r="AI226" s="99" t="str">
        <f t="shared" si="97"/>
        <v>echo {"issue":{"subject":"","project_id":79,"tracker_id":40,"status_id":1,"priority_id":2,"assigned_to_id":23,"start_date":"2017-05-30","description":"","custom_fields":[{"id":1,"name":"Subdivision","value":"Other"},{"id":4,"name":"Milepost","value":"0.4642"},{"id":17,"name":"Train ID","value":"50-30"},{"id":16,"name":"Locomotive ID","value":"4027"},{"id":130,"name":"Impact","value":""},{"id":150,"name":"Time of Event (Mountain Time)","value":"18:17:57"},{"id":151,"name":"Denver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5" t="str">
        <f t="shared" si="98"/>
        <v>start /low /b %USERPROFILE%\Documents\GitHub\eaglep3\Utilities\DownloadLogsFromS3.py --loco 4027 --day 2017-05-30</v>
      </c>
      <c r="AN226" s="154" t="str">
        <f t="shared" si="99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00:17:57"},{"id":29,"name":"Sharepoint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7" spans="1:40" x14ac:dyDescent="0.25">
      <c r="A227" s="32" t="s">
        <v>667</v>
      </c>
      <c r="B227" s="7">
        <v>4002</v>
      </c>
      <c r="C227" s="21" t="s">
        <v>204</v>
      </c>
      <c r="D227" s="21" t="s">
        <v>495</v>
      </c>
      <c r="E227" s="13">
        <v>42885.130023148151</v>
      </c>
      <c r="F227" s="13">
        <v>42885.138321759259</v>
      </c>
      <c r="G227" s="7">
        <v>1</v>
      </c>
      <c r="H227" s="21" t="s">
        <v>933</v>
      </c>
      <c r="I227" s="13">
        <v>42885.139305555553</v>
      </c>
      <c r="J227" s="7">
        <v>0</v>
      </c>
      <c r="K227" s="92" t="str">
        <f t="shared" si="86"/>
        <v>4001/4002</v>
      </c>
      <c r="L227" s="21" t="str">
        <f>VLOOKUP(A227,'Trips&amp;Operators'!$C$1:$G$99999,5,FALSE)</f>
        <v>SPECTOR MICHAEL</v>
      </c>
      <c r="M227" s="6">
        <f t="shared" si="87"/>
        <v>9.8379629343980923E-4</v>
      </c>
      <c r="N227" s="7">
        <f t="shared" si="101"/>
        <v>1.4166666625533253</v>
      </c>
      <c r="O227" s="7"/>
      <c r="P227" s="7"/>
      <c r="Q227" s="22"/>
      <c r="R227" s="173"/>
      <c r="S227" s="176">
        <f t="shared" si="100"/>
        <v>0</v>
      </c>
      <c r="T227" s="202" t="e">
        <f t="shared" si="88"/>
        <v>#VALUE!</v>
      </c>
      <c r="U227" s="202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203" t="str">
        <f t="shared" si="89"/>
        <v>https://d0f6bd738d7f1b3e5a7ca70fe4ff75f0.us-east-1.aws.found.io/app/kibana#/discover/Steve-Slow-Train-Analysis-(2080s-and-2083s)?_g=(refreshInterval:(display:Off,pause:!f,section:0,value:0),time:(from:'2017-05-30T02:07:14-0600',mode:absolute,to:'2017-05-30T04:20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27" s="204" t="str">
        <f t="shared" si="90"/>
        <v>Y</v>
      </c>
      <c r="X227" s="204" t="e">
        <f t="shared" si="82"/>
        <v>#VALUE!</v>
      </c>
      <c r="Y227" s="204">
        <f t="shared" si="102"/>
        <v>4.3999999999999997E-2</v>
      </c>
      <c r="Z227" s="204">
        <f t="shared" si="103"/>
        <v>0.35439999999999999</v>
      </c>
      <c r="AA227" s="204">
        <f t="shared" si="91"/>
        <v>0.31040000000000001</v>
      </c>
      <c r="AB227" s="57" t="e">
        <f>VLOOKUP(A227,Enforcements!$C$7:$K$13,8,0)</f>
        <v>#N/A</v>
      </c>
      <c r="AC227" s="53" t="e">
        <f>VLOOKUP(A227,Enforcements!$C$7:$E$13,3,0)</f>
        <v>#N/A</v>
      </c>
      <c r="AD227" s="54" t="str">
        <f t="shared" si="92"/>
        <v>51-30</v>
      </c>
      <c r="AE227" s="80" t="str">
        <f t="shared" si="93"/>
        <v>aws s3 cp s3://rtdc.mdm.uploadarchive.raw/RTDC4002/ "%USERPROFILE%\AppData\Local\Temp\OnboardLogs"\RTDC4002\2017-05-30 --exclude "*" --recursive --include "*20170530*" &amp; "%USERPROFILE%\Documents\GitHub\mrs-test-scripts\Headless Mode &amp; Sideloading\WalkAndUnGZ.bat" "%USERPROFILE%\AppData\Local\Temp\OnboardLogs"\RTDC4002\2017-05-30 &amp; aws s3 cp s3://rtdc.mdm.uploadarchive.raw/RTDC4002/ "%USERPROFILE%\AppData\Local\Temp\OnboardLogs"\RTDC4002\2017-05-31 --exclude "*" --recursive --include "*20170531*" &amp; "%USERPROFILE%\Documents\GitHub\mrs-test-scripts\Headless Mode &amp; Sideloading\WalkAndUnGZ.bat" "%USERPROFILE%\AppData\Local\Temp\OnboardLogs"\RTDC4002\2017-05-31</v>
      </c>
      <c r="AF227" s="77" t="str">
        <f t="shared" si="94"/>
        <v>"C:\Program Files (x86)\AstroGrep\AstroGrep.exe" /e /r /s /spath="%USERPROFILE%\AppData\Local\Temp\OnboardLogs" /stypes="app*4002*20170530*" /stext=" 09:.+((SYSTEM_STATE.+slice.+state.+changed )|(ment ac)|(multiple cpu faults)|(system.+state.+changed )|(\[timeout)|(PRM\|1\|D)|(kpr)|(kdp)|(train st.+moving)|(\|lc)|(penalty))"</v>
      </c>
      <c r="AG227" s="1" t="str">
        <f t="shared" si="95"/>
        <v>Other</v>
      </c>
      <c r="AH227" s="81" t="str">
        <f t="shared" si="96"/>
        <v>"%USERPROFILE%\Documents\GitHub\eaglep3\Utilities\RefineRTDCRunTimes.py" --tripid 51-30 --locoid 4002 --swversion DE.1.0.9.0 --startMP 204:440 --initTime 2017-05-30T03:07:14 --startdatetime 2017-05-30T03:19:11 --delay 1 --endMP 204:3544 --enddatetime 2017-05-30T03:20:36 --enforcementcount 0 &gt;&gt;C:\Users\stu\Documents\GitHub\eaglep3-reporting\EC\2017-05-30-refined-times.txt</v>
      </c>
      <c r="AI227" s="99" t="str">
        <f t="shared" si="97"/>
        <v>echo {"issue":{"subject":"","project_id":79,"tracker_id":40,"status_id":1,"priority_id":2,"assigned_to_id":23,"start_date":"2017-05-30","description":"","custom_fields":[{"id":1,"name":"Subdivision","value":"Other"},{"id":4,"name":"Milepost","value":"0.3544"},{"id":17,"name":"Train ID","value":"51-30"},{"id":16,"name":"Locomotive ID","value":"4002"},{"id":130,"name":"Impact","value":""},{"id":150,"name":"Time of Event (Mountain Time)","value":"03:20:36"},{"id":151,"name":"Denver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5" t="str">
        <f t="shared" si="98"/>
        <v>start /low /b %USERPROFILE%\Documents\GitHub\eaglep3\Utilities\DownloadLogsFromS3.py --loco 4002 --day 2017-05-30</v>
      </c>
      <c r="AN227" s="154" t="str">
        <f t="shared" si="99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09:20:36"},{"id":29,"name":"Sharepoint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8" spans="1:40" x14ac:dyDescent="0.25">
      <c r="A228" s="32" t="s">
        <v>670</v>
      </c>
      <c r="B228" s="7">
        <v>4001</v>
      </c>
      <c r="C228" s="21" t="s">
        <v>204</v>
      </c>
      <c r="D228" s="21" t="s">
        <v>934</v>
      </c>
      <c r="E228" s="13">
        <v>42885.140208333331</v>
      </c>
      <c r="F228" s="13">
        <v>42885.147372685184</v>
      </c>
      <c r="G228" s="7">
        <v>1</v>
      </c>
      <c r="H228" s="21" t="s">
        <v>498</v>
      </c>
      <c r="I228" s="13">
        <v>42885.148981481485</v>
      </c>
      <c r="J228" s="7">
        <v>0</v>
      </c>
      <c r="K228" s="92" t="str">
        <f t="shared" si="86"/>
        <v>4001/4002</v>
      </c>
      <c r="L228" s="21" t="str">
        <f>VLOOKUP(A228,'Trips&amp;Operators'!$C$1:$G$99999,5,FALSE)</f>
        <v>SPECTOR MICHAEL</v>
      </c>
      <c r="M228" s="6">
        <f t="shared" si="87"/>
        <v>1.6087963012978435E-3</v>
      </c>
      <c r="N228" s="7">
        <f t="shared" si="101"/>
        <v>2.3166666738688946</v>
      </c>
      <c r="O228" s="7"/>
      <c r="P228" s="7"/>
      <c r="Q228" s="22"/>
      <c r="R228" s="173"/>
      <c r="S228" s="176">
        <f t="shared" si="100"/>
        <v>0</v>
      </c>
      <c r="T228" s="202" t="e">
        <f t="shared" si="88"/>
        <v>#VALUE!</v>
      </c>
      <c r="U228" s="202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203" t="str">
        <f t="shared" si="89"/>
        <v>https://d0f6bd738d7f1b3e5a7ca70fe4ff75f0.us-east-1.aws.found.io/app/kibana#/discover/Steve-Slow-Train-Analysis-(2080s-and-2083s)?_g=(refreshInterval:(display:Off,pause:!f,section:0,value:0),time:(from:'2017-05-30T02:21:54-0600',mode:absolute,to:'2017-05-30T04:34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28" s="204" t="str">
        <f t="shared" si="90"/>
        <v>Y</v>
      </c>
      <c r="X228" s="204" t="e">
        <f t="shared" si="82"/>
        <v>#VALUE!</v>
      </c>
      <c r="Y228" s="204">
        <f t="shared" si="102"/>
        <v>0.32029999999999997</v>
      </c>
      <c r="Z228" s="204">
        <f t="shared" si="103"/>
        <v>0.11650000000000001</v>
      </c>
      <c r="AA228" s="204">
        <f t="shared" si="91"/>
        <v>0.20379999999999998</v>
      </c>
      <c r="AB228" s="57" t="e">
        <f>VLOOKUP(A228,Enforcements!$C$7:$K$13,8,0)</f>
        <v>#N/A</v>
      </c>
      <c r="AC228" s="53" t="e">
        <f>VLOOKUP(A228,Enforcements!$C$7:$E$13,3,0)</f>
        <v>#N/A</v>
      </c>
      <c r="AD228" s="54" t="str">
        <f t="shared" si="92"/>
        <v>52-30</v>
      </c>
      <c r="AE228" s="80" t="str">
        <f t="shared" si="93"/>
        <v>aws s3 cp s3://rtdc.mdm.uploadarchive.raw/RTDC4001/ "%USERPROFILE%\AppData\Local\Temp\OnboardLogs"\RTDC4001\2017-05-30 --exclude "*" --recursive --include "*20170530*" &amp; "%USERPROFILE%\Documents\GitHub\mrs-test-scripts\Headless Mode &amp; Sideloading\WalkAndUnGZ.bat" "%USERPROFILE%\AppData\Local\Temp\OnboardLogs"\RTDC4001\2017-05-30 &amp; aws s3 cp s3://rtdc.mdm.uploadarchive.raw/RTDC4001/ "%USERPROFILE%\AppData\Local\Temp\OnboardLogs"\RTDC4001\2017-05-31 --exclude "*" --recursive --include "*20170531*" &amp; "%USERPROFILE%\Documents\GitHub\mrs-test-scripts\Headless Mode &amp; Sideloading\WalkAndUnGZ.bat" "%USERPROFILE%\AppData\Local\Temp\OnboardLogs"\RTDC4001\2017-05-31</v>
      </c>
      <c r="AF228" s="77" t="str">
        <f t="shared" si="94"/>
        <v>"C:\Program Files (x86)\AstroGrep\AstroGrep.exe" /e /r /s /spath="%USERPROFILE%\AppData\Local\Temp\OnboardLogs" /stypes="app*4001*20170530*" /stext=" 09:.+((SYSTEM_STATE.+slice.+state.+changed )|(ment ac)|(multiple cpu faults)|(system.+state.+changed )|(\[timeout)|(PRM\|1\|D)|(kpr)|(kdp)|(train st.+moving)|(\|lc)|(penalty))"</v>
      </c>
      <c r="AG228" s="1" t="str">
        <f t="shared" si="95"/>
        <v>Other</v>
      </c>
      <c r="AH228" s="81" t="str">
        <f t="shared" si="96"/>
        <v>"%USERPROFILE%\Documents\GitHub\eaglep3\Utilities\RefineRTDCRunTimes.py" --tripid 52-30 --locoid 4001 --swversion DE.1.0.9.0 --startMP 204:3203 --initTime 2017-05-30T03:21:54 --startdatetime 2017-05-30T03:32:13 --delay 1 --endMP 204:1165 --enddatetime 2017-05-30T03:34:32 --enforcementcount 0 &gt;&gt;C:\Users\stu\Documents\GitHub\eaglep3-reporting\EC\2017-05-30-refined-times.txt</v>
      </c>
      <c r="AI228" s="99" t="str">
        <f t="shared" si="97"/>
        <v>echo {"issue":{"subject":"","project_id":79,"tracker_id":40,"status_id":1,"priority_id":2,"assigned_to_id":23,"start_date":"2017-05-30","description":"","custom_fields":[{"id":1,"name":"Subdivision","value":"Other"},{"id":4,"name":"Milepost","value":"0.1165"},{"id":17,"name":"Train ID","value":"52-30"},{"id":16,"name":"Locomotive ID","value":"4001"},{"id":130,"name":"Impact","value":""},{"id":150,"name":"Time of Event (Mountain Time)","value":"03:34:32"},{"id":151,"name":"Denver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5" t="str">
        <f t="shared" si="98"/>
        <v>start /low /b %USERPROFILE%\Documents\GitHub\eaglep3\Utilities\DownloadLogsFromS3.py --loco 4001 --day 2017-05-30</v>
      </c>
      <c r="AN228" s="154" t="str">
        <f t="shared" si="99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09:34:32"},{"id":29,"name":"Sharepoint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9" spans="1:40" x14ac:dyDescent="0.25">
      <c r="A229" s="32" t="s">
        <v>647</v>
      </c>
      <c r="B229" s="7">
        <v>4029</v>
      </c>
      <c r="C229" s="21" t="s">
        <v>204</v>
      </c>
      <c r="D229" s="21" t="s">
        <v>935</v>
      </c>
      <c r="E229" s="13">
        <v>42885.495925925927</v>
      </c>
      <c r="F229" s="13">
        <v>42885.501157407409</v>
      </c>
      <c r="G229" s="7">
        <v>7</v>
      </c>
      <c r="H229" s="21" t="s">
        <v>936</v>
      </c>
      <c r="I229" s="13">
        <v>42885.506111111114</v>
      </c>
      <c r="J229" s="7">
        <v>0</v>
      </c>
      <c r="K229" s="92" t="str">
        <f t="shared" si="86"/>
        <v>4029/4030</v>
      </c>
      <c r="L229" s="21" t="str">
        <f>VLOOKUP(A229,'Trips&amp;Operators'!$C$1:$G$99999,5,FALSE)</f>
        <v>ZEWDU DEREJE</v>
      </c>
      <c r="M229" s="6">
        <f t="shared" si="87"/>
        <v>4.9537037048139609E-3</v>
      </c>
      <c r="N229" s="7">
        <f t="shared" si="101"/>
        <v>7.1333333349321038</v>
      </c>
      <c r="O229" s="7"/>
      <c r="P229" s="7"/>
      <c r="Q229" s="22"/>
      <c r="R229" s="173"/>
      <c r="S229" s="176">
        <f t="shared" si="100"/>
        <v>0</v>
      </c>
      <c r="T229" s="202" t="e">
        <f t="shared" si="88"/>
        <v>#VALUE!</v>
      </c>
      <c r="U229" s="202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203" t="str">
        <f t="shared" si="89"/>
        <v>https://d0f6bd738d7f1b3e5a7ca70fe4ff75f0.us-east-1.aws.found.io/app/kibana#/discover/Steve-Slow-Train-Analysis-(2080s-and-2083s)?_g=(refreshInterval:(display:Off,pause:!f,section:0,value:0),time:(from:'2017-05-30T10:54:08-0600',mode:absolute,to:'2017-05-30T13:08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29" s="204" t="str">
        <f t="shared" si="90"/>
        <v>Y</v>
      </c>
      <c r="X229" s="204" t="e">
        <f t="shared" si="82"/>
        <v>#VALUE!</v>
      </c>
      <c r="Y229" s="204">
        <f t="shared" si="102"/>
        <v>2.2364999999999999</v>
      </c>
      <c r="Z229" s="204">
        <f t="shared" si="103"/>
        <v>0.1502</v>
      </c>
      <c r="AA229" s="204">
        <f t="shared" si="91"/>
        <v>2.0863</v>
      </c>
      <c r="AB229" s="57" t="e">
        <f>VLOOKUP(A229,Enforcements!$C$7:$K$13,8,0)</f>
        <v>#N/A</v>
      </c>
      <c r="AC229" s="53" t="e">
        <f>VLOOKUP(A229,Enforcements!$C$7:$E$13,3,0)</f>
        <v>#N/A</v>
      </c>
      <c r="AD229" s="54" t="str">
        <f t="shared" si="92"/>
        <v>58-30</v>
      </c>
      <c r="AE229" s="80" t="str">
        <f t="shared" si="93"/>
        <v>aws s3 cp s3://rtdc.mdm.uploadarchive.raw/RTDC4029/ "%USERPROFILE%\AppData\Local\Temp\OnboardLogs"\RTDC4029\2017-05-30 --exclude "*" --recursive --include "*20170530*" &amp; "%USERPROFILE%\Documents\GitHub\mrs-test-scripts\Headless Mode &amp; Sideloading\WalkAndUnGZ.bat" "%USERPROFILE%\AppData\Local\Temp\OnboardLogs"\RTDC4029\2017-05-30 &amp; aws s3 cp s3://rtdc.mdm.uploadarchive.raw/RTDC4029/ "%USERPROFILE%\AppData\Local\Temp\OnboardLogs"\RTDC4029\2017-05-31 --exclude "*" --recursive --include "*20170531*" &amp; "%USERPROFILE%\Documents\GitHub\mrs-test-scripts\Headless Mode &amp; Sideloading\WalkAndUnGZ.bat" "%USERPROFILE%\AppData\Local\Temp\OnboardLogs"\RTDC4029\2017-05-31</v>
      </c>
      <c r="AF229" s="77" t="str">
        <f t="shared" si="94"/>
        <v>"C:\Program Files (x86)\AstroGrep\AstroGrep.exe" /e /r /s /spath="%USERPROFILE%\AppData\Local\Temp\OnboardLogs" /stypes="app*4029*20170530*" /stext=" 18:.+((SYSTEM_STATE.+slice.+state.+changed )|(ment ac)|(multiple cpu faults)|(system.+state.+changed )|(\[timeout)|(PRM\|1\|D)|(kpr)|(kdp)|(train st.+moving)|(\|lc)|(penalty))"</v>
      </c>
      <c r="AG229" s="1" t="str">
        <f t="shared" si="95"/>
        <v>Other</v>
      </c>
      <c r="AH229" s="81" t="str">
        <f t="shared" si="96"/>
        <v>"%USERPROFILE%\Documents\GitHub\eaglep3\Utilities\RefineRTDCRunTimes.py" --tripid 58-30 --locoid 4029 --swversion DE.1.0.9.0 --startMP 300:22365 --initTime 2017-05-30T11:54:08 --startdatetime 2017-05-30T12:01:40 --delay 7 --endMP 204:1502 --enddatetime 2017-05-30T12:08:48 --enforcementcount 0 &gt;&gt;C:\Users\stu\Documents\GitHub\eaglep3-reporting\EC\2017-05-30-refined-times.txt</v>
      </c>
      <c r="AI229" s="99" t="str">
        <f t="shared" si="97"/>
        <v>echo {"issue":{"subject":"","project_id":79,"tracker_id":40,"status_id":1,"priority_id":2,"assigned_to_id":23,"start_date":"2017-05-30","description":"","custom_fields":[{"id":1,"name":"Subdivision","value":"Other"},{"id":4,"name":"Milepost","value":"0.1502"},{"id":17,"name":"Train ID","value":"58-30"},{"id":16,"name":"Locomotive ID","value":"4029"},{"id":130,"name":"Impact","value":""},{"id":150,"name":"Time of Event (Mountain Time)","value":"12:08:48"},{"id":151,"name":"Denver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5" t="str">
        <f t="shared" si="98"/>
        <v>start /low /b %USERPROFILE%\Documents\GitHub\eaglep3\Utilities\DownloadLogsFromS3.py --loco 4029 --day 2017-05-30</v>
      </c>
      <c r="AN229" s="154" t="str">
        <f t="shared" si="99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18:08:48"},{"id":29,"name":"Sharepoint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0" spans="1:40" x14ac:dyDescent="0.25">
      <c r="A230" s="32" t="s">
        <v>761</v>
      </c>
      <c r="B230" s="7">
        <v>4030</v>
      </c>
      <c r="C230" s="21" t="s">
        <v>204</v>
      </c>
      <c r="D230" s="21" t="s">
        <v>937</v>
      </c>
      <c r="E230" s="13">
        <v>42885.516423611109</v>
      </c>
      <c r="F230" s="13">
        <v>42885.517812500002</v>
      </c>
      <c r="G230" s="7">
        <v>1</v>
      </c>
      <c r="H230" s="21" t="s">
        <v>938</v>
      </c>
      <c r="I230" s="13">
        <v>42885.522997685184</v>
      </c>
      <c r="J230" s="7">
        <v>0</v>
      </c>
      <c r="K230" s="92" t="str">
        <f t="shared" si="86"/>
        <v>4029/4030</v>
      </c>
      <c r="L230" s="21" t="str">
        <f>VLOOKUP(A230,'Trips&amp;Operators'!$C$1:$G$99999,5,FALSE)</f>
        <v>LOZA FIDEL</v>
      </c>
      <c r="M230" s="6">
        <f t="shared" si="87"/>
        <v>5.1851851821993478E-3</v>
      </c>
      <c r="N230" s="7">
        <f t="shared" si="101"/>
        <v>7.4666666623670608</v>
      </c>
      <c r="O230" s="7"/>
      <c r="P230" s="7"/>
      <c r="Q230" s="22"/>
      <c r="R230" s="173"/>
      <c r="S230" s="176">
        <f t="shared" si="100"/>
        <v>0</v>
      </c>
      <c r="T230" s="202" t="e">
        <f t="shared" si="88"/>
        <v>#VALUE!</v>
      </c>
      <c r="U230" s="202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203" t="str">
        <f t="shared" si="89"/>
        <v>https://d0f6bd738d7f1b3e5a7ca70fe4ff75f0.us-east-1.aws.found.io/app/kibana#/discover/Steve-Slow-Train-Analysis-(2080s-and-2083s)?_g=(refreshInterval:(display:Off,pause:!f,section:0,value:0),time:(from:'2017-05-30T11:23:39-0600',mode:absolute,to:'2017-05-30T13:33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30" s="204" t="str">
        <f t="shared" si="90"/>
        <v>Y</v>
      </c>
      <c r="X230" s="204" t="e">
        <f t="shared" si="82"/>
        <v>#VALUE!</v>
      </c>
      <c r="Y230" s="204">
        <f t="shared" si="102"/>
        <v>0.1157</v>
      </c>
      <c r="Z230" s="204">
        <f t="shared" si="103"/>
        <v>2.4226000000000001</v>
      </c>
      <c r="AA230" s="204">
        <f t="shared" si="91"/>
        <v>2.3069000000000002</v>
      </c>
      <c r="AB230" s="57" t="e">
        <f>VLOOKUP(A230,Enforcements!$C$7:$K$13,8,0)</f>
        <v>#N/A</v>
      </c>
      <c r="AC230" s="53" t="e">
        <f>VLOOKUP(A230,Enforcements!$C$7:$E$13,3,0)</f>
        <v>#N/A</v>
      </c>
      <c r="AD230" s="54" t="str">
        <f t="shared" si="92"/>
        <v>59-30</v>
      </c>
      <c r="AE230" s="80" t="str">
        <f t="shared" si="93"/>
        <v>aws s3 cp s3://rtdc.mdm.uploadarchive.raw/RTDC4030/ "%USERPROFILE%\AppData\Local\Temp\OnboardLogs"\RTDC4030\2017-05-30 --exclude "*" --recursive --include "*20170530*" &amp; "%USERPROFILE%\Documents\GitHub\mrs-test-scripts\Headless Mode &amp; Sideloading\WalkAndUnGZ.bat" "%USERPROFILE%\AppData\Local\Temp\OnboardLogs"\RTDC4030\2017-05-30 &amp; aws s3 cp s3://rtdc.mdm.uploadarchive.raw/RTDC4030/ "%USERPROFILE%\AppData\Local\Temp\OnboardLogs"\RTDC4030\2017-05-31 --exclude "*" --recursive --include "*20170531*" &amp; "%USERPROFILE%\Documents\GitHub\mrs-test-scripts\Headless Mode &amp; Sideloading\WalkAndUnGZ.bat" "%USERPROFILE%\AppData\Local\Temp\OnboardLogs"\RTDC4030\2017-05-31</v>
      </c>
      <c r="AF230" s="77" t="str">
        <f t="shared" si="94"/>
        <v>"C:\Program Files (x86)\AstroGrep\AstroGrep.exe" /e /r /s /spath="%USERPROFILE%\AppData\Local\Temp\OnboardLogs" /stypes="app*4030*20170530*" /stext=" 18:.+((SYSTEM_STATE.+slice.+state.+changed )|(ment ac)|(multiple cpu faults)|(system.+state.+changed )|(\[timeout)|(PRM\|1\|D)|(kpr)|(kdp)|(train st.+moving)|(\|lc)|(penalty))"</v>
      </c>
      <c r="AG230" s="1" t="str">
        <f t="shared" si="95"/>
        <v>Other</v>
      </c>
      <c r="AH230" s="81" t="str">
        <f t="shared" si="96"/>
        <v>"%USERPROFILE%\Documents\GitHub\eaglep3\Utilities\RefineRTDCRunTimes.py" --tripid 59-30 --locoid 4030 --swversion DE.1.0.9.0 --startMP 204:1157 --initTime 2017-05-30T12:23:39 --startdatetime 2017-05-30T12:25:39 --delay 1 --endMP 300:24226 --enddatetime 2017-05-30T12:33:07 --enforcementcount 0 &gt;&gt;C:\Users\stu\Documents\GitHub\eaglep3-reporting\EC\2017-05-30-refined-times.txt</v>
      </c>
      <c r="AI230" s="99" t="str">
        <f t="shared" si="97"/>
        <v>echo {"issue":{"subject":"","project_id":79,"tracker_id":40,"status_id":1,"priority_id":2,"assigned_to_id":23,"start_date":"2017-05-30","description":"","custom_fields":[{"id":1,"name":"Subdivision","value":"Other"},{"id":4,"name":"Milepost","value":"2.4226"},{"id":17,"name":"Train ID","value":"59-30"},{"id":16,"name":"Locomotive ID","value":"4030"},{"id":130,"name":"Impact","value":""},{"id":150,"name":"Time of Event (Mountain Time)","value":"12:33:07"},{"id":151,"name":"Denver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5" t="str">
        <f t="shared" si="98"/>
        <v>start /low /b %USERPROFILE%\Documents\GitHub\eaglep3\Utilities\DownloadLogsFromS3.py --loco 4030 --day 2017-05-30</v>
      </c>
      <c r="AN230" s="154" t="str">
        <f t="shared" si="99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18:33:07"},{"id":29,"name":"Sharepoint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1" spans="1:40" x14ac:dyDescent="0.25">
      <c r="A231" s="32" t="s">
        <v>813</v>
      </c>
      <c r="B231" s="7">
        <v>4062</v>
      </c>
      <c r="C231" s="21" t="s">
        <v>204</v>
      </c>
      <c r="D231" s="21" t="s">
        <v>939</v>
      </c>
      <c r="E231" s="13">
        <v>42885.722881944443</v>
      </c>
      <c r="F231" s="13">
        <v>42885.733807870369</v>
      </c>
      <c r="G231" s="7">
        <v>1</v>
      </c>
      <c r="H231" s="21" t="s">
        <v>616</v>
      </c>
      <c r="I231" s="13">
        <v>42885.742835648147</v>
      </c>
      <c r="J231" s="7">
        <v>0</v>
      </c>
      <c r="K231" s="92" t="str">
        <f t="shared" si="86"/>
        <v>4061/4062</v>
      </c>
      <c r="L231" s="21" t="str">
        <f>VLOOKUP(A231,'Trips&amp;Operators'!$C$1:$G$99999,5,FALSE)</f>
        <v>NEWELL JAMES</v>
      </c>
      <c r="M231" s="6">
        <f t="shared" si="87"/>
        <v>9.0277777781011537E-3</v>
      </c>
      <c r="N231" s="7">
        <f t="shared" si="101"/>
        <v>13.000000000465661</v>
      </c>
      <c r="O231" s="7"/>
      <c r="P231" s="7"/>
      <c r="Q231" s="22"/>
      <c r="R231" s="173"/>
      <c r="S231" s="176">
        <f t="shared" si="100"/>
        <v>0</v>
      </c>
      <c r="T231" s="202" t="e">
        <f t="shared" si="88"/>
        <v>#VALUE!</v>
      </c>
      <c r="U231" s="202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203" t="str">
        <f t="shared" si="89"/>
        <v>https://d0f6bd738d7f1b3e5a7ca70fe4ff75f0.us-east-1.aws.found.io/app/kibana#/discover/Steve-Slow-Train-Analysis-(2080s-and-2083s)?_g=(refreshInterval:(display:Off,pause:!f,section:0,value:0),time:(from:'2017-05-30T16:20:57-0600',mode:absolute,to:'2017-05-30T18:49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31" s="204" t="str">
        <f t="shared" si="90"/>
        <v>Y</v>
      </c>
      <c r="X231" s="204" t="e">
        <f t="shared" si="82"/>
        <v>#VALUE!</v>
      </c>
      <c r="Y231" s="204">
        <f t="shared" si="102"/>
        <v>0.1148</v>
      </c>
      <c r="Z231" s="204">
        <f t="shared" si="103"/>
        <v>2.331</v>
      </c>
      <c r="AA231" s="204">
        <f t="shared" si="91"/>
        <v>2.2162000000000002</v>
      </c>
      <c r="AB231" s="57" t="e">
        <f>VLOOKUP(A231,Enforcements!$C$7:$K$13,8,0)</f>
        <v>#N/A</v>
      </c>
      <c r="AC231" s="53" t="e">
        <f>VLOOKUP(A231,Enforcements!$C$7:$E$13,3,0)</f>
        <v>#N/A</v>
      </c>
      <c r="AD231" s="54" t="str">
        <f t="shared" si="92"/>
        <v>67-30</v>
      </c>
      <c r="AE231" s="80" t="str">
        <f t="shared" si="93"/>
        <v>aws s3 cp s3://rtdc.mdm.uploadarchive.raw/RTDC4062/ "%USERPROFILE%\AppData\Local\Temp\OnboardLogs"\RTDC4062\2017-05-30 --exclude "*" --recursive --include "*20170530*" &amp; "%USERPROFILE%\Documents\GitHub\mrs-test-scripts\Headless Mode &amp; Sideloading\WalkAndUnGZ.bat" "%USERPROFILE%\AppData\Local\Temp\OnboardLogs"\RTDC4062\2017-05-30 &amp; aws s3 cp s3://rtdc.mdm.uploadarchive.raw/RTDC4062/ "%USERPROFILE%\AppData\Local\Temp\OnboardLogs"\RTDC4062\2017-05-31 --exclude "*" --recursive --include "*20170531*" &amp; "%USERPROFILE%\Documents\GitHub\mrs-test-scripts\Headless Mode &amp; Sideloading\WalkAndUnGZ.bat" "%USERPROFILE%\AppData\Local\Temp\OnboardLogs"\RTDC4062\2017-05-31</v>
      </c>
      <c r="AF231" s="77" t="str">
        <f t="shared" si="94"/>
        <v>"C:\Program Files (x86)\AstroGrep\AstroGrep.exe" /e /r /s /spath="%USERPROFILE%\AppData\Local\Temp\OnboardLogs" /stypes="app*4062*20170530*" /stext=" 23:.+((SYSTEM_STATE.+slice.+state.+changed )|(ment ac)|(multiple cpu faults)|(system.+state.+changed )|(\[timeout)|(PRM\|1\|D)|(kpr)|(kdp)|(train st.+moving)|(\|lc)|(penalty))"</v>
      </c>
      <c r="AG231" s="1" t="str">
        <f t="shared" si="95"/>
        <v>Other</v>
      </c>
      <c r="AH231" s="81" t="str">
        <f t="shared" si="96"/>
        <v>"%USERPROFILE%\Documents\GitHub\eaglep3\Utilities\RefineRTDCRunTimes.py" --tripid 67-30 --locoid 4062 --swversion DE.1.0.9.0 --startMP 204:1148 --initTime 2017-05-30T17:20:57 --startdatetime 2017-05-30T17:36:41 --delay 1 --endMP 300:23310 --enddatetime 2017-05-30T17:49:41 --enforcementcount 0 &gt;&gt;C:\Users\stu\Documents\GitHub\eaglep3-reporting\EC\2017-05-30-refined-times.txt</v>
      </c>
      <c r="AI231" s="99" t="str">
        <f t="shared" si="97"/>
        <v>echo {"issue":{"subject":"","project_id":79,"tracker_id":40,"status_id":1,"priority_id":2,"assigned_to_id":23,"start_date":"2017-05-30","description":"","custom_fields":[{"id":1,"name":"Subdivision","value":"Other"},{"id":4,"name":"Milepost","value":"2.331"},{"id":17,"name":"Train ID","value":"67-30"},{"id":16,"name":"Locomotive ID","value":"4062"},{"id":130,"name":"Impact","value":""},{"id":150,"name":"Time of Event (Mountain Time)","value":"17:49:41"},{"id":151,"name":"Denver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7"/>
      <c r="AL231" s="47"/>
      <c r="AM231" s="145" t="str">
        <f t="shared" si="98"/>
        <v>start /low /b %USERPROFILE%\Documents\GitHub\eaglep3\Utilities\DownloadLogsFromS3.py --loco 4062 --day 2017-05-30</v>
      </c>
      <c r="AN231" s="154" t="str">
        <f t="shared" si="99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23:49:41"},{"id":29,"name":"Sharepoint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2" spans="1:40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  <c r="AM232"/>
    </row>
    <row r="233" spans="1:40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  <c r="AM233"/>
    </row>
    <row r="234" spans="1:40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  <c r="AM234"/>
    </row>
    <row r="235" spans="1:40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  <c r="AM235"/>
    </row>
    <row r="236" spans="1:40" s="20" customForma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</row>
    <row r="237" spans="1:40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  <c r="AM237"/>
    </row>
    <row r="238" spans="1:40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  <c r="AM238"/>
    </row>
    <row r="239" spans="1:40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  <c r="AM239"/>
    </row>
    <row r="240" spans="1:40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3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39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39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39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  <row r="267" spans="1:3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  <c r="AM267"/>
    </row>
    <row r="268" spans="1:39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  <c r="AM268"/>
    </row>
    <row r="269" spans="1:39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  <c r="AM269"/>
    </row>
    <row r="270" spans="1:39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H270"/>
      <c r="AI270"/>
      <c r="AM270"/>
    </row>
    <row r="271" spans="1:39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H271"/>
      <c r="AI271"/>
      <c r="AM271"/>
    </row>
    <row r="272" spans="1:39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H272"/>
      <c r="AI272"/>
      <c r="AM272"/>
    </row>
    <row r="273" spans="1:39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H273"/>
      <c r="AI273"/>
      <c r="AM273"/>
    </row>
    <row r="274" spans="1:39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H274"/>
      <c r="AI274"/>
      <c r="AM274"/>
    </row>
    <row r="275" spans="1:39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H275"/>
      <c r="AI275"/>
      <c r="AM275"/>
    </row>
    <row r="276" spans="1:39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H276"/>
      <c r="AI276"/>
      <c r="AM276"/>
    </row>
    <row r="277" spans="1:39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H277"/>
      <c r="AI277"/>
      <c r="AM277"/>
    </row>
    <row r="278" spans="1:39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H278"/>
      <c r="AI278"/>
      <c r="AM278"/>
    </row>
    <row r="279" spans="1:39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H279"/>
      <c r="AI279"/>
      <c r="AM279"/>
    </row>
  </sheetData>
  <autoFilter ref="A12:AG276">
    <sortState ref="A13:AG276">
      <sortCondition ref="AG13:AG231"/>
      <sortCondition ref="AD13:AD231"/>
    </sortState>
  </autoFilter>
  <sortState ref="A13:AH200">
    <sortCondition ref="AG13:AG200"/>
    <sortCondition ref="AD13:AD200"/>
  </sortState>
  <mergeCells count="1">
    <mergeCell ref="A11:P11"/>
  </mergeCells>
  <conditionalFormatting sqref="W11:W12 W280:X1048576 W13:X231">
    <cfRule type="cellIs" dxfId="10" priority="401" operator="equal">
      <formula>"Y"</formula>
    </cfRule>
  </conditionalFormatting>
  <conditionalFormatting sqref="X280:X1048576 X13:X231">
    <cfRule type="cellIs" dxfId="9" priority="384" operator="greaterThan">
      <formula>1</formula>
    </cfRule>
  </conditionalFormatting>
  <conditionalFormatting sqref="X280:X1048576 X12:X231">
    <cfRule type="cellIs" dxfId="8" priority="381" operator="equal">
      <formula>0</formula>
    </cfRule>
  </conditionalFormatting>
  <conditionalFormatting sqref="A13:S231">
    <cfRule type="expression" dxfId="7" priority="375" stopIfTrue="1">
      <formula>$P13&gt;0</formula>
    </cfRule>
    <cfRule type="expression" dxfId="6" priority="376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77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A13:S231</xm:sqref>
        </x14:conditionalFormatting>
        <x14:conditionalFormatting xmlns:xm="http://schemas.microsoft.com/office/excel/2006/main">
          <x14:cfRule type="expression" priority="60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AK13:AK231</xm:sqref>
        </x14:dataValidation>
        <x14:dataValidation type="list" allowBlank="1" showInputMessage="1" showErrorMessage="1">
          <x14:formula1>
            <xm:f>'Redmine List Values'!$C$2:$C$15</xm:f>
          </x14:formula1>
          <xm:sqref>AL13:AL231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0"/>
  <sheetViews>
    <sheetView tabSelected="1" topLeftCell="A14" zoomScaleNormal="100" workbookViewId="0">
      <selection activeCell="A39" sqref="A39:P39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6" customWidth="1"/>
    <col min="5" max="5" width="13.140625" style="116" customWidth="1"/>
    <col min="6" max="6" width="5.7109375" style="116" customWidth="1"/>
    <col min="7" max="7" width="5.85546875" style="116" customWidth="1"/>
    <col min="8" max="8" width="7.85546875" style="116" customWidth="1"/>
    <col min="9" max="9" width="9" style="116" customWidth="1"/>
    <col min="10" max="10" width="11.5703125" style="116" hidden="1" customWidth="1"/>
    <col min="11" max="11" width="9.140625" style="116" customWidth="1"/>
    <col min="12" max="12" width="4.85546875" style="116" customWidth="1"/>
    <col min="13" max="13" width="7.85546875" style="2" customWidth="1"/>
    <col min="14" max="14" width="14.28515625" style="115" customWidth="1"/>
    <col min="15" max="15" width="4.42578125" style="179" customWidth="1"/>
    <col min="16" max="16" width="30.42578125" style="116" customWidth="1"/>
    <col min="17" max="17" width="5" hidden="1" customWidth="1"/>
    <col min="18" max="18" width="5.5703125" style="78" customWidth="1"/>
    <col min="19" max="19" width="5.5703125" style="85" customWidth="1"/>
    <col min="20" max="20" width="6" style="75" customWidth="1"/>
    <col min="21" max="21" width="5.140625" customWidth="1"/>
    <col min="22" max="22" width="18.5703125" style="43" customWidth="1"/>
    <col min="23" max="23" width="5.28515625" customWidth="1"/>
    <col min="24" max="24" width="6.7109375" hidden="1" customWidth="1"/>
    <col min="25" max="25" width="5" customWidth="1"/>
    <col min="26" max="26" width="5" style="160" customWidth="1"/>
    <col min="27" max="27" width="5.28515625" customWidth="1"/>
    <col min="28" max="28" width="5.5703125" customWidth="1"/>
    <col min="29" max="29" width="5.28515625" style="118" customWidth="1"/>
    <col min="30" max="30" width="6.7109375" customWidth="1"/>
    <col min="31" max="31" width="9.140625" style="145"/>
  </cols>
  <sheetData>
    <row r="1" spans="1:32" s="20" customFormat="1" ht="15.75" hidden="1" thickBot="1" x14ac:dyDescent="0.3">
      <c r="A1" s="8"/>
      <c r="D1" s="116"/>
      <c r="E1" s="116"/>
      <c r="F1" s="116"/>
      <c r="G1" s="116"/>
      <c r="H1" s="116"/>
      <c r="I1" s="116"/>
      <c r="J1" s="116"/>
      <c r="K1" s="116"/>
      <c r="L1" s="116"/>
      <c r="M1" s="2"/>
      <c r="N1" s="115"/>
      <c r="O1" s="179"/>
      <c r="P1" s="116"/>
      <c r="R1" s="78"/>
      <c r="S1" s="85"/>
      <c r="T1" s="75"/>
      <c r="V1" s="43"/>
      <c r="Z1" s="160"/>
      <c r="AC1" s="118"/>
      <c r="AE1" s="145"/>
    </row>
    <row r="2" spans="1:32" s="20" customFormat="1" x14ac:dyDescent="0.25">
      <c r="A2" s="8"/>
      <c r="D2" s="116"/>
      <c r="E2" s="116"/>
      <c r="F2" s="116"/>
      <c r="G2" s="116"/>
      <c r="H2" s="116"/>
      <c r="I2" s="116"/>
      <c r="J2" s="116"/>
      <c r="K2" s="116"/>
      <c r="L2" s="127" t="s">
        <v>80</v>
      </c>
      <c r="M2" s="111"/>
      <c r="N2" s="128"/>
      <c r="O2" s="207">
        <f>COUNTIF($O$7:$O$282,"=Y")</f>
        <v>2</v>
      </c>
      <c r="P2" s="113"/>
      <c r="R2" s="78"/>
      <c r="S2" s="85"/>
      <c r="T2" s="75"/>
      <c r="V2" s="43"/>
      <c r="Z2" s="160"/>
      <c r="AC2" s="119"/>
      <c r="AE2" s="145"/>
    </row>
    <row r="3" spans="1:32" s="20" customFormat="1" ht="15.75" thickBot="1" x14ac:dyDescent="0.3">
      <c r="A3" s="8"/>
      <c r="D3" s="116"/>
      <c r="E3" s="116"/>
      <c r="F3" s="116"/>
      <c r="G3" s="116"/>
      <c r="H3" s="116"/>
      <c r="I3" s="116"/>
      <c r="J3" s="116"/>
      <c r="K3" s="116"/>
      <c r="L3" s="129" t="s">
        <v>81</v>
      </c>
      <c r="M3" s="112"/>
      <c r="N3" s="130"/>
      <c r="O3" s="208">
        <f>COUNTA($O$7:$O$282)-O2</f>
        <v>34</v>
      </c>
      <c r="P3" s="113"/>
      <c r="R3" s="78"/>
      <c r="S3" s="85"/>
      <c r="T3" s="75"/>
      <c r="V3" s="43"/>
      <c r="Z3" s="160"/>
      <c r="AC3" s="119"/>
      <c r="AE3" s="145"/>
    </row>
    <row r="4" spans="1:32" s="20" customFormat="1" x14ac:dyDescent="0.25">
      <c r="A4" s="8"/>
      <c r="D4" s="116"/>
      <c r="E4" s="116"/>
      <c r="F4" s="116"/>
      <c r="G4" s="116"/>
      <c r="H4" s="116"/>
      <c r="I4" s="116"/>
      <c r="J4" s="116"/>
      <c r="K4" s="116"/>
      <c r="L4" s="116"/>
      <c r="M4" s="2"/>
      <c r="N4" s="115"/>
      <c r="O4" s="179"/>
      <c r="P4" s="116"/>
      <c r="R4" s="78"/>
      <c r="S4" s="85"/>
      <c r="T4" s="75"/>
      <c r="V4" s="43"/>
      <c r="Z4" s="160"/>
      <c r="AC4" s="119"/>
      <c r="AE4" s="145"/>
    </row>
    <row r="5" spans="1:32" s="10" customFormat="1" ht="15" customHeight="1" x14ac:dyDescent="0.25">
      <c r="A5" s="211" t="str">
        <f>"Eagle P3 Braking Events - "&amp;TEXT(Variables!$A$2,"YYYY-mm-dd")</f>
        <v>Eagle P3 Braking Events - 2017-05-30</v>
      </c>
      <c r="B5" s="211"/>
      <c r="C5" s="211"/>
      <c r="D5" s="211"/>
      <c r="E5" s="211"/>
      <c r="F5" s="211"/>
      <c r="G5" s="211"/>
      <c r="H5" s="211"/>
      <c r="I5" s="211"/>
      <c r="J5" s="211"/>
      <c r="K5" s="211"/>
      <c r="L5" s="211"/>
      <c r="M5" s="211"/>
      <c r="N5" s="211"/>
      <c r="O5" s="211"/>
      <c r="P5" s="131"/>
      <c r="R5" s="83"/>
      <c r="S5" s="86"/>
      <c r="T5" s="88"/>
      <c r="V5" s="44"/>
      <c r="AC5" s="120"/>
      <c r="AE5" s="147"/>
    </row>
    <row r="6" spans="1:32" s="110" customFormat="1" ht="69.75" customHeight="1" x14ac:dyDescent="0.2">
      <c r="A6" s="100" t="s">
        <v>38</v>
      </c>
      <c r="B6" s="101" t="s">
        <v>37</v>
      </c>
      <c r="C6" s="101" t="s">
        <v>36</v>
      </c>
      <c r="D6" s="117" t="s">
        <v>35</v>
      </c>
      <c r="E6" s="117" t="s">
        <v>34</v>
      </c>
      <c r="F6" s="117" t="s">
        <v>33</v>
      </c>
      <c r="G6" s="117" t="s">
        <v>32</v>
      </c>
      <c r="H6" s="117" t="s">
        <v>31</v>
      </c>
      <c r="I6" s="117" t="s">
        <v>151</v>
      </c>
      <c r="J6" s="117" t="s">
        <v>30</v>
      </c>
      <c r="K6" s="117" t="s">
        <v>29</v>
      </c>
      <c r="L6" s="117" t="s">
        <v>28</v>
      </c>
      <c r="M6" s="102" t="s">
        <v>152</v>
      </c>
      <c r="N6" s="132" t="s">
        <v>47</v>
      </c>
      <c r="O6" s="209" t="s">
        <v>27</v>
      </c>
      <c r="P6" s="117" t="s">
        <v>24</v>
      </c>
      <c r="Q6" s="103"/>
      <c r="R6" s="104" t="s">
        <v>89</v>
      </c>
      <c r="S6" s="105" t="s">
        <v>55</v>
      </c>
      <c r="T6" s="106" t="s">
        <v>88</v>
      </c>
      <c r="U6" s="101" t="s">
        <v>83</v>
      </c>
      <c r="V6" s="107" t="s">
        <v>84</v>
      </c>
      <c r="W6" s="103" t="s">
        <v>96</v>
      </c>
      <c r="X6" s="103" t="s">
        <v>97</v>
      </c>
      <c r="Y6" s="108" t="s">
        <v>145</v>
      </c>
      <c r="Z6" s="161" t="s">
        <v>146</v>
      </c>
      <c r="AA6" s="109" t="s">
        <v>119</v>
      </c>
      <c r="AB6" s="109" t="s">
        <v>147</v>
      </c>
      <c r="AC6" s="121" t="s">
        <v>171</v>
      </c>
      <c r="AD6" s="110" t="s">
        <v>188</v>
      </c>
      <c r="AE6" s="146" t="s">
        <v>197</v>
      </c>
    </row>
    <row r="7" spans="1:32" s="1" customFormat="1" x14ac:dyDescent="0.25">
      <c r="A7" s="31">
        <v>42885.603321759256</v>
      </c>
      <c r="B7" s="30" t="s">
        <v>474</v>
      </c>
      <c r="C7" s="30" t="s">
        <v>651</v>
      </c>
      <c r="D7" s="30" t="s">
        <v>49</v>
      </c>
      <c r="E7" s="30" t="s">
        <v>189</v>
      </c>
      <c r="F7" s="42">
        <v>370</v>
      </c>
      <c r="G7" s="42">
        <v>488</v>
      </c>
      <c r="H7" s="42">
        <v>61563</v>
      </c>
      <c r="I7" s="42">
        <v>63250</v>
      </c>
      <c r="J7" s="30" t="s">
        <v>190</v>
      </c>
      <c r="K7" s="42">
        <v>63069</v>
      </c>
      <c r="L7" s="134" t="s">
        <v>50</v>
      </c>
      <c r="M7" s="135">
        <f t="shared" ref="M7:M42" si="0">CONVERT((I7-K7)/10000,"mi","ft")*IF(L7="Increasing Mileposts (1)",-1,1)</f>
        <v>-95.567999999999998</v>
      </c>
      <c r="N7" s="136" t="str">
        <f>VLOOKUP(C7,'Trips&amp;Operators'!$C$1:$G$99999,5,FALSE)</f>
        <v>CHANDLER KELVIN</v>
      </c>
      <c r="O7" s="210" t="s">
        <v>182</v>
      </c>
      <c r="P7" s="137" t="s">
        <v>406</v>
      </c>
      <c r="Q7" s="30"/>
      <c r="R7" s="84" t="str">
        <f>IF(VLOOKUP(C7,'Train Runs'!$A$13:$AE$9935,1,1)=C7,VLOOKUP(C7,'Train Runs'!$A$13:$AE$9935,31,1),NA())</f>
        <v>aws s3 cp s3://rtdc.mdm.uploadarchive.raw/RTDC4020/ "%USERPROFILE%\AppData\Local\Temp\OnboardLogs"\RTDC4020\2017-05-30 --exclude "*" --recursive --include "*20170530*" &amp; "%USERPROFILE%\Documents\GitHub\mrs-test-scripts\Headless Mode &amp; Sideloading\WalkAndUnGZ.bat" "%USERPROFILE%\AppData\Local\Temp\OnboardLogs"\RTDC4020\2017-05-30 &amp; aws s3 cp s3://rtdc.mdm.uploadarchive.raw/RTDC4020/ "%USERPROFILE%\AppData\Local\Temp\OnboardLogs"\RTDC4020\2017-05-31 --exclude "*" --recursive --include "*20170531*" &amp; "%USERPROFILE%\Documents\GitHub\mrs-test-scripts\Headless Mode &amp; Sideloading\WalkAndUnGZ.bat" "%USERPROFILE%\AppData\Local\Temp\OnboardLogs"\RTDC4020\2017-05-31</v>
      </c>
      <c r="S7" s="87" t="str">
        <f>VLOOKUP(C7,'Train Runs'!$A$13:$AE$9935,22,0)</f>
        <v>https://d0f6bd738d7f1b3e5a7ca70fe4ff75f0.us-east-1.aws.found.io/app/kibana#/discover/Steve-Slow-Train-Analysis-(2080s-and-2083s)?_g=(refreshInterval:(display:Off,pause:!f,section:0,value:0),time:(from:'2017-05-30T13:14:08-0600',mode:absolute,to:'2017-05-30T15:52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7" s="89" t="str">
        <f t="shared" ref="T7:T42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/stypes="*4020*201705302*" /stext=" 20:.+((SYSTEM_STATE.+slice.+state.+changed )|(ment ac)|(multiple cpu faults)|(system.+state.+changed )|(\[timeout)|(PRM\|1\|D)|(kpr)|(kdp)|(train st.+moving)|(\|lc)|(penalty))"</v>
      </c>
      <c r="U7" s="9" t="str">
        <f t="shared" ref="U7:U42" si="2">MID(B7,13,4)</f>
        <v>4020</v>
      </c>
      <c r="V7" s="31">
        <f t="shared" ref="V7:V42" si="3">A7-utc_offset/24</f>
        <v>42885.853321759256</v>
      </c>
      <c r="W7" s="45" t="str">
        <f t="shared" ref="W7:W42" si="4">IFERROR(IF(VALUE(LEFT(IF(LEN(C7)=6,"0"&amp;C7,C7),2))&lt;=2,"EC",IF(OR(VALUE(LEFT(IF(LEN(C7)=6,"0"&amp;C7,C7),2))=8,VALUE(LEFT(IF(LEN(C7)=6,"0"&amp;C7,C7),2))=18),"NW","Other")),"Other")</f>
        <v>EC</v>
      </c>
      <c r="X7" s="45" t="str">
        <f t="shared" ref="X7:X42" si="5">IF(AND(E7="TRACK WARRANT AUTHORITY",G7&lt;10),"OMIT","KEEP")</f>
        <v>KEEP</v>
      </c>
      <c r="Y7" s="99" t="str">
        <f t="shared" ref="Y7:Y42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arrival","project_id":79,"tracker_id":40,"status_id":1,"priority_id":2,"assigned_to_id":23,"start_date":"2017-05-30","description":"","custom_fields":[{"id":1,"name":"Subdivision","value":"EC"},{"id":4,"name":"Milepost","value":"6.3069"},{"id":17,"name":"Train ID","value":"185-30"},{"id":16,"name":"Locomotive ID","value":"4020"},{"id":130,"name":"Impact","value":""},{"id":150,"name":"Time of Event (Mountain Time)","value":"14:28:47"},{"id":151,"name":"Denver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62"/>
      <c r="AA7" s="47"/>
      <c r="AB7" s="47"/>
      <c r="AC7" s="118" t="str">
        <f t="shared" ref="AC7:AC42" si="7">"grep -hrE -A400 ""Enforcement Action"" "&amp;"/cygdrive/c/Users/stu/AppData/Local/Temp/OnboardLogs"&amp;"/RTDC"&amp;U7&amp;"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/cygdrive/c/Users/stu/AppData/Local/Temp/OnboardLogs/RTDC4020 --include="*4020*201705302*"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"%USERPROFILE%\AppData\Local\Temp\OnboardLogs"\RTDC4020\*4020*201705302* &gt;&gt; 2017-05-30-SliceDisagreementCheck.txt</v>
      </c>
      <c r="AE7" s="148" t="str">
        <f t="shared" ref="AE7" si="8">"start /low /b "&amp;dls3logs&amp;" --loco "&amp;U7&amp;" --day "&amp;TEXT(V7,"YYYY-MM-DD")</f>
        <v>start /low /b %USERPROFILE%\Documents\GitHub\eaglep3\Utilities\DownloadLogsFromS3.py --loco 4020 --day 2017-05-30</v>
      </c>
    </row>
    <row r="8" spans="1:32" s="1" customFormat="1" x14ac:dyDescent="0.25">
      <c r="A8" s="31">
        <v>42885.265185185184</v>
      </c>
      <c r="B8" s="30" t="s">
        <v>506</v>
      </c>
      <c r="C8" s="30" t="s">
        <v>638</v>
      </c>
      <c r="D8" s="30" t="s">
        <v>49</v>
      </c>
      <c r="E8" s="30" t="s">
        <v>189</v>
      </c>
      <c r="F8" s="42">
        <v>80</v>
      </c>
      <c r="G8" s="42">
        <v>130</v>
      </c>
      <c r="H8" s="42">
        <v>63770</v>
      </c>
      <c r="I8" s="42">
        <v>63577</v>
      </c>
      <c r="J8" s="30" t="s">
        <v>190</v>
      </c>
      <c r="K8" s="42">
        <v>63309</v>
      </c>
      <c r="L8" s="134" t="s">
        <v>51</v>
      </c>
      <c r="M8" s="135">
        <f t="shared" si="0"/>
        <v>141.50399999999999</v>
      </c>
      <c r="N8" s="136" t="str">
        <f>VLOOKUP(C8,'Trips&amp;Operators'!$C$1:$G$99999,5,FALSE)</f>
        <v>STARKS ANGELINA</v>
      </c>
      <c r="O8" s="210" t="s">
        <v>182</v>
      </c>
      <c r="P8" s="137" t="s">
        <v>406</v>
      </c>
      <c r="Q8" s="30"/>
      <c r="R8" s="84" t="str">
        <f>IF(VLOOKUP(C8,'Train Runs'!$A$13:$AE$9935,1,1)=C8,VLOOKUP(C8,'Train Runs'!$A$13:$AE$9935,31,1),NA())</f>
        <v>aws s3 cp s3://rtdc.mdm.uploadarchive.raw/RTDC4031/ "%USERPROFILE%\AppData\Local\Temp\OnboardLogs"\RTDC4031\2017-05-30 --exclude "*" --recursive --include "*20170530*" &amp; "%USERPROFILE%\Documents\GitHub\mrs-test-scripts\Headless Mode &amp; Sideloading\WalkAndUnGZ.bat" "%USERPROFILE%\AppData\Local\Temp\OnboardLogs"\RTDC4031\2017-05-30 &amp; aws s3 cp s3://rtdc.mdm.uploadarchive.raw/RTDC4031/ "%USERPROFILE%\AppData\Local\Temp\OnboardLogs"\RTDC4031\2017-05-31 --exclude "*" --recursive --include "*20170531*" &amp; "%USERPROFILE%\Documents\GitHub\mrs-test-scripts\Headless Mode &amp; Sideloading\WalkAndUnGZ.bat" "%USERPROFILE%\AppData\Local\Temp\OnboardLogs"\RTDC4031\2017-05-31</v>
      </c>
      <c r="S8" s="87" t="str">
        <f>VLOOKUP(C8,'Train Runs'!$A$13:$AE$9935,22,0)</f>
        <v>https://d0f6bd738d7f1b3e5a7ca70fe4ff75f0.us-east-1.aws.found.io/app/kibana#/discover/Steve-Slow-Train-Analysis-(2080s-and-2083s)?_g=(refreshInterval:(display:Off,pause:!f,section:0,value:0),time:(from:'2017-05-30T04:47:50-0600',mode:absolute,to:'2017-05-30T07:36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8" s="89" t="str">
        <f t="shared" si="1"/>
        <v>"C:\Program Files (x86)\AstroGrep\AstroGrep.exe" /e /r /s /spath="%USERPROFILE%\AppData\Local\Temp\OnboardLogs" /stypes="*4031*201705301*" /stext=" 12:.+((SYSTEM_STATE.+slice.+state.+changed )|(ment ac)|(multiple cpu faults)|(system.+state.+changed )|(\[timeout)|(PRM\|1\|D)|(kpr)|(kdp)|(train st.+moving)|(\|lc)|(penalty))"</v>
      </c>
      <c r="U8" s="9" t="str">
        <f t="shared" si="2"/>
        <v>4031</v>
      </c>
      <c r="V8" s="31">
        <f t="shared" si="3"/>
        <v>42885.515185185184</v>
      </c>
      <c r="W8" s="45" t="str">
        <f t="shared" si="4"/>
        <v>EC</v>
      </c>
      <c r="X8" s="45" t="str">
        <f t="shared" si="5"/>
        <v>KEEP</v>
      </c>
      <c r="Y8" s="99" t="str">
        <f t="shared" si="6"/>
        <v>echo {"issue":{"subject":"Early arrival","project_id":79,"tracker_id":40,"status_id":1,"priority_id":2,"assigned_to_id":23,"start_date":"2017-05-30","description":"","custom_fields":[{"id":1,"name":"Subdivision","value":"EC"},{"id":4,"name":"Milepost","value":"6.3309"},{"id":17,"name":"Train ID","value":"112-30"},{"id":16,"name":"Locomotive ID","value":"4031"},{"id":130,"name":"Impact","value":""},{"id":150,"name":"Time of Event (Mountain Time)","value":"06:21:52"},{"id":151,"name":"Denver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62"/>
      <c r="AA8" s="47"/>
      <c r="AB8" s="47"/>
      <c r="AC8" s="118" t="str">
        <f t="shared" si="7"/>
        <v>grep -hrE -A400 "Enforcement Action" /cygdrive/c/Users/stu/AppData/Local/Temp/OnboardLogs/RTDC4031 --include="*4031*201705301*"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"%USERPROFILE%\AppData\Local\Temp\OnboardLogs"\RTDC4031\*4031*201705301* &gt;&gt; 2017-05-30-SliceDisagreementCheck.txt</v>
      </c>
      <c r="AE8" s="148" t="str">
        <f t="shared" ref="AE8:AE42" si="9">"start /low /b "&amp;dls3logs&amp;" --loco "&amp;U8&amp;" --day "&amp;TEXT(V8,"YYYY-MM-DD")</f>
        <v>start /low /b %USERPROFILE%\Documents\GitHub\eaglep3\Utilities\DownloadLogsFromS3.py --loco 4031 --day 2017-05-30</v>
      </c>
    </row>
    <row r="9" spans="1:32" s="1" customFormat="1" x14ac:dyDescent="0.25">
      <c r="A9" s="31">
        <v>42885.488738425927</v>
      </c>
      <c r="B9" s="30" t="s">
        <v>506</v>
      </c>
      <c r="C9" s="30" t="s">
        <v>644</v>
      </c>
      <c r="D9" s="30" t="s">
        <v>49</v>
      </c>
      <c r="E9" s="30" t="s">
        <v>189</v>
      </c>
      <c r="F9" s="42">
        <v>100</v>
      </c>
      <c r="G9" s="42">
        <v>150</v>
      </c>
      <c r="H9" s="42">
        <v>63929</v>
      </c>
      <c r="I9" s="42">
        <v>63737</v>
      </c>
      <c r="J9" s="30" t="s">
        <v>190</v>
      </c>
      <c r="K9" s="42">
        <v>63309</v>
      </c>
      <c r="L9" s="134" t="s">
        <v>51</v>
      </c>
      <c r="M9" s="135">
        <f t="shared" si="0"/>
        <v>225.98400000000001</v>
      </c>
      <c r="N9" s="136" t="str">
        <f>VLOOKUP(C9,'Trips&amp;Operators'!$C$1:$G$99999,5,FALSE)</f>
        <v>LAMAR NEKESHA</v>
      </c>
      <c r="O9" s="210" t="s">
        <v>182</v>
      </c>
      <c r="P9" s="137" t="s">
        <v>406</v>
      </c>
      <c r="Q9" s="30"/>
      <c r="R9" s="84" t="str">
        <f>IF(VLOOKUP(C9,'Train Runs'!$A$13:$AE$9935,1,1)=C9,VLOOKUP(C9,'Train Runs'!$A$13:$AE$9935,31,1),NA())</f>
        <v>aws s3 cp s3://rtdc.mdm.uploadarchive.raw/RTDC4031/ "%USERPROFILE%\AppData\Local\Temp\OnboardLogs"\RTDC4031\2017-05-30 --exclude "*" --recursive --include "*20170530*" &amp; "%USERPROFILE%\Documents\GitHub\mrs-test-scripts\Headless Mode &amp; Sideloading\WalkAndUnGZ.bat" "%USERPROFILE%\AppData\Local\Temp\OnboardLogs"\RTDC4031\2017-05-30 &amp; aws s3 cp s3://rtdc.mdm.uploadarchive.raw/RTDC4031/ "%USERPROFILE%\AppData\Local\Temp\OnboardLogs"\RTDC4031\2017-05-31 --exclude "*" --recursive --include "*20170531*" &amp; "%USERPROFILE%\Documents\GitHub\mrs-test-scripts\Headless Mode &amp; Sideloading\WalkAndUnGZ.bat" "%USERPROFILE%\AppData\Local\Temp\OnboardLogs"\RTDC4031\2017-05-31</v>
      </c>
      <c r="S9" s="87" t="str">
        <f>VLOOKUP(C9,'Train Runs'!$A$13:$AE$9935,22,0)</f>
        <v>https://d0f6bd738d7f1b3e5a7ca70fe4ff75f0.us-east-1.aws.found.io/app/kibana#/discover/Steve-Slow-Train-Analysis-(2080s-and-2083s)?_g=(refreshInterval:(display:Off,pause:!f,section:0,value:0),time:(from:'2017-05-30T10:07:22-0600',mode:absolute,to:'2017-05-30T12:59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9" s="89" t="str">
        <f t="shared" si="1"/>
        <v>"C:\Program Files (x86)\AstroGrep\AstroGrep.exe" /e /r /s /spath="%USERPROFILE%\AppData\Local\Temp\OnboardLogs" /stypes="*4031*201705301*" /stext=" 17:.+((SYSTEM_STATE.+slice.+state.+changed )|(ment ac)|(multiple cpu faults)|(system.+state.+changed )|(\[timeout)|(PRM\|1\|D)|(kpr)|(kdp)|(train st.+moving)|(\|lc)|(penalty))"</v>
      </c>
      <c r="U9" s="9" t="str">
        <f t="shared" si="2"/>
        <v>4031</v>
      </c>
      <c r="V9" s="31">
        <f t="shared" si="3"/>
        <v>42885.738738425927</v>
      </c>
      <c r="W9" s="45" t="str">
        <f t="shared" si="4"/>
        <v>EC</v>
      </c>
      <c r="X9" s="45" t="str">
        <f t="shared" si="5"/>
        <v>KEEP</v>
      </c>
      <c r="Y9" s="99" t="str">
        <f t="shared" si="6"/>
        <v>echo {"issue":{"subject":"Early arrival","project_id":79,"tracker_id":40,"status_id":1,"priority_id":2,"assigned_to_id":23,"start_date":"2017-05-30","description":"","custom_fields":[{"id":1,"name":"Subdivision","value":"EC"},{"id":4,"name":"Milepost","value":"6.3309"},{"id":17,"name":"Train ID","value":"154-30"},{"id":16,"name":"Locomotive ID","value":"4031"},{"id":130,"name":"Impact","value":""},{"id":150,"name":"Time of Event (Mountain Time)","value":"11:43:47"},{"id":151,"name":"Denver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62"/>
      <c r="AA9" s="47"/>
      <c r="AB9" s="47"/>
      <c r="AC9" s="118" t="str">
        <f t="shared" si="7"/>
        <v>grep -hrE -A400 "Enforcement Action" /cygdrive/c/Users/stu/AppData/Local/Temp/OnboardLogs/RTDC4031 --include="*4031*201705301*"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"%USERPROFILE%\AppData\Local\Temp\OnboardLogs"\RTDC4031\*4031*201705301* &gt;&gt; 2017-05-30-SliceDisagreementCheck.txt</v>
      </c>
      <c r="AE9" s="148" t="str">
        <f t="shared" si="9"/>
        <v>start /low /b %USERPROFILE%\Documents\GitHub\eaglep3\Utilities\DownloadLogsFromS3.py --loco 4031 --day 2017-05-30</v>
      </c>
    </row>
    <row r="10" spans="1:32" s="1" customFormat="1" x14ac:dyDescent="0.25">
      <c r="A10" s="31">
        <v>42885.229560185187</v>
      </c>
      <c r="B10" s="30" t="s">
        <v>542</v>
      </c>
      <c r="C10" s="30" t="s">
        <v>637</v>
      </c>
      <c r="D10" s="30" t="s">
        <v>49</v>
      </c>
      <c r="E10" s="30" t="s">
        <v>189</v>
      </c>
      <c r="F10" s="42">
        <v>430</v>
      </c>
      <c r="G10" s="42">
        <v>486</v>
      </c>
      <c r="H10" s="42">
        <v>104698</v>
      </c>
      <c r="I10" s="42">
        <v>103151</v>
      </c>
      <c r="J10" s="30" t="s">
        <v>190</v>
      </c>
      <c r="K10" s="42">
        <v>103800</v>
      </c>
      <c r="L10" s="134" t="s">
        <v>51</v>
      </c>
      <c r="M10" s="135">
        <f t="shared" si="0"/>
        <v>-342.67200000000003</v>
      </c>
      <c r="N10" s="136" t="str">
        <f>VLOOKUP(C10,'Trips&amp;Operators'!$C$1:$G$99999,5,FALSE)</f>
        <v>MAELZER KURT</v>
      </c>
      <c r="O10" s="210" t="s">
        <v>182</v>
      </c>
      <c r="P10" s="137" t="s">
        <v>406</v>
      </c>
      <c r="Q10" s="30"/>
      <c r="R10" s="84" t="str">
        <f>IF(VLOOKUP(C10,'Train Runs'!$A$13:$AE$9935,1,1)=C10,VLOOKUP(C10,'Train Runs'!$A$13:$AE$9935,31,1),NA())</f>
        <v>aws s3 cp s3://rtdc.mdm.uploadarchive.raw/RTDC4017/ "%USERPROFILE%\AppData\Local\Temp\OnboardLogs"\RTDC4017\2017-05-30 --exclude "*" --recursive --include "*20170530*" &amp; "%USERPROFILE%\Documents\GitHub\mrs-test-scripts\Headless Mode &amp; Sideloading\WalkAndUnGZ.bat" "%USERPROFILE%\AppData\Local\Temp\OnboardLogs"\RTDC4017\2017-05-30 &amp; aws s3 cp s3://rtdc.mdm.uploadarchive.raw/RTDC4017/ "%USERPROFILE%\AppData\Local\Temp\OnboardLogs"\RTDC4017\2017-05-31 --exclude "*" --recursive --include "*20170531*" &amp; "%USERPROFILE%\Documents\GitHub\mrs-test-scripts\Headless Mode &amp; Sideloading\WalkAndUnGZ.bat" "%USERPROFILE%\AppData\Local\Temp\OnboardLogs"\RTDC4017\2017-05-31</v>
      </c>
      <c r="S10" s="87" t="str">
        <f>VLOOKUP(C10,'Train Runs'!$A$13:$AE$9935,22,0)</f>
        <v>https://d0f6bd738d7f1b3e5a7ca70fe4ff75f0.us-east-1.aws.found.io/app/kibana#/discover/Steve-Slow-Train-Analysis-(2080s-and-2083s)?_g=(refreshInterval:(display:Off,pause:!f,section:0,value:0),time:(from:'2017-05-30T03:58:49-0600',mode:absolute,to:'2017-05-30T06:51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0" s="89" t="str">
        <f t="shared" si="1"/>
        <v>"C:\Program Files (x86)\AstroGrep\AstroGrep.exe" /e /r /s /spath="%USERPROFILE%\AppData\Local\Temp\OnboardLogs" /stypes="*4017*201705301*" /stext=" 11:.+((SYSTEM_STATE.+slice.+state.+changed )|(ment ac)|(multiple cpu faults)|(system.+state.+changed )|(\[timeout)|(PRM\|1\|D)|(kpr)|(kdp)|(train st.+moving)|(\|lc)|(penalty))"</v>
      </c>
      <c r="U10" s="9" t="str">
        <f t="shared" si="2"/>
        <v>4017</v>
      </c>
      <c r="V10" s="31">
        <f t="shared" si="3"/>
        <v>42885.479560185187</v>
      </c>
      <c r="W10" s="45" t="str">
        <f t="shared" si="4"/>
        <v>EC</v>
      </c>
      <c r="X10" s="45" t="str">
        <f t="shared" si="5"/>
        <v>KEEP</v>
      </c>
      <c r="Y10" s="99" t="str">
        <f t="shared" si="6"/>
        <v>echo {"issue":{"subject":"Early arrival","project_id":79,"tracker_id":40,"status_id":1,"priority_id":2,"assigned_to_id":23,"start_date":"2017-05-30","description":"","custom_fields":[{"id":1,"name":"Subdivision","value":"EC"},{"id":4,"name":"Milepost","value":"10.38"},{"id":17,"name":"Train ID","value":"106-30"},{"id":16,"name":"Locomotive ID","value":"4017"},{"id":130,"name":"Impact","value":""},{"id":150,"name":"Time of Event (Mountain Time)","value":"05:30:34"},{"id":151,"name":"Denver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62"/>
      <c r="AA10" s="47"/>
      <c r="AB10" s="47"/>
      <c r="AC10" s="118" t="str">
        <f t="shared" si="7"/>
        <v>grep -hrE -A400 "Enforcement Action" /cygdrive/c/Users/stu/AppData/Local/Temp/OnboardLogs/RTDC4017 --include="*4017*201705301*"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"%USERPROFILE%\AppData\Local\Temp\OnboardLogs"\RTDC4017\*4017*201705301* &gt;&gt; 2017-05-30-SliceDisagreementCheck.txt</v>
      </c>
      <c r="AE10" s="148" t="str">
        <f t="shared" si="9"/>
        <v>start /low /b %USERPROFILE%\Documents\GitHub\eaglep3\Utilities\DownloadLogsFromS3.py --loco 4017 --day 2017-05-30</v>
      </c>
    </row>
    <row r="11" spans="1:32" s="1" customFormat="1" x14ac:dyDescent="0.25">
      <c r="A11" s="31">
        <v>42885.374803240738</v>
      </c>
      <c r="B11" s="30" t="s">
        <v>542</v>
      </c>
      <c r="C11" s="30" t="s">
        <v>642</v>
      </c>
      <c r="D11" s="30" t="s">
        <v>49</v>
      </c>
      <c r="E11" s="30" t="s">
        <v>189</v>
      </c>
      <c r="F11" s="42">
        <v>340</v>
      </c>
      <c r="G11" s="42">
        <v>390</v>
      </c>
      <c r="H11" s="42">
        <v>110219</v>
      </c>
      <c r="I11" s="42">
        <v>109041</v>
      </c>
      <c r="J11" s="30" t="s">
        <v>190</v>
      </c>
      <c r="K11" s="42">
        <v>109135</v>
      </c>
      <c r="L11" s="134" t="s">
        <v>51</v>
      </c>
      <c r="M11" s="135">
        <f t="shared" si="0"/>
        <v>-49.631999999999998</v>
      </c>
      <c r="N11" s="136" t="str">
        <f>VLOOKUP(C11,'Trips&amp;Operators'!$C$1:$G$99999,5,FALSE)</f>
        <v>YANAI IAN</v>
      </c>
      <c r="O11" s="210" t="s">
        <v>182</v>
      </c>
      <c r="P11" s="137" t="s">
        <v>406</v>
      </c>
      <c r="Q11" s="30"/>
      <c r="R11" s="84" t="str">
        <f>IF(VLOOKUP(C11,'Train Runs'!$A$13:$AE$9935,1,1)=C11,VLOOKUP(C11,'Train Runs'!$A$13:$AE$9935,31,1),NA())</f>
        <v>aws s3 cp s3://rtdc.mdm.uploadarchive.raw/RTDC4017/ "%USERPROFILE%\AppData\Local\Temp\OnboardLogs"\RTDC4017\2017-05-30 --exclude "*" --recursive --include "*20170530*" &amp; "%USERPROFILE%\Documents\GitHub\mrs-test-scripts\Headless Mode &amp; Sideloading\WalkAndUnGZ.bat" "%USERPROFILE%\AppData\Local\Temp\OnboardLogs"\RTDC4017\2017-05-30 &amp; aws s3 cp s3://rtdc.mdm.uploadarchive.raw/RTDC4017/ "%USERPROFILE%\AppData\Local\Temp\OnboardLogs"\RTDC4017\2017-05-31 --exclude "*" --recursive --include "*20170531*" &amp; "%USERPROFILE%\Documents\GitHub\mrs-test-scripts\Headless Mode &amp; Sideloading\WalkAndUnGZ.bat" "%USERPROFILE%\AppData\Local\Temp\OnboardLogs"\RTDC4017\2017-05-31</v>
      </c>
      <c r="S11" s="87" t="str">
        <f>VLOOKUP(C11,'Train Runs'!$A$13:$AE$9935,22,0)</f>
        <v>https://d0f6bd738d7f1b3e5a7ca70fe4ff75f0.us-east-1.aws.found.io/app/kibana#/discover/Steve-Slow-Train-Analysis-(2080s-and-2083s)?_g=(refreshInterval:(display:Off,pause:!f,section:0,value:0),time:(from:'2017-05-30T07:22:44-0600',mode:absolute,to:'2017-05-30T10:20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1" s="89" t="str">
        <f t="shared" si="1"/>
        <v>"C:\Program Files (x86)\AstroGrep\AstroGrep.exe" /e /r /s /spath="%USERPROFILE%\AppData\Local\Temp\OnboardLogs" /stypes="*4017*201705301*" /stext=" 14:.+((SYSTEM_STATE.+slice.+state.+changed )|(ment ac)|(multiple cpu faults)|(system.+state.+changed )|(\[timeout)|(PRM\|1\|D)|(kpr)|(kdp)|(train st.+moving)|(\|lc)|(penalty))"</v>
      </c>
      <c r="U11" s="9" t="str">
        <f t="shared" si="2"/>
        <v>4017</v>
      </c>
      <c r="V11" s="31">
        <f t="shared" si="3"/>
        <v>42885.624803240738</v>
      </c>
      <c r="W11" s="45" t="str">
        <f t="shared" si="4"/>
        <v>EC</v>
      </c>
      <c r="X11" s="45" t="str">
        <f t="shared" si="5"/>
        <v>KEEP</v>
      </c>
      <c r="Y11" s="99" t="str">
        <f t="shared" si="6"/>
        <v>echo {"issue":{"subject":"Early arrival","project_id":79,"tracker_id":40,"status_id":1,"priority_id":2,"assigned_to_id":23,"start_date":"2017-05-30","description":"","custom_fields":[{"id":1,"name":"Subdivision","value":"EC"},{"id":4,"name":"Milepost","value":"10.9135"},{"id":17,"name":"Train ID","value":"134-30"},{"id":16,"name":"Locomotive ID","value":"4017"},{"id":130,"name":"Impact","value":""},{"id":150,"name":"Time of Event (Mountain Time)","value":"08:59:43"},{"id":151,"name":"Denver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62"/>
      <c r="AA11" s="47"/>
      <c r="AB11" s="47"/>
      <c r="AC11" s="118" t="str">
        <f t="shared" si="7"/>
        <v>grep -hrE -A400 "Enforcement Action" /cygdrive/c/Users/stu/AppData/Local/Temp/OnboardLogs/RTDC4017 --include="*4017*201705301*"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"%USERPROFILE%\AppData\Local\Temp\OnboardLogs"\RTDC4017\*4017*201705301* &gt;&gt; 2017-05-30-SliceDisagreementCheck.txt</v>
      </c>
      <c r="AE11" s="148" t="str">
        <f t="shared" si="9"/>
        <v>start /low /b %USERPROFILE%\Documents\GitHub\eaglep3\Utilities\DownloadLogsFromS3.py --loco 4017 --day 2017-05-30</v>
      </c>
    </row>
    <row r="12" spans="1:32" s="1" customFormat="1" x14ac:dyDescent="0.25">
      <c r="A12" s="31">
        <v>42885.228726851848</v>
      </c>
      <c r="B12" s="30" t="s">
        <v>542</v>
      </c>
      <c r="C12" s="30" t="s">
        <v>637</v>
      </c>
      <c r="D12" s="30" t="s">
        <v>98</v>
      </c>
      <c r="E12" s="30" t="s">
        <v>189</v>
      </c>
      <c r="F12" s="42">
        <v>390</v>
      </c>
      <c r="G12" s="42">
        <v>452</v>
      </c>
      <c r="H12" s="42">
        <v>108938</v>
      </c>
      <c r="I12" s="42">
        <v>107060</v>
      </c>
      <c r="J12" s="30" t="s">
        <v>190</v>
      </c>
      <c r="K12" s="42">
        <v>109135</v>
      </c>
      <c r="L12" s="134" t="s">
        <v>51</v>
      </c>
      <c r="M12" s="135">
        <f t="shared" si="0"/>
        <v>-1095.5999999999999</v>
      </c>
      <c r="N12" s="136" t="str">
        <f>VLOOKUP(C12,'Trips&amp;Operators'!$C$1:$G$99999,5,FALSE)</f>
        <v>MAELZER KURT</v>
      </c>
      <c r="O12" s="210" t="s">
        <v>182</v>
      </c>
      <c r="P12" s="137" t="s">
        <v>406</v>
      </c>
      <c r="Q12" s="30"/>
      <c r="R12" s="84" t="str">
        <f>IF(VLOOKUP(C12,'Train Runs'!$A$13:$AE$9935,1,1)=C12,VLOOKUP(C12,'Train Runs'!$A$13:$AE$9935,31,1),NA())</f>
        <v>aws s3 cp s3://rtdc.mdm.uploadarchive.raw/RTDC4017/ "%USERPROFILE%\AppData\Local\Temp\OnboardLogs"\RTDC4017\2017-05-30 --exclude "*" --recursive --include "*20170530*" &amp; "%USERPROFILE%\Documents\GitHub\mrs-test-scripts\Headless Mode &amp; Sideloading\WalkAndUnGZ.bat" "%USERPROFILE%\AppData\Local\Temp\OnboardLogs"\RTDC4017\2017-05-30 &amp; aws s3 cp s3://rtdc.mdm.uploadarchive.raw/RTDC4017/ "%USERPROFILE%\AppData\Local\Temp\OnboardLogs"\RTDC4017\2017-05-31 --exclude "*" --recursive --include "*20170531*" &amp; "%USERPROFILE%\Documents\GitHub\mrs-test-scripts\Headless Mode &amp; Sideloading\WalkAndUnGZ.bat" "%USERPROFILE%\AppData\Local\Temp\OnboardLogs"\RTDC4017\2017-05-31</v>
      </c>
      <c r="S12" s="87" t="str">
        <f>VLOOKUP(C12,'Train Runs'!$A$13:$AE$9935,22,0)</f>
        <v>https://d0f6bd738d7f1b3e5a7ca70fe4ff75f0.us-east-1.aws.found.io/app/kibana#/discover/Steve-Slow-Train-Analysis-(2080s-and-2083s)?_g=(refreshInterval:(display:Off,pause:!f,section:0,value:0),time:(from:'2017-05-30T03:58:49-0600',mode:absolute,to:'2017-05-30T06:51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2" s="89" t="str">
        <f t="shared" si="1"/>
        <v>"C:\Program Files (x86)\AstroGrep\AstroGrep.exe" /e /r /s /spath="%USERPROFILE%\AppData\Local\Temp\OnboardLogs" /stypes="*4017*201705301*" /stext=" 11:.+((SYSTEM_STATE.+slice.+state.+changed )|(ment ac)|(multiple cpu faults)|(system.+state.+changed )|(\[timeout)|(PRM\|1\|D)|(kpr)|(kdp)|(train st.+moving)|(\|lc)|(penalty))"</v>
      </c>
      <c r="U12" s="9" t="str">
        <f t="shared" si="2"/>
        <v>4017</v>
      </c>
      <c r="V12" s="31">
        <f t="shared" si="3"/>
        <v>42885.478726851848</v>
      </c>
      <c r="W12" s="45" t="str">
        <f t="shared" si="4"/>
        <v>EC</v>
      </c>
      <c r="X12" s="45" t="str">
        <f t="shared" si="5"/>
        <v>KEEP</v>
      </c>
      <c r="Y12" s="99" t="str">
        <f t="shared" si="6"/>
        <v>echo {"issue":{"subject":"Early arrival","project_id":79,"tracker_id":40,"status_id":1,"priority_id":2,"assigned_to_id":23,"start_date":"2017-05-30","description":"","custom_fields":[{"id":1,"name":"Subdivision","value":"EC"},{"id":4,"name":"Milepost","value":"10.9135"},{"id":17,"name":"Train ID","value":"106-30"},{"id":16,"name":"Locomotive ID","value":"4017"},{"id":130,"name":"Impact","value":""},{"id":150,"name":"Time of Event (Mountain Time)","value":"05:29:22"},{"id":151,"name":"Denver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62"/>
      <c r="AA12" s="47"/>
      <c r="AB12" s="47"/>
      <c r="AC12" s="118" t="str">
        <f t="shared" si="7"/>
        <v>grep -hrE -A400 "Enforcement Action" /cygdrive/c/Users/stu/AppData/Local/Temp/OnboardLogs/RTDC4017 --include="*4017*201705301*"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"%USERPROFILE%\AppData\Local\Temp\OnboardLogs"\RTDC4017\*4017*201705301* &gt;&gt; 2017-05-30-SliceDisagreementCheck.txt</v>
      </c>
      <c r="AE12" s="148" t="str">
        <f t="shared" si="9"/>
        <v>start /low /b %USERPROFILE%\Documents\GitHub\eaglep3\Utilities\DownloadLogsFromS3.py --loco 4017 --day 2017-05-30</v>
      </c>
    </row>
    <row r="13" spans="1:32" s="1" customFormat="1" x14ac:dyDescent="0.25">
      <c r="A13" s="31">
        <v>42885.551145833335</v>
      </c>
      <c r="B13" s="30" t="s">
        <v>474</v>
      </c>
      <c r="C13" s="30" t="s">
        <v>649</v>
      </c>
      <c r="D13" s="30" t="s">
        <v>49</v>
      </c>
      <c r="E13" s="30" t="s">
        <v>202</v>
      </c>
      <c r="F13" s="42">
        <v>600</v>
      </c>
      <c r="G13" s="42">
        <v>660</v>
      </c>
      <c r="H13" s="42">
        <v>182605</v>
      </c>
      <c r="I13" s="42">
        <v>185059</v>
      </c>
      <c r="J13" s="30" t="s">
        <v>203</v>
      </c>
      <c r="K13" s="42">
        <v>183829</v>
      </c>
      <c r="L13" s="134" t="s">
        <v>50</v>
      </c>
      <c r="M13" s="135">
        <f t="shared" si="0"/>
        <v>-649.44000000000005</v>
      </c>
      <c r="N13" s="136" t="str">
        <f>VLOOKUP(C13,'Trips&amp;Operators'!$C$1:$G$99999,5,FALSE)</f>
        <v>DAVIS MICHAEL</v>
      </c>
      <c r="O13" s="210" t="s">
        <v>182</v>
      </c>
      <c r="P13" s="137"/>
      <c r="Q13" s="30"/>
      <c r="R13" s="84" t="str">
        <f>IF(VLOOKUP(C13,'Train Runs'!$A$13:$AE$9935,1,1)=C13,VLOOKUP(C13,'Train Runs'!$A$13:$AE$9935,31,1),NA())</f>
        <v>aws s3 cp s3://rtdc.mdm.uploadarchive.raw/RTDC4020/ "%USERPROFILE%\AppData\Local\Temp\OnboardLogs"\RTDC4020\2017-05-30 --exclude "*" --recursive --include "*20170530*" &amp; "%USERPROFILE%\Documents\GitHub\mrs-test-scripts\Headless Mode &amp; Sideloading\WalkAndUnGZ.bat" "%USERPROFILE%\AppData\Local\Temp\OnboardLogs"\RTDC4020\2017-05-30 &amp; aws s3 cp s3://rtdc.mdm.uploadarchive.raw/RTDC4020/ "%USERPROFILE%\AppData\Local\Temp\OnboardLogs"\RTDC4020\2017-05-31 --exclude "*" --recursive --include "*20170531*" &amp; "%USERPROFILE%\Documents\GitHub\mrs-test-scripts\Headless Mode &amp; Sideloading\WalkAndUnGZ.bat" "%USERPROFILE%\AppData\Local\Temp\OnboardLogs"\RTDC4020\2017-05-31</v>
      </c>
      <c r="S13" s="87" t="str">
        <f>VLOOKUP(C13,'Train Runs'!$A$13:$AE$9935,22,0)</f>
        <v>https://d0f6bd738d7f1b3e5a7ca70fe4ff75f0.us-east-1.aws.found.io/app/kibana#/discover/Steve-Slow-Train-Analysis-(2080s-and-2083s)?_g=(refreshInterval:(display:Off,pause:!f,section:0,value:0),time:(from:'2017-05-30T11:29:10-0600',mode:absolute,to:'2017-05-30T14:21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13" s="89" t="str">
        <f t="shared" si="1"/>
        <v>"C:\Program Files (x86)\AstroGrep\AstroGrep.exe" /e /r /s /spath="%USERPROFILE%\AppData\Local\Temp\OnboardLogs" /stypes="*4020*201705301*" /stext=" 19:.+((SYSTEM_STATE.+slice.+state.+changed )|(ment ac)|(multiple cpu faults)|(system.+state.+changed )|(\[timeout)|(PRM\|1\|D)|(kpr)|(kdp)|(train st.+moving)|(\|lc)|(penalty))"</v>
      </c>
      <c r="U13" s="9" t="str">
        <f t="shared" si="2"/>
        <v>4020</v>
      </c>
      <c r="V13" s="31">
        <f t="shared" si="3"/>
        <v>42885.801145833335</v>
      </c>
      <c r="W13" s="45" t="str">
        <f t="shared" si="4"/>
        <v>EC</v>
      </c>
      <c r="X13" s="45" t="str">
        <f t="shared" si="5"/>
        <v>KEEP</v>
      </c>
      <c r="Y13" s="99" t="str">
        <f t="shared" si="6"/>
        <v>echo {"issue":{"subject":"","project_id":79,"tracker_id":40,"status_id":1,"priority_id":2,"assigned_to_id":23,"start_date":"2017-05-30","description":"","custom_fields":[{"id":1,"name":"Subdivision","value":"EC"},{"id":4,"name":"Milepost","value":"18.3829"},{"id":17,"name":"Train ID","value":"171-30"},{"id":16,"name":"Locomotive ID","value":"4020"},{"id":130,"name":"Impact","value":""},{"id":150,"name":"Time of Event (Mountain Time)","value":"13:13:39"},{"id":151,"name":"Denver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62"/>
      <c r="AA13" s="47"/>
      <c r="AB13" s="47"/>
      <c r="AC13" s="118" t="str">
        <f t="shared" si="7"/>
        <v>grep -hrE -A400 "Enforcement Action" /cygdrive/c/Users/stu/AppData/Local/Temp/OnboardLogs/RTDC4020 --include="*4020*201705301*"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"%USERPROFILE%\AppData\Local\Temp\OnboardLogs"\RTDC4020\*4020*201705301* &gt;&gt; 2017-05-30-SliceDisagreementCheck.txt</v>
      </c>
      <c r="AE13" s="148" t="str">
        <f t="shared" si="9"/>
        <v>start /low /b %USERPROFILE%\Documents\GitHub\eaglep3\Utilities\DownloadLogsFromS3.py --loco 4020 --day 2017-05-30</v>
      </c>
    </row>
    <row r="14" spans="1:32" x14ac:dyDescent="0.25">
      <c r="A14" s="31">
        <v>42885.439421296294</v>
      </c>
      <c r="B14" s="30" t="s">
        <v>413</v>
      </c>
      <c r="C14" s="30" t="s">
        <v>643</v>
      </c>
      <c r="D14" s="30" t="s">
        <v>49</v>
      </c>
      <c r="E14" s="30" t="s">
        <v>202</v>
      </c>
      <c r="F14" s="42">
        <v>350</v>
      </c>
      <c r="G14" s="42">
        <v>421</v>
      </c>
      <c r="H14" s="42">
        <v>224012</v>
      </c>
      <c r="I14" s="42">
        <v>225034</v>
      </c>
      <c r="J14" s="30" t="s">
        <v>203</v>
      </c>
      <c r="K14" s="42">
        <v>224578</v>
      </c>
      <c r="L14" s="134" t="s">
        <v>50</v>
      </c>
      <c r="M14" s="135">
        <f t="shared" si="0"/>
        <v>-240.768</v>
      </c>
      <c r="N14" s="136" t="str">
        <f>VLOOKUP(C14,'Trips&amp;Operators'!$C$1:$G$99999,5,FALSE)</f>
        <v>MACDONALD THOMAS</v>
      </c>
      <c r="O14" s="210" t="s">
        <v>182</v>
      </c>
      <c r="P14" s="137"/>
      <c r="Q14" s="30"/>
      <c r="R14" s="84" t="str">
        <f>IF(VLOOKUP(C14,'Train Runs'!$A$13:$AE$9935,1,1)=C14,VLOOKUP(C14,'Train Runs'!$A$13:$AE$9935,31,1),NA())</f>
        <v>aws s3 cp s3://rtdc.mdm.uploadarchive.raw/RTDC4008/ "%USERPROFILE%\AppData\Local\Temp\OnboardLogs"\RTDC4008\2017-05-30 --exclude "*" --recursive --include "*20170530*" &amp; "%USERPROFILE%\Documents\GitHub\mrs-test-scripts\Headless Mode &amp; Sideloading\WalkAndUnGZ.bat" "%USERPROFILE%\AppData\Local\Temp\OnboardLogs"\RTDC4008\2017-05-30 &amp; aws s3 cp s3://rtdc.mdm.uploadarchive.raw/RTDC4008/ "%USERPROFILE%\AppData\Local\Temp\OnboardLogs"\RTDC4008\2017-05-31 --exclude "*" --recursive --include "*20170531*" &amp; "%USERPROFILE%\Documents\GitHub\mrs-test-scripts\Headless Mode &amp; Sideloading\WalkAndUnGZ.bat" "%USERPROFILE%\AppData\Local\Temp\OnboardLogs"\RTDC4008\2017-05-31</v>
      </c>
      <c r="S14" s="87" t="str">
        <f>VLOOKUP(C14,'Train Runs'!$A$13:$AE$9935,22,0)</f>
        <v>https://d0f6bd738d7f1b3e5a7ca70fe4ff75f0.us-east-1.aws.found.io/app/kibana#/discover/Steve-Slow-Train-Analysis-(2080s-and-2083s)?_g=(refreshInterval:(display:Off,pause:!f,section:0,value:0),time:(from:'2017-05-30T08:55:26-0600',mode:absolute,to:'2017-05-30T11:36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14" s="89" t="str">
        <f t="shared" si="1"/>
        <v>"C:\Program Files (x86)\AstroGrep\AstroGrep.exe" /e /r /s /spath="%USERPROFILE%\AppData\Local\Temp\OnboardLogs" /stypes="*4008*201705301*" /stext=" 16:.+((SYSTEM_STATE.+slice.+state.+changed )|(ment ac)|(multiple cpu faults)|(system.+state.+changed )|(\[timeout)|(PRM\|1\|D)|(kpr)|(kdp)|(train st.+moving)|(\|lc)|(penalty))"</v>
      </c>
      <c r="U14" s="9" t="str">
        <f t="shared" si="2"/>
        <v>4008</v>
      </c>
      <c r="V14" s="31">
        <f t="shared" si="3"/>
        <v>42885.689421296294</v>
      </c>
      <c r="W14" s="45" t="str">
        <f t="shared" si="4"/>
        <v>EC</v>
      </c>
      <c r="X14" s="45" t="str">
        <f t="shared" si="5"/>
        <v>KEEP</v>
      </c>
      <c r="Y14" s="99" t="str">
        <f t="shared" si="6"/>
        <v>echo {"issue":{"subject":"","project_id":79,"tracker_id":40,"status_id":1,"priority_id":2,"assigned_to_id":23,"start_date":"2017-05-30","description":"","custom_fields":[{"id":1,"name":"Subdivision","value":"EC"},{"id":4,"name":"Milepost","value":"22.4578"},{"id":17,"name":"Train ID","value":"151-30"},{"id":16,"name":"Locomotive ID","value":"4008"},{"id":130,"name":"Impact","value":""},{"id":150,"name":"Time of Event (Mountain Time)","value":"10:32:46"},{"id":151,"name":"Denver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62"/>
      <c r="AA14" s="47"/>
      <c r="AB14" s="47"/>
      <c r="AC14" s="118" t="str">
        <f t="shared" si="7"/>
        <v>grep -hrE -A400 "Enforcement Action" /cygdrive/c/Users/stu/AppData/Local/Temp/OnboardLogs/RTDC4008 --include="*4008*201705301*"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"%USERPROFILE%\AppData\Local\Temp\OnboardLogs"\RTDC4008\*4008*201705301* &gt;&gt; 2017-05-30-SliceDisagreementCheck.txt</v>
      </c>
      <c r="AE14" s="148" t="str">
        <f t="shared" si="9"/>
        <v>start /low /b %USERPROFILE%\Documents\GitHub\eaglep3\Utilities\DownloadLogsFromS3.py --loco 4008 --day 2017-05-30</v>
      </c>
      <c r="AF14" s="1"/>
    </row>
    <row r="15" spans="1:32" x14ac:dyDescent="0.25">
      <c r="A15" s="31">
        <v>42885.854872685188</v>
      </c>
      <c r="B15" s="30" t="s">
        <v>472</v>
      </c>
      <c r="C15" s="30" t="s">
        <v>661</v>
      </c>
      <c r="D15" s="30" t="s">
        <v>98</v>
      </c>
      <c r="E15" s="30" t="s">
        <v>202</v>
      </c>
      <c r="F15" s="42">
        <v>350</v>
      </c>
      <c r="G15" s="42">
        <v>404</v>
      </c>
      <c r="H15" s="42">
        <v>225087</v>
      </c>
      <c r="I15" s="42">
        <v>223812</v>
      </c>
      <c r="J15" s="30" t="s">
        <v>203</v>
      </c>
      <c r="K15" s="42">
        <v>232080</v>
      </c>
      <c r="L15" s="134" t="s">
        <v>51</v>
      </c>
      <c r="M15" s="135">
        <f t="shared" si="0"/>
        <v>-4365.5039999999999</v>
      </c>
      <c r="N15" s="136" t="str">
        <f>VLOOKUP(C15,'Trips&amp;Operators'!$C$1:$G$99999,5,FALSE)</f>
        <v>SMITH MICHAEL</v>
      </c>
      <c r="O15" s="210" t="s">
        <v>182</v>
      </c>
      <c r="P15" s="137"/>
      <c r="Q15" s="30"/>
      <c r="R15" s="84" t="str">
        <f>IF(VLOOKUP(C15,'Train Runs'!$A$13:$AE$9935,1,1)=C15,VLOOKUP(C15,'Train Runs'!$A$13:$AE$9935,31,1),NA())</f>
        <v>aws s3 cp s3://rtdc.mdm.uploadarchive.raw/RTDC4019/ "%USERPROFILE%\AppData\Local\Temp\OnboardLogs"\RTDC4019\2017-05-30 --exclude "*" --recursive --include "*20170530*" &amp; "%USERPROFILE%\Documents\GitHub\mrs-test-scripts\Headless Mode &amp; Sideloading\WalkAndUnGZ.bat" "%USERPROFILE%\AppData\Local\Temp\OnboardLogs"\RTDC4019\2017-05-30 &amp; aws s3 cp s3://rtdc.mdm.uploadarchive.raw/RTDC4019/ "%USERPROFILE%\AppData\Local\Temp\OnboardLogs"\RTDC4019\2017-05-31 --exclude "*" --recursive --include "*20170531*" &amp; "%USERPROFILE%\Documents\GitHub\mrs-test-scripts\Headless Mode &amp; Sideloading\WalkAndUnGZ.bat" "%USERPROFILE%\AppData\Local\Temp\OnboardLogs"\RTDC4019\2017-05-31</v>
      </c>
      <c r="S15" s="87" t="str">
        <f>VLOOKUP(C15,'Train Runs'!$A$13:$AE$9935,22,0)</f>
        <v>https://d0f6bd738d7f1b3e5a7ca70fe4ff75f0.us-east-1.aws.found.io/app/kibana#/discover/Steve-Slow-Train-Analysis-(2080s-and-2083s)?_g=(refreshInterval:(display:Off,pause:!f,section:0,value:0),time:(from:'2017-05-30T19:19:29-0600',mode:absolute,to:'2017-05-30T22:09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15" s="89" t="str">
        <f t="shared" si="1"/>
        <v>"C:\Program Files (x86)\AstroGrep\AstroGrep.exe" /e /r /s /spath="%USERPROFILE%\AppData\Local\Temp\OnboardLogs" /stypes="*4019*201705310*" /stext=" 02:.+((SYSTEM_STATE.+slice.+state.+changed )|(ment ac)|(multiple cpu faults)|(system.+state.+changed )|(\[timeout)|(PRM\|1\|D)|(kpr)|(kdp)|(train st.+moving)|(\|lc)|(penalty))"</v>
      </c>
      <c r="U15" s="9" t="str">
        <f t="shared" si="2"/>
        <v>4019</v>
      </c>
      <c r="V15" s="31">
        <f t="shared" si="3"/>
        <v>42886.104872685188</v>
      </c>
      <c r="W15" s="45" t="str">
        <f t="shared" si="4"/>
        <v>EC</v>
      </c>
      <c r="X15" s="45" t="str">
        <f t="shared" si="5"/>
        <v>KEEP</v>
      </c>
      <c r="Y15" s="99" t="str">
        <f t="shared" si="6"/>
        <v>echo {"issue":{"subject":"","project_id":79,"tracker_id":40,"status_id":1,"priority_id":2,"assigned_to_id":23,"start_date":"2017-05-30","description":"","custom_fields":[{"id":1,"name":"Subdivision","value":"EC"},{"id":4,"name":"Milepost","value":"23.208"},{"id":17,"name":"Train ID","value":"224-30"},{"id":16,"name":"Locomotive ID","value":"4019"},{"id":130,"name":"Impact","value":""},{"id":150,"name":"Time of Event (Mountain Time)","value":"20:31:01"},{"id":151,"name":"Denver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62"/>
      <c r="AA15" s="47"/>
      <c r="AB15" s="47"/>
      <c r="AC15" s="118" t="str">
        <f t="shared" si="7"/>
        <v>grep -hrE -A400 "Enforcement Action" /cygdrive/c/Users/stu/AppData/Local/Temp/OnboardLogs/RTDC4019 --include="*4019*201705310*"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"%USERPROFILE%\AppData\Local\Temp\OnboardLogs"\RTDC4019\*4019*201705310* &gt;&gt; 2017-05-30-SliceDisagreementCheck.txt</v>
      </c>
      <c r="AE15" s="148" t="str">
        <f t="shared" si="9"/>
        <v>start /low /b %USERPROFILE%\Documents\GitHub\eaglep3\Utilities\DownloadLogsFromS3.py --loco 4019 --day 2017-05-31</v>
      </c>
      <c r="AF15" s="1"/>
    </row>
    <row r="16" spans="1:32" x14ac:dyDescent="0.25">
      <c r="A16" s="31">
        <v>42885.168229166666</v>
      </c>
      <c r="B16" s="30" t="s">
        <v>474</v>
      </c>
      <c r="C16" s="30" t="s">
        <v>635</v>
      </c>
      <c r="D16" s="30" t="s">
        <v>49</v>
      </c>
      <c r="E16" s="30" t="s">
        <v>367</v>
      </c>
      <c r="F16" s="42">
        <v>0</v>
      </c>
      <c r="G16" s="42">
        <v>717</v>
      </c>
      <c r="H16" s="42">
        <v>81209</v>
      </c>
      <c r="I16" s="42">
        <v>83904</v>
      </c>
      <c r="J16" s="30" t="s">
        <v>368</v>
      </c>
      <c r="K16" s="42">
        <v>81738</v>
      </c>
      <c r="L16" s="134" t="s">
        <v>50</v>
      </c>
      <c r="M16" s="135">
        <f t="shared" si="0"/>
        <v>-1143.6479999999999</v>
      </c>
      <c r="N16" s="136" t="str">
        <f>VLOOKUP(C16,'Trips&amp;Operators'!$C$1:$G$99999,5,FALSE)</f>
        <v>BONDS REYNALDO</v>
      </c>
      <c r="O16" s="210" t="s">
        <v>425</v>
      </c>
      <c r="P16" s="137" t="s">
        <v>426</v>
      </c>
      <c r="Q16" s="30"/>
      <c r="R16" s="84" t="str">
        <f>IF(VLOOKUP(C16,'Train Runs'!$A$13:$AE$9935,1,1)=C16,VLOOKUP(C16,'Train Runs'!$A$13:$AE$9935,31,1),NA())</f>
        <v>aws s3 cp s3://rtdc.mdm.uploadarchive.raw/RTDC4020/ "%USERPROFILE%\AppData\Local\Temp\OnboardLogs"\RTDC4020\2017-05-30 --exclude "*" --recursive --include "*20170530*" &amp; "%USERPROFILE%\Documents\GitHub\mrs-test-scripts\Headless Mode &amp; Sideloading\WalkAndUnGZ.bat" "%USERPROFILE%\AppData\Local\Temp\OnboardLogs"\RTDC4020\2017-05-30 &amp; aws s3 cp s3://rtdc.mdm.uploadarchive.raw/RTDC4020/ "%USERPROFILE%\AppData\Local\Temp\OnboardLogs"\RTDC4020\2017-05-31 --exclude "*" --recursive --include "*20170531*" &amp; "%USERPROFILE%\Documents\GitHub\mrs-test-scripts\Headless Mode &amp; Sideloading\WalkAndUnGZ.bat" "%USERPROFILE%\AppData\Local\Temp\OnboardLogs"\RTDC4020\2017-05-31</v>
      </c>
      <c r="S16" s="87" t="str">
        <f>VLOOKUP(C16,'Train Runs'!$A$13:$AE$9935,22,0)</f>
        <v>https://d0f6bd738d7f1b3e5a7ca70fe4ff75f0.us-east-1.aws.found.io/app/kibana#/discover/Steve-Slow-Train-Analysis-(2080s-and-2083s)?_g=(refreshInterval:(display:Off,pause:!f,section:0,value:0),time:(from:'2017-05-30T02:34:39-0600',mode:absolute,to:'2017-05-30T05:24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16" s="89" t="str">
        <f t="shared" si="1"/>
        <v>"C:\Program Files (x86)\AstroGrep\AstroGrep.exe" /e /r /s /spath="%USERPROFILE%\AppData\Local\Temp\OnboardLogs" /stypes="*4020*201705301*" /stext=" 10:.+((SYSTEM_STATE.+slice.+state.+changed )|(ment ac)|(multiple cpu faults)|(system.+state.+changed )|(\[timeout)|(PRM\|1\|D)|(kpr)|(kdp)|(train st.+moving)|(\|lc)|(penalty))"</v>
      </c>
      <c r="U16" s="9" t="str">
        <f t="shared" si="2"/>
        <v>4020</v>
      </c>
      <c r="V16" s="31">
        <f t="shared" si="3"/>
        <v>42885.418229166666</v>
      </c>
      <c r="W16" s="45" t="str">
        <f t="shared" si="4"/>
        <v>EC</v>
      </c>
      <c r="X16" s="45" t="str">
        <f t="shared" si="5"/>
        <v>KEEP</v>
      </c>
      <c r="Y16" s="99" t="str">
        <f t="shared" si="6"/>
        <v>echo {"issue":{"subject":"Wi-MAX data drop","project_id":79,"tracker_id":40,"status_id":1,"priority_id":2,"assigned_to_id":23,"start_date":"2017-05-30","description":"","custom_fields":[{"id":1,"name":"Subdivision","value":"EC"},{"id":4,"name":"Milepost","value":"8.1738"},{"id":17,"name":"Train ID","value":"103-30"},{"id":16,"name":"Locomotive ID","value":"4020"},{"id":130,"name":"Impact","value":""},{"id":150,"name":"Time of Event (Mountain Time)","value":"04:02:15"},{"id":151,"name":"Denver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62"/>
      <c r="AA16" s="47"/>
      <c r="AB16" s="47"/>
      <c r="AC16" s="118" t="str">
        <f t="shared" si="7"/>
        <v>grep -hrE -A400 "Enforcement Action" /cygdrive/c/Users/stu/AppData/Local/Temp/OnboardLogs/RTDC4020 --include="*4020*201705301*"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"%USERPROFILE%\AppData\Local\Temp\OnboardLogs"\RTDC4020\*4020*201705301* &gt;&gt; 2017-05-30-SliceDisagreementCheck.txt</v>
      </c>
      <c r="AE16" s="148" t="str">
        <f t="shared" si="9"/>
        <v>start /low /b %USERPROFILE%\Documents\GitHub\eaglep3\Utilities\DownloadLogsFromS3.py --loco 4020 --day 2017-05-30</v>
      </c>
      <c r="AF16" s="1"/>
    </row>
    <row r="17" spans="1:32" x14ac:dyDescent="0.25">
      <c r="A17" s="31">
        <v>42885.491793981484</v>
      </c>
      <c r="B17" s="30" t="s">
        <v>413</v>
      </c>
      <c r="C17" s="30" t="s">
        <v>645</v>
      </c>
      <c r="D17" s="30" t="s">
        <v>98</v>
      </c>
      <c r="E17" s="30" t="s">
        <v>432</v>
      </c>
      <c r="F17" s="42">
        <v>0</v>
      </c>
      <c r="G17" s="42">
        <v>156</v>
      </c>
      <c r="H17" s="42">
        <v>1874</v>
      </c>
      <c r="I17" s="42">
        <v>2126</v>
      </c>
      <c r="J17" s="30" t="s">
        <v>427</v>
      </c>
      <c r="K17" s="42">
        <v>1692</v>
      </c>
      <c r="L17" s="134" t="s">
        <v>50</v>
      </c>
      <c r="M17" s="135">
        <f t="shared" si="0"/>
        <v>-229.15199999999999</v>
      </c>
      <c r="N17" s="136" t="str">
        <f>VLOOKUP(C17,'Trips&amp;Operators'!$C$1:$G$99999,5,FALSE)</f>
        <v>LEVIN SCOTT</v>
      </c>
      <c r="O17" s="210" t="s">
        <v>425</v>
      </c>
      <c r="P17" s="137" t="s">
        <v>1006</v>
      </c>
      <c r="Q17" s="30"/>
      <c r="R17" s="84" t="str">
        <f>IF(VLOOKUP(C17,'Train Runs'!$A$13:$AE$9935,1,1)=C17,VLOOKUP(C17,'Train Runs'!$A$13:$AE$9935,31,1),NA())</f>
        <v>aws s3 cp s3://rtdc.mdm.uploadarchive.raw/RTDC4008/ "%USERPROFILE%\AppData\Local\Temp\OnboardLogs"\RTDC4008\2017-05-30 --exclude "*" --recursive --include "*20170530*" &amp; "%USERPROFILE%\Documents\GitHub\mrs-test-scripts\Headless Mode &amp; Sideloading\WalkAndUnGZ.bat" "%USERPROFILE%\AppData\Local\Temp\OnboardLogs"\RTDC4008\2017-05-30 &amp; aws s3 cp s3://rtdc.mdm.uploadarchive.raw/RTDC4008/ "%USERPROFILE%\AppData\Local\Temp\OnboardLogs"\RTDC4008\2017-05-31 --exclude "*" --recursive --include "*20170531*" &amp; "%USERPROFILE%\Documents\GitHub\mrs-test-scripts\Headless Mode &amp; Sideloading\WalkAndUnGZ.bat" "%USERPROFILE%\AppData\Local\Temp\OnboardLogs"\RTDC4008\2017-05-31</v>
      </c>
      <c r="S17" s="87" t="str">
        <f>VLOOKUP(C17,'Train Runs'!$A$13:$AE$9935,22,0)</f>
        <v>https://d0f6bd738d7f1b3e5a7ca70fe4ff75f0.us-east-1.aws.found.io/app/kibana#/discover/Steve-Slow-Train-Analysis-(2080s-and-2083s)?_g=(refreshInterval:(display:Off,pause:!f,section:0,value:0),time:(from:'2017-05-30T10:53:25-0600',mode:absolute,to:'2017-05-30T13:26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17" s="89" t="str">
        <f t="shared" si="1"/>
        <v>"C:\Program Files (x86)\AstroGrep\AstroGrep.exe" /e /r /s /spath="%USERPROFILE%\AppData\Local\Temp\OnboardLogs" /stypes="*4008*201705301*" /stext=" 17:.+((SYSTEM_STATE.+slice.+state.+changed )|(ment ac)|(multiple cpu faults)|(system.+state.+changed )|(\[timeout)|(PRM\|1\|D)|(kpr)|(kdp)|(train st.+moving)|(\|lc)|(penalty))"</v>
      </c>
      <c r="U17" s="9" t="str">
        <f t="shared" si="2"/>
        <v>4008</v>
      </c>
      <c r="V17" s="31">
        <f t="shared" si="3"/>
        <v>42885.741793981484</v>
      </c>
      <c r="W17" s="45" t="str">
        <f t="shared" si="4"/>
        <v>EC</v>
      </c>
      <c r="X17" s="45" t="str">
        <f t="shared" si="5"/>
        <v>KEEP</v>
      </c>
      <c r="Y17" s="99" t="str">
        <f t="shared" si="6"/>
        <v>echo {"issue":{"subject":"Onboard in-route failure led to comm failure","project_id":79,"tracker_id":40,"status_id":1,"priority_id":2,"assigned_to_id":23,"start_date":"2017-05-30","description":"","custom_fields":[{"id":1,"name":"Subdivision","value":"EC"},{"id":4,"name":"Milepost","value":"0.1692"},{"id":17,"name":"Train ID","value":"165-30"},{"id":16,"name":"Locomotive ID","value":"4008"},{"id":130,"name":"Impact","value":""},{"id":150,"name":"Time of Event (Mountain Time)","value":"11:48:11"},{"id":151,"name":"Denver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62"/>
      <c r="AA17" s="47"/>
      <c r="AB17" s="47"/>
      <c r="AC17" s="118" t="str">
        <f t="shared" si="7"/>
        <v>grep -hrE -A400 "Enforcement Action" /cygdrive/c/Users/stu/AppData/Local/Temp/OnboardLogs/RTDC4008 --include="*4008*201705301*"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"%USERPROFILE%\AppData\Local\Temp\OnboardLogs"\RTDC4008\*4008*201705301* &gt;&gt; 2017-05-30-SliceDisagreementCheck.txt</v>
      </c>
      <c r="AE17" s="148" t="str">
        <f t="shared" si="9"/>
        <v>start /low /b %USERPROFILE%\Documents\GitHub\eaglep3\Utilities\DownloadLogsFromS3.py --loco 4008 --day 2017-05-30</v>
      </c>
      <c r="AF17" s="1"/>
    </row>
    <row r="18" spans="1:32" x14ac:dyDescent="0.25">
      <c r="A18" s="31">
        <v>42885.881793981483</v>
      </c>
      <c r="B18" s="30" t="s">
        <v>472</v>
      </c>
      <c r="C18" s="30" t="s">
        <v>661</v>
      </c>
      <c r="D18" s="30" t="s">
        <v>49</v>
      </c>
      <c r="E18" s="30" t="s">
        <v>183</v>
      </c>
      <c r="F18" s="42">
        <v>0</v>
      </c>
      <c r="G18" s="42">
        <v>78</v>
      </c>
      <c r="H18" s="42">
        <v>283</v>
      </c>
      <c r="I18" s="42">
        <v>229</v>
      </c>
      <c r="J18" s="30" t="s">
        <v>184</v>
      </c>
      <c r="K18" s="42">
        <v>1</v>
      </c>
      <c r="L18" s="134" t="s">
        <v>51</v>
      </c>
      <c r="M18" s="135">
        <f t="shared" si="0"/>
        <v>120.384</v>
      </c>
      <c r="N18" s="136" t="str">
        <f>VLOOKUP(C18,'Trips&amp;Operators'!$C$1:$G$99999,5,FALSE)</f>
        <v>SMITH MICHAEL</v>
      </c>
      <c r="O18" s="210" t="s">
        <v>182</v>
      </c>
      <c r="P18" s="137"/>
      <c r="Q18" s="30"/>
      <c r="R18" s="84" t="str">
        <f>IF(VLOOKUP(C18,'Train Runs'!$A$13:$AE$9935,1,1)=C18,VLOOKUP(C18,'Train Runs'!$A$13:$AE$9935,31,1),NA())</f>
        <v>aws s3 cp s3://rtdc.mdm.uploadarchive.raw/RTDC4019/ "%USERPROFILE%\AppData\Local\Temp\OnboardLogs"\RTDC4019\2017-05-30 --exclude "*" --recursive --include "*20170530*" &amp; "%USERPROFILE%\Documents\GitHub\mrs-test-scripts\Headless Mode &amp; Sideloading\WalkAndUnGZ.bat" "%USERPROFILE%\AppData\Local\Temp\OnboardLogs"\RTDC4019\2017-05-30 &amp; aws s3 cp s3://rtdc.mdm.uploadarchive.raw/RTDC4019/ "%USERPROFILE%\AppData\Local\Temp\OnboardLogs"\RTDC4019\2017-05-31 --exclude "*" --recursive --include "*20170531*" &amp; "%USERPROFILE%\Documents\GitHub\mrs-test-scripts\Headless Mode &amp; Sideloading\WalkAndUnGZ.bat" "%USERPROFILE%\AppData\Local\Temp\OnboardLogs"\RTDC4019\2017-05-31</v>
      </c>
      <c r="S18" s="87" t="str">
        <f>VLOOKUP(C18,'Train Runs'!$A$13:$AE$9935,22,0)</f>
        <v>https://d0f6bd738d7f1b3e5a7ca70fe4ff75f0.us-east-1.aws.found.io/app/kibana#/discover/Steve-Slow-Train-Analysis-(2080s-and-2083s)?_g=(refreshInterval:(display:Off,pause:!f,section:0,value:0),time:(from:'2017-05-30T19:19:29-0600',mode:absolute,to:'2017-05-30T22:09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18" s="89" t="str">
        <f t="shared" si="1"/>
        <v>"C:\Program Files (x86)\AstroGrep\AstroGrep.exe" /e /r /s /spath="%USERPROFILE%\AppData\Local\Temp\OnboardLogs" /stypes="*4019*201705310*" /stext=" 03:.+((SYSTEM_STATE.+slice.+state.+changed )|(ment ac)|(multiple cpu faults)|(system.+state.+changed )|(\[timeout)|(PRM\|1\|D)|(kpr)|(kdp)|(train st.+moving)|(\|lc)|(penalty))"</v>
      </c>
      <c r="U18" s="9" t="str">
        <f t="shared" si="2"/>
        <v>4019</v>
      </c>
      <c r="V18" s="31">
        <f t="shared" si="3"/>
        <v>42886.131793981483</v>
      </c>
      <c r="W18" s="45" t="str">
        <f t="shared" si="4"/>
        <v>EC</v>
      </c>
      <c r="X18" s="45" t="str">
        <f t="shared" si="5"/>
        <v>KEEP</v>
      </c>
      <c r="Y18" s="99" t="str">
        <f t="shared" si="6"/>
        <v>echo {"issue":{"subject":"","project_id":79,"tracker_id":40,"status_id":1,"priority_id":2,"assigned_to_id":23,"start_date":"2017-05-30","description":"","custom_fields":[{"id":1,"name":"Subdivision","value":"EC"},{"id":4,"name":"Milepost","value":"0.0001"},{"id":17,"name":"Train ID","value":"224-30"},{"id":16,"name":"Locomotive ID","value":"4019"},{"id":130,"name":"Impact","value":""},{"id":150,"name":"Time of Event (Mountain Time)","value":"21:09:47"},{"id":151,"name":"Denver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62"/>
      <c r="AA18" s="47"/>
      <c r="AB18" s="47"/>
      <c r="AC18" s="118" t="str">
        <f t="shared" si="7"/>
        <v>grep -hrE -A400 "Enforcement Action" /cygdrive/c/Users/stu/AppData/Local/Temp/OnboardLogs/RTDC4019 --include="*4019*201705310*"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"%USERPROFILE%\AppData\Local\Temp\OnboardLogs"\RTDC4019\*4019*201705310* &gt;&gt; 2017-05-30-SliceDisagreementCheck.txt</v>
      </c>
      <c r="AE18" s="148" t="str">
        <f t="shared" si="9"/>
        <v>start /low /b %USERPROFILE%\Documents\GitHub\eaglep3\Utilities\DownloadLogsFromS3.py --loco 4019 --day 2017-05-31</v>
      </c>
      <c r="AF18" s="1"/>
    </row>
    <row r="19" spans="1:32" x14ac:dyDescent="0.25">
      <c r="A19" s="31">
        <v>42885.357835648145</v>
      </c>
      <c r="B19" s="30" t="s">
        <v>430</v>
      </c>
      <c r="C19" s="30" t="s">
        <v>641</v>
      </c>
      <c r="D19" s="30" t="s">
        <v>49</v>
      </c>
      <c r="E19" s="30" t="s">
        <v>183</v>
      </c>
      <c r="F19" s="42">
        <v>0</v>
      </c>
      <c r="G19" s="42">
        <v>154</v>
      </c>
      <c r="H19" s="42">
        <v>232811</v>
      </c>
      <c r="I19" s="42">
        <v>233046</v>
      </c>
      <c r="J19" s="30" t="s">
        <v>184</v>
      </c>
      <c r="K19" s="42">
        <v>233491</v>
      </c>
      <c r="L19" s="134" t="s">
        <v>50</v>
      </c>
      <c r="M19" s="135">
        <f t="shared" si="0"/>
        <v>234.96</v>
      </c>
      <c r="N19" s="136" t="str">
        <f>VLOOKUP(C19,'Trips&amp;Operators'!$C$1:$G$99999,5,FALSE)</f>
        <v>LALONDE GREGORY</v>
      </c>
      <c r="O19" s="210" t="s">
        <v>182</v>
      </c>
      <c r="P19" s="137"/>
      <c r="Q19" s="30"/>
      <c r="R19" s="84" t="str">
        <f>IF(VLOOKUP(C19,'Train Runs'!$A$13:$AE$9935,1,1)=C19,VLOOKUP(C19,'Train Runs'!$A$13:$AE$9935,31,1),NA())</f>
        <v>aws s3 cp s3://rtdc.mdm.uploadarchive.raw/RTDC4026/ "%USERPROFILE%\AppData\Local\Temp\OnboardLogs"\RTDC4026\2017-05-30 --exclude "*" --recursive --include "*20170530*" &amp; "%USERPROFILE%\Documents\GitHub\mrs-test-scripts\Headless Mode &amp; Sideloading\WalkAndUnGZ.bat" "%USERPROFILE%\AppData\Local\Temp\OnboardLogs"\RTDC4026\2017-05-30 &amp; aws s3 cp s3://rtdc.mdm.uploadarchive.raw/RTDC4026/ "%USERPROFILE%\AppData\Local\Temp\OnboardLogs"\RTDC4026\2017-05-31 --exclude "*" --recursive --include "*20170531*" &amp; "%USERPROFILE%\Documents\GitHub\mrs-test-scripts\Headless Mode &amp; Sideloading\WalkAndUnGZ.bat" "%USERPROFILE%\AppData\Local\Temp\OnboardLogs"\RTDC4026\2017-05-31</v>
      </c>
      <c r="S19" s="87" t="str">
        <f>VLOOKUP(C19,'Train Runs'!$A$13:$AE$9935,22,0)</f>
        <v>https://d0f6bd738d7f1b3e5a7ca70fe4ff75f0.us-east-1.aws.found.io/app/kibana#/discover/Steve-Slow-Train-Analysis-(2080s-and-2083s)?_g=(refreshInterval:(display:Off,pause:!f,section:0,value:0),time:(from:'2017-05-30T06:52:23-0600',mode:absolute,to:'2017-05-30T09:35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19" s="89" t="str">
        <f t="shared" si="1"/>
        <v>"C:\Program Files (x86)\AstroGrep\AstroGrep.exe" /e /r /s /spath="%USERPROFILE%\AppData\Local\Temp\OnboardLogs" /stypes="*4026*201705301*" /stext=" 14:.+((SYSTEM_STATE.+slice.+state.+changed )|(ment ac)|(multiple cpu faults)|(system.+state.+changed )|(\[timeout)|(PRM\|1\|D)|(kpr)|(kdp)|(train st.+moving)|(\|lc)|(penalty))"</v>
      </c>
      <c r="U19" s="9" t="str">
        <f t="shared" si="2"/>
        <v>4026</v>
      </c>
      <c r="V19" s="31">
        <f t="shared" si="3"/>
        <v>42885.607835648145</v>
      </c>
      <c r="W19" s="45" t="str">
        <f t="shared" si="4"/>
        <v>EC</v>
      </c>
      <c r="X19" s="45" t="str">
        <f t="shared" si="5"/>
        <v>KEEP</v>
      </c>
      <c r="Y19" s="99" t="str">
        <f t="shared" si="6"/>
        <v>echo {"issue":{"subject":"","project_id":79,"tracker_id":40,"status_id":1,"priority_id":2,"assigned_to_id":23,"start_date":"2017-05-30","description":"","custom_fields":[{"id":1,"name":"Subdivision","value":"EC"},{"id":4,"name":"Milepost","value":"23.3491"},{"id":17,"name":"Train ID","value":"135-30"},{"id":16,"name":"Locomotive ID","value":"4026"},{"id":130,"name":"Impact","value":""},{"id":150,"name":"Time of Event (Mountain Time)","value":"08:35:17"},{"id":151,"name":"Denver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62"/>
      <c r="AA19" s="47"/>
      <c r="AB19" s="47"/>
      <c r="AC19" s="118" t="str">
        <f t="shared" si="7"/>
        <v>grep -hrE -A400 "Enforcement Action" /cygdrive/c/Users/stu/AppData/Local/Temp/OnboardLogs/RTDC4026 --include="*4026*201705301*"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"%USERPROFILE%\AppData\Local\Temp\OnboardLogs"\RTDC4026\*4026*201705301* &gt;&gt; 2017-05-30-SliceDisagreementCheck.txt</v>
      </c>
      <c r="AE19" s="148" t="str">
        <f t="shared" si="9"/>
        <v>start /low /b %USERPROFILE%\Documents\GitHub\eaglep3\Utilities\DownloadLogsFromS3.py --loco 4026 --day 2017-05-30</v>
      </c>
      <c r="AF19" s="1"/>
    </row>
    <row r="20" spans="1:32" x14ac:dyDescent="0.25">
      <c r="A20" s="31">
        <v>42885.497256944444</v>
      </c>
      <c r="B20" s="30" t="s">
        <v>508</v>
      </c>
      <c r="C20" s="30" t="s">
        <v>646</v>
      </c>
      <c r="D20" s="30" t="s">
        <v>49</v>
      </c>
      <c r="E20" s="30" t="s">
        <v>183</v>
      </c>
      <c r="F20" s="42">
        <v>0</v>
      </c>
      <c r="G20" s="42">
        <v>139</v>
      </c>
      <c r="H20" s="42">
        <v>232849</v>
      </c>
      <c r="I20" s="42">
        <v>233030</v>
      </c>
      <c r="J20" s="30" t="s">
        <v>184</v>
      </c>
      <c r="K20" s="42">
        <v>233491</v>
      </c>
      <c r="L20" s="134" t="s">
        <v>50</v>
      </c>
      <c r="M20" s="135">
        <f t="shared" si="0"/>
        <v>243.40799999999999</v>
      </c>
      <c r="N20" s="136" t="str">
        <f>VLOOKUP(C20,'Trips&amp;Operators'!$C$1:$G$99999,5,FALSE)</f>
        <v>STEWART MICHAEL</v>
      </c>
      <c r="O20" s="210" t="s">
        <v>182</v>
      </c>
      <c r="P20" s="137"/>
      <c r="Q20" s="30"/>
      <c r="R20" s="84" t="str">
        <f>IF(VLOOKUP(C20,'Train Runs'!$A$13:$AE$9935,1,1)=C20,VLOOKUP(C20,'Train Runs'!$A$13:$AE$9935,31,1),NA())</f>
        <v>aws s3 cp s3://rtdc.mdm.uploadarchive.raw/RTDC4018/ "%USERPROFILE%\AppData\Local\Temp\OnboardLogs"\RTDC4018\2017-05-30 --exclude "*" --recursive --include "*20170530*" &amp; "%USERPROFILE%\Documents\GitHub\mrs-test-scripts\Headless Mode &amp; Sideloading\WalkAndUnGZ.bat" "%USERPROFILE%\AppData\Local\Temp\OnboardLogs"\RTDC4018\2017-05-30 &amp; aws s3 cp s3://rtdc.mdm.uploadarchive.raw/RTDC4018/ "%USERPROFILE%\AppData\Local\Temp\OnboardLogs"\RTDC4018\2017-05-31 --exclude "*" --recursive --include "*20170531*" &amp; "%USERPROFILE%\Documents\GitHub\mrs-test-scripts\Headless Mode &amp; Sideloading\WalkAndUnGZ.bat" "%USERPROFILE%\AppData\Local\Temp\OnboardLogs"\RTDC4018\2017-05-31</v>
      </c>
      <c r="S20" s="87" t="str">
        <f>VLOOKUP(C20,'Train Runs'!$A$13:$AE$9935,22,0)</f>
        <v>https://d0f6bd738d7f1b3e5a7ca70fe4ff75f0.us-east-1.aws.found.io/app/kibana#/discover/Steve-Slow-Train-Analysis-(2080s-and-2083s)?_g=(refreshInterval:(display:Off,pause:!f,section:0,value:0),time:(from:'2017-05-30T10:09:56-0600',mode:absolute,to:'2017-05-30T12:56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20" s="89" t="str">
        <f t="shared" si="1"/>
        <v>"C:\Program Files (x86)\AstroGrep\AstroGrep.exe" /e /r /s /spath="%USERPROFILE%\AppData\Local\Temp\OnboardLogs" /stypes="*4018*201705301*" /stext=" 17:.+((SYSTEM_STATE.+slice.+state.+changed )|(ment ac)|(multiple cpu faults)|(system.+state.+changed )|(\[timeout)|(PRM\|1\|D)|(kpr)|(kdp)|(train st.+moving)|(\|lc)|(penalty))"</v>
      </c>
      <c r="U20" s="9" t="str">
        <f t="shared" si="2"/>
        <v>4018</v>
      </c>
      <c r="V20" s="31">
        <f t="shared" si="3"/>
        <v>42885.747256944444</v>
      </c>
      <c r="W20" s="45" t="str">
        <f t="shared" si="4"/>
        <v>EC</v>
      </c>
      <c r="X20" s="45" t="str">
        <f t="shared" si="5"/>
        <v>KEEP</v>
      </c>
      <c r="Y20" s="99" t="str">
        <f t="shared" si="6"/>
        <v>echo {"issue":{"subject":"","project_id":79,"tracker_id":40,"status_id":1,"priority_id":2,"assigned_to_id":23,"start_date":"2017-05-30","description":"","custom_fields":[{"id":1,"name":"Subdivision","value":"EC"},{"id":4,"name":"Milepost","value":"23.3491"},{"id":17,"name":"Train ID","value":"161-30"},{"id":16,"name":"Locomotive ID","value":"4018"},{"id":130,"name":"Impact","value":""},{"id":150,"name":"Time of Event (Mountain Time)","value":"11:56:03"},{"id":151,"name":"Denver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62"/>
      <c r="AA20" s="47"/>
      <c r="AB20" s="47"/>
      <c r="AC20" s="118" t="str">
        <f t="shared" si="7"/>
        <v>grep -hrE -A400 "Enforcement Action" /cygdrive/c/Users/stu/AppData/Local/Temp/OnboardLogs/RTDC4018 --include="*4018*201705301*"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"%USERPROFILE%\AppData\Local\Temp\OnboardLogs"\RTDC4018\*4018*201705301* &gt;&gt; 2017-05-30-SliceDisagreementCheck.txt</v>
      </c>
      <c r="AE20" s="148" t="str">
        <f t="shared" si="9"/>
        <v>start /low /b %USERPROFILE%\Documents\GitHub\eaglep3\Utilities\DownloadLogsFromS3.py --loco 4018 --day 2017-05-30</v>
      </c>
      <c r="AF20" s="1"/>
    </row>
    <row r="21" spans="1:32" x14ac:dyDescent="0.25">
      <c r="A21" s="31">
        <v>42885.518333333333</v>
      </c>
      <c r="B21" s="30" t="s">
        <v>413</v>
      </c>
      <c r="C21" s="30" t="s">
        <v>645</v>
      </c>
      <c r="D21" s="30" t="s">
        <v>49</v>
      </c>
      <c r="E21" s="30" t="s">
        <v>183</v>
      </c>
      <c r="F21" s="42">
        <v>0</v>
      </c>
      <c r="G21" s="42">
        <v>85</v>
      </c>
      <c r="H21" s="42">
        <v>233181</v>
      </c>
      <c r="I21" s="42">
        <v>233270</v>
      </c>
      <c r="J21" s="30" t="s">
        <v>184</v>
      </c>
      <c r="K21" s="42">
        <v>233491</v>
      </c>
      <c r="L21" s="134" t="s">
        <v>50</v>
      </c>
      <c r="M21" s="135">
        <f t="shared" si="0"/>
        <v>116.688</v>
      </c>
      <c r="N21" s="136" t="str">
        <f>VLOOKUP(C21,'Trips&amp;Operators'!$C$1:$G$99999,5,FALSE)</f>
        <v>LEVIN SCOTT</v>
      </c>
      <c r="O21" s="210" t="s">
        <v>182</v>
      </c>
      <c r="P21" s="137"/>
      <c r="Q21" s="30"/>
      <c r="R21" s="84" t="str">
        <f>IF(VLOOKUP(C21,'Train Runs'!$A$13:$AE$9935,1,1)=C21,VLOOKUP(C21,'Train Runs'!$A$13:$AE$9935,31,1),NA())</f>
        <v>aws s3 cp s3://rtdc.mdm.uploadarchive.raw/RTDC4008/ "%USERPROFILE%\AppData\Local\Temp\OnboardLogs"\RTDC4008\2017-05-30 --exclude "*" --recursive --include "*20170530*" &amp; "%USERPROFILE%\Documents\GitHub\mrs-test-scripts\Headless Mode &amp; Sideloading\WalkAndUnGZ.bat" "%USERPROFILE%\AppData\Local\Temp\OnboardLogs"\RTDC4008\2017-05-30 &amp; aws s3 cp s3://rtdc.mdm.uploadarchive.raw/RTDC4008/ "%USERPROFILE%\AppData\Local\Temp\OnboardLogs"\RTDC4008\2017-05-31 --exclude "*" --recursive --include "*20170531*" &amp; "%USERPROFILE%\Documents\GitHub\mrs-test-scripts\Headless Mode &amp; Sideloading\WalkAndUnGZ.bat" "%USERPROFILE%\AppData\Local\Temp\OnboardLogs"\RTDC4008\2017-05-31</v>
      </c>
      <c r="S21" s="87" t="str">
        <f>VLOOKUP(C21,'Train Runs'!$A$13:$AE$9935,22,0)</f>
        <v>https://d0f6bd738d7f1b3e5a7ca70fe4ff75f0.us-east-1.aws.found.io/app/kibana#/discover/Steve-Slow-Train-Analysis-(2080s-and-2083s)?_g=(refreshInterval:(display:Off,pause:!f,section:0,value:0),time:(from:'2017-05-30T10:53:25-0600',mode:absolute,to:'2017-05-30T13:26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21" s="89" t="str">
        <f t="shared" si="1"/>
        <v>"C:\Program Files (x86)\AstroGrep\AstroGrep.exe" /e /r /s /spath="%USERPROFILE%\AppData\Local\Temp\OnboardLogs" /stypes="*4008*201705301*" /stext=" 18:.+((SYSTEM_STATE.+slice.+state.+changed )|(ment ac)|(multiple cpu faults)|(system.+state.+changed )|(\[timeout)|(PRM\|1\|D)|(kpr)|(kdp)|(train st.+moving)|(\|lc)|(penalty))"</v>
      </c>
      <c r="U21" s="9" t="str">
        <f t="shared" si="2"/>
        <v>4008</v>
      </c>
      <c r="V21" s="31">
        <f t="shared" si="3"/>
        <v>42885.768333333333</v>
      </c>
      <c r="W21" s="45" t="str">
        <f t="shared" si="4"/>
        <v>EC</v>
      </c>
      <c r="X21" s="45" t="str">
        <f t="shared" si="5"/>
        <v>KEEP</v>
      </c>
      <c r="Y21" s="99" t="str">
        <f t="shared" si="6"/>
        <v>echo {"issue":{"subject":"","project_id":79,"tracker_id":40,"status_id":1,"priority_id":2,"assigned_to_id":23,"start_date":"2017-05-30","description":"","custom_fields":[{"id":1,"name":"Subdivision","value":"EC"},{"id":4,"name":"Milepost","value":"23.3491"},{"id":17,"name":"Train ID","value":"165-30"},{"id":16,"name":"Locomotive ID","value":"4008"},{"id":130,"name":"Impact","value":""},{"id":150,"name":"Time of Event (Mountain Time)","value":"12:26:24"},{"id":151,"name":"Denver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62"/>
      <c r="AA21" s="47"/>
      <c r="AB21" s="47"/>
      <c r="AC21" s="118" t="str">
        <f t="shared" si="7"/>
        <v>grep -hrE -A400 "Enforcement Action" /cygdrive/c/Users/stu/AppData/Local/Temp/OnboardLogs/RTDC4008 --include="*4008*201705301*"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"%USERPROFILE%\AppData\Local\Temp\OnboardLogs"\RTDC4008\*4008*201705301* &gt;&gt; 2017-05-30-SliceDisagreementCheck.txt</v>
      </c>
      <c r="AE21" s="148" t="str">
        <f t="shared" si="9"/>
        <v>start /low /b %USERPROFILE%\Documents\GitHub\eaglep3\Utilities\DownloadLogsFromS3.py --loco 4008 --day 2017-05-30</v>
      </c>
      <c r="AF21" s="1"/>
    </row>
    <row r="22" spans="1:32" x14ac:dyDescent="0.25">
      <c r="A22" s="31">
        <v>42885.588136574072</v>
      </c>
      <c r="B22" s="30" t="s">
        <v>413</v>
      </c>
      <c r="C22" s="30" t="s">
        <v>650</v>
      </c>
      <c r="D22" s="30" t="s">
        <v>49</v>
      </c>
      <c r="E22" s="30" t="s">
        <v>183</v>
      </c>
      <c r="F22" s="42">
        <v>0</v>
      </c>
      <c r="G22" s="42">
        <v>30</v>
      </c>
      <c r="H22" s="42">
        <v>233395</v>
      </c>
      <c r="I22" s="42">
        <v>233418</v>
      </c>
      <c r="J22" s="30" t="s">
        <v>184</v>
      </c>
      <c r="K22" s="42">
        <v>233491</v>
      </c>
      <c r="L22" s="134" t="s">
        <v>50</v>
      </c>
      <c r="M22" s="135">
        <f t="shared" si="0"/>
        <v>38.543999999999997</v>
      </c>
      <c r="N22" s="136" t="str">
        <f>VLOOKUP(C22,'Trips&amp;Operators'!$C$1:$G$99999,5,FALSE)</f>
        <v>LEVIN SCOTT</v>
      </c>
      <c r="O22" s="210" t="s">
        <v>182</v>
      </c>
      <c r="P22" s="137"/>
      <c r="Q22" s="30"/>
      <c r="R22" s="84" t="str">
        <f>IF(VLOOKUP(C22,'Train Runs'!$A$13:$AE$9935,1,1)=C22,VLOOKUP(C22,'Train Runs'!$A$13:$AE$9935,31,1),NA())</f>
        <v>aws s3 cp s3://rtdc.mdm.uploadarchive.raw/RTDC4008/ "%USERPROFILE%\AppData\Local\Temp\OnboardLogs"\RTDC4008\2017-05-30 --exclude "*" --recursive --include "*20170530*" &amp; "%USERPROFILE%\Documents\GitHub\mrs-test-scripts\Headless Mode &amp; Sideloading\WalkAndUnGZ.bat" "%USERPROFILE%\AppData\Local\Temp\OnboardLogs"\RTDC4008\2017-05-30 &amp; aws s3 cp s3://rtdc.mdm.uploadarchive.raw/RTDC4008/ "%USERPROFILE%\AppData\Local\Temp\OnboardLogs"\RTDC4008\2017-05-31 --exclude "*" --recursive --include "*20170531*" &amp; "%USERPROFILE%\Documents\GitHub\mrs-test-scripts\Headless Mode &amp; Sideloading\WalkAndUnGZ.bat" "%USERPROFILE%\AppData\Local\Temp\OnboardLogs"\RTDC4008\2017-05-31</v>
      </c>
      <c r="S22" s="87" t="str">
        <f>VLOOKUP(C22,'Train Runs'!$A$13:$AE$9935,22,0)</f>
        <v>https://d0f6bd738d7f1b3e5a7ca70fe4ff75f0.us-east-1.aws.found.io/app/kibana#/discover/Steve-Slow-Train-Analysis-(2080s-and-2083s)?_g=(refreshInterval:(display:Off,pause:!f,section:0,value:0),time:(from:'2017-05-30T12:26:28-0600',mode:absolute,to:'2017-05-30T15:06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22" s="89" t="str">
        <f t="shared" si="1"/>
        <v>"C:\Program Files (x86)\AstroGrep\AstroGrep.exe" /e /r /s /spath="%USERPROFILE%\AppData\Local\Temp\OnboardLogs" /stypes="*4008*201705302*" /stext=" 20:.+((SYSTEM_STATE.+slice.+state.+changed )|(ment ac)|(multiple cpu faults)|(system.+state.+changed )|(\[timeout)|(PRM\|1\|D)|(kpr)|(kdp)|(train st.+moving)|(\|lc)|(penalty))"</v>
      </c>
      <c r="U22" s="9" t="str">
        <f t="shared" si="2"/>
        <v>4008</v>
      </c>
      <c r="V22" s="31">
        <f t="shared" si="3"/>
        <v>42885.838136574072</v>
      </c>
      <c r="W22" s="45" t="str">
        <f t="shared" si="4"/>
        <v>EC</v>
      </c>
      <c r="X22" s="45" t="str">
        <f t="shared" si="5"/>
        <v>KEEP</v>
      </c>
      <c r="Y22" s="99" t="str">
        <f t="shared" si="6"/>
        <v>echo {"issue":{"subject":"","project_id":79,"tracker_id":40,"status_id":1,"priority_id":2,"assigned_to_id":23,"start_date":"2017-05-30","description":"","custom_fields":[{"id":1,"name":"Subdivision","value":"EC"},{"id":4,"name":"Milepost","value":"23.3491"},{"id":17,"name":"Train ID","value":"179-30"},{"id":16,"name":"Locomotive ID","value":"4008"},{"id":130,"name":"Impact","value":""},{"id":150,"name":"Time of Event (Mountain Time)","value":"14:06:55"},{"id":151,"name":"Denver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62"/>
      <c r="AA22" s="47"/>
      <c r="AB22" s="47"/>
      <c r="AC22" s="118" t="str">
        <f t="shared" si="7"/>
        <v>grep -hrE -A400 "Enforcement Action" /cygdrive/c/Users/stu/AppData/Local/Temp/OnboardLogs/RTDC4008 --include="*4008*201705302*"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"%USERPROFILE%\AppData\Local\Temp\OnboardLogs"\RTDC4008\*4008*201705302* &gt;&gt; 2017-05-30-SliceDisagreementCheck.txt</v>
      </c>
      <c r="AE22" s="148" t="str">
        <f t="shared" si="9"/>
        <v>start /low /b %USERPROFILE%\Documents\GitHub\eaglep3\Utilities\DownloadLogsFromS3.py --loco 4008 --day 2017-05-30</v>
      </c>
      <c r="AF22" s="1"/>
    </row>
    <row r="23" spans="1:32" x14ac:dyDescent="0.25">
      <c r="A23" s="31">
        <v>42885.745856481481</v>
      </c>
      <c r="B23" s="30" t="s">
        <v>543</v>
      </c>
      <c r="C23" s="30" t="s">
        <v>655</v>
      </c>
      <c r="D23" s="30" t="s">
        <v>49</v>
      </c>
      <c r="E23" s="30" t="s">
        <v>183</v>
      </c>
      <c r="F23" s="42">
        <v>0</v>
      </c>
      <c r="G23" s="42">
        <v>65</v>
      </c>
      <c r="H23" s="42">
        <v>233123</v>
      </c>
      <c r="I23" s="42">
        <v>233272</v>
      </c>
      <c r="J23" s="30" t="s">
        <v>184</v>
      </c>
      <c r="K23" s="42">
        <v>233491</v>
      </c>
      <c r="L23" s="134" t="s">
        <v>50</v>
      </c>
      <c r="M23" s="135">
        <f t="shared" si="0"/>
        <v>115.63200000000001</v>
      </c>
      <c r="N23" s="136" t="str">
        <f>VLOOKUP(C23,'Trips&amp;Operators'!$C$1:$G$99999,5,FALSE)</f>
        <v>LEVERE CRAIG</v>
      </c>
      <c r="O23" s="210" t="s">
        <v>182</v>
      </c>
      <c r="P23" s="137"/>
      <c r="Q23" s="30"/>
      <c r="R23" s="84" t="str">
        <f>IF(VLOOKUP(C23,'Train Runs'!$A$13:$AE$9935,1,1)=C23,VLOOKUP(C23,'Train Runs'!$A$13:$AE$9935,31,1),NA())</f>
        <v>aws s3 cp s3://rtdc.mdm.uploadarchive.raw/RTDC4032/ "%USERPROFILE%\AppData\Local\Temp\OnboardLogs"\RTDC4032\2017-05-30 --exclude "*" --recursive --include "*20170530*" &amp; "%USERPROFILE%\Documents\GitHub\mrs-test-scripts\Headless Mode &amp; Sideloading\WalkAndUnGZ.bat" "%USERPROFILE%\AppData\Local\Temp\OnboardLogs"\RTDC4032\2017-05-30 &amp; aws s3 cp s3://rtdc.mdm.uploadarchive.raw/RTDC4032/ "%USERPROFILE%\AppData\Local\Temp\OnboardLogs"\RTDC4032\2017-05-31 --exclude "*" --recursive --include "*20170531*" &amp; "%USERPROFILE%\Documents\GitHub\mrs-test-scripts\Headless Mode &amp; Sideloading\WalkAndUnGZ.bat" "%USERPROFILE%\AppData\Local\Temp\OnboardLogs"\RTDC4032\2017-05-31</v>
      </c>
      <c r="S23" s="87" t="str">
        <f>VLOOKUP(C23,'Train Runs'!$A$13:$AE$9935,22,0)</f>
        <v>https://d0f6bd738d7f1b3e5a7ca70fe4ff75f0.us-east-1.aws.found.io/app/kibana#/discover/Steve-Slow-Train-Analysis-(2080s-and-2083s)?_g=(refreshInterval:(display:Off,pause:!f,section:0,value:0),time:(from:'2017-05-30T16:11:05-0600',mode:absolute,to:'2017-05-30T18:54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23" s="89" t="str">
        <f t="shared" si="1"/>
        <v>"C:\Program Files (x86)\AstroGrep\AstroGrep.exe" /e /r /s /spath="%USERPROFILE%\AppData\Local\Temp\OnboardLogs" /stypes="*4032*201705302*" /stext=" 23:.+((SYSTEM_STATE.+slice.+state.+changed )|(ment ac)|(multiple cpu faults)|(system.+state.+changed )|(\[timeout)|(PRM\|1\|D)|(kpr)|(kdp)|(train st.+moving)|(\|lc)|(penalty))"</v>
      </c>
      <c r="U23" s="9" t="str">
        <f t="shared" si="2"/>
        <v>4032</v>
      </c>
      <c r="V23" s="31">
        <f t="shared" si="3"/>
        <v>42885.995856481481</v>
      </c>
      <c r="W23" s="45" t="str">
        <f t="shared" si="4"/>
        <v>EC</v>
      </c>
      <c r="X23" s="45" t="str">
        <f t="shared" si="5"/>
        <v>KEEP</v>
      </c>
      <c r="Y23" s="99" t="str">
        <f t="shared" si="6"/>
        <v>echo {"issue":{"subject":"","project_id":79,"tracker_id":40,"status_id":1,"priority_id":2,"assigned_to_id":23,"start_date":"2017-05-30","description":"","custom_fields":[{"id":1,"name":"Subdivision","value":"EC"},{"id":4,"name":"Milepost","value":"23.3491"},{"id":17,"name":"Train ID","value":"209-30"},{"id":16,"name":"Locomotive ID","value":"4032"},{"id":130,"name":"Impact","value":""},{"id":150,"name":"Time of Event (Mountain Time)","value":"17:54:02"},{"id":151,"name":"Denver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62"/>
      <c r="AA23" s="47"/>
      <c r="AB23" s="47"/>
      <c r="AC23" s="118" t="str">
        <f t="shared" si="7"/>
        <v>grep -hrE -A400 "Enforcement Action" /cygdrive/c/Users/stu/AppData/Local/Temp/OnboardLogs/RTDC4032 --include="*4032*201705302*"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"%USERPROFILE%\AppData\Local\Temp\OnboardLogs"\RTDC4032\*4032*201705302* &gt;&gt; 2017-05-30-SliceDisagreementCheck.txt</v>
      </c>
      <c r="AE23" s="148" t="str">
        <f t="shared" si="9"/>
        <v>start /low /b %USERPROFILE%\Documents\GitHub\eaglep3\Utilities\DownloadLogsFromS3.py --loco 4032 --day 2017-05-30</v>
      </c>
      <c r="AF23" s="1"/>
    </row>
    <row r="24" spans="1:32" x14ac:dyDescent="0.25">
      <c r="A24" s="31">
        <v>42885.902106481481</v>
      </c>
      <c r="B24" s="30" t="s">
        <v>543</v>
      </c>
      <c r="C24" s="30" t="s">
        <v>662</v>
      </c>
      <c r="D24" s="30" t="s">
        <v>49</v>
      </c>
      <c r="E24" s="30" t="s">
        <v>183</v>
      </c>
      <c r="F24" s="42">
        <v>0</v>
      </c>
      <c r="G24" s="42">
        <v>65</v>
      </c>
      <c r="H24" s="42">
        <v>233259</v>
      </c>
      <c r="I24" s="42">
        <v>233318</v>
      </c>
      <c r="J24" s="30" t="s">
        <v>184</v>
      </c>
      <c r="K24" s="42">
        <v>233491</v>
      </c>
      <c r="L24" s="134" t="s">
        <v>50</v>
      </c>
      <c r="M24" s="135">
        <f t="shared" si="0"/>
        <v>91.343999999999994</v>
      </c>
      <c r="N24" s="136" t="str">
        <f>VLOOKUP(C24,'Trips&amp;Operators'!$C$1:$G$99999,5,FALSE)</f>
        <v>DUNCAN SHEILA</v>
      </c>
      <c r="O24" s="210" t="s">
        <v>182</v>
      </c>
      <c r="P24" s="137"/>
      <c r="Q24" s="30"/>
      <c r="R24" s="84" t="str">
        <f>IF(VLOOKUP(C24,'Train Runs'!$A$13:$AE$9935,1,1)=C24,VLOOKUP(C24,'Train Runs'!$A$13:$AE$9935,31,1),NA())</f>
        <v>aws s3 cp s3://rtdc.mdm.uploadarchive.raw/RTDC4032/ "%USERPROFILE%\AppData\Local\Temp\OnboardLogs"\RTDC4032\2017-05-30 --exclude "*" --recursive --include "*20170530*" &amp; "%USERPROFILE%\Documents\GitHub\mrs-test-scripts\Headless Mode &amp; Sideloading\WalkAndUnGZ.bat" "%USERPROFILE%\AppData\Local\Temp\OnboardLogs"\RTDC4032\2017-05-30 &amp; aws s3 cp s3://rtdc.mdm.uploadarchive.raw/RTDC4032/ "%USERPROFILE%\AppData\Local\Temp\OnboardLogs"\RTDC4032\2017-05-31 --exclude "*" --recursive --include "*20170531*" &amp; "%USERPROFILE%\Documents\GitHub\mrs-test-scripts\Headless Mode &amp; Sideloading\WalkAndUnGZ.bat" "%USERPROFILE%\AppData\Local\Temp\OnboardLogs"\RTDC4032\2017-05-31</v>
      </c>
      <c r="S24" s="87" t="str">
        <f>VLOOKUP(C24,'Train Runs'!$A$13:$AE$9935,22,0)</f>
        <v>https://d0f6bd738d7f1b3e5a7ca70fe4ff75f0.us-east-1.aws.found.io/app/kibana#/discover/Steve-Slow-Train-Analysis-(2080s-and-2083s)?_g=(refreshInterval:(display:Off,pause:!f,section:0,value:0),time:(from:'2017-05-30T19:41:58-0600',mode:absolute,to:'2017-05-30T22:39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24" s="89" t="str">
        <f t="shared" si="1"/>
        <v>"C:\Program Files (x86)\AstroGrep\AstroGrep.exe" /e /r /s /spath="%USERPROFILE%\AppData\Local\Temp\OnboardLogs" /stypes="*4032*201705310*" /stext=" 03:.+((SYSTEM_STATE.+slice.+state.+changed )|(ment ac)|(multiple cpu faults)|(system.+state.+changed )|(\[timeout)|(PRM\|1\|D)|(kpr)|(kdp)|(train st.+moving)|(\|lc)|(penalty))"</v>
      </c>
      <c r="U24" s="9" t="str">
        <f t="shared" si="2"/>
        <v>4032</v>
      </c>
      <c r="V24" s="31">
        <f t="shared" si="3"/>
        <v>42886.152106481481</v>
      </c>
      <c r="W24" s="45" t="str">
        <f t="shared" si="4"/>
        <v>EC</v>
      </c>
      <c r="X24" s="45" t="str">
        <f t="shared" si="5"/>
        <v>KEEP</v>
      </c>
      <c r="Y24" s="99" t="str">
        <f t="shared" si="6"/>
        <v>echo {"issue":{"subject":"","project_id":79,"tracker_id":40,"status_id":1,"priority_id":2,"assigned_to_id":23,"start_date":"2017-05-30","description":"","custom_fields":[{"id":1,"name":"Subdivision","value":"EC"},{"id":4,"name":"Milepost","value":"23.3491"},{"id":17,"name":"Train ID","value":"229-30"},{"id":16,"name":"Locomotive ID","value":"4032"},{"id":130,"name":"Impact","value":""},{"id":150,"name":"Time of Event (Mountain Time)","value":"21:39:02"},{"id":151,"name":"Denver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62"/>
      <c r="AA24" s="47"/>
      <c r="AB24" s="47"/>
      <c r="AC24" s="118" t="str">
        <f t="shared" si="7"/>
        <v>grep -hrE -A400 "Enforcement Action" /cygdrive/c/Users/stu/AppData/Local/Temp/OnboardLogs/RTDC4032 --include="*4032*201705310*"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"%USERPROFILE%\AppData\Local\Temp\OnboardLogs"\RTDC4032\*4032*201705310* &gt;&gt; 2017-05-30-SliceDisagreementCheck.txt</v>
      </c>
      <c r="AE24" s="148" t="str">
        <f t="shared" si="9"/>
        <v>start /low /b %USERPROFILE%\Documents\GitHub\eaglep3\Utilities\DownloadLogsFromS3.py --loco 4032 --day 2017-05-31</v>
      </c>
      <c r="AF24" s="1"/>
    </row>
    <row r="25" spans="1:32" x14ac:dyDescent="0.25">
      <c r="A25" s="31">
        <v>42885.747106481482</v>
      </c>
      <c r="B25" s="30" t="s">
        <v>363</v>
      </c>
      <c r="C25" s="30" t="s">
        <v>656</v>
      </c>
      <c r="D25" s="30" t="s">
        <v>49</v>
      </c>
      <c r="E25" s="30" t="s">
        <v>189</v>
      </c>
      <c r="F25" s="42">
        <v>30</v>
      </c>
      <c r="G25" s="42">
        <v>80</v>
      </c>
      <c r="H25" s="42">
        <v>10562</v>
      </c>
      <c r="I25" s="42">
        <v>10742</v>
      </c>
      <c r="J25" s="30" t="s">
        <v>190</v>
      </c>
      <c r="K25" s="42">
        <v>10714</v>
      </c>
      <c r="L25" s="134" t="s">
        <v>50</v>
      </c>
      <c r="M25" s="135">
        <f t="shared" si="0"/>
        <v>-14.784000000000001</v>
      </c>
      <c r="N25" s="136" t="str">
        <f>VLOOKUP(C25,'Trips&amp;Operators'!$C$1:$G$99999,5,FALSE)</f>
        <v>THOMPSON LESTER</v>
      </c>
      <c r="O25" s="210" t="s">
        <v>182</v>
      </c>
      <c r="P25" s="137" t="s">
        <v>406</v>
      </c>
      <c r="Q25" s="30"/>
      <c r="R25" s="84" t="e">
        <f>IF(VLOOKUP(C25,'Train Runs'!$A$13:$AE$9935,1,1)=C25,VLOOKUP(C25,'Train Runs'!$A$13:$AE$9935,31,1),NA())</f>
        <v>#N/A</v>
      </c>
      <c r="S25" s="87" t="str">
        <f>VLOOKUP(C25,'Train Runs'!$A$13:$AE$9935,22,0)</f>
        <v>https://d0f6bd738d7f1b3e5a7ca70fe4ff75f0.us-east-1.aws.found.io/app/kibana#/discover/Steve-Slow-Train-Analysis-(2080s-and-2083s)?_g=(refreshInterval:(display:Off,pause:!f,section:0,value:0),time:(from:'2017-05-30T16:46:08-0600',mode:absolute,to:'2017-05-30T19:07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25" s="89" t="str">
        <f t="shared" si="1"/>
        <v>"C:\Program Files (x86)\AstroGrep\AstroGrep.exe" /e /r /s /spath="%USERPROFILE%\AppData\Local\Temp\OnboardLogs" /stypes="*4042*201705302*" /stext=" 23:.+((SYSTEM_STATE.+slice.+state.+changed )|(ment ac)|(multiple cpu faults)|(system.+state.+changed )|(\[timeout)|(PRM\|1\|D)|(kpr)|(kdp)|(train st.+moving)|(\|lc)|(penalty))"</v>
      </c>
      <c r="U25" s="9" t="str">
        <f t="shared" si="2"/>
        <v>4042</v>
      </c>
      <c r="V25" s="31">
        <f t="shared" si="3"/>
        <v>42885.997106481482</v>
      </c>
      <c r="W25" s="45" t="str">
        <f t="shared" si="4"/>
        <v>NW</v>
      </c>
      <c r="X25" s="45" t="str">
        <f t="shared" si="5"/>
        <v>KEEP</v>
      </c>
      <c r="Y25" s="99" t="str">
        <f t="shared" si="6"/>
        <v>echo {"issue":{"subject":"Early arrival","project_id":79,"tracker_id":40,"status_id":1,"priority_id":2,"assigned_to_id":23,"start_date":"2017-05-30","description":"","custom_fields":[{"id":1,"name":"Subdivision","value":"NW"},{"id":4,"name":"Milepost","value":"1.0714"},{"id":17,"name":"Train ID","value":"835-30"},{"id":16,"name":"Locomotive ID","value":"4042"},{"id":130,"name":"Impact","value":""},{"id":150,"name":"Time of Event (Mountain Time)","value":"17:55:50"},{"id":151,"name":"Denver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62"/>
      <c r="AA25" s="47"/>
      <c r="AB25" s="47"/>
      <c r="AC25" s="118" t="str">
        <f t="shared" si="7"/>
        <v>grep -hrE -A400 "Enforcement Action" /cygdrive/c/Users/stu/AppData/Local/Temp/OnboardLogs/RTDC4042 --include="*4042*201705302*"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"%USERPROFILE%\AppData\Local\Temp\OnboardLogs"\RTDC4042\*4042*201705302* &gt;&gt; 2017-05-30-SliceDisagreementCheck.txt</v>
      </c>
      <c r="AE25" s="148" t="str">
        <f t="shared" si="9"/>
        <v>start /low /b %USERPROFILE%\Documents\GitHub\eaglep3\Utilities\DownloadLogsFromS3.py --loco 4042 --day 2017-05-30</v>
      </c>
      <c r="AF25" s="1"/>
    </row>
    <row r="26" spans="1:32" x14ac:dyDescent="0.25">
      <c r="A26" s="31">
        <v>42885.746689814812</v>
      </c>
      <c r="B26" s="30" t="s">
        <v>363</v>
      </c>
      <c r="C26" s="30" t="s">
        <v>656</v>
      </c>
      <c r="D26" s="30" t="s">
        <v>49</v>
      </c>
      <c r="E26" s="30" t="s">
        <v>189</v>
      </c>
      <c r="F26" s="42">
        <v>160</v>
      </c>
      <c r="G26" s="42">
        <v>221</v>
      </c>
      <c r="H26" s="42">
        <v>10069</v>
      </c>
      <c r="I26" s="42">
        <v>10500</v>
      </c>
      <c r="J26" s="30" t="s">
        <v>190</v>
      </c>
      <c r="K26" s="42">
        <v>10714</v>
      </c>
      <c r="L26" s="134" t="s">
        <v>50</v>
      </c>
      <c r="M26" s="135">
        <f t="shared" si="0"/>
        <v>112.992</v>
      </c>
      <c r="N26" s="136" t="str">
        <f>VLOOKUP(C26,'Trips&amp;Operators'!$C$1:$G$99999,5,FALSE)</f>
        <v>THOMPSON LESTER</v>
      </c>
      <c r="O26" s="210" t="s">
        <v>182</v>
      </c>
      <c r="P26" s="137" t="s">
        <v>406</v>
      </c>
      <c r="Q26" s="30"/>
      <c r="R26" s="84" t="e">
        <f>IF(VLOOKUP(C26,'Train Runs'!$A$13:$AE$9935,1,1)=C26,VLOOKUP(C26,'Train Runs'!$A$13:$AE$9935,31,1),NA())</f>
        <v>#N/A</v>
      </c>
      <c r="S26" s="87" t="str">
        <f>VLOOKUP(C26,'Train Runs'!$A$13:$AE$9935,22,0)</f>
        <v>https://d0f6bd738d7f1b3e5a7ca70fe4ff75f0.us-east-1.aws.found.io/app/kibana#/discover/Steve-Slow-Train-Analysis-(2080s-and-2083s)?_g=(refreshInterval:(display:Off,pause:!f,section:0,value:0),time:(from:'2017-05-30T16:46:08-0600',mode:absolute,to:'2017-05-30T19:07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26" s="89" t="str">
        <f t="shared" si="1"/>
        <v>"C:\Program Files (x86)\AstroGrep\AstroGrep.exe" /e /r /s /spath="%USERPROFILE%\AppData\Local\Temp\OnboardLogs" /stypes="*4042*201705302*" /stext=" 23:.+((SYSTEM_STATE.+slice.+state.+changed )|(ment ac)|(multiple cpu faults)|(system.+state.+changed )|(\[timeout)|(PRM\|1\|D)|(kpr)|(kdp)|(train st.+moving)|(\|lc)|(penalty))"</v>
      </c>
      <c r="U26" s="9" t="str">
        <f t="shared" si="2"/>
        <v>4042</v>
      </c>
      <c r="V26" s="31">
        <f t="shared" si="3"/>
        <v>42885.996689814812</v>
      </c>
      <c r="W26" s="45" t="str">
        <f t="shared" si="4"/>
        <v>NW</v>
      </c>
      <c r="X26" s="45" t="str">
        <f t="shared" si="5"/>
        <v>KEEP</v>
      </c>
      <c r="Y26" s="99" t="str">
        <f t="shared" si="6"/>
        <v>echo {"issue":{"subject":"Early arrival","project_id":79,"tracker_id":40,"status_id":1,"priority_id":2,"assigned_to_id":23,"start_date":"2017-05-30","description":"","custom_fields":[{"id":1,"name":"Subdivision","value":"NW"},{"id":4,"name":"Milepost","value":"1.0714"},{"id":17,"name":"Train ID","value":"835-30"},{"id":16,"name":"Locomotive ID","value":"4042"},{"id":130,"name":"Impact","value":""},{"id":150,"name":"Time of Event (Mountain Time)","value":"17:55:14"},{"id":151,"name":"Denver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62"/>
      <c r="AA26" s="47"/>
      <c r="AB26" s="47"/>
      <c r="AC26" s="118" t="str">
        <f t="shared" si="7"/>
        <v>grep -hrE -A400 "Enforcement Action" /cygdrive/c/Users/stu/AppData/Local/Temp/OnboardLogs/RTDC4042 --include="*4042*201705302*"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"%USERPROFILE%\AppData\Local\Temp\OnboardLogs"\RTDC4042\*4042*201705302* &gt;&gt; 2017-05-30-SliceDisagreementCheck.txt</v>
      </c>
      <c r="AE26" s="148" t="str">
        <f t="shared" si="9"/>
        <v>start /low /b %USERPROFILE%\Documents\GitHub\eaglep3\Utilities\DownloadLogsFromS3.py --loco 4042 --day 2017-05-30</v>
      </c>
      <c r="AF26" s="1"/>
    </row>
    <row r="27" spans="1:32" x14ac:dyDescent="0.25">
      <c r="A27" s="31">
        <v>42885.662280092591</v>
      </c>
      <c r="B27" s="30" t="s">
        <v>363</v>
      </c>
      <c r="C27" s="30" t="s">
        <v>652</v>
      </c>
      <c r="D27" s="30" t="s">
        <v>98</v>
      </c>
      <c r="E27" s="30" t="s">
        <v>202</v>
      </c>
      <c r="F27" s="42">
        <v>150</v>
      </c>
      <c r="G27" s="42">
        <v>200</v>
      </c>
      <c r="H27" s="42">
        <v>5378</v>
      </c>
      <c r="I27" s="42">
        <v>5686</v>
      </c>
      <c r="J27" s="30" t="s">
        <v>203</v>
      </c>
      <c r="K27" s="42">
        <v>574</v>
      </c>
      <c r="L27" s="134" t="s">
        <v>50</v>
      </c>
      <c r="M27" s="135">
        <f t="shared" si="0"/>
        <v>-2699.136</v>
      </c>
      <c r="N27" s="136" t="str">
        <f>VLOOKUP(C27,'Trips&amp;Operators'!$C$1:$G$99999,5,FALSE)</f>
        <v>THOMPSON LESTER</v>
      </c>
      <c r="O27" s="210" t="s">
        <v>182</v>
      </c>
      <c r="P27" s="137"/>
      <c r="Q27" s="30"/>
      <c r="R27" s="84" t="e">
        <f>IF(VLOOKUP(C27,'Train Runs'!$A$13:$AE$9935,1,1)=C27,VLOOKUP(C27,'Train Runs'!$A$13:$AE$9935,31,1),NA())</f>
        <v>#N/A</v>
      </c>
      <c r="S27" s="87" t="str">
        <f>VLOOKUP(C27,'Train Runs'!$A$13:$AE$9935,22,0)</f>
        <v>https://d0f6bd738d7f1b3e5a7ca70fe4ff75f0.us-east-1.aws.found.io/app/kibana#/discover/Steve-Slow-Train-Analysis-(2080s-and-2083s)?_g=(refreshInterval:(display:Off,pause:!f,section:0,value:0),time:(from:'2017-05-30T14:44:30-0600',mode:absolute,to:'2017-05-30T17:07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27" s="89" t="str">
        <f t="shared" si="1"/>
        <v>"C:\Program Files (x86)\AstroGrep\AstroGrep.exe" /e /r /s /spath="%USERPROFILE%\AppData\Local\Temp\OnboardLogs" /stypes="*4042*201705302*" /stext=" 21:.+((SYSTEM_STATE.+slice.+state.+changed )|(ment ac)|(multiple cpu faults)|(system.+state.+changed )|(\[timeout)|(PRM\|1\|D)|(kpr)|(kdp)|(train st.+moving)|(\|lc)|(penalty))"</v>
      </c>
      <c r="U27" s="9" t="str">
        <f t="shared" si="2"/>
        <v>4042</v>
      </c>
      <c r="V27" s="31">
        <f t="shared" si="3"/>
        <v>42885.912280092591</v>
      </c>
      <c r="W27" s="45" t="str">
        <f t="shared" si="4"/>
        <v>NW</v>
      </c>
      <c r="X27" s="45" t="str">
        <f t="shared" si="5"/>
        <v>KEEP</v>
      </c>
      <c r="Y27" s="99" t="str">
        <f t="shared" si="6"/>
        <v>echo {"issue":{"subject":"","project_id":79,"tracker_id":40,"status_id":1,"priority_id":2,"assigned_to_id":23,"start_date":"2017-05-30","description":"","custom_fields":[{"id":1,"name":"Subdivision","value":"NW"},{"id":4,"name":"Milepost","value":"0.0574"},{"id":17,"name":"Train ID","value":"827-30"},{"id":16,"name":"Locomotive ID","value":"4042"},{"id":130,"name":"Impact","value":""},{"id":150,"name":"Time of Event (Mountain Time)","value":"15:53:41"},{"id":151,"name":"Denver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62"/>
      <c r="AA27" s="47"/>
      <c r="AB27" s="47"/>
      <c r="AC27" s="118" t="str">
        <f t="shared" si="7"/>
        <v>grep -hrE -A400 "Enforcement Action" /cygdrive/c/Users/stu/AppData/Local/Temp/OnboardLogs/RTDC4042 --include="*4042*201705302*"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"%USERPROFILE%\AppData\Local\Temp\OnboardLogs"\RTDC4042\*4042*201705302* &gt;&gt; 2017-05-30-SliceDisagreementCheck.txt</v>
      </c>
      <c r="AE27" s="148" t="str">
        <f t="shared" si="9"/>
        <v>start /low /b %USERPROFILE%\Documents\GitHub\eaglep3\Utilities\DownloadLogsFromS3.py --loco 4042 --day 2017-05-30</v>
      </c>
      <c r="AF27" s="1"/>
    </row>
    <row r="28" spans="1:32" x14ac:dyDescent="0.25">
      <c r="A28" s="31">
        <v>42885.789548611108</v>
      </c>
      <c r="B28" s="30" t="s">
        <v>363</v>
      </c>
      <c r="C28" s="30" t="s">
        <v>660</v>
      </c>
      <c r="D28" s="30" t="s">
        <v>49</v>
      </c>
      <c r="E28" s="30" t="s">
        <v>202</v>
      </c>
      <c r="F28" s="42">
        <v>300</v>
      </c>
      <c r="G28" s="42">
        <v>398</v>
      </c>
      <c r="H28" s="42">
        <v>20051</v>
      </c>
      <c r="I28" s="42">
        <v>21473</v>
      </c>
      <c r="J28" s="30" t="s">
        <v>203</v>
      </c>
      <c r="K28" s="42">
        <v>21299</v>
      </c>
      <c r="L28" s="134" t="s">
        <v>50</v>
      </c>
      <c r="M28" s="135">
        <f t="shared" si="0"/>
        <v>-91.872</v>
      </c>
      <c r="N28" s="136" t="str">
        <f>VLOOKUP(C28,'Trips&amp;Operators'!$C$1:$G$99999,5,FALSE)</f>
        <v>THOMPSON LESTER</v>
      </c>
      <c r="O28" s="210" t="s">
        <v>182</v>
      </c>
      <c r="P28" s="137"/>
      <c r="Q28" s="30"/>
      <c r="R28" s="84" t="e">
        <f>IF(VLOOKUP(C28,'Train Runs'!$A$13:$AE$9935,1,1)=C28,VLOOKUP(C28,'Train Runs'!$A$13:$AE$9935,31,1),NA())</f>
        <v>#N/A</v>
      </c>
      <c r="S28" s="87" t="str">
        <f>VLOOKUP(C28,'Train Runs'!$A$13:$AE$9935,22,0)</f>
        <v>https://d0f6bd738d7f1b3e5a7ca70fe4ff75f0.us-east-1.aws.found.io/app/kibana#/discover/Steve-Slow-Train-Analysis-(2080s-and-2083s)?_g=(refreshInterval:(display:Off,pause:!f,section:0,value:0),time:(from:'2017-05-30T17:28:51-0600',mode:absolute,to:'2017-05-30T20:06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28" s="89" t="str">
        <f t="shared" si="1"/>
        <v>"C:\Program Files (x86)\AstroGrep\AstroGrep.exe" /e /r /s /spath="%USERPROFILE%\AppData\Local\Temp\OnboardLogs" /stypes="*4042*201705310*" /stext=" 00:.+((SYSTEM_STATE.+slice.+state.+changed )|(ment ac)|(multiple cpu faults)|(system.+state.+changed )|(\[timeout)|(PRM\|1\|D)|(kpr)|(kdp)|(train st.+moving)|(\|lc)|(penalty))"</v>
      </c>
      <c r="U28" s="9" t="str">
        <f t="shared" si="2"/>
        <v>4042</v>
      </c>
      <c r="V28" s="31">
        <f t="shared" si="3"/>
        <v>42886.039548611108</v>
      </c>
      <c r="W28" s="45" t="str">
        <f t="shared" si="4"/>
        <v>NW</v>
      </c>
      <c r="X28" s="45" t="str">
        <f t="shared" si="5"/>
        <v>KEEP</v>
      </c>
      <c r="Y28" s="99" t="str">
        <f t="shared" si="6"/>
        <v>echo {"issue":{"subject":"","project_id":79,"tracker_id":40,"status_id":1,"priority_id":2,"assigned_to_id":23,"start_date":"2017-05-30","description":"","custom_fields":[{"id":1,"name":"Subdivision","value":"NW"},{"id":4,"name":"Milepost","value":"2.1299"},{"id":17,"name":"Train ID","value":"839-30"},{"id":16,"name":"Locomotive ID","value":"4042"},{"id":130,"name":"Impact","value":""},{"id":150,"name":"Time of Event (Mountain Time)","value":"18:56:57"},{"id":151,"name":"Denver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62"/>
      <c r="AA28" s="47"/>
      <c r="AB28" s="47"/>
      <c r="AC28" s="118" t="str">
        <f t="shared" si="7"/>
        <v>grep -hrE -A400 "Enforcement Action" /cygdrive/c/Users/stu/AppData/Local/Temp/OnboardLogs/RTDC4042 --include="*4042*201705310*"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"%USERPROFILE%\AppData\Local\Temp\OnboardLogs"\RTDC4042\*4042*201705310* &gt;&gt; 2017-05-30-SliceDisagreementCheck.txt</v>
      </c>
      <c r="AE28" s="148" t="str">
        <f t="shared" si="9"/>
        <v>start /low /b %USERPROFILE%\Documents\GitHub\eaglep3\Utilities\DownloadLogsFromS3.py --loco 4042 --day 2017-05-31</v>
      </c>
      <c r="AF28" s="1"/>
    </row>
    <row r="29" spans="1:32" x14ac:dyDescent="0.25">
      <c r="A29" s="31">
        <v>42885.762928240743</v>
      </c>
      <c r="B29" s="30" t="s">
        <v>433</v>
      </c>
      <c r="C29" s="30" t="s">
        <v>658</v>
      </c>
      <c r="D29" s="30" t="s">
        <v>98</v>
      </c>
      <c r="E29" s="30" t="s">
        <v>202</v>
      </c>
      <c r="F29" s="42">
        <v>600</v>
      </c>
      <c r="G29" s="42">
        <v>654</v>
      </c>
      <c r="H29" s="42">
        <v>30858</v>
      </c>
      <c r="I29" s="42">
        <v>28058</v>
      </c>
      <c r="J29" s="30" t="s">
        <v>203</v>
      </c>
      <c r="K29" s="42">
        <v>36535</v>
      </c>
      <c r="L29" s="134" t="s">
        <v>51</v>
      </c>
      <c r="M29" s="135">
        <f t="shared" si="0"/>
        <v>-4475.8559999999998</v>
      </c>
      <c r="N29" s="136" t="str">
        <f>VLOOKUP(C29,'Trips&amp;Operators'!$C$1:$G$99999,5,FALSE)</f>
        <v>THOMPSON LESTER</v>
      </c>
      <c r="O29" s="210" t="s">
        <v>182</v>
      </c>
      <c r="P29" s="137"/>
      <c r="Q29" s="30"/>
      <c r="R29" s="84" t="e">
        <f>IF(VLOOKUP(C29,'Train Runs'!$A$13:$AE$9935,1,1)=C29,VLOOKUP(C29,'Train Runs'!$A$13:$AE$9935,31,1),NA())</f>
        <v>#N/A</v>
      </c>
      <c r="S29" s="87" t="str">
        <f>VLOOKUP(C29,'Train Runs'!$A$13:$AE$9935,22,0)</f>
        <v>https://d0f6bd738d7f1b3e5a7ca70fe4ff75f0.us-east-1.aws.found.io/app/kibana#/discover/Steve-Slow-Train-Analysis-(2080s-and-2083s)?_g=(refreshInterval:(display:Off,pause:!f,section:0,value:0),time:(from:'2017-05-30T17:09:16-0600',mode:absolute,to:'2017-05-30T19:27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9" s="89" t="str">
        <f t="shared" si="1"/>
        <v>"C:\Program Files (x86)\AstroGrep\AstroGrep.exe" /e /r /s /spath="%USERPROFILE%\AppData\Local\Temp\OnboardLogs" /stypes="*4041*201705310*" /stext=" 00:.+((SYSTEM_STATE.+slice.+state.+changed )|(ment ac)|(multiple cpu faults)|(system.+state.+changed )|(\[timeout)|(PRM\|1\|D)|(kpr)|(kdp)|(train st.+moving)|(\|lc)|(penalty))"</v>
      </c>
      <c r="U29" s="9" t="str">
        <f t="shared" si="2"/>
        <v>4041</v>
      </c>
      <c r="V29" s="31">
        <f t="shared" si="3"/>
        <v>42886.012928240743</v>
      </c>
      <c r="W29" s="45" t="str">
        <f t="shared" si="4"/>
        <v>NW</v>
      </c>
      <c r="X29" s="45" t="str">
        <f t="shared" si="5"/>
        <v>KEEP</v>
      </c>
      <c r="Y29" s="99" t="str">
        <f t="shared" si="6"/>
        <v>echo {"issue":{"subject":"","project_id":79,"tracker_id":40,"status_id":1,"priority_id":2,"assigned_to_id":23,"start_date":"2017-05-30","description":"","custom_fields":[{"id":1,"name":"Subdivision","value":"NW"},{"id":4,"name":"Milepost","value":"3.6535"},{"id":17,"name":"Train ID","value":"836-30"},{"id":16,"name":"Locomotive ID","value":"4041"},{"id":130,"name":"Impact","value":""},{"id":150,"name":"Time of Event (Mountain Time)","value":"18:18:37"},{"id":151,"name":"Denver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62"/>
      <c r="AA29" s="47"/>
      <c r="AB29" s="47"/>
      <c r="AC29" s="118" t="str">
        <f t="shared" si="7"/>
        <v>grep -hrE -A400 "Enforcement Action" /cygdrive/c/Users/stu/AppData/Local/Temp/OnboardLogs/RTDC4041 --include="*4041*201705310*"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"%USERPROFILE%\AppData\Local\Temp\OnboardLogs"\RTDC4041\*4041*201705310* &gt;&gt; 2017-05-30-SliceDisagreementCheck.txt</v>
      </c>
      <c r="AE29" s="148" t="str">
        <f t="shared" si="9"/>
        <v>start /low /b %USERPROFILE%\Documents\GitHub\eaglep3\Utilities\DownloadLogsFromS3.py --loco 4041 --day 2017-05-31</v>
      </c>
      <c r="AF29" s="1"/>
    </row>
    <row r="30" spans="1:32" x14ac:dyDescent="0.25">
      <c r="A30" s="31">
        <v>42885.667719907404</v>
      </c>
      <c r="B30" s="30" t="s">
        <v>363</v>
      </c>
      <c r="C30" s="30" t="s">
        <v>652</v>
      </c>
      <c r="D30" s="30" t="s">
        <v>98</v>
      </c>
      <c r="E30" s="30" t="s">
        <v>202</v>
      </c>
      <c r="F30" s="42">
        <v>400</v>
      </c>
      <c r="G30" s="42">
        <v>453</v>
      </c>
      <c r="H30" s="42">
        <v>43682</v>
      </c>
      <c r="I30" s="42">
        <v>45181</v>
      </c>
      <c r="J30" s="30" t="s">
        <v>203</v>
      </c>
      <c r="K30" s="42">
        <v>41797</v>
      </c>
      <c r="L30" s="134" t="s">
        <v>50</v>
      </c>
      <c r="M30" s="135">
        <f t="shared" si="0"/>
        <v>-1786.752</v>
      </c>
      <c r="N30" s="136" t="str">
        <f>VLOOKUP(C30,'Trips&amp;Operators'!$C$1:$G$99999,5,FALSE)</f>
        <v>THOMPSON LESTER</v>
      </c>
      <c r="O30" s="210" t="s">
        <v>182</v>
      </c>
      <c r="P30" s="137"/>
      <c r="Q30" s="30"/>
      <c r="R30" s="84" t="e">
        <f>IF(VLOOKUP(C30,'Train Runs'!$A$13:$AE$9935,1,1)=C30,VLOOKUP(C30,'Train Runs'!$A$13:$AE$9935,31,1),NA())</f>
        <v>#N/A</v>
      </c>
      <c r="S30" s="87" t="str">
        <f>VLOOKUP(C30,'Train Runs'!$A$13:$AE$9935,22,0)</f>
        <v>https://d0f6bd738d7f1b3e5a7ca70fe4ff75f0.us-east-1.aws.found.io/app/kibana#/discover/Steve-Slow-Train-Analysis-(2080s-and-2083s)?_g=(refreshInterval:(display:Off,pause:!f,section:0,value:0),time:(from:'2017-05-30T14:44:30-0600',mode:absolute,to:'2017-05-30T17:07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30" s="89" t="str">
        <f t="shared" si="1"/>
        <v>"C:\Program Files (x86)\AstroGrep\AstroGrep.exe" /e /r /s /spath="%USERPROFILE%\AppData\Local\Temp\OnboardLogs" /stypes="*4042*201705302*" /stext=" 22:.+((SYSTEM_STATE.+slice.+state.+changed )|(ment ac)|(multiple cpu faults)|(system.+state.+changed )|(\[timeout)|(PRM\|1\|D)|(kpr)|(kdp)|(train st.+moving)|(\|lc)|(penalty))"</v>
      </c>
      <c r="U30" s="9" t="str">
        <f t="shared" si="2"/>
        <v>4042</v>
      </c>
      <c r="V30" s="31">
        <f t="shared" si="3"/>
        <v>42885.917719907404</v>
      </c>
      <c r="W30" s="45" t="str">
        <f t="shared" si="4"/>
        <v>NW</v>
      </c>
      <c r="X30" s="45" t="str">
        <f t="shared" si="5"/>
        <v>KEEP</v>
      </c>
      <c r="Y30" s="99" t="str">
        <f t="shared" si="6"/>
        <v>echo {"issue":{"subject":"","project_id":79,"tracker_id":40,"status_id":1,"priority_id":2,"assigned_to_id":23,"start_date":"2017-05-30","description":"","custom_fields":[{"id":1,"name":"Subdivision","value":"NW"},{"id":4,"name":"Milepost","value":"4.1797"},{"id":17,"name":"Train ID","value":"827-30"},{"id":16,"name":"Locomotive ID","value":"4042"},{"id":130,"name":"Impact","value":""},{"id":150,"name":"Time of Event (Mountain Time)","value":"16:01:31"},{"id":151,"name":"Denver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62"/>
      <c r="AA30" s="47"/>
      <c r="AB30" s="47"/>
      <c r="AC30" s="118" t="str">
        <f t="shared" si="7"/>
        <v>grep -hrE -A400 "Enforcement Action" /cygdrive/c/Users/stu/AppData/Local/Temp/OnboardLogs/RTDC4042 --include="*4042*201705302*"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"%USERPROFILE%\AppData\Local\Temp\OnboardLogs"\RTDC4042\*4042*201705302* &gt;&gt; 2017-05-30-SliceDisagreementCheck.txt</v>
      </c>
      <c r="AE30" s="148" t="str">
        <f t="shared" si="9"/>
        <v>start /low /b %USERPROFILE%\Documents\GitHub\eaglep3\Utilities\DownloadLogsFromS3.py --loco 4042 --day 2017-05-30</v>
      </c>
      <c r="AF30" s="1"/>
    </row>
    <row r="31" spans="1:32" x14ac:dyDescent="0.25">
      <c r="A31" s="31">
        <v>42885.730300925927</v>
      </c>
      <c r="B31" s="30" t="s">
        <v>410</v>
      </c>
      <c r="C31" s="30" t="s">
        <v>654</v>
      </c>
      <c r="D31" s="30" t="s">
        <v>49</v>
      </c>
      <c r="E31" s="30" t="s">
        <v>202</v>
      </c>
      <c r="F31" s="42">
        <v>150</v>
      </c>
      <c r="G31" s="42">
        <v>342</v>
      </c>
      <c r="H31" s="42">
        <v>55419</v>
      </c>
      <c r="I31" s="42">
        <v>56137</v>
      </c>
      <c r="J31" s="30" t="s">
        <v>203</v>
      </c>
      <c r="K31" s="42">
        <v>57008</v>
      </c>
      <c r="L31" s="134" t="s">
        <v>50</v>
      </c>
      <c r="M31" s="135">
        <f t="shared" si="0"/>
        <v>459.88799999999998</v>
      </c>
      <c r="N31" s="136" t="str">
        <f>VLOOKUP(C31,'Trips&amp;Operators'!$C$1:$G$99999,5,FALSE)</f>
        <v>BRUDER RICHARD</v>
      </c>
      <c r="O31" s="210" t="s">
        <v>182</v>
      </c>
      <c r="P31" s="137"/>
      <c r="Q31" s="30"/>
      <c r="R31" s="84" t="e">
        <f>IF(VLOOKUP(C31,'Train Runs'!$A$13:$AE$9935,1,1)=C31,VLOOKUP(C31,'Train Runs'!$A$13:$AE$9935,31,1),NA())</f>
        <v>#N/A</v>
      </c>
      <c r="S31" s="87" t="str">
        <f>VLOOKUP(C31,'Train Runs'!$A$13:$AE$9935,22,0)</f>
        <v>https://d0f6bd738d7f1b3e5a7ca70fe4ff75f0.us-east-1.aws.found.io/app/kibana#/discover/Steve-Slow-Train-Analysis-(2080s-and-2083s)?_g=(refreshInterval:(display:Off,pause:!f,section:0,value:0),time:(from:'2017-05-30T16:16:10-0600',mode:absolute,to:'2017-05-30T18:35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31" s="89" t="str">
        <f t="shared" si="1"/>
        <v>"C:\Program Files (x86)\AstroGrep\AstroGrep.exe" /e /r /s /spath="%USERPROFILE%\AppData\Local\Temp\OnboardLogs" /stypes="*4050*201705302*" /stext=" 23:.+((SYSTEM_STATE.+slice.+state.+changed )|(ment ac)|(multiple cpu faults)|(system.+state.+changed )|(\[timeout)|(PRM\|1\|D)|(kpr)|(kdp)|(train st.+moving)|(\|lc)|(penalty))"</v>
      </c>
      <c r="U31" s="9" t="str">
        <f t="shared" si="2"/>
        <v>4050</v>
      </c>
      <c r="V31" s="31">
        <f t="shared" si="3"/>
        <v>42885.980300925927</v>
      </c>
      <c r="W31" s="45" t="str">
        <f t="shared" si="4"/>
        <v>NW</v>
      </c>
      <c r="X31" s="45" t="str">
        <f t="shared" si="5"/>
        <v>KEEP</v>
      </c>
      <c r="Y31" s="99" t="str">
        <f t="shared" si="6"/>
        <v>echo {"issue":{"subject":"","project_id":79,"tracker_id":40,"status_id":1,"priority_id":2,"assigned_to_id":23,"start_date":"2017-05-30","description":"","custom_fields":[{"id":1,"name":"Subdivision","value":"NW"},{"id":4,"name":"Milepost","value":"5.7008"},{"id":17,"name":"Train ID","value":"833-30"},{"id":16,"name":"Locomotive ID","value":"4050"},{"id":130,"name":"Impact","value":""},{"id":150,"name":"Time of Event (Mountain Time)","value":"17:31:38"},{"id":151,"name":"Denver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62"/>
      <c r="AA31" s="47"/>
      <c r="AB31" s="47"/>
      <c r="AC31" s="118" t="str">
        <f t="shared" si="7"/>
        <v>grep -hrE -A400 "Enforcement Action" /cygdrive/c/Users/stu/AppData/Local/Temp/OnboardLogs/RTDC4050 --include="*4050*201705302*"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"%USERPROFILE%\AppData\Local\Temp\OnboardLogs"\RTDC4050\*4050*201705302* &gt;&gt; 2017-05-30-SliceDisagreementCheck.txt</v>
      </c>
      <c r="AE31" s="148" t="str">
        <f t="shared" si="9"/>
        <v>start /low /b %USERPROFILE%\Documents\GitHub\eaglep3\Utilities\DownloadLogsFromS3.py --loco 4050 --day 2017-05-30</v>
      </c>
      <c r="AF31" s="1"/>
    </row>
    <row r="32" spans="1:32" x14ac:dyDescent="0.25">
      <c r="A32" s="31">
        <v>42885.268425925926</v>
      </c>
      <c r="B32" s="30" t="s">
        <v>433</v>
      </c>
      <c r="C32" s="30" t="s">
        <v>639</v>
      </c>
      <c r="D32" s="30" t="s">
        <v>49</v>
      </c>
      <c r="E32" s="30" t="s">
        <v>183</v>
      </c>
      <c r="F32" s="42">
        <v>0</v>
      </c>
      <c r="G32" s="42">
        <v>37</v>
      </c>
      <c r="H32" s="42">
        <v>724</v>
      </c>
      <c r="I32" s="42">
        <v>692</v>
      </c>
      <c r="J32" s="30" t="s">
        <v>184</v>
      </c>
      <c r="K32" s="42">
        <v>575</v>
      </c>
      <c r="L32" s="134" t="s">
        <v>51</v>
      </c>
      <c r="M32" s="135">
        <f t="shared" si="0"/>
        <v>61.776000000000003</v>
      </c>
      <c r="N32" s="136" t="str">
        <f>VLOOKUP(C32,'Trips&amp;Operators'!$C$1:$G$99999,5,FALSE)</f>
        <v>LAMAR NEKESHA</v>
      </c>
      <c r="O32" s="210" t="s">
        <v>182</v>
      </c>
      <c r="P32" s="137"/>
      <c r="Q32" s="30"/>
      <c r="R32" s="84" t="str">
        <f>IF(VLOOKUP(C32,'Train Runs'!$A$13:$AE$9935,1,1)=C32,VLOOKUP(C32,'Train Runs'!$A$13:$AE$9935,31,1),NA())</f>
        <v>aws s3 cp s3://rtdc.mdm.uploadarchive.raw/RTDC4041/ "%USERPROFILE%\AppData\Local\Temp\OnboardLogs"\RTDC4041\2017-05-30 --exclude "*" --recursive --include "*20170530*" &amp; "%USERPROFILE%\Documents\GitHub\mrs-test-scripts\Headless Mode &amp; Sideloading\WalkAndUnGZ.bat" "%USERPROFILE%\AppData\Local\Temp\OnboardLogs"\RTDC4041\2017-05-30 &amp; aws s3 cp s3://rtdc.mdm.uploadarchive.raw/RTDC4041/ "%USERPROFILE%\AppData\Local\Temp\OnboardLogs"\RTDC4041\2017-05-31 --exclude "*" --recursive --include "*20170531*" &amp; "%USERPROFILE%\Documents\GitHub\mrs-test-scripts\Headless Mode &amp; Sideloading\WalkAndUnGZ.bat" "%USERPROFILE%\AppData\Local\Temp\OnboardLogs"\RTDC4041\2017-05-31</v>
      </c>
      <c r="S32" s="87" t="str">
        <f>VLOOKUP(C32,'Train Runs'!$A$13:$AE$9935,22,0)</f>
        <v>https://d0f6bd738d7f1b3e5a7ca70fe4ff75f0.us-east-1.aws.found.io/app/kibana#/discover/Steve-Slow-Train-Analysis-(2080s-and-2083s)?_g=(refreshInterval:(display:Off,pause:!f,section:0,value:0),time:(from:'2017-05-30T05:06:21-0600',mode:absolute,to:'2017-05-30T07:26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32" s="89" t="str">
        <f t="shared" si="1"/>
        <v>"C:\Program Files (x86)\AstroGrep\AstroGrep.exe" /e /r /s /spath="%USERPROFILE%\AppData\Local\Temp\OnboardLogs" /stypes="*4041*201705301*" /stext=" 12:.+((SYSTEM_STATE.+slice.+state.+changed )|(ment ac)|(multiple cpu faults)|(system.+state.+changed )|(\[timeout)|(PRM\|1\|D)|(kpr)|(kdp)|(train st.+moving)|(\|lc)|(penalty))"</v>
      </c>
      <c r="U32" s="9" t="str">
        <f t="shared" si="2"/>
        <v>4041</v>
      </c>
      <c r="V32" s="31">
        <f t="shared" si="3"/>
        <v>42885.518425925926</v>
      </c>
      <c r="W32" s="45" t="str">
        <f t="shared" si="4"/>
        <v>NW</v>
      </c>
      <c r="X32" s="45" t="str">
        <f t="shared" si="5"/>
        <v>KEEP</v>
      </c>
      <c r="Y32" s="99" t="str">
        <f t="shared" si="6"/>
        <v>echo {"issue":{"subject":"","project_id":79,"tracker_id":40,"status_id":1,"priority_id":2,"assigned_to_id":23,"start_date":"2017-05-30","description":"","custom_fields":[{"id":1,"name":"Subdivision","value":"NW"},{"id":4,"name":"Milepost","value":"0.0575"},{"id":17,"name":"Train ID","value":"802-30"},{"id":16,"name":"Locomotive ID","value":"4041"},{"id":130,"name":"Impact","value":""},{"id":150,"name":"Time of Event (Mountain Time)","value":"06:26:32"},{"id":151,"name":"Denver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62"/>
      <c r="AA32" s="47"/>
      <c r="AB32" s="47"/>
      <c r="AC32" s="118" t="str">
        <f t="shared" si="7"/>
        <v>grep -hrE -A400 "Enforcement Action" /cygdrive/c/Users/stu/AppData/Local/Temp/OnboardLogs/RTDC4041 --include="*4041*201705301*"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"%USERPROFILE%\AppData\Local\Temp\OnboardLogs"\RTDC4041\*4041*201705301* &gt;&gt; 2017-05-30-SliceDisagreementCheck.txt</v>
      </c>
      <c r="AE32" s="148" t="str">
        <f t="shared" si="9"/>
        <v>start /low /b %USERPROFILE%\Documents\GitHub\eaglep3\Utilities\DownloadLogsFromS3.py --loco 4041 --day 2017-05-30</v>
      </c>
      <c r="AF32" s="1"/>
    </row>
    <row r="33" spans="1:32" x14ac:dyDescent="0.25">
      <c r="A33" s="31">
        <v>42885.685219907406</v>
      </c>
      <c r="B33" s="30" t="s">
        <v>433</v>
      </c>
      <c r="C33" s="30" t="s">
        <v>653</v>
      </c>
      <c r="D33" s="30" t="s">
        <v>49</v>
      </c>
      <c r="E33" s="30" t="s">
        <v>183</v>
      </c>
      <c r="F33" s="42">
        <v>0</v>
      </c>
      <c r="G33" s="42">
        <v>44</v>
      </c>
      <c r="H33" s="42">
        <v>729</v>
      </c>
      <c r="I33" s="42">
        <v>687</v>
      </c>
      <c r="J33" s="30" t="s">
        <v>184</v>
      </c>
      <c r="K33" s="42">
        <v>575</v>
      </c>
      <c r="L33" s="134" t="s">
        <v>51</v>
      </c>
      <c r="M33" s="135">
        <f t="shared" si="0"/>
        <v>59.136000000000003</v>
      </c>
      <c r="N33" s="136" t="str">
        <f>VLOOKUP(C33,'Trips&amp;Operators'!$C$1:$G$99999,5,FALSE)</f>
        <v>THOMPSON LESTER</v>
      </c>
      <c r="O33" s="210" t="s">
        <v>182</v>
      </c>
      <c r="P33" s="137"/>
      <c r="Q33" s="30"/>
      <c r="R33" s="84" t="e">
        <f>IF(VLOOKUP(C33,'Train Runs'!$A$13:$AE$9935,1,1)=C33,VLOOKUP(C33,'Train Runs'!$A$13:$AE$9935,31,1),NA())</f>
        <v>#N/A</v>
      </c>
      <c r="S33" s="87" t="str">
        <f>VLOOKUP(C33,'Train Runs'!$A$13:$AE$9935,22,0)</f>
        <v>https://d0f6bd738d7f1b3e5a7ca70fe4ff75f0.us-east-1.aws.found.io/app/kibana#/discover/Steve-Slow-Train-Analysis-(2080s-and-2083s)?_g=(refreshInterval:(display:Off,pause:!f,section:0,value:0),time:(from:'2017-05-30T15:08:45-0600',mode:absolute,to:'2017-05-30T17:26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33" s="89" t="str">
        <f t="shared" si="1"/>
        <v>"C:\Program Files (x86)\AstroGrep\AstroGrep.exe" /e /r /s /spath="%USERPROFILE%\AppData\Local\Temp\OnboardLogs" /stypes="*4041*201705302*" /stext=" 22:.+((SYSTEM_STATE.+slice.+state.+changed )|(ment ac)|(multiple cpu faults)|(system.+state.+changed )|(\[timeout)|(PRM\|1\|D)|(kpr)|(kdp)|(train st.+moving)|(\|lc)|(penalty))"</v>
      </c>
      <c r="U33" s="9" t="str">
        <f t="shared" si="2"/>
        <v>4041</v>
      </c>
      <c r="V33" s="31">
        <f t="shared" si="3"/>
        <v>42885.935219907406</v>
      </c>
      <c r="W33" s="45" t="str">
        <f t="shared" si="4"/>
        <v>NW</v>
      </c>
      <c r="X33" s="45" t="str">
        <f t="shared" si="5"/>
        <v>KEEP</v>
      </c>
      <c r="Y33" s="99" t="str">
        <f t="shared" si="6"/>
        <v>echo {"issue":{"subject":"","project_id":79,"tracker_id":40,"status_id":1,"priority_id":2,"assigned_to_id":23,"start_date":"2017-05-30","description":"","custom_fields":[{"id":1,"name":"Subdivision","value":"NW"},{"id":4,"name":"Milepost","value":"0.0575"},{"id":17,"name":"Train ID","value":"828-30"},{"id":16,"name":"Locomotive ID","value":"4041"},{"id":130,"name":"Impact","value":""},{"id":150,"name":"Time of Event (Mountain Time)","value":"16:26:43"},{"id":151,"name":"Denver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62"/>
      <c r="AA33" s="47"/>
      <c r="AB33" s="47"/>
      <c r="AC33" s="118" t="str">
        <f t="shared" si="7"/>
        <v>grep -hrE -A400 "Enforcement Action" /cygdrive/c/Users/stu/AppData/Local/Temp/OnboardLogs/RTDC4041 --include="*4041*201705302*"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"%USERPROFILE%\AppData\Local\Temp\OnboardLogs"\RTDC4041\*4041*201705302* &gt;&gt; 2017-05-30-SliceDisagreementCheck.txt</v>
      </c>
      <c r="AE33" s="148" t="str">
        <f t="shared" si="9"/>
        <v>start /low /b %USERPROFILE%\Documents\GitHub\eaglep3\Utilities\DownloadLogsFromS3.py --loco 4041 --day 2017-05-30</v>
      </c>
      <c r="AF33" s="1"/>
    </row>
    <row r="34" spans="1:32" x14ac:dyDescent="0.25">
      <c r="A34" s="31">
        <v>42885.768877314818</v>
      </c>
      <c r="B34" s="30" t="s">
        <v>433</v>
      </c>
      <c r="C34" s="30" t="s">
        <v>658</v>
      </c>
      <c r="D34" s="30" t="s">
        <v>49</v>
      </c>
      <c r="E34" s="30" t="s">
        <v>183</v>
      </c>
      <c r="F34" s="42">
        <v>0</v>
      </c>
      <c r="G34" s="42">
        <v>51</v>
      </c>
      <c r="H34" s="42">
        <v>762</v>
      </c>
      <c r="I34" s="42">
        <v>726</v>
      </c>
      <c r="J34" s="30" t="s">
        <v>184</v>
      </c>
      <c r="K34" s="42">
        <v>575</v>
      </c>
      <c r="L34" s="134" t="s">
        <v>51</v>
      </c>
      <c r="M34" s="135">
        <f t="shared" si="0"/>
        <v>79.727999999999994</v>
      </c>
      <c r="N34" s="136" t="str">
        <f>VLOOKUP(C34,'Trips&amp;Operators'!$C$1:$G$99999,5,FALSE)</f>
        <v>THOMPSON LESTER</v>
      </c>
      <c r="O34" s="210" t="s">
        <v>182</v>
      </c>
      <c r="P34" s="137"/>
      <c r="Q34" s="30"/>
      <c r="R34" s="84" t="e">
        <f>IF(VLOOKUP(C34,'Train Runs'!$A$13:$AE$9935,1,1)=C34,VLOOKUP(C34,'Train Runs'!$A$13:$AE$9935,31,1),NA())</f>
        <v>#N/A</v>
      </c>
      <c r="S34" s="87" t="str">
        <f>VLOOKUP(C34,'Train Runs'!$A$13:$AE$9935,22,0)</f>
        <v>https://d0f6bd738d7f1b3e5a7ca70fe4ff75f0.us-east-1.aws.found.io/app/kibana#/discover/Steve-Slow-Train-Analysis-(2080s-and-2083s)?_g=(refreshInterval:(display:Off,pause:!f,section:0,value:0),time:(from:'2017-05-30T17:09:16-0600',mode:absolute,to:'2017-05-30T19:27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34" s="89" t="str">
        <f t="shared" si="1"/>
        <v>"C:\Program Files (x86)\AstroGrep\AstroGrep.exe" /e /r /s /spath="%USERPROFILE%\AppData\Local\Temp\OnboardLogs" /stypes="*4041*201705310*" /stext=" 00:.+((SYSTEM_STATE.+slice.+state.+changed )|(ment ac)|(multiple cpu faults)|(system.+state.+changed )|(\[timeout)|(PRM\|1\|D)|(kpr)|(kdp)|(train st.+moving)|(\|lc)|(penalty))"</v>
      </c>
      <c r="U34" s="9" t="str">
        <f t="shared" si="2"/>
        <v>4041</v>
      </c>
      <c r="V34" s="31">
        <f t="shared" si="3"/>
        <v>42886.018877314818</v>
      </c>
      <c r="W34" s="45" t="str">
        <f t="shared" si="4"/>
        <v>NW</v>
      </c>
      <c r="X34" s="45" t="str">
        <f t="shared" si="5"/>
        <v>KEEP</v>
      </c>
      <c r="Y34" s="99" t="str">
        <f t="shared" si="6"/>
        <v>echo {"issue":{"subject":"","project_id":79,"tracker_id":40,"status_id":1,"priority_id":2,"assigned_to_id":23,"start_date":"2017-05-30","description":"","custom_fields":[{"id":1,"name":"Subdivision","value":"NW"},{"id":4,"name":"Milepost","value":"0.0575"},{"id":17,"name":"Train ID","value":"836-30"},{"id":16,"name":"Locomotive ID","value":"4041"},{"id":130,"name":"Impact","value":""},{"id":150,"name":"Time of Event (Mountain Time)","value":"18:27:11"},{"id":151,"name":"Denver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62"/>
      <c r="AA34" s="47"/>
      <c r="AB34" s="47"/>
      <c r="AC34" s="118" t="str">
        <f t="shared" si="7"/>
        <v>grep -hrE -A400 "Enforcement Action" /cygdrive/c/Users/stu/AppData/Local/Temp/OnboardLogs/RTDC4041 --include="*4041*201705310*"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"%USERPROFILE%\AppData\Local\Temp\OnboardLogs"\RTDC4041\*4041*201705310* &gt;&gt; 2017-05-30-SliceDisagreementCheck.txt</v>
      </c>
      <c r="AE34" s="148" t="str">
        <f t="shared" si="9"/>
        <v>start /low /b %USERPROFILE%\Documents\GitHub\eaglep3\Utilities\DownloadLogsFromS3.py --loco 4041 --day 2017-05-31</v>
      </c>
      <c r="AF34" s="1"/>
    </row>
    <row r="35" spans="1:32" x14ac:dyDescent="0.25">
      <c r="A35" s="31">
        <v>42885.274675925924</v>
      </c>
      <c r="B35" s="30" t="s">
        <v>410</v>
      </c>
      <c r="C35" s="30" t="s">
        <v>640</v>
      </c>
      <c r="D35" s="30" t="s">
        <v>49</v>
      </c>
      <c r="E35" s="30" t="s">
        <v>183</v>
      </c>
      <c r="F35" s="42">
        <v>0</v>
      </c>
      <c r="G35" s="42">
        <v>34</v>
      </c>
      <c r="H35" s="42">
        <v>58965</v>
      </c>
      <c r="I35" s="42">
        <v>58993</v>
      </c>
      <c r="J35" s="30" t="s">
        <v>184</v>
      </c>
      <c r="K35" s="42">
        <v>59048</v>
      </c>
      <c r="L35" s="134" t="s">
        <v>50</v>
      </c>
      <c r="M35" s="135">
        <f t="shared" si="0"/>
        <v>29.04</v>
      </c>
      <c r="N35" s="136" t="str">
        <f>VLOOKUP(C35,'Trips&amp;Operators'!$C$1:$G$99999,5,FALSE)</f>
        <v>YANG JAN</v>
      </c>
      <c r="O35" s="210" t="s">
        <v>182</v>
      </c>
      <c r="P35" s="137"/>
      <c r="Q35" s="30"/>
      <c r="R35" s="84" t="str">
        <f>IF(VLOOKUP(C35,'Train Runs'!$A$13:$AE$9935,1,1)=C35,VLOOKUP(C35,'Train Runs'!$A$13:$AE$9935,31,1),NA())</f>
        <v>aws s3 cp s3://rtdc.mdm.uploadarchive.raw/RTDC4050/ "%USERPROFILE%\AppData\Local\Temp\OnboardLogs"\RTDC4050\2017-05-30 --exclude "*" --recursive --include "*20170530*" &amp; "%USERPROFILE%\Documents\GitHub\mrs-test-scripts\Headless Mode &amp; Sideloading\WalkAndUnGZ.bat" "%USERPROFILE%\AppData\Local\Temp\OnboardLogs"\RTDC4050\2017-05-30 &amp; aws s3 cp s3://rtdc.mdm.uploadarchive.raw/RTDC4050/ "%USERPROFILE%\AppData\Local\Temp\OnboardLogs"\RTDC4050\2017-05-31 --exclude "*" --recursive --include "*20170531*" &amp; "%USERPROFILE%\Documents\GitHub\mrs-test-scripts\Headless Mode &amp; Sideloading\WalkAndUnGZ.bat" "%USERPROFILE%\AppData\Local\Temp\OnboardLogs"\RTDC4050\2017-05-31</v>
      </c>
      <c r="S35" s="87" t="str">
        <f>VLOOKUP(C35,'Train Runs'!$A$13:$AE$9935,22,0)</f>
        <v>https://d0f6bd738d7f1b3e5a7ca70fe4ff75f0.us-east-1.aws.found.io/app/kibana#/discover/Steve-Slow-Train-Analysis-(2080s-and-2083s)?_g=(refreshInterval:(display:Off,pause:!f,section:0,value:0),time:(from:'2017-05-30T05:14:32-0600',mode:absolute,to:'2017-05-30T07:35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35" s="89" t="str">
        <f t="shared" si="1"/>
        <v>"C:\Program Files (x86)\AstroGrep\AstroGrep.exe" /e /r /s /spath="%USERPROFILE%\AppData\Local\Temp\OnboardLogs" /stypes="*4050*201705301*" /stext=" 12:.+((SYSTEM_STATE.+slice.+state.+changed )|(ment ac)|(multiple cpu faults)|(system.+state.+changed )|(\[timeout)|(PRM\|1\|D)|(kpr)|(kdp)|(train st.+moving)|(\|lc)|(penalty))"</v>
      </c>
      <c r="U35" s="9" t="str">
        <f t="shared" si="2"/>
        <v>4050</v>
      </c>
      <c r="V35" s="31">
        <f t="shared" si="3"/>
        <v>42885.524675925924</v>
      </c>
      <c r="W35" s="45" t="str">
        <f t="shared" si="4"/>
        <v>NW</v>
      </c>
      <c r="X35" s="45" t="str">
        <f t="shared" si="5"/>
        <v>KEEP</v>
      </c>
      <c r="Y35" s="99" t="str">
        <f t="shared" si="6"/>
        <v>echo {"issue":{"subject":"","project_id":79,"tracker_id":40,"status_id":1,"priority_id":2,"assigned_to_id":23,"start_date":"2017-05-30","description":"","custom_fields":[{"id":1,"name":"Subdivision","value":"NW"},{"id":4,"name":"Milepost","value":"5.9048"},{"id":17,"name":"Train ID","value":"803-30"},{"id":16,"name":"Locomotive ID","value":"4050"},{"id":130,"name":"Impact","value":""},{"id":150,"name":"Time of Event (Mountain Time)","value":"06:35:32"},{"id":151,"name":"Denver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62"/>
      <c r="AA35" s="47"/>
      <c r="AB35" s="47"/>
      <c r="AC35" s="118" t="str">
        <f t="shared" si="7"/>
        <v>grep -hrE -A400 "Enforcement Action" /cygdrive/c/Users/stu/AppData/Local/Temp/OnboardLogs/RTDC4050 --include="*4050*201705301*"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"%USERPROFILE%\AppData\Local\Temp\OnboardLogs"\RTDC4050\*4050*201705301* &gt;&gt; 2017-05-30-SliceDisagreementCheck.txt</v>
      </c>
      <c r="AE35" s="148" t="str">
        <f t="shared" si="9"/>
        <v>start /low /b %USERPROFILE%\Documents\GitHub\eaglep3\Utilities\DownloadLogsFromS3.py --loco 4050 --day 2017-05-30</v>
      </c>
      <c r="AF35" s="1"/>
    </row>
    <row r="36" spans="1:32" x14ac:dyDescent="0.25">
      <c r="A36" s="31">
        <v>42885.524675925924</v>
      </c>
      <c r="B36" s="30" t="s">
        <v>410</v>
      </c>
      <c r="C36" s="30" t="s">
        <v>648</v>
      </c>
      <c r="D36" s="30" t="s">
        <v>49</v>
      </c>
      <c r="E36" s="30" t="s">
        <v>183</v>
      </c>
      <c r="F36" s="42">
        <v>0</v>
      </c>
      <c r="G36" s="42">
        <v>50</v>
      </c>
      <c r="H36" s="42">
        <v>58911</v>
      </c>
      <c r="I36" s="42">
        <v>58958</v>
      </c>
      <c r="J36" s="30" t="s">
        <v>184</v>
      </c>
      <c r="K36" s="42">
        <v>59048</v>
      </c>
      <c r="L36" s="134" t="s">
        <v>50</v>
      </c>
      <c r="M36" s="135">
        <f t="shared" si="0"/>
        <v>47.52</v>
      </c>
      <c r="N36" s="136" t="str">
        <f>VLOOKUP(C36,'Trips&amp;Operators'!$C$1:$G$99999,5,FALSE)</f>
        <v>BIRENBAUM THOMAS</v>
      </c>
      <c r="O36" s="210" t="s">
        <v>182</v>
      </c>
      <c r="P36" s="137"/>
      <c r="Q36" s="30"/>
      <c r="R36" s="84" t="e">
        <f>IF(VLOOKUP(C36,'Train Runs'!$A$13:$AE$9935,1,1)=C36,VLOOKUP(C36,'Train Runs'!$A$13:$AE$9935,31,1),NA())</f>
        <v>#N/A</v>
      </c>
      <c r="S36" s="87" t="str">
        <f>VLOOKUP(C36,'Train Runs'!$A$13:$AE$9935,22,0)</f>
        <v>https://d0f6bd738d7f1b3e5a7ca70fe4ff75f0.us-east-1.aws.found.io/app/kibana#/discover/Steve-Slow-Train-Analysis-(2080s-and-2083s)?_g=(refreshInterval:(display:Off,pause:!f,section:0,value:0),time:(from:'2017-05-30T11:12:33-0600',mode:absolute,to:'2017-05-30T13:35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36" s="89" t="str">
        <f t="shared" si="1"/>
        <v>"C:\Program Files (x86)\AstroGrep\AstroGrep.exe" /e /r /s /spath="%USERPROFILE%\AppData\Local\Temp\OnboardLogs" /stypes="*4050*201705301*" /stext=" 18:.+((SYSTEM_STATE.+slice.+state.+changed )|(ment ac)|(multiple cpu faults)|(system.+state.+changed )|(\[timeout)|(PRM\|1\|D)|(kpr)|(kdp)|(train st.+moving)|(\|lc)|(penalty))"</v>
      </c>
      <c r="U36" s="9" t="str">
        <f t="shared" si="2"/>
        <v>4050</v>
      </c>
      <c r="V36" s="31">
        <f t="shared" si="3"/>
        <v>42885.774675925924</v>
      </c>
      <c r="W36" s="45" t="str">
        <f t="shared" si="4"/>
        <v>NW</v>
      </c>
      <c r="X36" s="45" t="str">
        <f t="shared" si="5"/>
        <v>KEEP</v>
      </c>
      <c r="Y36" s="99" t="str">
        <f t="shared" si="6"/>
        <v>echo {"issue":{"subject":"","project_id":79,"tracker_id":40,"status_id":1,"priority_id":2,"assigned_to_id":23,"start_date":"2017-05-30","description":"","custom_fields":[{"id":1,"name":"Subdivision","value":"NW"},{"id":4,"name":"Milepost","value":"5.9048"},{"id":17,"name":"Train ID","value":"819-30"},{"id":16,"name":"Locomotive ID","value":"4050"},{"id":130,"name":"Impact","value":""},{"id":150,"name":"Time of Event (Mountain Time)","value":"12:35:32"},{"id":151,"name":"Denver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62"/>
      <c r="AA36" s="47"/>
      <c r="AB36" s="47"/>
      <c r="AC36" s="118" t="str">
        <f t="shared" si="7"/>
        <v>grep -hrE -A400 "Enforcement Action" /cygdrive/c/Users/stu/AppData/Local/Temp/OnboardLogs/RTDC4050 --include="*4050*201705301*"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"%USERPROFILE%\AppData\Local\Temp\OnboardLogs"\RTDC4050\*4050*201705301* &gt;&gt; 2017-05-30-SliceDisagreementCheck.txt</v>
      </c>
      <c r="AE36" s="148" t="str">
        <f t="shared" si="9"/>
        <v>start /low /b %USERPROFILE%\Documents\GitHub\eaglep3\Utilities\DownloadLogsFromS3.py --loco 4050 --day 2017-05-30</v>
      </c>
      <c r="AF36" s="1"/>
    </row>
    <row r="37" spans="1:32" x14ac:dyDescent="0.25">
      <c r="A37" s="31">
        <v>42885.732870370368</v>
      </c>
      <c r="B37" s="30" t="s">
        <v>410</v>
      </c>
      <c r="C37" s="30" t="s">
        <v>654</v>
      </c>
      <c r="D37" s="30" t="s">
        <v>49</v>
      </c>
      <c r="E37" s="30" t="s">
        <v>183</v>
      </c>
      <c r="F37" s="42">
        <v>0</v>
      </c>
      <c r="G37" s="42">
        <v>33</v>
      </c>
      <c r="H37" s="42">
        <v>58963</v>
      </c>
      <c r="I37" s="42">
        <v>58982</v>
      </c>
      <c r="J37" s="30" t="s">
        <v>184</v>
      </c>
      <c r="K37" s="42">
        <v>59048</v>
      </c>
      <c r="L37" s="134" t="s">
        <v>50</v>
      </c>
      <c r="M37" s="135">
        <f t="shared" si="0"/>
        <v>34.847999999999999</v>
      </c>
      <c r="N37" s="136" t="str">
        <f>VLOOKUP(C37,'Trips&amp;Operators'!$C$1:$G$99999,5,FALSE)</f>
        <v>BRUDER RICHARD</v>
      </c>
      <c r="O37" s="210" t="s">
        <v>182</v>
      </c>
      <c r="P37" s="137"/>
      <c r="Q37" s="30"/>
      <c r="R37" s="84" t="e">
        <f>IF(VLOOKUP(C37,'Train Runs'!$A$13:$AE$9935,1,1)=C37,VLOOKUP(C37,'Train Runs'!$A$13:$AE$9935,31,1),NA())</f>
        <v>#N/A</v>
      </c>
      <c r="S37" s="87" t="str">
        <f>VLOOKUP(C37,'Train Runs'!$A$13:$AE$9935,22,0)</f>
        <v>https://d0f6bd738d7f1b3e5a7ca70fe4ff75f0.us-east-1.aws.found.io/app/kibana#/discover/Steve-Slow-Train-Analysis-(2080s-and-2083s)?_g=(refreshInterval:(display:Off,pause:!f,section:0,value:0),time:(from:'2017-05-30T16:16:10-0600',mode:absolute,to:'2017-05-30T18:35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37" s="89" t="str">
        <f t="shared" si="1"/>
        <v>"C:\Program Files (x86)\AstroGrep\AstroGrep.exe" /e /r /s /spath="%USERPROFILE%\AppData\Local\Temp\OnboardLogs" /stypes="*4050*201705302*" /stext=" 23:.+((SYSTEM_STATE.+slice.+state.+changed )|(ment ac)|(multiple cpu faults)|(system.+state.+changed )|(\[timeout)|(PRM\|1\|D)|(kpr)|(kdp)|(train st.+moving)|(\|lc)|(penalty))"</v>
      </c>
      <c r="U37" s="9" t="str">
        <f t="shared" si="2"/>
        <v>4050</v>
      </c>
      <c r="V37" s="31">
        <f t="shared" si="3"/>
        <v>42885.982870370368</v>
      </c>
      <c r="W37" s="45" t="str">
        <f t="shared" si="4"/>
        <v>NW</v>
      </c>
      <c r="X37" s="45" t="str">
        <f t="shared" si="5"/>
        <v>KEEP</v>
      </c>
      <c r="Y37" s="99" t="str">
        <f t="shared" si="6"/>
        <v>echo {"issue":{"subject":"","project_id":79,"tracker_id":40,"status_id":1,"priority_id":2,"assigned_to_id":23,"start_date":"2017-05-30","description":"","custom_fields":[{"id":1,"name":"Subdivision","value":"NW"},{"id":4,"name":"Milepost","value":"5.9048"},{"id":17,"name":"Train ID","value":"833-30"},{"id":16,"name":"Locomotive ID","value":"4050"},{"id":130,"name":"Impact","value":""},{"id":150,"name":"Time of Event (Mountain Time)","value":"17:35:20"},{"id":151,"name":"Denver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62"/>
      <c r="AA37" s="47"/>
      <c r="AB37" s="47"/>
      <c r="AC37" s="118" t="str">
        <f t="shared" si="7"/>
        <v>grep -hrE -A400 "Enforcement Action" /cygdrive/c/Users/stu/AppData/Local/Temp/OnboardLogs/RTDC4050 --include="*4050*201705302*"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"%USERPROFILE%\AppData\Local\Temp\OnboardLogs"\RTDC4050\*4050*201705302* &gt;&gt; 2017-05-30-SliceDisagreementCheck.txt</v>
      </c>
      <c r="AE37" s="148" t="str">
        <f t="shared" si="9"/>
        <v>start /low /b %USERPROFILE%\Documents\GitHub\eaglep3\Utilities\DownloadLogsFromS3.py --loco 4050 --day 2017-05-30</v>
      </c>
      <c r="AF37" s="1"/>
    </row>
    <row r="38" spans="1:32" x14ac:dyDescent="0.25">
      <c r="A38" s="31">
        <v>42885.77447916667</v>
      </c>
      <c r="B38" s="30" t="s">
        <v>410</v>
      </c>
      <c r="C38" s="30" t="s">
        <v>659</v>
      </c>
      <c r="D38" s="30" t="s">
        <v>49</v>
      </c>
      <c r="E38" s="30" t="s">
        <v>183</v>
      </c>
      <c r="F38" s="42">
        <v>0</v>
      </c>
      <c r="G38" s="42">
        <v>34</v>
      </c>
      <c r="H38" s="42">
        <v>58961</v>
      </c>
      <c r="I38" s="42">
        <v>58982</v>
      </c>
      <c r="J38" s="30" t="s">
        <v>184</v>
      </c>
      <c r="K38" s="42">
        <v>59048</v>
      </c>
      <c r="L38" s="134" t="s">
        <v>50</v>
      </c>
      <c r="M38" s="135">
        <f t="shared" si="0"/>
        <v>34.847999999999999</v>
      </c>
      <c r="N38" s="136" t="str">
        <f>VLOOKUP(C38,'Trips&amp;Operators'!$C$1:$G$99999,5,FALSE)</f>
        <v>BRUDER RICHARD</v>
      </c>
      <c r="O38" s="210" t="s">
        <v>182</v>
      </c>
      <c r="P38" s="137"/>
      <c r="Q38" s="30"/>
      <c r="R38" s="84" t="e">
        <f>IF(VLOOKUP(C38,'Train Runs'!$A$13:$AE$9935,1,1)=C38,VLOOKUP(C38,'Train Runs'!$A$13:$AE$9935,31,1),NA())</f>
        <v>#N/A</v>
      </c>
      <c r="S38" s="87" t="str">
        <f>VLOOKUP(C38,'Train Runs'!$A$13:$AE$9935,22,0)</f>
        <v>https://d0f6bd738d7f1b3e5a7ca70fe4ff75f0.us-east-1.aws.found.io/app/kibana#/discover/Steve-Slow-Train-Analysis-(2080s-and-2083s)?_g=(refreshInterval:(display:Off,pause:!f,section:0,value:0),time:(from:'2017-05-30T17:13:56-0600',mode:absolute,to:'2017-05-30T19:35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38" s="89" t="str">
        <f t="shared" si="1"/>
        <v>"C:\Program Files (x86)\AstroGrep\AstroGrep.exe" /e /r /s /spath="%USERPROFILE%\AppData\Local\Temp\OnboardLogs" /stypes="*4050*201705310*" /stext=" 00:.+((SYSTEM_STATE.+slice.+state.+changed )|(ment ac)|(multiple cpu faults)|(system.+state.+changed )|(\[timeout)|(PRM\|1\|D)|(kpr)|(kdp)|(train st.+moving)|(\|lc)|(penalty))"</v>
      </c>
      <c r="U38" s="9" t="str">
        <f t="shared" si="2"/>
        <v>4050</v>
      </c>
      <c r="V38" s="31">
        <f t="shared" si="3"/>
        <v>42886.02447916667</v>
      </c>
      <c r="W38" s="45" t="str">
        <f t="shared" si="4"/>
        <v>NW</v>
      </c>
      <c r="X38" s="45" t="str">
        <f t="shared" si="5"/>
        <v>KEEP</v>
      </c>
      <c r="Y38" s="99" t="str">
        <f t="shared" si="6"/>
        <v>echo {"issue":{"subject":"","project_id":79,"tracker_id":40,"status_id":1,"priority_id":2,"assigned_to_id":23,"start_date":"2017-05-30","description":"","custom_fields":[{"id":1,"name":"Subdivision","value":"NW"},{"id":4,"name":"Milepost","value":"5.9048"},{"id":17,"name":"Train ID","value":"837-30"},{"id":16,"name":"Locomotive ID","value":"4050"},{"id":130,"name":"Impact","value":""},{"id":150,"name":"Time of Event (Mountain Time)","value":"18:35:15"},{"id":151,"name":"Denver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62"/>
      <c r="AA38" s="47"/>
      <c r="AB38" s="47"/>
      <c r="AC38" s="118" t="str">
        <f t="shared" si="7"/>
        <v>grep -hrE -A400 "Enforcement Action" /cygdrive/c/Users/stu/AppData/Local/Temp/OnboardLogs/RTDC4050 --include="*4050*201705310*"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"%USERPROFILE%\AppData\Local\Temp\OnboardLogs"\RTDC4050\*4050*201705310* &gt;&gt; 2017-05-30-SliceDisagreementCheck.txt</v>
      </c>
      <c r="AE38" s="148" t="str">
        <f t="shared" si="9"/>
        <v>start /low /b %USERPROFILE%\Documents\GitHub\eaglep3\Utilities\DownloadLogsFromS3.py --loco 4050 --day 2017-05-31</v>
      </c>
      <c r="AF38" s="1"/>
    </row>
    <row r="39" spans="1:32" x14ac:dyDescent="0.25">
      <c r="A39" s="31">
        <v>42885.762465277781</v>
      </c>
      <c r="B39" s="30" t="s">
        <v>342</v>
      </c>
      <c r="C39" s="30" t="s">
        <v>657</v>
      </c>
      <c r="D39" s="30" t="s">
        <v>49</v>
      </c>
      <c r="E39" s="30" t="s">
        <v>367</v>
      </c>
      <c r="F39" s="42">
        <v>0</v>
      </c>
      <c r="G39" s="42">
        <v>107</v>
      </c>
      <c r="H39" s="42">
        <v>4827</v>
      </c>
      <c r="I39" s="42">
        <v>4606</v>
      </c>
      <c r="J39" s="30" t="s">
        <v>368</v>
      </c>
      <c r="K39" s="42">
        <v>4790</v>
      </c>
      <c r="L39" s="134" t="s">
        <v>51</v>
      </c>
      <c r="M39" s="135">
        <f t="shared" si="0"/>
        <v>-97.152000000000001</v>
      </c>
      <c r="N39" s="136" t="str">
        <f>VLOOKUP(C39,'Trips&amp;Operators'!$C$1:$G$99999,5,FALSE)</f>
        <v>SAFIEF AEIMEN</v>
      </c>
      <c r="O39" s="210" t="s">
        <v>182</v>
      </c>
      <c r="P39" s="137" t="s">
        <v>1011</v>
      </c>
      <c r="Q39" s="30"/>
      <c r="R39" s="84" t="e">
        <f>IF(VLOOKUP(C39,'Train Runs'!$A$13:$AE$9935,1,1)=C39,VLOOKUP(C39,'Train Runs'!$A$13:$AE$9935,31,1),NA())</f>
        <v>#N/A</v>
      </c>
      <c r="S39" s="87" t="str">
        <f>VLOOKUP(C39,'Train Runs'!$A$13:$AE$9935,22,0)</f>
        <v>https://d0f6bd738d7f1b3e5a7ca70fe4ff75f0.us-east-1.aws.found.io/app/kibana#/discover/Steve-Slow-Train-Analysis-(2080s-and-2083s)?_g=(refreshInterval:(display:Off,pause:!f,section:0,value:0),time:(from:'2017-05-30T17:03:08-0600',mode:absolute,to:'2017-05-30T19:17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39" s="89" t="str">
        <f t="shared" si="1"/>
        <v>"C:\Program Files (x86)\AstroGrep\AstroGrep.exe" /e /r /s /spath="%USERPROFILE%\AppData\Local\Temp\OnboardLogs" /stypes="*4027*201705310*" /stext=" 00:.+((SYSTEM_STATE.+slice.+state.+changed )|(ment ac)|(multiple cpu faults)|(system.+state.+changed )|(\[timeout)|(PRM\|1\|D)|(kpr)|(kdp)|(train st.+moving)|(\|lc)|(penalty))"</v>
      </c>
      <c r="U39" s="9" t="str">
        <f t="shared" si="2"/>
        <v>4027</v>
      </c>
      <c r="V39" s="31">
        <f t="shared" si="3"/>
        <v>42886.012465277781</v>
      </c>
      <c r="W39" s="45" t="str">
        <f t="shared" si="4"/>
        <v>Other</v>
      </c>
      <c r="X39" s="45" t="str">
        <f t="shared" si="5"/>
        <v>KEEP</v>
      </c>
      <c r="Y39" s="99" t="str">
        <f t="shared" si="6"/>
        <v>echo {"issue":{"subject":"DUS 28S STOP because DUS 14S was still STOP","project_id":79,"tracker_id":40,"status_id":1,"priority_id":2,"assigned_to_id":23,"start_date":"2017-05-30","description":"","custom_fields":[{"id":1,"name":"Subdivision","value":"Other"},{"id":4,"name":"Milepost","value":"0.479"},{"id":17,"name":"Train ID","value":"50-30"},{"id":16,"name":"Locomotive ID","value":"4027"},{"id":130,"name":"Impact","value":""},{"id":150,"name":"Time of Event (Mountain Time)","value":"18:17:57"},{"id":151,"name":"Denver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62"/>
      <c r="AA39" s="47"/>
      <c r="AB39" s="47"/>
      <c r="AC39" s="118" t="str">
        <f t="shared" si="7"/>
        <v>grep -hrE -A400 "Enforcement Action" /cygdrive/c/Users/stu/AppData/Local/Temp/OnboardLogs/RTDC4027 --include="*4027*201705310*"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"%USERPROFILE%\AppData\Local\Temp\OnboardLogs"\RTDC4027\*4027*201705310* &gt;&gt; 2017-05-30-SliceDisagreementCheck.txt</v>
      </c>
      <c r="AE39" s="148" t="str">
        <f t="shared" si="9"/>
        <v>start /low /b %USERPROFILE%\Documents\GitHub\eaglep3\Utilities\DownloadLogsFromS3.py --loco 4027 --day 2017-05-31</v>
      </c>
      <c r="AF39" s="1"/>
    </row>
    <row r="40" spans="1:32" x14ac:dyDescent="0.25">
      <c r="A40" s="31">
        <v>42886.054375</v>
      </c>
      <c r="B40" s="30" t="s">
        <v>474</v>
      </c>
      <c r="C40" s="30" t="s">
        <v>663</v>
      </c>
      <c r="D40" s="30" t="s">
        <v>49</v>
      </c>
      <c r="E40" s="30" t="s">
        <v>367</v>
      </c>
      <c r="F40" s="42">
        <v>0</v>
      </c>
      <c r="G40" s="42">
        <v>86</v>
      </c>
      <c r="H40" s="42">
        <v>20309</v>
      </c>
      <c r="I40" s="42">
        <v>20509</v>
      </c>
      <c r="J40" s="30" t="s">
        <v>368</v>
      </c>
      <c r="K40" s="42">
        <v>22314</v>
      </c>
      <c r="L40" s="134" t="s">
        <v>50</v>
      </c>
      <c r="M40" s="135">
        <f t="shared" si="0"/>
        <v>953.04</v>
      </c>
      <c r="N40" s="136" t="str">
        <f>VLOOKUP(C40,'Trips&amp;Operators'!$C$1:$G$99999,5,FALSE)</f>
        <v>SMITH MICHAEL</v>
      </c>
      <c r="O40" s="210" t="s">
        <v>182</v>
      </c>
      <c r="P40" s="137"/>
      <c r="Q40" s="30"/>
      <c r="R40" s="84" t="e">
        <f>IF(VLOOKUP(C40,'Train Runs'!$A$13:$AE$9935,1,1)=C40,VLOOKUP(C40,'Train Runs'!$A$13:$AE$9935,31,1),NA())</f>
        <v>#N/A</v>
      </c>
      <c r="S40" s="87" t="str">
        <f>VLOOKUP(C40,'Train Runs'!$A$13:$AE$9935,22,0)</f>
        <v>https://d0f6bd738d7f1b3e5a7ca70fe4ff75f0.us-east-1.aws.found.io/app/kibana#/discover/Steve-Slow-Train-Analysis-(2080s-and-2083s)?_g=(refreshInterval:(display:Off,pause:!f,section:0,value:0),time:(from:'2017-05-31T00:08:15-0600',mode:absolute,to:'2017-05-31T02:24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40" s="89" t="str">
        <f t="shared" si="1"/>
        <v>"C:\Program Files (x86)\AstroGrep\AstroGrep.exe" /e /r /s /spath="%USERPROFILE%\AppData\Local\Temp\OnboardLogs" /stypes="*4020*201705310*" /stext=" 07:.+((SYSTEM_STATE.+slice.+state.+changed )|(ment ac)|(multiple cpu faults)|(system.+state.+changed )|(\[timeout)|(PRM\|1\|D)|(kpr)|(kdp)|(train st.+moving)|(\|lc)|(penalty))"</v>
      </c>
      <c r="U40" s="9" t="str">
        <f t="shared" si="2"/>
        <v>4020</v>
      </c>
      <c r="V40" s="31">
        <f t="shared" si="3"/>
        <v>42886.304375</v>
      </c>
      <c r="W40" s="45" t="str">
        <f t="shared" si="4"/>
        <v>Other</v>
      </c>
      <c r="X40" s="45" t="str">
        <f t="shared" si="5"/>
        <v>KEEP</v>
      </c>
      <c r="Y40" s="99" t="str">
        <f t="shared" si="6"/>
        <v>echo {"issue":{"subject":"","project_id":79,"tracker_id":40,"status_id":1,"priority_id":2,"assigned_to_id":23,"start_date":"2017-05-31","description":"","custom_fields":[{"id":1,"name":"Subdivision","value":"Other"},{"id":4,"name":"Milepost","value":"2.2314"},{"id":17,"name":"Train ID","value":"309-30"},{"id":16,"name":"Locomotive ID","value":"4020"},{"id":130,"name":"Impact","value":""},{"id":150,"name":"Time of Event (Mountain Time)","value":"01:18:18"},{"id":151,"name":"Denver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62"/>
      <c r="AA40" s="47"/>
      <c r="AB40" s="47"/>
      <c r="AC40" s="118" t="str">
        <f t="shared" si="7"/>
        <v>grep -hrE -A400 "Enforcement Action" /cygdrive/c/Users/stu/AppData/Local/Temp/OnboardLogs/RTDC4020 --include="*4020*201705310*"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"%USERPROFILE%\AppData\Local\Temp\OnboardLogs"\RTDC4020\*4020*201705310* &gt;&gt; 2017-05-30-SliceDisagreementCheck.txt</v>
      </c>
      <c r="AE40" s="148" t="str">
        <f t="shared" si="9"/>
        <v>start /low /b %USERPROFILE%\Documents\GitHub\eaglep3\Utilities\DownloadLogsFromS3.py --loco 4020 --day 2017-05-31</v>
      </c>
      <c r="AF40" s="1"/>
    </row>
    <row r="41" spans="1:32" x14ac:dyDescent="0.25">
      <c r="A41" s="31">
        <v>42885.204502314817</v>
      </c>
      <c r="B41" s="30" t="s">
        <v>515</v>
      </c>
      <c r="C41" s="30" t="s">
        <v>636</v>
      </c>
      <c r="D41" s="30" t="s">
        <v>49</v>
      </c>
      <c r="E41" s="30" t="s">
        <v>432</v>
      </c>
      <c r="F41" s="42">
        <v>0</v>
      </c>
      <c r="G41" s="42">
        <v>146</v>
      </c>
      <c r="H41" s="42">
        <v>5295</v>
      </c>
      <c r="I41" s="42">
        <v>5098</v>
      </c>
      <c r="J41" s="30" t="s">
        <v>427</v>
      </c>
      <c r="K41" s="42">
        <v>4790</v>
      </c>
      <c r="L41" s="134" t="s">
        <v>51</v>
      </c>
      <c r="M41" s="135">
        <f t="shared" si="0"/>
        <v>162.624</v>
      </c>
      <c r="N41" s="136" t="str">
        <f>VLOOKUP(C41,'Trips&amp;Operators'!$C$1:$G$99999,5,FALSE)</f>
        <v>BIRENBAUM THOMAS</v>
      </c>
      <c r="O41" s="210" t="s">
        <v>182</v>
      </c>
      <c r="P41" s="137"/>
      <c r="Q41" s="30"/>
      <c r="R41" s="84" t="e">
        <f>IF(VLOOKUP(C41,'Train Runs'!$A$13:$AE$9935,1,1)=C41,VLOOKUP(C41,'Train Runs'!$A$13:$AE$9935,31,1),NA())</f>
        <v>#N/A</v>
      </c>
      <c r="S41" s="87" t="str">
        <f>VLOOKUP(C41,'Train Runs'!$A$13:$AE$9935,22,0)</f>
        <v>https://d0f6bd738d7f1b3e5a7ca70fe4ff75f0.us-east-1.aws.found.io/app/kibana#/discover/Steve-Slow-Train-Analysis-(2080s-and-2083s)?_g=(refreshInterval:(display:Off,pause:!f,section:0,value:0),time:(from:'2017-05-30T03:45:26-0600',mode:absolute,to:'2017-05-30T05:58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41" s="89" t="str">
        <f t="shared" si="1"/>
        <v>"C:\Program Files (x86)\AstroGrep\AstroGrep.exe" /e /r /s /spath="%USERPROFILE%\AppData\Local\Temp\OnboardLogs" /stypes="*4055*201705301*" /stext=" 10:.+((SYSTEM_STATE.+slice.+state.+changed )|(ment ac)|(multiple cpu faults)|(system.+state.+changed )|(\[timeout)|(PRM\|1\|D)|(kpr)|(kdp)|(train st.+moving)|(\|lc)|(penalty))"</v>
      </c>
      <c r="U41" s="9" t="str">
        <f t="shared" si="2"/>
        <v>4055</v>
      </c>
      <c r="V41" s="31">
        <f t="shared" si="3"/>
        <v>42885.454502314817</v>
      </c>
      <c r="W41" s="45" t="str">
        <f t="shared" si="4"/>
        <v>Other</v>
      </c>
      <c r="X41" s="45" t="str">
        <f t="shared" si="5"/>
        <v>KEEP</v>
      </c>
      <c r="Y41" s="99" t="str">
        <f t="shared" si="6"/>
        <v>echo {"issue":{"subject":"","project_id":79,"tracker_id":40,"status_id":1,"priority_id":2,"assigned_to_id":23,"start_date":"2017-05-30","description":"","custom_fields":[{"id":1,"name":"Subdivision","value":"Other"},{"id":4,"name":"Milepost","value":"0.479"},{"id":17,"name":"Train ID","value":"310-30"},{"id":16,"name":"Locomotive ID","value":"4055"},{"id":130,"name":"Impact","value":""},{"id":150,"name":"Time of Event (Mountain Time)","value":"04:54:29"},{"id":151,"name":"Denver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62"/>
      <c r="AA41" s="47"/>
      <c r="AB41" s="47"/>
      <c r="AC41" s="118" t="str">
        <f t="shared" si="7"/>
        <v>grep -hrE -A400 "Enforcement Action" /cygdrive/c/Users/stu/AppData/Local/Temp/OnboardLogs/RTDC4055 --include="*4055*201705301*"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"%USERPROFILE%\AppData\Local\Temp\OnboardLogs"\RTDC4055\*4055*201705301* &gt;&gt; 2017-05-30-SliceDisagreementCheck.txt</v>
      </c>
      <c r="AE41" s="148" t="str">
        <f t="shared" si="9"/>
        <v>start /low /b %USERPROFILE%\Documents\GitHub\eaglep3\Utilities\DownloadLogsFromS3.py --loco 4055 --day 2017-05-30</v>
      </c>
      <c r="AF41" s="1"/>
    </row>
    <row r="42" spans="1:32" x14ac:dyDescent="0.25">
      <c r="A42" s="31">
        <v>42885.506111111114</v>
      </c>
      <c r="B42" s="30" t="s">
        <v>505</v>
      </c>
      <c r="C42" s="30" t="s">
        <v>647</v>
      </c>
      <c r="D42" s="30" t="s">
        <v>49</v>
      </c>
      <c r="E42" s="30" t="s">
        <v>183</v>
      </c>
      <c r="F42" s="42">
        <v>0</v>
      </c>
      <c r="G42" s="42">
        <v>91</v>
      </c>
      <c r="H42" s="42">
        <v>1586</v>
      </c>
      <c r="I42" s="42">
        <v>1471</v>
      </c>
      <c r="J42" s="30" t="s">
        <v>184</v>
      </c>
      <c r="K42" s="42">
        <v>826</v>
      </c>
      <c r="L42" s="134" t="s">
        <v>51</v>
      </c>
      <c r="M42" s="135">
        <f t="shared" si="0"/>
        <v>340.56</v>
      </c>
      <c r="N42" s="136" t="str">
        <f>VLOOKUP(C42,'Trips&amp;Operators'!$C$1:$G$99999,5,FALSE)</f>
        <v>ZEWDU DEREJE</v>
      </c>
      <c r="O42" s="210" t="s">
        <v>182</v>
      </c>
      <c r="P42" s="137"/>
      <c r="Q42" s="30"/>
      <c r="R42" s="84" t="e">
        <f>IF(VLOOKUP(C42,'Train Runs'!$A$13:$AE$9935,1,1)=C42,VLOOKUP(C42,'Train Runs'!$A$13:$AE$9935,31,1),NA())</f>
        <v>#N/A</v>
      </c>
      <c r="S42" s="87" t="str">
        <f>VLOOKUP(C42,'Train Runs'!$A$13:$AE$9935,22,0)</f>
        <v>https://d0f6bd738d7f1b3e5a7ca70fe4ff75f0.us-east-1.aws.found.io/app/kibana#/discover/Steve-Slow-Train-Analysis-(2080s-and-2083s)?_g=(refreshInterval:(display:Off,pause:!f,section:0,value:0),time:(from:'2017-05-30T10:54:08-0600',mode:absolute,to:'2017-05-30T13:08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42" s="89" t="str">
        <f t="shared" si="1"/>
        <v>"C:\Program Files (x86)\AstroGrep\AstroGrep.exe" /e /r /s /spath="%USERPROFILE%\AppData\Local\Temp\OnboardLogs" /stypes="*4029*201705301*" /stext=" 18:.+((SYSTEM_STATE.+slice.+state.+changed )|(ment ac)|(multiple cpu faults)|(system.+state.+changed )|(\[timeout)|(PRM\|1\|D)|(kpr)|(kdp)|(train st.+moving)|(\|lc)|(penalty))"</v>
      </c>
      <c r="U42" s="9" t="str">
        <f t="shared" si="2"/>
        <v>4029</v>
      </c>
      <c r="V42" s="31">
        <f t="shared" si="3"/>
        <v>42885.756111111114</v>
      </c>
      <c r="W42" s="45" t="str">
        <f t="shared" si="4"/>
        <v>Other</v>
      </c>
      <c r="X42" s="45" t="str">
        <f t="shared" si="5"/>
        <v>KEEP</v>
      </c>
      <c r="Y42" s="99" t="str">
        <f t="shared" si="6"/>
        <v>echo {"issue":{"subject":"","project_id":79,"tracker_id":40,"status_id":1,"priority_id":2,"assigned_to_id":23,"start_date":"2017-05-30","description":"","custom_fields":[{"id":1,"name":"Subdivision","value":"Other"},{"id":4,"name":"Milepost","value":"0.0826"},{"id":17,"name":"Train ID","value":"58-30"},{"id":16,"name":"Locomotive ID","value":"4029"},{"id":130,"name":"Impact","value":""},{"id":150,"name":"Time of Event (Mountain Time)","value":"12:08:48"},{"id":151,"name":"Denver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162"/>
      <c r="AA42" s="47"/>
      <c r="AB42" s="47"/>
      <c r="AC42" s="118" t="str">
        <f t="shared" si="7"/>
        <v>grep -hrE -A400 "Enforcement Action" /cygdrive/c/Users/stu/AppData/Local/Temp/OnboardLogs/RTDC4029 --include="*4029*201705301*"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"%USERPROFILE%\AppData\Local\Temp\OnboardLogs"\RTDC4029\*4029*201705301* &gt;&gt; 2017-05-30-SliceDisagreementCheck.txt</v>
      </c>
      <c r="AE42" s="148" t="str">
        <f t="shared" si="9"/>
        <v>start /low /b %USERPROFILE%\Documents\GitHub\eaglep3\Utilities\DownloadLogsFromS3.py --loco 4029 --day 2017-05-30</v>
      </c>
      <c r="AF42" s="1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Z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Z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Z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Z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Z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Z60"/>
      <c r="AC60"/>
      <c r="AE60"/>
    </row>
  </sheetData>
  <autoFilter ref="A6:AC54">
    <sortState ref="A7:AC54">
      <sortCondition ref="W7:W42"/>
      <sortCondition ref="E7:E42"/>
      <sortCondition ref="K7:K42"/>
      <sortCondition ref="F7:F42"/>
    </sortState>
  </autoFilter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61:O1048576 O7:O42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2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AA7:AA42</xm:sqref>
        </x14:dataValidation>
        <x14:dataValidation type="list" allowBlank="1" showInputMessage="1" showErrorMessage="1">
          <x14:formula1>
            <xm:f>'Redmine List Values'!$C$2:$C$15</xm:f>
          </x14:formula1>
          <xm:sqref>AB7:AB42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20"/>
  <sheetViews>
    <sheetView workbookViewId="0">
      <selection activeCell="A3" sqref="A3:XFD4"/>
    </sheetView>
  </sheetViews>
  <sheetFormatPr defaultRowHeight="15" x14ac:dyDescent="0.25"/>
  <cols>
    <col min="1" max="1" width="9.140625" style="179"/>
    <col min="2" max="2" width="9.140625" style="2" customWidth="1"/>
    <col min="3" max="3" width="8" style="91" bestFit="1" customWidth="1"/>
    <col min="4" max="4" width="9.85546875" style="142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79"/>
      <c r="B1" s="212" t="str">
        <f>"Trips that did not appear in PTC Data "&amp;TEXT(Variables!$A$2,"YYYY-mm-dd")</f>
        <v>Trips that did not appear in PTC Data 2017-05-30</v>
      </c>
      <c r="C1" s="212"/>
      <c r="D1" s="212"/>
      <c r="E1" s="212"/>
      <c r="F1" s="212"/>
    </row>
    <row r="2" spans="1:10" s="23" customFormat="1" ht="45" x14ac:dyDescent="0.25">
      <c r="A2" s="206" t="s">
        <v>150</v>
      </c>
      <c r="B2" s="93" t="s">
        <v>58</v>
      </c>
      <c r="C2" s="90" t="s">
        <v>59</v>
      </c>
      <c r="D2" s="155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202"/>
      <c r="B3" s="42" t="str">
        <f>A3&amp;"-"&amp;IF(DAY(Variables!$A$2)&lt;10,0,"")&amp;DAY(Variables!$A$2)</f>
        <v>-30</v>
      </c>
      <c r="C3" s="138"/>
      <c r="D3" s="156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5" t="str">
        <f t="shared" ref="I3:I43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3" s="30" t="e">
        <f>VLOOKUP(B3,'Train Runs'!$A$13:$A$99932,1,FALSE)</f>
        <v>#N/A</v>
      </c>
    </row>
    <row r="4" spans="1:10" x14ac:dyDescent="0.25">
      <c r="A4" s="202"/>
      <c r="B4" s="42" t="str">
        <f>A4&amp;"-"&amp;IF(DAY(Variables!$A$2)&lt;10,0,"")&amp;DAY(Variables!$A$2)</f>
        <v>-30</v>
      </c>
      <c r="C4" s="138"/>
      <c r="D4" s="156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4" s="30" t="e">
        <f>VLOOKUP(B4,'Train Runs'!$A$13:$A$99932,1,FALSE)</f>
        <v>#N/A</v>
      </c>
    </row>
    <row r="5" spans="1:10" x14ac:dyDescent="0.25">
      <c r="A5" s="202"/>
      <c r="B5" s="42" t="str">
        <f>A5&amp;"-"&amp;IF(DAY(Variables!$A$2)&lt;10,0,"")&amp;DAY(Variables!$A$2)</f>
        <v>-30</v>
      </c>
      <c r="C5" s="138"/>
      <c r="D5" s="156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5" s="30" t="e">
        <f>VLOOKUP(B5,'Train Runs'!$A$13:$A$99932,1,FALSE)</f>
        <v>#N/A</v>
      </c>
    </row>
    <row r="6" spans="1:10" x14ac:dyDescent="0.25">
      <c r="A6" s="202"/>
      <c r="B6" s="42" t="str">
        <f>A6&amp;"-"&amp;IF(DAY(Variables!$A$2)&lt;10,0,"")&amp;DAY(Variables!$A$2)</f>
        <v>-30</v>
      </c>
      <c r="C6" s="138"/>
      <c r="D6" s="156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6" s="30" t="e">
        <f>VLOOKUP(B6,'Train Runs'!$A$13:$A$99932,1,FALSE)</f>
        <v>#N/A</v>
      </c>
    </row>
    <row r="7" spans="1:10" x14ac:dyDescent="0.25">
      <c r="A7" s="202"/>
      <c r="B7" s="42" t="str">
        <f>A7&amp;"-"&amp;IF(DAY(Variables!$A$2)&lt;10,0,"")&amp;DAY(Variables!$A$2)</f>
        <v>-30</v>
      </c>
      <c r="C7" s="138"/>
      <c r="D7" s="156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7" s="30" t="e">
        <f>VLOOKUP(B7,'Train Runs'!$A$13:$A$99932,1,FALSE)</f>
        <v>#N/A</v>
      </c>
    </row>
    <row r="8" spans="1:10" x14ac:dyDescent="0.25">
      <c r="A8" s="202"/>
      <c r="B8" s="42" t="str">
        <f>A8&amp;"-"&amp;IF(DAY(Variables!$A$2)&lt;10,0,"")&amp;DAY(Variables!$A$2)</f>
        <v>-30</v>
      </c>
      <c r="C8" s="138"/>
      <c r="D8" s="156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8" s="30" t="e">
        <f>VLOOKUP(B8,'Train Runs'!$A$13:$A$99932,1,FALSE)</f>
        <v>#N/A</v>
      </c>
    </row>
    <row r="9" spans="1:10" x14ac:dyDescent="0.25">
      <c r="A9" s="202"/>
      <c r="B9" s="42" t="str">
        <f>A9&amp;"-"&amp;IF(DAY(Variables!$A$2)&lt;10,0,"")&amp;DAY(Variables!$A$2)</f>
        <v>-30</v>
      </c>
      <c r="C9" s="138"/>
      <c r="D9" s="156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9" s="30" t="e">
        <f>VLOOKUP(B9,'Train Runs'!$A$13:$A$99932,1,FALSE)</f>
        <v>#N/A</v>
      </c>
    </row>
    <row r="10" spans="1:10" x14ac:dyDescent="0.25">
      <c r="A10" s="202"/>
      <c r="B10" s="42" t="str">
        <f>A10&amp;"-"&amp;IF(DAY(Variables!$A$2)&lt;10,0,"")&amp;DAY(Variables!$A$2)</f>
        <v>-30</v>
      </c>
      <c r="C10" s="138"/>
      <c r="D10" s="156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0" s="30" t="e">
        <f>VLOOKUP(B10,'Train Runs'!$A$13:$A$99932,1,FALSE)</f>
        <v>#N/A</v>
      </c>
    </row>
    <row r="11" spans="1:10" x14ac:dyDescent="0.25">
      <c r="A11" s="202"/>
      <c r="B11" s="42" t="str">
        <f>A11&amp;"-"&amp;IF(DAY(Variables!$A$2)&lt;10,0,"")&amp;DAY(Variables!$A$2)</f>
        <v>-30</v>
      </c>
      <c r="C11" s="138"/>
      <c r="D11" s="156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1" s="30" t="e">
        <f>VLOOKUP(B11,'Train Runs'!$A$13:$A$99932,1,FALSE)</f>
        <v>#N/A</v>
      </c>
    </row>
    <row r="12" spans="1:10" x14ac:dyDescent="0.25">
      <c r="A12" s="202"/>
      <c r="B12" s="42" t="str">
        <f>A12&amp;"-"&amp;IF(DAY(Variables!$A$2)&lt;10,0,"")&amp;DAY(Variables!$A$2)</f>
        <v>-30</v>
      </c>
      <c r="C12" s="138"/>
      <c r="D12" s="156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2" s="30" t="e">
        <f>VLOOKUP(B12,'Train Runs'!$A$13:$A$99932,1,FALSE)</f>
        <v>#N/A</v>
      </c>
    </row>
    <row r="13" spans="1:10" x14ac:dyDescent="0.25">
      <c r="A13" s="202"/>
      <c r="B13" s="42" t="str">
        <f>A13&amp;"-"&amp;IF(DAY(Variables!$A$2)&lt;10,0,"")&amp;DAY(Variables!$A$2)</f>
        <v>-30</v>
      </c>
      <c r="C13" s="138"/>
      <c r="D13" s="156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3" s="30" t="e">
        <f>VLOOKUP(B13,'Train Runs'!$A$13:$A$99932,1,FALSE)</f>
        <v>#N/A</v>
      </c>
    </row>
    <row r="14" spans="1:10" x14ac:dyDescent="0.25">
      <c r="A14" s="202"/>
      <c r="B14" s="42" t="str">
        <f>A14&amp;"-"&amp;IF(DAY(Variables!$A$2)&lt;10,0,"")&amp;DAY(Variables!$A$2)</f>
        <v>-30</v>
      </c>
      <c r="C14" s="138"/>
      <c r="D14" s="156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4" s="30" t="e">
        <f>VLOOKUP(B14,'Train Runs'!$A$13:$A$99932,1,FALSE)</f>
        <v>#N/A</v>
      </c>
    </row>
    <row r="15" spans="1:10" x14ac:dyDescent="0.25">
      <c r="A15" s="202"/>
      <c r="B15" s="42" t="str">
        <f>A15&amp;"-"&amp;IF(DAY(Variables!$A$2)&lt;10,0,"")&amp;DAY(Variables!$A$2)</f>
        <v>-30</v>
      </c>
      <c r="C15" s="138"/>
      <c r="D15" s="156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5" s="30" t="e">
        <f>VLOOKUP(B15,'Train Runs'!$A$13:$A$99932,1,FALSE)</f>
        <v>#N/A</v>
      </c>
    </row>
    <row r="16" spans="1:10" x14ac:dyDescent="0.25">
      <c r="A16" s="202"/>
      <c r="B16" s="42" t="str">
        <f>A16&amp;"-"&amp;IF(DAY(Variables!$A$2)&lt;10,0,"")&amp;DAY(Variables!$A$2)</f>
        <v>-30</v>
      </c>
      <c r="C16" s="138"/>
      <c r="D16" s="156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6" s="30" t="e">
        <f>VLOOKUP(B16,'Train Runs'!$A$13:$A$99932,1,FALSE)</f>
        <v>#N/A</v>
      </c>
    </row>
    <row r="17" spans="1:10" x14ac:dyDescent="0.25">
      <c r="A17" s="202"/>
      <c r="B17" s="42" t="str">
        <f>A17&amp;"-"&amp;IF(DAY(Variables!$A$2)&lt;10,0,"")&amp;DAY(Variables!$A$2)</f>
        <v>-30</v>
      </c>
      <c r="C17" s="138"/>
      <c r="D17" s="156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7" s="30" t="e">
        <f>VLOOKUP(B17,'Train Runs'!$A$13:$A$99932,1,FALSE)</f>
        <v>#N/A</v>
      </c>
    </row>
    <row r="18" spans="1:10" x14ac:dyDescent="0.25">
      <c r="A18" s="202"/>
      <c r="B18" s="42" t="str">
        <f>A18&amp;"-"&amp;IF(DAY(Variables!$A$2)&lt;10,0,"")&amp;DAY(Variables!$A$2)</f>
        <v>-30</v>
      </c>
      <c r="C18" s="138"/>
      <c r="D18" s="156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8" s="30" t="e">
        <f>VLOOKUP(B18,'Train Runs'!$A$13:$A$99932,1,FALSE)</f>
        <v>#N/A</v>
      </c>
    </row>
    <row r="19" spans="1:10" x14ac:dyDescent="0.25">
      <c r="A19" s="202"/>
      <c r="B19" s="42" t="str">
        <f>A19&amp;"-"&amp;IF(DAY(Variables!$A$2)&lt;10,0,"")&amp;DAY(Variables!$A$2)</f>
        <v>-30</v>
      </c>
      <c r="C19" s="138"/>
      <c r="D19" s="156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9" s="30" t="e">
        <f>VLOOKUP(B19,'Train Runs'!$A$13:$A$99932,1,FALSE)</f>
        <v>#N/A</v>
      </c>
    </row>
    <row r="20" spans="1:10" x14ac:dyDescent="0.25">
      <c r="A20" s="202"/>
      <c r="B20" s="42" t="str">
        <f>A20&amp;"-"&amp;IF(DAY(Variables!$A$2)&lt;10,0,"")&amp;DAY(Variables!$A$2)</f>
        <v>-30</v>
      </c>
      <c r="C20" s="138"/>
      <c r="D20" s="156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20" s="30" t="e">
        <f>VLOOKUP(B20,'Train Runs'!$A$13:$A$99932,1,FALSE)</f>
        <v>#N/A</v>
      </c>
    </row>
    <row r="21" spans="1:10" x14ac:dyDescent="0.25">
      <c r="A21" s="202"/>
      <c r="B21" s="42" t="str">
        <f>A21&amp;"-"&amp;IF(DAY(Variables!$A$2)&lt;10,0,"")&amp;DAY(Variables!$A$2)</f>
        <v>-30</v>
      </c>
      <c r="C21" s="138"/>
      <c r="D21" s="156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21" s="30" t="e">
        <f>VLOOKUP(B21,'Train Runs'!$A$13:$A$99932,1,FALSE)</f>
        <v>#N/A</v>
      </c>
    </row>
    <row r="22" spans="1:10" x14ac:dyDescent="0.25">
      <c r="A22" s="202"/>
      <c r="B22" s="42" t="str">
        <f>A22&amp;"-"&amp;IF(DAY(Variables!$A$2)&lt;10,0,"")&amp;DAY(Variables!$A$2)</f>
        <v>-30</v>
      </c>
      <c r="C22" s="138"/>
      <c r="D22" s="156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22" s="30" t="e">
        <f>VLOOKUP(B22,'Train Runs'!$A$13:$A$99932,1,FALSE)</f>
        <v>#N/A</v>
      </c>
    </row>
    <row r="23" spans="1:10" x14ac:dyDescent="0.25">
      <c r="A23" s="202"/>
      <c r="B23" s="42" t="str">
        <f>A23&amp;"-"&amp;IF(DAY(Variables!$A$2)&lt;10,0,"")&amp;DAY(Variables!$A$2)</f>
        <v>-30</v>
      </c>
      <c r="C23" s="138"/>
      <c r="D23" s="156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23" s="30" t="e">
        <f>VLOOKUP(B23,'Train Runs'!$A$13:$A$99932,1,FALSE)</f>
        <v>#N/A</v>
      </c>
    </row>
    <row r="24" spans="1:10" x14ac:dyDescent="0.25">
      <c r="A24" s="202"/>
      <c r="B24" s="42" t="str">
        <f>A24&amp;"-"&amp;IF(DAY(Variables!$A$2)&lt;10,0,"")&amp;DAY(Variables!$A$2)</f>
        <v>-30</v>
      </c>
      <c r="C24" s="138"/>
      <c r="D24" s="156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24" s="30" t="e">
        <f>VLOOKUP(B24,'Train Runs'!$A$13:$A$99932,1,FALSE)</f>
        <v>#N/A</v>
      </c>
    </row>
    <row r="25" spans="1:10" x14ac:dyDescent="0.25">
      <c r="A25" s="202"/>
      <c r="B25" s="42" t="str">
        <f>A25&amp;"-"&amp;IF(DAY(Variables!$A$2)&lt;10,0,"")&amp;DAY(Variables!$A$2)</f>
        <v>-30</v>
      </c>
      <c r="C25" s="138"/>
      <c r="D25" s="156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25" s="30" t="e">
        <f>VLOOKUP(B25,'Train Runs'!$A$13:$A$99932,1,FALSE)</f>
        <v>#N/A</v>
      </c>
    </row>
    <row r="26" spans="1:10" x14ac:dyDescent="0.25">
      <c r="A26" s="202"/>
      <c r="B26" s="42" t="str">
        <f>A26&amp;"-"&amp;IF(DAY(Variables!$A$2)&lt;10,0,"")&amp;DAY(Variables!$A$2)</f>
        <v>-30</v>
      </c>
      <c r="C26" s="138"/>
      <c r="D26" s="156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26" s="30" t="e">
        <f>VLOOKUP(B26,'Train Runs'!$A$13:$A$99932,1,FALSE)</f>
        <v>#N/A</v>
      </c>
    </row>
    <row r="27" spans="1:10" x14ac:dyDescent="0.25">
      <c r="A27" s="202"/>
      <c r="B27" s="42" t="str">
        <f>A27&amp;"-"&amp;IF(DAY(Variables!$A$2)&lt;10,0,"")&amp;DAY(Variables!$A$2)</f>
        <v>-30</v>
      </c>
      <c r="C27" s="138"/>
      <c r="D27" s="156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27" s="30" t="e">
        <f>VLOOKUP(B27,'Train Runs'!$A$13:$A$99932,1,FALSE)</f>
        <v>#N/A</v>
      </c>
    </row>
    <row r="28" spans="1:10" x14ac:dyDescent="0.25">
      <c r="A28" s="202"/>
      <c r="B28" s="42" t="str">
        <f>A28&amp;"-"&amp;IF(DAY(Variables!$A$2)&lt;10,0,"")&amp;DAY(Variables!$A$2)</f>
        <v>-30</v>
      </c>
      <c r="C28" s="138"/>
      <c r="D28" s="156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28" s="30" t="e">
        <f>VLOOKUP(B28,'Train Runs'!$A$13:$A$99932,1,FALSE)</f>
        <v>#N/A</v>
      </c>
    </row>
    <row r="29" spans="1:10" x14ac:dyDescent="0.25">
      <c r="A29" s="202"/>
      <c r="B29" s="42" t="str">
        <f>A29&amp;"-"&amp;IF(DAY(Variables!$A$2)&lt;10,0,"")&amp;DAY(Variables!$A$2)</f>
        <v>-30</v>
      </c>
      <c r="C29" s="138"/>
      <c r="D29" s="156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29" s="30" t="e">
        <f>VLOOKUP(B29,'Train Runs'!$A$13:$A$99932,1,FALSE)</f>
        <v>#N/A</v>
      </c>
    </row>
    <row r="30" spans="1:10" x14ac:dyDescent="0.25">
      <c r="A30" s="202"/>
      <c r="B30" s="42" t="str">
        <f>A30&amp;"-"&amp;IF(DAY(Variables!$A$2)&lt;10,0,"")&amp;DAY(Variables!$A$2)</f>
        <v>-30</v>
      </c>
      <c r="C30" s="138"/>
      <c r="D30" s="156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30" s="30" t="e">
        <f>VLOOKUP(B30,'Train Runs'!$A$13:$A$99932,1,FALSE)</f>
        <v>#N/A</v>
      </c>
    </row>
    <row r="31" spans="1:10" x14ac:dyDescent="0.25">
      <c r="A31" s="202"/>
      <c r="B31" s="42" t="str">
        <f>A31&amp;"-"&amp;IF(DAY(Variables!$A$2)&lt;10,0,"")&amp;DAY(Variables!$A$2)</f>
        <v>-30</v>
      </c>
      <c r="C31" s="138"/>
      <c r="D31" s="156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31" s="30" t="e">
        <f>VLOOKUP(B31,'Train Runs'!$A$13:$A$99932,1,FALSE)</f>
        <v>#N/A</v>
      </c>
    </row>
    <row r="32" spans="1:10" x14ac:dyDescent="0.25">
      <c r="A32" s="202"/>
      <c r="B32" s="42" t="str">
        <f>A32&amp;"-"&amp;IF(DAY(Variables!$A$2)&lt;10,0,"")&amp;DAY(Variables!$A$2)</f>
        <v>-30</v>
      </c>
      <c r="C32" s="138"/>
      <c r="D32" s="156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32" s="30" t="e">
        <f>VLOOKUP(B32,'Train Runs'!$A$13:$A$99932,1,FALSE)</f>
        <v>#N/A</v>
      </c>
    </row>
    <row r="33" spans="1:10" x14ac:dyDescent="0.25">
      <c r="A33" s="202"/>
      <c r="B33" s="42" t="str">
        <f>A33&amp;"-"&amp;IF(DAY(Variables!$A$2)&lt;10,0,"")&amp;DAY(Variables!$A$2)</f>
        <v>-30</v>
      </c>
      <c r="C33" s="138"/>
      <c r="D33" s="156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33" s="30" t="e">
        <f>VLOOKUP(B33,'Train Runs'!$A$13:$A$99932,1,FALSE)</f>
        <v>#N/A</v>
      </c>
    </row>
    <row r="34" spans="1:10" x14ac:dyDescent="0.25">
      <c r="A34" s="202"/>
      <c r="B34" s="42" t="str">
        <f>A34&amp;"-"&amp;IF(DAY(Variables!$A$2)&lt;10,0,"")&amp;DAY(Variables!$A$2)</f>
        <v>-30</v>
      </c>
      <c r="C34" s="138"/>
      <c r="D34" s="156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34" s="30" t="e">
        <f>VLOOKUP(B34,'Train Runs'!$A$13:$A$99932,1,FALSE)</f>
        <v>#N/A</v>
      </c>
    </row>
    <row r="35" spans="1:10" x14ac:dyDescent="0.25">
      <c r="A35" s="202"/>
      <c r="B35" s="42" t="str">
        <f>A35&amp;"-"&amp;IF(DAY(Variables!$A$2)&lt;10,0,"")&amp;DAY(Variables!$A$2)</f>
        <v>-30</v>
      </c>
      <c r="C35" s="138"/>
      <c r="D35" s="156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35" s="30" t="e">
        <f>VLOOKUP(B35,'Train Runs'!$A$13:$A$99932,1,FALSE)</f>
        <v>#N/A</v>
      </c>
    </row>
    <row r="36" spans="1:10" x14ac:dyDescent="0.25">
      <c r="A36" s="202"/>
      <c r="B36" s="42" t="str">
        <f>A36&amp;"-"&amp;IF(DAY(Variables!$A$2)&lt;10,0,"")&amp;DAY(Variables!$A$2)</f>
        <v>-30</v>
      </c>
      <c r="C36" s="138"/>
      <c r="D36" s="156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36" s="30" t="e">
        <f>VLOOKUP(B36,'Train Runs'!$A$13:$A$99932,1,FALSE)</f>
        <v>#N/A</v>
      </c>
    </row>
    <row r="37" spans="1:10" x14ac:dyDescent="0.25">
      <c r="A37" s="202"/>
      <c r="B37" s="42" t="str">
        <f>A37&amp;"-"&amp;IF(DAY(Variables!$A$2)&lt;10,0,"")&amp;DAY(Variables!$A$2)</f>
        <v>-30</v>
      </c>
      <c r="C37" s="138"/>
      <c r="D37" s="156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37" s="30" t="e">
        <f>VLOOKUP(B37,'Train Runs'!$A$13:$A$99932,1,FALSE)</f>
        <v>#N/A</v>
      </c>
    </row>
    <row r="38" spans="1:10" x14ac:dyDescent="0.25">
      <c r="A38" s="202"/>
      <c r="B38" s="42" t="str">
        <f>A38&amp;"-"&amp;IF(DAY(Variables!$A$2)&lt;10,0,"")&amp;DAY(Variables!$A$2)</f>
        <v>-30</v>
      </c>
      <c r="C38" s="138"/>
      <c r="D38" s="156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38" s="30" t="e">
        <f>VLOOKUP(B38,'Train Runs'!$A$13:$A$99932,1,FALSE)</f>
        <v>#N/A</v>
      </c>
    </row>
    <row r="39" spans="1:10" x14ac:dyDescent="0.25">
      <c r="A39" s="202"/>
      <c r="B39" s="42" t="str">
        <f>A39&amp;"-"&amp;IF(DAY(Variables!$A$2)&lt;10,0,"")&amp;DAY(Variables!$A$2)</f>
        <v>-30</v>
      </c>
      <c r="C39" s="138"/>
      <c r="D39" s="156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39" s="30" t="e">
        <f>VLOOKUP(B39,'Train Runs'!$A$13:$A$99932,1,FALSE)</f>
        <v>#N/A</v>
      </c>
    </row>
    <row r="40" spans="1:10" x14ac:dyDescent="0.25">
      <c r="A40" s="202"/>
      <c r="B40" s="42" t="str">
        <f>A40&amp;"-"&amp;IF(DAY(Variables!$A$2)&lt;10,0,"")&amp;DAY(Variables!$A$2)</f>
        <v>-30</v>
      </c>
      <c r="C40" s="138"/>
      <c r="D40" s="156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40" s="30" t="e">
        <f>VLOOKUP(B40,'Train Runs'!$A$13:$A$99932,1,FALSE)</f>
        <v>#N/A</v>
      </c>
    </row>
    <row r="41" spans="1:10" x14ac:dyDescent="0.25">
      <c r="A41" s="202"/>
      <c r="B41" s="42" t="str">
        <f>A41&amp;"-"&amp;IF(DAY(Variables!$A$2)&lt;10,0,"")&amp;DAY(Variables!$A$2)</f>
        <v>-30</v>
      </c>
      <c r="C41" s="138"/>
      <c r="D41" s="156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41" s="30" t="e">
        <f>VLOOKUP(B41,'Train Runs'!$A$13:$A$99932,1,FALSE)</f>
        <v>#N/A</v>
      </c>
    </row>
    <row r="42" spans="1:10" x14ac:dyDescent="0.25">
      <c r="A42" s="202"/>
      <c r="B42" s="42" t="str">
        <f>A42&amp;"-"&amp;IF(DAY(Variables!$A$2)&lt;10,0,"")&amp;DAY(Variables!$A$2)</f>
        <v>-30</v>
      </c>
      <c r="C42" s="138"/>
      <c r="D42" s="156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42" s="30" t="e">
        <f>VLOOKUP(B42,'Train Runs'!$A$13:$A$99932,1,FALSE)</f>
        <v>#N/A</v>
      </c>
    </row>
    <row r="43" spans="1:10" x14ac:dyDescent="0.25">
      <c r="A43" s="202"/>
      <c r="B43" s="42" t="str">
        <f>A43&amp;"-"&amp;IF(DAY(Variables!$A$2)&lt;10,0,"")&amp;DAY(Variables!$A$2)</f>
        <v>-30</v>
      </c>
      <c r="C43" s="138"/>
      <c r="D43" s="156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43" s="30" t="e">
        <f>VLOOKUP(B43,'Train Runs'!$A$13:$A$99932,1,FALSE)</f>
        <v>#N/A</v>
      </c>
    </row>
    <row r="44" spans="1:10" x14ac:dyDescent="0.25">
      <c r="A44" s="202"/>
      <c r="B44" s="42" t="str">
        <f>A44&amp;"-"&amp;IF(DAY(Variables!$A$2)&lt;10,0,"")&amp;DAY(Variables!$A$2)</f>
        <v>-30</v>
      </c>
      <c r="C44" s="138"/>
      <c r="D44" s="156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5" t="str">
        <f t="shared" ref="I44:I64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44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44" s="30" t="e">
        <f>VLOOKUP(B44,'Train Runs'!$A$13:$A$99932,1,FALSE)</f>
        <v>#N/A</v>
      </c>
    </row>
    <row r="45" spans="1:10" x14ac:dyDescent="0.25">
      <c r="A45" s="202"/>
      <c r="B45" s="42" t="str">
        <f>A45&amp;"-"&amp;IF(DAY(Variables!$A$2)&lt;10,0,"")&amp;DAY(Variables!$A$2)</f>
        <v>-30</v>
      </c>
      <c r="C45" s="138"/>
      <c r="D45" s="156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45" s="30" t="e">
        <f>VLOOKUP(B45,'Train Runs'!$A$13:$A$99932,1,FALSE)</f>
        <v>#N/A</v>
      </c>
    </row>
    <row r="46" spans="1:10" x14ac:dyDescent="0.25">
      <c r="A46" s="202"/>
      <c r="B46" s="42" t="str">
        <f>A46&amp;"-"&amp;IF(DAY(Variables!$A$2)&lt;10,0,"")&amp;DAY(Variables!$A$2)</f>
        <v>-30</v>
      </c>
      <c r="C46" s="138"/>
      <c r="D46" s="156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46" s="30" t="e">
        <f>VLOOKUP(B46,'Train Runs'!$A$13:$A$99932,1,FALSE)</f>
        <v>#N/A</v>
      </c>
    </row>
    <row r="47" spans="1:10" x14ac:dyDescent="0.25">
      <c r="A47" s="202"/>
      <c r="B47" s="42" t="str">
        <f>A47&amp;"-"&amp;IF(DAY(Variables!$A$2)&lt;10,0,"")&amp;DAY(Variables!$A$2)</f>
        <v>-30</v>
      </c>
      <c r="C47" s="138"/>
      <c r="D47" s="156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47" s="30" t="e">
        <f>VLOOKUP(B47,'Train Runs'!$A$13:$A$99932,1,FALSE)</f>
        <v>#N/A</v>
      </c>
    </row>
    <row r="48" spans="1:10" x14ac:dyDescent="0.25">
      <c r="A48" s="202"/>
      <c r="B48" s="42" t="str">
        <f>A48&amp;"-"&amp;IF(DAY(Variables!$A$2)&lt;10,0,"")&amp;DAY(Variables!$A$2)</f>
        <v>-30</v>
      </c>
      <c r="C48" s="138"/>
      <c r="D48" s="156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48" s="30" t="e">
        <f>VLOOKUP(B48,'Train Runs'!$A$13:$A$99932,1,FALSE)</f>
        <v>#N/A</v>
      </c>
    </row>
    <row r="49" spans="1:10" x14ac:dyDescent="0.25">
      <c r="A49" s="202"/>
      <c r="B49" s="42" t="str">
        <f>A49&amp;"-"&amp;IF(DAY(Variables!$A$2)&lt;10,0,"")&amp;DAY(Variables!$A$2)</f>
        <v>-30</v>
      </c>
      <c r="C49" s="138"/>
      <c r="D49" s="156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49" s="30" t="e">
        <f>VLOOKUP(B49,'Train Runs'!$A$13:$A$99932,1,FALSE)</f>
        <v>#N/A</v>
      </c>
    </row>
    <row r="50" spans="1:10" x14ac:dyDescent="0.25">
      <c r="A50" s="202"/>
      <c r="B50" s="42" t="str">
        <f>A50&amp;"-"&amp;IF(DAY(Variables!$A$2)&lt;10,0,"")&amp;DAY(Variables!$A$2)</f>
        <v>-30</v>
      </c>
      <c r="C50" s="138"/>
      <c r="D50" s="156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50" s="30" t="e">
        <f>VLOOKUP(B50,'Train Runs'!$A$13:$A$99932,1,FALSE)</f>
        <v>#N/A</v>
      </c>
    </row>
    <row r="51" spans="1:10" x14ac:dyDescent="0.25">
      <c r="A51" s="202"/>
      <c r="B51" s="42" t="str">
        <f>A51&amp;"-"&amp;IF(DAY(Variables!$A$2)&lt;10,0,"")&amp;DAY(Variables!$A$2)</f>
        <v>-30</v>
      </c>
      <c r="C51" s="138"/>
      <c r="D51" s="156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51" s="30" t="e">
        <f>VLOOKUP(B51,'Train Runs'!$A$13:$A$99932,1,FALSE)</f>
        <v>#N/A</v>
      </c>
    </row>
    <row r="52" spans="1:10" x14ac:dyDescent="0.25">
      <c r="A52" s="202"/>
      <c r="B52" s="42" t="str">
        <f>A52&amp;"-"&amp;IF(DAY(Variables!$A$2)&lt;10,0,"")&amp;DAY(Variables!$A$2)</f>
        <v>-30</v>
      </c>
      <c r="C52" s="138"/>
      <c r="D52" s="156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52" s="30" t="e">
        <f>VLOOKUP(B52,'Train Runs'!$A$13:$A$99932,1,FALSE)</f>
        <v>#N/A</v>
      </c>
    </row>
    <row r="53" spans="1:10" x14ac:dyDescent="0.25">
      <c r="A53" s="202"/>
      <c r="B53" s="42" t="str">
        <f>A53&amp;"-"&amp;IF(DAY(Variables!$A$2)&lt;10,0,"")&amp;DAY(Variables!$A$2)</f>
        <v>-30</v>
      </c>
      <c r="C53" s="138"/>
      <c r="D53" s="156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53" s="30" t="e">
        <f>VLOOKUP(B53,'Train Runs'!$A$13:$A$99932,1,FALSE)</f>
        <v>#N/A</v>
      </c>
    </row>
    <row r="54" spans="1:10" x14ac:dyDescent="0.25">
      <c r="A54" s="202"/>
      <c r="B54" s="42" t="str">
        <f>A54&amp;"-"&amp;IF(DAY(Variables!$A$2)&lt;10,0,"")&amp;DAY(Variables!$A$2)</f>
        <v>-30</v>
      </c>
      <c r="C54" s="138"/>
      <c r="D54" s="156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54" s="30" t="e">
        <f>VLOOKUP(B54,'Train Runs'!$A$13:$A$99932,1,FALSE)</f>
        <v>#N/A</v>
      </c>
    </row>
    <row r="55" spans="1:10" x14ac:dyDescent="0.25">
      <c r="A55" s="202"/>
      <c r="B55" s="42" t="str">
        <f>A55&amp;"-"&amp;IF(DAY(Variables!$A$2)&lt;10,0,"")&amp;DAY(Variables!$A$2)</f>
        <v>-30</v>
      </c>
      <c r="C55" s="138"/>
      <c r="D55" s="156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55" s="30" t="e">
        <f>VLOOKUP(B55,'Train Runs'!$A$13:$A$99932,1,FALSE)</f>
        <v>#N/A</v>
      </c>
    </row>
    <row r="56" spans="1:10" x14ac:dyDescent="0.25">
      <c r="A56" s="202"/>
      <c r="B56" s="42" t="str">
        <f>A56&amp;"-"&amp;IF(DAY(Variables!$A$2)&lt;10,0,"")&amp;DAY(Variables!$A$2)</f>
        <v>-30</v>
      </c>
      <c r="C56" s="138"/>
      <c r="D56" s="156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56" s="30" t="e">
        <f>VLOOKUP(B56,'Train Runs'!$A$13:$A$99932,1,FALSE)</f>
        <v>#N/A</v>
      </c>
    </row>
    <row r="57" spans="1:10" x14ac:dyDescent="0.25">
      <c r="A57" s="202"/>
      <c r="B57" s="42" t="str">
        <f>A57&amp;"-"&amp;IF(DAY(Variables!$A$2)&lt;10,0,"")&amp;DAY(Variables!$A$2)</f>
        <v>-30</v>
      </c>
      <c r="C57" s="138"/>
      <c r="D57" s="156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57" s="30" t="e">
        <f>VLOOKUP(B57,'Train Runs'!$A$13:$A$99932,1,FALSE)</f>
        <v>#N/A</v>
      </c>
    </row>
    <row r="58" spans="1:10" x14ac:dyDescent="0.25">
      <c r="A58" s="202"/>
      <c r="B58" s="42" t="str">
        <f>A58&amp;"-"&amp;IF(DAY(Variables!$A$2)&lt;10,0,"")&amp;DAY(Variables!$A$2)</f>
        <v>-30</v>
      </c>
      <c r="C58" s="138"/>
      <c r="D58" s="156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58" s="30" t="e">
        <f>VLOOKUP(B58,'Train Runs'!$A$13:$A$99932,1,FALSE)</f>
        <v>#N/A</v>
      </c>
    </row>
    <row r="59" spans="1:10" x14ac:dyDescent="0.25">
      <c r="A59" s="202"/>
      <c r="B59" s="42" t="str">
        <f>A59&amp;"-"&amp;IF(DAY(Variables!$A$2)&lt;10,0,"")&amp;DAY(Variables!$A$2)</f>
        <v>-30</v>
      </c>
      <c r="C59" s="138"/>
      <c r="D59" s="156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59" s="30" t="e">
        <f>VLOOKUP(B59,'Train Runs'!$A$13:$A$99932,1,FALSE)</f>
        <v>#N/A</v>
      </c>
    </row>
    <row r="60" spans="1:10" x14ac:dyDescent="0.25">
      <c r="A60" s="202"/>
      <c r="B60" s="42" t="str">
        <f>A60&amp;"-"&amp;IF(DAY(Variables!$A$2)&lt;10,0,"")&amp;DAY(Variables!$A$2)</f>
        <v>-30</v>
      </c>
      <c r="C60" s="138"/>
      <c r="D60" s="156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60" s="30" t="e">
        <f>VLOOKUP(B60,'Train Runs'!$A$13:$A$99932,1,FALSE)</f>
        <v>#N/A</v>
      </c>
    </row>
    <row r="61" spans="1:10" x14ac:dyDescent="0.25">
      <c r="A61" s="202"/>
      <c r="B61" s="42" t="str">
        <f>A61&amp;"-"&amp;IF(DAY(Variables!$A$2)&lt;10,0,"")&amp;DAY(Variables!$A$2)</f>
        <v>-30</v>
      </c>
      <c r="C61" s="138"/>
      <c r="D61" s="156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61" s="30" t="e">
        <f>VLOOKUP(B61,'Train Runs'!$A$13:$A$99932,1,FALSE)</f>
        <v>#N/A</v>
      </c>
    </row>
    <row r="62" spans="1:10" x14ac:dyDescent="0.25">
      <c r="A62" s="202"/>
      <c r="B62" s="42" t="str">
        <f>A62&amp;"-"&amp;IF(DAY(Variables!$A$2)&lt;10,0,"")&amp;DAY(Variables!$A$2)</f>
        <v>-30</v>
      </c>
      <c r="C62" s="138"/>
      <c r="D62" s="156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62" s="30" t="e">
        <f>VLOOKUP(B62,'Train Runs'!$A$13:$A$99932,1,FALSE)</f>
        <v>#N/A</v>
      </c>
    </row>
    <row r="63" spans="1:10" x14ac:dyDescent="0.25">
      <c r="A63" s="202"/>
      <c r="B63" s="42" t="str">
        <f>A63&amp;"-"&amp;IF(DAY(Variables!$A$2)&lt;10,0,"")&amp;DAY(Variables!$A$2)</f>
        <v>-30</v>
      </c>
      <c r="C63" s="138"/>
      <c r="D63" s="156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63" s="30" t="e">
        <f>VLOOKUP(B63,'Train Runs'!$A$13:$A$99932,1,FALSE)</f>
        <v>#N/A</v>
      </c>
    </row>
    <row r="64" spans="1:10" x14ac:dyDescent="0.25">
      <c r="A64" s="202"/>
      <c r="B64" s="42" t="str">
        <f>A64&amp;"-"&amp;IF(DAY(Variables!$A$2)&lt;10,0,"")&amp;DAY(Variables!$A$2)</f>
        <v>-30</v>
      </c>
      <c r="C64" s="138"/>
      <c r="D64" s="156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64" s="30" t="e">
        <f>VLOOKUP(B64,'Train Runs'!$A$13:$A$99932,1,FALSE)</f>
        <v>#N/A</v>
      </c>
    </row>
    <row r="65" spans="1:10" x14ac:dyDescent="0.25">
      <c r="A65" s="202"/>
      <c r="B65" s="42"/>
      <c r="C65" s="138"/>
      <c r="D65" s="156"/>
      <c r="E65" s="30"/>
      <c r="F65" s="21"/>
      <c r="G65" s="21"/>
      <c r="H65" s="29"/>
      <c r="I65" s="45"/>
      <c r="J65" s="30"/>
    </row>
    <row r="66" spans="1:10" x14ac:dyDescent="0.25">
      <c r="A66" s="202"/>
      <c r="B66" s="42"/>
      <c r="C66" s="138"/>
      <c r="D66" s="156"/>
      <c r="E66" s="30"/>
      <c r="F66" s="21"/>
      <c r="G66" s="21"/>
      <c r="H66" s="29"/>
      <c r="I66" s="45"/>
      <c r="J66" s="30"/>
    </row>
    <row r="67" spans="1:10" x14ac:dyDescent="0.25">
      <c r="A67" s="202"/>
      <c r="B67" s="42"/>
      <c r="C67" s="138"/>
      <c r="D67" s="156"/>
      <c r="E67" s="30"/>
      <c r="F67" s="21"/>
      <c r="G67" s="21"/>
      <c r="H67" s="29"/>
      <c r="I67" s="45"/>
      <c r="J67" s="30"/>
    </row>
    <row r="68" spans="1:10" x14ac:dyDescent="0.25">
      <c r="A68" s="202"/>
      <c r="B68" s="42"/>
      <c r="C68" s="138"/>
      <c r="D68" s="156"/>
      <c r="E68" s="30"/>
      <c r="F68" s="21"/>
      <c r="G68" s="21"/>
      <c r="H68" s="29"/>
      <c r="I68" s="45"/>
      <c r="J68" s="30"/>
    </row>
    <row r="69" spans="1:10" x14ac:dyDescent="0.25">
      <c r="A69" s="202"/>
      <c r="B69" s="42"/>
      <c r="C69" s="138"/>
      <c r="D69" s="156"/>
      <c r="E69" s="30"/>
      <c r="F69" s="21"/>
      <c r="G69" s="21"/>
      <c r="H69" s="29"/>
      <c r="I69" s="45"/>
      <c r="J69" s="30"/>
    </row>
    <row r="70" spans="1:10" x14ac:dyDescent="0.25">
      <c r="A70" s="202"/>
      <c r="B70" s="42"/>
      <c r="C70" s="138"/>
      <c r="D70" s="156"/>
      <c r="E70" s="30"/>
      <c r="F70" s="21"/>
      <c r="G70" s="21"/>
      <c r="H70" s="29"/>
      <c r="I70" s="45"/>
      <c r="J70" s="30"/>
    </row>
    <row r="71" spans="1:10" x14ac:dyDescent="0.25">
      <c r="A71" s="202"/>
      <c r="B71" s="42"/>
      <c r="C71" s="138"/>
      <c r="D71" s="156"/>
      <c r="E71" s="30"/>
      <c r="F71" s="21"/>
      <c r="G71" s="21"/>
      <c r="H71" s="29"/>
      <c r="I71" s="45"/>
      <c r="J71" s="30"/>
    </row>
    <row r="72" spans="1:10" x14ac:dyDescent="0.25">
      <c r="A72" s="202"/>
      <c r="B72" s="42"/>
      <c r="C72" s="138"/>
      <c r="D72" s="156"/>
      <c r="E72" s="30"/>
      <c r="F72" s="21"/>
      <c r="G72" s="21"/>
      <c r="H72" s="29"/>
      <c r="I72" s="45"/>
      <c r="J72" s="30"/>
    </row>
    <row r="73" spans="1:10" x14ac:dyDescent="0.25">
      <c r="A73" s="202"/>
      <c r="B73" s="42"/>
      <c r="C73" s="138"/>
      <c r="D73" s="156"/>
      <c r="E73" s="30"/>
      <c r="F73" s="21"/>
      <c r="G73" s="21"/>
      <c r="H73" s="29"/>
      <c r="I73" s="45"/>
      <c r="J73" s="30"/>
    </row>
    <row r="74" spans="1:10" x14ac:dyDescent="0.25">
      <c r="A74" s="202"/>
      <c r="B74" s="42"/>
      <c r="C74" s="138"/>
      <c r="D74" s="156"/>
      <c r="E74" s="30"/>
      <c r="F74" s="21"/>
      <c r="G74" s="21"/>
      <c r="H74" s="29"/>
      <c r="I74" s="45"/>
      <c r="J74" s="30"/>
    </row>
    <row r="75" spans="1:10" x14ac:dyDescent="0.25">
      <c r="A75" s="202"/>
      <c r="B75" s="42"/>
      <c r="C75" s="138"/>
      <c r="D75" s="156"/>
      <c r="E75" s="30"/>
      <c r="F75" s="21"/>
      <c r="G75" s="21"/>
      <c r="H75" s="29"/>
      <c r="I75" s="45"/>
      <c r="J75" s="30"/>
    </row>
    <row r="76" spans="1:10" x14ac:dyDescent="0.25">
      <c r="A76" s="202"/>
      <c r="B76" s="42"/>
      <c r="C76" s="138"/>
      <c r="D76" s="156"/>
      <c r="E76" s="30"/>
      <c r="F76" s="21"/>
      <c r="G76" s="21"/>
      <c r="H76" s="29"/>
      <c r="I76" s="45"/>
      <c r="J76" s="30"/>
    </row>
    <row r="77" spans="1:10" x14ac:dyDescent="0.25">
      <c r="A77" s="202"/>
      <c r="B77" s="42"/>
      <c r="C77" s="138"/>
      <c r="D77" s="156"/>
      <c r="E77" s="30"/>
      <c r="F77" s="21"/>
      <c r="G77" s="21"/>
      <c r="H77" s="29"/>
      <c r="I77" s="45"/>
      <c r="J77" s="30"/>
    </row>
    <row r="78" spans="1:10" x14ac:dyDescent="0.25">
      <c r="A78" s="202"/>
      <c r="B78" s="42"/>
      <c r="C78" s="138"/>
      <c r="D78" s="156"/>
      <c r="E78" s="30"/>
      <c r="F78" s="21"/>
      <c r="G78" s="21"/>
      <c r="H78" s="29"/>
      <c r="I78" s="45"/>
      <c r="J78" s="30"/>
    </row>
    <row r="79" spans="1:10" x14ac:dyDescent="0.25">
      <c r="A79" s="202"/>
      <c r="B79" s="42"/>
      <c r="C79" s="138"/>
      <c r="D79" s="156"/>
      <c r="E79" s="30"/>
      <c r="F79" s="21"/>
      <c r="G79" s="21"/>
      <c r="H79" s="29"/>
      <c r="I79" s="45"/>
      <c r="J79" s="30"/>
    </row>
    <row r="80" spans="1:10" x14ac:dyDescent="0.25">
      <c r="A80" s="202"/>
      <c r="B80" s="42"/>
      <c r="C80" s="138"/>
      <c r="D80" s="156"/>
      <c r="E80" s="30"/>
      <c r="F80" s="21"/>
      <c r="G80" s="21"/>
      <c r="H80" s="29"/>
      <c r="I80" s="45"/>
      <c r="J80" s="30"/>
    </row>
    <row r="81" spans="1:10" x14ac:dyDescent="0.25">
      <c r="A81" s="202"/>
      <c r="B81" s="42"/>
      <c r="C81" s="138"/>
      <c r="D81" s="156"/>
      <c r="E81" s="30"/>
      <c r="F81" s="21"/>
      <c r="G81" s="21"/>
      <c r="H81" s="29"/>
      <c r="I81" s="45"/>
      <c r="J81" s="30"/>
    </row>
    <row r="82" spans="1:10" x14ac:dyDescent="0.25">
      <c r="A82" s="202"/>
      <c r="B82" s="42"/>
      <c r="C82" s="138"/>
      <c r="D82" s="156"/>
      <c r="E82" s="30"/>
      <c r="F82" s="21"/>
      <c r="G82" s="21"/>
      <c r="H82" s="29"/>
      <c r="I82" s="45"/>
      <c r="J82" s="30"/>
    </row>
    <row r="83" spans="1:10" x14ac:dyDescent="0.25">
      <c r="A83" s="202"/>
      <c r="B83" s="42"/>
      <c r="C83" s="138"/>
      <c r="D83" s="156"/>
      <c r="E83" s="30"/>
      <c r="F83" s="21"/>
      <c r="G83" s="21"/>
      <c r="H83" s="29"/>
      <c r="I83" s="45"/>
      <c r="J83" s="30"/>
    </row>
    <row r="84" spans="1:10" x14ac:dyDescent="0.25">
      <c r="A84" s="202"/>
      <c r="B84" s="42"/>
      <c r="C84" s="138"/>
      <c r="D84" s="156"/>
      <c r="E84" s="30"/>
      <c r="F84" s="21"/>
      <c r="G84" s="21"/>
      <c r="H84" s="29"/>
      <c r="I84" s="45"/>
      <c r="J84" s="30"/>
    </row>
    <row r="85" spans="1:10" x14ac:dyDescent="0.25">
      <c r="A85" s="202"/>
      <c r="B85" s="42"/>
      <c r="C85" s="138"/>
      <c r="D85" s="156"/>
      <c r="E85" s="30"/>
      <c r="F85" s="21"/>
      <c r="G85" s="21"/>
      <c r="H85" s="29"/>
      <c r="I85" s="45"/>
      <c r="J85" s="30"/>
    </row>
    <row r="86" spans="1:10" x14ac:dyDescent="0.25">
      <c r="A86" s="202"/>
      <c r="B86" s="42"/>
      <c r="C86" s="138"/>
      <c r="D86" s="156"/>
      <c r="E86" s="30"/>
      <c r="F86" s="21"/>
      <c r="G86" s="21"/>
      <c r="H86" s="29"/>
      <c r="I86" s="45"/>
      <c r="J86" s="30"/>
    </row>
    <row r="87" spans="1:10" x14ac:dyDescent="0.25">
      <c r="A87" s="202"/>
      <c r="B87" s="42"/>
      <c r="C87" s="138"/>
      <c r="D87" s="156"/>
      <c r="E87" s="30"/>
      <c r="F87" s="21"/>
      <c r="G87" s="21"/>
      <c r="H87" s="29"/>
      <c r="I87" s="45"/>
      <c r="J87" s="30"/>
    </row>
    <row r="88" spans="1:10" x14ac:dyDescent="0.25">
      <c r="A88" s="202"/>
      <c r="B88" s="42"/>
      <c r="C88" s="138"/>
      <c r="D88" s="156"/>
      <c r="E88" s="30"/>
      <c r="F88" s="21"/>
      <c r="G88" s="21"/>
      <c r="H88" s="29"/>
      <c r="I88" s="45"/>
      <c r="J88" s="30"/>
    </row>
    <row r="89" spans="1:10" x14ac:dyDescent="0.25">
      <c r="A89" s="202"/>
      <c r="B89" s="42"/>
      <c r="C89" s="138"/>
      <c r="D89" s="156"/>
      <c r="E89" s="30"/>
      <c r="F89" s="21"/>
      <c r="G89" s="21"/>
      <c r="H89" s="29"/>
      <c r="I89" s="45"/>
      <c r="J89" s="30"/>
    </row>
    <row r="90" spans="1:10" x14ac:dyDescent="0.25">
      <c r="A90" s="202"/>
      <c r="B90" s="42"/>
      <c r="C90" s="138"/>
      <c r="D90" s="156"/>
      <c r="E90" s="30"/>
      <c r="F90" s="21"/>
      <c r="G90" s="21"/>
      <c r="H90" s="29"/>
      <c r="I90" s="45"/>
      <c r="J90" s="30"/>
    </row>
    <row r="91" spans="1:10" x14ac:dyDescent="0.25">
      <c r="A91" s="202"/>
      <c r="B91" s="42"/>
      <c r="C91" s="138"/>
      <c r="D91" s="156"/>
      <c r="E91" s="30"/>
      <c r="F91" s="21"/>
      <c r="G91" s="21"/>
      <c r="H91" s="29"/>
      <c r="I91" s="45"/>
      <c r="J91" s="30"/>
    </row>
    <row r="92" spans="1:10" x14ac:dyDescent="0.25">
      <c r="A92" s="202"/>
      <c r="B92" s="42"/>
      <c r="C92" s="138"/>
      <c r="D92" s="156"/>
      <c r="E92" s="30"/>
      <c r="F92" s="21"/>
      <c r="G92" s="21"/>
      <c r="H92" s="29"/>
      <c r="I92" s="45"/>
      <c r="J92" s="30"/>
    </row>
    <row r="93" spans="1:10" x14ac:dyDescent="0.25">
      <c r="A93" s="202"/>
      <c r="B93" s="42"/>
      <c r="C93" s="138"/>
      <c r="D93" s="156"/>
      <c r="E93" s="30"/>
      <c r="F93" s="21"/>
      <c r="G93" s="21"/>
      <c r="H93" s="29"/>
      <c r="I93" s="45"/>
      <c r="J93" s="30"/>
    </row>
    <row r="94" spans="1:10" x14ac:dyDescent="0.25">
      <c r="A94" s="202"/>
      <c r="B94" s="42"/>
      <c r="C94" s="138"/>
      <c r="D94" s="156"/>
      <c r="E94" s="30"/>
      <c r="F94" s="21"/>
      <c r="G94" s="21"/>
      <c r="H94" s="29"/>
      <c r="I94" s="45"/>
      <c r="J94" s="30"/>
    </row>
    <row r="95" spans="1:10" x14ac:dyDescent="0.25">
      <c r="A95" s="202"/>
      <c r="B95" s="42"/>
      <c r="C95" s="138"/>
      <c r="D95" s="156"/>
      <c r="E95" s="30"/>
      <c r="F95" s="21"/>
      <c r="G95" s="21"/>
      <c r="H95" s="29"/>
      <c r="I95" s="45"/>
      <c r="J95" s="30"/>
    </row>
    <row r="96" spans="1:10" x14ac:dyDescent="0.25">
      <c r="A96" s="202"/>
      <c r="B96" s="42"/>
      <c r="C96" s="138"/>
      <c r="D96" s="156"/>
      <c r="E96" s="30"/>
      <c r="F96" s="21"/>
      <c r="G96" s="21"/>
      <c r="H96" s="29"/>
      <c r="I96" s="45"/>
      <c r="J96" s="30"/>
    </row>
    <row r="97" spans="1:10" x14ac:dyDescent="0.25">
      <c r="A97" s="202"/>
      <c r="B97" s="42"/>
      <c r="C97" s="138"/>
      <c r="D97" s="156"/>
      <c r="E97" s="30"/>
      <c r="F97" s="21"/>
      <c r="G97" s="21"/>
      <c r="H97" s="29"/>
      <c r="I97" s="45"/>
      <c r="J97" s="30"/>
    </row>
    <row r="98" spans="1:10" x14ac:dyDescent="0.25">
      <c r="A98" s="202"/>
      <c r="B98" s="42"/>
      <c r="C98" s="138"/>
      <c r="D98" s="156"/>
      <c r="E98" s="30"/>
      <c r="F98" s="21"/>
      <c r="G98" s="21"/>
      <c r="H98" s="29"/>
      <c r="I98" s="45"/>
      <c r="J98" s="30"/>
    </row>
    <row r="99" spans="1:10" x14ac:dyDescent="0.25">
      <c r="A99" s="202"/>
      <c r="B99" s="42"/>
      <c r="C99" s="138"/>
      <c r="D99" s="156"/>
      <c r="E99" s="30"/>
      <c r="F99" s="21"/>
      <c r="G99" s="21"/>
      <c r="H99" s="29"/>
      <c r="I99" s="45"/>
      <c r="J99" s="30"/>
    </row>
    <row r="100" spans="1:10" x14ac:dyDescent="0.25">
      <c r="A100" s="202"/>
      <c r="B100" s="42"/>
      <c r="C100" s="138"/>
      <c r="D100" s="156"/>
      <c r="E100" s="30"/>
      <c r="F100" s="21"/>
      <c r="G100" s="21"/>
      <c r="H100" s="29"/>
      <c r="I100" s="45"/>
      <c r="J100" s="30"/>
    </row>
    <row r="101" spans="1:10" x14ac:dyDescent="0.25">
      <c r="A101" s="202"/>
      <c r="B101" s="42"/>
      <c r="C101" s="138"/>
      <c r="D101" s="156"/>
      <c r="E101" s="30"/>
      <c r="F101" s="21"/>
      <c r="G101" s="21"/>
      <c r="H101" s="29"/>
      <c r="I101" s="45"/>
      <c r="J101" s="30"/>
    </row>
    <row r="102" spans="1:10" x14ac:dyDescent="0.25">
      <c r="A102" s="202"/>
      <c r="B102" s="42"/>
      <c r="C102" s="138"/>
      <c r="D102" s="156"/>
      <c r="E102" s="30"/>
      <c r="F102" s="21"/>
      <c r="G102" s="21"/>
      <c r="H102" s="29"/>
      <c r="I102" s="45"/>
      <c r="J102" s="30"/>
    </row>
    <row r="103" spans="1:10" x14ac:dyDescent="0.25">
      <c r="A103" s="202"/>
      <c r="B103" s="42"/>
      <c r="C103" s="138"/>
      <c r="D103" s="156"/>
      <c r="E103" s="30"/>
      <c r="F103" s="21"/>
      <c r="G103" s="21"/>
      <c r="H103" s="29"/>
      <c r="I103" s="45"/>
      <c r="J103" s="30"/>
    </row>
    <row r="104" spans="1:10" x14ac:dyDescent="0.25">
      <c r="A104" s="202"/>
      <c r="B104" s="42"/>
      <c r="C104" s="138"/>
      <c r="D104" s="156"/>
      <c r="E104" s="30"/>
      <c r="F104" s="21"/>
      <c r="G104" s="21"/>
      <c r="H104" s="29"/>
      <c r="I104" s="45"/>
      <c r="J104" s="30"/>
    </row>
    <row r="105" spans="1:10" x14ac:dyDescent="0.25">
      <c r="A105" s="202"/>
      <c r="B105" s="42"/>
      <c r="C105" s="138"/>
      <c r="D105" s="156"/>
      <c r="E105" s="30"/>
      <c r="F105" s="21"/>
      <c r="G105" s="21"/>
      <c r="H105" s="29"/>
      <c r="I105" s="45"/>
      <c r="J105" s="30"/>
    </row>
    <row r="106" spans="1:10" x14ac:dyDescent="0.25">
      <c r="A106" s="202"/>
      <c r="B106" s="42"/>
      <c r="C106" s="138"/>
      <c r="D106" s="156"/>
      <c r="E106" s="30"/>
      <c r="F106" s="21"/>
      <c r="G106" s="21"/>
      <c r="H106" s="29"/>
      <c r="I106" s="45"/>
      <c r="J106" s="30"/>
    </row>
    <row r="107" spans="1:10" x14ac:dyDescent="0.25">
      <c r="A107" s="202"/>
      <c r="B107" s="42"/>
      <c r="C107" s="138"/>
      <c r="D107" s="156"/>
      <c r="E107" s="30"/>
      <c r="F107" s="21"/>
      <c r="G107" s="21"/>
      <c r="H107" s="29"/>
      <c r="I107" s="45"/>
      <c r="J107" s="30"/>
    </row>
    <row r="108" spans="1:10" x14ac:dyDescent="0.25">
      <c r="A108" s="202"/>
      <c r="B108" s="42"/>
      <c r="C108" s="138"/>
      <c r="D108" s="156"/>
      <c r="E108" s="30"/>
      <c r="F108" s="21"/>
      <c r="G108" s="21"/>
      <c r="H108" s="29"/>
      <c r="I108" s="45"/>
      <c r="J108" s="30"/>
    </row>
    <row r="109" spans="1:10" x14ac:dyDescent="0.25">
      <c r="A109" s="202"/>
      <c r="B109" s="42"/>
      <c r="C109" s="138"/>
      <c r="D109" s="156"/>
      <c r="E109" s="30"/>
      <c r="F109" s="21"/>
      <c r="G109" s="21"/>
      <c r="H109" s="29"/>
      <c r="I109" s="45"/>
      <c r="J109" s="30"/>
    </row>
    <row r="110" spans="1:10" x14ac:dyDescent="0.25">
      <c r="A110" s="202"/>
      <c r="B110" s="42"/>
      <c r="C110" s="138"/>
      <c r="D110" s="156"/>
      <c r="E110" s="30"/>
      <c r="F110" s="21"/>
      <c r="G110" s="21"/>
      <c r="H110" s="29"/>
      <c r="I110" s="45"/>
      <c r="J110" s="30"/>
    </row>
    <row r="111" spans="1:10" x14ac:dyDescent="0.25">
      <c r="A111" s="202"/>
      <c r="B111" s="42"/>
      <c r="C111" s="138"/>
      <c r="D111" s="156"/>
      <c r="E111" s="30"/>
      <c r="F111" s="21"/>
      <c r="G111" s="21"/>
      <c r="H111" s="29"/>
      <c r="I111" s="45"/>
      <c r="J111" s="30"/>
    </row>
    <row r="112" spans="1:10" x14ac:dyDescent="0.25">
      <c r="A112" s="202"/>
      <c r="B112" s="42"/>
      <c r="C112" s="138"/>
      <c r="D112" s="156"/>
      <c r="E112" s="30"/>
      <c r="F112" s="21"/>
      <c r="G112" s="21"/>
      <c r="H112" s="29"/>
      <c r="I112" s="45"/>
      <c r="J112" s="30"/>
    </row>
    <row r="113" spans="1:10" x14ac:dyDescent="0.25">
      <c r="A113" s="202"/>
      <c r="B113" s="42"/>
      <c r="C113" s="138"/>
      <c r="D113" s="156"/>
      <c r="E113" s="30"/>
      <c r="F113" s="21"/>
      <c r="G113" s="21"/>
      <c r="H113" s="29"/>
      <c r="I113" s="45"/>
      <c r="J113" s="30"/>
    </row>
    <row r="114" spans="1:10" x14ac:dyDescent="0.25">
      <c r="A114" s="202"/>
      <c r="B114" s="42"/>
      <c r="C114" s="138"/>
      <c r="D114" s="156"/>
      <c r="E114" s="30"/>
      <c r="F114" s="21"/>
      <c r="G114" s="21"/>
      <c r="H114" s="29"/>
      <c r="I114" s="45"/>
      <c r="J114" s="30"/>
    </row>
    <row r="115" spans="1:10" x14ac:dyDescent="0.25">
      <c r="A115" s="202"/>
      <c r="B115" s="42"/>
      <c r="C115" s="138"/>
      <c r="D115" s="156"/>
      <c r="E115" s="30"/>
      <c r="F115" s="21"/>
      <c r="G115" s="21"/>
      <c r="H115" s="29"/>
      <c r="I115" s="45"/>
      <c r="J115" s="30"/>
    </row>
    <row r="116" spans="1:10" x14ac:dyDescent="0.25">
      <c r="A116" s="202"/>
      <c r="B116" s="42"/>
      <c r="C116" s="138"/>
      <c r="D116" s="156"/>
      <c r="E116" s="30"/>
      <c r="F116" s="21"/>
      <c r="G116" s="21"/>
      <c r="H116" s="29"/>
      <c r="I116" s="45"/>
      <c r="J116" s="30"/>
    </row>
    <row r="117" spans="1:10" x14ac:dyDescent="0.25">
      <c r="A117" s="202"/>
      <c r="B117" s="42"/>
      <c r="C117" s="138"/>
      <c r="D117" s="156"/>
      <c r="E117" s="30"/>
      <c r="F117" s="21"/>
      <c r="G117" s="21"/>
      <c r="H117" s="29"/>
      <c r="I117" s="45"/>
      <c r="J117" s="30"/>
    </row>
    <row r="118" spans="1:10" x14ac:dyDescent="0.25">
      <c r="A118" s="202"/>
      <c r="B118" s="42"/>
      <c r="C118" s="138"/>
      <c r="D118" s="156"/>
      <c r="E118" s="30"/>
      <c r="F118" s="21"/>
      <c r="G118" s="21"/>
      <c r="H118" s="29"/>
      <c r="I118" s="45"/>
      <c r="J118" s="30"/>
    </row>
    <row r="119" spans="1:10" x14ac:dyDescent="0.25">
      <c r="A119" s="202"/>
      <c r="B119" s="42"/>
      <c r="C119" s="138"/>
      <c r="D119" s="156"/>
      <c r="E119" s="30"/>
      <c r="F119" s="21"/>
      <c r="G119" s="21"/>
      <c r="H119" s="29"/>
      <c r="I119" s="45"/>
      <c r="J119" s="30"/>
    </row>
    <row r="120" spans="1:10" x14ac:dyDescent="0.25">
      <c r="A120" s="202"/>
      <c r="B120" s="42"/>
      <c r="C120" s="138"/>
      <c r="D120" s="156"/>
      <c r="E120" s="30"/>
      <c r="F120" s="21"/>
      <c r="G120" s="21"/>
      <c r="H120" s="29"/>
      <c r="I120" s="45"/>
      <c r="J120" s="30"/>
    </row>
  </sheetData>
  <autoFilter ref="A2:J72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35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41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172</v>
      </c>
      <c r="B1" s="20" t="s">
        <v>173</v>
      </c>
      <c r="C1" s="20" t="s">
        <v>0</v>
      </c>
      <c r="D1" s="141" t="s">
        <v>174</v>
      </c>
      <c r="E1" s="20" t="s">
        <v>175</v>
      </c>
      <c r="F1" s="20" t="s">
        <v>193</v>
      </c>
      <c r="G1" s="8" t="s">
        <v>192</v>
      </c>
    </row>
    <row r="2" spans="1:7" x14ac:dyDescent="0.25">
      <c r="A2" s="8">
        <v>42885.036597222221</v>
      </c>
      <c r="B2" s="20" t="s">
        <v>450</v>
      </c>
      <c r="C2" s="20" t="s">
        <v>579</v>
      </c>
      <c r="D2" s="141">
        <v>2680000</v>
      </c>
      <c r="E2" s="20" t="s">
        <v>436</v>
      </c>
      <c r="F2" s="20" t="s">
        <v>437</v>
      </c>
      <c r="G2" s="8" t="str">
        <f>E2&amp;" "&amp;F2</f>
        <v>DUNCAN SHEILA</v>
      </c>
    </row>
    <row r="3" spans="1:7" x14ac:dyDescent="0.25">
      <c r="A3" s="8">
        <v>42885.048148148147</v>
      </c>
      <c r="B3" s="20" t="s">
        <v>341</v>
      </c>
      <c r="C3" s="20" t="s">
        <v>580</v>
      </c>
      <c r="D3" s="141">
        <v>2230000</v>
      </c>
      <c r="E3" s="20" t="s">
        <v>344</v>
      </c>
      <c r="F3" s="20" t="s">
        <v>194</v>
      </c>
      <c r="G3" s="8" t="str">
        <f t="shared" ref="G3:G66" si="0">E3&amp;" "&amp;F3</f>
        <v>SMITH MICHAEL</v>
      </c>
    </row>
    <row r="4" spans="1:7" x14ac:dyDescent="0.25">
      <c r="A4" s="8">
        <v>42885.053078703706</v>
      </c>
      <c r="B4" s="20" t="s">
        <v>541</v>
      </c>
      <c r="C4" s="20" t="s">
        <v>581</v>
      </c>
      <c r="D4" s="141">
        <v>2970000</v>
      </c>
      <c r="E4" s="20" t="s">
        <v>389</v>
      </c>
      <c r="F4" s="20" t="s">
        <v>390</v>
      </c>
      <c r="G4" s="8" t="str">
        <f t="shared" si="0"/>
        <v>GUZMAN DANNY</v>
      </c>
    </row>
    <row r="5" spans="1:7" x14ac:dyDescent="0.25">
      <c r="A5" s="8">
        <v>42885.070439814815</v>
      </c>
      <c r="B5" s="20" t="s">
        <v>449</v>
      </c>
      <c r="C5" s="20" t="s">
        <v>582</v>
      </c>
      <c r="D5" s="141">
        <v>2680000</v>
      </c>
      <c r="E5" s="20" t="s">
        <v>436</v>
      </c>
      <c r="F5" s="20" t="s">
        <v>437</v>
      </c>
      <c r="G5" s="8" t="str">
        <f t="shared" si="0"/>
        <v>DUNCAN SHEILA</v>
      </c>
    </row>
    <row r="6" spans="1:7" x14ac:dyDescent="0.25">
      <c r="A6" s="8">
        <v>42885.091249999998</v>
      </c>
      <c r="B6" s="20" t="s">
        <v>509</v>
      </c>
      <c r="C6" s="20" t="s">
        <v>583</v>
      </c>
      <c r="D6" s="141">
        <v>2970000</v>
      </c>
      <c r="E6" s="20" t="s">
        <v>389</v>
      </c>
      <c r="F6" s="20" t="s">
        <v>390</v>
      </c>
      <c r="G6" s="8" t="str">
        <f t="shared" si="0"/>
        <v>GUZMAN DANNY</v>
      </c>
    </row>
    <row r="7" spans="1:7" x14ac:dyDescent="0.25">
      <c r="A7" s="8">
        <v>42885.119560185187</v>
      </c>
      <c r="B7" s="20" t="s">
        <v>664</v>
      </c>
      <c r="C7" s="20" t="s">
        <v>665</v>
      </c>
      <c r="D7" s="141">
        <v>1110000</v>
      </c>
      <c r="E7" s="20" t="s">
        <v>454</v>
      </c>
      <c r="F7" s="20" t="s">
        <v>455</v>
      </c>
      <c r="G7" s="8" t="str">
        <f t="shared" si="0"/>
        <v>STARKS ANGELINA</v>
      </c>
    </row>
    <row r="8" spans="1:7" x14ac:dyDescent="0.25">
      <c r="A8" s="8">
        <v>42885.130509259259</v>
      </c>
      <c r="B8" s="20" t="s">
        <v>666</v>
      </c>
      <c r="C8" s="20" t="s">
        <v>667</v>
      </c>
      <c r="D8" s="141">
        <v>1090000</v>
      </c>
      <c r="E8" s="20" t="s">
        <v>512</v>
      </c>
      <c r="F8" s="20" t="s">
        <v>194</v>
      </c>
      <c r="G8" s="8" t="str">
        <f t="shared" si="0"/>
        <v>SPECTOR MICHAEL</v>
      </c>
    </row>
    <row r="9" spans="1:7" ht="15.75" thickBot="1" x14ac:dyDescent="0.3">
      <c r="A9" s="24">
        <v>42885.132361111115</v>
      </c>
      <c r="B9" s="20" t="s">
        <v>543</v>
      </c>
      <c r="C9" s="20" t="s">
        <v>665</v>
      </c>
      <c r="D9" s="141">
        <v>1110000</v>
      </c>
      <c r="E9" s="20" t="s">
        <v>454</v>
      </c>
      <c r="F9" s="20" t="s">
        <v>455</v>
      </c>
      <c r="G9" s="8" t="str">
        <f t="shared" si="0"/>
        <v>STARKS ANGELINA</v>
      </c>
    </row>
    <row r="10" spans="1:7" x14ac:dyDescent="0.25">
      <c r="A10" s="8">
        <v>42885.132916666669</v>
      </c>
      <c r="B10" s="20" t="s">
        <v>543</v>
      </c>
      <c r="C10" s="20" t="s">
        <v>668</v>
      </c>
      <c r="D10" s="141">
        <v>1110000</v>
      </c>
      <c r="E10" s="20" t="s">
        <v>454</v>
      </c>
      <c r="F10" s="20" t="s">
        <v>455</v>
      </c>
      <c r="G10" s="8" t="str">
        <f t="shared" si="0"/>
        <v>STARKS ANGELINA</v>
      </c>
    </row>
    <row r="11" spans="1:7" x14ac:dyDescent="0.25">
      <c r="A11" s="8">
        <v>42885.137523148151</v>
      </c>
      <c r="B11" s="20" t="s">
        <v>472</v>
      </c>
      <c r="C11" s="20" t="s">
        <v>669</v>
      </c>
      <c r="D11" s="141">
        <v>940000</v>
      </c>
      <c r="E11" s="20" t="s">
        <v>452</v>
      </c>
      <c r="F11" s="20" t="s">
        <v>453</v>
      </c>
      <c r="G11" s="8" t="str">
        <f t="shared" si="0"/>
        <v>BONDS REYNALDO</v>
      </c>
    </row>
    <row r="12" spans="1:7" x14ac:dyDescent="0.25">
      <c r="A12" s="8">
        <v>42885.140636574077</v>
      </c>
      <c r="B12" s="20" t="s">
        <v>664</v>
      </c>
      <c r="C12" s="20" t="s">
        <v>670</v>
      </c>
      <c r="D12" s="141">
        <v>1090000</v>
      </c>
      <c r="E12" s="20" t="s">
        <v>512</v>
      </c>
      <c r="F12" s="20" t="s">
        <v>194</v>
      </c>
      <c r="G12" s="8" t="str">
        <f t="shared" si="0"/>
        <v>SPECTOR MICHAEL</v>
      </c>
    </row>
    <row r="13" spans="1:7" x14ac:dyDescent="0.25">
      <c r="A13" s="8">
        <v>42885.149606481478</v>
      </c>
      <c r="B13" s="20" t="s">
        <v>474</v>
      </c>
      <c r="C13" s="20" t="s">
        <v>635</v>
      </c>
      <c r="D13" s="141">
        <v>940000</v>
      </c>
      <c r="E13" s="20" t="s">
        <v>452</v>
      </c>
      <c r="F13" s="20" t="s">
        <v>453</v>
      </c>
      <c r="G13" s="8" t="str">
        <f t="shared" si="0"/>
        <v>BONDS REYNALDO</v>
      </c>
    </row>
    <row r="14" spans="1:7" x14ac:dyDescent="0.25">
      <c r="A14" s="8">
        <v>42885.159398148149</v>
      </c>
      <c r="B14" s="20" t="s">
        <v>542</v>
      </c>
      <c r="C14" s="20" t="s">
        <v>671</v>
      </c>
      <c r="D14" s="141">
        <v>2010000</v>
      </c>
      <c r="E14" s="20" t="s">
        <v>545</v>
      </c>
      <c r="F14" s="20" t="s">
        <v>546</v>
      </c>
      <c r="G14" s="8" t="str">
        <f t="shared" si="0"/>
        <v>MAELZER KURT</v>
      </c>
    </row>
    <row r="15" spans="1:7" x14ac:dyDescent="0.25">
      <c r="A15" s="8">
        <v>42885.16337962963</v>
      </c>
      <c r="B15" s="20" t="s">
        <v>506</v>
      </c>
      <c r="C15" s="20" t="s">
        <v>672</v>
      </c>
      <c r="D15" s="141">
        <v>1110000</v>
      </c>
      <c r="E15" s="20" t="s">
        <v>454</v>
      </c>
      <c r="F15" s="20" t="s">
        <v>455</v>
      </c>
      <c r="G15" s="8" t="str">
        <f t="shared" si="0"/>
        <v>STARKS ANGELINA</v>
      </c>
    </row>
    <row r="16" spans="1:7" x14ac:dyDescent="0.25">
      <c r="A16" s="8">
        <v>42885.168495370373</v>
      </c>
      <c r="B16" s="20" t="s">
        <v>451</v>
      </c>
      <c r="C16" s="20" t="s">
        <v>673</v>
      </c>
      <c r="D16" s="141">
        <v>2530000</v>
      </c>
      <c r="E16" s="20" t="s">
        <v>549</v>
      </c>
      <c r="F16" s="20" t="s">
        <v>550</v>
      </c>
      <c r="G16" s="8" t="str">
        <f t="shared" si="0"/>
        <v>LALONDE GREGORY</v>
      </c>
    </row>
    <row r="17" spans="1:7" x14ac:dyDescent="0.25">
      <c r="A17" s="8">
        <v>42885.172337962962</v>
      </c>
      <c r="B17" s="20" t="s">
        <v>508</v>
      </c>
      <c r="C17" s="20" t="s">
        <v>674</v>
      </c>
      <c r="D17" s="141">
        <v>2010000</v>
      </c>
      <c r="E17" s="20" t="s">
        <v>545</v>
      </c>
      <c r="F17" s="20" t="s">
        <v>546</v>
      </c>
      <c r="G17" s="8" t="str">
        <f t="shared" si="0"/>
        <v>MAELZER KURT</v>
      </c>
    </row>
    <row r="18" spans="1:7" x14ac:dyDescent="0.25">
      <c r="A18" s="8">
        <v>42885.175115740742</v>
      </c>
      <c r="B18" s="20" t="s">
        <v>675</v>
      </c>
      <c r="C18" s="20" t="s">
        <v>676</v>
      </c>
      <c r="D18" s="141">
        <v>2560000</v>
      </c>
      <c r="E18" s="20" t="s">
        <v>553</v>
      </c>
      <c r="F18" s="20" t="s">
        <v>374</v>
      </c>
      <c r="G18" s="8" t="str">
        <f t="shared" si="0"/>
        <v>MACDONALD THOMAS</v>
      </c>
    </row>
    <row r="19" spans="1:7" x14ac:dyDescent="0.25">
      <c r="A19" s="8">
        <v>42885.18513888889</v>
      </c>
      <c r="B19" s="20" t="s">
        <v>430</v>
      </c>
      <c r="C19" s="20" t="s">
        <v>677</v>
      </c>
      <c r="D19" s="141">
        <v>2530000</v>
      </c>
      <c r="E19" s="20" t="s">
        <v>549</v>
      </c>
      <c r="F19" s="20" t="s">
        <v>550</v>
      </c>
      <c r="G19" s="8" t="str">
        <f t="shared" si="0"/>
        <v>LALONDE GREGORY</v>
      </c>
    </row>
    <row r="20" spans="1:7" x14ac:dyDescent="0.25">
      <c r="A20" s="8">
        <v>42885.192962962959</v>
      </c>
      <c r="B20" s="20" t="s">
        <v>472</v>
      </c>
      <c r="C20" s="20" t="s">
        <v>678</v>
      </c>
      <c r="D20" s="141">
        <v>940000</v>
      </c>
      <c r="E20" s="20" t="s">
        <v>452</v>
      </c>
      <c r="F20" s="20" t="s">
        <v>453</v>
      </c>
      <c r="G20" s="8" t="str">
        <f t="shared" si="0"/>
        <v>BONDS REYNALDO</v>
      </c>
    </row>
    <row r="21" spans="1:7" x14ac:dyDescent="0.25">
      <c r="A21" s="8">
        <v>42885.193090277775</v>
      </c>
      <c r="B21" s="20" t="s">
        <v>413</v>
      </c>
      <c r="C21" s="20" t="s">
        <v>679</v>
      </c>
      <c r="D21" s="141">
        <v>2560000</v>
      </c>
      <c r="E21" s="20" t="s">
        <v>553</v>
      </c>
      <c r="F21" s="20" t="s">
        <v>374</v>
      </c>
      <c r="G21" s="8" t="str">
        <f t="shared" si="0"/>
        <v>MACDONALD THOMAS</v>
      </c>
    </row>
    <row r="22" spans="1:7" x14ac:dyDescent="0.25">
      <c r="A22" s="26">
        <v>42885.196689814817</v>
      </c>
      <c r="B22" s="20" t="s">
        <v>363</v>
      </c>
      <c r="C22" s="20" t="s">
        <v>680</v>
      </c>
      <c r="D22" s="141">
        <v>3090000</v>
      </c>
      <c r="E22" s="20" t="s">
        <v>385</v>
      </c>
      <c r="F22" s="20" t="s">
        <v>386</v>
      </c>
      <c r="G22" s="8" t="str">
        <f t="shared" si="0"/>
        <v>LAMAR NEKESHA</v>
      </c>
    </row>
    <row r="23" spans="1:7" x14ac:dyDescent="0.25">
      <c r="A23" s="8">
        <v>42885.198680555557</v>
      </c>
      <c r="B23" s="20" t="s">
        <v>515</v>
      </c>
      <c r="C23" s="20" t="s">
        <v>636</v>
      </c>
      <c r="D23" s="141">
        <v>3030000</v>
      </c>
      <c r="E23" s="20" t="s">
        <v>391</v>
      </c>
      <c r="F23" s="20" t="s">
        <v>374</v>
      </c>
      <c r="G23" s="8" t="str">
        <f t="shared" si="0"/>
        <v>BIRENBAUM THOMAS</v>
      </c>
    </row>
    <row r="24" spans="1:7" x14ac:dyDescent="0.25">
      <c r="A24" s="8">
        <v>42885.20584490741</v>
      </c>
      <c r="B24" s="20" t="s">
        <v>543</v>
      </c>
      <c r="C24" s="20" t="s">
        <v>681</v>
      </c>
      <c r="D24" s="141">
        <v>1110000</v>
      </c>
      <c r="E24" s="20" t="s">
        <v>454</v>
      </c>
      <c r="F24" s="20" t="s">
        <v>455</v>
      </c>
      <c r="G24" s="8" t="str">
        <f t="shared" si="0"/>
        <v>STARKS ANGELINA</v>
      </c>
    </row>
    <row r="25" spans="1:7" x14ac:dyDescent="0.25">
      <c r="A25" s="8">
        <v>42885.20789351852</v>
      </c>
      <c r="B25" s="20" t="s">
        <v>542</v>
      </c>
      <c r="C25" s="20" t="s">
        <v>637</v>
      </c>
      <c r="D25" s="141">
        <v>2010000</v>
      </c>
      <c r="E25" s="20" t="s">
        <v>545</v>
      </c>
      <c r="F25" s="20" t="s">
        <v>546</v>
      </c>
      <c r="G25" s="8" t="str">
        <f t="shared" si="0"/>
        <v>MAELZER KURT</v>
      </c>
    </row>
    <row r="26" spans="1:7" x14ac:dyDescent="0.25">
      <c r="A26" s="8">
        <v>42885.208287037036</v>
      </c>
      <c r="B26" s="20" t="s">
        <v>433</v>
      </c>
      <c r="C26" s="20" t="s">
        <v>682</v>
      </c>
      <c r="D26" s="141">
        <v>3090000</v>
      </c>
      <c r="E26" s="20" t="s">
        <v>385</v>
      </c>
      <c r="F26" s="20" t="s">
        <v>386</v>
      </c>
      <c r="G26" s="8" t="str">
        <f t="shared" si="0"/>
        <v>LAMAR NEKESHA</v>
      </c>
    </row>
    <row r="27" spans="1:7" x14ac:dyDescent="0.25">
      <c r="A27" s="8">
        <v>42885.209861111114</v>
      </c>
      <c r="B27" s="20" t="s">
        <v>516</v>
      </c>
      <c r="C27" s="20" t="s">
        <v>683</v>
      </c>
      <c r="D27" s="141">
        <v>3030000</v>
      </c>
      <c r="E27" s="20" t="s">
        <v>391</v>
      </c>
      <c r="F27" s="20" t="s">
        <v>374</v>
      </c>
      <c r="G27" s="8" t="str">
        <f t="shared" si="0"/>
        <v>BIRENBAUM THOMAS</v>
      </c>
    </row>
    <row r="28" spans="1:7" x14ac:dyDescent="0.25">
      <c r="A28" s="8">
        <v>42885.215960648151</v>
      </c>
      <c r="B28" s="20" t="s">
        <v>451</v>
      </c>
      <c r="C28" s="20" t="s">
        <v>684</v>
      </c>
      <c r="D28" s="141">
        <v>2530000</v>
      </c>
      <c r="E28" s="20" t="s">
        <v>549</v>
      </c>
      <c r="F28" s="20" t="s">
        <v>550</v>
      </c>
      <c r="G28" s="8" t="str">
        <f t="shared" si="0"/>
        <v>LALONDE GREGORY</v>
      </c>
    </row>
    <row r="29" spans="1:7" x14ac:dyDescent="0.25">
      <c r="A29" s="8">
        <v>42885.218692129631</v>
      </c>
      <c r="B29" s="20" t="s">
        <v>685</v>
      </c>
      <c r="C29" s="20" t="s">
        <v>686</v>
      </c>
      <c r="D29" s="141">
        <v>2600000</v>
      </c>
      <c r="E29" s="20" t="s">
        <v>551</v>
      </c>
      <c r="F29" s="20" t="s">
        <v>552</v>
      </c>
      <c r="G29" s="8" t="str">
        <f t="shared" si="0"/>
        <v>DAVIDSON DAVID</v>
      </c>
    </row>
    <row r="30" spans="1:7" x14ac:dyDescent="0.25">
      <c r="A30" s="8">
        <v>42885.225289351853</v>
      </c>
      <c r="B30" s="20" t="s">
        <v>675</v>
      </c>
      <c r="C30" s="20" t="s">
        <v>687</v>
      </c>
      <c r="D30" s="141">
        <v>2560000</v>
      </c>
      <c r="E30" s="20" t="s">
        <v>553</v>
      </c>
      <c r="F30" s="20" t="s">
        <v>374</v>
      </c>
      <c r="G30" s="8" t="str">
        <f t="shared" si="0"/>
        <v>MACDONALD THOMAS</v>
      </c>
    </row>
    <row r="31" spans="1:7" x14ac:dyDescent="0.25">
      <c r="A31" s="8">
        <v>42885.227592592593</v>
      </c>
      <c r="B31" s="20" t="s">
        <v>474</v>
      </c>
      <c r="C31" s="20" t="s">
        <v>688</v>
      </c>
      <c r="D31" s="141">
        <v>940000</v>
      </c>
      <c r="E31" s="20" t="s">
        <v>452</v>
      </c>
      <c r="F31" s="20" t="s">
        <v>453</v>
      </c>
      <c r="G31" s="8" t="str">
        <f t="shared" si="0"/>
        <v>BONDS REYNALDO</v>
      </c>
    </row>
    <row r="32" spans="1:7" x14ac:dyDescent="0.25">
      <c r="A32" s="8">
        <v>42885.233287037037</v>
      </c>
      <c r="B32" s="20" t="s">
        <v>544</v>
      </c>
      <c r="C32" s="20" t="s">
        <v>689</v>
      </c>
      <c r="D32" s="141">
        <v>2600000</v>
      </c>
      <c r="E32" s="20" t="s">
        <v>551</v>
      </c>
      <c r="F32" s="20" t="s">
        <v>552</v>
      </c>
      <c r="G32" s="8" t="str">
        <f t="shared" si="0"/>
        <v>DAVIDSON DAVID</v>
      </c>
    </row>
    <row r="33" spans="1:7" x14ac:dyDescent="0.25">
      <c r="A33" s="8">
        <v>42885.240902777776</v>
      </c>
      <c r="B33" s="20" t="s">
        <v>363</v>
      </c>
      <c r="C33" s="20" t="s">
        <v>690</v>
      </c>
      <c r="D33" s="141">
        <v>3090000</v>
      </c>
      <c r="E33" s="20" t="s">
        <v>385</v>
      </c>
      <c r="F33" s="20" t="s">
        <v>386</v>
      </c>
      <c r="G33" s="8" t="str">
        <f t="shared" si="0"/>
        <v>LAMAR NEKESHA</v>
      </c>
    </row>
    <row r="34" spans="1:7" x14ac:dyDescent="0.25">
      <c r="A34" s="8">
        <v>42885.241875</v>
      </c>
      <c r="B34" s="20" t="s">
        <v>506</v>
      </c>
      <c r="C34" s="20" t="s">
        <v>638</v>
      </c>
      <c r="D34" s="141">
        <v>1110000</v>
      </c>
      <c r="E34" s="20" t="s">
        <v>454</v>
      </c>
      <c r="F34" s="20" t="s">
        <v>455</v>
      </c>
      <c r="G34" s="8" t="str">
        <f t="shared" si="0"/>
        <v>STARKS ANGELINA</v>
      </c>
    </row>
    <row r="35" spans="1:7" x14ac:dyDescent="0.25">
      <c r="A35" s="8">
        <v>42885.246770833335</v>
      </c>
      <c r="B35" s="20" t="s">
        <v>508</v>
      </c>
      <c r="C35" s="20" t="s">
        <v>691</v>
      </c>
      <c r="D35" s="141">
        <v>2010000</v>
      </c>
      <c r="E35" s="20" t="s">
        <v>545</v>
      </c>
      <c r="F35" s="20" t="s">
        <v>546</v>
      </c>
      <c r="G35" s="8" t="str">
        <f t="shared" si="0"/>
        <v>MAELZER KURT</v>
      </c>
    </row>
    <row r="36" spans="1:7" x14ac:dyDescent="0.25">
      <c r="A36" s="8">
        <v>42885.247233796297</v>
      </c>
      <c r="B36" s="20" t="s">
        <v>409</v>
      </c>
      <c r="C36" s="20" t="s">
        <v>692</v>
      </c>
      <c r="D36" s="141">
        <v>2730000</v>
      </c>
      <c r="E36" s="20" t="s">
        <v>693</v>
      </c>
      <c r="F36" s="20" t="s">
        <v>694</v>
      </c>
      <c r="G36" s="8" t="str">
        <f t="shared" si="0"/>
        <v>YANG JAN</v>
      </c>
    </row>
    <row r="37" spans="1:7" x14ac:dyDescent="0.25">
      <c r="A37" s="8">
        <v>42885.254780092589</v>
      </c>
      <c r="B37" s="20" t="s">
        <v>433</v>
      </c>
      <c r="C37" s="20" t="s">
        <v>639</v>
      </c>
      <c r="D37" s="141">
        <v>3090000</v>
      </c>
      <c r="E37" s="20" t="s">
        <v>385</v>
      </c>
      <c r="F37" s="20" t="s">
        <v>386</v>
      </c>
      <c r="G37" s="8" t="str">
        <f t="shared" si="0"/>
        <v>LAMAR NEKESHA</v>
      </c>
    </row>
    <row r="38" spans="1:7" x14ac:dyDescent="0.25">
      <c r="A38" s="8">
        <v>42885.255590277775</v>
      </c>
      <c r="B38" s="20" t="s">
        <v>515</v>
      </c>
      <c r="C38" s="20" t="s">
        <v>695</v>
      </c>
      <c r="D38" s="141">
        <v>3030000</v>
      </c>
      <c r="E38" s="20" t="s">
        <v>391</v>
      </c>
      <c r="F38" s="20" t="s">
        <v>374</v>
      </c>
      <c r="G38" s="8" t="str">
        <f t="shared" si="0"/>
        <v>BIRENBAUM THOMAS</v>
      </c>
    </row>
    <row r="39" spans="1:7" x14ac:dyDescent="0.25">
      <c r="A39" s="8">
        <v>42885.255891203706</v>
      </c>
      <c r="B39" s="20" t="s">
        <v>430</v>
      </c>
      <c r="C39" s="20" t="s">
        <v>696</v>
      </c>
      <c r="D39" s="141">
        <v>2530000</v>
      </c>
      <c r="E39" s="20" t="s">
        <v>549</v>
      </c>
      <c r="F39" s="20" t="s">
        <v>550</v>
      </c>
      <c r="G39" s="8" t="str">
        <f t="shared" si="0"/>
        <v>LALONDE GREGORY</v>
      </c>
    </row>
    <row r="40" spans="1:7" x14ac:dyDescent="0.25">
      <c r="A40" s="8">
        <v>42885.261006944442</v>
      </c>
      <c r="B40" s="25" t="s">
        <v>410</v>
      </c>
      <c r="C40" s="20" t="s">
        <v>640</v>
      </c>
      <c r="D40" s="141">
        <v>2730000</v>
      </c>
      <c r="E40" s="20" t="s">
        <v>693</v>
      </c>
      <c r="F40" s="20" t="s">
        <v>694</v>
      </c>
      <c r="G40" s="8" t="str">
        <f t="shared" si="0"/>
        <v>YANG JAN</v>
      </c>
    </row>
    <row r="41" spans="1:7" x14ac:dyDescent="0.25">
      <c r="A41" s="8">
        <v>42885.266956018517</v>
      </c>
      <c r="B41" s="20" t="s">
        <v>472</v>
      </c>
      <c r="C41" s="20" t="s">
        <v>697</v>
      </c>
      <c r="D41" s="141">
        <v>940000</v>
      </c>
      <c r="E41" s="20" t="s">
        <v>452</v>
      </c>
      <c r="F41" s="20" t="s">
        <v>453</v>
      </c>
      <c r="G41" s="8" t="str">
        <f t="shared" si="0"/>
        <v>BONDS REYNALDO</v>
      </c>
    </row>
    <row r="42" spans="1:7" x14ac:dyDescent="0.25">
      <c r="A42" s="8">
        <v>42885.268240740741</v>
      </c>
      <c r="B42" s="20" t="s">
        <v>685</v>
      </c>
      <c r="C42" s="20" t="s">
        <v>698</v>
      </c>
      <c r="D42" s="141">
        <v>2600000</v>
      </c>
      <c r="E42" s="20" t="s">
        <v>551</v>
      </c>
      <c r="F42" s="20" t="s">
        <v>552</v>
      </c>
      <c r="G42" s="8" t="str">
        <f t="shared" si="0"/>
        <v>DAVIDSON DAVID</v>
      </c>
    </row>
    <row r="43" spans="1:7" x14ac:dyDescent="0.25">
      <c r="A43" s="8">
        <v>42885.269421296296</v>
      </c>
      <c r="B43" s="20" t="s">
        <v>413</v>
      </c>
      <c r="C43" s="20" t="s">
        <v>699</v>
      </c>
      <c r="D43" s="141">
        <v>2560000</v>
      </c>
      <c r="E43" s="20" t="s">
        <v>553</v>
      </c>
      <c r="F43" s="20" t="s">
        <v>374</v>
      </c>
      <c r="G43" s="8" t="str">
        <f t="shared" si="0"/>
        <v>MACDONALD THOMAS</v>
      </c>
    </row>
    <row r="44" spans="1:7" x14ac:dyDescent="0.25">
      <c r="A44" s="8">
        <v>42885.276504629626</v>
      </c>
      <c r="B44" s="20" t="s">
        <v>409</v>
      </c>
      <c r="C44" s="20" t="s">
        <v>700</v>
      </c>
      <c r="D44" s="141">
        <v>2730000</v>
      </c>
      <c r="E44" s="20" t="s">
        <v>693</v>
      </c>
      <c r="F44" s="20" t="s">
        <v>694</v>
      </c>
      <c r="G44" s="8" t="str">
        <f t="shared" si="0"/>
        <v>YANG JAN</v>
      </c>
    </row>
    <row r="45" spans="1:7" x14ac:dyDescent="0.25">
      <c r="A45" s="8">
        <v>42885.277754629627</v>
      </c>
      <c r="B45" s="20" t="s">
        <v>543</v>
      </c>
      <c r="C45" s="20" t="s">
        <v>701</v>
      </c>
      <c r="D45" s="141">
        <v>1110000</v>
      </c>
      <c r="E45" s="20" t="s">
        <v>454</v>
      </c>
      <c r="F45" s="20" t="s">
        <v>455</v>
      </c>
      <c r="G45" s="8" t="str">
        <f t="shared" si="0"/>
        <v>STARKS ANGELINA</v>
      </c>
    </row>
    <row r="46" spans="1:7" x14ac:dyDescent="0.25">
      <c r="A46" s="8">
        <v>42885.282129629632</v>
      </c>
      <c r="B46" s="20" t="s">
        <v>363</v>
      </c>
      <c r="C46" s="20" t="s">
        <v>702</v>
      </c>
      <c r="D46" s="141">
        <v>3090000</v>
      </c>
      <c r="E46" s="20" t="s">
        <v>385</v>
      </c>
      <c r="F46" s="20" t="s">
        <v>386</v>
      </c>
      <c r="G46" s="8" t="str">
        <f t="shared" si="0"/>
        <v>LAMAR NEKESHA</v>
      </c>
    </row>
    <row r="47" spans="1:7" x14ac:dyDescent="0.25">
      <c r="A47" s="8">
        <v>42885.282881944448</v>
      </c>
      <c r="B47" s="20" t="s">
        <v>363</v>
      </c>
      <c r="C47" s="20" t="s">
        <v>703</v>
      </c>
      <c r="D47" s="141">
        <v>3090000</v>
      </c>
      <c r="E47" s="20" t="s">
        <v>385</v>
      </c>
      <c r="F47" s="20" t="s">
        <v>386</v>
      </c>
      <c r="G47" s="8" t="str">
        <f t="shared" si="0"/>
        <v>LAMAR NEKESHA</v>
      </c>
    </row>
    <row r="48" spans="1:7" x14ac:dyDescent="0.25">
      <c r="A48" s="8">
        <v>42885.284201388888</v>
      </c>
      <c r="B48" s="20" t="s">
        <v>542</v>
      </c>
      <c r="C48" s="20" t="s">
        <v>704</v>
      </c>
      <c r="D48" s="141">
        <v>2010000</v>
      </c>
      <c r="E48" s="20" t="s">
        <v>545</v>
      </c>
      <c r="F48" s="20" t="s">
        <v>546</v>
      </c>
      <c r="G48" s="8" t="str">
        <f t="shared" si="0"/>
        <v>MAELZER KURT</v>
      </c>
    </row>
    <row r="49" spans="1:7" x14ac:dyDescent="0.25">
      <c r="A49" s="8">
        <v>42885.286736111113</v>
      </c>
      <c r="B49" s="20" t="s">
        <v>516</v>
      </c>
      <c r="C49" s="20" t="s">
        <v>705</v>
      </c>
      <c r="D49" s="141">
        <v>890000</v>
      </c>
      <c r="E49" s="20" t="s">
        <v>456</v>
      </c>
      <c r="F49" s="20" t="s">
        <v>457</v>
      </c>
      <c r="G49" s="8" t="str">
        <f t="shared" si="0"/>
        <v>LOZA FIDEL</v>
      </c>
    </row>
    <row r="50" spans="1:7" x14ac:dyDescent="0.25">
      <c r="A50" s="8">
        <v>42885.289363425924</v>
      </c>
      <c r="B50" s="20" t="s">
        <v>451</v>
      </c>
      <c r="C50" s="20" t="s">
        <v>706</v>
      </c>
      <c r="D50" s="141">
        <v>2530000</v>
      </c>
      <c r="E50" s="20" t="s">
        <v>549</v>
      </c>
      <c r="F50" s="20" t="s">
        <v>550</v>
      </c>
      <c r="G50" s="8" t="str">
        <f t="shared" si="0"/>
        <v>LALONDE GREGORY</v>
      </c>
    </row>
    <row r="51" spans="1:7" x14ac:dyDescent="0.25">
      <c r="A51" s="8">
        <v>42885.291875000003</v>
      </c>
      <c r="B51" s="20" t="s">
        <v>410</v>
      </c>
      <c r="C51" s="20" t="s">
        <v>707</v>
      </c>
      <c r="D51" s="141">
        <v>2730000</v>
      </c>
      <c r="E51" s="20" t="s">
        <v>693</v>
      </c>
      <c r="F51" s="20" t="s">
        <v>694</v>
      </c>
      <c r="G51" s="8" t="str">
        <f t="shared" si="0"/>
        <v>YANG JAN</v>
      </c>
    </row>
    <row r="52" spans="1:7" x14ac:dyDescent="0.25">
      <c r="A52" s="8">
        <v>42885.296620370369</v>
      </c>
      <c r="B52" s="20" t="s">
        <v>433</v>
      </c>
      <c r="C52" s="20" t="s">
        <v>702</v>
      </c>
      <c r="D52" s="141">
        <v>3090000</v>
      </c>
      <c r="E52" s="20" t="s">
        <v>385</v>
      </c>
      <c r="F52" s="20" t="s">
        <v>386</v>
      </c>
      <c r="G52" s="8" t="str">
        <f t="shared" si="0"/>
        <v>LAMAR NEKESHA</v>
      </c>
    </row>
    <row r="53" spans="1:7" x14ac:dyDescent="0.25">
      <c r="A53" s="8">
        <v>42885.29896990741</v>
      </c>
      <c r="B53" s="20" t="s">
        <v>474</v>
      </c>
      <c r="C53" s="20" t="s">
        <v>708</v>
      </c>
      <c r="D53" s="141">
        <v>940000</v>
      </c>
      <c r="E53" s="20" t="s">
        <v>452</v>
      </c>
      <c r="F53" s="20" t="s">
        <v>453</v>
      </c>
      <c r="G53" s="8" t="str">
        <f t="shared" si="0"/>
        <v>BONDS REYNALDO</v>
      </c>
    </row>
    <row r="54" spans="1:7" x14ac:dyDescent="0.25">
      <c r="A54" s="8">
        <v>42885.308425925927</v>
      </c>
      <c r="B54" s="20" t="s">
        <v>544</v>
      </c>
      <c r="C54" s="20" t="s">
        <v>709</v>
      </c>
      <c r="D54" s="141">
        <v>2600000</v>
      </c>
      <c r="E54" s="20" t="s">
        <v>551</v>
      </c>
      <c r="F54" s="20" t="s">
        <v>552</v>
      </c>
      <c r="G54" s="8" t="str">
        <f t="shared" si="0"/>
        <v>DAVIDSON DAVID</v>
      </c>
    </row>
    <row r="55" spans="1:7" x14ac:dyDescent="0.25">
      <c r="A55" s="8">
        <v>42885.309710648151</v>
      </c>
      <c r="B55" s="20" t="s">
        <v>675</v>
      </c>
      <c r="C55" s="20" t="s">
        <v>710</v>
      </c>
      <c r="D55" s="141">
        <v>2560000</v>
      </c>
      <c r="E55" s="20" t="s">
        <v>553</v>
      </c>
      <c r="F55" s="20" t="s">
        <v>374</v>
      </c>
      <c r="G55" s="8" t="str">
        <f t="shared" si="0"/>
        <v>MACDONALD THOMAS</v>
      </c>
    </row>
    <row r="56" spans="1:7" x14ac:dyDescent="0.25">
      <c r="A56" s="8">
        <v>42885.310127314813</v>
      </c>
      <c r="B56" s="20" t="s">
        <v>506</v>
      </c>
      <c r="C56" s="20" t="s">
        <v>711</v>
      </c>
      <c r="D56" s="141">
        <v>1110000</v>
      </c>
      <c r="E56" s="20" t="s">
        <v>454</v>
      </c>
      <c r="F56" s="20" t="s">
        <v>455</v>
      </c>
      <c r="G56" s="8" t="str">
        <f t="shared" si="0"/>
        <v>STARKS ANGELINA</v>
      </c>
    </row>
    <row r="57" spans="1:7" x14ac:dyDescent="0.25">
      <c r="A57" s="8">
        <v>42885.316782407404</v>
      </c>
      <c r="B57" s="20" t="s">
        <v>363</v>
      </c>
      <c r="C57" s="20" t="s">
        <v>712</v>
      </c>
      <c r="D57" s="141">
        <v>3090000</v>
      </c>
      <c r="E57" s="20" t="s">
        <v>385</v>
      </c>
      <c r="F57" s="20" t="s">
        <v>386</v>
      </c>
      <c r="G57" s="8" t="str">
        <f t="shared" si="0"/>
        <v>LAMAR NEKESHA</v>
      </c>
    </row>
    <row r="58" spans="1:7" x14ac:dyDescent="0.25">
      <c r="A58" s="8">
        <v>42885.318171296298</v>
      </c>
      <c r="B58" s="20" t="s">
        <v>409</v>
      </c>
      <c r="C58" s="20" t="s">
        <v>713</v>
      </c>
      <c r="D58" s="141">
        <v>2730000</v>
      </c>
      <c r="E58" s="20" t="s">
        <v>693</v>
      </c>
      <c r="F58" s="20" t="s">
        <v>694</v>
      </c>
      <c r="G58" s="8" t="str">
        <f t="shared" si="0"/>
        <v>YANG JAN</v>
      </c>
    </row>
    <row r="59" spans="1:7" x14ac:dyDescent="0.25">
      <c r="A59" s="8">
        <v>42885.318368055552</v>
      </c>
      <c r="B59" s="20" t="s">
        <v>508</v>
      </c>
      <c r="C59" s="20" t="s">
        <v>714</v>
      </c>
      <c r="D59" s="141">
        <v>1230000</v>
      </c>
      <c r="E59" s="20" t="s">
        <v>547</v>
      </c>
      <c r="F59" s="20" t="s">
        <v>548</v>
      </c>
      <c r="G59" s="8" t="str">
        <f t="shared" si="0"/>
        <v>YANAI IAN</v>
      </c>
    </row>
    <row r="60" spans="1:7" x14ac:dyDescent="0.25">
      <c r="A60" s="8">
        <v>42885.328472222223</v>
      </c>
      <c r="B60" s="20" t="s">
        <v>430</v>
      </c>
      <c r="C60" s="20" t="s">
        <v>641</v>
      </c>
      <c r="D60" s="141">
        <v>2530000</v>
      </c>
      <c r="E60" s="20" t="s">
        <v>549</v>
      </c>
      <c r="F60" s="20" t="s">
        <v>550</v>
      </c>
      <c r="G60" s="8" t="str">
        <f t="shared" si="0"/>
        <v>LALONDE GREGORY</v>
      </c>
    </row>
    <row r="61" spans="1:7" x14ac:dyDescent="0.25">
      <c r="A61" s="8">
        <v>42885.329837962963</v>
      </c>
      <c r="B61" s="20" t="s">
        <v>515</v>
      </c>
      <c r="C61" s="20" t="s">
        <v>715</v>
      </c>
      <c r="D61" s="141">
        <v>890000</v>
      </c>
      <c r="E61" s="20" t="s">
        <v>456</v>
      </c>
      <c r="F61" s="20" t="s">
        <v>457</v>
      </c>
      <c r="G61" s="8" t="str">
        <f t="shared" si="0"/>
        <v>LOZA FIDEL</v>
      </c>
    </row>
    <row r="62" spans="1:7" x14ac:dyDescent="0.25">
      <c r="A62" s="8">
        <v>42885.338321759256</v>
      </c>
      <c r="B62" s="20" t="s">
        <v>433</v>
      </c>
      <c r="C62" s="20" t="s">
        <v>716</v>
      </c>
      <c r="D62" s="141">
        <v>3090000</v>
      </c>
      <c r="E62" s="20" t="s">
        <v>385</v>
      </c>
      <c r="F62" s="20" t="s">
        <v>386</v>
      </c>
      <c r="G62" s="8" t="str">
        <f t="shared" si="0"/>
        <v>LAMAR NEKESHA</v>
      </c>
    </row>
    <row r="63" spans="1:7" x14ac:dyDescent="0.25">
      <c r="A63" s="8">
        <v>42885.338750000003</v>
      </c>
      <c r="B63" s="20" t="s">
        <v>472</v>
      </c>
      <c r="C63" s="20" t="s">
        <v>717</v>
      </c>
      <c r="D63" s="141">
        <v>940000</v>
      </c>
      <c r="E63" s="20" t="s">
        <v>452</v>
      </c>
      <c r="F63" s="20" t="s">
        <v>453</v>
      </c>
      <c r="G63" s="8" t="str">
        <f t="shared" si="0"/>
        <v>BONDS REYNALDO</v>
      </c>
    </row>
    <row r="64" spans="1:7" x14ac:dyDescent="0.25">
      <c r="A64" s="26">
        <v>42885.340219907404</v>
      </c>
      <c r="B64" s="20" t="s">
        <v>410</v>
      </c>
      <c r="C64" s="20" t="s">
        <v>718</v>
      </c>
      <c r="D64" s="141">
        <v>1290000</v>
      </c>
      <c r="E64" s="20" t="s">
        <v>719</v>
      </c>
      <c r="F64" s="20" t="s">
        <v>720</v>
      </c>
      <c r="G64" s="8" t="str">
        <f t="shared" si="0"/>
        <v>COOLAHAN JOHN</v>
      </c>
    </row>
    <row r="65" spans="1:7" x14ac:dyDescent="0.25">
      <c r="A65" s="8">
        <v>42885.340243055558</v>
      </c>
      <c r="B65" s="20" t="s">
        <v>685</v>
      </c>
      <c r="C65" s="20" t="s">
        <v>721</v>
      </c>
      <c r="D65" s="141">
        <v>2600000</v>
      </c>
      <c r="E65" s="20" t="s">
        <v>551</v>
      </c>
      <c r="F65" s="20" t="s">
        <v>552</v>
      </c>
      <c r="G65" s="8" t="str">
        <f t="shared" si="0"/>
        <v>DAVIDSON DAVID</v>
      </c>
    </row>
    <row r="66" spans="1:7" x14ac:dyDescent="0.25">
      <c r="A66" s="8">
        <v>42885.340462962966</v>
      </c>
      <c r="B66" s="20" t="s">
        <v>413</v>
      </c>
      <c r="C66" s="20" t="s">
        <v>722</v>
      </c>
      <c r="D66" s="141">
        <v>1340000</v>
      </c>
      <c r="E66" s="20" t="s">
        <v>723</v>
      </c>
      <c r="F66" s="20" t="s">
        <v>724</v>
      </c>
      <c r="G66" s="8" t="str">
        <f t="shared" si="0"/>
        <v>BEAM ROSS</v>
      </c>
    </row>
    <row r="67" spans="1:7" x14ac:dyDescent="0.25">
      <c r="A67" s="8">
        <v>42885.349664351852</v>
      </c>
      <c r="B67" s="20" t="s">
        <v>542</v>
      </c>
      <c r="C67" s="20" t="s">
        <v>642</v>
      </c>
      <c r="D67" s="141">
        <v>1230000</v>
      </c>
      <c r="E67" s="20" t="s">
        <v>547</v>
      </c>
      <c r="F67" s="20" t="s">
        <v>548</v>
      </c>
      <c r="G67" s="8" t="str">
        <f t="shared" ref="G67:G130" si="1">E67&amp;" "&amp;F67</f>
        <v>YANAI IAN</v>
      </c>
    </row>
    <row r="68" spans="1:7" x14ac:dyDescent="0.25">
      <c r="A68" s="8">
        <v>42885.351238425923</v>
      </c>
      <c r="B68" s="20" t="s">
        <v>543</v>
      </c>
      <c r="C68" s="20" t="s">
        <v>725</v>
      </c>
      <c r="D68" s="141">
        <v>1110000</v>
      </c>
      <c r="E68" s="20" t="s">
        <v>454</v>
      </c>
      <c r="F68" s="20" t="s">
        <v>455</v>
      </c>
      <c r="G68" s="8" t="str">
        <f t="shared" si="1"/>
        <v>STARKS ANGELINA</v>
      </c>
    </row>
    <row r="69" spans="1:7" x14ac:dyDescent="0.25">
      <c r="A69" s="8">
        <v>42885.353993055556</v>
      </c>
      <c r="B69" s="20" t="s">
        <v>363</v>
      </c>
      <c r="C69" s="20" t="s">
        <v>726</v>
      </c>
      <c r="D69" s="141">
        <v>3090000</v>
      </c>
      <c r="E69" s="20" t="s">
        <v>385</v>
      </c>
      <c r="F69" s="20" t="s">
        <v>386</v>
      </c>
      <c r="G69" s="8" t="str">
        <f t="shared" si="1"/>
        <v>LAMAR NEKESHA</v>
      </c>
    </row>
    <row r="70" spans="1:7" x14ac:dyDescent="0.25">
      <c r="A70" s="8">
        <v>42885.359606481485</v>
      </c>
      <c r="B70" s="20" t="s">
        <v>409</v>
      </c>
      <c r="C70" s="20" t="s">
        <v>727</v>
      </c>
      <c r="D70" s="141">
        <v>1290000</v>
      </c>
      <c r="E70" s="20" t="s">
        <v>719</v>
      </c>
      <c r="F70" s="20" t="s">
        <v>720</v>
      </c>
      <c r="G70" s="8" t="str">
        <f t="shared" si="1"/>
        <v>COOLAHAN JOHN</v>
      </c>
    </row>
    <row r="71" spans="1:7" x14ac:dyDescent="0.25">
      <c r="A71" s="8">
        <v>42885.360717592594</v>
      </c>
      <c r="B71" s="20" t="s">
        <v>451</v>
      </c>
      <c r="C71" s="20" t="s">
        <v>728</v>
      </c>
      <c r="D71" s="141">
        <v>2530000</v>
      </c>
      <c r="E71" s="20" t="s">
        <v>549</v>
      </c>
      <c r="F71" s="20" t="s">
        <v>550</v>
      </c>
      <c r="G71" s="8" t="str">
        <f t="shared" si="1"/>
        <v>LALONDE GREGORY</v>
      </c>
    </row>
    <row r="72" spans="1:7" x14ac:dyDescent="0.25">
      <c r="A72" s="8">
        <v>42885.361793981479</v>
      </c>
      <c r="B72" s="20" t="s">
        <v>516</v>
      </c>
      <c r="C72" s="20" t="s">
        <v>729</v>
      </c>
      <c r="D72" s="141">
        <v>3030000</v>
      </c>
      <c r="E72" s="20" t="s">
        <v>391</v>
      </c>
      <c r="F72" s="20" t="s">
        <v>374</v>
      </c>
      <c r="G72" s="8" t="str">
        <f t="shared" si="1"/>
        <v>BIRENBAUM THOMAS</v>
      </c>
    </row>
    <row r="73" spans="1:7" x14ac:dyDescent="0.25">
      <c r="A73" s="8">
        <v>42885.371817129628</v>
      </c>
      <c r="B73" s="20" t="s">
        <v>474</v>
      </c>
      <c r="C73" s="20" t="s">
        <v>730</v>
      </c>
      <c r="D73" s="141">
        <v>940000</v>
      </c>
      <c r="E73" s="20" t="s">
        <v>452</v>
      </c>
      <c r="F73" s="20" t="s">
        <v>453</v>
      </c>
      <c r="G73" s="8" t="str">
        <f t="shared" si="1"/>
        <v>BONDS REYNALDO</v>
      </c>
    </row>
    <row r="74" spans="1:7" x14ac:dyDescent="0.25">
      <c r="A74" s="8">
        <v>42885.3746875</v>
      </c>
      <c r="B74" s="20" t="s">
        <v>410</v>
      </c>
      <c r="C74" s="20" t="s">
        <v>731</v>
      </c>
      <c r="D74" s="141">
        <v>2730000</v>
      </c>
      <c r="E74" s="20" t="s">
        <v>693</v>
      </c>
      <c r="F74" s="20" t="s">
        <v>694</v>
      </c>
      <c r="G74" s="8" t="str">
        <f t="shared" si="1"/>
        <v>YANG JAN</v>
      </c>
    </row>
    <row r="75" spans="1:7" x14ac:dyDescent="0.25">
      <c r="A75" s="8">
        <v>42885.378425925926</v>
      </c>
      <c r="B75" s="20" t="s">
        <v>675</v>
      </c>
      <c r="C75" s="20" t="s">
        <v>732</v>
      </c>
      <c r="D75" s="141">
        <v>1340000</v>
      </c>
      <c r="E75" s="20" t="s">
        <v>723</v>
      </c>
      <c r="F75" s="20" t="s">
        <v>724</v>
      </c>
      <c r="G75" s="8" t="str">
        <f t="shared" si="1"/>
        <v>BEAM ROSS</v>
      </c>
    </row>
    <row r="76" spans="1:7" x14ac:dyDescent="0.25">
      <c r="A76" s="8">
        <v>42885.381874999999</v>
      </c>
      <c r="B76" s="20" t="s">
        <v>544</v>
      </c>
      <c r="C76" s="20" t="s">
        <v>733</v>
      </c>
      <c r="D76" s="141">
        <v>2600000</v>
      </c>
      <c r="E76" s="20" t="s">
        <v>551</v>
      </c>
      <c r="F76" s="20" t="s">
        <v>552</v>
      </c>
      <c r="G76" s="8" t="str">
        <f t="shared" si="1"/>
        <v>DAVIDSON DAVID</v>
      </c>
    </row>
    <row r="77" spans="1:7" x14ac:dyDescent="0.25">
      <c r="A77" s="8">
        <v>42885.386782407404</v>
      </c>
      <c r="B77" s="20" t="s">
        <v>506</v>
      </c>
      <c r="C77" s="20" t="s">
        <v>725</v>
      </c>
      <c r="D77" s="141">
        <v>1110000</v>
      </c>
      <c r="E77" s="20" t="s">
        <v>454</v>
      </c>
      <c r="F77" s="20" t="s">
        <v>455</v>
      </c>
      <c r="G77" s="8" t="str">
        <f t="shared" si="1"/>
        <v>STARKS ANGELINA</v>
      </c>
    </row>
    <row r="78" spans="1:7" x14ac:dyDescent="0.25">
      <c r="A78" s="8">
        <v>42885.387326388889</v>
      </c>
      <c r="B78" s="20" t="s">
        <v>506</v>
      </c>
      <c r="C78" s="20" t="s">
        <v>734</v>
      </c>
      <c r="D78" s="141">
        <v>1110000</v>
      </c>
      <c r="E78" s="20" t="s">
        <v>454</v>
      </c>
      <c r="F78" s="20" t="s">
        <v>455</v>
      </c>
      <c r="G78" s="8" t="str">
        <f t="shared" si="1"/>
        <v>STARKS ANGELINA</v>
      </c>
    </row>
    <row r="79" spans="1:7" x14ac:dyDescent="0.25">
      <c r="A79" s="8">
        <v>42885.393923611111</v>
      </c>
      <c r="B79" s="20" t="s">
        <v>508</v>
      </c>
      <c r="C79" s="20" t="s">
        <v>735</v>
      </c>
      <c r="D79" s="141">
        <v>2010000</v>
      </c>
      <c r="E79" s="20" t="s">
        <v>545</v>
      </c>
      <c r="F79" s="20" t="s">
        <v>546</v>
      </c>
      <c r="G79" s="8" t="str">
        <f t="shared" si="1"/>
        <v>MAELZER KURT</v>
      </c>
    </row>
    <row r="80" spans="1:7" x14ac:dyDescent="0.25">
      <c r="A80" s="8">
        <v>42885.398506944446</v>
      </c>
      <c r="B80" s="20" t="s">
        <v>515</v>
      </c>
      <c r="C80" s="20" t="s">
        <v>736</v>
      </c>
      <c r="D80" s="141">
        <v>3030000</v>
      </c>
      <c r="E80" s="20" t="s">
        <v>391</v>
      </c>
      <c r="F80" s="20" t="s">
        <v>374</v>
      </c>
      <c r="G80" s="8" t="str">
        <f t="shared" si="1"/>
        <v>BIRENBAUM THOMAS</v>
      </c>
    </row>
    <row r="81" spans="1:7" x14ac:dyDescent="0.25">
      <c r="A81" s="8">
        <v>42885.401932870373</v>
      </c>
      <c r="B81" s="20" t="s">
        <v>430</v>
      </c>
      <c r="C81" s="20" t="s">
        <v>737</v>
      </c>
      <c r="D81" s="141">
        <v>2530000</v>
      </c>
      <c r="E81" s="20" t="s">
        <v>549</v>
      </c>
      <c r="F81" s="20" t="s">
        <v>550</v>
      </c>
      <c r="G81" s="8" t="str">
        <f t="shared" si="1"/>
        <v>LALONDE GREGORY</v>
      </c>
    </row>
    <row r="82" spans="1:7" x14ac:dyDescent="0.25">
      <c r="A82" s="8">
        <v>42885.401944444442</v>
      </c>
      <c r="B82" s="20" t="s">
        <v>409</v>
      </c>
      <c r="C82" s="20" t="s">
        <v>738</v>
      </c>
      <c r="D82" s="141">
        <v>2730000</v>
      </c>
      <c r="E82" s="20" t="s">
        <v>693</v>
      </c>
      <c r="F82" s="20" t="s">
        <v>694</v>
      </c>
      <c r="G82" s="8" t="str">
        <f t="shared" si="1"/>
        <v>YANG JAN</v>
      </c>
    </row>
    <row r="83" spans="1:7" x14ac:dyDescent="0.25">
      <c r="A83" s="8">
        <v>42885.411203703705</v>
      </c>
      <c r="B83" s="20" t="s">
        <v>472</v>
      </c>
      <c r="C83" s="20" t="s">
        <v>739</v>
      </c>
      <c r="D83" s="141">
        <v>940000</v>
      </c>
      <c r="E83" s="20" t="s">
        <v>452</v>
      </c>
      <c r="F83" s="20" t="s">
        <v>453</v>
      </c>
      <c r="G83" s="8" t="str">
        <f t="shared" si="1"/>
        <v>BONDS REYNALDO</v>
      </c>
    </row>
    <row r="84" spans="1:7" x14ac:dyDescent="0.25">
      <c r="A84" s="8">
        <v>42885.4140625</v>
      </c>
      <c r="B84" s="20" t="s">
        <v>413</v>
      </c>
      <c r="C84" s="20" t="s">
        <v>643</v>
      </c>
      <c r="D84" s="141">
        <v>2560000</v>
      </c>
      <c r="E84" s="20" t="s">
        <v>553</v>
      </c>
      <c r="F84" s="20" t="s">
        <v>374</v>
      </c>
      <c r="G84" s="8" t="str">
        <f t="shared" si="1"/>
        <v>MACDONALD THOMAS</v>
      </c>
    </row>
    <row r="85" spans="1:7" x14ac:dyDescent="0.25">
      <c r="A85" s="8">
        <v>42885.415312500001</v>
      </c>
      <c r="B85" s="20" t="s">
        <v>685</v>
      </c>
      <c r="C85" s="20" t="s">
        <v>740</v>
      </c>
      <c r="D85" s="141">
        <v>2600000</v>
      </c>
      <c r="E85" s="20" t="s">
        <v>551</v>
      </c>
      <c r="F85" s="20" t="s">
        <v>552</v>
      </c>
      <c r="G85" s="8" t="str">
        <f t="shared" si="1"/>
        <v>DAVIDSON DAVID</v>
      </c>
    </row>
    <row r="86" spans="1:7" x14ac:dyDescent="0.25">
      <c r="A86" s="8">
        <v>42885.425416666665</v>
      </c>
      <c r="B86" s="20" t="s">
        <v>543</v>
      </c>
      <c r="C86" s="20" t="s">
        <v>741</v>
      </c>
      <c r="D86" s="141">
        <v>3090000</v>
      </c>
      <c r="E86" s="20" t="s">
        <v>385</v>
      </c>
      <c r="F86" s="20" t="s">
        <v>386</v>
      </c>
      <c r="G86" s="8" t="str">
        <f t="shared" si="1"/>
        <v>LAMAR NEKESHA</v>
      </c>
    </row>
    <row r="87" spans="1:7" x14ac:dyDescent="0.25">
      <c r="A87" s="8">
        <v>42885.425983796296</v>
      </c>
      <c r="B87" s="20" t="s">
        <v>542</v>
      </c>
      <c r="C87" s="20" t="s">
        <v>742</v>
      </c>
      <c r="D87" s="141">
        <v>2010000</v>
      </c>
      <c r="E87" s="20" t="s">
        <v>545</v>
      </c>
      <c r="F87" s="20" t="s">
        <v>546</v>
      </c>
      <c r="G87" s="8" t="str">
        <f t="shared" si="1"/>
        <v>MAELZER KURT</v>
      </c>
    </row>
    <row r="88" spans="1:7" x14ac:dyDescent="0.25">
      <c r="A88" s="8">
        <v>42885.426631944443</v>
      </c>
      <c r="B88" s="20" t="s">
        <v>410</v>
      </c>
      <c r="C88" s="20" t="s">
        <v>743</v>
      </c>
      <c r="D88" s="141">
        <v>2730000</v>
      </c>
      <c r="E88" s="20" t="s">
        <v>693</v>
      </c>
      <c r="F88" s="20" t="s">
        <v>694</v>
      </c>
      <c r="G88" s="8" t="str">
        <f t="shared" si="1"/>
        <v>YANG JAN</v>
      </c>
    </row>
    <row r="89" spans="1:7" x14ac:dyDescent="0.25">
      <c r="A89" s="8">
        <v>42885.433391203704</v>
      </c>
      <c r="B89" s="20" t="s">
        <v>451</v>
      </c>
      <c r="C89" s="20" t="s">
        <v>744</v>
      </c>
      <c r="D89" s="141">
        <v>2530000</v>
      </c>
      <c r="E89" s="20" t="s">
        <v>549</v>
      </c>
      <c r="F89" s="20" t="s">
        <v>550</v>
      </c>
      <c r="G89" s="8" t="str">
        <f t="shared" si="1"/>
        <v>LALONDE GREGORY</v>
      </c>
    </row>
    <row r="90" spans="1:7" x14ac:dyDescent="0.25">
      <c r="A90" s="8">
        <v>42885.435810185183</v>
      </c>
      <c r="B90" s="20" t="s">
        <v>516</v>
      </c>
      <c r="C90" s="20" t="s">
        <v>745</v>
      </c>
      <c r="D90" s="141">
        <v>890000</v>
      </c>
      <c r="E90" s="20" t="s">
        <v>456</v>
      </c>
      <c r="F90" s="20" t="s">
        <v>457</v>
      </c>
      <c r="G90" s="8" t="str">
        <f t="shared" si="1"/>
        <v>LOZA FIDEL</v>
      </c>
    </row>
    <row r="91" spans="1:7" x14ac:dyDescent="0.25">
      <c r="A91" s="8">
        <v>42885.442847222221</v>
      </c>
      <c r="B91" s="20" t="s">
        <v>409</v>
      </c>
      <c r="C91" s="20" t="s">
        <v>746</v>
      </c>
      <c r="D91" s="141">
        <v>2730000</v>
      </c>
      <c r="E91" s="20" t="s">
        <v>693</v>
      </c>
      <c r="F91" s="20" t="s">
        <v>694</v>
      </c>
      <c r="G91" s="8" t="str">
        <f t="shared" si="1"/>
        <v>YANG JAN</v>
      </c>
    </row>
    <row r="92" spans="1:7" x14ac:dyDescent="0.25">
      <c r="A92" s="8">
        <v>42885.445729166669</v>
      </c>
      <c r="B92" s="20" t="s">
        <v>474</v>
      </c>
      <c r="C92" s="20" t="s">
        <v>747</v>
      </c>
      <c r="D92" s="141">
        <v>920000</v>
      </c>
      <c r="E92" s="20" t="s">
        <v>435</v>
      </c>
      <c r="F92" s="20" t="s">
        <v>194</v>
      </c>
      <c r="G92" s="8" t="str">
        <f t="shared" si="1"/>
        <v>DAVIS MICHAEL</v>
      </c>
    </row>
    <row r="93" spans="1:7" x14ac:dyDescent="0.25">
      <c r="A93" s="8">
        <v>42885.454108796293</v>
      </c>
      <c r="B93" s="20" t="s">
        <v>675</v>
      </c>
      <c r="C93" s="20" t="s">
        <v>748</v>
      </c>
      <c r="D93" s="141">
        <v>2560000</v>
      </c>
      <c r="E93" s="20" t="s">
        <v>553</v>
      </c>
      <c r="F93" s="20" t="s">
        <v>374</v>
      </c>
      <c r="G93" s="8" t="str">
        <f t="shared" si="1"/>
        <v>MACDONALD THOMAS</v>
      </c>
    </row>
    <row r="94" spans="1:7" x14ac:dyDescent="0.25">
      <c r="A94" s="8">
        <v>42885.454618055555</v>
      </c>
      <c r="B94" s="20" t="s">
        <v>544</v>
      </c>
      <c r="C94" s="20" t="s">
        <v>749</v>
      </c>
      <c r="D94" s="141">
        <v>2600000</v>
      </c>
      <c r="E94" s="20" t="s">
        <v>551</v>
      </c>
      <c r="F94" s="20" t="s">
        <v>552</v>
      </c>
      <c r="G94" s="8" t="str">
        <f t="shared" si="1"/>
        <v>DAVIDSON DAVID</v>
      </c>
    </row>
    <row r="95" spans="1:7" x14ac:dyDescent="0.25">
      <c r="A95" s="8">
        <v>42885.464328703703</v>
      </c>
      <c r="B95" s="20" t="s">
        <v>506</v>
      </c>
      <c r="C95" s="20" t="s">
        <v>644</v>
      </c>
      <c r="D95" s="141">
        <v>3090000</v>
      </c>
      <c r="E95" s="20" t="s">
        <v>385</v>
      </c>
      <c r="F95" s="20" t="s">
        <v>386</v>
      </c>
      <c r="G95" s="8" t="str">
        <f t="shared" si="1"/>
        <v>LAMAR NEKESHA</v>
      </c>
    </row>
    <row r="96" spans="1:7" x14ac:dyDescent="0.25">
      <c r="A96" s="8">
        <v>42885.466238425928</v>
      </c>
      <c r="B96" s="20" t="s">
        <v>508</v>
      </c>
      <c r="C96" s="20" t="s">
        <v>646</v>
      </c>
      <c r="D96" s="141">
        <v>880000</v>
      </c>
      <c r="E96" s="20" t="s">
        <v>750</v>
      </c>
      <c r="F96" s="20" t="s">
        <v>194</v>
      </c>
      <c r="G96" s="8" t="str">
        <f t="shared" si="1"/>
        <v>STEWART MICHAEL</v>
      </c>
    </row>
    <row r="97" spans="1:7" x14ac:dyDescent="0.25">
      <c r="A97" s="8">
        <v>42885.471238425926</v>
      </c>
      <c r="B97" s="20" t="s">
        <v>410</v>
      </c>
      <c r="C97" s="20" t="s">
        <v>751</v>
      </c>
      <c r="D97" s="141">
        <v>3030000</v>
      </c>
      <c r="E97" s="20" t="s">
        <v>391</v>
      </c>
      <c r="F97" s="20" t="s">
        <v>374</v>
      </c>
      <c r="G97" s="8" t="str">
        <f t="shared" si="1"/>
        <v>BIRENBAUM THOMAS</v>
      </c>
    </row>
    <row r="98" spans="1:7" x14ac:dyDescent="0.25">
      <c r="A98" s="8">
        <v>42885.471516203703</v>
      </c>
      <c r="B98" s="20" t="s">
        <v>515</v>
      </c>
      <c r="C98" s="20" t="s">
        <v>752</v>
      </c>
      <c r="D98" s="141">
        <v>890000</v>
      </c>
      <c r="E98" s="20" t="s">
        <v>456</v>
      </c>
      <c r="F98" s="20" t="s">
        <v>457</v>
      </c>
      <c r="G98" s="8" t="str">
        <f t="shared" si="1"/>
        <v>LOZA FIDEL</v>
      </c>
    </row>
    <row r="99" spans="1:7" x14ac:dyDescent="0.25">
      <c r="A99" s="8">
        <v>42885.475613425922</v>
      </c>
      <c r="B99" s="20" t="s">
        <v>430</v>
      </c>
      <c r="C99" s="20" t="s">
        <v>753</v>
      </c>
      <c r="D99" s="141">
        <v>930000</v>
      </c>
      <c r="E99" s="20" t="s">
        <v>411</v>
      </c>
      <c r="F99" s="20" t="s">
        <v>412</v>
      </c>
      <c r="G99" s="8" t="str">
        <f t="shared" si="1"/>
        <v>CLARK KATHLEEN</v>
      </c>
    </row>
    <row r="100" spans="1:7" x14ac:dyDescent="0.25">
      <c r="A100" s="8">
        <v>42885.484189814815</v>
      </c>
      <c r="B100" s="20" t="s">
        <v>409</v>
      </c>
      <c r="C100" s="20" t="s">
        <v>648</v>
      </c>
      <c r="D100" s="141">
        <v>3030000</v>
      </c>
      <c r="E100" s="20" t="s">
        <v>391</v>
      </c>
      <c r="F100" s="20" t="s">
        <v>374</v>
      </c>
      <c r="G100" s="8" t="str">
        <f t="shared" si="1"/>
        <v>BIRENBAUM THOMAS</v>
      </c>
    </row>
    <row r="101" spans="1:7" x14ac:dyDescent="0.25">
      <c r="A101" s="8">
        <v>42885.486168981479</v>
      </c>
      <c r="B101" s="20" t="s">
        <v>472</v>
      </c>
      <c r="C101" s="20" t="s">
        <v>754</v>
      </c>
      <c r="D101" s="141">
        <v>920000</v>
      </c>
      <c r="E101" s="20" t="s">
        <v>435</v>
      </c>
      <c r="F101" s="20" t="s">
        <v>194</v>
      </c>
      <c r="G101" s="8" t="str">
        <f t="shared" si="1"/>
        <v>DAVIS MICHAEL</v>
      </c>
    </row>
    <row r="102" spans="1:7" x14ac:dyDescent="0.25">
      <c r="A102" s="8">
        <v>42885.486284722225</v>
      </c>
      <c r="B102" s="20" t="s">
        <v>409</v>
      </c>
      <c r="C102" s="20" t="s">
        <v>755</v>
      </c>
      <c r="D102" s="141">
        <v>3030000</v>
      </c>
      <c r="E102" s="20" t="s">
        <v>391</v>
      </c>
      <c r="F102" s="20" t="s">
        <v>374</v>
      </c>
      <c r="G102" s="8" t="str">
        <f t="shared" si="1"/>
        <v>BIRENBAUM THOMAS</v>
      </c>
    </row>
    <row r="103" spans="1:7" x14ac:dyDescent="0.25">
      <c r="A103" s="8">
        <v>42885.489027777781</v>
      </c>
      <c r="B103" s="20" t="s">
        <v>685</v>
      </c>
      <c r="C103" s="20" t="s">
        <v>756</v>
      </c>
      <c r="D103" s="141">
        <v>2600000</v>
      </c>
      <c r="E103" s="20" t="s">
        <v>551</v>
      </c>
      <c r="F103" s="20" t="s">
        <v>552</v>
      </c>
      <c r="G103" s="8" t="str">
        <f t="shared" si="1"/>
        <v>DAVIDSON DAVID</v>
      </c>
    </row>
    <row r="104" spans="1:7" x14ac:dyDescent="0.25">
      <c r="A104" s="8">
        <v>42885.490081018521</v>
      </c>
      <c r="B104" s="20" t="s">
        <v>413</v>
      </c>
      <c r="C104" s="20" t="s">
        <v>645</v>
      </c>
      <c r="D104" s="141">
        <v>1300000</v>
      </c>
      <c r="E104" s="20" t="s">
        <v>460</v>
      </c>
      <c r="F104" s="20" t="s">
        <v>461</v>
      </c>
      <c r="G104" s="8" t="str">
        <f t="shared" si="1"/>
        <v>LEVIN SCOTT</v>
      </c>
    </row>
    <row r="105" spans="1:7" x14ac:dyDescent="0.25">
      <c r="A105" s="8">
        <v>42885.49560185185</v>
      </c>
      <c r="B105" s="20" t="s">
        <v>413</v>
      </c>
      <c r="C105" s="20" t="s">
        <v>645</v>
      </c>
      <c r="D105" s="141">
        <v>1300000</v>
      </c>
      <c r="E105" s="20" t="s">
        <v>460</v>
      </c>
      <c r="F105" s="20" t="s">
        <v>461</v>
      </c>
      <c r="G105" s="8" t="str">
        <f t="shared" si="1"/>
        <v>LEVIN SCOTT</v>
      </c>
    </row>
    <row r="106" spans="1:7" x14ac:dyDescent="0.25">
      <c r="A106" s="8">
        <v>42885.497997685183</v>
      </c>
      <c r="B106" s="20" t="s">
        <v>505</v>
      </c>
      <c r="C106" s="20" t="s">
        <v>647</v>
      </c>
      <c r="D106" s="141">
        <v>3130000</v>
      </c>
      <c r="E106" s="20" t="s">
        <v>394</v>
      </c>
      <c r="F106" s="20" t="s">
        <v>395</v>
      </c>
      <c r="G106" s="8" t="str">
        <f t="shared" si="1"/>
        <v>ZEWDU DEREJE</v>
      </c>
    </row>
    <row r="107" spans="1:7" x14ac:dyDescent="0.25">
      <c r="A107" s="8">
        <v>42885.501770833333</v>
      </c>
      <c r="B107" s="20" t="s">
        <v>543</v>
      </c>
      <c r="C107" s="20" t="s">
        <v>757</v>
      </c>
      <c r="D107" s="141">
        <v>1180000</v>
      </c>
      <c r="E107" s="20" t="s">
        <v>458</v>
      </c>
      <c r="F107" s="20" t="s">
        <v>459</v>
      </c>
      <c r="G107" s="8" t="str">
        <f t="shared" si="1"/>
        <v>LEVERE CRAIG</v>
      </c>
    </row>
    <row r="108" spans="1:7" x14ac:dyDescent="0.25">
      <c r="A108" s="8">
        <v>42885.506157407406</v>
      </c>
      <c r="B108" s="20" t="s">
        <v>542</v>
      </c>
      <c r="C108" s="20" t="s">
        <v>758</v>
      </c>
      <c r="D108" s="141">
        <v>880000</v>
      </c>
      <c r="E108" s="20" t="s">
        <v>750</v>
      </c>
      <c r="F108" s="20" t="s">
        <v>194</v>
      </c>
      <c r="G108" s="8" t="str">
        <f t="shared" si="1"/>
        <v>STEWART MICHAEL</v>
      </c>
    </row>
    <row r="109" spans="1:7" x14ac:dyDescent="0.25">
      <c r="A109" s="8">
        <v>42885.509155092594</v>
      </c>
      <c r="B109" s="20" t="s">
        <v>410</v>
      </c>
      <c r="C109" s="20" t="s">
        <v>648</v>
      </c>
      <c r="D109" s="141">
        <v>2730000</v>
      </c>
      <c r="E109" s="20" t="s">
        <v>693</v>
      </c>
      <c r="F109" s="20" t="s">
        <v>694</v>
      </c>
      <c r="G109" s="8" t="str">
        <f t="shared" si="1"/>
        <v>YANG JAN</v>
      </c>
    </row>
    <row r="110" spans="1:7" x14ac:dyDescent="0.25">
      <c r="A110" s="8">
        <v>42885.510254629633</v>
      </c>
      <c r="B110" s="20" t="s">
        <v>516</v>
      </c>
      <c r="C110" s="20" t="s">
        <v>759</v>
      </c>
      <c r="D110" s="141">
        <v>3130000</v>
      </c>
      <c r="E110" s="20" t="s">
        <v>394</v>
      </c>
      <c r="F110" s="20" t="s">
        <v>395</v>
      </c>
      <c r="G110" s="8" t="str">
        <f t="shared" si="1"/>
        <v>ZEWDU DEREJE</v>
      </c>
    </row>
    <row r="111" spans="1:7" x14ac:dyDescent="0.25">
      <c r="A111" s="8">
        <v>42885.515081018515</v>
      </c>
      <c r="B111" s="20" t="s">
        <v>451</v>
      </c>
      <c r="C111" s="20" t="s">
        <v>760</v>
      </c>
      <c r="D111" s="141">
        <v>930000</v>
      </c>
      <c r="E111" s="20" t="s">
        <v>411</v>
      </c>
      <c r="F111" s="20" t="s">
        <v>412</v>
      </c>
      <c r="G111" s="8" t="str">
        <f t="shared" si="1"/>
        <v>CLARK KATHLEEN</v>
      </c>
    </row>
    <row r="112" spans="1:7" x14ac:dyDescent="0.25">
      <c r="A112" s="8">
        <v>42885.516944444447</v>
      </c>
      <c r="B112" s="20" t="s">
        <v>507</v>
      </c>
      <c r="C112" s="20" t="s">
        <v>761</v>
      </c>
      <c r="D112" s="141">
        <v>890000</v>
      </c>
      <c r="E112" s="20" t="s">
        <v>456</v>
      </c>
      <c r="F112" s="20" t="s">
        <v>457</v>
      </c>
      <c r="G112" s="8" t="str">
        <f t="shared" si="1"/>
        <v>LOZA FIDEL</v>
      </c>
    </row>
    <row r="113" spans="1:7" x14ac:dyDescent="0.25">
      <c r="A113" s="8">
        <v>42885.520636574074</v>
      </c>
      <c r="B113" s="20" t="s">
        <v>474</v>
      </c>
      <c r="C113" s="20" t="s">
        <v>649</v>
      </c>
      <c r="D113" s="141">
        <v>920000</v>
      </c>
      <c r="E113" s="20" t="s">
        <v>435</v>
      </c>
      <c r="F113" s="20" t="s">
        <v>194</v>
      </c>
      <c r="G113" s="8" t="str">
        <f t="shared" si="1"/>
        <v>DAVIS MICHAEL</v>
      </c>
    </row>
    <row r="114" spans="1:7" x14ac:dyDescent="0.25">
      <c r="A114" s="8">
        <v>42885.526377314818</v>
      </c>
      <c r="B114" s="20" t="s">
        <v>409</v>
      </c>
      <c r="C114" s="20" t="s">
        <v>762</v>
      </c>
      <c r="D114" s="141">
        <v>2730000</v>
      </c>
      <c r="E114" s="20" t="s">
        <v>693</v>
      </c>
      <c r="F114" s="20" t="s">
        <v>694</v>
      </c>
      <c r="G114" s="8" t="str">
        <f t="shared" si="1"/>
        <v>YANG JAN</v>
      </c>
    </row>
    <row r="115" spans="1:7" x14ac:dyDescent="0.25">
      <c r="A115" s="8">
        <v>42885.527916666666</v>
      </c>
      <c r="B115" s="20" t="s">
        <v>675</v>
      </c>
      <c r="C115" s="20" t="s">
        <v>763</v>
      </c>
      <c r="D115" s="141">
        <v>1300000</v>
      </c>
      <c r="E115" s="20" t="s">
        <v>460</v>
      </c>
      <c r="F115" s="20" t="s">
        <v>461</v>
      </c>
      <c r="G115" s="8" t="str">
        <f t="shared" si="1"/>
        <v>LEVIN SCOTT</v>
      </c>
    </row>
    <row r="116" spans="1:7" x14ac:dyDescent="0.25">
      <c r="A116" s="8">
        <v>42885.531747685185</v>
      </c>
      <c r="B116" s="20" t="s">
        <v>544</v>
      </c>
      <c r="C116" s="20" t="s">
        <v>764</v>
      </c>
      <c r="D116" s="141">
        <v>2540000</v>
      </c>
      <c r="E116" s="20" t="s">
        <v>558</v>
      </c>
      <c r="F116" s="20" t="s">
        <v>559</v>
      </c>
      <c r="G116" s="8" t="str">
        <f t="shared" si="1"/>
        <v>MCREYNOLDS KYLE</v>
      </c>
    </row>
    <row r="117" spans="1:7" x14ac:dyDescent="0.25">
      <c r="A117" s="8">
        <v>42885.537291666667</v>
      </c>
      <c r="B117" s="20" t="s">
        <v>506</v>
      </c>
      <c r="C117" s="20" t="s">
        <v>765</v>
      </c>
      <c r="D117" s="141">
        <v>1180000</v>
      </c>
      <c r="E117" s="20" t="s">
        <v>458</v>
      </c>
      <c r="F117" s="20" t="s">
        <v>459</v>
      </c>
      <c r="G117" s="8" t="str">
        <f t="shared" si="1"/>
        <v>LEVERE CRAIG</v>
      </c>
    </row>
    <row r="118" spans="1:7" x14ac:dyDescent="0.25">
      <c r="A118" s="8">
        <v>42885.543425925927</v>
      </c>
      <c r="B118" s="20" t="s">
        <v>508</v>
      </c>
      <c r="C118" s="20" t="s">
        <v>766</v>
      </c>
      <c r="D118" s="141">
        <v>1740000</v>
      </c>
      <c r="E118" s="20" t="s">
        <v>510</v>
      </c>
      <c r="F118" s="20" t="s">
        <v>511</v>
      </c>
      <c r="G118" s="8" t="str">
        <f t="shared" si="1"/>
        <v>STORY SAMANTHA</v>
      </c>
    </row>
    <row r="119" spans="1:7" x14ac:dyDescent="0.25">
      <c r="A119" s="8">
        <v>42885.546851851854</v>
      </c>
      <c r="B119" s="20" t="s">
        <v>410</v>
      </c>
      <c r="C119" s="20" t="s">
        <v>767</v>
      </c>
      <c r="D119" s="141">
        <v>1770000</v>
      </c>
      <c r="E119" s="20" t="s">
        <v>768</v>
      </c>
      <c r="F119" s="20" t="s">
        <v>769</v>
      </c>
      <c r="G119" s="8" t="str">
        <f t="shared" si="1"/>
        <v>BRUDER RICHARD</v>
      </c>
    </row>
    <row r="120" spans="1:7" x14ac:dyDescent="0.25">
      <c r="A120" s="8">
        <v>42885.54896990741</v>
      </c>
      <c r="B120" s="20" t="s">
        <v>515</v>
      </c>
      <c r="C120" s="20" t="s">
        <v>770</v>
      </c>
      <c r="D120" s="141">
        <v>3130000</v>
      </c>
      <c r="E120" s="20" t="s">
        <v>394</v>
      </c>
      <c r="F120" s="20" t="s">
        <v>395</v>
      </c>
      <c r="G120" s="8" t="str">
        <f t="shared" si="1"/>
        <v>ZEWDU DEREJE</v>
      </c>
    </row>
    <row r="121" spans="1:7" x14ac:dyDescent="0.25">
      <c r="A121" s="8">
        <v>42885.550567129627</v>
      </c>
      <c r="B121" s="20" t="s">
        <v>430</v>
      </c>
      <c r="C121" s="20" t="s">
        <v>771</v>
      </c>
      <c r="D121" s="141">
        <v>930000</v>
      </c>
      <c r="E121" s="20" t="s">
        <v>411</v>
      </c>
      <c r="F121" s="20" t="s">
        <v>412</v>
      </c>
      <c r="G121" s="8" t="str">
        <f t="shared" si="1"/>
        <v>CLARK KATHLEEN</v>
      </c>
    </row>
    <row r="122" spans="1:7" x14ac:dyDescent="0.25">
      <c r="A122" s="8">
        <v>42885.551030092596</v>
      </c>
      <c r="B122" s="25" t="s">
        <v>410</v>
      </c>
      <c r="C122" s="20" t="s">
        <v>767</v>
      </c>
      <c r="D122" s="141">
        <v>1810000</v>
      </c>
      <c r="E122" s="20" t="s">
        <v>375</v>
      </c>
      <c r="F122" s="20" t="s">
        <v>191</v>
      </c>
      <c r="G122" s="8" t="str">
        <f t="shared" si="1"/>
        <v>NEWELL JAMES</v>
      </c>
    </row>
    <row r="123" spans="1:7" x14ac:dyDescent="0.25">
      <c r="A123" s="8">
        <v>42885.560659722221</v>
      </c>
      <c r="B123" s="20" t="s">
        <v>413</v>
      </c>
      <c r="C123" s="20" t="s">
        <v>650</v>
      </c>
      <c r="D123" s="141">
        <v>1300000</v>
      </c>
      <c r="E123" s="20" t="s">
        <v>460</v>
      </c>
      <c r="F123" s="20" t="s">
        <v>461</v>
      </c>
      <c r="G123" s="8" t="str">
        <f t="shared" si="1"/>
        <v>LEVIN SCOTT</v>
      </c>
    </row>
    <row r="124" spans="1:7" x14ac:dyDescent="0.25">
      <c r="A124" s="8">
        <v>42885.562106481484</v>
      </c>
      <c r="B124" s="20" t="s">
        <v>472</v>
      </c>
      <c r="C124" s="20" t="s">
        <v>772</v>
      </c>
      <c r="D124" s="141">
        <v>920000</v>
      </c>
      <c r="E124" s="20" t="s">
        <v>435</v>
      </c>
      <c r="F124" s="20" t="s">
        <v>194</v>
      </c>
      <c r="G124" s="8" t="str">
        <f t="shared" si="1"/>
        <v>DAVIS MICHAEL</v>
      </c>
    </row>
    <row r="125" spans="1:7" x14ac:dyDescent="0.25">
      <c r="A125" s="8">
        <v>42885.56689814815</v>
      </c>
      <c r="B125" s="20" t="s">
        <v>409</v>
      </c>
      <c r="C125" s="20" t="s">
        <v>773</v>
      </c>
      <c r="D125" s="141">
        <v>1810000</v>
      </c>
      <c r="E125" s="20" t="s">
        <v>375</v>
      </c>
      <c r="F125" s="20" t="s">
        <v>191</v>
      </c>
      <c r="G125" s="8" t="str">
        <f t="shared" si="1"/>
        <v>NEWELL JAMES</v>
      </c>
    </row>
    <row r="126" spans="1:7" x14ac:dyDescent="0.25">
      <c r="A126" s="8">
        <v>42885.567384259259</v>
      </c>
      <c r="B126" s="20" t="s">
        <v>685</v>
      </c>
      <c r="C126" s="20" t="s">
        <v>774</v>
      </c>
      <c r="D126" s="141">
        <v>2540000</v>
      </c>
      <c r="E126" s="20" t="s">
        <v>558</v>
      </c>
      <c r="F126" s="20" t="s">
        <v>559</v>
      </c>
      <c r="G126" s="8" t="str">
        <f t="shared" si="1"/>
        <v>MCREYNOLDS KYLE</v>
      </c>
    </row>
    <row r="127" spans="1:7" x14ac:dyDescent="0.25">
      <c r="A127" s="8">
        <v>42885.571226851855</v>
      </c>
      <c r="B127" s="20" t="s">
        <v>543</v>
      </c>
      <c r="C127" s="20" t="s">
        <v>775</v>
      </c>
      <c r="D127" s="141">
        <v>1180000</v>
      </c>
      <c r="E127" s="20" t="s">
        <v>458</v>
      </c>
      <c r="F127" s="20" t="s">
        <v>459</v>
      </c>
      <c r="G127" s="8" t="str">
        <f t="shared" si="1"/>
        <v>LEVERE CRAIG</v>
      </c>
    </row>
    <row r="128" spans="1:7" x14ac:dyDescent="0.25">
      <c r="A128" s="8">
        <v>42885.573888888888</v>
      </c>
      <c r="B128" s="20" t="s">
        <v>542</v>
      </c>
      <c r="C128" s="20" t="s">
        <v>776</v>
      </c>
      <c r="D128" s="141">
        <v>1740000</v>
      </c>
      <c r="E128" s="20" t="s">
        <v>510</v>
      </c>
      <c r="F128" s="20" t="s">
        <v>511</v>
      </c>
      <c r="G128" s="8" t="str">
        <f t="shared" si="1"/>
        <v>STORY SAMANTHA</v>
      </c>
    </row>
    <row r="129" spans="1:7" x14ac:dyDescent="0.25">
      <c r="A129" s="8">
        <v>42885.581608796296</v>
      </c>
      <c r="B129" s="20" t="s">
        <v>516</v>
      </c>
      <c r="C129" s="20" t="s">
        <v>777</v>
      </c>
      <c r="D129" s="141">
        <v>3130000</v>
      </c>
      <c r="E129" s="20" t="s">
        <v>394</v>
      </c>
      <c r="F129" s="20" t="s">
        <v>395</v>
      </c>
      <c r="G129" s="8" t="str">
        <f t="shared" si="1"/>
        <v>ZEWDU DEREJE</v>
      </c>
    </row>
    <row r="130" spans="1:7" x14ac:dyDescent="0.25">
      <c r="A130" s="8">
        <v>42885.586909722224</v>
      </c>
      <c r="B130" s="20" t="s">
        <v>451</v>
      </c>
      <c r="C130" s="20" t="s">
        <v>778</v>
      </c>
      <c r="D130" s="141">
        <v>930000</v>
      </c>
      <c r="E130" s="20" t="s">
        <v>411</v>
      </c>
      <c r="F130" s="20" t="s">
        <v>412</v>
      </c>
      <c r="G130" s="8" t="str">
        <f t="shared" si="1"/>
        <v>CLARK KATHLEEN</v>
      </c>
    </row>
    <row r="131" spans="1:7" x14ac:dyDescent="0.25">
      <c r="A131" s="8">
        <v>42885.593541666669</v>
      </c>
      <c r="B131" s="20" t="s">
        <v>474</v>
      </c>
      <c r="C131" s="20" t="s">
        <v>651</v>
      </c>
      <c r="D131" s="141">
        <v>1800000</v>
      </c>
      <c r="E131" s="20" t="s">
        <v>387</v>
      </c>
      <c r="F131" s="20" t="s">
        <v>388</v>
      </c>
      <c r="G131" s="8" t="str">
        <f t="shared" ref="G131:G194" si="2">E131&amp;" "&amp;F131</f>
        <v>CHANDLER KELVIN</v>
      </c>
    </row>
    <row r="132" spans="1:7" x14ac:dyDescent="0.25">
      <c r="A132" s="8">
        <v>42885.594618055555</v>
      </c>
      <c r="B132" s="20" t="s">
        <v>410</v>
      </c>
      <c r="C132" s="20" t="s">
        <v>779</v>
      </c>
      <c r="D132" s="141">
        <v>1770000</v>
      </c>
      <c r="E132" s="20" t="s">
        <v>768</v>
      </c>
      <c r="F132" s="20" t="s">
        <v>769</v>
      </c>
      <c r="G132" s="8" t="str">
        <f t="shared" si="2"/>
        <v>BRUDER RICHARD</v>
      </c>
    </row>
    <row r="133" spans="1:7" x14ac:dyDescent="0.25">
      <c r="A133" s="8">
        <v>42885.598344907405</v>
      </c>
      <c r="B133" s="20" t="s">
        <v>675</v>
      </c>
      <c r="C133" s="20" t="s">
        <v>780</v>
      </c>
      <c r="D133" s="141">
        <v>1300000</v>
      </c>
      <c r="E133" s="20" t="s">
        <v>460</v>
      </c>
      <c r="F133" s="20" t="s">
        <v>461</v>
      </c>
      <c r="G133" s="8" t="str">
        <f t="shared" si="2"/>
        <v>LEVIN SCOTT</v>
      </c>
    </row>
    <row r="134" spans="1:7" x14ac:dyDescent="0.25">
      <c r="A134" s="8">
        <v>42885.599502314813</v>
      </c>
      <c r="B134" s="20" t="s">
        <v>544</v>
      </c>
      <c r="C134" s="20" t="s">
        <v>781</v>
      </c>
      <c r="D134" s="141">
        <v>2540000</v>
      </c>
      <c r="E134" s="20" t="s">
        <v>558</v>
      </c>
      <c r="F134" s="20" t="s">
        <v>559</v>
      </c>
      <c r="G134" s="8" t="str">
        <f t="shared" si="2"/>
        <v>MCREYNOLDS KYLE</v>
      </c>
    </row>
    <row r="135" spans="1:7" x14ac:dyDescent="0.25">
      <c r="A135" s="8">
        <v>42885.608310185184</v>
      </c>
      <c r="B135" s="20" t="s">
        <v>506</v>
      </c>
      <c r="C135" s="20" t="s">
        <v>782</v>
      </c>
      <c r="D135" s="141">
        <v>1180000</v>
      </c>
      <c r="E135" s="20" t="s">
        <v>458</v>
      </c>
      <c r="F135" s="20" t="s">
        <v>459</v>
      </c>
      <c r="G135" s="8" t="str">
        <f t="shared" si="2"/>
        <v>LEVERE CRAIG</v>
      </c>
    </row>
    <row r="136" spans="1:7" x14ac:dyDescent="0.25">
      <c r="A136" s="8">
        <v>42885.608784722222</v>
      </c>
      <c r="B136" s="20" t="s">
        <v>409</v>
      </c>
      <c r="C136" s="20" t="s">
        <v>783</v>
      </c>
      <c r="D136" s="141">
        <v>1770000</v>
      </c>
      <c r="E136" s="20" t="s">
        <v>768</v>
      </c>
      <c r="F136" s="20" t="s">
        <v>769</v>
      </c>
      <c r="G136" s="8" t="str">
        <f t="shared" si="2"/>
        <v>BRUDER RICHARD</v>
      </c>
    </row>
    <row r="137" spans="1:7" x14ac:dyDescent="0.25">
      <c r="A137" s="8">
        <v>42885.610162037039</v>
      </c>
      <c r="B137" s="20" t="s">
        <v>508</v>
      </c>
      <c r="C137" s="20" t="s">
        <v>784</v>
      </c>
      <c r="D137" s="141">
        <v>1360000</v>
      </c>
      <c r="E137" s="20" t="s">
        <v>554</v>
      </c>
      <c r="F137" s="20" t="s">
        <v>555</v>
      </c>
      <c r="G137" s="8" t="str">
        <f t="shared" si="2"/>
        <v>SANTIZO D. EDY</v>
      </c>
    </row>
    <row r="138" spans="1:7" x14ac:dyDescent="0.25">
      <c r="A138" s="8">
        <v>42885.613935185182</v>
      </c>
      <c r="B138" s="20" t="s">
        <v>515</v>
      </c>
      <c r="C138" s="20" t="s">
        <v>785</v>
      </c>
      <c r="D138" s="141">
        <v>3130000</v>
      </c>
      <c r="E138" s="20" t="s">
        <v>394</v>
      </c>
      <c r="F138" s="20" t="s">
        <v>395</v>
      </c>
      <c r="G138" s="8" t="str">
        <f t="shared" si="2"/>
        <v>ZEWDU DEREJE</v>
      </c>
    </row>
    <row r="139" spans="1:7" x14ac:dyDescent="0.25">
      <c r="A139" s="8">
        <v>42885.622210648151</v>
      </c>
      <c r="B139" s="20" t="s">
        <v>430</v>
      </c>
      <c r="C139" s="20" t="s">
        <v>786</v>
      </c>
      <c r="D139" s="141">
        <v>1740000</v>
      </c>
      <c r="E139" s="20" t="s">
        <v>510</v>
      </c>
      <c r="F139" s="20" t="s">
        <v>511</v>
      </c>
      <c r="G139" s="8" t="str">
        <f t="shared" si="2"/>
        <v>STORY SAMANTHA</v>
      </c>
    </row>
    <row r="140" spans="1:7" x14ac:dyDescent="0.25">
      <c r="A140" s="8">
        <v>42885.63077546296</v>
      </c>
      <c r="B140" s="20" t="s">
        <v>472</v>
      </c>
      <c r="C140" s="20" t="s">
        <v>787</v>
      </c>
      <c r="D140" s="141">
        <v>1800000</v>
      </c>
      <c r="E140" s="20" t="s">
        <v>387</v>
      </c>
      <c r="F140" s="20" t="s">
        <v>388</v>
      </c>
      <c r="G140" s="8" t="str">
        <f t="shared" si="2"/>
        <v>CHANDLER KELVIN</v>
      </c>
    </row>
    <row r="141" spans="1:7" x14ac:dyDescent="0.25">
      <c r="A141" s="8">
        <v>42885.631076388891</v>
      </c>
      <c r="B141" s="20" t="s">
        <v>685</v>
      </c>
      <c r="C141" s="20" t="s">
        <v>788</v>
      </c>
      <c r="D141" s="141">
        <v>2540000</v>
      </c>
      <c r="E141" s="20" t="s">
        <v>558</v>
      </c>
      <c r="F141" s="20" t="s">
        <v>559</v>
      </c>
      <c r="G141" s="8" t="str">
        <f t="shared" si="2"/>
        <v>MCREYNOLDS KYLE</v>
      </c>
    </row>
    <row r="142" spans="1:7" x14ac:dyDescent="0.25">
      <c r="A142" s="8">
        <v>42885.632349537038</v>
      </c>
      <c r="B142" s="20" t="s">
        <v>413</v>
      </c>
      <c r="C142" s="20" t="s">
        <v>789</v>
      </c>
      <c r="D142" s="141">
        <v>1300000</v>
      </c>
      <c r="E142" s="20" t="s">
        <v>460</v>
      </c>
      <c r="F142" s="20" t="s">
        <v>461</v>
      </c>
      <c r="G142" s="8" t="str">
        <f t="shared" si="2"/>
        <v>LEVIN SCOTT</v>
      </c>
    </row>
    <row r="143" spans="1:7" x14ac:dyDescent="0.25">
      <c r="A143" s="8">
        <v>42885.636701388888</v>
      </c>
      <c r="B143" s="20" t="s">
        <v>410</v>
      </c>
      <c r="C143" s="20" t="s">
        <v>790</v>
      </c>
      <c r="D143" s="141">
        <v>1770000</v>
      </c>
      <c r="E143" s="20" t="s">
        <v>768</v>
      </c>
      <c r="F143" s="20" t="s">
        <v>769</v>
      </c>
      <c r="G143" s="8" t="str">
        <f t="shared" si="2"/>
        <v>BRUDER RICHARD</v>
      </c>
    </row>
    <row r="144" spans="1:7" x14ac:dyDescent="0.25">
      <c r="A144" s="8">
        <v>42885.637199074074</v>
      </c>
      <c r="B144" s="20" t="s">
        <v>433</v>
      </c>
      <c r="C144" s="20" t="s">
        <v>791</v>
      </c>
      <c r="D144" s="141">
        <v>3120000</v>
      </c>
      <c r="E144" s="20" t="s">
        <v>560</v>
      </c>
      <c r="F144" s="20" t="s">
        <v>561</v>
      </c>
      <c r="G144" s="8" t="str">
        <f t="shared" si="2"/>
        <v>THOMPSON LESTER</v>
      </c>
    </row>
    <row r="145" spans="1:7" x14ac:dyDescent="0.25">
      <c r="A145" s="8">
        <v>42885.638078703705</v>
      </c>
      <c r="B145" s="20" t="s">
        <v>433</v>
      </c>
      <c r="C145" s="20" t="s">
        <v>791</v>
      </c>
      <c r="D145" s="141">
        <v>3120000</v>
      </c>
      <c r="E145" s="20" t="s">
        <v>560</v>
      </c>
      <c r="F145" s="20" t="s">
        <v>561</v>
      </c>
      <c r="G145" s="8" t="str">
        <f t="shared" si="2"/>
        <v>THOMPSON LESTER</v>
      </c>
    </row>
    <row r="146" spans="1:7" x14ac:dyDescent="0.25">
      <c r="A146" s="8">
        <v>42885.642523148148</v>
      </c>
      <c r="B146" s="20" t="s">
        <v>542</v>
      </c>
      <c r="C146" s="20" t="s">
        <v>792</v>
      </c>
      <c r="D146" s="141">
        <v>1360000</v>
      </c>
      <c r="E146" s="20" t="s">
        <v>554</v>
      </c>
      <c r="F146" s="20" t="s">
        <v>555</v>
      </c>
      <c r="G146" s="8" t="str">
        <f t="shared" si="2"/>
        <v>SANTIZO D. EDY</v>
      </c>
    </row>
    <row r="147" spans="1:7" x14ac:dyDescent="0.25">
      <c r="A147" s="8">
        <v>42885.644155092596</v>
      </c>
      <c r="B147" s="20" t="s">
        <v>543</v>
      </c>
      <c r="C147" s="20" t="s">
        <v>793</v>
      </c>
      <c r="D147" s="141">
        <v>1180000</v>
      </c>
      <c r="E147" s="20" t="s">
        <v>458</v>
      </c>
      <c r="F147" s="20" t="s">
        <v>459</v>
      </c>
      <c r="G147" s="8" t="str">
        <f t="shared" si="2"/>
        <v>LEVERE CRAIG</v>
      </c>
    </row>
    <row r="148" spans="1:7" x14ac:dyDescent="0.25">
      <c r="A148" s="8">
        <v>42885.650752314818</v>
      </c>
      <c r="B148" s="20" t="s">
        <v>409</v>
      </c>
      <c r="C148" s="20" t="s">
        <v>794</v>
      </c>
      <c r="D148" s="141">
        <v>1770000</v>
      </c>
      <c r="E148" s="20" t="s">
        <v>768</v>
      </c>
      <c r="F148" s="20" t="s">
        <v>769</v>
      </c>
      <c r="G148" s="8" t="str">
        <f t="shared" si="2"/>
        <v>BRUDER RICHARD</v>
      </c>
    </row>
    <row r="149" spans="1:7" x14ac:dyDescent="0.25">
      <c r="A149" s="8">
        <v>42885.653749999998</v>
      </c>
      <c r="B149" s="20" t="s">
        <v>516</v>
      </c>
      <c r="C149" s="20" t="s">
        <v>795</v>
      </c>
      <c r="D149" s="141">
        <v>3130000</v>
      </c>
      <c r="E149" s="20" t="s">
        <v>394</v>
      </c>
      <c r="F149" s="20" t="s">
        <v>395</v>
      </c>
      <c r="G149" s="8" t="str">
        <f t="shared" si="2"/>
        <v>ZEWDU DEREJE</v>
      </c>
    </row>
    <row r="150" spans="1:7" x14ac:dyDescent="0.25">
      <c r="A150" s="8">
        <v>42885.656701388885</v>
      </c>
      <c r="B150" s="20" t="s">
        <v>363</v>
      </c>
      <c r="C150" s="20" t="s">
        <v>652</v>
      </c>
      <c r="D150" s="141">
        <v>3120000</v>
      </c>
      <c r="E150" s="20" t="s">
        <v>560</v>
      </c>
      <c r="F150" s="20" t="s">
        <v>561</v>
      </c>
      <c r="G150" s="8" t="str">
        <f t="shared" si="2"/>
        <v>THOMPSON LESTER</v>
      </c>
    </row>
    <row r="151" spans="1:7" x14ac:dyDescent="0.25">
      <c r="A151" s="8">
        <v>42885.658310185187</v>
      </c>
      <c r="B151" s="20" t="s">
        <v>451</v>
      </c>
      <c r="C151" s="20" t="s">
        <v>796</v>
      </c>
      <c r="D151" s="141">
        <v>1740000</v>
      </c>
      <c r="E151" s="20" t="s">
        <v>510</v>
      </c>
      <c r="F151" s="20" t="s">
        <v>511</v>
      </c>
      <c r="G151" s="8" t="str">
        <f t="shared" si="2"/>
        <v>STORY SAMANTHA</v>
      </c>
    </row>
    <row r="152" spans="1:7" x14ac:dyDescent="0.25">
      <c r="A152" s="8">
        <v>42885.663599537038</v>
      </c>
      <c r="B152" s="20" t="s">
        <v>474</v>
      </c>
      <c r="C152" s="20" t="s">
        <v>797</v>
      </c>
      <c r="D152" s="141">
        <v>1800000</v>
      </c>
      <c r="E152" s="20" t="s">
        <v>387</v>
      </c>
      <c r="F152" s="20" t="s">
        <v>388</v>
      </c>
      <c r="G152" s="8" t="str">
        <f t="shared" si="2"/>
        <v>CHANDLER KELVIN</v>
      </c>
    </row>
    <row r="153" spans="1:7" x14ac:dyDescent="0.25">
      <c r="A153" s="8">
        <v>42885.671990740739</v>
      </c>
      <c r="B153" s="20" t="s">
        <v>675</v>
      </c>
      <c r="C153" s="20" t="s">
        <v>798</v>
      </c>
      <c r="D153" s="141">
        <v>1300000</v>
      </c>
      <c r="E153" s="20" t="s">
        <v>460</v>
      </c>
      <c r="F153" s="20" t="s">
        <v>461</v>
      </c>
      <c r="G153" s="8" t="str">
        <f t="shared" si="2"/>
        <v>LEVIN SCOTT</v>
      </c>
    </row>
    <row r="154" spans="1:7" x14ac:dyDescent="0.25">
      <c r="A154" s="8">
        <v>42885.672951388886</v>
      </c>
      <c r="B154" s="20" t="s">
        <v>544</v>
      </c>
      <c r="C154" s="20" t="s">
        <v>799</v>
      </c>
      <c r="D154" s="141">
        <v>2540000</v>
      </c>
      <c r="E154" s="20" t="s">
        <v>558</v>
      </c>
      <c r="F154" s="20" t="s">
        <v>559</v>
      </c>
      <c r="G154" s="8" t="str">
        <f t="shared" si="2"/>
        <v>MCREYNOLDS KYLE</v>
      </c>
    </row>
    <row r="155" spans="1:7" x14ac:dyDescent="0.25">
      <c r="A155" s="8">
        <v>42885.673171296294</v>
      </c>
      <c r="B155" s="20" t="s">
        <v>433</v>
      </c>
      <c r="C155" s="20" t="s">
        <v>653</v>
      </c>
      <c r="D155" s="141">
        <v>3120000</v>
      </c>
      <c r="E155" s="20" t="s">
        <v>560</v>
      </c>
      <c r="F155" s="20" t="s">
        <v>561</v>
      </c>
      <c r="G155" s="8" t="str">
        <f t="shared" si="2"/>
        <v>THOMPSON LESTER</v>
      </c>
    </row>
    <row r="156" spans="1:7" x14ac:dyDescent="0.25">
      <c r="A156" s="8">
        <v>42885.678252314814</v>
      </c>
      <c r="B156" s="20" t="s">
        <v>410</v>
      </c>
      <c r="C156" s="20" t="s">
        <v>800</v>
      </c>
      <c r="D156" s="141">
        <v>1770000</v>
      </c>
      <c r="E156" s="20" t="s">
        <v>768</v>
      </c>
      <c r="F156" s="20" t="s">
        <v>769</v>
      </c>
      <c r="G156" s="8" t="str">
        <f t="shared" si="2"/>
        <v>BRUDER RICHARD</v>
      </c>
    </row>
    <row r="157" spans="1:7" x14ac:dyDescent="0.25">
      <c r="A157" s="8">
        <v>42885.68109953704</v>
      </c>
      <c r="B157" s="20" t="s">
        <v>506</v>
      </c>
      <c r="C157" s="20" t="s">
        <v>801</v>
      </c>
      <c r="D157" s="141">
        <v>1180000</v>
      </c>
      <c r="E157" s="20" t="s">
        <v>458</v>
      </c>
      <c r="F157" s="20" t="s">
        <v>459</v>
      </c>
      <c r="G157" s="8" t="str">
        <f t="shared" si="2"/>
        <v>LEVERE CRAIG</v>
      </c>
    </row>
    <row r="158" spans="1:7" x14ac:dyDescent="0.25">
      <c r="A158" s="8">
        <v>42885.68440972222</v>
      </c>
      <c r="B158" s="20" t="s">
        <v>508</v>
      </c>
      <c r="C158" s="20" t="s">
        <v>802</v>
      </c>
      <c r="D158" s="141">
        <v>880000</v>
      </c>
      <c r="E158" s="20" t="s">
        <v>750</v>
      </c>
      <c r="F158" s="20" t="s">
        <v>194</v>
      </c>
      <c r="G158" s="8" t="str">
        <f t="shared" si="2"/>
        <v>STEWART MICHAEL</v>
      </c>
    </row>
    <row r="159" spans="1:7" x14ac:dyDescent="0.25">
      <c r="A159" s="8">
        <v>42885.685266203705</v>
      </c>
      <c r="B159" s="20" t="s">
        <v>515</v>
      </c>
      <c r="C159" s="20" t="s">
        <v>803</v>
      </c>
      <c r="D159" s="141">
        <v>3130000</v>
      </c>
      <c r="E159" s="20" t="s">
        <v>394</v>
      </c>
      <c r="F159" s="20" t="s">
        <v>395</v>
      </c>
      <c r="G159" s="8" t="str">
        <f t="shared" si="2"/>
        <v>ZEWDU DEREJE</v>
      </c>
    </row>
    <row r="160" spans="1:7" x14ac:dyDescent="0.25">
      <c r="A160" s="8">
        <v>42885.687210648146</v>
      </c>
      <c r="B160" s="20" t="s">
        <v>363</v>
      </c>
      <c r="C160" s="20" t="s">
        <v>804</v>
      </c>
      <c r="D160" s="141">
        <v>3120000</v>
      </c>
      <c r="E160" s="20" t="s">
        <v>560</v>
      </c>
      <c r="F160" s="20" t="s">
        <v>561</v>
      </c>
      <c r="G160" s="8" t="str">
        <f t="shared" si="2"/>
        <v>THOMPSON LESTER</v>
      </c>
    </row>
    <row r="161" spans="1:7" x14ac:dyDescent="0.25">
      <c r="A161" s="8">
        <v>42885.69222222222</v>
      </c>
      <c r="B161" s="20" t="s">
        <v>409</v>
      </c>
      <c r="C161" s="20" t="s">
        <v>805</v>
      </c>
      <c r="D161" s="141">
        <v>1770000</v>
      </c>
      <c r="E161" s="20" t="s">
        <v>768</v>
      </c>
      <c r="F161" s="20" t="s">
        <v>769</v>
      </c>
      <c r="G161" s="8" t="str">
        <f t="shared" si="2"/>
        <v>BRUDER RICHARD</v>
      </c>
    </row>
    <row r="162" spans="1:7" x14ac:dyDescent="0.25">
      <c r="A162" s="8">
        <v>42885.695509259262</v>
      </c>
      <c r="B162" s="20" t="s">
        <v>430</v>
      </c>
      <c r="C162" s="20" t="s">
        <v>806</v>
      </c>
      <c r="D162" s="141">
        <v>930000</v>
      </c>
      <c r="E162" s="20" t="s">
        <v>411</v>
      </c>
      <c r="F162" s="20" t="s">
        <v>412</v>
      </c>
      <c r="G162" s="8" t="str">
        <f t="shared" si="2"/>
        <v>CLARK KATHLEEN</v>
      </c>
    </row>
    <row r="163" spans="1:7" x14ac:dyDescent="0.25">
      <c r="A163" s="8">
        <v>42885.702453703707</v>
      </c>
      <c r="B163" s="20" t="s">
        <v>472</v>
      </c>
      <c r="C163" s="20" t="s">
        <v>807</v>
      </c>
      <c r="D163" s="141">
        <v>1800000</v>
      </c>
      <c r="E163" s="20" t="s">
        <v>387</v>
      </c>
      <c r="F163" s="20" t="s">
        <v>388</v>
      </c>
      <c r="G163" s="8" t="str">
        <f t="shared" si="2"/>
        <v>CHANDLER KELVIN</v>
      </c>
    </row>
    <row r="164" spans="1:7" x14ac:dyDescent="0.25">
      <c r="A164" s="8">
        <v>42885.705543981479</v>
      </c>
      <c r="B164" s="20" t="s">
        <v>413</v>
      </c>
      <c r="C164" s="20" t="s">
        <v>808</v>
      </c>
      <c r="D164" s="141">
        <v>1300000</v>
      </c>
      <c r="E164" s="20" t="s">
        <v>460</v>
      </c>
      <c r="F164" s="20" t="s">
        <v>461</v>
      </c>
      <c r="G164" s="8" t="str">
        <f t="shared" si="2"/>
        <v>LEVIN SCOTT</v>
      </c>
    </row>
    <row r="165" spans="1:7" x14ac:dyDescent="0.25">
      <c r="A165" s="8">
        <v>42885.709745370368</v>
      </c>
      <c r="B165" s="20" t="s">
        <v>666</v>
      </c>
      <c r="C165" s="20" t="s">
        <v>809</v>
      </c>
      <c r="D165" s="141">
        <v>1740000</v>
      </c>
      <c r="E165" s="20" t="s">
        <v>510</v>
      </c>
      <c r="F165" s="20" t="s">
        <v>511</v>
      </c>
      <c r="G165" s="8" t="str">
        <f t="shared" si="2"/>
        <v>STORY SAMANTHA</v>
      </c>
    </row>
    <row r="166" spans="1:7" x14ac:dyDescent="0.25">
      <c r="A166" s="8">
        <v>42885.710740740738</v>
      </c>
      <c r="B166" s="20" t="s">
        <v>685</v>
      </c>
      <c r="C166" s="20" t="s">
        <v>810</v>
      </c>
      <c r="D166" s="141">
        <v>2540000</v>
      </c>
      <c r="E166" s="20" t="s">
        <v>558</v>
      </c>
      <c r="F166" s="20" t="s">
        <v>559</v>
      </c>
      <c r="G166" s="8" t="str">
        <f t="shared" si="2"/>
        <v>MCREYNOLDS KYLE</v>
      </c>
    </row>
    <row r="167" spans="1:7" x14ac:dyDescent="0.25">
      <c r="A167" s="8">
        <v>42885.713136574072</v>
      </c>
      <c r="B167" s="20" t="s">
        <v>433</v>
      </c>
      <c r="C167" s="20" t="s">
        <v>811</v>
      </c>
      <c r="D167" s="141">
        <v>3120000</v>
      </c>
      <c r="E167" s="20" t="s">
        <v>560</v>
      </c>
      <c r="F167" s="20" t="s">
        <v>561</v>
      </c>
      <c r="G167" s="8" t="str">
        <f t="shared" si="2"/>
        <v>THOMPSON LESTER</v>
      </c>
    </row>
    <row r="168" spans="1:7" x14ac:dyDescent="0.25">
      <c r="A168" s="8">
        <v>42885.716446759259</v>
      </c>
      <c r="B168" s="20" t="s">
        <v>543</v>
      </c>
      <c r="C168" s="20" t="s">
        <v>655</v>
      </c>
      <c r="D168" s="141">
        <v>1180000</v>
      </c>
      <c r="E168" s="20" t="s">
        <v>458</v>
      </c>
      <c r="F168" s="20" t="s">
        <v>459</v>
      </c>
      <c r="G168" s="8" t="str">
        <f t="shared" si="2"/>
        <v>LEVERE CRAIG</v>
      </c>
    </row>
    <row r="169" spans="1:7" x14ac:dyDescent="0.25">
      <c r="A169" s="8">
        <v>42885.720011574071</v>
      </c>
      <c r="B169" s="20" t="s">
        <v>410</v>
      </c>
      <c r="C169" s="20" t="s">
        <v>654</v>
      </c>
      <c r="D169" s="141">
        <v>1770000</v>
      </c>
      <c r="E169" s="20" t="s">
        <v>768</v>
      </c>
      <c r="F169" s="20" t="s">
        <v>769</v>
      </c>
      <c r="G169" s="8" t="str">
        <f t="shared" si="2"/>
        <v>BRUDER RICHARD</v>
      </c>
    </row>
    <row r="170" spans="1:7" x14ac:dyDescent="0.25">
      <c r="A170" s="8">
        <v>42885.723298611112</v>
      </c>
      <c r="B170" s="20" t="s">
        <v>812</v>
      </c>
      <c r="C170" s="20" t="s">
        <v>813</v>
      </c>
      <c r="D170" s="141">
        <v>1810000</v>
      </c>
      <c r="E170" s="20" t="s">
        <v>375</v>
      </c>
      <c r="F170" s="20" t="s">
        <v>191</v>
      </c>
      <c r="G170" s="8" t="str">
        <f t="shared" si="2"/>
        <v>NEWELL JAMES</v>
      </c>
    </row>
    <row r="171" spans="1:7" x14ac:dyDescent="0.25">
      <c r="A171" s="8">
        <v>42885.724675925929</v>
      </c>
      <c r="B171" s="20" t="s">
        <v>542</v>
      </c>
      <c r="C171" s="20" t="s">
        <v>814</v>
      </c>
      <c r="D171" s="141">
        <v>880000</v>
      </c>
      <c r="E171" s="20" t="s">
        <v>750</v>
      </c>
      <c r="F171" s="20" t="s">
        <v>194</v>
      </c>
      <c r="G171" s="8" t="str">
        <f t="shared" si="2"/>
        <v>STEWART MICHAEL</v>
      </c>
    </row>
    <row r="172" spans="1:7" x14ac:dyDescent="0.25">
      <c r="A172" s="8">
        <v>42885.727129629631</v>
      </c>
      <c r="B172" s="20" t="s">
        <v>516</v>
      </c>
      <c r="C172" s="20" t="s">
        <v>815</v>
      </c>
      <c r="D172" s="141">
        <v>2360000</v>
      </c>
      <c r="E172" s="20" t="s">
        <v>556</v>
      </c>
      <c r="F172" s="20" t="s">
        <v>557</v>
      </c>
      <c r="G172" s="8" t="str">
        <f t="shared" si="2"/>
        <v>BRANDNER MELINDA</v>
      </c>
    </row>
    <row r="173" spans="1:7" x14ac:dyDescent="0.25">
      <c r="A173" s="8">
        <v>42885.732233796298</v>
      </c>
      <c r="B173" s="20" t="s">
        <v>451</v>
      </c>
      <c r="C173" s="20" t="s">
        <v>816</v>
      </c>
      <c r="D173" s="141">
        <v>930000</v>
      </c>
      <c r="E173" s="20" t="s">
        <v>411</v>
      </c>
      <c r="F173" s="20" t="s">
        <v>412</v>
      </c>
      <c r="G173" s="8" t="str">
        <f t="shared" si="2"/>
        <v>CLARK KATHLEEN</v>
      </c>
    </row>
    <row r="174" spans="1:7" x14ac:dyDescent="0.25">
      <c r="A174" s="8">
        <v>42885.734479166669</v>
      </c>
      <c r="B174" s="20" t="s">
        <v>409</v>
      </c>
      <c r="C174" s="20" t="s">
        <v>817</v>
      </c>
      <c r="D174" s="141">
        <v>1770000</v>
      </c>
      <c r="E174" s="20" t="s">
        <v>768</v>
      </c>
      <c r="F174" s="20" t="s">
        <v>769</v>
      </c>
      <c r="G174" s="8" t="str">
        <f t="shared" si="2"/>
        <v>BRUDER RICHARD</v>
      </c>
    </row>
    <row r="175" spans="1:7" x14ac:dyDescent="0.25">
      <c r="A175" s="8">
        <v>42885.737395833334</v>
      </c>
      <c r="B175" s="20" t="s">
        <v>474</v>
      </c>
      <c r="C175" s="20" t="s">
        <v>818</v>
      </c>
      <c r="D175" s="141">
        <v>2230000</v>
      </c>
      <c r="E175" s="20" t="s">
        <v>344</v>
      </c>
      <c r="F175" s="20" t="s">
        <v>194</v>
      </c>
      <c r="G175" s="8" t="str">
        <f t="shared" si="2"/>
        <v>SMITH MICHAEL</v>
      </c>
    </row>
    <row r="176" spans="1:7" x14ac:dyDescent="0.25">
      <c r="A176" s="8">
        <v>42885.740069444444</v>
      </c>
      <c r="B176" s="20" t="s">
        <v>363</v>
      </c>
      <c r="C176" s="20" t="s">
        <v>658</v>
      </c>
      <c r="D176" s="141">
        <v>3120000</v>
      </c>
      <c r="E176" s="20" t="s">
        <v>560</v>
      </c>
      <c r="F176" s="20" t="s">
        <v>561</v>
      </c>
      <c r="G176" s="8" t="str">
        <f t="shared" si="2"/>
        <v>THOMPSON LESTER</v>
      </c>
    </row>
    <row r="177" spans="1:7" x14ac:dyDescent="0.25">
      <c r="A177" s="8">
        <v>42885.740787037037</v>
      </c>
      <c r="B177" s="20" t="s">
        <v>363</v>
      </c>
      <c r="C177" s="20" t="s">
        <v>656</v>
      </c>
      <c r="D177" s="141">
        <v>3120000</v>
      </c>
      <c r="E177" s="20" t="s">
        <v>560</v>
      </c>
      <c r="F177" s="20" t="s">
        <v>561</v>
      </c>
      <c r="G177" s="8" t="str">
        <f t="shared" si="2"/>
        <v>THOMPSON LESTER</v>
      </c>
    </row>
    <row r="178" spans="1:7" x14ac:dyDescent="0.25">
      <c r="A178" s="8">
        <v>42885.745046296295</v>
      </c>
      <c r="B178" s="20" t="s">
        <v>675</v>
      </c>
      <c r="C178" s="20" t="s">
        <v>819</v>
      </c>
      <c r="D178" s="141">
        <v>1300000</v>
      </c>
      <c r="E178" s="20" t="s">
        <v>460</v>
      </c>
      <c r="F178" s="20" t="s">
        <v>461</v>
      </c>
      <c r="G178" s="8" t="str">
        <f t="shared" si="2"/>
        <v>LEVIN SCOTT</v>
      </c>
    </row>
    <row r="179" spans="1:7" x14ac:dyDescent="0.25">
      <c r="A179" s="8">
        <v>42885.745717592596</v>
      </c>
      <c r="B179" s="20" t="s">
        <v>544</v>
      </c>
      <c r="C179" s="20" t="s">
        <v>820</v>
      </c>
      <c r="D179" s="141">
        <v>2540000</v>
      </c>
      <c r="E179" s="20" t="s">
        <v>558</v>
      </c>
      <c r="F179" s="20" t="s">
        <v>559</v>
      </c>
      <c r="G179" s="8" t="str">
        <f t="shared" si="2"/>
        <v>MCREYNOLDS KYLE</v>
      </c>
    </row>
    <row r="180" spans="1:7" x14ac:dyDescent="0.25">
      <c r="A180" s="8">
        <v>42885.752060185187</v>
      </c>
      <c r="B180" s="20" t="s">
        <v>506</v>
      </c>
      <c r="C180" s="20" t="s">
        <v>821</v>
      </c>
      <c r="D180" s="141">
        <v>1180000</v>
      </c>
      <c r="E180" s="20" t="s">
        <v>458</v>
      </c>
      <c r="F180" s="20" t="s">
        <v>459</v>
      </c>
      <c r="G180" s="8" t="str">
        <f t="shared" si="2"/>
        <v>LEVERE CRAIG</v>
      </c>
    </row>
    <row r="181" spans="1:7" x14ac:dyDescent="0.25">
      <c r="A181" s="8">
        <v>42885.75271990741</v>
      </c>
      <c r="B181" s="20" t="s">
        <v>342</v>
      </c>
      <c r="C181" s="20" t="s">
        <v>657</v>
      </c>
      <c r="D181" s="141">
        <v>2630000</v>
      </c>
      <c r="E181" s="20" t="s">
        <v>822</v>
      </c>
      <c r="F181" s="20" t="s">
        <v>823</v>
      </c>
      <c r="G181" s="8" t="str">
        <f t="shared" si="2"/>
        <v>SAFIEF AEIMEN</v>
      </c>
    </row>
    <row r="182" spans="1:7" x14ac:dyDescent="0.25">
      <c r="A182" s="8">
        <v>42885.75681712963</v>
      </c>
      <c r="B182" s="20" t="s">
        <v>433</v>
      </c>
      <c r="C182" s="20" t="s">
        <v>658</v>
      </c>
      <c r="D182" s="141">
        <v>3120000</v>
      </c>
      <c r="E182" s="20" t="s">
        <v>560</v>
      </c>
      <c r="F182" s="20" t="s">
        <v>561</v>
      </c>
      <c r="G182" s="8" t="str">
        <f t="shared" si="2"/>
        <v>THOMPSON LESTER</v>
      </c>
    </row>
    <row r="183" spans="1:7" x14ac:dyDescent="0.25">
      <c r="A183" s="8">
        <v>42885.757638888892</v>
      </c>
      <c r="B183" s="20" t="s">
        <v>508</v>
      </c>
      <c r="C183" s="20" t="s">
        <v>824</v>
      </c>
      <c r="D183" s="141">
        <v>3000000</v>
      </c>
      <c r="E183" s="20" t="s">
        <v>476</v>
      </c>
      <c r="F183" s="20" t="s">
        <v>477</v>
      </c>
      <c r="G183" s="8" t="str">
        <f t="shared" si="2"/>
        <v>FORTUNATO FRANK</v>
      </c>
    </row>
    <row r="184" spans="1:7" x14ac:dyDescent="0.25">
      <c r="A184" s="8">
        <v>42885.759826388887</v>
      </c>
      <c r="B184" s="20" t="s">
        <v>515</v>
      </c>
      <c r="C184" s="20" t="s">
        <v>825</v>
      </c>
      <c r="D184" s="141">
        <v>3130000</v>
      </c>
      <c r="E184" s="20" t="s">
        <v>394</v>
      </c>
      <c r="F184" s="20" t="s">
        <v>395</v>
      </c>
      <c r="G184" s="8" t="str">
        <f t="shared" si="2"/>
        <v>ZEWDU DEREJE</v>
      </c>
    </row>
    <row r="185" spans="1:7" x14ac:dyDescent="0.25">
      <c r="A185" s="8">
        <v>42885.760011574072</v>
      </c>
      <c r="B185" s="20" t="s">
        <v>410</v>
      </c>
      <c r="C185" s="20" t="s">
        <v>659</v>
      </c>
      <c r="D185" s="141">
        <v>1770000</v>
      </c>
      <c r="E185" s="20" t="s">
        <v>768</v>
      </c>
      <c r="F185" s="20" t="s">
        <v>769</v>
      </c>
      <c r="G185" s="8" t="str">
        <f t="shared" si="2"/>
        <v>BRUDER RICHARD</v>
      </c>
    </row>
    <row r="186" spans="1:7" x14ac:dyDescent="0.25">
      <c r="A186" s="8">
        <v>42885.769502314812</v>
      </c>
      <c r="B186" s="20" t="s">
        <v>430</v>
      </c>
      <c r="C186" s="20" t="s">
        <v>826</v>
      </c>
      <c r="D186" s="141">
        <v>3010000</v>
      </c>
      <c r="E186" s="20" t="s">
        <v>403</v>
      </c>
      <c r="F186" s="20" t="s">
        <v>404</v>
      </c>
      <c r="G186" s="8" t="str">
        <f t="shared" si="2"/>
        <v>SULLIVAN BRANDON</v>
      </c>
    </row>
    <row r="187" spans="1:7" x14ac:dyDescent="0.25">
      <c r="A187" s="8">
        <v>42885.770405092589</v>
      </c>
      <c r="B187" s="20" t="s">
        <v>363</v>
      </c>
      <c r="C187" s="20" t="s">
        <v>660</v>
      </c>
      <c r="D187" s="141">
        <v>3120000</v>
      </c>
      <c r="E187" s="20" t="s">
        <v>560</v>
      </c>
      <c r="F187" s="20" t="s">
        <v>561</v>
      </c>
      <c r="G187" s="8" t="str">
        <f t="shared" si="2"/>
        <v>THOMPSON LESTER</v>
      </c>
    </row>
    <row r="188" spans="1:7" x14ac:dyDescent="0.25">
      <c r="A188" s="8">
        <v>42885.772615740738</v>
      </c>
      <c r="B188" s="20" t="s">
        <v>472</v>
      </c>
      <c r="C188" s="20" t="s">
        <v>827</v>
      </c>
      <c r="D188" s="141">
        <v>2230000</v>
      </c>
      <c r="E188" s="20" t="s">
        <v>344</v>
      </c>
      <c r="F188" s="20" t="s">
        <v>194</v>
      </c>
      <c r="G188" s="8" t="str">
        <f t="shared" si="2"/>
        <v>SMITH MICHAEL</v>
      </c>
    </row>
    <row r="189" spans="1:7" x14ac:dyDescent="0.25">
      <c r="A189" s="8">
        <v>42885.776099537034</v>
      </c>
      <c r="B189" s="20" t="s">
        <v>409</v>
      </c>
      <c r="C189" s="20" t="s">
        <v>828</v>
      </c>
      <c r="D189" s="141">
        <v>1770000</v>
      </c>
      <c r="E189" s="20" t="s">
        <v>768</v>
      </c>
      <c r="F189" s="20" t="s">
        <v>769</v>
      </c>
      <c r="G189" s="8" t="str">
        <f t="shared" si="2"/>
        <v>BRUDER RICHARD</v>
      </c>
    </row>
    <row r="190" spans="1:7" x14ac:dyDescent="0.25">
      <c r="A190" s="8">
        <v>42885.776354166665</v>
      </c>
      <c r="B190" s="20" t="s">
        <v>413</v>
      </c>
      <c r="C190" s="20" t="s">
        <v>829</v>
      </c>
      <c r="D190" s="141">
        <v>1300000</v>
      </c>
      <c r="E190" s="20" t="s">
        <v>460</v>
      </c>
      <c r="F190" s="20" t="s">
        <v>461</v>
      </c>
      <c r="G190" s="8" t="str">
        <f t="shared" si="2"/>
        <v>LEVIN SCOTT</v>
      </c>
    </row>
    <row r="191" spans="1:7" x14ac:dyDescent="0.25">
      <c r="A191" s="8">
        <v>42885.784155092595</v>
      </c>
      <c r="B191" s="20" t="s">
        <v>685</v>
      </c>
      <c r="C191" s="20" t="s">
        <v>830</v>
      </c>
      <c r="D191" s="141">
        <v>2540000</v>
      </c>
      <c r="E191" s="20" t="s">
        <v>558</v>
      </c>
      <c r="F191" s="20" t="s">
        <v>559</v>
      </c>
      <c r="G191" s="8" t="str">
        <f t="shared" si="2"/>
        <v>MCREYNOLDS KYLE</v>
      </c>
    </row>
    <row r="192" spans="1:7" x14ac:dyDescent="0.25">
      <c r="A192" s="8">
        <v>42885.789085648146</v>
      </c>
      <c r="B192" s="20" t="s">
        <v>543</v>
      </c>
      <c r="C192" s="20" t="s">
        <v>831</v>
      </c>
      <c r="D192" s="141">
        <v>2680000</v>
      </c>
      <c r="E192" s="20" t="s">
        <v>436</v>
      </c>
      <c r="F192" s="20" t="s">
        <v>437</v>
      </c>
      <c r="G192" s="8" t="str">
        <f t="shared" si="2"/>
        <v>DUNCAN SHEILA</v>
      </c>
    </row>
    <row r="193" spans="1:7" x14ac:dyDescent="0.25">
      <c r="A193" s="8">
        <v>42885.791817129626</v>
      </c>
      <c r="B193" s="20" t="s">
        <v>542</v>
      </c>
      <c r="C193" s="20" t="s">
        <v>832</v>
      </c>
      <c r="D193" s="141">
        <v>3000000</v>
      </c>
      <c r="E193" s="20" t="s">
        <v>476</v>
      </c>
      <c r="F193" s="20" t="s">
        <v>477</v>
      </c>
      <c r="G193" s="8" t="str">
        <f t="shared" si="2"/>
        <v>FORTUNATO FRANK</v>
      </c>
    </row>
    <row r="194" spans="1:7" x14ac:dyDescent="0.25">
      <c r="A194" s="8">
        <v>42885.797465277778</v>
      </c>
      <c r="B194" s="20" t="s">
        <v>433</v>
      </c>
      <c r="C194" s="20" t="s">
        <v>833</v>
      </c>
      <c r="D194" s="141">
        <v>3120000</v>
      </c>
      <c r="E194" s="20" t="s">
        <v>560</v>
      </c>
      <c r="F194" s="20" t="s">
        <v>561</v>
      </c>
      <c r="G194" s="8" t="str">
        <f t="shared" si="2"/>
        <v>THOMPSON LESTER</v>
      </c>
    </row>
    <row r="195" spans="1:7" x14ac:dyDescent="0.25">
      <c r="A195" s="8">
        <v>42885.799375000002</v>
      </c>
      <c r="B195" s="20" t="s">
        <v>516</v>
      </c>
      <c r="C195" s="20" t="s">
        <v>834</v>
      </c>
      <c r="D195" s="141">
        <v>3130000</v>
      </c>
      <c r="E195" s="20" t="s">
        <v>394</v>
      </c>
      <c r="F195" s="20" t="s">
        <v>395</v>
      </c>
      <c r="G195" s="8" t="str">
        <f t="shared" ref="G195:G258" si="3">E195&amp;" "&amp;F195</f>
        <v>ZEWDU DEREJE</v>
      </c>
    </row>
    <row r="196" spans="1:7" x14ac:dyDescent="0.25">
      <c r="A196" s="8">
        <v>42885.802731481483</v>
      </c>
      <c r="B196" s="20" t="s">
        <v>410</v>
      </c>
      <c r="C196" s="20" t="s">
        <v>835</v>
      </c>
      <c r="D196" s="141">
        <v>1770000</v>
      </c>
      <c r="E196" s="20" t="s">
        <v>768</v>
      </c>
      <c r="F196" s="20" t="s">
        <v>769</v>
      </c>
      <c r="G196" s="8" t="str">
        <f t="shared" si="3"/>
        <v>BRUDER RICHARD</v>
      </c>
    </row>
    <row r="197" spans="1:7" x14ac:dyDescent="0.25">
      <c r="A197" s="8">
        <v>42885.803217592591</v>
      </c>
      <c r="B197" s="20" t="s">
        <v>451</v>
      </c>
      <c r="C197" s="20" t="s">
        <v>836</v>
      </c>
      <c r="D197" s="141">
        <v>3010000</v>
      </c>
      <c r="E197" s="20" t="s">
        <v>403</v>
      </c>
      <c r="F197" s="20" t="s">
        <v>404</v>
      </c>
      <c r="G197" s="8" t="str">
        <f t="shared" si="3"/>
        <v>SULLIVAN BRANDON</v>
      </c>
    </row>
    <row r="198" spans="1:7" x14ac:dyDescent="0.25">
      <c r="A198" s="8">
        <v>42885.809131944443</v>
      </c>
      <c r="B198" s="20" t="s">
        <v>474</v>
      </c>
      <c r="C198" s="20" t="s">
        <v>837</v>
      </c>
      <c r="D198" s="141">
        <v>2230000</v>
      </c>
      <c r="E198" s="20" t="s">
        <v>344</v>
      </c>
      <c r="F198" s="20" t="s">
        <v>194</v>
      </c>
      <c r="G198" s="8" t="str">
        <f t="shared" si="3"/>
        <v>SMITH MICHAEL</v>
      </c>
    </row>
    <row r="199" spans="1:7" x14ac:dyDescent="0.25">
      <c r="A199" s="8">
        <v>42885.817708333336</v>
      </c>
      <c r="B199" s="20" t="s">
        <v>409</v>
      </c>
      <c r="C199" s="20" t="s">
        <v>838</v>
      </c>
      <c r="D199" s="141">
        <v>1770000</v>
      </c>
      <c r="E199" s="20" t="s">
        <v>768</v>
      </c>
      <c r="F199" s="20" t="s">
        <v>769</v>
      </c>
      <c r="G199" s="8" t="str">
        <f t="shared" si="3"/>
        <v>BRUDER RICHARD</v>
      </c>
    </row>
    <row r="200" spans="1:7" x14ac:dyDescent="0.25">
      <c r="A200" s="8">
        <v>42885.819050925929</v>
      </c>
      <c r="B200" s="20" t="s">
        <v>544</v>
      </c>
      <c r="C200" s="20" t="s">
        <v>839</v>
      </c>
      <c r="D200" s="141">
        <v>2540000</v>
      </c>
      <c r="E200" s="20" t="s">
        <v>558</v>
      </c>
      <c r="F200" s="20" t="s">
        <v>559</v>
      </c>
      <c r="G200" s="8" t="str">
        <f t="shared" si="3"/>
        <v>MCREYNOLDS KYLE</v>
      </c>
    </row>
    <row r="201" spans="1:7" x14ac:dyDescent="0.25">
      <c r="A201" s="8">
        <v>42885.828136574077</v>
      </c>
      <c r="B201" s="20" t="s">
        <v>506</v>
      </c>
      <c r="C201" s="20" t="s">
        <v>840</v>
      </c>
      <c r="D201" s="141">
        <v>2680000</v>
      </c>
      <c r="E201" s="20" t="s">
        <v>436</v>
      </c>
      <c r="F201" s="20" t="s">
        <v>437</v>
      </c>
      <c r="G201" s="8" t="str">
        <f t="shared" si="3"/>
        <v>DUNCAN SHEILA</v>
      </c>
    </row>
    <row r="202" spans="1:7" x14ac:dyDescent="0.25">
      <c r="A202" s="26">
        <v>42885.832152777781</v>
      </c>
      <c r="B202" s="20" t="s">
        <v>508</v>
      </c>
      <c r="C202" s="20" t="s">
        <v>841</v>
      </c>
      <c r="D202" s="141">
        <v>3000000</v>
      </c>
      <c r="E202" s="20" t="s">
        <v>476</v>
      </c>
      <c r="F202" s="20" t="s">
        <v>477</v>
      </c>
      <c r="G202" s="8" t="str">
        <f t="shared" si="3"/>
        <v>FORTUNATO FRANK</v>
      </c>
    </row>
    <row r="203" spans="1:7" x14ac:dyDescent="0.25">
      <c r="A203" s="8">
        <v>42885.843275462961</v>
      </c>
      <c r="B203" s="20" t="s">
        <v>410</v>
      </c>
      <c r="C203" s="20" t="s">
        <v>842</v>
      </c>
      <c r="D203" s="141">
        <v>1770000</v>
      </c>
      <c r="E203" s="20" t="s">
        <v>768</v>
      </c>
      <c r="F203" s="20" t="s">
        <v>769</v>
      </c>
      <c r="G203" s="8" t="str">
        <f t="shared" si="3"/>
        <v>BRUDER RICHARD</v>
      </c>
    </row>
    <row r="204" spans="1:7" x14ac:dyDescent="0.25">
      <c r="A204" s="8">
        <v>42885.845590277779</v>
      </c>
      <c r="B204" s="20" t="s">
        <v>430</v>
      </c>
      <c r="C204" s="20" t="s">
        <v>843</v>
      </c>
      <c r="D204" s="141">
        <v>3010000</v>
      </c>
      <c r="E204" s="20" t="s">
        <v>403</v>
      </c>
      <c r="F204" s="20" t="s">
        <v>404</v>
      </c>
      <c r="G204" s="8" t="str">
        <f t="shared" si="3"/>
        <v>SULLIVAN BRANDON</v>
      </c>
    </row>
    <row r="205" spans="1:7" x14ac:dyDescent="0.25">
      <c r="A205" s="8">
        <v>42885.847268518519</v>
      </c>
      <c r="B205" s="20" t="s">
        <v>472</v>
      </c>
      <c r="C205" s="20" t="s">
        <v>661</v>
      </c>
      <c r="D205" s="141">
        <v>2230000</v>
      </c>
      <c r="E205" s="20" t="s">
        <v>344</v>
      </c>
      <c r="F205" s="20" t="s">
        <v>194</v>
      </c>
      <c r="G205" s="8" t="str">
        <f t="shared" si="3"/>
        <v>SMITH MICHAEL</v>
      </c>
    </row>
    <row r="206" spans="1:7" x14ac:dyDescent="0.25">
      <c r="A206" s="8">
        <v>42885.859722222223</v>
      </c>
      <c r="B206" s="20" t="s">
        <v>409</v>
      </c>
      <c r="C206" s="20" t="s">
        <v>844</v>
      </c>
      <c r="D206" s="141">
        <v>1770000</v>
      </c>
      <c r="E206" s="20" t="s">
        <v>768</v>
      </c>
      <c r="F206" s="20" t="s">
        <v>769</v>
      </c>
      <c r="G206" s="8" t="str">
        <f t="shared" si="3"/>
        <v>BRUDER RICHARD</v>
      </c>
    </row>
    <row r="207" spans="1:7" x14ac:dyDescent="0.25">
      <c r="A207" s="8">
        <v>42885.862870370373</v>
      </c>
      <c r="B207" s="20" t="s">
        <v>543</v>
      </c>
      <c r="C207" s="20" t="s">
        <v>662</v>
      </c>
      <c r="D207" s="141">
        <v>2680000</v>
      </c>
      <c r="E207" s="20" t="s">
        <v>436</v>
      </c>
      <c r="F207" s="20" t="s">
        <v>437</v>
      </c>
      <c r="G207" s="8" t="str">
        <f t="shared" si="3"/>
        <v>DUNCAN SHEILA</v>
      </c>
    </row>
    <row r="208" spans="1:7" x14ac:dyDescent="0.25">
      <c r="A208" s="8">
        <v>42885.870636574073</v>
      </c>
      <c r="B208" s="20" t="s">
        <v>542</v>
      </c>
      <c r="C208" s="20" t="s">
        <v>845</v>
      </c>
      <c r="D208" s="141">
        <v>3000000</v>
      </c>
      <c r="E208" s="20" t="s">
        <v>476</v>
      </c>
      <c r="F208" s="20" t="s">
        <v>477</v>
      </c>
      <c r="G208" s="8" t="str">
        <f t="shared" si="3"/>
        <v>FORTUNATO FRANK</v>
      </c>
    </row>
    <row r="209" spans="1:7" x14ac:dyDescent="0.25">
      <c r="A209" s="8">
        <v>42885.881030092591</v>
      </c>
      <c r="B209" s="20" t="s">
        <v>410</v>
      </c>
      <c r="C209" s="20" t="s">
        <v>846</v>
      </c>
      <c r="D209" s="141">
        <v>3120000</v>
      </c>
      <c r="E209" s="20" t="s">
        <v>560</v>
      </c>
      <c r="F209" s="20" t="s">
        <v>561</v>
      </c>
      <c r="G209" s="8" t="str">
        <f t="shared" si="3"/>
        <v>THOMPSON LESTER</v>
      </c>
    </row>
    <row r="210" spans="1:7" x14ac:dyDescent="0.25">
      <c r="A210" s="8">
        <v>42885.882037037038</v>
      </c>
      <c r="B210" s="20" t="s">
        <v>410</v>
      </c>
      <c r="C210" s="20" t="s">
        <v>847</v>
      </c>
      <c r="D210" s="141">
        <v>3120000</v>
      </c>
      <c r="E210" s="20" t="s">
        <v>560</v>
      </c>
      <c r="F210" s="20" t="s">
        <v>561</v>
      </c>
      <c r="G210" s="8" t="str">
        <f t="shared" si="3"/>
        <v>THOMPSON LESTER</v>
      </c>
    </row>
    <row r="211" spans="1:7" x14ac:dyDescent="0.25">
      <c r="A211" s="8">
        <v>42885.886469907404</v>
      </c>
      <c r="B211" s="20" t="s">
        <v>451</v>
      </c>
      <c r="C211" s="20" t="s">
        <v>848</v>
      </c>
      <c r="D211" s="141">
        <v>3010000</v>
      </c>
      <c r="E211" s="20" t="s">
        <v>403</v>
      </c>
      <c r="F211" s="20" t="s">
        <v>404</v>
      </c>
      <c r="G211" s="8" t="str">
        <f t="shared" si="3"/>
        <v>SULLIVAN BRANDON</v>
      </c>
    </row>
    <row r="212" spans="1:7" x14ac:dyDescent="0.25">
      <c r="A212" s="8">
        <v>42885.886493055557</v>
      </c>
      <c r="B212" s="20" t="s">
        <v>474</v>
      </c>
      <c r="C212" s="20" t="s">
        <v>849</v>
      </c>
      <c r="D212" s="141">
        <v>2230000</v>
      </c>
      <c r="E212" s="20" t="s">
        <v>344</v>
      </c>
      <c r="F212" s="20" t="s">
        <v>194</v>
      </c>
      <c r="G212" s="8" t="str">
        <f t="shared" si="3"/>
        <v>SMITH MICHAEL</v>
      </c>
    </row>
    <row r="213" spans="1:7" x14ac:dyDescent="0.25">
      <c r="A213" s="8">
        <v>42885.901469907411</v>
      </c>
      <c r="B213" s="20" t="s">
        <v>409</v>
      </c>
      <c r="C213" s="20" t="s">
        <v>846</v>
      </c>
      <c r="D213" s="141">
        <v>3120000</v>
      </c>
      <c r="E213" s="20" t="s">
        <v>560</v>
      </c>
      <c r="F213" s="20" t="s">
        <v>561</v>
      </c>
      <c r="G213" s="8" t="str">
        <f t="shared" si="3"/>
        <v>THOMPSON LESTER</v>
      </c>
    </row>
    <row r="214" spans="1:7" x14ac:dyDescent="0.25">
      <c r="A214" s="8">
        <v>42885.907361111109</v>
      </c>
      <c r="B214" s="20" t="s">
        <v>508</v>
      </c>
      <c r="C214" s="20" t="s">
        <v>850</v>
      </c>
      <c r="D214" s="141">
        <v>3000000</v>
      </c>
      <c r="E214" s="20" t="s">
        <v>476</v>
      </c>
      <c r="F214" s="20" t="s">
        <v>477</v>
      </c>
      <c r="G214" s="8" t="str">
        <f t="shared" si="3"/>
        <v>FORTUNATO FRANK</v>
      </c>
    </row>
    <row r="215" spans="1:7" x14ac:dyDescent="0.25">
      <c r="A215" s="8">
        <v>42885.908553240741</v>
      </c>
      <c r="B215" s="20" t="s">
        <v>506</v>
      </c>
      <c r="C215" s="20" t="s">
        <v>851</v>
      </c>
      <c r="D215" s="141">
        <v>2680000</v>
      </c>
      <c r="E215" s="20" t="s">
        <v>436</v>
      </c>
      <c r="F215" s="20" t="s">
        <v>437</v>
      </c>
      <c r="G215" s="8" t="str">
        <f t="shared" si="3"/>
        <v>DUNCAN SHEILA</v>
      </c>
    </row>
    <row r="216" spans="1:7" x14ac:dyDescent="0.25">
      <c r="A216" s="8">
        <v>42885.925474537034</v>
      </c>
      <c r="B216" s="20" t="s">
        <v>472</v>
      </c>
      <c r="C216" s="20" t="s">
        <v>852</v>
      </c>
      <c r="D216" s="141">
        <v>2230000</v>
      </c>
      <c r="E216" s="20" t="s">
        <v>344</v>
      </c>
      <c r="F216" s="20" t="s">
        <v>194</v>
      </c>
      <c r="G216" s="8" t="str">
        <f t="shared" si="3"/>
        <v>SMITH MICHAEL</v>
      </c>
    </row>
    <row r="217" spans="1:7" x14ac:dyDescent="0.25">
      <c r="A217" s="8">
        <v>42885.929259259261</v>
      </c>
      <c r="B217" s="20" t="s">
        <v>410</v>
      </c>
      <c r="C217" s="20" t="s">
        <v>853</v>
      </c>
      <c r="D217" s="141">
        <v>3120000</v>
      </c>
      <c r="E217" s="20" t="s">
        <v>560</v>
      </c>
      <c r="F217" s="20" t="s">
        <v>561</v>
      </c>
      <c r="G217" s="8" t="str">
        <f t="shared" si="3"/>
        <v>THOMPSON LESTER</v>
      </c>
    </row>
    <row r="218" spans="1:7" x14ac:dyDescent="0.25">
      <c r="A218" s="8">
        <v>42885.929756944446</v>
      </c>
      <c r="B218" s="20" t="s">
        <v>430</v>
      </c>
      <c r="C218" s="20" t="s">
        <v>854</v>
      </c>
      <c r="D218" s="141">
        <v>3010000</v>
      </c>
      <c r="E218" s="20" t="s">
        <v>403</v>
      </c>
      <c r="F218" s="20" t="s">
        <v>404</v>
      </c>
      <c r="G218" s="8" t="str">
        <f t="shared" si="3"/>
        <v>SULLIVAN BRANDON</v>
      </c>
    </row>
    <row r="219" spans="1:7" x14ac:dyDescent="0.25">
      <c r="A219" s="8">
        <v>42885.948634259257</v>
      </c>
      <c r="B219" s="20" t="s">
        <v>409</v>
      </c>
      <c r="C219" s="20" t="s">
        <v>855</v>
      </c>
      <c r="D219" s="141">
        <v>2000000</v>
      </c>
      <c r="E219" s="20" t="s">
        <v>434</v>
      </c>
      <c r="F219" s="20" t="s">
        <v>191</v>
      </c>
      <c r="G219" s="8" t="str">
        <f t="shared" si="3"/>
        <v>STAMBAUGH JAMES</v>
      </c>
    </row>
    <row r="220" spans="1:7" x14ac:dyDescent="0.25">
      <c r="A220" s="8">
        <v>42885.948692129627</v>
      </c>
      <c r="B220" s="20" t="s">
        <v>543</v>
      </c>
      <c r="C220" s="20" t="s">
        <v>856</v>
      </c>
      <c r="D220" s="141">
        <v>2680000</v>
      </c>
      <c r="E220" s="20" t="s">
        <v>436</v>
      </c>
      <c r="F220" s="20" t="s">
        <v>437</v>
      </c>
      <c r="G220" s="8" t="str">
        <f t="shared" si="3"/>
        <v>DUNCAN SHEILA</v>
      </c>
    </row>
    <row r="221" spans="1:7" x14ac:dyDescent="0.25">
      <c r="A221" s="8">
        <v>42885.949432870373</v>
      </c>
      <c r="B221" s="20" t="s">
        <v>542</v>
      </c>
      <c r="C221" s="20" t="s">
        <v>857</v>
      </c>
      <c r="D221" s="141">
        <v>3000000</v>
      </c>
      <c r="E221" s="20" t="s">
        <v>476</v>
      </c>
      <c r="F221" s="20" t="s">
        <v>477</v>
      </c>
      <c r="G221" s="8" t="str">
        <f t="shared" si="3"/>
        <v>FORTUNATO FRANK</v>
      </c>
    </row>
    <row r="222" spans="1:7" x14ac:dyDescent="0.25">
      <c r="A222" s="8">
        <v>42885.956400462965</v>
      </c>
      <c r="B222" s="20" t="s">
        <v>410</v>
      </c>
      <c r="C222" s="20" t="s">
        <v>855</v>
      </c>
      <c r="D222" s="141">
        <v>2000000</v>
      </c>
      <c r="E222" s="20" t="s">
        <v>434</v>
      </c>
      <c r="F222" s="20" t="s">
        <v>191</v>
      </c>
      <c r="G222" s="8" t="str">
        <f t="shared" si="3"/>
        <v>STAMBAUGH JAMES</v>
      </c>
    </row>
    <row r="223" spans="1:7" x14ac:dyDescent="0.25">
      <c r="A223" s="8">
        <v>42885.957951388889</v>
      </c>
      <c r="B223" s="20" t="s">
        <v>410</v>
      </c>
      <c r="C223" s="20" t="s">
        <v>855</v>
      </c>
      <c r="D223" s="141">
        <v>2000000</v>
      </c>
      <c r="E223" s="20" t="s">
        <v>434</v>
      </c>
      <c r="F223" s="20" t="s">
        <v>191</v>
      </c>
      <c r="G223" s="8" t="str">
        <f t="shared" si="3"/>
        <v>STAMBAUGH JAMES</v>
      </c>
    </row>
    <row r="224" spans="1:7" x14ac:dyDescent="0.25">
      <c r="A224" s="8">
        <v>42885.966550925928</v>
      </c>
      <c r="B224" t="s">
        <v>474</v>
      </c>
      <c r="C224" t="s">
        <v>858</v>
      </c>
      <c r="D224" s="141">
        <v>2230000</v>
      </c>
      <c r="E224" t="s">
        <v>344</v>
      </c>
      <c r="F224" s="20" t="s">
        <v>194</v>
      </c>
      <c r="G224" s="8" t="str">
        <f t="shared" si="3"/>
        <v>SMITH MICHAEL</v>
      </c>
    </row>
    <row r="225" spans="1:7" x14ac:dyDescent="0.25">
      <c r="A225" s="8">
        <v>42885.9687962963</v>
      </c>
      <c r="B225" t="s">
        <v>451</v>
      </c>
      <c r="C225" t="s">
        <v>859</v>
      </c>
      <c r="D225" s="141">
        <v>3010000</v>
      </c>
      <c r="E225" t="s">
        <v>403</v>
      </c>
      <c r="F225" s="20" t="s">
        <v>404</v>
      </c>
      <c r="G225" s="8" t="str">
        <f t="shared" si="3"/>
        <v>SULLIVAN BRANDON</v>
      </c>
    </row>
    <row r="226" spans="1:7" x14ac:dyDescent="0.25">
      <c r="A226" s="8">
        <v>42885.984988425924</v>
      </c>
      <c r="B226" t="s">
        <v>506</v>
      </c>
      <c r="C226" t="s">
        <v>860</v>
      </c>
      <c r="D226" s="141">
        <v>2680000</v>
      </c>
      <c r="E226" t="s">
        <v>436</v>
      </c>
      <c r="F226" s="20" t="s">
        <v>437</v>
      </c>
      <c r="G226" s="8" t="str">
        <f t="shared" si="3"/>
        <v>DUNCAN SHEILA</v>
      </c>
    </row>
    <row r="227" spans="1:7" x14ac:dyDescent="0.25">
      <c r="A227" s="8">
        <v>42885.989444444444</v>
      </c>
      <c r="B227" t="s">
        <v>508</v>
      </c>
      <c r="C227" t="s">
        <v>861</v>
      </c>
      <c r="D227" s="141">
        <v>3000000</v>
      </c>
      <c r="E227" t="s">
        <v>476</v>
      </c>
      <c r="F227" s="20" t="s">
        <v>477</v>
      </c>
      <c r="G227" s="8" t="str">
        <f t="shared" si="3"/>
        <v>FORTUNATO FRANK</v>
      </c>
    </row>
    <row r="228" spans="1:7" x14ac:dyDescent="0.25">
      <c r="A228" s="8">
        <v>42886.007974537039</v>
      </c>
      <c r="B228" t="s">
        <v>472</v>
      </c>
      <c r="C228" t="s">
        <v>862</v>
      </c>
      <c r="D228" s="141">
        <v>2230000</v>
      </c>
      <c r="E228" t="s">
        <v>344</v>
      </c>
      <c r="F228" s="20" t="s">
        <v>194</v>
      </c>
      <c r="G228" s="8" t="str">
        <f t="shared" si="3"/>
        <v>SMITH MICHAEL</v>
      </c>
    </row>
    <row r="229" spans="1:7" x14ac:dyDescent="0.25">
      <c r="A229" s="8">
        <v>42886.016250000001</v>
      </c>
      <c r="B229" t="s">
        <v>430</v>
      </c>
      <c r="C229" t="s">
        <v>863</v>
      </c>
      <c r="D229" s="141">
        <v>3010000</v>
      </c>
      <c r="E229" t="s">
        <v>403</v>
      </c>
      <c r="F229" s="20" t="s">
        <v>404</v>
      </c>
      <c r="G229" s="8" t="str">
        <f t="shared" si="3"/>
        <v>SULLIVAN BRANDON</v>
      </c>
    </row>
    <row r="230" spans="1:7" x14ac:dyDescent="0.25">
      <c r="A230" s="8">
        <v>42886.028090277781</v>
      </c>
      <c r="B230" t="s">
        <v>543</v>
      </c>
      <c r="C230" t="s">
        <v>864</v>
      </c>
      <c r="D230" s="141">
        <v>2680000</v>
      </c>
      <c r="E230" t="s">
        <v>436</v>
      </c>
      <c r="F230" s="20" t="s">
        <v>437</v>
      </c>
      <c r="G230" s="8" t="str">
        <f t="shared" si="3"/>
        <v>DUNCAN SHEILA</v>
      </c>
    </row>
    <row r="231" spans="1:7" x14ac:dyDescent="0.25">
      <c r="A231" s="8">
        <v>42886.032812500001</v>
      </c>
      <c r="B231" t="s">
        <v>542</v>
      </c>
      <c r="C231" t="s">
        <v>865</v>
      </c>
      <c r="D231" s="141">
        <v>3000000</v>
      </c>
      <c r="E231" t="s">
        <v>476</v>
      </c>
      <c r="F231" s="20" t="s">
        <v>477</v>
      </c>
      <c r="G231" s="8" t="str">
        <f t="shared" si="3"/>
        <v>FORTUNATO FRANK</v>
      </c>
    </row>
    <row r="232" spans="1:7" x14ac:dyDescent="0.25">
      <c r="A232" s="8">
        <v>42886.047696759262</v>
      </c>
      <c r="B232" t="s">
        <v>474</v>
      </c>
      <c r="C232" t="s">
        <v>663</v>
      </c>
      <c r="D232" s="141">
        <v>2230000</v>
      </c>
      <c r="E232" t="s">
        <v>344</v>
      </c>
      <c r="F232" s="20" t="s">
        <v>194</v>
      </c>
      <c r="G232" s="8" t="str">
        <f t="shared" si="3"/>
        <v>SMITH MICHAEL</v>
      </c>
    </row>
    <row r="233" spans="1:7" x14ac:dyDescent="0.25">
      <c r="A233" s="8">
        <v>42886.055405092593</v>
      </c>
      <c r="B233" t="s">
        <v>451</v>
      </c>
      <c r="C233" t="s">
        <v>866</v>
      </c>
      <c r="D233" s="141">
        <v>3010000</v>
      </c>
      <c r="E233" t="s">
        <v>403</v>
      </c>
      <c r="F233" s="20" t="s">
        <v>404</v>
      </c>
      <c r="G233" s="8" t="str">
        <f t="shared" si="3"/>
        <v>SULLIVAN BRANDON</v>
      </c>
    </row>
    <row r="234" spans="1:7" x14ac:dyDescent="0.25">
      <c r="A234" s="8">
        <v>42886.071956018517</v>
      </c>
      <c r="B234" t="s">
        <v>508</v>
      </c>
      <c r="C234" t="s">
        <v>867</v>
      </c>
      <c r="D234" s="141">
        <v>3000000</v>
      </c>
      <c r="E234" t="s">
        <v>476</v>
      </c>
      <c r="F234" s="20" t="s">
        <v>477</v>
      </c>
      <c r="G234" s="8" t="str">
        <f t="shared" si="3"/>
        <v>FORTUNATO FRANK</v>
      </c>
    </row>
    <row r="235" spans="1:7" x14ac:dyDescent="0.25">
      <c r="A235" s="8">
        <v>42886.091099537036</v>
      </c>
      <c r="B235" t="s">
        <v>430</v>
      </c>
      <c r="C235" t="s">
        <v>868</v>
      </c>
      <c r="D235" s="141">
        <v>3010000</v>
      </c>
      <c r="E235" t="s">
        <v>403</v>
      </c>
      <c r="F235" s="20" t="s">
        <v>404</v>
      </c>
      <c r="G235" s="8" t="str">
        <f t="shared" si="3"/>
        <v>SULLIVAN BRANDON</v>
      </c>
    </row>
    <row r="236" spans="1:7" x14ac:dyDescent="0.25">
      <c r="A236" s="8">
        <v>42884.88826388889</v>
      </c>
      <c r="B236" t="s">
        <v>341</v>
      </c>
      <c r="C236" t="s">
        <v>562</v>
      </c>
      <c r="D236" s="141">
        <v>2230000</v>
      </c>
      <c r="E236" t="s">
        <v>344</v>
      </c>
      <c r="F236" s="20" t="s">
        <v>194</v>
      </c>
      <c r="G236" s="8" t="str">
        <f t="shared" si="3"/>
        <v>SMITH MICHAEL</v>
      </c>
    </row>
    <row r="237" spans="1:7" x14ac:dyDescent="0.25">
      <c r="A237" s="8">
        <v>42884.90116898148</v>
      </c>
      <c r="B237" t="s">
        <v>379</v>
      </c>
      <c r="C237" t="s">
        <v>563</v>
      </c>
      <c r="D237" s="141">
        <v>3120000</v>
      </c>
      <c r="E237" t="s">
        <v>560</v>
      </c>
      <c r="F237" s="20" t="s">
        <v>561</v>
      </c>
      <c r="G237" s="8" t="str">
        <f t="shared" si="3"/>
        <v>THOMPSON LESTER</v>
      </c>
    </row>
    <row r="238" spans="1:7" x14ac:dyDescent="0.25">
      <c r="A238" s="8">
        <v>42884.904687499999</v>
      </c>
      <c r="B238" t="s">
        <v>449</v>
      </c>
      <c r="C238" t="s">
        <v>564</v>
      </c>
      <c r="D238" s="141">
        <v>2680000</v>
      </c>
      <c r="E238" t="s">
        <v>436</v>
      </c>
      <c r="F238" s="20" t="s">
        <v>437</v>
      </c>
      <c r="G238" s="8" t="str">
        <f t="shared" si="3"/>
        <v>DUNCAN SHEILA</v>
      </c>
    </row>
    <row r="239" spans="1:7" x14ac:dyDescent="0.25">
      <c r="A239" s="8">
        <v>42884.911377314813</v>
      </c>
      <c r="B239" t="s">
        <v>471</v>
      </c>
      <c r="C239" t="s">
        <v>565</v>
      </c>
      <c r="D239" s="141">
        <v>2610000</v>
      </c>
      <c r="E239" t="s">
        <v>438</v>
      </c>
      <c r="F239" s="20" t="s">
        <v>439</v>
      </c>
      <c r="G239" s="8" t="str">
        <f t="shared" si="3"/>
        <v>MAGEE KENYA</v>
      </c>
    </row>
    <row r="240" spans="1:7" x14ac:dyDescent="0.25">
      <c r="A240" s="8">
        <v>42884.927037037036</v>
      </c>
      <c r="B240" t="s">
        <v>509</v>
      </c>
      <c r="C240" t="s">
        <v>566</v>
      </c>
      <c r="D240" s="141">
        <v>2970000</v>
      </c>
      <c r="E240" t="s">
        <v>389</v>
      </c>
      <c r="F240" s="20" t="s">
        <v>390</v>
      </c>
      <c r="G240" s="8" t="str">
        <f t="shared" si="3"/>
        <v>GUZMAN DANNY</v>
      </c>
    </row>
    <row r="241" spans="1:7" x14ac:dyDescent="0.25">
      <c r="A241" s="8">
        <v>42884.928252314814</v>
      </c>
      <c r="B241" t="s">
        <v>382</v>
      </c>
      <c r="C241" t="s">
        <v>567</v>
      </c>
      <c r="D241" s="141">
        <v>3120000</v>
      </c>
      <c r="E241" t="s">
        <v>560</v>
      </c>
      <c r="F241" s="20" t="s">
        <v>561</v>
      </c>
      <c r="G241" s="8" t="str">
        <f t="shared" si="3"/>
        <v>THOMPSON LESTER</v>
      </c>
    </row>
    <row r="242" spans="1:7" x14ac:dyDescent="0.25">
      <c r="A242" s="8">
        <v>42884.929386574076</v>
      </c>
      <c r="B242" t="s">
        <v>342</v>
      </c>
      <c r="C242" t="s">
        <v>568</v>
      </c>
      <c r="D242" s="141">
        <v>2230000</v>
      </c>
      <c r="E242" t="s">
        <v>344</v>
      </c>
      <c r="F242" s="20" t="s">
        <v>194</v>
      </c>
      <c r="G242" s="8" t="str">
        <f t="shared" si="3"/>
        <v>SMITH MICHAEL</v>
      </c>
    </row>
    <row r="243" spans="1:7" x14ac:dyDescent="0.25">
      <c r="A243" s="8">
        <v>42884.943749999999</v>
      </c>
      <c r="B243" t="s">
        <v>379</v>
      </c>
      <c r="C243" t="s">
        <v>569</v>
      </c>
      <c r="D243" s="141">
        <v>3120000</v>
      </c>
      <c r="E243" t="s">
        <v>560</v>
      </c>
      <c r="F243" s="20" t="s">
        <v>561</v>
      </c>
      <c r="G243" s="8" t="str">
        <f t="shared" si="3"/>
        <v>THOMPSON LESTER</v>
      </c>
    </row>
    <row r="244" spans="1:7" x14ac:dyDescent="0.25">
      <c r="A244" s="8">
        <v>42884.947557870371</v>
      </c>
      <c r="B244" t="s">
        <v>450</v>
      </c>
      <c r="C244" t="s">
        <v>570</v>
      </c>
      <c r="D244" s="141">
        <v>2680000</v>
      </c>
      <c r="E244" t="s">
        <v>436</v>
      </c>
      <c r="F244" s="20" t="s">
        <v>437</v>
      </c>
      <c r="G244" s="8" t="str">
        <f t="shared" si="3"/>
        <v>DUNCAN SHEILA</v>
      </c>
    </row>
    <row r="245" spans="1:7" x14ac:dyDescent="0.25">
      <c r="A245" s="8">
        <v>42884.952476851853</v>
      </c>
      <c r="B245" t="s">
        <v>382</v>
      </c>
      <c r="C245" t="s">
        <v>569</v>
      </c>
      <c r="D245" s="141">
        <v>3120000</v>
      </c>
      <c r="E245" t="s">
        <v>560</v>
      </c>
      <c r="F245" s="20" t="s">
        <v>561</v>
      </c>
      <c r="G245" s="8" t="str">
        <f t="shared" si="3"/>
        <v>THOMPSON LESTER</v>
      </c>
    </row>
    <row r="246" spans="1:7" x14ac:dyDescent="0.25">
      <c r="A246" s="8">
        <v>42884.956099537034</v>
      </c>
      <c r="B246" t="s">
        <v>475</v>
      </c>
      <c r="C246" t="s">
        <v>571</v>
      </c>
      <c r="D246" s="141">
        <v>2610000</v>
      </c>
      <c r="E246" t="s">
        <v>438</v>
      </c>
      <c r="F246" s="20" t="s">
        <v>439</v>
      </c>
      <c r="G246" s="8" t="str">
        <f t="shared" si="3"/>
        <v>MAGEE KENYA</v>
      </c>
    </row>
    <row r="247" spans="1:7" x14ac:dyDescent="0.25">
      <c r="A247" s="8">
        <v>42884.965925925928</v>
      </c>
      <c r="B247" t="s">
        <v>541</v>
      </c>
      <c r="C247" t="s">
        <v>572</v>
      </c>
      <c r="D247" s="141">
        <v>2970000</v>
      </c>
      <c r="E247" t="s">
        <v>389</v>
      </c>
      <c r="F247" s="20" t="s">
        <v>390</v>
      </c>
      <c r="G247" s="8" t="str">
        <f t="shared" si="3"/>
        <v>GUZMAN DANNY</v>
      </c>
    </row>
    <row r="248" spans="1:7" x14ac:dyDescent="0.25">
      <c r="A248" s="8">
        <v>42884.969143518516</v>
      </c>
      <c r="B248" t="s">
        <v>341</v>
      </c>
      <c r="C248" t="s">
        <v>573</v>
      </c>
      <c r="D248" s="141">
        <v>2230000</v>
      </c>
      <c r="E248" t="s">
        <v>344</v>
      </c>
      <c r="F248" s="20" t="s">
        <v>194</v>
      </c>
      <c r="G248" s="8" t="str">
        <f t="shared" si="3"/>
        <v>SMITH MICHAEL</v>
      </c>
    </row>
    <row r="249" spans="1:7" x14ac:dyDescent="0.25">
      <c r="A249" s="8">
        <v>42884.986435185187</v>
      </c>
      <c r="B249" t="s">
        <v>449</v>
      </c>
      <c r="C249" t="s">
        <v>574</v>
      </c>
      <c r="D249" s="141">
        <v>2680000</v>
      </c>
      <c r="E249" t="s">
        <v>436</v>
      </c>
      <c r="F249" s="20" t="s">
        <v>437</v>
      </c>
      <c r="G249" s="8" t="str">
        <f t="shared" si="3"/>
        <v>DUNCAN SHEILA</v>
      </c>
    </row>
    <row r="250" spans="1:7" x14ac:dyDescent="0.25">
      <c r="A250" s="8">
        <v>42884.995706018519</v>
      </c>
      <c r="B250" t="s">
        <v>471</v>
      </c>
      <c r="C250" t="s">
        <v>575</v>
      </c>
      <c r="D250" s="141">
        <v>2610000</v>
      </c>
      <c r="E250" t="s">
        <v>438</v>
      </c>
      <c r="F250" s="20" t="s">
        <v>439</v>
      </c>
      <c r="G250" s="8" t="str">
        <f t="shared" si="3"/>
        <v>MAGEE KENYA</v>
      </c>
    </row>
    <row r="251" spans="1:7" x14ac:dyDescent="0.25">
      <c r="A251" s="8">
        <v>42885.007314814815</v>
      </c>
      <c r="B251" t="s">
        <v>509</v>
      </c>
      <c r="C251" t="s">
        <v>576</v>
      </c>
      <c r="D251" s="141">
        <v>2970000</v>
      </c>
      <c r="E251" t="s">
        <v>389</v>
      </c>
      <c r="F251" s="20" t="s">
        <v>390</v>
      </c>
      <c r="G251" s="8" t="str">
        <f t="shared" si="3"/>
        <v>GUZMAN DANNY</v>
      </c>
    </row>
    <row r="252" spans="1:7" x14ac:dyDescent="0.25">
      <c r="A252" s="8">
        <v>42885.011250000003</v>
      </c>
      <c r="B252" t="s">
        <v>342</v>
      </c>
      <c r="C252" t="s">
        <v>577</v>
      </c>
      <c r="D252" s="141">
        <v>2230000</v>
      </c>
      <c r="E252" t="s">
        <v>344</v>
      </c>
      <c r="F252" s="20" t="s">
        <v>194</v>
      </c>
      <c r="G252" s="8" t="str">
        <f t="shared" si="3"/>
        <v>SMITH MICHAEL</v>
      </c>
    </row>
    <row r="253" spans="1:7" x14ac:dyDescent="0.25">
      <c r="A253" s="8">
        <v>42885.027743055558</v>
      </c>
      <c r="B253" t="s">
        <v>475</v>
      </c>
      <c r="C253" t="s">
        <v>578</v>
      </c>
      <c r="D253" s="141">
        <v>2610000</v>
      </c>
      <c r="E253" t="s">
        <v>438</v>
      </c>
      <c r="F253" s="20" t="s">
        <v>439</v>
      </c>
      <c r="G253" s="8" t="str">
        <f t="shared" si="3"/>
        <v>MAGEE KENYA</v>
      </c>
    </row>
    <row r="254" spans="1:7" x14ac:dyDescent="0.25">
      <c r="A254" s="8">
        <v>42885.036597222221</v>
      </c>
      <c r="B254" t="s">
        <v>450</v>
      </c>
      <c r="C254" t="s">
        <v>579</v>
      </c>
      <c r="D254" s="141">
        <v>2680000</v>
      </c>
      <c r="E254" t="s">
        <v>436</v>
      </c>
      <c r="F254" s="20" t="s">
        <v>437</v>
      </c>
      <c r="G254" s="8" t="str">
        <f t="shared" si="3"/>
        <v>DUNCAN SHEILA</v>
      </c>
    </row>
    <row r="255" spans="1:7" x14ac:dyDescent="0.25">
      <c r="A255" s="8">
        <v>42885.048148148147</v>
      </c>
      <c r="B255" t="s">
        <v>341</v>
      </c>
      <c r="C255" t="s">
        <v>580</v>
      </c>
      <c r="D255" s="141">
        <v>2230000</v>
      </c>
      <c r="E255" t="s">
        <v>344</v>
      </c>
      <c r="F255" s="20" t="s">
        <v>194</v>
      </c>
      <c r="G255" s="8" t="str">
        <f t="shared" si="3"/>
        <v>SMITH MICHAEL</v>
      </c>
    </row>
    <row r="256" spans="1:7" x14ac:dyDescent="0.25">
      <c r="A256" s="8">
        <v>42885.053078703706</v>
      </c>
      <c r="B256" t="s">
        <v>541</v>
      </c>
      <c r="C256" t="s">
        <v>581</v>
      </c>
      <c r="D256" s="141">
        <v>2970000</v>
      </c>
      <c r="E256" t="s">
        <v>389</v>
      </c>
      <c r="F256" s="20" t="s">
        <v>390</v>
      </c>
      <c r="G256" s="8" t="str">
        <f t="shared" si="3"/>
        <v>GUZMAN DANNY</v>
      </c>
    </row>
    <row r="257" spans="1:7" x14ac:dyDescent="0.25">
      <c r="A257" s="8">
        <v>42885.070439814815</v>
      </c>
      <c r="B257" t="s">
        <v>449</v>
      </c>
      <c r="C257" t="s">
        <v>582</v>
      </c>
      <c r="D257" s="141">
        <v>2680000</v>
      </c>
      <c r="E257" t="s">
        <v>436</v>
      </c>
      <c r="F257" s="20" t="s">
        <v>437</v>
      </c>
      <c r="G257" s="8" t="str">
        <f t="shared" si="3"/>
        <v>DUNCAN SHEILA</v>
      </c>
    </row>
    <row r="258" spans="1:7" x14ac:dyDescent="0.25">
      <c r="A258" s="8">
        <v>42885.091249999998</v>
      </c>
      <c r="B258" t="s">
        <v>509</v>
      </c>
      <c r="C258" t="s">
        <v>583</v>
      </c>
      <c r="D258" s="141">
        <v>2970000</v>
      </c>
      <c r="E258" t="s">
        <v>389</v>
      </c>
      <c r="F258" s="20" t="s">
        <v>390</v>
      </c>
      <c r="G258" s="8" t="str">
        <f t="shared" si="3"/>
        <v>GUZMAN DANNY</v>
      </c>
    </row>
    <row r="259" spans="1:7" x14ac:dyDescent="0.25">
      <c r="A259" s="8">
        <v>42878.966261574074</v>
      </c>
      <c r="B259" t="s">
        <v>410</v>
      </c>
      <c r="C259" t="s">
        <v>478</v>
      </c>
      <c r="D259" s="141">
        <v>2680000</v>
      </c>
      <c r="E259" t="s">
        <v>436</v>
      </c>
      <c r="F259" s="20" t="s">
        <v>437</v>
      </c>
      <c r="G259" s="8" t="str">
        <f t="shared" ref="G259:G322" si="4">E259&amp;" "&amp;F259</f>
        <v>DUNCAN SHEILA</v>
      </c>
    </row>
    <row r="260" spans="1:7" x14ac:dyDescent="0.25">
      <c r="A260" s="8">
        <v>42878.972534722219</v>
      </c>
      <c r="B260" t="s">
        <v>341</v>
      </c>
      <c r="C260" t="s">
        <v>479</v>
      </c>
      <c r="D260" s="141">
        <v>2230000</v>
      </c>
      <c r="E260" t="s">
        <v>344</v>
      </c>
      <c r="F260" s="20" t="s">
        <v>194</v>
      </c>
      <c r="G260" s="8" t="str">
        <f t="shared" si="4"/>
        <v>SMITH MICHAEL</v>
      </c>
    </row>
    <row r="261" spans="1:7" x14ac:dyDescent="0.25">
      <c r="A261" s="8">
        <v>42878.975983796299</v>
      </c>
      <c r="B261" t="s">
        <v>471</v>
      </c>
      <c r="C261" t="s">
        <v>480</v>
      </c>
      <c r="D261" s="141">
        <v>2610000</v>
      </c>
      <c r="E261" t="s">
        <v>438</v>
      </c>
      <c r="F261" s="20" t="s">
        <v>439</v>
      </c>
      <c r="G261" s="8" t="str">
        <f t="shared" si="4"/>
        <v>MAGEE KENYA</v>
      </c>
    </row>
    <row r="262" spans="1:7" x14ac:dyDescent="0.25">
      <c r="A262" s="8">
        <v>42878.977905092594</v>
      </c>
      <c r="B262" t="s">
        <v>409</v>
      </c>
      <c r="C262" t="s">
        <v>473</v>
      </c>
      <c r="D262" s="141">
        <v>2680000</v>
      </c>
      <c r="E262" t="s">
        <v>436</v>
      </c>
      <c r="F262" s="20" t="s">
        <v>437</v>
      </c>
      <c r="G262" s="8" t="str">
        <f t="shared" si="4"/>
        <v>DUNCAN SHEILA</v>
      </c>
    </row>
    <row r="263" spans="1:7" x14ac:dyDescent="0.25">
      <c r="A263" s="8">
        <v>42878.984409722223</v>
      </c>
      <c r="B263" t="s">
        <v>379</v>
      </c>
      <c r="C263" t="s">
        <v>481</v>
      </c>
      <c r="D263" s="141">
        <v>2000000</v>
      </c>
      <c r="E263" t="s">
        <v>434</v>
      </c>
      <c r="F263" s="20" t="s">
        <v>191</v>
      </c>
      <c r="G263" s="8" t="str">
        <f t="shared" si="4"/>
        <v>STAMBAUGH JAMES</v>
      </c>
    </row>
    <row r="264" spans="1:7" x14ac:dyDescent="0.25">
      <c r="A264" s="8">
        <v>42878.985833333332</v>
      </c>
      <c r="B264" t="s">
        <v>410</v>
      </c>
      <c r="C264" t="s">
        <v>478</v>
      </c>
      <c r="D264" s="141">
        <v>2680000</v>
      </c>
      <c r="E264" t="s">
        <v>436</v>
      </c>
      <c r="F264" s="20" t="s">
        <v>437</v>
      </c>
      <c r="G264" s="8" t="str">
        <f t="shared" si="4"/>
        <v>DUNCAN SHEILA</v>
      </c>
    </row>
    <row r="265" spans="1:7" x14ac:dyDescent="0.25">
      <c r="A265" s="8">
        <v>42878.991388888891</v>
      </c>
      <c r="B265" t="s">
        <v>433</v>
      </c>
      <c r="C265" t="s">
        <v>482</v>
      </c>
      <c r="D265" s="141">
        <v>2140000</v>
      </c>
      <c r="E265" t="s">
        <v>428</v>
      </c>
      <c r="F265" s="20" t="s">
        <v>429</v>
      </c>
      <c r="G265" s="8" t="str">
        <f t="shared" si="4"/>
        <v>ROBINSON KADDIBA</v>
      </c>
    </row>
    <row r="266" spans="1:7" x14ac:dyDescent="0.25">
      <c r="A266" s="8">
        <v>42878.991539351853</v>
      </c>
      <c r="B266" t="s">
        <v>382</v>
      </c>
      <c r="C266" t="s">
        <v>481</v>
      </c>
      <c r="D266" s="141">
        <v>2000000</v>
      </c>
      <c r="E266" t="s">
        <v>434</v>
      </c>
      <c r="F266" s="20" t="s">
        <v>191</v>
      </c>
      <c r="G266" s="8" t="str">
        <f t="shared" si="4"/>
        <v>STAMBAUGH JAMES</v>
      </c>
    </row>
    <row r="267" spans="1:7" x14ac:dyDescent="0.25">
      <c r="A267" s="8">
        <v>42878.992789351854</v>
      </c>
      <c r="B267" t="s">
        <v>474</v>
      </c>
      <c r="C267" t="s">
        <v>483</v>
      </c>
      <c r="D267" s="141">
        <v>3000000</v>
      </c>
      <c r="E267" t="s">
        <v>476</v>
      </c>
      <c r="F267" s="20" t="s">
        <v>477</v>
      </c>
      <c r="G267" s="8" t="str">
        <f t="shared" si="4"/>
        <v>FORTUNATO FRANK</v>
      </c>
    </row>
    <row r="268" spans="1:7" x14ac:dyDescent="0.25">
      <c r="A268" s="8">
        <v>42879.005439814813</v>
      </c>
      <c r="B268" t="s">
        <v>409</v>
      </c>
      <c r="C268" t="s">
        <v>473</v>
      </c>
      <c r="D268" s="141">
        <v>2680000</v>
      </c>
      <c r="E268" t="s">
        <v>436</v>
      </c>
      <c r="F268" s="20" t="s">
        <v>437</v>
      </c>
      <c r="G268" s="8" t="str">
        <f t="shared" si="4"/>
        <v>DUNCAN SHEILA</v>
      </c>
    </row>
    <row r="269" spans="1:7" x14ac:dyDescent="0.25">
      <c r="A269" s="8">
        <v>42879.011724537035</v>
      </c>
      <c r="B269" t="s">
        <v>342</v>
      </c>
      <c r="C269" t="s">
        <v>484</v>
      </c>
      <c r="D269" s="141">
        <v>2230000</v>
      </c>
      <c r="E269" t="s">
        <v>344</v>
      </c>
      <c r="F269" s="20" t="s">
        <v>194</v>
      </c>
      <c r="G269" s="8" t="str">
        <f t="shared" si="4"/>
        <v>SMITH MICHAEL</v>
      </c>
    </row>
    <row r="270" spans="1:7" x14ac:dyDescent="0.25">
      <c r="A270" s="8">
        <v>42879.018900462965</v>
      </c>
      <c r="B270" t="s">
        <v>475</v>
      </c>
      <c r="C270" t="s">
        <v>485</v>
      </c>
      <c r="D270" s="141">
        <v>2610000</v>
      </c>
      <c r="E270" t="s">
        <v>438</v>
      </c>
      <c r="F270" s="20" t="s">
        <v>439</v>
      </c>
      <c r="G270" s="8" t="str">
        <f t="shared" si="4"/>
        <v>MAGEE KENYA</v>
      </c>
    </row>
    <row r="271" spans="1:7" x14ac:dyDescent="0.25">
      <c r="A271" s="8">
        <v>42879.026886574073</v>
      </c>
      <c r="B271" t="s">
        <v>363</v>
      </c>
      <c r="C271" t="s">
        <v>486</v>
      </c>
      <c r="D271" s="141">
        <v>2140000</v>
      </c>
      <c r="E271" t="s">
        <v>428</v>
      </c>
      <c r="F271" s="20" t="s">
        <v>429</v>
      </c>
      <c r="G271" s="8" t="str">
        <f t="shared" si="4"/>
        <v>ROBINSON KADDIBA</v>
      </c>
    </row>
    <row r="272" spans="1:7" x14ac:dyDescent="0.25">
      <c r="A272" s="8">
        <v>42879.027916666666</v>
      </c>
      <c r="B272" t="s">
        <v>472</v>
      </c>
      <c r="C272" t="s">
        <v>487</v>
      </c>
      <c r="D272" s="141">
        <v>3000000</v>
      </c>
      <c r="E272" t="s">
        <v>476</v>
      </c>
      <c r="F272" s="20" t="s">
        <v>477</v>
      </c>
      <c r="G272" s="8" t="str">
        <f t="shared" si="4"/>
        <v>FORTUNATO FRANK</v>
      </c>
    </row>
    <row r="273" spans="1:7" x14ac:dyDescent="0.25">
      <c r="A273" s="8">
        <v>42879.035393518519</v>
      </c>
      <c r="B273" t="s">
        <v>410</v>
      </c>
      <c r="C273" t="s">
        <v>478</v>
      </c>
      <c r="D273" s="141">
        <v>2680000</v>
      </c>
      <c r="E273" t="s">
        <v>436</v>
      </c>
      <c r="F273" s="20" t="s">
        <v>437</v>
      </c>
      <c r="G273" s="8" t="str">
        <f t="shared" si="4"/>
        <v>DUNCAN SHEILA</v>
      </c>
    </row>
    <row r="274" spans="1:7" x14ac:dyDescent="0.25">
      <c r="A274" s="8">
        <v>42879.048842592594</v>
      </c>
      <c r="B274" t="s">
        <v>341</v>
      </c>
      <c r="C274" t="s">
        <v>488</v>
      </c>
      <c r="D274" s="141">
        <v>2230000</v>
      </c>
      <c r="E274" t="s">
        <v>344</v>
      </c>
      <c r="F274" s="20" t="s">
        <v>194</v>
      </c>
      <c r="G274" s="8" t="str">
        <f t="shared" si="4"/>
        <v>SMITH MICHAEL</v>
      </c>
    </row>
    <row r="275" spans="1:7" x14ac:dyDescent="0.25">
      <c r="A275" s="8">
        <v>42879.059351851851</v>
      </c>
      <c r="B275" t="s">
        <v>471</v>
      </c>
      <c r="C275" t="s">
        <v>489</v>
      </c>
      <c r="D275" s="141">
        <v>2610000</v>
      </c>
      <c r="E275" t="s">
        <v>438</v>
      </c>
      <c r="F275" s="20" t="s">
        <v>439</v>
      </c>
      <c r="G275" s="8" t="str">
        <f t="shared" si="4"/>
        <v>MAGEE KENYA</v>
      </c>
    </row>
    <row r="276" spans="1:7" x14ac:dyDescent="0.25">
      <c r="A276" s="8">
        <v>42879.068622685183</v>
      </c>
      <c r="B276" t="s">
        <v>474</v>
      </c>
      <c r="C276" t="s">
        <v>490</v>
      </c>
      <c r="D276" s="141">
        <v>3000000</v>
      </c>
      <c r="E276" t="s">
        <v>476</v>
      </c>
      <c r="F276" s="20" t="s">
        <v>477</v>
      </c>
      <c r="G276" s="8" t="str">
        <f t="shared" si="4"/>
        <v>FORTUNATO FRANK</v>
      </c>
    </row>
    <row r="277" spans="1:7" x14ac:dyDescent="0.25">
      <c r="A277" s="8">
        <v>42879.089687500003</v>
      </c>
      <c r="B277" t="s">
        <v>475</v>
      </c>
      <c r="C277" t="s">
        <v>491</v>
      </c>
      <c r="D277" s="141">
        <v>2610000</v>
      </c>
      <c r="E277" t="s">
        <v>438</v>
      </c>
      <c r="F277" s="20" t="s">
        <v>439</v>
      </c>
      <c r="G277" s="8" t="str">
        <f t="shared" si="4"/>
        <v>MAGEE KENYA</v>
      </c>
    </row>
    <row r="278" spans="1:7" x14ac:dyDescent="0.25">
      <c r="A278" s="8">
        <v>42872.041689814818</v>
      </c>
      <c r="B278" t="s">
        <v>415</v>
      </c>
      <c r="C278" t="s">
        <v>416</v>
      </c>
      <c r="D278" s="141">
        <v>2970000</v>
      </c>
      <c r="E278" t="s">
        <v>389</v>
      </c>
      <c r="F278" s="20" t="s">
        <v>390</v>
      </c>
      <c r="G278" s="8" t="str">
        <f t="shared" si="4"/>
        <v>GUZMAN DANNY</v>
      </c>
    </row>
    <row r="279" spans="1:7" x14ac:dyDescent="0.25">
      <c r="A279" s="8">
        <v>42872.04792824074</v>
      </c>
      <c r="B279" t="s">
        <v>414</v>
      </c>
      <c r="C279" t="s">
        <v>420</v>
      </c>
      <c r="D279" s="141">
        <v>1810000</v>
      </c>
      <c r="E279" t="s">
        <v>375</v>
      </c>
      <c r="F279" s="20" t="s">
        <v>191</v>
      </c>
      <c r="G279" s="8" t="str">
        <f t="shared" si="4"/>
        <v>NEWELL JAMES</v>
      </c>
    </row>
    <row r="280" spans="1:7" x14ac:dyDescent="0.25">
      <c r="A280" s="8">
        <v>42872.049421296295</v>
      </c>
      <c r="B280" t="s">
        <v>342</v>
      </c>
      <c r="C280" t="s">
        <v>421</v>
      </c>
      <c r="D280" s="141">
        <v>3090000</v>
      </c>
      <c r="E280" t="s">
        <v>385</v>
      </c>
      <c r="F280" s="20" t="s">
        <v>386</v>
      </c>
      <c r="G280" s="8" t="str">
        <f t="shared" si="4"/>
        <v>LAMAR NEKESHA</v>
      </c>
    </row>
    <row r="281" spans="1:7" x14ac:dyDescent="0.25">
      <c r="A281" s="8">
        <v>42872.051990740743</v>
      </c>
      <c r="B281" t="s">
        <v>410</v>
      </c>
      <c r="C281" t="s">
        <v>417</v>
      </c>
      <c r="D281" s="141">
        <v>3010000</v>
      </c>
      <c r="E281" t="s">
        <v>403</v>
      </c>
      <c r="F281" s="20" t="s">
        <v>404</v>
      </c>
      <c r="G281" s="8" t="str">
        <f t="shared" si="4"/>
        <v>SULLIVAN BRANDON</v>
      </c>
    </row>
    <row r="282" spans="1:7" x14ac:dyDescent="0.25">
      <c r="A282" s="8">
        <v>42872.055347222224</v>
      </c>
      <c r="B282" t="s">
        <v>418</v>
      </c>
      <c r="C282" t="s">
        <v>419</v>
      </c>
      <c r="D282" s="141">
        <v>2970000</v>
      </c>
      <c r="E282" t="s">
        <v>389</v>
      </c>
      <c r="F282" s="20" t="s">
        <v>390</v>
      </c>
      <c r="G282" s="8" t="str">
        <f t="shared" si="4"/>
        <v>GUZMAN DANNY</v>
      </c>
    </row>
    <row r="283" spans="1:7" x14ac:dyDescent="0.25">
      <c r="A283" s="8">
        <v>42872.065578703703</v>
      </c>
      <c r="B283" t="s">
        <v>409</v>
      </c>
      <c r="C283" t="s">
        <v>417</v>
      </c>
      <c r="D283" s="141">
        <v>3010000</v>
      </c>
      <c r="E283" t="s">
        <v>403</v>
      </c>
      <c r="F283" s="20" t="s">
        <v>404</v>
      </c>
      <c r="G283" s="8" t="str">
        <f t="shared" si="4"/>
        <v>SULLIVAN BRANDON</v>
      </c>
    </row>
    <row r="284" spans="1:7" x14ac:dyDescent="0.25">
      <c r="A284" s="8">
        <v>42872.066493055558</v>
      </c>
      <c r="B284" t="s">
        <v>413</v>
      </c>
      <c r="C284" t="s">
        <v>422</v>
      </c>
      <c r="D284" s="141">
        <v>3030000</v>
      </c>
      <c r="E284" t="s">
        <v>391</v>
      </c>
      <c r="F284" s="20" t="s">
        <v>374</v>
      </c>
      <c r="G284" s="8" t="str">
        <f t="shared" si="4"/>
        <v>BIRENBAUM THOMAS</v>
      </c>
    </row>
    <row r="285" spans="1:7" x14ac:dyDescent="0.25">
      <c r="A285" s="8">
        <v>42872.067164351851</v>
      </c>
      <c r="B285" t="s">
        <v>409</v>
      </c>
      <c r="C285" t="s">
        <v>417</v>
      </c>
      <c r="D285" s="141">
        <v>3010000</v>
      </c>
      <c r="E285" t="s">
        <v>403</v>
      </c>
      <c r="F285" s="20" t="s">
        <v>404</v>
      </c>
      <c r="G285" s="8" t="str">
        <f t="shared" si="4"/>
        <v>SULLIVAN BRANDON</v>
      </c>
    </row>
    <row r="286" spans="1:7" x14ac:dyDescent="0.25">
      <c r="A286" s="8">
        <v>42872.068761574075</v>
      </c>
      <c r="B286" t="s">
        <v>415</v>
      </c>
      <c r="C286" t="s">
        <v>416</v>
      </c>
      <c r="D286" s="141">
        <v>2970000</v>
      </c>
      <c r="E286" t="s">
        <v>389</v>
      </c>
      <c r="F286" s="20" t="s">
        <v>390</v>
      </c>
      <c r="G286" s="8" t="str">
        <f t="shared" si="4"/>
        <v>GUZMAN DANNY</v>
      </c>
    </row>
    <row r="287" spans="1:7" x14ac:dyDescent="0.25">
      <c r="A287" s="8">
        <v>42872.08258101852</v>
      </c>
      <c r="B287" t="s">
        <v>418</v>
      </c>
      <c r="C287" t="s">
        <v>419</v>
      </c>
      <c r="D287" s="141">
        <v>2970000</v>
      </c>
      <c r="E287" t="s">
        <v>389</v>
      </c>
      <c r="F287" s="20" t="s">
        <v>390</v>
      </c>
      <c r="G287" s="8" t="str">
        <f t="shared" si="4"/>
        <v>GUZMAN DANNY</v>
      </c>
    </row>
    <row r="288" spans="1:7" x14ac:dyDescent="0.25">
      <c r="A288" s="8">
        <v>42872.08861111111</v>
      </c>
      <c r="B288" t="s">
        <v>341</v>
      </c>
      <c r="C288" t="s">
        <v>423</v>
      </c>
      <c r="D288" s="141">
        <v>3090000</v>
      </c>
      <c r="E288" t="s">
        <v>385</v>
      </c>
      <c r="F288" s="20" t="s">
        <v>386</v>
      </c>
      <c r="G288" s="8" t="str">
        <f t="shared" si="4"/>
        <v>LAMAR NEKESHA</v>
      </c>
    </row>
    <row r="289" spans="1:7" x14ac:dyDescent="0.25">
      <c r="A289" s="8">
        <v>42872.095833333333</v>
      </c>
      <c r="B289" t="s">
        <v>415</v>
      </c>
      <c r="C289" t="s">
        <v>416</v>
      </c>
      <c r="D289" s="141">
        <v>2970000</v>
      </c>
      <c r="E289" t="s">
        <v>389</v>
      </c>
      <c r="F289" s="20" t="s">
        <v>390</v>
      </c>
      <c r="G289" s="8" t="str">
        <f t="shared" si="4"/>
        <v>GUZMAN DANNY</v>
      </c>
    </row>
    <row r="290" spans="1:7" x14ac:dyDescent="0.25">
      <c r="A290" s="8">
        <v>42872.099791666667</v>
      </c>
      <c r="B290" t="s">
        <v>410</v>
      </c>
      <c r="C290" t="s">
        <v>417</v>
      </c>
      <c r="D290" s="141">
        <v>3010000</v>
      </c>
      <c r="E290" t="s">
        <v>403</v>
      </c>
      <c r="F290" s="20" t="s">
        <v>404</v>
      </c>
      <c r="G290" s="8" t="str">
        <f t="shared" si="4"/>
        <v>SULLIVAN BRANDON</v>
      </c>
    </row>
    <row r="291" spans="1:7" x14ac:dyDescent="0.25">
      <c r="A291" s="8">
        <v>42872.100324074076</v>
      </c>
      <c r="B291" t="s">
        <v>410</v>
      </c>
      <c r="C291" t="s">
        <v>417</v>
      </c>
      <c r="D291" s="141">
        <v>3010000</v>
      </c>
      <c r="E291" t="s">
        <v>403</v>
      </c>
      <c r="F291" s="20" t="s">
        <v>404</v>
      </c>
      <c r="G291" s="8" t="str">
        <f t="shared" si="4"/>
        <v>SULLIVAN BRANDON</v>
      </c>
    </row>
    <row r="292" spans="1:7" x14ac:dyDescent="0.25">
      <c r="A292" s="8">
        <v>42872.100856481484</v>
      </c>
      <c r="B292" t="s">
        <v>410</v>
      </c>
      <c r="C292" t="s">
        <v>417</v>
      </c>
      <c r="D292" s="141">
        <v>3010000</v>
      </c>
      <c r="E292" t="s">
        <v>403</v>
      </c>
      <c r="F292" s="20" t="s">
        <v>404</v>
      </c>
      <c r="G292" s="8" t="str">
        <f t="shared" si="4"/>
        <v>SULLIVAN BRANDON</v>
      </c>
    </row>
    <row r="293" spans="1:7" x14ac:dyDescent="0.25">
      <c r="A293" s="8">
        <v>42872.1018287037</v>
      </c>
      <c r="B293" t="s">
        <v>410</v>
      </c>
      <c r="C293" t="s">
        <v>417</v>
      </c>
      <c r="D293" s="141">
        <v>3010000</v>
      </c>
      <c r="E293" t="s">
        <v>403</v>
      </c>
      <c r="F293" s="20" t="s">
        <v>404</v>
      </c>
      <c r="G293" s="8" t="str">
        <f t="shared" si="4"/>
        <v>SULLIVAN BRANDON</v>
      </c>
    </row>
    <row r="294" spans="1:7" x14ac:dyDescent="0.25">
      <c r="A294" s="8">
        <v>42872.110578703701</v>
      </c>
      <c r="B294" t="s">
        <v>418</v>
      </c>
      <c r="C294" t="s">
        <v>419</v>
      </c>
      <c r="D294" s="141">
        <v>2970000</v>
      </c>
      <c r="E294" t="s">
        <v>389</v>
      </c>
      <c r="F294" s="20" t="s">
        <v>390</v>
      </c>
      <c r="G294" s="8" t="str">
        <f t="shared" si="4"/>
        <v>GUZMAN DANNY</v>
      </c>
    </row>
    <row r="295" spans="1:7" x14ac:dyDescent="0.25">
      <c r="A295" s="8">
        <v>42864.030914351853</v>
      </c>
      <c r="B295" t="s">
        <v>341</v>
      </c>
      <c r="C295" t="s">
        <v>396</v>
      </c>
      <c r="D295" s="141">
        <v>1800000</v>
      </c>
      <c r="E295" t="s">
        <v>387</v>
      </c>
      <c r="F295" s="20" t="s">
        <v>388</v>
      </c>
      <c r="G295" s="8" t="str">
        <f t="shared" si="4"/>
        <v>CHANDLER KELVIN</v>
      </c>
    </row>
    <row r="296" spans="1:7" x14ac:dyDescent="0.25">
      <c r="A296" s="8">
        <v>42864.036122685182</v>
      </c>
      <c r="B296" t="s">
        <v>373</v>
      </c>
      <c r="C296" t="s">
        <v>397</v>
      </c>
      <c r="D296" s="141">
        <v>3030000</v>
      </c>
      <c r="E296" t="s">
        <v>391</v>
      </c>
      <c r="F296" s="20" t="s">
        <v>374</v>
      </c>
      <c r="G296" s="8" t="str">
        <f t="shared" si="4"/>
        <v>BIRENBAUM THOMAS</v>
      </c>
    </row>
    <row r="297" spans="1:7" x14ac:dyDescent="0.25">
      <c r="A297" s="8">
        <v>42864.042592592596</v>
      </c>
      <c r="B297" t="s">
        <v>384</v>
      </c>
      <c r="C297" t="s">
        <v>380</v>
      </c>
      <c r="D297" s="141">
        <v>2970000</v>
      </c>
      <c r="E297" t="s">
        <v>389</v>
      </c>
      <c r="F297" s="20" t="s">
        <v>390</v>
      </c>
      <c r="G297" s="8" t="str">
        <f t="shared" si="4"/>
        <v>GUZMAN DANNY</v>
      </c>
    </row>
    <row r="298" spans="1:7" x14ac:dyDescent="0.25">
      <c r="A298" s="8">
        <v>42864.048067129632</v>
      </c>
      <c r="B298" t="s">
        <v>363</v>
      </c>
      <c r="C298" t="s">
        <v>398</v>
      </c>
      <c r="D298" s="141">
        <v>2230000</v>
      </c>
      <c r="E298" t="s">
        <v>344</v>
      </c>
      <c r="F298" s="20" t="s">
        <v>194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378</v>
      </c>
      <c r="C299" t="s">
        <v>380</v>
      </c>
      <c r="D299" s="141">
        <v>2970000</v>
      </c>
      <c r="E299" t="s">
        <v>389</v>
      </c>
      <c r="F299" s="20" t="s">
        <v>390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379</v>
      </c>
      <c r="C300" t="s">
        <v>383</v>
      </c>
      <c r="D300" s="141">
        <v>3130000</v>
      </c>
      <c r="E300" t="s">
        <v>394</v>
      </c>
      <c r="F300" s="20" t="s">
        <v>395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378</v>
      </c>
      <c r="C301" t="s">
        <v>380</v>
      </c>
      <c r="D301" s="141">
        <v>2970000</v>
      </c>
      <c r="E301" t="s">
        <v>389</v>
      </c>
      <c r="F301" s="20" t="s">
        <v>390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370</v>
      </c>
      <c r="C302" t="s">
        <v>381</v>
      </c>
      <c r="D302" s="141">
        <v>3040000</v>
      </c>
      <c r="E302" t="s">
        <v>392</v>
      </c>
      <c r="F302" s="20" t="s">
        <v>393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370</v>
      </c>
      <c r="C303" t="s">
        <v>381</v>
      </c>
      <c r="D303" s="141">
        <v>3040000</v>
      </c>
      <c r="E303" t="s">
        <v>392</v>
      </c>
      <c r="F303" s="20" t="s">
        <v>393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343</v>
      </c>
      <c r="C304" t="s">
        <v>399</v>
      </c>
      <c r="D304" s="141">
        <v>3030000</v>
      </c>
      <c r="E304" t="s">
        <v>391</v>
      </c>
      <c r="F304" s="20" t="s">
        <v>374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384</v>
      </c>
      <c r="C305" t="s">
        <v>380</v>
      </c>
      <c r="D305" s="141">
        <v>2970000</v>
      </c>
      <c r="E305" t="s">
        <v>389</v>
      </c>
      <c r="F305" s="20" t="s">
        <v>390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378</v>
      </c>
      <c r="C306" t="s">
        <v>380</v>
      </c>
      <c r="D306" s="141">
        <v>2970000</v>
      </c>
      <c r="E306" t="s">
        <v>389</v>
      </c>
      <c r="F306" s="20" t="s">
        <v>390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371</v>
      </c>
      <c r="C307" t="s">
        <v>381</v>
      </c>
      <c r="D307" s="141">
        <v>3040000</v>
      </c>
      <c r="E307" t="s">
        <v>392</v>
      </c>
      <c r="F307" s="20" t="s">
        <v>393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382</v>
      </c>
      <c r="C308" t="s">
        <v>400</v>
      </c>
      <c r="D308" s="141">
        <v>3130000</v>
      </c>
      <c r="E308" t="s">
        <v>394</v>
      </c>
      <c r="F308" s="20" t="s">
        <v>395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370</v>
      </c>
      <c r="C309" t="s">
        <v>381</v>
      </c>
      <c r="D309" s="141">
        <v>3040000</v>
      </c>
      <c r="E309" t="s">
        <v>392</v>
      </c>
      <c r="F309" s="20" t="s">
        <v>393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384</v>
      </c>
      <c r="C310" t="s">
        <v>380</v>
      </c>
      <c r="D310" s="141">
        <v>2970000</v>
      </c>
      <c r="E310" t="s">
        <v>389</v>
      </c>
      <c r="F310" s="20" t="s">
        <v>390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378</v>
      </c>
      <c r="C311" t="s">
        <v>380</v>
      </c>
      <c r="D311" s="141">
        <v>2970000</v>
      </c>
      <c r="E311" t="s">
        <v>389</v>
      </c>
      <c r="F311" s="20" t="s">
        <v>390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Q29"/>
    </sheetView>
  </sheetViews>
  <sheetFormatPr defaultRowHeight="15" x14ac:dyDescent="0.25"/>
  <cols>
    <col min="1" max="1" width="22.5703125" style="144" customWidth="1"/>
    <col min="2" max="2" width="8.42578125" style="144" bestFit="1" customWidth="1"/>
    <col min="3" max="3" width="12.5703125" style="144" bestFit="1" customWidth="1"/>
    <col min="4" max="4" width="18.5703125" style="133" bestFit="1" customWidth="1"/>
    <col min="5" max="5" width="9.85546875" style="144" bestFit="1" customWidth="1"/>
    <col min="6" max="6" width="9" style="144" bestFit="1" customWidth="1"/>
    <col min="7" max="7" width="8.85546875" style="144" bestFit="1" customWidth="1"/>
    <col min="8" max="8" width="14" style="144" bestFit="1" customWidth="1"/>
    <col min="9" max="9" width="21.140625" style="144" bestFit="1" customWidth="1"/>
    <col min="10" max="10" width="8.7109375" style="144" bestFit="1" customWidth="1"/>
    <col min="11" max="11" width="11.28515625" style="144" bestFit="1" customWidth="1"/>
    <col min="12" max="12" width="11" style="144" bestFit="1" customWidth="1"/>
    <col min="13" max="13" width="11.28515625" style="144" bestFit="1" customWidth="1"/>
    <col min="14" max="14" width="13.7109375" style="144" bestFit="1" customWidth="1"/>
    <col min="15" max="15" width="14.85546875" style="144" bestFit="1" customWidth="1"/>
    <col min="16" max="16" width="16.7109375" style="144" bestFit="1" customWidth="1"/>
    <col min="17" max="17" width="9.42578125" style="113" bestFit="1" customWidth="1"/>
    <col min="18" max="16384" width="9.140625" style="113"/>
  </cols>
  <sheetData>
    <row r="1" spans="1:18" s="114" customFormat="1" x14ac:dyDescent="0.25">
      <c r="A1" s="178" t="s">
        <v>160</v>
      </c>
      <c r="B1" s="178" t="s">
        <v>163</v>
      </c>
      <c r="C1" s="178" t="s">
        <v>156</v>
      </c>
      <c r="D1" s="139" t="s">
        <v>168</v>
      </c>
      <c r="E1" s="178" t="s">
        <v>157</v>
      </c>
      <c r="F1" s="178" t="s">
        <v>155</v>
      </c>
      <c r="G1" s="178" t="s">
        <v>153</v>
      </c>
      <c r="H1" s="178" t="s">
        <v>166</v>
      </c>
      <c r="I1" s="178" t="s">
        <v>167</v>
      </c>
      <c r="J1" s="178" t="s">
        <v>376</v>
      </c>
      <c r="K1" s="178" t="s">
        <v>161</v>
      </c>
      <c r="L1" s="178" t="s">
        <v>159</v>
      </c>
      <c r="M1" s="178" t="s">
        <v>154</v>
      </c>
      <c r="N1" s="178" t="s">
        <v>164</v>
      </c>
      <c r="O1" s="178" t="s">
        <v>158</v>
      </c>
      <c r="P1" s="178" t="s">
        <v>165</v>
      </c>
      <c r="Q1" s="178" t="s">
        <v>162</v>
      </c>
      <c r="R1"/>
    </row>
    <row r="2" spans="1:18" x14ac:dyDescent="0.25">
      <c r="A2" s="179">
        <v>53.66</v>
      </c>
      <c r="B2" s="179">
        <v>0.17</v>
      </c>
      <c r="C2" s="179">
        <v>44.41</v>
      </c>
      <c r="D2" s="8">
        <v>42885</v>
      </c>
      <c r="E2" s="179">
        <v>0.71</v>
      </c>
      <c r="F2" s="179" t="s">
        <v>584</v>
      </c>
      <c r="G2" s="179">
        <v>348.21</v>
      </c>
      <c r="H2" s="179">
        <v>8.0000000000000004E-4</v>
      </c>
      <c r="I2" s="179">
        <v>0.01</v>
      </c>
      <c r="J2" s="179" t="s">
        <v>377</v>
      </c>
      <c r="K2" s="179">
        <v>1020.85</v>
      </c>
      <c r="L2" s="179" t="s">
        <v>585</v>
      </c>
      <c r="M2" s="179">
        <v>53.66</v>
      </c>
      <c r="N2" s="179">
        <v>1496124000</v>
      </c>
      <c r="O2" s="179">
        <v>4.0599999999999996</v>
      </c>
      <c r="P2" s="179">
        <v>184</v>
      </c>
      <c r="Q2" s="179">
        <v>1.8</v>
      </c>
      <c r="R2"/>
    </row>
    <row r="3" spans="1:18" x14ac:dyDescent="0.25">
      <c r="A3" s="179">
        <v>52.36</v>
      </c>
      <c r="B3" s="179">
        <v>0.17</v>
      </c>
      <c r="C3" s="179">
        <v>44.55</v>
      </c>
      <c r="D3" s="8">
        <v>42885.041666666664</v>
      </c>
      <c r="E3" s="179">
        <v>0.75</v>
      </c>
      <c r="F3" s="179" t="s">
        <v>584</v>
      </c>
      <c r="G3" s="179">
        <v>348.52</v>
      </c>
      <c r="H3" s="179">
        <v>0</v>
      </c>
      <c r="I3" s="179">
        <v>0</v>
      </c>
      <c r="J3" s="179"/>
      <c r="K3" s="179">
        <v>1020.72</v>
      </c>
      <c r="L3" s="179" t="s">
        <v>585</v>
      </c>
      <c r="M3" s="179">
        <v>52.36</v>
      </c>
      <c r="N3" s="179">
        <v>1496127600</v>
      </c>
      <c r="O3" s="179">
        <v>4.1100000000000003</v>
      </c>
      <c r="P3" s="179">
        <v>191</v>
      </c>
      <c r="Q3" s="179">
        <v>1.88</v>
      </c>
      <c r="R3"/>
    </row>
    <row r="4" spans="1:18" x14ac:dyDescent="0.25">
      <c r="A4" s="179">
        <v>50.76</v>
      </c>
      <c r="B4" s="179">
        <v>0.18</v>
      </c>
      <c r="C4" s="179">
        <v>43.84</v>
      </c>
      <c r="D4" s="8">
        <v>42885.083333333336</v>
      </c>
      <c r="E4" s="179">
        <v>0.77</v>
      </c>
      <c r="F4" s="179" t="s">
        <v>584</v>
      </c>
      <c r="G4" s="179">
        <v>348.82</v>
      </c>
      <c r="H4" s="179">
        <v>0</v>
      </c>
      <c r="I4" s="179">
        <v>0</v>
      </c>
      <c r="J4" s="179"/>
      <c r="K4" s="179">
        <v>1020.59</v>
      </c>
      <c r="L4" s="179" t="s">
        <v>585</v>
      </c>
      <c r="M4" s="179">
        <v>50.76</v>
      </c>
      <c r="N4" s="179">
        <v>1496131200</v>
      </c>
      <c r="O4" s="179">
        <v>3.92</v>
      </c>
      <c r="P4" s="179">
        <v>194</v>
      </c>
      <c r="Q4" s="179">
        <v>2.15</v>
      </c>
      <c r="R4"/>
    </row>
    <row r="5" spans="1:18" x14ac:dyDescent="0.25">
      <c r="A5" s="179">
        <v>49.16</v>
      </c>
      <c r="B5" s="179">
        <v>0.12</v>
      </c>
      <c r="C5" s="179">
        <v>42.9</v>
      </c>
      <c r="D5" s="8">
        <v>42885.125</v>
      </c>
      <c r="E5" s="179">
        <v>0.79</v>
      </c>
      <c r="F5" s="179" t="s">
        <v>584</v>
      </c>
      <c r="G5" s="179">
        <v>349.13</v>
      </c>
      <c r="H5" s="179">
        <v>0</v>
      </c>
      <c r="I5" s="179">
        <v>0</v>
      </c>
      <c r="J5" s="179"/>
      <c r="K5" s="179">
        <v>1020.45</v>
      </c>
      <c r="L5" s="179" t="s">
        <v>585</v>
      </c>
      <c r="M5" s="179">
        <v>49.16</v>
      </c>
      <c r="N5" s="179">
        <v>1496134800</v>
      </c>
      <c r="O5" s="179">
        <v>3.99</v>
      </c>
      <c r="P5" s="179">
        <v>198</v>
      </c>
      <c r="Q5" s="179">
        <v>3</v>
      </c>
      <c r="R5"/>
    </row>
    <row r="6" spans="1:18" x14ac:dyDescent="0.25">
      <c r="A6" s="179">
        <v>48.07</v>
      </c>
      <c r="B6" s="179">
        <v>0.1</v>
      </c>
      <c r="C6" s="179">
        <v>41.99</v>
      </c>
      <c r="D6" s="8">
        <v>42885.166666666664</v>
      </c>
      <c r="E6" s="179">
        <v>0.79</v>
      </c>
      <c r="F6" s="179" t="s">
        <v>584</v>
      </c>
      <c r="G6" s="179">
        <v>349.28</v>
      </c>
      <c r="H6" s="179">
        <v>0</v>
      </c>
      <c r="I6" s="179">
        <v>0</v>
      </c>
      <c r="J6" s="179"/>
      <c r="K6" s="179">
        <v>1020.55</v>
      </c>
      <c r="L6" s="179" t="s">
        <v>585</v>
      </c>
      <c r="M6" s="179">
        <v>48.07</v>
      </c>
      <c r="N6" s="179">
        <v>1496138400</v>
      </c>
      <c r="O6" s="179">
        <v>4.46</v>
      </c>
      <c r="P6" s="179">
        <v>176</v>
      </c>
      <c r="Q6" s="179">
        <v>2.0299999999999998</v>
      </c>
      <c r="R6"/>
    </row>
    <row r="7" spans="1:18" x14ac:dyDescent="0.25">
      <c r="A7" s="179">
        <v>48.39</v>
      </c>
      <c r="B7" s="179">
        <v>0.1</v>
      </c>
      <c r="C7" s="179">
        <v>42.29</v>
      </c>
      <c r="D7" s="8">
        <v>42885.208333333336</v>
      </c>
      <c r="E7" s="179">
        <v>0.79</v>
      </c>
      <c r="F7" s="179" t="s">
        <v>584</v>
      </c>
      <c r="G7" s="179">
        <v>349.37</v>
      </c>
      <c r="H7" s="179">
        <v>0</v>
      </c>
      <c r="I7" s="179">
        <v>0</v>
      </c>
      <c r="J7" s="179"/>
      <c r="K7" s="179">
        <v>1020.72</v>
      </c>
      <c r="L7" s="179" t="s">
        <v>585</v>
      </c>
      <c r="M7" s="179">
        <v>48.39</v>
      </c>
      <c r="N7" s="179">
        <v>1496142000</v>
      </c>
      <c r="O7" s="179">
        <v>5.37</v>
      </c>
      <c r="P7" s="179">
        <v>194</v>
      </c>
      <c r="Q7" s="179">
        <v>2.85</v>
      </c>
      <c r="R7"/>
    </row>
    <row r="8" spans="1:18" x14ac:dyDescent="0.25">
      <c r="A8" s="179">
        <v>49.48</v>
      </c>
      <c r="B8" s="179">
        <v>0.08</v>
      </c>
      <c r="C8" s="179">
        <v>43</v>
      </c>
      <c r="D8" s="8">
        <v>42885.25</v>
      </c>
      <c r="E8" s="179">
        <v>0.78</v>
      </c>
      <c r="F8" s="179" t="s">
        <v>586</v>
      </c>
      <c r="G8" s="179">
        <v>349.46</v>
      </c>
      <c r="H8" s="179">
        <v>0</v>
      </c>
      <c r="I8" s="179">
        <v>0</v>
      </c>
      <c r="J8" s="179"/>
      <c r="K8" s="179">
        <v>1020.66</v>
      </c>
      <c r="L8" s="179" t="s">
        <v>585</v>
      </c>
      <c r="M8" s="179">
        <v>49.48</v>
      </c>
      <c r="N8" s="179">
        <v>1496145600</v>
      </c>
      <c r="O8" s="179">
        <v>10</v>
      </c>
      <c r="P8" s="179">
        <v>248</v>
      </c>
      <c r="Q8" s="179">
        <v>2.04</v>
      </c>
      <c r="R8"/>
    </row>
    <row r="9" spans="1:18" x14ac:dyDescent="0.25">
      <c r="A9" s="179">
        <v>51.96</v>
      </c>
      <c r="B9" s="179">
        <v>0.14000000000000001</v>
      </c>
      <c r="C9" s="179">
        <v>43.19</v>
      </c>
      <c r="D9" s="8">
        <v>42885.291666666664</v>
      </c>
      <c r="E9" s="179">
        <v>0.72</v>
      </c>
      <c r="F9" s="179" t="s">
        <v>586</v>
      </c>
      <c r="G9" s="179">
        <v>349.66</v>
      </c>
      <c r="H9" s="179">
        <v>0</v>
      </c>
      <c r="I9" s="179">
        <v>0</v>
      </c>
      <c r="J9" s="179"/>
      <c r="K9" s="179">
        <v>1020.12</v>
      </c>
      <c r="L9" s="179" t="s">
        <v>585</v>
      </c>
      <c r="M9" s="179">
        <v>51.96</v>
      </c>
      <c r="N9" s="179">
        <v>1496149200</v>
      </c>
      <c r="O9" s="179">
        <v>3.33</v>
      </c>
      <c r="P9" s="179">
        <v>242</v>
      </c>
      <c r="Q9" s="179">
        <v>1.43</v>
      </c>
      <c r="R9"/>
    </row>
    <row r="10" spans="1:18" x14ac:dyDescent="0.25">
      <c r="A10" s="179">
        <v>58.02</v>
      </c>
      <c r="B10" s="179">
        <v>0.14000000000000001</v>
      </c>
      <c r="C10" s="179">
        <v>43.59</v>
      </c>
      <c r="D10" s="8">
        <v>42885.333333333336</v>
      </c>
      <c r="E10" s="179">
        <v>0.59</v>
      </c>
      <c r="F10" s="179" t="s">
        <v>586</v>
      </c>
      <c r="G10" s="179">
        <v>349.86</v>
      </c>
      <c r="H10" s="179">
        <v>0</v>
      </c>
      <c r="I10" s="179">
        <v>0</v>
      </c>
      <c r="J10" s="179"/>
      <c r="K10" s="179">
        <v>1019.32</v>
      </c>
      <c r="L10" s="179" t="s">
        <v>585</v>
      </c>
      <c r="M10" s="179">
        <v>58.02</v>
      </c>
      <c r="N10" s="179">
        <v>1496152800</v>
      </c>
      <c r="O10" s="179">
        <v>3.03</v>
      </c>
      <c r="P10" s="179">
        <v>315</v>
      </c>
      <c r="Q10" s="179">
        <v>0.89</v>
      </c>
      <c r="R10"/>
    </row>
    <row r="11" spans="1:18" x14ac:dyDescent="0.25">
      <c r="A11" s="179">
        <v>62.98</v>
      </c>
      <c r="B11" s="179">
        <v>0.15</v>
      </c>
      <c r="C11" s="179">
        <v>43.59</v>
      </c>
      <c r="D11" s="8">
        <v>42885.375</v>
      </c>
      <c r="E11" s="179">
        <v>0.49</v>
      </c>
      <c r="F11" s="179" t="s">
        <v>586</v>
      </c>
      <c r="G11" s="179">
        <v>349.86</v>
      </c>
      <c r="H11" s="179">
        <v>0</v>
      </c>
      <c r="I11" s="179">
        <v>0</v>
      </c>
      <c r="J11" s="179"/>
      <c r="K11" s="179">
        <v>1018.47</v>
      </c>
      <c r="L11" s="179" t="s">
        <v>585</v>
      </c>
      <c r="M11" s="179">
        <v>62.98</v>
      </c>
      <c r="N11" s="179">
        <v>1496156400</v>
      </c>
      <c r="O11" s="179">
        <v>2.9</v>
      </c>
      <c r="P11" s="179">
        <v>13</v>
      </c>
      <c r="Q11" s="179">
        <v>1.3</v>
      </c>
      <c r="R11"/>
    </row>
    <row r="12" spans="1:18" x14ac:dyDescent="0.25">
      <c r="A12" s="179">
        <v>66.78</v>
      </c>
      <c r="B12" s="179">
        <v>0.17</v>
      </c>
      <c r="C12" s="179">
        <v>43.87</v>
      </c>
      <c r="D12" s="8">
        <v>42885.416666666664</v>
      </c>
      <c r="E12" s="179">
        <v>0.44</v>
      </c>
      <c r="F12" s="179" t="s">
        <v>586</v>
      </c>
      <c r="G12" s="179">
        <v>349.45</v>
      </c>
      <c r="H12" s="179">
        <v>0</v>
      </c>
      <c r="I12" s="179">
        <v>0</v>
      </c>
      <c r="J12" s="179"/>
      <c r="K12" s="179">
        <v>1017.66</v>
      </c>
      <c r="L12" s="179" t="s">
        <v>585</v>
      </c>
      <c r="M12" s="179">
        <v>66.78</v>
      </c>
      <c r="N12" s="179">
        <v>1496160000</v>
      </c>
      <c r="O12" s="179">
        <v>2.89</v>
      </c>
      <c r="P12" s="179">
        <v>50</v>
      </c>
      <c r="Q12" s="179">
        <v>1.78</v>
      </c>
      <c r="R12"/>
    </row>
    <row r="13" spans="1:18" x14ac:dyDescent="0.25">
      <c r="A13" s="179">
        <v>70</v>
      </c>
      <c r="B13" s="179">
        <v>0.17</v>
      </c>
      <c r="C13" s="179">
        <v>42.31</v>
      </c>
      <c r="D13" s="8">
        <v>42885.458333333336</v>
      </c>
      <c r="E13" s="179">
        <v>0.37</v>
      </c>
      <c r="F13" s="179" t="s">
        <v>586</v>
      </c>
      <c r="G13" s="179">
        <v>348.84</v>
      </c>
      <c r="H13" s="179">
        <v>0</v>
      </c>
      <c r="I13" s="179">
        <v>0</v>
      </c>
      <c r="J13" s="179"/>
      <c r="K13" s="179">
        <v>1017.03</v>
      </c>
      <c r="L13" s="179" t="s">
        <v>585</v>
      </c>
      <c r="M13" s="179">
        <v>70</v>
      </c>
      <c r="N13" s="179">
        <v>1496163600</v>
      </c>
      <c r="O13" s="179">
        <v>2.95</v>
      </c>
      <c r="P13" s="179">
        <v>35</v>
      </c>
      <c r="Q13" s="179">
        <v>2.78</v>
      </c>
      <c r="R13"/>
    </row>
    <row r="14" spans="1:18" x14ac:dyDescent="0.25">
      <c r="A14" s="179">
        <v>73.23</v>
      </c>
      <c r="B14" s="179">
        <v>0.22</v>
      </c>
      <c r="C14" s="179">
        <v>38.35</v>
      </c>
      <c r="D14" s="8">
        <v>42885.5</v>
      </c>
      <c r="E14" s="179">
        <v>0.28000000000000003</v>
      </c>
      <c r="F14" s="179" t="s">
        <v>586</v>
      </c>
      <c r="G14" s="179">
        <v>348.45</v>
      </c>
      <c r="H14" s="179">
        <v>0</v>
      </c>
      <c r="I14" s="179">
        <v>0</v>
      </c>
      <c r="J14" s="179"/>
      <c r="K14" s="179">
        <v>1016.38</v>
      </c>
      <c r="L14" s="179" t="s">
        <v>585</v>
      </c>
      <c r="M14" s="179">
        <v>73.23</v>
      </c>
      <c r="N14" s="179">
        <v>1496167200</v>
      </c>
      <c r="O14" s="179">
        <v>3.03</v>
      </c>
      <c r="P14" s="179">
        <v>46</v>
      </c>
      <c r="Q14" s="179">
        <v>3.34</v>
      </c>
      <c r="R14"/>
    </row>
    <row r="15" spans="1:18" x14ac:dyDescent="0.25">
      <c r="A15" s="179">
        <v>74.75</v>
      </c>
      <c r="B15" s="179">
        <v>0.25</v>
      </c>
      <c r="C15" s="179">
        <v>35.799999999999997</v>
      </c>
      <c r="D15" s="8">
        <v>42885.541666666664</v>
      </c>
      <c r="E15" s="179">
        <v>0.24</v>
      </c>
      <c r="F15" s="179" t="s">
        <v>442</v>
      </c>
      <c r="G15" s="179">
        <v>348.74</v>
      </c>
      <c r="H15" s="179">
        <v>0</v>
      </c>
      <c r="I15" s="179">
        <v>0</v>
      </c>
      <c r="J15" s="179"/>
      <c r="K15" s="179">
        <v>1015.65</v>
      </c>
      <c r="L15" s="179" t="s">
        <v>441</v>
      </c>
      <c r="M15" s="179">
        <v>74.75</v>
      </c>
      <c r="N15" s="179">
        <v>1496170800</v>
      </c>
      <c r="O15" s="179">
        <v>3.08</v>
      </c>
      <c r="P15" s="179">
        <v>42</v>
      </c>
      <c r="Q15" s="179">
        <v>4.13</v>
      </c>
      <c r="R15"/>
    </row>
    <row r="16" spans="1:18" x14ac:dyDescent="0.25">
      <c r="A16" s="179">
        <v>76.36</v>
      </c>
      <c r="B16" s="179">
        <v>0.28000000000000003</v>
      </c>
      <c r="C16" s="179">
        <v>36.25</v>
      </c>
      <c r="D16" s="8">
        <v>42885.583333333336</v>
      </c>
      <c r="E16" s="179">
        <v>0.23</v>
      </c>
      <c r="F16" s="179" t="s">
        <v>442</v>
      </c>
      <c r="G16" s="179">
        <v>349.25</v>
      </c>
      <c r="H16" s="179">
        <v>0</v>
      </c>
      <c r="I16" s="179">
        <v>0</v>
      </c>
      <c r="J16" s="179"/>
      <c r="K16" s="179">
        <v>1014.91</v>
      </c>
      <c r="L16" s="179" t="s">
        <v>441</v>
      </c>
      <c r="M16" s="179">
        <v>76.36</v>
      </c>
      <c r="N16" s="179">
        <v>1496174400</v>
      </c>
      <c r="O16" s="179">
        <v>3.05</v>
      </c>
      <c r="P16" s="179">
        <v>53</v>
      </c>
      <c r="Q16" s="179">
        <v>4.04</v>
      </c>
      <c r="R16"/>
    </row>
    <row r="17" spans="1:18" x14ac:dyDescent="0.25">
      <c r="A17" s="179">
        <v>77.13</v>
      </c>
      <c r="B17" s="179">
        <v>0.28999999999999998</v>
      </c>
      <c r="C17" s="179">
        <v>36.270000000000003</v>
      </c>
      <c r="D17" s="8">
        <v>42885.625</v>
      </c>
      <c r="E17" s="179">
        <v>0.23</v>
      </c>
      <c r="F17" s="179" t="s">
        <v>442</v>
      </c>
      <c r="G17" s="179">
        <v>349.01</v>
      </c>
      <c r="H17" s="179">
        <v>0</v>
      </c>
      <c r="I17" s="179">
        <v>0</v>
      </c>
      <c r="J17" s="179"/>
      <c r="K17" s="179">
        <v>1014.37</v>
      </c>
      <c r="L17" s="179" t="s">
        <v>441</v>
      </c>
      <c r="M17" s="179">
        <v>77.13</v>
      </c>
      <c r="N17" s="179">
        <v>1496178000</v>
      </c>
      <c r="O17" s="179">
        <v>2.99</v>
      </c>
      <c r="P17" s="179">
        <v>60</v>
      </c>
      <c r="Q17" s="179">
        <v>4.26</v>
      </c>
      <c r="R17"/>
    </row>
    <row r="18" spans="1:18" x14ac:dyDescent="0.25">
      <c r="A18" s="179">
        <v>77.290000000000006</v>
      </c>
      <c r="B18" s="179">
        <v>0.31</v>
      </c>
      <c r="C18" s="179">
        <v>36.57</v>
      </c>
      <c r="D18" s="8">
        <v>42885.666666666664</v>
      </c>
      <c r="E18" s="179">
        <v>0.23</v>
      </c>
      <c r="F18" s="179" t="s">
        <v>442</v>
      </c>
      <c r="G18" s="179">
        <v>347.28</v>
      </c>
      <c r="H18" s="179">
        <v>0</v>
      </c>
      <c r="I18" s="179">
        <v>0</v>
      </c>
      <c r="J18" s="179"/>
      <c r="K18" s="179">
        <v>1014.08</v>
      </c>
      <c r="L18" s="179" t="s">
        <v>441</v>
      </c>
      <c r="M18" s="179">
        <v>77.290000000000006</v>
      </c>
      <c r="N18" s="179">
        <v>1496181600</v>
      </c>
      <c r="O18" s="179">
        <v>10</v>
      </c>
      <c r="P18" s="179">
        <v>68</v>
      </c>
      <c r="Q18" s="179">
        <v>5.03</v>
      </c>
      <c r="R18"/>
    </row>
    <row r="19" spans="1:18" x14ac:dyDescent="0.25">
      <c r="A19" s="179">
        <v>77.150000000000006</v>
      </c>
      <c r="B19" s="179">
        <v>0.34</v>
      </c>
      <c r="C19" s="179">
        <v>36.67</v>
      </c>
      <c r="D19" s="8">
        <v>42885.708333333336</v>
      </c>
      <c r="E19" s="179">
        <v>0.23</v>
      </c>
      <c r="F19" s="179" t="s">
        <v>442</v>
      </c>
      <c r="G19" s="179">
        <v>344.8</v>
      </c>
      <c r="H19" s="179">
        <v>0</v>
      </c>
      <c r="I19" s="179">
        <v>0</v>
      </c>
      <c r="J19" s="179"/>
      <c r="K19" s="179">
        <v>1013.95</v>
      </c>
      <c r="L19" s="179" t="s">
        <v>441</v>
      </c>
      <c r="M19" s="179">
        <v>77.150000000000006</v>
      </c>
      <c r="N19" s="179">
        <v>1496185200</v>
      </c>
      <c r="O19" s="179">
        <v>3.39</v>
      </c>
      <c r="P19" s="179">
        <v>70</v>
      </c>
      <c r="Q19" s="179">
        <v>3.4</v>
      </c>
      <c r="R19"/>
    </row>
    <row r="20" spans="1:18" x14ac:dyDescent="0.25">
      <c r="A20" s="179">
        <v>74.53</v>
      </c>
      <c r="B20" s="179">
        <v>0.34</v>
      </c>
      <c r="C20" s="179">
        <v>36.68</v>
      </c>
      <c r="D20" s="8">
        <v>42885.75</v>
      </c>
      <c r="E20" s="179">
        <v>0.25</v>
      </c>
      <c r="F20" s="179" t="s">
        <v>442</v>
      </c>
      <c r="G20" s="179">
        <v>342.87</v>
      </c>
      <c r="H20" s="179">
        <v>8.0000000000000004E-4</v>
      </c>
      <c r="I20" s="179">
        <v>0.01</v>
      </c>
      <c r="J20" s="179" t="s">
        <v>377</v>
      </c>
      <c r="K20" s="179">
        <v>1014.03</v>
      </c>
      <c r="L20" s="179" t="s">
        <v>441</v>
      </c>
      <c r="M20" s="179">
        <v>74.53</v>
      </c>
      <c r="N20" s="179">
        <v>1496188800</v>
      </c>
      <c r="O20" s="179">
        <v>10</v>
      </c>
      <c r="P20" s="179">
        <v>72</v>
      </c>
      <c r="Q20" s="179">
        <v>4.5</v>
      </c>
      <c r="R20"/>
    </row>
    <row r="21" spans="1:18" x14ac:dyDescent="0.25">
      <c r="A21" s="179">
        <v>72.7</v>
      </c>
      <c r="B21" s="179">
        <v>0.18</v>
      </c>
      <c r="C21" s="179">
        <v>37.130000000000003</v>
      </c>
      <c r="D21" s="8">
        <v>42885.791666666664</v>
      </c>
      <c r="E21" s="179">
        <v>0.27</v>
      </c>
      <c r="F21" s="179" t="s">
        <v>586</v>
      </c>
      <c r="G21" s="179">
        <v>342.11</v>
      </c>
      <c r="H21" s="179">
        <v>0</v>
      </c>
      <c r="I21" s="179">
        <v>0</v>
      </c>
      <c r="J21" s="179"/>
      <c r="K21" s="179">
        <v>1014.31</v>
      </c>
      <c r="L21" s="179" t="s">
        <v>585</v>
      </c>
      <c r="M21" s="179">
        <v>72.7</v>
      </c>
      <c r="N21" s="179">
        <v>1496192400</v>
      </c>
      <c r="O21" s="179">
        <v>3.76</v>
      </c>
      <c r="P21" s="179">
        <v>92</v>
      </c>
      <c r="Q21" s="179">
        <v>3.46</v>
      </c>
      <c r="R21"/>
    </row>
    <row r="22" spans="1:18" x14ac:dyDescent="0.25">
      <c r="A22" s="179">
        <v>69.58</v>
      </c>
      <c r="B22" s="179">
        <v>0.18</v>
      </c>
      <c r="C22" s="179">
        <v>38.409999999999997</v>
      </c>
      <c r="D22" s="8">
        <v>42885.833333333336</v>
      </c>
      <c r="E22" s="179">
        <v>0.32</v>
      </c>
      <c r="F22" s="179" t="s">
        <v>586</v>
      </c>
      <c r="G22" s="179">
        <v>341.9</v>
      </c>
      <c r="H22" s="179">
        <v>0</v>
      </c>
      <c r="I22" s="179">
        <v>0</v>
      </c>
      <c r="J22" s="179"/>
      <c r="K22" s="179">
        <v>1014.82</v>
      </c>
      <c r="L22" s="179" t="s">
        <v>585</v>
      </c>
      <c r="M22" s="179">
        <v>69.58</v>
      </c>
      <c r="N22" s="179">
        <v>1496196000</v>
      </c>
      <c r="O22" s="179">
        <v>4.28</v>
      </c>
      <c r="P22" s="179">
        <v>91</v>
      </c>
      <c r="Q22" s="179">
        <v>3.13</v>
      </c>
      <c r="R22"/>
    </row>
    <row r="23" spans="1:18" x14ac:dyDescent="0.25">
      <c r="A23" s="179">
        <v>66.11</v>
      </c>
      <c r="B23" s="179">
        <v>0.17</v>
      </c>
      <c r="C23" s="179">
        <v>39.520000000000003</v>
      </c>
      <c r="D23" s="8">
        <v>42885.875</v>
      </c>
      <c r="E23" s="179">
        <v>0.38</v>
      </c>
      <c r="F23" s="179" t="s">
        <v>584</v>
      </c>
      <c r="G23" s="179">
        <v>341.71</v>
      </c>
      <c r="H23" s="179">
        <v>0</v>
      </c>
      <c r="I23" s="179">
        <v>0</v>
      </c>
      <c r="J23" s="179"/>
      <c r="K23" s="179">
        <v>1015.35</v>
      </c>
      <c r="L23" s="179" t="s">
        <v>585</v>
      </c>
      <c r="M23" s="179">
        <v>66.11</v>
      </c>
      <c r="N23" s="179">
        <v>1496199600</v>
      </c>
      <c r="O23" s="179">
        <v>5.19</v>
      </c>
      <c r="P23" s="179">
        <v>85</v>
      </c>
      <c r="Q23" s="179">
        <v>2.4</v>
      </c>
      <c r="R23"/>
    </row>
    <row r="24" spans="1:18" x14ac:dyDescent="0.25">
      <c r="A24" s="179">
        <v>65</v>
      </c>
      <c r="B24" s="179">
        <v>0.22</v>
      </c>
      <c r="C24" s="179">
        <v>40.67</v>
      </c>
      <c r="D24" s="8">
        <v>42885.916666666664</v>
      </c>
      <c r="E24" s="179">
        <v>0.41</v>
      </c>
      <c r="F24" s="179" t="s">
        <v>584</v>
      </c>
      <c r="G24" s="179">
        <v>341.39</v>
      </c>
      <c r="H24" s="179">
        <v>0</v>
      </c>
      <c r="I24" s="179">
        <v>0</v>
      </c>
      <c r="J24" s="179"/>
      <c r="K24" s="179">
        <v>1015.9</v>
      </c>
      <c r="L24" s="179" t="s">
        <v>585</v>
      </c>
      <c r="M24" s="179">
        <v>65</v>
      </c>
      <c r="N24" s="179">
        <v>1496203200</v>
      </c>
      <c r="O24" s="179">
        <v>4.25</v>
      </c>
      <c r="P24" s="179">
        <v>143</v>
      </c>
      <c r="Q24" s="179">
        <v>0.72</v>
      </c>
      <c r="R24"/>
    </row>
    <row r="25" spans="1:18" x14ac:dyDescent="0.25">
      <c r="A25" s="179">
        <v>58.4</v>
      </c>
      <c r="B25" s="179">
        <v>0.24</v>
      </c>
      <c r="C25" s="179">
        <v>46.63</v>
      </c>
      <c r="D25" s="8">
        <v>42885.958333333336</v>
      </c>
      <c r="E25" s="179">
        <v>0.65</v>
      </c>
      <c r="F25" s="179" t="s">
        <v>584</v>
      </c>
      <c r="G25" s="179">
        <v>341.09</v>
      </c>
      <c r="H25" s="179">
        <v>0</v>
      </c>
      <c r="I25" s="179">
        <v>0</v>
      </c>
      <c r="J25" s="179"/>
      <c r="K25" s="179">
        <v>1016.46</v>
      </c>
      <c r="L25" s="179" t="s">
        <v>585</v>
      </c>
      <c r="M25" s="179">
        <v>58.4</v>
      </c>
      <c r="N25" s="179">
        <v>1496206800</v>
      </c>
      <c r="O25" s="179">
        <v>3.11</v>
      </c>
      <c r="P25" s="179">
        <v>327</v>
      </c>
      <c r="Q25" s="179">
        <v>1.96</v>
      </c>
      <c r="R25"/>
    </row>
    <row r="26" spans="1:18" x14ac:dyDescent="0.25">
      <c r="A26" s="179">
        <v>56.53</v>
      </c>
      <c r="B26" s="179">
        <v>0.28000000000000003</v>
      </c>
      <c r="C26" s="179">
        <v>47.54</v>
      </c>
      <c r="D26" s="8">
        <v>42886</v>
      </c>
      <c r="E26" s="179">
        <v>0.72</v>
      </c>
      <c r="F26" s="179" t="s">
        <v>440</v>
      </c>
      <c r="G26" s="179">
        <v>340.73</v>
      </c>
      <c r="H26" s="179">
        <v>0</v>
      </c>
      <c r="I26" s="179">
        <v>0</v>
      </c>
      <c r="J26" s="179"/>
      <c r="K26" s="179">
        <v>1016.78</v>
      </c>
      <c r="L26" s="179" t="s">
        <v>441</v>
      </c>
      <c r="M26" s="179">
        <v>56.53</v>
      </c>
      <c r="N26" s="179">
        <v>1496210400</v>
      </c>
      <c r="O26" s="179">
        <v>2.7</v>
      </c>
      <c r="P26" s="179">
        <v>249</v>
      </c>
      <c r="Q26" s="179">
        <v>1.79</v>
      </c>
      <c r="R26"/>
    </row>
    <row r="27" spans="1:18" x14ac:dyDescent="0.25">
      <c r="A27" s="179">
        <v>55.57</v>
      </c>
      <c r="B27" s="179">
        <v>0.12</v>
      </c>
      <c r="C27" s="179">
        <v>47.75</v>
      </c>
      <c r="D27" s="8">
        <v>42886.041666666664</v>
      </c>
      <c r="E27" s="179">
        <v>0.75</v>
      </c>
      <c r="F27" s="179" t="s">
        <v>584</v>
      </c>
      <c r="G27" s="179">
        <v>340.22</v>
      </c>
      <c r="H27" s="179">
        <v>0</v>
      </c>
      <c r="I27" s="179">
        <v>0</v>
      </c>
      <c r="J27" s="179"/>
      <c r="K27" s="179">
        <v>1016.54</v>
      </c>
      <c r="L27" s="179" t="s">
        <v>585</v>
      </c>
      <c r="M27" s="179">
        <v>55.57</v>
      </c>
      <c r="N27" s="179">
        <v>1496214000</v>
      </c>
      <c r="O27" s="179">
        <v>2.64</v>
      </c>
      <c r="P27" s="179">
        <v>215</v>
      </c>
      <c r="Q27" s="179">
        <v>1.44</v>
      </c>
      <c r="R27"/>
    </row>
    <row r="28" spans="1:18" x14ac:dyDescent="0.25">
      <c r="A28" s="179">
        <v>54.03</v>
      </c>
      <c r="B28" s="179">
        <v>0.13</v>
      </c>
      <c r="C28" s="179">
        <v>46.12</v>
      </c>
      <c r="D28" s="8">
        <v>42886.083333333336</v>
      </c>
      <c r="E28" s="179">
        <v>0.75</v>
      </c>
      <c r="F28" s="179" t="s">
        <v>584</v>
      </c>
      <c r="G28" s="179">
        <v>339.71</v>
      </c>
      <c r="H28" s="179">
        <v>0</v>
      </c>
      <c r="I28" s="179">
        <v>0</v>
      </c>
      <c r="J28" s="179"/>
      <c r="K28" s="179">
        <v>1016.3</v>
      </c>
      <c r="L28" s="179" t="s">
        <v>585</v>
      </c>
      <c r="M28" s="179">
        <v>54.03</v>
      </c>
      <c r="N28" s="179">
        <v>1496217600</v>
      </c>
      <c r="O28" s="179">
        <v>2.42</v>
      </c>
      <c r="P28" s="179">
        <v>206</v>
      </c>
      <c r="Q28" s="179">
        <v>2.14</v>
      </c>
      <c r="R28"/>
    </row>
    <row r="29" spans="1:18" x14ac:dyDescent="0.25">
      <c r="A29" s="179">
        <v>52.95</v>
      </c>
      <c r="B29" s="179">
        <v>0.11</v>
      </c>
      <c r="C29" s="179">
        <v>44.59</v>
      </c>
      <c r="D29" s="8">
        <v>42886.125</v>
      </c>
      <c r="E29" s="179">
        <v>0.73</v>
      </c>
      <c r="F29" s="179" t="s">
        <v>584</v>
      </c>
      <c r="G29" s="179">
        <v>339.2</v>
      </c>
      <c r="H29" s="179">
        <v>0</v>
      </c>
      <c r="I29" s="179">
        <v>0</v>
      </c>
      <c r="J29" s="179"/>
      <c r="K29" s="179">
        <v>1016.06</v>
      </c>
      <c r="L29" s="179" t="s">
        <v>585</v>
      </c>
      <c r="M29" s="179">
        <v>52.95</v>
      </c>
      <c r="N29" s="179">
        <v>1496221200</v>
      </c>
      <c r="O29" s="179">
        <v>2.0699999999999998</v>
      </c>
      <c r="P29" s="179">
        <v>187</v>
      </c>
      <c r="Q29" s="179">
        <v>1.9</v>
      </c>
      <c r="R29"/>
    </row>
    <row r="30" spans="1:18" x14ac:dyDescent="0.25">
      <c r="A30" s="143"/>
      <c r="B30" s="143"/>
      <c r="C30" s="143"/>
      <c r="D30" s="8"/>
      <c r="E30" s="143"/>
      <c r="F30" s="143"/>
      <c r="G30" s="143"/>
      <c r="H30" s="143"/>
      <c r="I30" s="143"/>
      <c r="J30" s="143"/>
      <c r="K30" s="143"/>
      <c r="L30" s="143"/>
      <c r="M30" s="143"/>
      <c r="N30" s="143"/>
      <c r="O30" s="143"/>
      <c r="P30" s="143"/>
    </row>
    <row r="31" spans="1:18" x14ac:dyDescent="0.25">
      <c r="A31" s="144" t="s">
        <v>185</v>
      </c>
    </row>
    <row r="33" spans="1:1" x14ac:dyDescent="0.25">
      <c r="A33" s="144" t="s">
        <v>177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32"/>
  <sheetViews>
    <sheetView workbookViewId="0"/>
  </sheetViews>
  <sheetFormatPr defaultRowHeight="15" x14ac:dyDescent="0.25"/>
  <cols>
    <col min="1" max="1" width="32.140625" customWidth="1"/>
    <col min="3" max="3" width="24" customWidth="1"/>
    <col min="4" max="4" width="19.140625" style="59" customWidth="1"/>
    <col min="10" max="10" width="24.28515625" style="143" bestFit="1" customWidth="1"/>
    <col min="11" max="11" width="15.28515625" style="143" hidden="1" customWidth="1"/>
    <col min="12" max="12" width="13.5703125" style="143" hidden="1" customWidth="1"/>
    <col min="13" max="13" width="9" style="157" bestFit="1" customWidth="1"/>
    <col min="14" max="17" width="9.140625" style="143"/>
    <col min="20" max="24" width="9.140625" style="157"/>
  </cols>
  <sheetData>
    <row r="1" spans="1:24" ht="45.75" x14ac:dyDescent="0.3">
      <c r="A1" s="11" t="s">
        <v>25</v>
      </c>
      <c r="C1" s="122" t="s">
        <v>99</v>
      </c>
      <c r="D1" s="123" t="s">
        <v>100</v>
      </c>
      <c r="J1" s="149" t="s">
        <v>101</v>
      </c>
      <c r="K1" s="149" t="s">
        <v>66</v>
      </c>
      <c r="L1" s="149" t="s">
        <v>67</v>
      </c>
      <c r="O1" s="150" t="s">
        <v>102</v>
      </c>
      <c r="T1" s="159" t="s">
        <v>336</v>
      </c>
      <c r="U1" s="159"/>
      <c r="V1" s="159"/>
      <c r="W1" s="159"/>
      <c r="X1" s="159"/>
    </row>
    <row r="2" spans="1:24" ht="15.75" thickBot="1" x14ac:dyDescent="0.3">
      <c r="A2" s="12">
        <v>42885</v>
      </c>
      <c r="B2" s="4"/>
      <c r="C2" s="124">
        <v>50</v>
      </c>
      <c r="D2" s="125">
        <v>25</v>
      </c>
      <c r="F2" t="s">
        <v>113</v>
      </c>
      <c r="J2" s="149"/>
      <c r="K2" s="149" t="s">
        <v>66</v>
      </c>
      <c r="L2" s="149" t="s">
        <v>67</v>
      </c>
      <c r="T2" s="158" t="s">
        <v>337</v>
      </c>
      <c r="U2" s="158">
        <v>167</v>
      </c>
      <c r="V2" s="158">
        <v>168</v>
      </c>
      <c r="W2" s="158">
        <v>199</v>
      </c>
      <c r="X2" s="158">
        <v>200</v>
      </c>
    </row>
    <row r="3" spans="1:24" x14ac:dyDescent="0.25">
      <c r="C3" s="59"/>
      <c r="F3" t="s">
        <v>52</v>
      </c>
      <c r="J3" s="151" t="s">
        <v>68</v>
      </c>
      <c r="K3" s="152">
        <v>2.7052</v>
      </c>
      <c r="L3" s="152">
        <v>2.7349999999999999</v>
      </c>
      <c r="M3" s="157">
        <f t="shared" ref="M3:M14" si="0">AVERAGE(K3:L3)</f>
        <v>2.7201</v>
      </c>
      <c r="O3" s="143" t="s">
        <v>103</v>
      </c>
      <c r="P3" s="143">
        <f>AVERAGE(1.0714,1.1016)</f>
        <v>1.0865</v>
      </c>
      <c r="T3" s="158" t="s">
        <v>338</v>
      </c>
      <c r="U3" s="158">
        <v>174</v>
      </c>
      <c r="V3" s="158">
        <v>176</v>
      </c>
      <c r="W3" s="158">
        <v>207</v>
      </c>
      <c r="X3" s="158">
        <v>210</v>
      </c>
    </row>
    <row r="4" spans="1:24" ht="45" x14ac:dyDescent="0.25">
      <c r="C4" s="122" t="s">
        <v>99</v>
      </c>
      <c r="D4" s="123" t="s">
        <v>100</v>
      </c>
      <c r="F4" t="s">
        <v>53</v>
      </c>
      <c r="J4" s="151" t="s">
        <v>69</v>
      </c>
      <c r="K4" s="152">
        <v>3.0830000000000002</v>
      </c>
      <c r="L4" s="152">
        <v>3.097</v>
      </c>
      <c r="M4" s="157">
        <f t="shared" si="0"/>
        <v>3.09</v>
      </c>
      <c r="T4" s="158" t="s">
        <v>339</v>
      </c>
      <c r="U4" s="158">
        <v>173</v>
      </c>
      <c r="V4" s="158">
        <v>175</v>
      </c>
      <c r="W4" s="158">
        <v>208</v>
      </c>
      <c r="X4" s="158">
        <v>209</v>
      </c>
    </row>
    <row r="5" spans="1:24" x14ac:dyDescent="0.25">
      <c r="C5" s="59">
        <v>30</v>
      </c>
      <c r="D5" s="59">
        <v>9</v>
      </c>
      <c r="J5" s="151" t="s">
        <v>70</v>
      </c>
      <c r="K5" s="152">
        <v>3.3136000000000001</v>
      </c>
      <c r="L5" s="152">
        <v>3.3256999999999999</v>
      </c>
      <c r="M5" s="157">
        <f t="shared" si="0"/>
        <v>3.3196500000000002</v>
      </c>
      <c r="T5" s="158" t="s">
        <v>340</v>
      </c>
      <c r="U5" s="158">
        <v>187</v>
      </c>
      <c r="V5" s="158">
        <v>188</v>
      </c>
      <c r="W5" s="158">
        <v>223</v>
      </c>
      <c r="X5" s="158">
        <v>224</v>
      </c>
    </row>
    <row r="6" spans="1:24" x14ac:dyDescent="0.25">
      <c r="C6" s="59"/>
      <c r="F6" t="s">
        <v>114</v>
      </c>
      <c r="J6" s="151" t="s">
        <v>71</v>
      </c>
      <c r="K6" s="152">
        <v>4.2778999999999998</v>
      </c>
      <c r="L6" s="152">
        <v>4.2961</v>
      </c>
      <c r="M6" s="157">
        <f t="shared" si="0"/>
        <v>4.2869999999999999</v>
      </c>
      <c r="T6" s="158"/>
      <c r="U6" s="158"/>
      <c r="V6" s="158"/>
      <c r="W6" s="158"/>
      <c r="X6" s="158"/>
    </row>
    <row r="7" spans="1:24" x14ac:dyDescent="0.25">
      <c r="C7" s="59"/>
      <c r="F7" t="s">
        <v>503</v>
      </c>
      <c r="J7" s="151" t="s">
        <v>72</v>
      </c>
      <c r="K7" s="152">
        <v>4.7865000000000002</v>
      </c>
      <c r="L7" s="152">
        <v>4.8048000000000002</v>
      </c>
      <c r="M7" s="157">
        <f t="shared" si="0"/>
        <v>4.7956500000000002</v>
      </c>
      <c r="T7" s="158"/>
      <c r="U7" s="158"/>
      <c r="V7" s="158"/>
      <c r="W7" s="158"/>
      <c r="X7" s="158"/>
    </row>
    <row r="8" spans="1:24" x14ac:dyDescent="0.25">
      <c r="C8" s="59"/>
      <c r="F8" t="s">
        <v>504</v>
      </c>
      <c r="J8" s="151" t="s">
        <v>73</v>
      </c>
      <c r="K8" s="152">
        <v>5.3155000000000001</v>
      </c>
      <c r="L8" s="152">
        <v>5.3277000000000001</v>
      </c>
      <c r="M8" s="157">
        <f t="shared" si="0"/>
        <v>5.3216000000000001</v>
      </c>
      <c r="T8" s="158"/>
      <c r="U8" s="158"/>
      <c r="V8" s="158"/>
      <c r="W8" s="158"/>
      <c r="X8" s="158"/>
    </row>
    <row r="9" spans="1:24" x14ac:dyDescent="0.25">
      <c r="C9" s="59"/>
      <c r="J9" s="151" t="s">
        <v>74</v>
      </c>
      <c r="K9" s="152">
        <v>5.8117000000000001</v>
      </c>
      <c r="L9" s="152">
        <v>5.8300999999999998</v>
      </c>
      <c r="M9" s="157">
        <f t="shared" si="0"/>
        <v>5.8209</v>
      </c>
      <c r="T9" s="158"/>
      <c r="U9" s="158"/>
      <c r="V9" s="158"/>
      <c r="W9" s="158"/>
      <c r="X9" s="158"/>
    </row>
    <row r="10" spans="1:24" x14ac:dyDescent="0.25">
      <c r="C10" s="59"/>
      <c r="J10" s="151" t="s">
        <v>75</v>
      </c>
      <c r="K10" s="152">
        <v>5.8783000000000003</v>
      </c>
      <c r="L10" s="152">
        <v>5.8903999999999996</v>
      </c>
      <c r="M10" s="157">
        <f t="shared" si="0"/>
        <v>5.8843499999999995</v>
      </c>
      <c r="T10" s="158"/>
      <c r="U10" s="158"/>
      <c r="V10" s="158"/>
      <c r="W10" s="158"/>
      <c r="X10" s="158"/>
    </row>
    <row r="11" spans="1:24" x14ac:dyDescent="0.25">
      <c r="C11" s="59"/>
      <c r="J11" s="151" t="s">
        <v>76</v>
      </c>
      <c r="K11" s="152">
        <v>6.3068</v>
      </c>
      <c r="L11" s="152">
        <v>6.3308999999999997</v>
      </c>
      <c r="M11" s="157">
        <f t="shared" si="0"/>
        <v>6.3188499999999994</v>
      </c>
      <c r="T11" s="158"/>
      <c r="U11" s="158"/>
      <c r="V11" s="158"/>
      <c r="W11" s="158"/>
      <c r="X11" s="158"/>
    </row>
    <row r="12" spans="1:24" x14ac:dyDescent="0.25">
      <c r="C12" s="59"/>
      <c r="J12" s="151" t="s">
        <v>77</v>
      </c>
      <c r="K12" s="152">
        <v>7.8349000000000002</v>
      </c>
      <c r="L12" s="152">
        <v>7.8468999999999998</v>
      </c>
      <c r="M12" s="157">
        <f t="shared" si="0"/>
        <v>7.8408999999999995</v>
      </c>
      <c r="T12" s="158"/>
      <c r="U12" s="158"/>
      <c r="V12" s="158"/>
      <c r="W12" s="158"/>
      <c r="X12" s="158"/>
    </row>
    <row r="13" spans="1:24" x14ac:dyDescent="0.25">
      <c r="C13" s="59"/>
      <c r="J13" s="151" t="s">
        <v>78</v>
      </c>
      <c r="K13" s="152">
        <v>10.373799999999999</v>
      </c>
      <c r="L13" s="152">
        <v>10.38</v>
      </c>
      <c r="M13" s="157">
        <f t="shared" si="0"/>
        <v>10.376899999999999</v>
      </c>
      <c r="T13" s="158"/>
      <c r="U13" s="158"/>
      <c r="V13" s="158"/>
      <c r="W13" s="158"/>
      <c r="X13" s="158"/>
    </row>
    <row r="14" spans="1:24" x14ac:dyDescent="0.25">
      <c r="C14" s="59"/>
      <c r="J14" s="151" t="s">
        <v>79</v>
      </c>
      <c r="K14" s="152">
        <v>10.8954</v>
      </c>
      <c r="L14" s="152">
        <v>10.913500000000001</v>
      </c>
      <c r="M14" s="157">
        <f t="shared" si="0"/>
        <v>10.904450000000001</v>
      </c>
      <c r="T14" s="158"/>
      <c r="U14" s="158"/>
      <c r="V14" s="158"/>
      <c r="W14" s="158"/>
      <c r="X14" s="158"/>
    </row>
    <row r="15" spans="1:24" x14ac:dyDescent="0.25">
      <c r="C15" s="59"/>
      <c r="J15" s="151"/>
      <c r="K15" s="152"/>
      <c r="L15" s="152"/>
      <c r="T15" s="158"/>
      <c r="U15" s="158"/>
      <c r="V15" s="158"/>
      <c r="W15" s="158"/>
      <c r="X15" s="158"/>
    </row>
    <row r="16" spans="1:24" x14ac:dyDescent="0.25">
      <c r="C16" s="59"/>
      <c r="J16" s="151"/>
      <c r="K16" s="152"/>
      <c r="L16" s="152"/>
      <c r="T16" s="158"/>
      <c r="U16" s="158"/>
      <c r="V16" s="158"/>
      <c r="W16" s="158"/>
      <c r="X16" s="158"/>
    </row>
    <row r="17" spans="3:24" x14ac:dyDescent="0.25">
      <c r="C17" s="140" t="s">
        <v>186</v>
      </c>
      <c r="J17" s="151"/>
      <c r="K17" s="152"/>
      <c r="L17" s="152"/>
      <c r="T17" s="158"/>
      <c r="U17" s="158"/>
      <c r="V17" s="158"/>
      <c r="W17" s="158"/>
      <c r="X17" s="158"/>
    </row>
    <row r="18" spans="3:24" x14ac:dyDescent="0.25">
      <c r="C18" t="s">
        <v>992</v>
      </c>
      <c r="J18" s="151" t="s">
        <v>85</v>
      </c>
      <c r="K18" s="152"/>
      <c r="L18" s="152"/>
      <c r="M18" s="157" t="str">
        <f>"""C:\Program Files (x86)\AstroGrep\AstroGrep.exe"""</f>
        <v>"C:\Program Files (x86)\AstroGrep\AstroGrep.exe"</v>
      </c>
      <c r="T18" s="158"/>
      <c r="U18" s="158"/>
      <c r="V18" s="158"/>
      <c r="W18" s="158"/>
      <c r="X18" s="158"/>
    </row>
    <row r="19" spans="3:24" x14ac:dyDescent="0.25">
      <c r="C19" t="s">
        <v>993</v>
      </c>
      <c r="J19" s="151" t="s">
        <v>86</v>
      </c>
      <c r="K19" s="152"/>
      <c r="L19" s="152"/>
      <c r="M19" s="157" t="s">
        <v>112</v>
      </c>
      <c r="T19" s="158"/>
      <c r="U19" s="158"/>
      <c r="V19" s="158"/>
      <c r="W19" s="158"/>
      <c r="X19" s="158"/>
    </row>
    <row r="20" spans="3:24" x14ac:dyDescent="0.25">
      <c r="C20" t="s">
        <v>994</v>
      </c>
      <c r="J20" s="143" t="s">
        <v>87</v>
      </c>
      <c r="M20" s="157" t="s">
        <v>366</v>
      </c>
      <c r="N20" s="157" t="s">
        <v>335</v>
      </c>
      <c r="T20" s="158"/>
      <c r="U20" s="158"/>
      <c r="V20" s="158"/>
      <c r="W20" s="158"/>
      <c r="X20" s="158"/>
    </row>
    <row r="21" spans="3:24" x14ac:dyDescent="0.25">
      <c r="C21" t="s">
        <v>995</v>
      </c>
      <c r="J21" s="143" t="s">
        <v>90</v>
      </c>
      <c r="K21" s="143" t="s">
        <v>91</v>
      </c>
      <c r="M21" s="157" t="s">
        <v>176</v>
      </c>
      <c r="T21" s="158"/>
      <c r="U21" s="158"/>
      <c r="V21" s="158"/>
      <c r="W21" s="158"/>
      <c r="X21" s="158"/>
    </row>
    <row r="22" spans="3:24" x14ac:dyDescent="0.25">
      <c r="C22" t="s">
        <v>996</v>
      </c>
      <c r="J22" s="143" t="s">
        <v>92</v>
      </c>
      <c r="K22" s="143" t="s">
        <v>93</v>
      </c>
      <c r="M22" s="157" t="s">
        <v>111</v>
      </c>
      <c r="T22" s="158"/>
      <c r="U22" s="158"/>
      <c r="V22" s="158"/>
      <c r="W22" s="158"/>
      <c r="X22" s="158"/>
    </row>
    <row r="23" spans="3:24" x14ac:dyDescent="0.25">
      <c r="C23" t="s">
        <v>997</v>
      </c>
      <c r="J23" s="153" t="s">
        <v>95</v>
      </c>
      <c r="M23" s="157" t="str">
        <f>"-06"</f>
        <v>-06</v>
      </c>
      <c r="T23" s="158"/>
      <c r="U23" s="158"/>
      <c r="V23" s="158"/>
      <c r="W23" s="158"/>
      <c r="X23" s="158"/>
    </row>
    <row r="24" spans="3:24" x14ac:dyDescent="0.25">
      <c r="C24" t="s">
        <v>998</v>
      </c>
      <c r="J24" s="143" t="s">
        <v>108</v>
      </c>
      <c r="M24" s="157" t="s">
        <v>110</v>
      </c>
      <c r="T24" s="158"/>
      <c r="U24" s="158"/>
      <c r="V24" s="158"/>
      <c r="W24" s="158"/>
      <c r="X24" s="158"/>
    </row>
    <row r="25" spans="3:24" x14ac:dyDescent="0.25">
      <c r="C25" t="s">
        <v>999</v>
      </c>
      <c r="J25" s="143" t="s">
        <v>148</v>
      </c>
      <c r="M25" s="157" t="b">
        <v>1</v>
      </c>
    </row>
    <row r="26" spans="3:24" x14ac:dyDescent="0.25">
      <c r="C26" t="s">
        <v>1000</v>
      </c>
      <c r="J26" s="143" t="s">
        <v>149</v>
      </c>
      <c r="M26" s="157" t="str">
        <f>"C:\Users\stu\Documents\GitHub\eaglep3-reporting\EC\"&amp;TEXT(A2,"yyyy-mm-dd")&amp;"-refined-times.txt"</f>
        <v>C:\Users\stu\Documents\GitHub\eaglep3-reporting\EC\2017-05-30-refined-times.txt</v>
      </c>
    </row>
    <row r="27" spans="3:24" x14ac:dyDescent="0.25">
      <c r="C27" t="s">
        <v>1001</v>
      </c>
      <c r="J27" s="143" t="s">
        <v>178</v>
      </c>
      <c r="M27" s="157" t="str">
        <f>"C:\Users\stu\Documents\GitHub\eaglep3-reporting\EC\"&amp;TEXT(A2,"YYYY-MM-DD")&amp;"-Enforcements.txt"</f>
        <v>C:\Users\stu\Documents\GitHub\eaglep3-reporting\EC\2017-05-30-Enforcements.txt</v>
      </c>
    </row>
    <row r="28" spans="3:24" x14ac:dyDescent="0.25">
      <c r="C28" t="s">
        <v>1002</v>
      </c>
      <c r="J28" s="143" t="s">
        <v>179</v>
      </c>
      <c r="M28" s="157" t="str">
        <f>"C:\Users\stu\Documents\GitHub\eaglep3-reporting\EC\"&amp;TEXT(A2,"YYYY-MM-DD")&amp;"-Runs-refined.txt"</f>
        <v>C:\Users\stu\Documents\GitHub\eaglep3-reporting\EC\2017-05-30-Runs-refined.txt</v>
      </c>
    </row>
    <row r="29" spans="3:24" x14ac:dyDescent="0.25">
      <c r="C29" t="s">
        <v>1003</v>
      </c>
      <c r="J29" s="143" t="s">
        <v>180</v>
      </c>
      <c r="M29" s="157" t="str">
        <f>"C:\Users\stu\Documents\GitHub\eaglep3-reporting\EC\"&amp;TEXT(A2,"YYYY-MM-DD")&amp;"-Trips.txt"</f>
        <v>C:\Users\stu\Documents\GitHub\eaglep3-reporting\EC\2017-05-30-Trips.txt</v>
      </c>
    </row>
    <row r="30" spans="3:24" x14ac:dyDescent="0.25">
      <c r="C30" t="s">
        <v>1004</v>
      </c>
      <c r="J30" s="143" t="s">
        <v>181</v>
      </c>
      <c r="M30" s="157" t="str">
        <f>"C:\Users\stu\Documents\GitHub\eaglep3-reporting\EC\"&amp;TEXT(A2,"YYYY-MM-DD")&amp;"-Weather.txt"</f>
        <v>C:\Users\stu\Documents\GitHub\eaglep3-reporting\EC\2017-05-30-Weather.txt</v>
      </c>
    </row>
    <row r="31" spans="3:24" x14ac:dyDescent="0.25">
      <c r="C31" t="s">
        <v>633</v>
      </c>
      <c r="J31" s="143" t="s">
        <v>198</v>
      </c>
      <c r="M31" s="157" t="s">
        <v>199</v>
      </c>
    </row>
    <row r="32" spans="3:24" x14ac:dyDescent="0.25">
      <c r="C32" t="s">
        <v>1005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96" bestFit="1" customWidth="1"/>
    <col min="2" max="7" width="9.140625" style="96"/>
    <col min="8" max="8" width="17.7109375" style="96" bestFit="1" customWidth="1"/>
    <col min="9" max="10" width="9.140625" style="165"/>
    <col min="11" max="16384" width="9.140625" style="96"/>
  </cols>
  <sheetData>
    <row r="1" spans="1:11" x14ac:dyDescent="0.25">
      <c r="A1" s="95" t="s">
        <v>119</v>
      </c>
      <c r="B1" s="95" t="s">
        <v>120</v>
      </c>
      <c r="C1" s="96" t="s">
        <v>121</v>
      </c>
      <c r="H1" t="s">
        <v>115</v>
      </c>
      <c r="I1" s="163" t="s">
        <v>117</v>
      </c>
      <c r="J1" s="157" t="s">
        <v>347</v>
      </c>
    </row>
    <row r="2" spans="1:11" x14ac:dyDescent="0.25">
      <c r="A2" s="96" t="s">
        <v>122</v>
      </c>
      <c r="B2" s="96" t="s">
        <v>123</v>
      </c>
      <c r="C2" s="96" t="s">
        <v>124</v>
      </c>
      <c r="H2" t="s">
        <v>116</v>
      </c>
      <c r="I2" s="157" t="s">
        <v>118</v>
      </c>
      <c r="J2" s="157" t="s">
        <v>348</v>
      </c>
    </row>
    <row r="3" spans="1:11" x14ac:dyDescent="0.25">
      <c r="A3" s="96" t="s">
        <v>125</v>
      </c>
      <c r="B3" s="96" t="s">
        <v>126</v>
      </c>
      <c r="C3" s="96" t="s">
        <v>127</v>
      </c>
      <c r="H3" t="s">
        <v>141</v>
      </c>
      <c r="I3" s="157">
        <v>1</v>
      </c>
      <c r="J3" s="157">
        <v>1</v>
      </c>
      <c r="K3" s="58"/>
    </row>
    <row r="4" spans="1:11" x14ac:dyDescent="0.25">
      <c r="A4" s="96" t="s">
        <v>128</v>
      </c>
      <c r="C4" s="96" t="s">
        <v>129</v>
      </c>
      <c r="H4" t="s">
        <v>142</v>
      </c>
      <c r="I4" s="157">
        <v>2</v>
      </c>
      <c r="J4" s="157">
        <v>1</v>
      </c>
      <c r="K4" s="58"/>
    </row>
    <row r="5" spans="1:11" x14ac:dyDescent="0.25">
      <c r="A5" s="96" t="s">
        <v>130</v>
      </c>
      <c r="C5" s="96" t="s">
        <v>131</v>
      </c>
      <c r="H5" t="s">
        <v>143</v>
      </c>
      <c r="I5" s="157">
        <v>23</v>
      </c>
      <c r="J5" s="157">
        <v>10</v>
      </c>
      <c r="K5" s="58"/>
    </row>
    <row r="6" spans="1:11" x14ac:dyDescent="0.25">
      <c r="A6" s="96" t="s">
        <v>132</v>
      </c>
      <c r="C6" s="96" t="s">
        <v>133</v>
      </c>
      <c r="H6" s="97" t="s">
        <v>144</v>
      </c>
      <c r="I6" s="164" t="s">
        <v>123</v>
      </c>
    </row>
    <row r="7" spans="1:11" x14ac:dyDescent="0.25">
      <c r="A7" s="96" t="s">
        <v>134</v>
      </c>
      <c r="C7" s="96" t="s">
        <v>135</v>
      </c>
    </row>
    <row r="8" spans="1:11" x14ac:dyDescent="0.25">
      <c r="C8" s="96" t="s">
        <v>136</v>
      </c>
    </row>
    <row r="9" spans="1:11" x14ac:dyDescent="0.25">
      <c r="C9" s="97" t="s">
        <v>169</v>
      </c>
    </row>
    <row r="10" spans="1:11" x14ac:dyDescent="0.25">
      <c r="C10" s="96" t="s">
        <v>137</v>
      </c>
    </row>
    <row r="11" spans="1:11" x14ac:dyDescent="0.25">
      <c r="C11" s="96" t="s">
        <v>138</v>
      </c>
    </row>
    <row r="12" spans="1:11" x14ac:dyDescent="0.25">
      <c r="C12" s="96" t="s">
        <v>139</v>
      </c>
    </row>
    <row r="13" spans="1:11" x14ac:dyDescent="0.25">
      <c r="C13" s="96" t="s">
        <v>140</v>
      </c>
    </row>
    <row r="14" spans="1:11" x14ac:dyDescent="0.25">
      <c r="C14" s="97" t="s">
        <v>170</v>
      </c>
    </row>
    <row r="15" spans="1:11" x14ac:dyDescent="0.25">
      <c r="C15" s="97" t="s">
        <v>187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205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206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207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208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209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210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211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212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213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214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215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216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217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218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219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220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221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222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223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224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225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226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227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228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229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230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231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232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233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234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235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236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237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238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239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240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241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242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243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244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245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246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247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248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249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250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251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252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253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254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255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256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257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258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259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260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261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262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263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264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265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266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267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268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269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270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271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272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273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274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275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276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277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278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279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280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281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282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283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284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285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286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287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288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289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290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291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292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293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294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295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296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297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298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299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300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301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302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303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304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305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306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307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308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309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310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311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312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313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314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315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316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317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318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319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320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321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322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323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324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325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326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327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328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329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330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331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332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333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334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28</vt:i4>
      </vt:variant>
    </vt:vector>
  </HeadingPairs>
  <TitlesOfParts>
    <vt:vector size="36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2017-06-01T13:02:40Z</dcterms:modified>
</cp:coreProperties>
</file>