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Enforcements!$A$6:$AC$77</definedName>
    <definedName name="_xlnm._FilterDatabase" localSheetId="2" hidden="1">'Missing Trips'!$A$2:$J$63</definedName>
    <definedName name="_xlnm._FilterDatabase" localSheetId="0" hidden="1">'Train Runs'!$A$12:$AG$275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4" i="1" l="1"/>
  <c r="X159" i="1"/>
  <c r="X160" i="1"/>
  <c r="X161" i="1"/>
  <c r="K159" i="1"/>
  <c r="M159" i="1"/>
  <c r="N159" i="1" s="1"/>
  <c r="V159" i="1"/>
  <c r="S39" i="3" s="1"/>
  <c r="Y159" i="1"/>
  <c r="Z159" i="1"/>
  <c r="AA159" i="1" s="1"/>
  <c r="AB159" i="1"/>
  <c r="AC159" i="1"/>
  <c r="AD159" i="1"/>
  <c r="T159" i="1" s="1"/>
  <c r="AE159" i="1"/>
  <c r="R39" i="3" s="1"/>
  <c r="AF159" i="1"/>
  <c r="AH159" i="1"/>
  <c r="AM159" i="1"/>
  <c r="AN159" i="1"/>
  <c r="P140" i="1"/>
  <c r="P137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U14" i="1" s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T16" i="1"/>
  <c r="V16" i="1"/>
  <c r="Y16" i="1"/>
  <c r="Z16" i="1"/>
  <c r="AA16" i="1"/>
  <c r="W16" i="1" s="1"/>
  <c r="AB16" i="1"/>
  <c r="AC16" i="1"/>
  <c r="AD16" i="1"/>
  <c r="AE16" i="1"/>
  <c r="AF16" i="1"/>
  <c r="AG16" i="1"/>
  <c r="AH16" i="1"/>
  <c r="AI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G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T20" i="1"/>
  <c r="V20" i="1"/>
  <c r="Y20" i="1"/>
  <c r="AA20" i="1" s="1"/>
  <c r="W20" i="1" s="1"/>
  <c r="Z20" i="1"/>
  <c r="AB20" i="1"/>
  <c r="AC20" i="1"/>
  <c r="AD20" i="1"/>
  <c r="AE20" i="1"/>
  <c r="AF20" i="1"/>
  <c r="AG20" i="1"/>
  <c r="AH20" i="1"/>
  <c r="AI20" i="1"/>
  <c r="AM20" i="1"/>
  <c r="AN20" i="1"/>
  <c r="K21" i="1"/>
  <c r="L21" i="1"/>
  <c r="M21" i="1"/>
  <c r="N21" i="1" s="1"/>
  <c r="T21" i="1"/>
  <c r="V21" i="1"/>
  <c r="X21" i="1"/>
  <c r="Y21" i="1"/>
  <c r="Z21" i="1"/>
  <c r="AA21" i="1" s="1"/>
  <c r="AB21" i="1"/>
  <c r="AC21" i="1"/>
  <c r="AD21" i="1"/>
  <c r="AE21" i="1"/>
  <c r="AF21" i="1"/>
  <c r="AG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T24" i="1"/>
  <c r="V24" i="1"/>
  <c r="Y24" i="1"/>
  <c r="AA24" i="1" s="1"/>
  <c r="W24" i="1" s="1"/>
  <c r="Z24" i="1"/>
  <c r="AB24" i="1"/>
  <c r="AC24" i="1"/>
  <c r="AD24" i="1"/>
  <c r="AE24" i="1"/>
  <c r="AF24" i="1"/>
  <c r="AG24" i="1"/>
  <c r="AH24" i="1"/>
  <c r="AI24" i="1"/>
  <c r="AM24" i="1"/>
  <c r="AN24" i="1"/>
  <c r="K25" i="1"/>
  <c r="L25" i="1"/>
  <c r="M25" i="1"/>
  <c r="N25" i="1" s="1"/>
  <c r="T25" i="1"/>
  <c r="V25" i="1"/>
  <c r="X25" i="1"/>
  <c r="Y25" i="1"/>
  <c r="Z25" i="1"/>
  <c r="AA25" i="1" s="1"/>
  <c r="AB25" i="1"/>
  <c r="AC25" i="1"/>
  <c r="AD25" i="1"/>
  <c r="AE25" i="1"/>
  <c r="AF25" i="1"/>
  <c r="AG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T28" i="1"/>
  <c r="V28" i="1"/>
  <c r="Y28" i="1"/>
  <c r="AA28" i="1" s="1"/>
  <c r="W28" i="1" s="1"/>
  <c r="Z28" i="1"/>
  <c r="AB28" i="1"/>
  <c r="AC28" i="1"/>
  <c r="AD28" i="1"/>
  <c r="AE28" i="1"/>
  <c r="AF28" i="1"/>
  <c r="AG28" i="1"/>
  <c r="AH28" i="1"/>
  <c r="AI28" i="1"/>
  <c r="AM28" i="1"/>
  <c r="AN28" i="1"/>
  <c r="K29" i="1"/>
  <c r="L29" i="1"/>
  <c r="M29" i="1"/>
  <c r="N29" i="1" s="1"/>
  <c r="T29" i="1"/>
  <c r="V29" i="1"/>
  <c r="X29" i="1"/>
  <c r="Y29" i="1"/>
  <c r="Z29" i="1"/>
  <c r="AA29" i="1" s="1"/>
  <c r="AB29" i="1"/>
  <c r="AC29" i="1"/>
  <c r="AD29" i="1"/>
  <c r="AE29" i="1"/>
  <c r="AF29" i="1"/>
  <c r="AG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T32" i="1"/>
  <c r="V32" i="1"/>
  <c r="Y32" i="1"/>
  <c r="AA32" i="1" s="1"/>
  <c r="W32" i="1" s="1"/>
  <c r="Z32" i="1"/>
  <c r="AB32" i="1"/>
  <c r="AC32" i="1"/>
  <c r="AD32" i="1"/>
  <c r="AE32" i="1"/>
  <c r="AF32" i="1"/>
  <c r="AG32" i="1"/>
  <c r="AH32" i="1"/>
  <c r="AI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K35" i="1"/>
  <c r="L35" i="1"/>
  <c r="M35" i="1"/>
  <c r="N35" i="1"/>
  <c r="V35" i="1"/>
  <c r="Y35" i="1"/>
  <c r="Z35" i="1"/>
  <c r="AA35" i="1" s="1"/>
  <c r="W35" i="1" s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T36" i="1"/>
  <c r="V36" i="1"/>
  <c r="Y36" i="1"/>
  <c r="Z36" i="1"/>
  <c r="AB36" i="1"/>
  <c r="AC36" i="1"/>
  <c r="AD36" i="1"/>
  <c r="X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A38" i="1" s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G42" i="1"/>
  <c r="AH42" i="1"/>
  <c r="AM42" i="1"/>
  <c r="AN42" i="1"/>
  <c r="K43" i="1"/>
  <c r="L43" i="1"/>
  <c r="M43" i="1"/>
  <c r="N43" i="1" s="1"/>
  <c r="V43" i="1"/>
  <c r="Y43" i="1"/>
  <c r="Z43" i="1"/>
  <c r="AA43" i="1" s="1"/>
  <c r="W43" i="1" s="1"/>
  <c r="AB43" i="1"/>
  <c r="AC43" i="1"/>
  <c r="AD43" i="1"/>
  <c r="AG43" i="1" s="1"/>
  <c r="AE43" i="1"/>
  <c r="AF43" i="1"/>
  <c r="AH43" i="1"/>
  <c r="AI43" i="1"/>
  <c r="AM43" i="1"/>
  <c r="AN43" i="1"/>
  <c r="K44" i="1"/>
  <c r="L44" i="1"/>
  <c r="M44" i="1"/>
  <c r="N44" i="1" s="1"/>
  <c r="V44" i="1"/>
  <c r="X44" i="1"/>
  <c r="Y44" i="1"/>
  <c r="Z44" i="1"/>
  <c r="AA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I47" i="1"/>
  <c r="AM47" i="1"/>
  <c r="AN47" i="1"/>
  <c r="K48" i="1"/>
  <c r="L48" i="1"/>
  <c r="M48" i="1"/>
  <c r="N48" i="1" s="1"/>
  <c r="V48" i="1"/>
  <c r="Y48" i="1"/>
  <c r="Z48" i="1"/>
  <c r="AA48" i="1" s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/>
  <c r="T51" i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 s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X53" i="1"/>
  <c r="Y53" i="1"/>
  <c r="Z53" i="1"/>
  <c r="AB53" i="1"/>
  <c r="AC53" i="1"/>
  <c r="AD53" i="1"/>
  <c r="T53" i="1" s="1"/>
  <c r="AE53" i="1"/>
  <c r="AF53" i="1"/>
  <c r="AG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G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X57" i="1"/>
  <c r="Y57" i="1"/>
  <c r="Z57" i="1"/>
  <c r="AB57" i="1"/>
  <c r="AC57" i="1"/>
  <c r="AD57" i="1"/>
  <c r="T57" i="1" s="1"/>
  <c r="AE57" i="1"/>
  <c r="AF57" i="1"/>
  <c r="AG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G58" i="1"/>
  <c r="AI58" i="1" s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AA63" i="1" s="1"/>
  <c r="W63" i="1" s="1"/>
  <c r="Z63" i="1"/>
  <c r="AB63" i="1"/>
  <c r="AC63" i="1"/>
  <c r="AD63" i="1"/>
  <c r="AG63" i="1" s="1"/>
  <c r="AE63" i="1"/>
  <c r="AF63" i="1"/>
  <c r="AH63" i="1"/>
  <c r="AI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X67" i="1"/>
  <c r="Y67" i="1"/>
  <c r="Z67" i="1"/>
  <c r="AI67" i="1" s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AA68" i="1" s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A72" i="1" s="1"/>
  <c r="AB72" i="1"/>
  <c r="AC72" i="1"/>
  <c r="AD72" i="1"/>
  <c r="T72" i="1" s="1"/>
  <c r="AE72" i="1"/>
  <c r="AF72" i="1"/>
  <c r="AG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X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T76" i="1"/>
  <c r="V76" i="1"/>
  <c r="Y76" i="1"/>
  <c r="Z76" i="1"/>
  <c r="AA76" i="1"/>
  <c r="W76" i="1" s="1"/>
  <c r="AB76" i="1"/>
  <c r="AC76" i="1"/>
  <c r="AD76" i="1"/>
  <c r="AE76" i="1"/>
  <c r="AF76" i="1"/>
  <c r="AG76" i="1"/>
  <c r="AH76" i="1"/>
  <c r="AI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 s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T81" i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G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A84" i="1" s="1"/>
  <c r="W84" i="1" s="1"/>
  <c r="AB84" i="1"/>
  <c r="AC84" i="1"/>
  <c r="AD84" i="1"/>
  <c r="T84" i="1" s="1"/>
  <c r="AE84" i="1"/>
  <c r="AF84" i="1"/>
  <c r="AG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X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A86" i="1" s="1"/>
  <c r="AB86" i="1"/>
  <c r="AC86" i="1"/>
  <c r="AD86" i="1"/>
  <c r="T86" i="1" s="1"/>
  <c r="AE86" i="1"/>
  <c r="AF86" i="1"/>
  <c r="AG86" i="1"/>
  <c r="AH86" i="1"/>
  <c r="AM86" i="1"/>
  <c r="AN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X88" i="1" s="1"/>
  <c r="AE88" i="1"/>
  <c r="AF88" i="1"/>
  <c r="AH88" i="1"/>
  <c r="AM88" i="1"/>
  <c r="AN88" i="1"/>
  <c r="K89" i="1"/>
  <c r="L89" i="1"/>
  <c r="M89" i="1"/>
  <c r="N89" i="1" s="1"/>
  <c r="T89" i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A95" i="1"/>
  <c r="W95" i="1" s="1"/>
  <c r="AB95" i="1"/>
  <c r="AC95" i="1"/>
  <c r="AD95" i="1"/>
  <c r="AG95" i="1" s="1"/>
  <c r="AE95" i="1"/>
  <c r="AF95" i="1"/>
  <c r="AH95" i="1"/>
  <c r="AI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A99" i="1" s="1"/>
  <c r="W99" i="1" s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A100" i="1" s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G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I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I103" i="1" s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X104" i="1"/>
  <c r="Y104" i="1"/>
  <c r="Z104" i="1"/>
  <c r="AB104" i="1"/>
  <c r="AC104" i="1"/>
  <c r="AD104" i="1"/>
  <c r="T104" i="1" s="1"/>
  <c r="AE104" i="1"/>
  <c r="AF104" i="1"/>
  <c r="AG104" i="1"/>
  <c r="AH104" i="1"/>
  <c r="AM104" i="1"/>
  <c r="AN104" i="1"/>
  <c r="K105" i="1"/>
  <c r="L105" i="1"/>
  <c r="M105" i="1"/>
  <c r="N105" i="1" s="1"/>
  <c r="V105" i="1"/>
  <c r="X105" i="1"/>
  <c r="Y105" i="1"/>
  <c r="Z105" i="1"/>
  <c r="AB105" i="1"/>
  <c r="AC105" i="1"/>
  <c r="AD105" i="1"/>
  <c r="T105" i="1" s="1"/>
  <c r="AE105" i="1"/>
  <c r="AF105" i="1"/>
  <c r="AG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G110" i="1"/>
  <c r="AH110" i="1"/>
  <c r="AM110" i="1"/>
  <c r="AN110" i="1"/>
  <c r="K111" i="1"/>
  <c r="L111" i="1"/>
  <c r="M111" i="1"/>
  <c r="N111" i="1" s="1"/>
  <c r="V111" i="1"/>
  <c r="X111" i="1"/>
  <c r="Y111" i="1"/>
  <c r="Z111" i="1"/>
  <c r="AA111" i="1" s="1"/>
  <c r="W111" i="1" s="1"/>
  <c r="AB111" i="1"/>
  <c r="AC111" i="1"/>
  <c r="AD111" i="1"/>
  <c r="AG111" i="1" s="1"/>
  <c r="AE111" i="1"/>
  <c r="AF111" i="1"/>
  <c r="AH111" i="1"/>
  <c r="AI111" i="1"/>
  <c r="AM111" i="1"/>
  <c r="AN111" i="1"/>
  <c r="K112" i="1"/>
  <c r="L112" i="1"/>
  <c r="M112" i="1"/>
  <c r="N112" i="1" s="1"/>
  <c r="V112" i="1"/>
  <c r="Y112" i="1"/>
  <c r="Z112" i="1"/>
  <c r="AA112" i="1" s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AE114" i="1"/>
  <c r="AF114" i="1"/>
  <c r="AH114" i="1"/>
  <c r="AM114" i="1"/>
  <c r="AN114" i="1"/>
  <c r="K115" i="1"/>
  <c r="L115" i="1"/>
  <c r="M115" i="1"/>
  <c r="N115" i="1"/>
  <c r="V115" i="1"/>
  <c r="Y115" i="1"/>
  <c r="Z115" i="1"/>
  <c r="AB115" i="1"/>
  <c r="AC115" i="1"/>
  <c r="AD115" i="1"/>
  <c r="AG115" i="1" s="1"/>
  <c r="AE115" i="1"/>
  <c r="AF115" i="1"/>
  <c r="AH115" i="1"/>
  <c r="AI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AA118" i="1" s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/>
  <c r="T119" i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A123" i="1" s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T124" i="1"/>
  <c r="V124" i="1"/>
  <c r="Y124" i="1"/>
  <c r="Z124" i="1"/>
  <c r="AB124" i="1"/>
  <c r="AC124" i="1"/>
  <c r="AD124" i="1"/>
  <c r="AG124" i="1" s="1"/>
  <c r="U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/>
  <c r="V127" i="1"/>
  <c r="Y127" i="1"/>
  <c r="Z127" i="1"/>
  <c r="AA127" i="1"/>
  <c r="W127" i="1" s="1"/>
  <c r="AB127" i="1"/>
  <c r="AC127" i="1"/>
  <c r="AD127" i="1"/>
  <c r="AG127" i="1" s="1"/>
  <c r="AE127" i="1"/>
  <c r="AF127" i="1"/>
  <c r="AH127" i="1"/>
  <c r="AI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T129" i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AA131" i="1" s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A132" i="1" s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33" i="1"/>
  <c r="AM133" i="1"/>
  <c r="AN133" i="1"/>
  <c r="K134" i="1"/>
  <c r="L134" i="1"/>
  <c r="M134" i="1"/>
  <c r="N134" i="1"/>
  <c r="V134" i="1"/>
  <c r="Y134" i="1"/>
  <c r="Z134" i="1"/>
  <c r="AB134" i="1"/>
  <c r="AC134" i="1"/>
  <c r="AD134" i="1"/>
  <c r="AG134" i="1" s="1"/>
  <c r="AE134" i="1"/>
  <c r="AF134" i="1"/>
  <c r="AH134" i="1"/>
  <c r="AI134" i="1"/>
  <c r="AM134" i="1"/>
  <c r="AN134" i="1"/>
  <c r="K135" i="1"/>
  <c r="L135" i="1"/>
  <c r="M135" i="1"/>
  <c r="N135" i="1" s="1"/>
  <c r="V135" i="1"/>
  <c r="Y135" i="1"/>
  <c r="AA135" i="1" s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V137" i="1"/>
  <c r="S7" i="3" s="1"/>
  <c r="Y137" i="1"/>
  <c r="Z137" i="1"/>
  <c r="AB137" i="1"/>
  <c r="AC137" i="1"/>
  <c r="AD137" i="1"/>
  <c r="AE137" i="1"/>
  <c r="R19" i="3" s="1"/>
  <c r="AF137" i="1"/>
  <c r="AH137" i="1"/>
  <c r="AM137" i="1"/>
  <c r="AN137" i="1"/>
  <c r="K138" i="1"/>
  <c r="L138" i="1"/>
  <c r="M138" i="1"/>
  <c r="V138" i="1"/>
  <c r="Y138" i="1"/>
  <c r="Z138" i="1"/>
  <c r="AI138" i="1" s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T139" i="1"/>
  <c r="V139" i="1"/>
  <c r="X139" i="1"/>
  <c r="Y139" i="1"/>
  <c r="Z139" i="1"/>
  <c r="AB139" i="1"/>
  <c r="AC139" i="1"/>
  <c r="AD139" i="1"/>
  <c r="AE139" i="1"/>
  <c r="AF139" i="1"/>
  <c r="AG139" i="1"/>
  <c r="AH139" i="1"/>
  <c r="AM139" i="1"/>
  <c r="AN139" i="1"/>
  <c r="K140" i="1"/>
  <c r="L140" i="1"/>
  <c r="M140" i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I142" i="1"/>
  <c r="AM142" i="1"/>
  <c r="AN142" i="1"/>
  <c r="K143" i="1"/>
  <c r="L143" i="1"/>
  <c r="M143" i="1"/>
  <c r="N143" i="1" s="1"/>
  <c r="V143" i="1"/>
  <c r="Y143" i="1"/>
  <c r="AA143" i="1" s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G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AA146" i="1" s="1"/>
  <c r="W146" i="1" s="1"/>
  <c r="Z146" i="1"/>
  <c r="AB146" i="1"/>
  <c r="AC146" i="1"/>
  <c r="AD146" i="1"/>
  <c r="AG146" i="1" s="1"/>
  <c r="AE146" i="1"/>
  <c r="AF146" i="1"/>
  <c r="AH146" i="1"/>
  <c r="AI146" i="1"/>
  <c r="AM146" i="1"/>
  <c r="AN146" i="1"/>
  <c r="K147" i="1"/>
  <c r="L147" i="1"/>
  <c r="M147" i="1"/>
  <c r="N147" i="1" s="1"/>
  <c r="V147" i="1"/>
  <c r="Y147" i="1"/>
  <c r="AA147" i="1" s="1"/>
  <c r="Z147" i="1"/>
  <c r="AB147" i="1"/>
  <c r="AC147" i="1"/>
  <c r="AD147" i="1"/>
  <c r="X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A150" i="1" s="1"/>
  <c r="W150" i="1" s="1"/>
  <c r="AB150" i="1"/>
  <c r="AC150" i="1"/>
  <c r="AD150" i="1"/>
  <c r="AG150" i="1" s="1"/>
  <c r="AE150" i="1"/>
  <c r="AF150" i="1"/>
  <c r="AH150" i="1"/>
  <c r="AI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I154" i="1"/>
  <c r="AM154" i="1"/>
  <c r="AN154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A157" i="1" s="1"/>
  <c r="AB157" i="1"/>
  <c r="AC157" i="1"/>
  <c r="AD157" i="1"/>
  <c r="AG157" i="1" s="1"/>
  <c r="AI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206" i="1"/>
  <c r="L206" i="1"/>
  <c r="M206" i="1"/>
  <c r="N206" i="1" s="1"/>
  <c r="T206" i="1"/>
  <c r="V206" i="1"/>
  <c r="Y206" i="1"/>
  <c r="Z206" i="1"/>
  <c r="AB206" i="1"/>
  <c r="AC206" i="1"/>
  <c r="AD206" i="1"/>
  <c r="AE206" i="1"/>
  <c r="AF206" i="1"/>
  <c r="AG206" i="1"/>
  <c r="AH160" i="1"/>
  <c r="AM160" i="1"/>
  <c r="AN160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1" i="1"/>
  <c r="AM161" i="1"/>
  <c r="AN161" i="1"/>
  <c r="K208" i="1"/>
  <c r="L208" i="1"/>
  <c r="M208" i="1"/>
  <c r="N208" i="1" s="1"/>
  <c r="V208" i="1"/>
  <c r="Y208" i="1"/>
  <c r="Z208" i="1"/>
  <c r="AA208" i="1" s="1"/>
  <c r="AB208" i="1"/>
  <c r="AC208" i="1"/>
  <c r="AD208" i="1"/>
  <c r="AG208" i="1" s="1"/>
  <c r="AE208" i="1"/>
  <c r="AF208" i="1"/>
  <c r="AH162" i="1"/>
  <c r="AM162" i="1"/>
  <c r="AN162" i="1"/>
  <c r="K209" i="1"/>
  <c r="L209" i="1"/>
  <c r="M209" i="1"/>
  <c r="N209" i="1" s="1"/>
  <c r="V209" i="1"/>
  <c r="Y209" i="1"/>
  <c r="Z209" i="1"/>
  <c r="AA209" i="1" s="1"/>
  <c r="W209" i="1" s="1"/>
  <c r="AB209" i="1"/>
  <c r="AC209" i="1"/>
  <c r="AD209" i="1"/>
  <c r="AG209" i="1" s="1"/>
  <c r="AE209" i="1"/>
  <c r="AF209" i="1"/>
  <c r="AH163" i="1"/>
  <c r="AM163" i="1"/>
  <c r="AN163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4" i="1"/>
  <c r="AM164" i="1"/>
  <c r="AN164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5" i="1"/>
  <c r="AM165" i="1"/>
  <c r="AN165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6" i="1"/>
  <c r="AM166" i="1"/>
  <c r="AN166" i="1"/>
  <c r="K213" i="1"/>
  <c r="L213" i="1"/>
  <c r="M213" i="1"/>
  <c r="N213" i="1"/>
  <c r="V213" i="1"/>
  <c r="Y213" i="1"/>
  <c r="AA213" i="1" s="1"/>
  <c r="Z213" i="1"/>
  <c r="AB213" i="1"/>
  <c r="AC213" i="1"/>
  <c r="AD213" i="1"/>
  <c r="AG213" i="1" s="1"/>
  <c r="AE213" i="1"/>
  <c r="AF213" i="1"/>
  <c r="AH167" i="1"/>
  <c r="AM167" i="1"/>
  <c r="AN167" i="1"/>
  <c r="K214" i="1"/>
  <c r="L214" i="1"/>
  <c r="M214" i="1"/>
  <c r="V214" i="1"/>
  <c r="Y214" i="1"/>
  <c r="Z214" i="1"/>
  <c r="AA214" i="1" s="1"/>
  <c r="AB214" i="1"/>
  <c r="AC214" i="1"/>
  <c r="AD214" i="1"/>
  <c r="T214" i="1" s="1"/>
  <c r="AE214" i="1"/>
  <c r="AF214" i="1"/>
  <c r="AH168" i="1"/>
  <c r="AM168" i="1"/>
  <c r="AN168" i="1"/>
  <c r="K215" i="1"/>
  <c r="L215" i="1"/>
  <c r="M215" i="1"/>
  <c r="N215" i="1" s="1"/>
  <c r="V215" i="1"/>
  <c r="Y215" i="1"/>
  <c r="Z215" i="1"/>
  <c r="AB215" i="1"/>
  <c r="AC215" i="1"/>
  <c r="AD215" i="1"/>
  <c r="X215" i="1" s="1"/>
  <c r="AE215" i="1"/>
  <c r="AF215" i="1"/>
  <c r="AH169" i="1"/>
  <c r="AM169" i="1"/>
  <c r="AN169" i="1"/>
  <c r="K216" i="1"/>
  <c r="L216" i="1"/>
  <c r="M216" i="1"/>
  <c r="N216" i="1" s="1"/>
  <c r="V216" i="1"/>
  <c r="Y216" i="1"/>
  <c r="Z216" i="1"/>
  <c r="AA216" i="1" s="1"/>
  <c r="AB216" i="1"/>
  <c r="AC216" i="1"/>
  <c r="AD216" i="1"/>
  <c r="AE216" i="1"/>
  <c r="AF216" i="1"/>
  <c r="AH170" i="1"/>
  <c r="AM170" i="1"/>
  <c r="AN170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1" i="1"/>
  <c r="AM171" i="1"/>
  <c r="AN171" i="1"/>
  <c r="K218" i="1"/>
  <c r="L218" i="1"/>
  <c r="M218" i="1"/>
  <c r="N218" i="1" s="1"/>
  <c r="V218" i="1"/>
  <c r="Y218" i="1"/>
  <c r="Z218" i="1"/>
  <c r="AA218" i="1" s="1"/>
  <c r="W218" i="1" s="1"/>
  <c r="AB218" i="1"/>
  <c r="AC218" i="1"/>
  <c r="AD218" i="1"/>
  <c r="X218" i="1" s="1"/>
  <c r="AE218" i="1"/>
  <c r="AF218" i="1"/>
  <c r="AG218" i="1"/>
  <c r="AH172" i="1"/>
  <c r="AM172" i="1"/>
  <c r="AN172" i="1"/>
  <c r="K219" i="1"/>
  <c r="L219" i="1"/>
  <c r="M219" i="1"/>
  <c r="N219" i="1" s="1"/>
  <c r="V219" i="1"/>
  <c r="X219" i="1"/>
  <c r="Y219" i="1"/>
  <c r="Z219" i="1"/>
  <c r="AA219" i="1" s="1"/>
  <c r="AB219" i="1"/>
  <c r="AC219" i="1"/>
  <c r="AD219" i="1"/>
  <c r="T219" i="1" s="1"/>
  <c r="AE219" i="1"/>
  <c r="AF219" i="1"/>
  <c r="AG219" i="1"/>
  <c r="AH173" i="1"/>
  <c r="AM173" i="1"/>
  <c r="AN173" i="1"/>
  <c r="K220" i="1"/>
  <c r="L220" i="1"/>
  <c r="M220" i="1"/>
  <c r="N220" i="1" s="1"/>
  <c r="V220" i="1"/>
  <c r="Y220" i="1"/>
  <c r="Z220" i="1"/>
  <c r="AA220" i="1" s="1"/>
  <c r="AB220" i="1"/>
  <c r="AC220" i="1"/>
  <c r="AD220" i="1"/>
  <c r="AE220" i="1"/>
  <c r="AF220" i="1"/>
  <c r="AH174" i="1"/>
  <c r="AM174" i="1"/>
  <c r="AN174" i="1"/>
  <c r="K221" i="1"/>
  <c r="L221" i="1"/>
  <c r="M221" i="1"/>
  <c r="N221" i="1"/>
  <c r="V221" i="1"/>
  <c r="Y221" i="1"/>
  <c r="Z221" i="1"/>
  <c r="AA221" i="1"/>
  <c r="AB221" i="1"/>
  <c r="AC221" i="1"/>
  <c r="AD221" i="1"/>
  <c r="T221" i="1" s="1"/>
  <c r="AE221" i="1"/>
  <c r="AF221" i="1"/>
  <c r="AH175" i="1"/>
  <c r="AM175" i="1"/>
  <c r="AN175" i="1"/>
  <c r="K222" i="1"/>
  <c r="L222" i="1"/>
  <c r="M222" i="1"/>
  <c r="N222" i="1" s="1"/>
  <c r="V222" i="1"/>
  <c r="Y222" i="1"/>
  <c r="Z222" i="1"/>
  <c r="AA222" i="1" s="1"/>
  <c r="AB222" i="1"/>
  <c r="AC222" i="1"/>
  <c r="AD222" i="1"/>
  <c r="T222" i="1" s="1"/>
  <c r="AE222" i="1"/>
  <c r="AF222" i="1"/>
  <c r="AH176" i="1"/>
  <c r="AM176" i="1"/>
  <c r="AN176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G228" i="1"/>
  <c r="AH177" i="1"/>
  <c r="AM177" i="1"/>
  <c r="AN177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8" i="1"/>
  <c r="AM178" i="1"/>
  <c r="AN178" i="1"/>
  <c r="K230" i="1"/>
  <c r="L230" i="1"/>
  <c r="M230" i="1"/>
  <c r="N230" i="1" s="1"/>
  <c r="V230" i="1"/>
  <c r="Y230" i="1"/>
  <c r="Z230" i="1"/>
  <c r="AA230" i="1" s="1"/>
  <c r="AB230" i="1"/>
  <c r="AC230" i="1"/>
  <c r="AD230" i="1"/>
  <c r="T230" i="1" s="1"/>
  <c r="AE230" i="1"/>
  <c r="AF230" i="1"/>
  <c r="AH179" i="1"/>
  <c r="AM179" i="1"/>
  <c r="AN179" i="1"/>
  <c r="K231" i="1"/>
  <c r="L231" i="1"/>
  <c r="M231" i="1"/>
  <c r="N231" i="1" s="1"/>
  <c r="V231" i="1"/>
  <c r="X231" i="1"/>
  <c r="Y231" i="1"/>
  <c r="AA231" i="1" s="1"/>
  <c r="W231" i="1" s="1"/>
  <c r="Z231" i="1"/>
  <c r="AB231" i="1"/>
  <c r="AC231" i="1"/>
  <c r="AD231" i="1"/>
  <c r="T231" i="1" s="1"/>
  <c r="AE231" i="1"/>
  <c r="AF231" i="1"/>
  <c r="AG231" i="1"/>
  <c r="AH180" i="1"/>
  <c r="AM180" i="1"/>
  <c r="AN180" i="1"/>
  <c r="K232" i="1"/>
  <c r="L232" i="1"/>
  <c r="M232" i="1"/>
  <c r="N232" i="1" s="1"/>
  <c r="V232" i="1"/>
  <c r="X232" i="1"/>
  <c r="Y232" i="1"/>
  <c r="Z232" i="1"/>
  <c r="AB232" i="1"/>
  <c r="AC232" i="1"/>
  <c r="AD232" i="1"/>
  <c r="T232" i="1" s="1"/>
  <c r="AE232" i="1"/>
  <c r="AF232" i="1"/>
  <c r="AG232" i="1"/>
  <c r="AH181" i="1"/>
  <c r="AM181" i="1"/>
  <c r="AN181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2" i="1"/>
  <c r="AM182" i="1"/>
  <c r="AN182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3" i="1"/>
  <c r="AM183" i="1"/>
  <c r="AN183" i="1"/>
  <c r="K160" i="1"/>
  <c r="L160" i="1"/>
  <c r="M160" i="1"/>
  <c r="N160" i="1" s="1"/>
  <c r="V160" i="1"/>
  <c r="Y160" i="1"/>
  <c r="Z160" i="1"/>
  <c r="AA160" i="1" s="1"/>
  <c r="AB160" i="1"/>
  <c r="AC160" i="1"/>
  <c r="AD160" i="1"/>
  <c r="AG160" i="1" s="1"/>
  <c r="AE160" i="1"/>
  <c r="AF160" i="1"/>
  <c r="AH184" i="1"/>
  <c r="AM184" i="1"/>
  <c r="AN18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5" i="1"/>
  <c r="AM185" i="1"/>
  <c r="AN185" i="1"/>
  <c r="K162" i="1"/>
  <c r="L162" i="1"/>
  <c r="M162" i="1"/>
  <c r="N162" i="1"/>
  <c r="V162" i="1"/>
  <c r="Y162" i="1"/>
  <c r="Z162" i="1"/>
  <c r="AB162" i="1"/>
  <c r="AC162" i="1"/>
  <c r="AD162" i="1"/>
  <c r="AE162" i="1"/>
  <c r="AF162" i="1"/>
  <c r="AH186" i="1"/>
  <c r="AM186" i="1"/>
  <c r="AN18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7" i="1"/>
  <c r="AM187" i="1"/>
  <c r="AN187" i="1"/>
  <c r="K164" i="1"/>
  <c r="L164" i="1"/>
  <c r="M164" i="1"/>
  <c r="N164" i="1" s="1"/>
  <c r="V164" i="1"/>
  <c r="Y164" i="1"/>
  <c r="AA164" i="1" s="1"/>
  <c r="Z164" i="1"/>
  <c r="AB164" i="1"/>
  <c r="AC164" i="1"/>
  <c r="AD164" i="1"/>
  <c r="T164" i="1" s="1"/>
  <c r="AE164" i="1"/>
  <c r="AF164" i="1"/>
  <c r="AH188" i="1"/>
  <c r="AM188" i="1"/>
  <c r="AN188" i="1"/>
  <c r="K165" i="1"/>
  <c r="L165" i="1"/>
  <c r="M165" i="1"/>
  <c r="N165" i="1" s="1"/>
  <c r="T165" i="1"/>
  <c r="V165" i="1"/>
  <c r="X165" i="1"/>
  <c r="Y165" i="1"/>
  <c r="Z165" i="1"/>
  <c r="AA165" i="1" s="1"/>
  <c r="AB165" i="1"/>
  <c r="AC165" i="1"/>
  <c r="AD165" i="1"/>
  <c r="AE165" i="1"/>
  <c r="AF165" i="1"/>
  <c r="AG165" i="1"/>
  <c r="AH189" i="1"/>
  <c r="AM189" i="1"/>
  <c r="AN18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0" i="1"/>
  <c r="AM190" i="1"/>
  <c r="AN190" i="1"/>
  <c r="K167" i="1"/>
  <c r="L167" i="1"/>
  <c r="M167" i="1"/>
  <c r="N167" i="1" s="1"/>
  <c r="V167" i="1"/>
  <c r="Y167" i="1"/>
  <c r="Z167" i="1"/>
  <c r="AB167" i="1"/>
  <c r="AC167" i="1"/>
  <c r="AD167" i="1"/>
  <c r="X168" i="1" s="1"/>
  <c r="AE167" i="1"/>
  <c r="AF167" i="1"/>
  <c r="AH191" i="1"/>
  <c r="AM191" i="1"/>
  <c r="AN19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G168" i="1"/>
  <c r="AH192" i="1"/>
  <c r="AM192" i="1"/>
  <c r="AN19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3" i="1"/>
  <c r="AM193" i="1"/>
  <c r="AN193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G170" i="1"/>
  <c r="AH194" i="1"/>
  <c r="AM194" i="1"/>
  <c r="AN194" i="1"/>
  <c r="K171" i="1"/>
  <c r="L171" i="1"/>
  <c r="M171" i="1"/>
  <c r="N171" i="1" s="1"/>
  <c r="V171" i="1"/>
  <c r="Y171" i="1"/>
  <c r="Z171" i="1"/>
  <c r="AA171" i="1" s="1"/>
  <c r="W171" i="1" s="1"/>
  <c r="AB171" i="1"/>
  <c r="AC171" i="1"/>
  <c r="AD171" i="1"/>
  <c r="AG171" i="1" s="1"/>
  <c r="AE171" i="1"/>
  <c r="AF171" i="1"/>
  <c r="AH195" i="1"/>
  <c r="AM195" i="1"/>
  <c r="AN195" i="1"/>
  <c r="K172" i="1"/>
  <c r="L172" i="1"/>
  <c r="M172" i="1"/>
  <c r="N172" i="1" s="1"/>
  <c r="V172" i="1"/>
  <c r="Y172" i="1"/>
  <c r="Z172" i="1"/>
  <c r="AA172" i="1"/>
  <c r="W172" i="1" s="1"/>
  <c r="AB172" i="1"/>
  <c r="AC172" i="1"/>
  <c r="AD172" i="1"/>
  <c r="T172" i="1" s="1"/>
  <c r="AE172" i="1"/>
  <c r="AF172" i="1"/>
  <c r="AG172" i="1"/>
  <c r="AI172" i="1" s="1"/>
  <c r="AH196" i="1"/>
  <c r="AM196" i="1"/>
  <c r="AN196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197" i="1"/>
  <c r="AM197" i="1"/>
  <c r="AN197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8" i="1"/>
  <c r="AM198" i="1"/>
  <c r="AN198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9" i="1"/>
  <c r="AM199" i="1"/>
  <c r="AN199" i="1"/>
  <c r="K176" i="1"/>
  <c r="L176" i="1"/>
  <c r="M176" i="1"/>
  <c r="N176" i="1" s="1"/>
  <c r="T176" i="1"/>
  <c r="V176" i="1"/>
  <c r="Y176" i="1"/>
  <c r="Z176" i="1"/>
  <c r="AA176" i="1"/>
  <c r="W176" i="1" s="1"/>
  <c r="AB176" i="1"/>
  <c r="AC176" i="1"/>
  <c r="AD176" i="1"/>
  <c r="AE176" i="1"/>
  <c r="AF176" i="1"/>
  <c r="AG176" i="1"/>
  <c r="AH200" i="1"/>
  <c r="AM200" i="1"/>
  <c r="AN200" i="1"/>
  <c r="K177" i="1"/>
  <c r="L177" i="1"/>
  <c r="M177" i="1"/>
  <c r="N177" i="1" s="1"/>
  <c r="V177" i="1"/>
  <c r="X177" i="1"/>
  <c r="Y177" i="1"/>
  <c r="Z177" i="1"/>
  <c r="AB177" i="1"/>
  <c r="AC177" i="1"/>
  <c r="AD177" i="1"/>
  <c r="T177" i="1" s="1"/>
  <c r="AE177" i="1"/>
  <c r="AF177" i="1"/>
  <c r="AG177" i="1"/>
  <c r="AH201" i="1"/>
  <c r="AM201" i="1"/>
  <c r="AN201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2" i="1"/>
  <c r="AM202" i="1"/>
  <c r="AN202" i="1"/>
  <c r="K179" i="1"/>
  <c r="L179" i="1"/>
  <c r="M179" i="1"/>
  <c r="N179" i="1"/>
  <c r="V179" i="1"/>
  <c r="Y179" i="1"/>
  <c r="Z179" i="1"/>
  <c r="AB179" i="1"/>
  <c r="AC179" i="1"/>
  <c r="AD179" i="1"/>
  <c r="AG179" i="1" s="1"/>
  <c r="AE179" i="1"/>
  <c r="AF179" i="1"/>
  <c r="AH203" i="1"/>
  <c r="AM203" i="1"/>
  <c r="AN203" i="1"/>
  <c r="K180" i="1"/>
  <c r="L180" i="1"/>
  <c r="M180" i="1"/>
  <c r="N180" i="1" s="1"/>
  <c r="V180" i="1"/>
  <c r="X180" i="1"/>
  <c r="Y180" i="1"/>
  <c r="Z180" i="1"/>
  <c r="AB180" i="1"/>
  <c r="AC180" i="1"/>
  <c r="AD180" i="1"/>
  <c r="T180" i="1" s="1"/>
  <c r="AE180" i="1"/>
  <c r="AF180" i="1"/>
  <c r="AG180" i="1"/>
  <c r="AI180" i="1" s="1"/>
  <c r="AH204" i="1"/>
  <c r="AM204" i="1"/>
  <c r="AN204" i="1"/>
  <c r="K181" i="1"/>
  <c r="L181" i="1"/>
  <c r="M181" i="1"/>
  <c r="N181" i="1" s="1"/>
  <c r="V181" i="1"/>
  <c r="Y181" i="1"/>
  <c r="Z181" i="1"/>
  <c r="AB181" i="1"/>
  <c r="AC181" i="1"/>
  <c r="AD181" i="1"/>
  <c r="X181" i="1" s="1"/>
  <c r="AE181" i="1"/>
  <c r="AF181" i="1"/>
  <c r="AH205" i="1"/>
  <c r="AM205" i="1"/>
  <c r="AN205" i="1"/>
  <c r="K182" i="1"/>
  <c r="L182" i="1"/>
  <c r="M182" i="1"/>
  <c r="N182" i="1" s="1"/>
  <c r="V182" i="1"/>
  <c r="Y182" i="1"/>
  <c r="Z182" i="1"/>
  <c r="AA182" i="1" s="1"/>
  <c r="AB182" i="1"/>
  <c r="AC182" i="1"/>
  <c r="AD182" i="1"/>
  <c r="AE182" i="1"/>
  <c r="R35" i="3" s="1"/>
  <c r="AF182" i="1"/>
  <c r="AH206" i="1"/>
  <c r="AM206" i="1"/>
  <c r="AN206" i="1"/>
  <c r="K183" i="1"/>
  <c r="L183" i="1"/>
  <c r="M183" i="1"/>
  <c r="N183" i="1"/>
  <c r="V183" i="1"/>
  <c r="Y183" i="1"/>
  <c r="Z183" i="1"/>
  <c r="AB183" i="1"/>
  <c r="AC183" i="1"/>
  <c r="AD183" i="1"/>
  <c r="AG183" i="1" s="1"/>
  <c r="AE183" i="1"/>
  <c r="AF183" i="1"/>
  <c r="AH207" i="1"/>
  <c r="AM207" i="1"/>
  <c r="AN207" i="1"/>
  <c r="K184" i="1"/>
  <c r="L184" i="1"/>
  <c r="M184" i="1"/>
  <c r="N184" i="1" s="1"/>
  <c r="T184" i="1"/>
  <c r="V184" i="1"/>
  <c r="Y184" i="1"/>
  <c r="Z184" i="1"/>
  <c r="AB184" i="1"/>
  <c r="AC184" i="1"/>
  <c r="AD184" i="1"/>
  <c r="AE184" i="1"/>
  <c r="AF184" i="1"/>
  <c r="AG184" i="1"/>
  <c r="U184" i="1" s="1"/>
  <c r="AH208" i="1"/>
  <c r="AM208" i="1"/>
  <c r="AN208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9" i="1"/>
  <c r="AM209" i="1"/>
  <c r="AN209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G186" i="1"/>
  <c r="AH210" i="1"/>
  <c r="AM210" i="1"/>
  <c r="AN210" i="1"/>
  <c r="K187" i="1"/>
  <c r="L187" i="1"/>
  <c r="M187" i="1"/>
  <c r="N187" i="1" s="1"/>
  <c r="V187" i="1"/>
  <c r="Y187" i="1"/>
  <c r="Z187" i="1"/>
  <c r="AA187" i="1" s="1"/>
  <c r="W187" i="1" s="1"/>
  <c r="AB187" i="1"/>
  <c r="AC187" i="1"/>
  <c r="AD187" i="1"/>
  <c r="AG187" i="1" s="1"/>
  <c r="AE187" i="1"/>
  <c r="AF187" i="1"/>
  <c r="AH211" i="1"/>
  <c r="AM211" i="1"/>
  <c r="AN211" i="1"/>
  <c r="K188" i="1"/>
  <c r="L188" i="1"/>
  <c r="M188" i="1"/>
  <c r="N188" i="1" s="1"/>
  <c r="V188" i="1"/>
  <c r="X188" i="1"/>
  <c r="Y188" i="1"/>
  <c r="AA188" i="1" s="1"/>
  <c r="W188" i="1" s="1"/>
  <c r="Z188" i="1"/>
  <c r="AB188" i="1"/>
  <c r="AC188" i="1"/>
  <c r="AD188" i="1"/>
  <c r="T188" i="1" s="1"/>
  <c r="AE188" i="1"/>
  <c r="AF188" i="1"/>
  <c r="AG188" i="1"/>
  <c r="AH212" i="1"/>
  <c r="AM212" i="1"/>
  <c r="AN212" i="1"/>
  <c r="K189" i="1"/>
  <c r="L189" i="1"/>
  <c r="M189" i="1"/>
  <c r="N189" i="1" s="1"/>
  <c r="V189" i="1"/>
  <c r="Y189" i="1"/>
  <c r="Z189" i="1"/>
  <c r="AB189" i="1"/>
  <c r="AC189" i="1"/>
  <c r="AD189" i="1"/>
  <c r="X189" i="1" s="1"/>
  <c r="AE189" i="1"/>
  <c r="AF189" i="1"/>
  <c r="AH213" i="1"/>
  <c r="AM213" i="1"/>
  <c r="AN213" i="1"/>
  <c r="K190" i="1"/>
  <c r="L190" i="1"/>
  <c r="M190" i="1"/>
  <c r="N190" i="1" s="1"/>
  <c r="V190" i="1"/>
  <c r="Y190" i="1"/>
  <c r="Z190" i="1"/>
  <c r="AB190" i="1"/>
  <c r="AC190" i="1"/>
  <c r="AD190" i="1"/>
  <c r="AE190" i="1"/>
  <c r="R34" i="3" s="1"/>
  <c r="AF190" i="1"/>
  <c r="AH214" i="1"/>
  <c r="AM214" i="1"/>
  <c r="AN214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5" i="1"/>
  <c r="AM215" i="1"/>
  <c r="AN215" i="1"/>
  <c r="K192" i="1"/>
  <c r="L192" i="1"/>
  <c r="M192" i="1"/>
  <c r="N192" i="1" s="1"/>
  <c r="V192" i="1"/>
  <c r="S37" i="3" s="1"/>
  <c r="Y192" i="1"/>
  <c r="Z192" i="1"/>
  <c r="AA192" i="1" s="1"/>
  <c r="AB192" i="1"/>
  <c r="AC192" i="1"/>
  <c r="AD192" i="1"/>
  <c r="T192" i="1" s="1"/>
  <c r="AE192" i="1"/>
  <c r="AF192" i="1"/>
  <c r="AH216" i="1"/>
  <c r="AM216" i="1"/>
  <c r="AN216" i="1"/>
  <c r="K193" i="1"/>
  <c r="L193" i="1"/>
  <c r="M193" i="1"/>
  <c r="N193" i="1" s="1"/>
  <c r="V193" i="1"/>
  <c r="S43" i="3" s="1"/>
  <c r="Y193" i="1"/>
  <c r="Z193" i="1"/>
  <c r="AB193" i="1"/>
  <c r="AC193" i="1"/>
  <c r="AD193" i="1"/>
  <c r="T193" i="1" s="1"/>
  <c r="AE193" i="1"/>
  <c r="AF193" i="1"/>
  <c r="AH217" i="1"/>
  <c r="AM217" i="1"/>
  <c r="AN217" i="1"/>
  <c r="K194" i="1"/>
  <c r="L194" i="1"/>
  <c r="M194" i="1"/>
  <c r="N194" i="1" s="1"/>
  <c r="V194" i="1"/>
  <c r="Y194" i="1"/>
  <c r="Z194" i="1"/>
  <c r="AA194" i="1" s="1"/>
  <c r="AB194" i="1"/>
  <c r="AC194" i="1"/>
  <c r="AD194" i="1"/>
  <c r="AG194" i="1" s="1"/>
  <c r="AE194" i="1"/>
  <c r="AF194" i="1"/>
  <c r="AH218" i="1"/>
  <c r="AI218" i="1"/>
  <c r="AM218" i="1"/>
  <c r="AN218" i="1"/>
  <c r="K195" i="1"/>
  <c r="L195" i="1"/>
  <c r="M195" i="1"/>
  <c r="N195" i="1" s="1"/>
  <c r="T195" i="1"/>
  <c r="V195" i="1"/>
  <c r="Y195" i="1"/>
  <c r="AA195" i="1" s="1"/>
  <c r="W195" i="1" s="1"/>
  <c r="Z195" i="1"/>
  <c r="AB195" i="1"/>
  <c r="AC195" i="1"/>
  <c r="AD195" i="1"/>
  <c r="AG195" i="1" s="1"/>
  <c r="AI195" i="1" s="1"/>
  <c r="AE195" i="1"/>
  <c r="AF195" i="1"/>
  <c r="AH219" i="1"/>
  <c r="AM219" i="1"/>
  <c r="AN219" i="1"/>
  <c r="K196" i="1"/>
  <c r="L196" i="1"/>
  <c r="M196" i="1"/>
  <c r="N196" i="1" s="1"/>
  <c r="V196" i="1"/>
  <c r="Y196" i="1"/>
  <c r="AA196" i="1" s="1"/>
  <c r="Z196" i="1"/>
  <c r="AB196" i="1"/>
  <c r="AC196" i="1"/>
  <c r="AD196" i="1"/>
  <c r="X196" i="1" s="1"/>
  <c r="AE196" i="1"/>
  <c r="AF196" i="1"/>
  <c r="AH220" i="1"/>
  <c r="AM220" i="1"/>
  <c r="AN220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1" i="1"/>
  <c r="AM221" i="1"/>
  <c r="AN221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2" i="1"/>
  <c r="AM222" i="1"/>
  <c r="AN222" i="1"/>
  <c r="K199" i="1"/>
  <c r="L199" i="1"/>
  <c r="M199" i="1"/>
  <c r="N199" i="1"/>
  <c r="V199" i="1"/>
  <c r="Y199" i="1"/>
  <c r="Z199" i="1"/>
  <c r="AB199" i="1"/>
  <c r="AC199" i="1"/>
  <c r="AD199" i="1"/>
  <c r="AG199" i="1" s="1"/>
  <c r="AI199" i="1" s="1"/>
  <c r="AE199" i="1"/>
  <c r="AF199" i="1"/>
  <c r="AH223" i="1"/>
  <c r="AM223" i="1"/>
  <c r="AN223" i="1"/>
  <c r="K200" i="1"/>
  <c r="L200" i="1"/>
  <c r="M200" i="1"/>
  <c r="N200" i="1" s="1"/>
  <c r="V200" i="1"/>
  <c r="Y200" i="1"/>
  <c r="AA200" i="1" s="1"/>
  <c r="Z200" i="1"/>
  <c r="AB200" i="1"/>
  <c r="AC200" i="1"/>
  <c r="AD200" i="1"/>
  <c r="T200" i="1" s="1"/>
  <c r="AE200" i="1"/>
  <c r="AF200" i="1"/>
  <c r="AH224" i="1"/>
  <c r="AM224" i="1"/>
  <c r="AN224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5" i="1"/>
  <c r="AM225" i="1"/>
  <c r="AN225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G202" i="1"/>
  <c r="AI202" i="1" s="1"/>
  <c r="AH226" i="1"/>
  <c r="AM226" i="1"/>
  <c r="AN226" i="1"/>
  <c r="K203" i="1"/>
  <c r="L203" i="1"/>
  <c r="M203" i="1"/>
  <c r="N203" i="1" s="1"/>
  <c r="V203" i="1"/>
  <c r="Y203" i="1"/>
  <c r="Z203" i="1"/>
  <c r="AB203" i="1"/>
  <c r="AC203" i="1"/>
  <c r="AD203" i="1"/>
  <c r="AG203" i="1" s="1"/>
  <c r="AI203" i="1" s="1"/>
  <c r="AE203" i="1"/>
  <c r="AF203" i="1"/>
  <c r="AH227" i="1"/>
  <c r="AM227" i="1"/>
  <c r="AN227" i="1"/>
  <c r="K204" i="1"/>
  <c r="L204" i="1"/>
  <c r="M204" i="1"/>
  <c r="N204" i="1" s="1"/>
  <c r="V204" i="1"/>
  <c r="Y204" i="1"/>
  <c r="Z204" i="1"/>
  <c r="AA204" i="1" s="1"/>
  <c r="W204" i="1" s="1"/>
  <c r="AB204" i="1"/>
  <c r="AC204" i="1"/>
  <c r="AD204" i="1"/>
  <c r="T204" i="1" s="1"/>
  <c r="AE204" i="1"/>
  <c r="AF204" i="1"/>
  <c r="AG204" i="1"/>
  <c r="AH228" i="1"/>
  <c r="AI228" i="1"/>
  <c r="AM228" i="1"/>
  <c r="AN228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G205" i="1"/>
  <c r="AH229" i="1"/>
  <c r="AM229" i="1"/>
  <c r="AN229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230" i="1"/>
  <c r="AM230" i="1"/>
  <c r="AN230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G236" i="1"/>
  <c r="U236" i="1" s="1"/>
  <c r="AH231" i="1"/>
  <c r="AM231" i="1"/>
  <c r="AN231" i="1"/>
  <c r="K237" i="1"/>
  <c r="L237" i="1"/>
  <c r="M237" i="1"/>
  <c r="N237" i="1" s="1"/>
  <c r="V237" i="1"/>
  <c r="Y237" i="1"/>
  <c r="Z237" i="1"/>
  <c r="AI237" i="1" s="1"/>
  <c r="AB237" i="1"/>
  <c r="AC237" i="1"/>
  <c r="AD237" i="1"/>
  <c r="AG237" i="1" s="1"/>
  <c r="AE237" i="1"/>
  <c r="AF237" i="1"/>
  <c r="AH232" i="1"/>
  <c r="AM232" i="1"/>
  <c r="AN232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G238" i="1"/>
  <c r="AH233" i="1"/>
  <c r="AM233" i="1"/>
  <c r="AN233" i="1"/>
  <c r="K223" i="1"/>
  <c r="L223" i="1"/>
  <c r="M223" i="1"/>
  <c r="N223" i="1" s="1"/>
  <c r="V223" i="1"/>
  <c r="X223" i="1"/>
  <c r="Y223" i="1"/>
  <c r="Z223" i="1"/>
  <c r="AB223" i="1"/>
  <c r="AC223" i="1"/>
  <c r="AD223" i="1"/>
  <c r="AG223" i="1" s="1"/>
  <c r="AE223" i="1"/>
  <c r="AF223" i="1"/>
  <c r="AH234" i="1"/>
  <c r="AM234" i="1"/>
  <c r="AN234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G224" i="1"/>
  <c r="AH235" i="1"/>
  <c r="AM235" i="1"/>
  <c r="AN235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236" i="1"/>
  <c r="AM236" i="1"/>
  <c r="AN236" i="1"/>
  <c r="K226" i="1"/>
  <c r="L226" i="1"/>
  <c r="M226" i="1"/>
  <c r="N226" i="1" s="1"/>
  <c r="V226" i="1"/>
  <c r="Y226" i="1"/>
  <c r="Z226" i="1"/>
  <c r="AA226" i="1" s="1"/>
  <c r="AB226" i="1"/>
  <c r="AC226" i="1"/>
  <c r="AD226" i="1"/>
  <c r="AG226" i="1" s="1"/>
  <c r="AE226" i="1"/>
  <c r="AF226" i="1"/>
  <c r="AH237" i="1"/>
  <c r="AM237" i="1"/>
  <c r="AN237" i="1"/>
  <c r="K227" i="1"/>
  <c r="L227" i="1"/>
  <c r="M227" i="1"/>
  <c r="N227" i="1" s="1"/>
  <c r="V227" i="1"/>
  <c r="S48" i="3" s="1"/>
  <c r="Y227" i="1"/>
  <c r="Z227" i="1"/>
  <c r="AB227" i="1"/>
  <c r="AC227" i="1"/>
  <c r="AD227" i="1"/>
  <c r="AG227" i="1" s="1"/>
  <c r="AE227" i="1"/>
  <c r="R48" i="3" s="1"/>
  <c r="AF227" i="1"/>
  <c r="AH238" i="1"/>
  <c r="AM238" i="1"/>
  <c r="AN238" i="1"/>
  <c r="M47" i="3"/>
  <c r="R47" i="3"/>
  <c r="S47" i="3"/>
  <c r="U47" i="3"/>
  <c r="T47" i="3" s="1"/>
  <c r="V47" i="3"/>
  <c r="W47" i="3"/>
  <c r="Y47" i="3" s="1"/>
  <c r="X47" i="3"/>
  <c r="AC47" i="3"/>
  <c r="M11" i="3"/>
  <c r="R11" i="3"/>
  <c r="S11" i="3"/>
  <c r="U11" i="3"/>
  <c r="V11" i="3"/>
  <c r="W11" i="3"/>
  <c r="Y11" i="3" s="1"/>
  <c r="X11" i="3"/>
  <c r="M39" i="3"/>
  <c r="N39" i="3"/>
  <c r="U39" i="3"/>
  <c r="AC39" i="3" s="1"/>
  <c r="V39" i="3"/>
  <c r="W39" i="3"/>
  <c r="Y39" i="3" s="1"/>
  <c r="X39" i="3"/>
  <c r="M23" i="3"/>
  <c r="R23" i="3"/>
  <c r="S23" i="3"/>
  <c r="U23" i="3"/>
  <c r="T23" i="3" s="1"/>
  <c r="V23" i="3"/>
  <c r="W23" i="3"/>
  <c r="Y23" i="3" s="1"/>
  <c r="X23" i="3"/>
  <c r="AC23" i="3"/>
  <c r="AE11" i="3"/>
  <c r="M40" i="3"/>
  <c r="R40" i="3"/>
  <c r="S40" i="3"/>
  <c r="U40" i="3"/>
  <c r="T40" i="3" s="1"/>
  <c r="V40" i="3"/>
  <c r="W40" i="3"/>
  <c r="X40" i="3"/>
  <c r="AC40" i="3"/>
  <c r="M24" i="3"/>
  <c r="R24" i="3"/>
  <c r="S24" i="3"/>
  <c r="U24" i="3"/>
  <c r="V24" i="3"/>
  <c r="W24" i="3"/>
  <c r="Y24" i="3" s="1"/>
  <c r="X24" i="3"/>
  <c r="AC24" i="3"/>
  <c r="M27" i="3"/>
  <c r="R27" i="3"/>
  <c r="S27" i="3"/>
  <c r="U27" i="3"/>
  <c r="AC27" i="3" s="1"/>
  <c r="V27" i="3"/>
  <c r="W27" i="3"/>
  <c r="X27" i="3"/>
  <c r="Y27" i="3"/>
  <c r="M21" i="3"/>
  <c r="R21" i="3"/>
  <c r="S21" i="3"/>
  <c r="T21" i="3"/>
  <c r="U21" i="3"/>
  <c r="V21" i="3"/>
  <c r="W21" i="3"/>
  <c r="Y21" i="3" s="1"/>
  <c r="X21" i="3"/>
  <c r="AC21" i="3"/>
  <c r="M38" i="3"/>
  <c r="R38" i="3"/>
  <c r="S38" i="3"/>
  <c r="U38" i="3"/>
  <c r="T38" i="3" s="1"/>
  <c r="V38" i="3"/>
  <c r="W38" i="3"/>
  <c r="X38" i="3"/>
  <c r="AC38" i="3"/>
  <c r="M28" i="3"/>
  <c r="R28" i="3"/>
  <c r="S28" i="3"/>
  <c r="U28" i="3"/>
  <c r="V28" i="3"/>
  <c r="W28" i="3"/>
  <c r="X28" i="3"/>
  <c r="Y28" i="3"/>
  <c r="M10" i="3"/>
  <c r="R10" i="3"/>
  <c r="S10" i="3"/>
  <c r="U10" i="3"/>
  <c r="AC10" i="3" s="1"/>
  <c r="V10" i="3"/>
  <c r="W10" i="3"/>
  <c r="Y10" i="3" s="1"/>
  <c r="X10" i="3"/>
  <c r="M16" i="3"/>
  <c r="R16" i="3"/>
  <c r="S16" i="3"/>
  <c r="U16" i="3"/>
  <c r="V16" i="3"/>
  <c r="W16" i="3"/>
  <c r="Y16" i="3" s="1"/>
  <c r="X16" i="3"/>
  <c r="AC16" i="3"/>
  <c r="M20" i="3"/>
  <c r="R20" i="3"/>
  <c r="S20" i="3"/>
  <c r="U20" i="3"/>
  <c r="T20" i="3" s="1"/>
  <c r="V20" i="3"/>
  <c r="W20" i="3"/>
  <c r="X20" i="3"/>
  <c r="AC20" i="3"/>
  <c r="M13" i="3"/>
  <c r="R13" i="3"/>
  <c r="S13" i="3"/>
  <c r="U13" i="3"/>
  <c r="AD21" i="3" s="1"/>
  <c r="V13" i="3"/>
  <c r="W13" i="3"/>
  <c r="Y13" i="3" s="1"/>
  <c r="X13" i="3"/>
  <c r="AC13" i="3"/>
  <c r="M41" i="3"/>
  <c r="R41" i="3"/>
  <c r="S41" i="3"/>
  <c r="U41" i="3"/>
  <c r="AC41" i="3" s="1"/>
  <c r="V41" i="3"/>
  <c r="W41" i="3"/>
  <c r="X41" i="3"/>
  <c r="M26" i="3"/>
  <c r="R26" i="3"/>
  <c r="S26" i="3"/>
  <c r="T26" i="3"/>
  <c r="U26" i="3"/>
  <c r="AE23" i="3" s="1"/>
  <c r="V26" i="3"/>
  <c r="W26" i="3"/>
  <c r="X26" i="3"/>
  <c r="AC26" i="3"/>
  <c r="AD23" i="3"/>
  <c r="M35" i="3"/>
  <c r="S35" i="3"/>
  <c r="U35" i="3"/>
  <c r="T35" i="3" s="1"/>
  <c r="V35" i="3"/>
  <c r="W35" i="3"/>
  <c r="Y35" i="3" s="1"/>
  <c r="X35" i="3"/>
  <c r="AC35" i="3"/>
  <c r="M36" i="3"/>
  <c r="S36" i="3"/>
  <c r="U36" i="3"/>
  <c r="V36" i="3"/>
  <c r="W36" i="3"/>
  <c r="X36" i="3"/>
  <c r="M9" i="3"/>
  <c r="R9" i="3"/>
  <c r="S9" i="3"/>
  <c r="U9" i="3"/>
  <c r="AC9" i="3" s="1"/>
  <c r="V9" i="3"/>
  <c r="W9" i="3"/>
  <c r="X9" i="3"/>
  <c r="Y9" i="3"/>
  <c r="M32" i="3"/>
  <c r="R32" i="3"/>
  <c r="S32" i="3"/>
  <c r="U32" i="3"/>
  <c r="T32" i="3" s="1"/>
  <c r="V32" i="3"/>
  <c r="W32" i="3"/>
  <c r="X32" i="3"/>
  <c r="AC32" i="3"/>
  <c r="AE27" i="3"/>
  <c r="M15" i="3"/>
  <c r="R15" i="3"/>
  <c r="S15" i="3"/>
  <c r="U15" i="3"/>
  <c r="T15" i="3" s="1"/>
  <c r="V15" i="3"/>
  <c r="W15" i="3"/>
  <c r="X15" i="3"/>
  <c r="AC15" i="3"/>
  <c r="AD28" i="3"/>
  <c r="M14" i="3"/>
  <c r="R14" i="3"/>
  <c r="S14" i="3"/>
  <c r="U14" i="3"/>
  <c r="V14" i="3"/>
  <c r="W14" i="3"/>
  <c r="X14" i="3"/>
  <c r="AC14" i="3"/>
  <c r="M22" i="3"/>
  <c r="R22" i="3"/>
  <c r="S22" i="3"/>
  <c r="U22" i="3"/>
  <c r="AC22" i="3" s="1"/>
  <c r="V22" i="3"/>
  <c r="W22" i="3"/>
  <c r="Y22" i="3" s="1"/>
  <c r="X22" i="3"/>
  <c r="M42" i="3"/>
  <c r="R42" i="3"/>
  <c r="S42" i="3"/>
  <c r="U42" i="3"/>
  <c r="T42" i="3" s="1"/>
  <c r="V42" i="3"/>
  <c r="W42" i="3"/>
  <c r="X42" i="3"/>
  <c r="AC42" i="3"/>
  <c r="M34" i="3"/>
  <c r="S34" i="3"/>
  <c r="U34" i="3"/>
  <c r="T34" i="3" s="1"/>
  <c r="V34" i="3"/>
  <c r="W34" i="3"/>
  <c r="Y34" i="3" s="1"/>
  <c r="X34" i="3"/>
  <c r="AC34" i="3"/>
  <c r="M17" i="3"/>
  <c r="R17" i="3"/>
  <c r="S17" i="3"/>
  <c r="U17" i="3"/>
  <c r="V17" i="3"/>
  <c r="W17" i="3"/>
  <c r="Y17" i="3" s="1"/>
  <c r="X17" i="3"/>
  <c r="M37" i="3"/>
  <c r="R37" i="3"/>
  <c r="U37" i="3"/>
  <c r="AC37" i="3" s="1"/>
  <c r="V37" i="3"/>
  <c r="W37" i="3"/>
  <c r="X37" i="3"/>
  <c r="M18" i="3"/>
  <c r="R18" i="3"/>
  <c r="S18" i="3"/>
  <c r="U18" i="3"/>
  <c r="AD35" i="3" s="1"/>
  <c r="V18" i="3"/>
  <c r="W18" i="3"/>
  <c r="X18" i="3"/>
  <c r="AC18" i="3"/>
  <c r="M29" i="3"/>
  <c r="R29" i="3"/>
  <c r="S29" i="3"/>
  <c r="U29" i="3"/>
  <c r="T29" i="3" s="1"/>
  <c r="V29" i="3"/>
  <c r="W29" i="3"/>
  <c r="X29" i="3"/>
  <c r="AC29" i="3"/>
  <c r="AD36" i="3"/>
  <c r="M30" i="3"/>
  <c r="R30" i="3"/>
  <c r="S30" i="3"/>
  <c r="U30" i="3"/>
  <c r="V30" i="3"/>
  <c r="W30" i="3"/>
  <c r="Y30" i="3" s="1"/>
  <c r="X30" i="3"/>
  <c r="AC30" i="3"/>
  <c r="M43" i="3"/>
  <c r="R43" i="3"/>
  <c r="U43" i="3"/>
  <c r="AC43" i="3" s="1"/>
  <c r="V43" i="3"/>
  <c r="W43" i="3"/>
  <c r="X43" i="3"/>
  <c r="M44" i="3"/>
  <c r="R44" i="3"/>
  <c r="S44" i="3"/>
  <c r="T44" i="3"/>
  <c r="U44" i="3"/>
  <c r="AE39" i="3" s="1"/>
  <c r="V44" i="3"/>
  <c r="W44" i="3"/>
  <c r="X44" i="3"/>
  <c r="AC44" i="3"/>
  <c r="AD39" i="3"/>
  <c r="M12" i="3"/>
  <c r="R12" i="3"/>
  <c r="S12" i="3"/>
  <c r="U12" i="3"/>
  <c r="T12" i="3" s="1"/>
  <c r="V12" i="3"/>
  <c r="W12" i="3"/>
  <c r="X12" i="3"/>
  <c r="AC12" i="3"/>
  <c r="M31" i="3"/>
  <c r="R31" i="3"/>
  <c r="S31" i="3"/>
  <c r="U31" i="3"/>
  <c r="AD41" i="3" s="1"/>
  <c r="V31" i="3"/>
  <c r="W31" i="3"/>
  <c r="X31" i="3"/>
  <c r="Y31" i="3"/>
  <c r="M8" i="3"/>
  <c r="R8" i="3"/>
  <c r="S8" i="3"/>
  <c r="U8" i="3"/>
  <c r="AC8" i="3" s="1"/>
  <c r="V8" i="3"/>
  <c r="W8" i="3"/>
  <c r="Y8" i="3" s="1"/>
  <c r="X8" i="3"/>
  <c r="M45" i="3"/>
  <c r="R45" i="3"/>
  <c r="S45" i="3"/>
  <c r="U45" i="3"/>
  <c r="T45" i="3" s="1"/>
  <c r="V45" i="3"/>
  <c r="W45" i="3"/>
  <c r="X45" i="3"/>
  <c r="AC45" i="3"/>
  <c r="M7" i="3"/>
  <c r="R7" i="3"/>
  <c r="U7" i="3"/>
  <c r="T7" i="3" s="1"/>
  <c r="V7" i="3"/>
  <c r="W7" i="3"/>
  <c r="X7" i="3"/>
  <c r="AC7" i="3"/>
  <c r="AD44" i="3"/>
  <c r="M19" i="3"/>
  <c r="U19" i="3"/>
  <c r="AD45" i="3" s="1"/>
  <c r="V19" i="3"/>
  <c r="W19" i="3"/>
  <c r="X19" i="3"/>
  <c r="AC19" i="3"/>
  <c r="M25" i="3"/>
  <c r="U25" i="3"/>
  <c r="AC25" i="3" s="1"/>
  <c r="V25" i="3"/>
  <c r="W25" i="3"/>
  <c r="Y25" i="3" s="1"/>
  <c r="X25" i="3"/>
  <c r="M33" i="3"/>
  <c r="R33" i="3"/>
  <c r="S33" i="3"/>
  <c r="U33" i="3"/>
  <c r="T33" i="3" s="1"/>
  <c r="V33" i="3"/>
  <c r="AE47" i="3" s="1"/>
  <c r="W33" i="3"/>
  <c r="X33" i="3"/>
  <c r="AC33" i="3"/>
  <c r="AD47" i="3"/>
  <c r="M48" i="3"/>
  <c r="U48" i="3"/>
  <c r="T48" i="3" s="1"/>
  <c r="V48" i="3"/>
  <c r="W48" i="3"/>
  <c r="X48" i="3"/>
  <c r="AC48" i="3"/>
  <c r="AG159" i="1" l="1"/>
  <c r="W159" i="1" s="1"/>
  <c r="U159" i="1"/>
  <c r="S159" i="1" s="1"/>
  <c r="AI159" i="1"/>
  <c r="AA138" i="1"/>
  <c r="S25" i="3"/>
  <c r="S19" i="3"/>
  <c r="R25" i="3"/>
  <c r="W226" i="1"/>
  <c r="W157" i="1"/>
  <c r="R36" i="3"/>
  <c r="AI227" i="1"/>
  <c r="T226" i="1"/>
  <c r="AA225" i="1"/>
  <c r="W225" i="1" s="1"/>
  <c r="AA236" i="1"/>
  <c r="AA203" i="1"/>
  <c r="W203" i="1" s="1"/>
  <c r="AG201" i="1"/>
  <c r="X201" i="1"/>
  <c r="AG200" i="1"/>
  <c r="AI219" i="1"/>
  <c r="AG192" i="1"/>
  <c r="W192" i="1" s="1"/>
  <c r="X191" i="1"/>
  <c r="AA186" i="1"/>
  <c r="AG185" i="1"/>
  <c r="X185" i="1"/>
  <c r="AA184" i="1"/>
  <c r="AA180" i="1"/>
  <c r="X172" i="1"/>
  <c r="AA169" i="1"/>
  <c r="AA167" i="1"/>
  <c r="AG164" i="1"/>
  <c r="AA163" i="1"/>
  <c r="AA151" i="1"/>
  <c r="AA142" i="1"/>
  <c r="W142" i="1" s="1"/>
  <c r="AG140" i="1"/>
  <c r="AI140" i="1" s="1"/>
  <c r="AG135" i="1"/>
  <c r="X135" i="1"/>
  <c r="AG131" i="1"/>
  <c r="AG125" i="1"/>
  <c r="X125" i="1"/>
  <c r="AA116" i="1"/>
  <c r="AA115" i="1"/>
  <c r="W115" i="1" s="1"/>
  <c r="AG109" i="1"/>
  <c r="X109" i="1"/>
  <c r="AA102" i="1"/>
  <c r="W102" i="1" s="1"/>
  <c r="AG96" i="1"/>
  <c r="AI96" i="1" s="1"/>
  <c r="X95" i="1"/>
  <c r="AA92" i="1"/>
  <c r="T85" i="1"/>
  <c r="AA74" i="1"/>
  <c r="AG64" i="1"/>
  <c r="AI64" i="1" s="1"/>
  <c r="X63" i="1"/>
  <c r="AA60" i="1"/>
  <c r="AI50" i="1"/>
  <c r="AG49" i="1"/>
  <c r="X49" i="1"/>
  <c r="T40" i="1"/>
  <c r="AA39" i="1"/>
  <c r="T35" i="1"/>
  <c r="AG30" i="1"/>
  <c r="U30" i="1" s="1"/>
  <c r="AG26" i="1"/>
  <c r="U26" i="1" s="1"/>
  <c r="AG22" i="1"/>
  <c r="U22" i="1" s="1"/>
  <c r="AG18" i="1"/>
  <c r="U18" i="1" s="1"/>
  <c r="X214" i="1"/>
  <c r="W72" i="1"/>
  <c r="AI223" i="1"/>
  <c r="AA238" i="1"/>
  <c r="W238" i="1" s="1"/>
  <c r="AA205" i="1"/>
  <c r="W205" i="1" s="1"/>
  <c r="AA185" i="1"/>
  <c r="AA179" i="1"/>
  <c r="W179" i="1" s="1"/>
  <c r="AA178" i="1"/>
  <c r="W178" i="1" s="1"/>
  <c r="AI171" i="1"/>
  <c r="AA170" i="1"/>
  <c r="AG169" i="1"/>
  <c r="X169" i="1"/>
  <c r="AA168" i="1"/>
  <c r="W168" i="1" s="1"/>
  <c r="AA234" i="1"/>
  <c r="AA210" i="1"/>
  <c r="AA158" i="1"/>
  <c r="X154" i="1"/>
  <c r="X152" i="1"/>
  <c r="AG151" i="1"/>
  <c r="AI151" i="1" s="1"/>
  <c r="X151" i="1"/>
  <c r="AA145" i="1"/>
  <c r="AG143" i="1"/>
  <c r="X143" i="1"/>
  <c r="AA134" i="1"/>
  <c r="W134" i="1" s="1"/>
  <c r="AA128" i="1"/>
  <c r="W128" i="1" s="1"/>
  <c r="AA121" i="1"/>
  <c r="AA108" i="1"/>
  <c r="AA104" i="1"/>
  <c r="AA96" i="1"/>
  <c r="W96" i="1" s="1"/>
  <c r="AA94" i="1"/>
  <c r="AG93" i="1"/>
  <c r="X93" i="1"/>
  <c r="AA89" i="1"/>
  <c r="AA81" i="1"/>
  <c r="W81" i="1" s="1"/>
  <c r="AG77" i="1"/>
  <c r="X77" i="1"/>
  <c r="AG74" i="1"/>
  <c r="AA64" i="1"/>
  <c r="W64" i="1" s="1"/>
  <c r="AG61" i="1"/>
  <c r="X61" i="1"/>
  <c r="X47" i="1"/>
  <c r="AA30" i="1"/>
  <c r="AA26" i="1"/>
  <c r="AA22" i="1"/>
  <c r="AA18" i="1"/>
  <c r="X204" i="1"/>
  <c r="U165" i="1"/>
  <c r="W164" i="1"/>
  <c r="W213" i="1"/>
  <c r="X150" i="1"/>
  <c r="W138" i="1"/>
  <c r="X117" i="1"/>
  <c r="U105" i="1"/>
  <c r="W86" i="1"/>
  <c r="W194" i="1"/>
  <c r="W160" i="1"/>
  <c r="AI128" i="1"/>
  <c r="U226" i="1"/>
  <c r="S226" i="1" s="1"/>
  <c r="U224" i="1"/>
  <c r="AA223" i="1"/>
  <c r="T223" i="1"/>
  <c r="W236" i="1"/>
  <c r="X203" i="1"/>
  <c r="AA199" i="1"/>
  <c r="W199" i="1" s="1"/>
  <c r="AA191" i="1"/>
  <c r="W191" i="1" s="1"/>
  <c r="AA190" i="1"/>
  <c r="X187" i="1"/>
  <c r="AA183" i="1"/>
  <c r="W183" i="1" s="1"/>
  <c r="AA175" i="1"/>
  <c r="W175" i="1" s="1"/>
  <c r="AA174" i="1"/>
  <c r="X171" i="1"/>
  <c r="X164" i="1"/>
  <c r="AG161" i="1"/>
  <c r="AI184" i="1"/>
  <c r="AA229" i="1"/>
  <c r="AG222" i="1"/>
  <c r="U222" i="1" s="1"/>
  <c r="S222" i="1" s="1"/>
  <c r="U219" i="1"/>
  <c r="S219" i="1" s="1"/>
  <c r="X217" i="1"/>
  <c r="AG214" i="1"/>
  <c r="X213" i="1"/>
  <c r="T210" i="1"/>
  <c r="AG207" i="1"/>
  <c r="AI207" i="1" s="1"/>
  <c r="X207" i="1"/>
  <c r="AA206" i="1"/>
  <c r="AG155" i="1"/>
  <c r="AI155" i="1" s="1"/>
  <c r="AA154" i="1"/>
  <c r="W154" i="1" s="1"/>
  <c r="T154" i="1"/>
  <c r="AA152" i="1"/>
  <c r="T150" i="1"/>
  <c r="AA141" i="1"/>
  <c r="AA140" i="1"/>
  <c r="W140" i="1" s="1"/>
  <c r="AA139" i="1"/>
  <c r="W139" i="1" s="1"/>
  <c r="AG132" i="1"/>
  <c r="AI112" i="1"/>
  <c r="X227" i="1"/>
  <c r="U238" i="1"/>
  <c r="S238" i="1" s="1"/>
  <c r="AA235" i="1"/>
  <c r="T235" i="1"/>
  <c r="T205" i="1"/>
  <c r="U205" i="1" s="1"/>
  <c r="S205" i="1" s="1"/>
  <c r="U204" i="1"/>
  <c r="S204" i="1" s="1"/>
  <c r="AA202" i="1"/>
  <c r="W202" i="1" s="1"/>
  <c r="W200" i="1"/>
  <c r="T196" i="1"/>
  <c r="AA193" i="1"/>
  <c r="U192" i="1"/>
  <c r="S192" i="1" s="1"/>
  <c r="U188" i="1"/>
  <c r="S188" i="1" s="1"/>
  <c r="W186" i="1"/>
  <c r="U185" i="1"/>
  <c r="W184" i="1"/>
  <c r="AA177" i="1"/>
  <c r="W177" i="1" s="1"/>
  <c r="U176" i="1"/>
  <c r="S176" i="1" s="1"/>
  <c r="U172" i="1"/>
  <c r="S172" i="1" s="1"/>
  <c r="W170" i="1"/>
  <c r="U169" i="1"/>
  <c r="AI188" i="1"/>
  <c r="T160" i="1"/>
  <c r="U160" i="1" s="1"/>
  <c r="S160" i="1" s="1"/>
  <c r="AA233" i="1"/>
  <c r="AA232" i="1"/>
  <c r="U228" i="1"/>
  <c r="S228" i="1" s="1"/>
  <c r="X222" i="1"/>
  <c r="T218" i="1"/>
  <c r="AA156" i="1"/>
  <c r="X155" i="1"/>
  <c r="AA149" i="1"/>
  <c r="AA148" i="1"/>
  <c r="W148" i="1" s="1"/>
  <c r="T147" i="1"/>
  <c r="X146" i="1"/>
  <c r="AA144" i="1"/>
  <c r="W144" i="1" s="1"/>
  <c r="W143" i="1"/>
  <c r="AA136" i="1"/>
  <c r="W135" i="1"/>
  <c r="AA130" i="1"/>
  <c r="T128" i="1"/>
  <c r="U128" i="1" s="1"/>
  <c r="S128" i="1" s="1"/>
  <c r="X127" i="1"/>
  <c r="AA124" i="1"/>
  <c r="X120" i="1"/>
  <c r="AG120" i="1"/>
  <c r="U120" i="1" s="1"/>
  <c r="S120" i="1" s="1"/>
  <c r="AA120" i="1"/>
  <c r="W120" i="1" s="1"/>
  <c r="AG116" i="1"/>
  <c r="W116" i="1" s="1"/>
  <c r="X116" i="1"/>
  <c r="W100" i="1"/>
  <c r="W80" i="1"/>
  <c r="AI52" i="1"/>
  <c r="W48" i="1"/>
  <c r="T203" i="1"/>
  <c r="U200" i="1"/>
  <c r="T187" i="1"/>
  <c r="W180" i="1"/>
  <c r="T179" i="1"/>
  <c r="U177" i="1"/>
  <c r="X175" i="1"/>
  <c r="T171" i="1"/>
  <c r="U168" i="1"/>
  <c r="S168" i="1" s="1"/>
  <c r="AA162" i="1"/>
  <c r="X228" i="1"/>
  <c r="AI176" i="1"/>
  <c r="AA217" i="1"/>
  <c r="W217" i="1" s="1"/>
  <c r="T217" i="1"/>
  <c r="AA215" i="1"/>
  <c r="AI168" i="1"/>
  <c r="T213" i="1"/>
  <c r="W210" i="1"/>
  <c r="W155" i="1"/>
  <c r="U151" i="1"/>
  <c r="S151" i="1" s="1"/>
  <c r="U144" i="1"/>
  <c r="S144" i="1" s="1"/>
  <c r="T142" i="1"/>
  <c r="U142" i="1" s="1"/>
  <c r="S142" i="1" s="1"/>
  <c r="AA137" i="1"/>
  <c r="T136" i="1"/>
  <c r="AG136" i="1"/>
  <c r="U134" i="1"/>
  <c r="S134" i="1" s="1"/>
  <c r="T134" i="1"/>
  <c r="W132" i="1"/>
  <c r="W131" i="1"/>
  <c r="X131" i="1"/>
  <c r="AA117" i="1"/>
  <c r="AI100" i="1"/>
  <c r="AI80" i="1"/>
  <c r="AI68" i="1"/>
  <c r="AI48" i="1"/>
  <c r="AA227" i="1"/>
  <c r="T227" i="1"/>
  <c r="AA224" i="1"/>
  <c r="W224" i="1" s="1"/>
  <c r="AA237" i="1"/>
  <c r="W237" i="1" s="1"/>
  <c r="X235" i="1"/>
  <c r="AA201" i="1"/>
  <c r="AA198" i="1"/>
  <c r="X197" i="1"/>
  <c r="AG196" i="1"/>
  <c r="AI196" i="1" s="1"/>
  <c r="AG193" i="1"/>
  <c r="U193" i="1" s="1"/>
  <c r="S193" i="1" s="1"/>
  <c r="X193" i="1"/>
  <c r="AI200" i="1"/>
  <c r="U164" i="1"/>
  <c r="S164" i="1" s="1"/>
  <c r="U161" i="1"/>
  <c r="U232" i="1"/>
  <c r="W219" i="1"/>
  <c r="AG156" i="1"/>
  <c r="U156" i="1" s="1"/>
  <c r="S156" i="1" s="1"/>
  <c r="X156" i="1"/>
  <c r="AG147" i="1"/>
  <c r="U146" i="1"/>
  <c r="T146" i="1"/>
  <c r="U132" i="1"/>
  <c r="S132" i="1" s="1"/>
  <c r="U131" i="1"/>
  <c r="S131" i="1" s="1"/>
  <c r="AA122" i="1"/>
  <c r="W122" i="1" s="1"/>
  <c r="T121" i="1"/>
  <c r="X121" i="1"/>
  <c r="AG121" i="1"/>
  <c r="AA119" i="1"/>
  <c r="W119" i="1" s="1"/>
  <c r="AI119" i="1"/>
  <c r="W112" i="1"/>
  <c r="AI56" i="1"/>
  <c r="W50" i="1"/>
  <c r="AA110" i="1"/>
  <c r="T108" i="1"/>
  <c r="AA107" i="1"/>
  <c r="AA106" i="1"/>
  <c r="W106" i="1" s="1"/>
  <c r="T103" i="1"/>
  <c r="AA93" i="1"/>
  <c r="T92" i="1"/>
  <c r="AA91" i="1"/>
  <c r="X89" i="1"/>
  <c r="X81" i="1"/>
  <c r="T80" i="1"/>
  <c r="U80" i="1" s="1"/>
  <c r="S80" i="1" s="1"/>
  <c r="AA77" i="1"/>
  <c r="W77" i="1" s="1"/>
  <c r="U76" i="1"/>
  <c r="S76" i="1" s="1"/>
  <c r="AA71" i="1"/>
  <c r="AA70" i="1"/>
  <c r="AA69" i="1"/>
  <c r="X68" i="1"/>
  <c r="AA66" i="1"/>
  <c r="T60" i="1"/>
  <c r="AA59" i="1"/>
  <c r="X56" i="1"/>
  <c r="X52" i="1"/>
  <c r="AA49" i="1"/>
  <c r="W49" i="1" s="1"/>
  <c r="X48" i="1"/>
  <c r="AA46" i="1"/>
  <c r="AG44" i="1"/>
  <c r="X43" i="1"/>
  <c r="AA42" i="1"/>
  <c r="W42" i="1" s="1"/>
  <c r="AG33" i="1"/>
  <c r="U33" i="1" s="1"/>
  <c r="X33" i="1"/>
  <c r="T115" i="1"/>
  <c r="T112" i="1"/>
  <c r="U112" i="1" s="1"/>
  <c r="S112" i="1" s="1"/>
  <c r="W104" i="1"/>
  <c r="AA103" i="1"/>
  <c r="W103" i="1" s="1"/>
  <c r="X101" i="1"/>
  <c r="T100" i="1"/>
  <c r="U100" i="1" s="1"/>
  <c r="S100" i="1" s="1"/>
  <c r="AA98" i="1"/>
  <c r="T96" i="1"/>
  <c r="U96" i="1" s="1"/>
  <c r="S96" i="1" s="1"/>
  <c r="T88" i="1"/>
  <c r="W85" i="1"/>
  <c r="U84" i="1"/>
  <c r="S84" i="1" s="1"/>
  <c r="AA79" i="1"/>
  <c r="AA78" i="1"/>
  <c r="AA73" i="1"/>
  <c r="T73" i="1"/>
  <c r="U72" i="1"/>
  <c r="S72" i="1" s="1"/>
  <c r="W68" i="1"/>
  <c r="T64" i="1"/>
  <c r="U64" i="1" s="1"/>
  <c r="S64" i="1" s="1"/>
  <c r="W56" i="1"/>
  <c r="U53" i="1"/>
  <c r="S53" i="1" s="1"/>
  <c r="W52" i="1"/>
  <c r="W38" i="1"/>
  <c r="W29" i="1"/>
  <c r="U28" i="1"/>
  <c r="S28" i="1" s="1"/>
  <c r="W21" i="1"/>
  <c r="U20" i="1"/>
  <c r="S20" i="1" s="1"/>
  <c r="W108" i="1"/>
  <c r="U104" i="1"/>
  <c r="S104" i="1" s="1"/>
  <c r="W92" i="1"/>
  <c r="AG88" i="1"/>
  <c r="AG70" i="1"/>
  <c r="U70" i="1" s="1"/>
  <c r="AG69" i="1"/>
  <c r="X69" i="1"/>
  <c r="T68" i="1"/>
  <c r="U68" i="1" s="1"/>
  <c r="S68" i="1" s="1"/>
  <c r="W60" i="1"/>
  <c r="T56" i="1"/>
  <c r="U56" i="1" s="1"/>
  <c r="S56" i="1" s="1"/>
  <c r="T52" i="1"/>
  <c r="U52" i="1" s="1"/>
  <c r="S52" i="1" s="1"/>
  <c r="T48" i="1"/>
  <c r="U48" i="1" s="1"/>
  <c r="S48" i="1" s="1"/>
  <c r="W44" i="1"/>
  <c r="T43" i="1"/>
  <c r="AA36" i="1"/>
  <c r="AA33" i="1"/>
  <c r="W33" i="1" s="1"/>
  <c r="T138" i="1"/>
  <c r="U138" i="1" s="1"/>
  <c r="X115" i="1"/>
  <c r="AA101" i="1"/>
  <c r="W101" i="1" s="1"/>
  <c r="AI99" i="1"/>
  <c r="T95" i="1"/>
  <c r="AG85" i="1"/>
  <c r="AI84" i="1"/>
  <c r="AA83" i="1"/>
  <c r="AA82" i="1"/>
  <c r="W82" i="1" s="1"/>
  <c r="AG78" i="1"/>
  <c r="AG73" i="1"/>
  <c r="AI72" i="1"/>
  <c r="AA67" i="1"/>
  <c r="W67" i="1" s="1"/>
  <c r="T67" i="1"/>
  <c r="T63" i="1"/>
  <c r="AA55" i="1"/>
  <c r="AA54" i="1"/>
  <c r="W54" i="1" s="1"/>
  <c r="AA47" i="1"/>
  <c r="W47" i="1" s="1"/>
  <c r="T47" i="1"/>
  <c r="AA40" i="1"/>
  <c r="AG37" i="1"/>
  <c r="U37" i="1" s="1"/>
  <c r="X37" i="1"/>
  <c r="AG36" i="1"/>
  <c r="AI35" i="1"/>
  <c r="U32" i="1"/>
  <c r="S32" i="1" s="1"/>
  <c r="W25" i="1"/>
  <c r="U24" i="1"/>
  <c r="S24" i="1" s="1"/>
  <c r="W17" i="1"/>
  <c r="U16" i="1"/>
  <c r="S16" i="1" s="1"/>
  <c r="U235" i="1"/>
  <c r="S235" i="1" s="1"/>
  <c r="W227" i="1"/>
  <c r="AI236" i="1"/>
  <c r="AI238" i="1"/>
  <c r="U227" i="1"/>
  <c r="S227" i="1" s="1"/>
  <c r="W223" i="1"/>
  <c r="AI232" i="1"/>
  <c r="U223" i="1"/>
  <c r="S223" i="1" s="1"/>
  <c r="W235" i="1"/>
  <c r="AI225" i="1"/>
  <c r="S224" i="1"/>
  <c r="X237" i="1"/>
  <c r="T237" i="1"/>
  <c r="U237" i="1" s="1"/>
  <c r="S237" i="1" s="1"/>
  <c r="AI231" i="1"/>
  <c r="S236" i="1"/>
  <c r="AI226" i="1"/>
  <c r="W201" i="1"/>
  <c r="U201" i="1"/>
  <c r="S201" i="1" s="1"/>
  <c r="AI224" i="1"/>
  <c r="S200" i="1"/>
  <c r="X199" i="1"/>
  <c r="T198" i="1"/>
  <c r="X198" i="1"/>
  <c r="T197" i="1"/>
  <c r="AI217" i="1"/>
  <c r="AI210" i="1"/>
  <c r="W185" i="1"/>
  <c r="AI208" i="1"/>
  <c r="S184" i="1"/>
  <c r="X183" i="1"/>
  <c r="T182" i="1"/>
  <c r="X182" i="1"/>
  <c r="T181" i="1"/>
  <c r="S177" i="1"/>
  <c r="AI201" i="1"/>
  <c r="AI194" i="1"/>
  <c r="W169" i="1"/>
  <c r="AI192" i="1"/>
  <c r="T166" i="1"/>
  <c r="X166" i="1"/>
  <c r="W165" i="1"/>
  <c r="T163" i="1"/>
  <c r="X163" i="1"/>
  <c r="AG163" i="1"/>
  <c r="AI163" i="1" s="1"/>
  <c r="W232" i="1"/>
  <c r="T229" i="1"/>
  <c r="X229" i="1"/>
  <c r="AG229" i="1"/>
  <c r="AI229" i="1" s="1"/>
  <c r="W208" i="1"/>
  <c r="AI160" i="1"/>
  <c r="AG158" i="1"/>
  <c r="W158" i="1" s="1"/>
  <c r="X158" i="1"/>
  <c r="T158" i="1"/>
  <c r="X206" i="1"/>
  <c r="X113" i="1"/>
  <c r="AG113" i="1"/>
  <c r="T113" i="1"/>
  <c r="T98" i="1"/>
  <c r="X98" i="1"/>
  <c r="AG98" i="1"/>
  <c r="AI93" i="1"/>
  <c r="U93" i="1"/>
  <c r="S93" i="1" s="1"/>
  <c r="X225" i="1"/>
  <c r="T225" i="1"/>
  <c r="U225" i="1" s="1"/>
  <c r="S225" i="1" s="1"/>
  <c r="AI235" i="1"/>
  <c r="X226" i="1"/>
  <c r="X238" i="1"/>
  <c r="T202" i="1"/>
  <c r="U202" i="1" s="1"/>
  <c r="S202" i="1" s="1"/>
  <c r="X202" i="1"/>
  <c r="AG198" i="1"/>
  <c r="AG197" i="1"/>
  <c r="U196" i="1"/>
  <c r="S196" i="1" s="1"/>
  <c r="U195" i="1"/>
  <c r="S195" i="1" s="1"/>
  <c r="X192" i="1"/>
  <c r="T191" i="1"/>
  <c r="U191" i="1" s="1"/>
  <c r="S191" i="1" s="1"/>
  <c r="AA189" i="1"/>
  <c r="T186" i="1"/>
  <c r="U186" i="1" s="1"/>
  <c r="S186" i="1" s="1"/>
  <c r="X186" i="1"/>
  <c r="AG182" i="1"/>
  <c r="AG181" i="1"/>
  <c r="AI181" i="1" s="1"/>
  <c r="U180" i="1"/>
  <c r="S180" i="1" s="1"/>
  <c r="U179" i="1"/>
  <c r="X176" i="1"/>
  <c r="T175" i="1"/>
  <c r="U175" i="1" s="1"/>
  <c r="S175" i="1" s="1"/>
  <c r="AA173" i="1"/>
  <c r="T170" i="1"/>
  <c r="X170" i="1"/>
  <c r="U170" i="1"/>
  <c r="S170" i="1" s="1"/>
  <c r="T167" i="1"/>
  <c r="X167" i="1"/>
  <c r="AG167" i="1"/>
  <c r="AI167" i="1" s="1"/>
  <c r="AG166" i="1"/>
  <c r="AA161" i="1"/>
  <c r="W161" i="1" s="1"/>
  <c r="T233" i="1"/>
  <c r="X233" i="1"/>
  <c r="AG233" i="1"/>
  <c r="U231" i="1"/>
  <c r="S231" i="1" s="1"/>
  <c r="AI177" i="1"/>
  <c r="U218" i="1"/>
  <c r="S218" i="1" s="1"/>
  <c r="U206" i="1"/>
  <c r="S206" i="1" s="1"/>
  <c r="U155" i="1"/>
  <c r="S155" i="1" s="1"/>
  <c r="AI147" i="1"/>
  <c r="U147" i="1"/>
  <c r="S147" i="1" s="1"/>
  <c r="X99" i="1"/>
  <c r="AI94" i="1"/>
  <c r="T190" i="1"/>
  <c r="X190" i="1"/>
  <c r="T189" i="1"/>
  <c r="S185" i="1"/>
  <c r="AI209" i="1"/>
  <c r="T174" i="1"/>
  <c r="X174" i="1"/>
  <c r="T173" i="1"/>
  <c r="S169" i="1"/>
  <c r="AI193" i="1"/>
  <c r="S165" i="1"/>
  <c r="T162" i="1"/>
  <c r="X162" i="1"/>
  <c r="AG162" i="1"/>
  <c r="AI162" i="1" s="1"/>
  <c r="S232" i="1"/>
  <c r="X211" i="1"/>
  <c r="AG211" i="1"/>
  <c r="AI211" i="1" s="1"/>
  <c r="AI109" i="1"/>
  <c r="U109" i="1"/>
  <c r="S109" i="1" s="1"/>
  <c r="U69" i="1"/>
  <c r="X224" i="1"/>
  <c r="X236" i="1"/>
  <c r="U203" i="1"/>
  <c r="S203" i="1" s="1"/>
  <c r="X200" i="1"/>
  <c r="T199" i="1"/>
  <c r="U199" i="1" s="1"/>
  <c r="S199" i="1" s="1"/>
  <c r="AA197" i="1"/>
  <c r="W197" i="1" s="1"/>
  <c r="X195" i="1"/>
  <c r="T194" i="1"/>
  <c r="U194" i="1" s="1"/>
  <c r="S194" i="1" s="1"/>
  <c r="X194" i="1"/>
  <c r="AG190" i="1"/>
  <c r="AG189" i="1"/>
  <c r="AI189" i="1" s="1"/>
  <c r="U187" i="1"/>
  <c r="S187" i="1" s="1"/>
  <c r="X184" i="1"/>
  <c r="T183" i="1"/>
  <c r="U183" i="1" s="1"/>
  <c r="S183" i="1" s="1"/>
  <c r="AA181" i="1"/>
  <c r="AI204" i="1"/>
  <c r="X179" i="1"/>
  <c r="S179" i="1"/>
  <c r="T178" i="1"/>
  <c r="U178" i="1" s="1"/>
  <c r="S178" i="1" s="1"/>
  <c r="X178" i="1"/>
  <c r="AG174" i="1"/>
  <c r="W174" i="1" s="1"/>
  <c r="AG173" i="1"/>
  <c r="AI173" i="1" s="1"/>
  <c r="U171" i="1"/>
  <c r="S171" i="1" s="1"/>
  <c r="AA166" i="1"/>
  <c r="S161" i="1"/>
  <c r="AI185" i="1"/>
  <c r="W229" i="1"/>
  <c r="AA228" i="1"/>
  <c r="W228" i="1" s="1"/>
  <c r="T220" i="1"/>
  <c r="X220" i="1"/>
  <c r="AG220" i="1"/>
  <c r="W220" i="1" s="1"/>
  <c r="T212" i="1"/>
  <c r="X212" i="1"/>
  <c r="AG212" i="1"/>
  <c r="AI212" i="1" s="1"/>
  <c r="AI161" i="1"/>
  <c r="U207" i="1"/>
  <c r="S207" i="1" s="1"/>
  <c r="W206" i="1"/>
  <c r="U101" i="1"/>
  <c r="X97" i="1"/>
  <c r="AG97" i="1"/>
  <c r="T97" i="1"/>
  <c r="T216" i="1"/>
  <c r="X216" i="1"/>
  <c r="T215" i="1"/>
  <c r="U210" i="1"/>
  <c r="S210" i="1" s="1"/>
  <c r="T153" i="1"/>
  <c r="X153" i="1"/>
  <c r="T152" i="1"/>
  <c r="X142" i="1"/>
  <c r="T141" i="1"/>
  <c r="X141" i="1"/>
  <c r="AG141" i="1"/>
  <c r="X138" i="1"/>
  <c r="T137" i="1"/>
  <c r="X137" i="1"/>
  <c r="AG137" i="1"/>
  <c r="X134" i="1"/>
  <c r="T133" i="1"/>
  <c r="X133" i="1"/>
  <c r="AG133" i="1"/>
  <c r="W133" i="1" s="1"/>
  <c r="AI126" i="1"/>
  <c r="U121" i="1"/>
  <c r="T114" i="1"/>
  <c r="X114" i="1"/>
  <c r="AG114" i="1"/>
  <c r="W114" i="1" s="1"/>
  <c r="W110" i="1"/>
  <c r="AI108" i="1"/>
  <c r="AG107" i="1"/>
  <c r="X107" i="1"/>
  <c r="T107" i="1"/>
  <c r="X108" i="1"/>
  <c r="AI92" i="1"/>
  <c r="AG91" i="1"/>
  <c r="X91" i="1"/>
  <c r="T91" i="1"/>
  <c r="X92" i="1"/>
  <c r="S89" i="1"/>
  <c r="AI89" i="1"/>
  <c r="U89" i="1"/>
  <c r="AG234" i="1"/>
  <c r="W234" i="1" s="1"/>
  <c r="AG230" i="1"/>
  <c r="AI230" i="1" s="1"/>
  <c r="AG221" i="1"/>
  <c r="AG216" i="1"/>
  <c r="AI216" i="1" s="1"/>
  <c r="AG215" i="1"/>
  <c r="AI215" i="1" s="1"/>
  <c r="U213" i="1"/>
  <c r="S213" i="1" s="1"/>
  <c r="X210" i="1"/>
  <c r="T209" i="1"/>
  <c r="U209" i="1" s="1"/>
  <c r="S209" i="1" s="1"/>
  <c r="AA207" i="1"/>
  <c r="W207" i="1" s="1"/>
  <c r="T157" i="1"/>
  <c r="X157" i="1"/>
  <c r="U157" i="1"/>
  <c r="S157" i="1" s="1"/>
  <c r="AG153" i="1"/>
  <c r="W153" i="1" s="1"/>
  <c r="AG152" i="1"/>
  <c r="W152" i="1" s="1"/>
  <c r="U150" i="1"/>
  <c r="S150" i="1" s="1"/>
  <c r="T148" i="1"/>
  <c r="U148" i="1" s="1"/>
  <c r="S148" i="1" s="1"/>
  <c r="X148" i="1"/>
  <c r="T145" i="1"/>
  <c r="X145" i="1"/>
  <c r="AG145" i="1"/>
  <c r="AI144" i="1"/>
  <c r="U143" i="1"/>
  <c r="S143" i="1" s="1"/>
  <c r="U139" i="1"/>
  <c r="S139" i="1" s="1"/>
  <c r="AI136" i="1"/>
  <c r="U135" i="1"/>
  <c r="S135" i="1" s="1"/>
  <c r="AI132" i="1"/>
  <c r="X129" i="1"/>
  <c r="AG129" i="1"/>
  <c r="AI125" i="1"/>
  <c r="U125" i="1"/>
  <c r="S125" i="1" s="1"/>
  <c r="W124" i="1"/>
  <c r="U108" i="1"/>
  <c r="S108" i="1" s="1"/>
  <c r="U92" i="1"/>
  <c r="S92" i="1" s="1"/>
  <c r="X234" i="1"/>
  <c r="X230" i="1"/>
  <c r="X221" i="1"/>
  <c r="U217" i="1"/>
  <c r="S217" i="1" s="1"/>
  <c r="AA211" i="1"/>
  <c r="W211" i="1" s="1"/>
  <c r="AI164" i="1"/>
  <c r="X209" i="1"/>
  <c r="T208" i="1"/>
  <c r="U208" i="1" s="1"/>
  <c r="S208" i="1" s="1"/>
  <c r="X208" i="1"/>
  <c r="AI156" i="1"/>
  <c r="U154" i="1"/>
  <c r="S154" i="1" s="1"/>
  <c r="T149" i="1"/>
  <c r="X149" i="1"/>
  <c r="AG149" i="1"/>
  <c r="AI148" i="1"/>
  <c r="W147" i="1"/>
  <c r="S146" i="1"/>
  <c r="T130" i="1"/>
  <c r="X130" i="1"/>
  <c r="AG130" i="1"/>
  <c r="W130" i="1" s="1"/>
  <c r="AA126" i="1"/>
  <c r="W126" i="1" s="1"/>
  <c r="S124" i="1"/>
  <c r="AI124" i="1"/>
  <c r="AG123" i="1"/>
  <c r="W123" i="1" s="1"/>
  <c r="X123" i="1"/>
  <c r="T123" i="1"/>
  <c r="X124" i="1"/>
  <c r="AI110" i="1"/>
  <c r="W94" i="1"/>
  <c r="U49" i="1"/>
  <c r="X144" i="1"/>
  <c r="AI143" i="1"/>
  <c r="X140" i="1"/>
  <c r="AI139" i="1"/>
  <c r="X136" i="1"/>
  <c r="AI135" i="1"/>
  <c r="X132" i="1"/>
  <c r="AI131" i="1"/>
  <c r="AI122" i="1"/>
  <c r="W121" i="1"/>
  <c r="AI120" i="1"/>
  <c r="X119" i="1"/>
  <c r="T118" i="1"/>
  <c r="X118" i="1"/>
  <c r="T117" i="1"/>
  <c r="AI106" i="1"/>
  <c r="AA105" i="1"/>
  <c r="W105" i="1" s="1"/>
  <c r="AI104" i="1"/>
  <c r="X103" i="1"/>
  <c r="T102" i="1"/>
  <c r="U102" i="1" s="1"/>
  <c r="S102" i="1" s="1"/>
  <c r="X102" i="1"/>
  <c r="U95" i="1"/>
  <c r="S95" i="1" s="1"/>
  <c r="AA90" i="1"/>
  <c r="X84" i="1"/>
  <c r="T83" i="1"/>
  <c r="X83" i="1"/>
  <c r="AG83" i="1"/>
  <c r="X80" i="1"/>
  <c r="T79" i="1"/>
  <c r="X79" i="1"/>
  <c r="AG79" i="1"/>
  <c r="X76" i="1"/>
  <c r="T75" i="1"/>
  <c r="X75" i="1"/>
  <c r="AG75" i="1"/>
  <c r="X72" i="1"/>
  <c r="T71" i="1"/>
  <c r="X71" i="1"/>
  <c r="AG71" i="1"/>
  <c r="T66" i="1"/>
  <c r="X66" i="1"/>
  <c r="AG66" i="1"/>
  <c r="W66" i="1" s="1"/>
  <c r="X65" i="1"/>
  <c r="AG65" i="1"/>
  <c r="AI62" i="1"/>
  <c r="AI61" i="1"/>
  <c r="U61" i="1"/>
  <c r="S61" i="1" s="1"/>
  <c r="X128" i="1"/>
  <c r="T127" i="1"/>
  <c r="U127" i="1" s="1"/>
  <c r="S127" i="1" s="1"/>
  <c r="AA125" i="1"/>
  <c r="W125" i="1" s="1"/>
  <c r="T122" i="1"/>
  <c r="U122" i="1" s="1"/>
  <c r="S122" i="1" s="1"/>
  <c r="X122" i="1"/>
  <c r="AG118" i="1"/>
  <c r="W118" i="1" s="1"/>
  <c r="AG117" i="1"/>
  <c r="U115" i="1"/>
  <c r="S115" i="1" s="1"/>
  <c r="X112" i="1"/>
  <c r="T111" i="1"/>
  <c r="U111" i="1" s="1"/>
  <c r="S111" i="1" s="1"/>
  <c r="AA109" i="1"/>
  <c r="W109" i="1" s="1"/>
  <c r="T106" i="1"/>
  <c r="U106" i="1" s="1"/>
  <c r="S106" i="1" s="1"/>
  <c r="X106" i="1"/>
  <c r="S101" i="1"/>
  <c r="AI101" i="1"/>
  <c r="W93" i="1"/>
  <c r="T90" i="1"/>
  <c r="X90" i="1"/>
  <c r="W89" i="1"/>
  <c r="T87" i="1"/>
  <c r="X87" i="1"/>
  <c r="AG87" i="1"/>
  <c r="AI86" i="1"/>
  <c r="U85" i="1"/>
  <c r="AI82" i="1"/>
  <c r="U81" i="1"/>
  <c r="S81" i="1" s="1"/>
  <c r="AI78" i="1"/>
  <c r="U77" i="1"/>
  <c r="S77" i="1" s="1"/>
  <c r="AI74" i="1"/>
  <c r="U73" i="1"/>
  <c r="S73" i="1" s="1"/>
  <c r="S70" i="1"/>
  <c r="AI70" i="1"/>
  <c r="S60" i="1"/>
  <c r="AI60" i="1"/>
  <c r="AG59" i="1"/>
  <c r="X59" i="1"/>
  <c r="T59" i="1"/>
  <c r="X60" i="1"/>
  <c r="AG39" i="1"/>
  <c r="X39" i="1"/>
  <c r="T39" i="1"/>
  <c r="X40" i="1"/>
  <c r="AA129" i="1"/>
  <c r="T126" i="1"/>
  <c r="U126" i="1" s="1"/>
  <c r="S126" i="1" s="1"/>
  <c r="X126" i="1"/>
  <c r="S121" i="1"/>
  <c r="AI121" i="1"/>
  <c r="U119" i="1"/>
  <c r="S119" i="1" s="1"/>
  <c r="AA113" i="1"/>
  <c r="W113" i="1" s="1"/>
  <c r="T110" i="1"/>
  <c r="U110" i="1" s="1"/>
  <c r="S110" i="1" s="1"/>
  <c r="X110" i="1"/>
  <c r="S105" i="1"/>
  <c r="AI105" i="1"/>
  <c r="U103" i="1"/>
  <c r="S103" i="1" s="1"/>
  <c r="X100" i="1"/>
  <c r="T99" i="1"/>
  <c r="U99" i="1" s="1"/>
  <c r="S99" i="1" s="1"/>
  <c r="AA97" i="1"/>
  <c r="T94" i="1"/>
  <c r="U94" i="1" s="1"/>
  <c r="S94" i="1" s="1"/>
  <c r="X94" i="1"/>
  <c r="AG90" i="1"/>
  <c r="U86" i="1"/>
  <c r="S86" i="1" s="1"/>
  <c r="U82" i="1"/>
  <c r="S82" i="1" s="1"/>
  <c r="U78" i="1"/>
  <c r="S78" i="1" s="1"/>
  <c r="U74" i="1"/>
  <c r="S74" i="1" s="1"/>
  <c r="AA62" i="1"/>
  <c r="W62" i="1" s="1"/>
  <c r="U60" i="1"/>
  <c r="AI57" i="1"/>
  <c r="U57" i="1"/>
  <c r="S57" i="1" s="1"/>
  <c r="AI40" i="1"/>
  <c r="U40" i="1"/>
  <c r="S40" i="1" s="1"/>
  <c r="X86" i="1"/>
  <c r="AI85" i="1"/>
  <c r="S85" i="1"/>
  <c r="X82" i="1"/>
  <c r="AI81" i="1"/>
  <c r="X78" i="1"/>
  <c r="AI77" i="1"/>
  <c r="X74" i="1"/>
  <c r="AI73" i="1"/>
  <c r="X70" i="1"/>
  <c r="U63" i="1"/>
  <c r="S63" i="1" s="1"/>
  <c r="AA58" i="1"/>
  <c r="W58" i="1" s="1"/>
  <c r="T54" i="1"/>
  <c r="U54" i="1" s="1"/>
  <c r="S54" i="1" s="1"/>
  <c r="X54" i="1"/>
  <c r="AA53" i="1"/>
  <c r="W53" i="1" s="1"/>
  <c r="AG51" i="1"/>
  <c r="X51" i="1"/>
  <c r="AA45" i="1"/>
  <c r="T42" i="1"/>
  <c r="U42" i="1" s="1"/>
  <c r="S42" i="1" s="1"/>
  <c r="X42" i="1"/>
  <c r="S69" i="1"/>
  <c r="AI69" i="1"/>
  <c r="U67" i="1"/>
  <c r="S67" i="1" s="1"/>
  <c r="AA61" i="1"/>
  <c r="W61" i="1" s="1"/>
  <c r="T58" i="1"/>
  <c r="U58" i="1" s="1"/>
  <c r="S58" i="1" s="1"/>
  <c r="X58" i="1"/>
  <c r="AA57" i="1"/>
  <c r="W57" i="1" s="1"/>
  <c r="T55" i="1"/>
  <c r="X55" i="1"/>
  <c r="AG55" i="1"/>
  <c r="W55" i="1" s="1"/>
  <c r="AI54" i="1"/>
  <c r="T46" i="1"/>
  <c r="X46" i="1"/>
  <c r="AG46" i="1"/>
  <c r="X45" i="1"/>
  <c r="AG45" i="1"/>
  <c r="AI42" i="1"/>
  <c r="U36" i="1"/>
  <c r="S36" i="1" s="1"/>
  <c r="AA65" i="1"/>
  <c r="T62" i="1"/>
  <c r="U62" i="1" s="1"/>
  <c r="S62" i="1" s="1"/>
  <c r="X62" i="1"/>
  <c r="AI53" i="1"/>
  <c r="AG41" i="1"/>
  <c r="X41" i="1"/>
  <c r="W40" i="1"/>
  <c r="T50" i="1"/>
  <c r="U50" i="1" s="1"/>
  <c r="S50" i="1" s="1"/>
  <c r="X50" i="1"/>
  <c r="U43" i="1"/>
  <c r="S43" i="1" s="1"/>
  <c r="AI38" i="1"/>
  <c r="AA37" i="1"/>
  <c r="W37" i="1" s="1"/>
  <c r="AI36" i="1"/>
  <c r="X35" i="1"/>
  <c r="T34" i="1"/>
  <c r="X34" i="1"/>
  <c r="W30" i="1"/>
  <c r="W26" i="1"/>
  <c r="W22" i="1"/>
  <c r="W18" i="1"/>
  <c r="AA14" i="1"/>
  <c r="W14" i="1" s="1"/>
  <c r="S49" i="1"/>
  <c r="AI49" i="1"/>
  <c r="U47" i="1"/>
  <c r="S47" i="1" s="1"/>
  <c r="AA41" i="1"/>
  <c r="T38" i="1"/>
  <c r="U38" i="1" s="1"/>
  <c r="S38" i="1" s="1"/>
  <c r="X38" i="1"/>
  <c r="AG34" i="1"/>
  <c r="S33" i="1"/>
  <c r="AI33" i="1"/>
  <c r="T31" i="1"/>
  <c r="X31" i="1"/>
  <c r="AG31" i="1"/>
  <c r="X32" i="1"/>
  <c r="T27" i="1"/>
  <c r="X27" i="1"/>
  <c r="AG27" i="1"/>
  <c r="X28" i="1"/>
  <c r="T23" i="1"/>
  <c r="X23" i="1"/>
  <c r="AG23" i="1"/>
  <c r="X24" i="1"/>
  <c r="T19" i="1"/>
  <c r="X19" i="1"/>
  <c r="AG19" i="1"/>
  <c r="X20" i="1"/>
  <c r="T15" i="1"/>
  <c r="X15" i="1"/>
  <c r="AG15" i="1"/>
  <c r="X16" i="1"/>
  <c r="S37" i="1"/>
  <c r="AI37" i="1"/>
  <c r="U35" i="1"/>
  <c r="S35" i="1" s="1"/>
  <c r="S30" i="1"/>
  <c r="AI30" i="1"/>
  <c r="S26" i="1"/>
  <c r="AI26" i="1"/>
  <c r="S22" i="1"/>
  <c r="AI22" i="1"/>
  <c r="S18" i="1"/>
  <c r="AI18" i="1"/>
  <c r="S14" i="1"/>
  <c r="AI14" i="1"/>
  <c r="U29" i="1"/>
  <c r="S29" i="1" s="1"/>
  <c r="U25" i="1"/>
  <c r="S25" i="1" s="1"/>
  <c r="U21" i="1"/>
  <c r="S21" i="1" s="1"/>
  <c r="U17" i="1"/>
  <c r="S17" i="1" s="1"/>
  <c r="X30" i="1"/>
  <c r="AI29" i="1"/>
  <c r="X26" i="1"/>
  <c r="AI25" i="1"/>
  <c r="X22" i="1"/>
  <c r="AI21" i="1"/>
  <c r="X18" i="1"/>
  <c r="AI17" i="1"/>
  <c r="Y19" i="3"/>
  <c r="Y43" i="3"/>
  <c r="AD37" i="3"/>
  <c r="Y29" i="3"/>
  <c r="AD33" i="3"/>
  <c r="Y14" i="3"/>
  <c r="Y32" i="3"/>
  <c r="AE19" i="3"/>
  <c r="AD15" i="3"/>
  <c r="AE15" i="3"/>
  <c r="AD13" i="3"/>
  <c r="Y33" i="3"/>
  <c r="Y12" i="3"/>
  <c r="Y37" i="3"/>
  <c r="Y42" i="3"/>
  <c r="Y36" i="3"/>
  <c r="Y41" i="3"/>
  <c r="Y20" i="3"/>
  <c r="AD19" i="3"/>
  <c r="Y38" i="3"/>
  <c r="AD12" i="3"/>
  <c r="AD9" i="3"/>
  <c r="AD31" i="3"/>
  <c r="AE31" i="3"/>
  <c r="AD29" i="3"/>
  <c r="AD20" i="3"/>
  <c r="AD17" i="3"/>
  <c r="AD8" i="3"/>
  <c r="AD25" i="3"/>
  <c r="Y48" i="3"/>
  <c r="AE43" i="3"/>
  <c r="AD48" i="3"/>
  <c r="Y7" i="3"/>
  <c r="AD43" i="3"/>
  <c r="AC31" i="3"/>
  <c r="Y44" i="3"/>
  <c r="T18" i="3"/>
  <c r="AD32" i="3"/>
  <c r="Y15" i="3"/>
  <c r="AD27" i="3"/>
  <c r="AC36" i="3"/>
  <c r="Y26" i="3"/>
  <c r="T16" i="3"/>
  <c r="AD16" i="3"/>
  <c r="Y40" i="3"/>
  <c r="AD11" i="3"/>
  <c r="AC11" i="3"/>
  <c r="AE35" i="3"/>
  <c r="Y18" i="3"/>
  <c r="AD40" i="3"/>
  <c r="AC17" i="3"/>
  <c r="AD24" i="3"/>
  <c r="AC28" i="3"/>
  <c r="Y45" i="3"/>
  <c r="AE42" i="3"/>
  <c r="T8" i="3"/>
  <c r="AE34" i="3"/>
  <c r="T37" i="3"/>
  <c r="T9" i="3"/>
  <c r="AE22" i="3"/>
  <c r="T41" i="3"/>
  <c r="AE18" i="3"/>
  <c r="T10" i="3"/>
  <c r="AE14" i="3"/>
  <c r="T27" i="3"/>
  <c r="AE10" i="3"/>
  <c r="T39" i="3"/>
  <c r="T25" i="3"/>
  <c r="AE38" i="3"/>
  <c r="T43" i="3"/>
  <c r="AE30" i="3"/>
  <c r="AE41" i="3"/>
  <c r="T31" i="3"/>
  <c r="AD38" i="3"/>
  <c r="T17" i="3"/>
  <c r="AD30" i="3"/>
  <c r="AE29" i="3"/>
  <c r="T14" i="3"/>
  <c r="AD26" i="3"/>
  <c r="AE25" i="3"/>
  <c r="T36" i="3"/>
  <c r="AD22" i="3"/>
  <c r="AE21" i="3"/>
  <c r="T13" i="3"/>
  <c r="AD18" i="3"/>
  <c r="AE17" i="3"/>
  <c r="T28" i="3"/>
  <c r="AD14" i="3"/>
  <c r="AE13" i="3"/>
  <c r="T24" i="3"/>
  <c r="AD10" i="3"/>
  <c r="AE9" i="3"/>
  <c r="T11" i="3"/>
  <c r="T22" i="3"/>
  <c r="AE26" i="3"/>
  <c r="AE45" i="3"/>
  <c r="T19" i="3"/>
  <c r="AD42" i="3"/>
  <c r="AE37" i="3"/>
  <c r="T30" i="3"/>
  <c r="AD34" i="3"/>
  <c r="AE33" i="3"/>
  <c r="AE48" i="3"/>
  <c r="AE44" i="3"/>
  <c r="AE40" i="3"/>
  <c r="AE36" i="3"/>
  <c r="AE32" i="3"/>
  <c r="AE28" i="3"/>
  <c r="AE24" i="3"/>
  <c r="AE20" i="3"/>
  <c r="AE16" i="3"/>
  <c r="AE12" i="3"/>
  <c r="AE8" i="3"/>
  <c r="M46" i="3"/>
  <c r="S46" i="3"/>
  <c r="U46" i="3"/>
  <c r="T46" i="3" s="1"/>
  <c r="V46" i="3"/>
  <c r="W46" i="3"/>
  <c r="X46" i="3"/>
  <c r="AC46" i="3"/>
  <c r="U140" i="1" l="1"/>
  <c r="W141" i="1"/>
  <c r="W137" i="1"/>
  <c r="W129" i="1"/>
  <c r="W215" i="1"/>
  <c r="W73" i="1"/>
  <c r="W193" i="1"/>
  <c r="W74" i="1"/>
  <c r="W78" i="1"/>
  <c r="W151" i="1"/>
  <c r="AI220" i="1"/>
  <c r="W41" i="1"/>
  <c r="W181" i="1"/>
  <c r="W173" i="1"/>
  <c r="W36" i="1"/>
  <c r="U88" i="1"/>
  <c r="S88" i="1" s="1"/>
  <c r="AI88" i="1"/>
  <c r="U136" i="1"/>
  <c r="S136" i="1" s="1"/>
  <c r="W233" i="1"/>
  <c r="AI233" i="1"/>
  <c r="W69" i="1"/>
  <c r="U116" i="1"/>
  <c r="S116" i="1" s="1"/>
  <c r="AI116" i="1"/>
  <c r="U214" i="1"/>
  <c r="S214" i="1" s="1"/>
  <c r="W166" i="1"/>
  <c r="AI234" i="1"/>
  <c r="W163" i="1"/>
  <c r="W70" i="1"/>
  <c r="W196" i="1"/>
  <c r="W88" i="1"/>
  <c r="W136" i="1"/>
  <c r="W214" i="1"/>
  <c r="U44" i="1"/>
  <c r="S44" i="1" s="1"/>
  <c r="AI44" i="1"/>
  <c r="W156" i="1"/>
  <c r="W222" i="1"/>
  <c r="U19" i="1"/>
  <c r="S19" i="1" s="1"/>
  <c r="AI19" i="1"/>
  <c r="U27" i="1"/>
  <c r="S27" i="1" s="1"/>
  <c r="AI27" i="1"/>
  <c r="W27" i="1"/>
  <c r="AI46" i="1"/>
  <c r="U46" i="1"/>
  <c r="S46" i="1" s="1"/>
  <c r="U39" i="1"/>
  <c r="S39" i="1" s="1"/>
  <c r="AI39" i="1"/>
  <c r="U91" i="1"/>
  <c r="S91" i="1" s="1"/>
  <c r="AI91" i="1"/>
  <c r="U34" i="1"/>
  <c r="S34" i="1" s="1"/>
  <c r="AI34" i="1"/>
  <c r="AI117" i="1"/>
  <c r="U117" i="1"/>
  <c r="S117" i="1" s="1"/>
  <c r="W46" i="1"/>
  <c r="AI71" i="1"/>
  <c r="U71" i="1"/>
  <c r="S71" i="1" s="1"/>
  <c r="AI75" i="1"/>
  <c r="U75" i="1"/>
  <c r="S75" i="1" s="1"/>
  <c r="AI79" i="1"/>
  <c r="U79" i="1"/>
  <c r="S79" i="1" s="1"/>
  <c r="AI83" i="1"/>
  <c r="U83" i="1"/>
  <c r="S83" i="1" s="1"/>
  <c r="W90" i="1"/>
  <c r="U123" i="1"/>
  <c r="S123" i="1" s="1"/>
  <c r="AI123" i="1"/>
  <c r="AI130" i="1"/>
  <c r="S130" i="1"/>
  <c r="U130" i="1"/>
  <c r="U221" i="1"/>
  <c r="S221" i="1" s="1"/>
  <c r="AI175" i="1"/>
  <c r="AI197" i="1"/>
  <c r="U173" i="1"/>
  <c r="S173" i="1" s="1"/>
  <c r="U190" i="1"/>
  <c r="S190" i="1" s="1"/>
  <c r="AI214" i="1"/>
  <c r="AI165" i="1"/>
  <c r="U211" i="1"/>
  <c r="S211" i="1" s="1"/>
  <c r="AI190" i="1"/>
  <c r="U166" i="1"/>
  <c r="S166" i="1" s="1"/>
  <c r="AI205" i="1"/>
  <c r="U181" i="1"/>
  <c r="S181" i="1" s="1"/>
  <c r="AI113" i="1"/>
  <c r="U113" i="1"/>
  <c r="S113" i="1" s="1"/>
  <c r="AI178" i="1"/>
  <c r="U229" i="1"/>
  <c r="S229" i="1" s="1"/>
  <c r="W190" i="1"/>
  <c r="U15" i="1"/>
  <c r="S15" i="1" s="1"/>
  <c r="AI15" i="1"/>
  <c r="U23" i="1"/>
  <c r="S23" i="1" s="1"/>
  <c r="AI23" i="1"/>
  <c r="U31" i="1"/>
  <c r="S31" i="1" s="1"/>
  <c r="AI31" i="1"/>
  <c r="W19" i="1"/>
  <c r="U51" i="1"/>
  <c r="S51" i="1" s="1"/>
  <c r="AI51" i="1"/>
  <c r="U87" i="1"/>
  <c r="S87" i="1" s="1"/>
  <c r="AI87" i="1"/>
  <c r="AI65" i="1"/>
  <c r="U65" i="1"/>
  <c r="S65" i="1" s="1"/>
  <c r="U149" i="1"/>
  <c r="S149" i="1" s="1"/>
  <c r="AI149" i="1"/>
  <c r="U145" i="1"/>
  <c r="S145" i="1" s="1"/>
  <c r="AI145" i="1"/>
  <c r="W145" i="1"/>
  <c r="U216" i="1"/>
  <c r="S216" i="1" s="1"/>
  <c r="AI170" i="1"/>
  <c r="AI97" i="1"/>
  <c r="U97" i="1"/>
  <c r="S97" i="1" s="1"/>
  <c r="AI213" i="1"/>
  <c r="U189" i="1"/>
  <c r="S189" i="1" s="1"/>
  <c r="W149" i="1"/>
  <c r="AI186" i="1"/>
  <c r="U162" i="1"/>
  <c r="S162" i="1" s="1"/>
  <c r="AI182" i="1"/>
  <c r="U233" i="1"/>
  <c r="S233" i="1" s="1"/>
  <c r="W162" i="1"/>
  <c r="AI222" i="1"/>
  <c r="U198" i="1"/>
  <c r="S198" i="1" s="1"/>
  <c r="W87" i="1"/>
  <c r="AI98" i="1"/>
  <c r="U98" i="1"/>
  <c r="S98" i="1" s="1"/>
  <c r="U158" i="1"/>
  <c r="S158" i="1" s="1"/>
  <c r="AI158" i="1"/>
  <c r="AI41" i="1"/>
  <c r="U41" i="1"/>
  <c r="S41" i="1" s="1"/>
  <c r="W65" i="1"/>
  <c r="U55" i="1"/>
  <c r="S55" i="1" s="1"/>
  <c r="AI55" i="1"/>
  <c r="W15" i="1"/>
  <c r="W23" i="1"/>
  <c r="W31" i="1"/>
  <c r="W39" i="1"/>
  <c r="W34" i="1"/>
  <c r="AI45" i="1"/>
  <c r="U45" i="1"/>
  <c r="S45" i="1" s="1"/>
  <c r="W45" i="1"/>
  <c r="W97" i="1"/>
  <c r="W51" i="1"/>
  <c r="U59" i="1"/>
  <c r="S59" i="1" s="1"/>
  <c r="AI59" i="1"/>
  <c r="U118" i="1"/>
  <c r="S118" i="1" s="1"/>
  <c r="AI118" i="1"/>
  <c r="W59" i="1"/>
  <c r="AI66" i="1"/>
  <c r="U66" i="1"/>
  <c r="S66" i="1" s="1"/>
  <c r="W98" i="1"/>
  <c r="W75" i="1"/>
  <c r="AI129" i="1"/>
  <c r="U129" i="1"/>
  <c r="S129" i="1" s="1"/>
  <c r="AI152" i="1"/>
  <c r="U152" i="1"/>
  <c r="S152" i="1" s="1"/>
  <c r="U230" i="1"/>
  <c r="S230" i="1" s="1"/>
  <c r="AI179" i="1"/>
  <c r="W230" i="1"/>
  <c r="U107" i="1"/>
  <c r="S107" i="1" s="1"/>
  <c r="AI107" i="1"/>
  <c r="AI114" i="1"/>
  <c r="U114" i="1"/>
  <c r="S114" i="1" s="1"/>
  <c r="AI133" i="1"/>
  <c r="U133" i="1"/>
  <c r="S133" i="1" s="1"/>
  <c r="AI137" i="1"/>
  <c r="U137" i="1"/>
  <c r="S137" i="1" s="1"/>
  <c r="AI141" i="1"/>
  <c r="U141" i="1"/>
  <c r="W79" i="1"/>
  <c r="W216" i="1"/>
  <c r="U174" i="1"/>
  <c r="S174" i="1" s="1"/>
  <c r="AI198" i="1"/>
  <c r="W71" i="1"/>
  <c r="U167" i="1"/>
  <c r="S167" i="1"/>
  <c r="AI191" i="1"/>
  <c r="AI206" i="1"/>
  <c r="U182" i="1"/>
  <c r="S182" i="1" s="1"/>
  <c r="W189" i="1"/>
  <c r="U163" i="1"/>
  <c r="S163" i="1" s="1"/>
  <c r="AI187" i="1"/>
  <c r="W198" i="1"/>
  <c r="AI90" i="1"/>
  <c r="U90" i="1"/>
  <c r="S90" i="1" s="1"/>
  <c r="W83" i="1"/>
  <c r="U153" i="1"/>
  <c r="S153" i="1" s="1"/>
  <c r="AI153" i="1"/>
  <c r="AI169" i="1"/>
  <c r="U215" i="1"/>
  <c r="S215" i="1" s="1"/>
  <c r="U234" i="1"/>
  <c r="S234" i="1" s="1"/>
  <c r="AI183" i="1"/>
  <c r="AI166" i="1"/>
  <c r="U212" i="1"/>
  <c r="S212" i="1" s="1"/>
  <c r="AI174" i="1"/>
  <c r="U220" i="1"/>
  <c r="S220" i="1" s="1"/>
  <c r="W91" i="1"/>
  <c r="W212" i="1"/>
  <c r="AI221" i="1"/>
  <c r="U197" i="1"/>
  <c r="S197" i="1" s="1"/>
  <c r="W107" i="1"/>
  <c r="W117" i="1"/>
  <c r="W167" i="1"/>
  <c r="W221" i="1"/>
  <c r="W182" i="1"/>
  <c r="AE46" i="3"/>
  <c r="AD46" i="3"/>
  <c r="R46" i="3"/>
  <c r="Y46" i="3"/>
  <c r="S140" i="1" l="1"/>
  <c r="Z13" i="1"/>
  <c r="Y13" i="1"/>
  <c r="O2" i="3" l="1"/>
  <c r="B3" i="6" l="1"/>
  <c r="M28" i="5"/>
  <c r="B4" i="6" l="1"/>
  <c r="F3" i="6"/>
  <c r="I3" i="6"/>
  <c r="G3" i="6"/>
  <c r="J3" i="6"/>
  <c r="M23" i="5"/>
  <c r="G4" i="6" l="1"/>
  <c r="I4" i="6"/>
  <c r="J4" i="6"/>
  <c r="F4" i="6"/>
  <c r="AD7" i="3"/>
  <c r="AN13" i="1"/>
  <c r="AE7" i="3" l="1"/>
  <c r="K13" i="1" l="1"/>
  <c r="M13" i="1"/>
  <c r="N13" i="1" s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5" i="6" l="1"/>
  <c r="B87" i="9"/>
  <c r="B88" i="9"/>
  <c r="B89" i="9"/>
  <c r="B90" i="9"/>
  <c r="B91" i="9"/>
  <c r="B92" i="9"/>
  <c r="B6" i="6" l="1"/>
  <c r="F5" i="6"/>
  <c r="G5" i="6"/>
  <c r="I5" i="6"/>
  <c r="J5" i="6"/>
  <c r="C88" i="9"/>
  <c r="C92" i="9"/>
  <c r="C93" i="9"/>
  <c r="C90" i="9"/>
  <c r="C89" i="9"/>
  <c r="C91" i="9"/>
  <c r="B7" i="6" l="1"/>
  <c r="G6" i="6"/>
  <c r="I6" i="6"/>
  <c r="J6" i="6"/>
  <c r="F6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7" i="6" l="1"/>
  <c r="G7" i="6"/>
  <c r="I7" i="6"/>
  <c r="J7" i="6"/>
  <c r="B8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8" i="6" l="1"/>
  <c r="F8" i="6"/>
  <c r="G8" i="6"/>
  <c r="J8" i="6"/>
  <c r="B9" i="6"/>
  <c r="B55" i="9"/>
  <c r="B56" i="9"/>
  <c r="B57" i="9"/>
  <c r="B58" i="9"/>
  <c r="B59" i="9"/>
  <c r="B60" i="9"/>
  <c r="B61" i="9"/>
  <c r="B62" i="9"/>
  <c r="C63" i="9" s="1"/>
  <c r="F9" i="6" l="1"/>
  <c r="I9" i="6"/>
  <c r="G9" i="6"/>
  <c r="J9" i="6"/>
  <c r="B10" i="6"/>
  <c r="C61" i="9"/>
  <c r="C57" i="9"/>
  <c r="C59" i="9"/>
  <c r="C62" i="9"/>
  <c r="C60" i="9"/>
  <c r="C58" i="9"/>
  <c r="C56" i="9"/>
  <c r="G10" i="6" l="1"/>
  <c r="I10" i="6"/>
  <c r="J10" i="6"/>
  <c r="F10" i="6"/>
  <c r="B11" i="6"/>
  <c r="B50" i="9"/>
  <c r="B51" i="9"/>
  <c r="B52" i="9"/>
  <c r="B53" i="9"/>
  <c r="B54" i="9"/>
  <c r="F11" i="6" l="1"/>
  <c r="G11" i="6"/>
  <c r="I11" i="6"/>
  <c r="J11" i="6"/>
  <c r="B12" i="6"/>
  <c r="C52" i="9"/>
  <c r="C54" i="9"/>
  <c r="C55" i="9"/>
  <c r="C53" i="9"/>
  <c r="C51" i="9"/>
  <c r="G12" i="6" l="1"/>
  <c r="I12" i="6"/>
  <c r="J12" i="6"/>
  <c r="F12" i="6"/>
  <c r="B13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14" i="6" l="1"/>
  <c r="F13" i="6"/>
  <c r="G13" i="6"/>
  <c r="I13" i="6"/>
  <c r="J13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14" i="6" l="1"/>
  <c r="I14" i="6"/>
  <c r="J14" i="6"/>
  <c r="F14" i="6"/>
  <c r="B15" i="6"/>
  <c r="V13" i="1"/>
  <c r="B31" i="9"/>
  <c r="B32" i="9"/>
  <c r="C33" i="9" s="1"/>
  <c r="F15" i="6" l="1"/>
  <c r="G15" i="6"/>
  <c r="I15" i="6"/>
  <c r="J15" i="6"/>
  <c r="B16" i="6"/>
  <c r="C32" i="9"/>
  <c r="G16" i="6" l="1"/>
  <c r="I16" i="6"/>
  <c r="F16" i="6"/>
  <c r="H16" i="6"/>
  <c r="J16" i="6"/>
  <c r="B17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N47" i="3" s="1"/>
  <c r="G16" i="4"/>
  <c r="G17" i="4"/>
  <c r="G18" i="4"/>
  <c r="G19" i="4"/>
  <c r="G20" i="4"/>
  <c r="G21" i="4"/>
  <c r="N11" i="3" s="1"/>
  <c r="G22" i="4"/>
  <c r="G23" i="4"/>
  <c r="G24" i="4"/>
  <c r="G25" i="4"/>
  <c r="G26" i="4"/>
  <c r="G27" i="4"/>
  <c r="G28" i="4"/>
  <c r="N23" i="3" s="1"/>
  <c r="G29" i="4"/>
  <c r="G30" i="4"/>
  <c r="G31" i="4"/>
  <c r="G32" i="4"/>
  <c r="G33" i="4"/>
  <c r="G34" i="4"/>
  <c r="G35" i="4"/>
  <c r="N40" i="3" s="1"/>
  <c r="G36" i="4"/>
  <c r="G37" i="4"/>
  <c r="G38" i="4"/>
  <c r="G39" i="4"/>
  <c r="G40" i="4"/>
  <c r="G41" i="4"/>
  <c r="G42" i="4"/>
  <c r="G43" i="4"/>
  <c r="N24" i="3" s="1"/>
  <c r="G44" i="4"/>
  <c r="G45" i="4"/>
  <c r="G46" i="4"/>
  <c r="G47" i="4"/>
  <c r="G48" i="4"/>
  <c r="G49" i="4"/>
  <c r="G50" i="4"/>
  <c r="G51" i="4"/>
  <c r="G52" i="4"/>
  <c r="N21" i="3" s="1"/>
  <c r="G53" i="4"/>
  <c r="G54" i="4"/>
  <c r="N27" i="3" s="1"/>
  <c r="G55" i="4"/>
  <c r="N28" i="3" s="1"/>
  <c r="G56" i="4"/>
  <c r="G57" i="4"/>
  <c r="G58" i="4"/>
  <c r="G59" i="4"/>
  <c r="G60" i="4"/>
  <c r="G61" i="4"/>
  <c r="G62" i="4"/>
  <c r="G63" i="4"/>
  <c r="N38" i="3" s="1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N10" i="3" s="1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N16" i="3" s="1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20" i="3" s="1"/>
  <c r="G115" i="4"/>
  <c r="G116" i="4"/>
  <c r="G117" i="4"/>
  <c r="G118" i="4"/>
  <c r="N13" i="3" s="1"/>
  <c r="G119" i="4"/>
  <c r="G120" i="4"/>
  <c r="N26" i="3" s="1"/>
  <c r="G121" i="4"/>
  <c r="G122" i="4"/>
  <c r="N41" i="3" s="1"/>
  <c r="G123" i="4"/>
  <c r="G124" i="4"/>
  <c r="G125" i="4"/>
  <c r="N9" i="3" s="1"/>
  <c r="G126" i="4"/>
  <c r="G127" i="4"/>
  <c r="G128" i="4"/>
  <c r="G129" i="4"/>
  <c r="G130" i="4"/>
  <c r="G131" i="4"/>
  <c r="N32" i="3" s="1"/>
  <c r="G132" i="4"/>
  <c r="G133" i="4"/>
  <c r="G134" i="4"/>
  <c r="G135" i="4"/>
  <c r="G136" i="4"/>
  <c r="G137" i="4"/>
  <c r="G138" i="4"/>
  <c r="N15" i="3" s="1"/>
  <c r="G139" i="4"/>
  <c r="G140" i="4"/>
  <c r="G141" i="4"/>
  <c r="G142" i="4"/>
  <c r="H13" i="6" s="1"/>
  <c r="G143" i="4"/>
  <c r="G144" i="4"/>
  <c r="G145" i="4"/>
  <c r="G146" i="4"/>
  <c r="G147" i="4"/>
  <c r="G148" i="4"/>
  <c r="G149" i="4"/>
  <c r="G150" i="4"/>
  <c r="G151" i="4"/>
  <c r="G152" i="4"/>
  <c r="N14" i="3" s="1"/>
  <c r="G153" i="4"/>
  <c r="N22" i="3" s="1"/>
  <c r="G154" i="4"/>
  <c r="G155" i="4"/>
  <c r="N34" i="3" s="1"/>
  <c r="G156" i="4"/>
  <c r="N17" i="3" s="1"/>
  <c r="G157" i="4"/>
  <c r="G158" i="4"/>
  <c r="N42" i="3" s="1"/>
  <c r="G159" i="4"/>
  <c r="G160" i="4"/>
  <c r="G161" i="4"/>
  <c r="G162" i="4"/>
  <c r="N37" i="3" s="1"/>
  <c r="G163" i="4"/>
  <c r="G164" i="4"/>
  <c r="N30" i="3" s="1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N8" i="3" s="1"/>
  <c r="G192" i="4"/>
  <c r="G193" i="4"/>
  <c r="G194" i="4"/>
  <c r="G195" i="4"/>
  <c r="G196" i="4"/>
  <c r="G197" i="4"/>
  <c r="N45" i="3" s="1"/>
  <c r="G198" i="4"/>
  <c r="G199" i="4"/>
  <c r="G200" i="4"/>
  <c r="G201" i="4"/>
  <c r="G202" i="4"/>
  <c r="G203" i="4"/>
  <c r="G204" i="4"/>
  <c r="G205" i="4"/>
  <c r="N33" i="3" s="1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N48" i="3" s="1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5" i="3" l="1"/>
  <c r="N36" i="3"/>
  <c r="N18" i="3"/>
  <c r="N29" i="3"/>
  <c r="N7" i="3"/>
  <c r="N19" i="3"/>
  <c r="N25" i="3"/>
  <c r="N43" i="3"/>
  <c r="N44" i="3"/>
  <c r="N12" i="3"/>
  <c r="N31" i="3"/>
  <c r="N46" i="3"/>
  <c r="H4" i="6"/>
  <c r="H7" i="6"/>
  <c r="H3" i="6"/>
  <c r="H15" i="6"/>
  <c r="H10" i="6"/>
  <c r="H14" i="6"/>
  <c r="H8" i="6"/>
  <c r="H5" i="6"/>
  <c r="H6" i="6"/>
  <c r="H11" i="6"/>
  <c r="H12" i="6"/>
  <c r="H9" i="6"/>
  <c r="F17" i="6"/>
  <c r="I17" i="6"/>
  <c r="G17" i="6"/>
  <c r="H17" i="6"/>
  <c r="J17" i="6"/>
  <c r="B18" i="6"/>
  <c r="L13" i="1"/>
  <c r="G18" i="6" l="1"/>
  <c r="I18" i="6"/>
  <c r="J18" i="6"/>
  <c r="F18" i="6"/>
  <c r="H18" i="6"/>
  <c r="B19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9" i="6" l="1"/>
  <c r="G19" i="6"/>
  <c r="I19" i="6"/>
  <c r="J19" i="6"/>
  <c r="H19" i="6"/>
  <c r="B20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20" i="6" l="1"/>
  <c r="H20" i="6"/>
  <c r="J20" i="6"/>
  <c r="I20" i="6"/>
  <c r="F20" i="6"/>
  <c r="B21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22" i="6" l="1"/>
  <c r="F21" i="6"/>
  <c r="G21" i="6"/>
  <c r="I21" i="6"/>
  <c r="H21" i="6"/>
  <c r="J21" i="6"/>
  <c r="M30" i="5"/>
  <c r="M29" i="5"/>
  <c r="M27" i="5"/>
  <c r="G22" i="6" l="1"/>
  <c r="I22" i="6"/>
  <c r="J22" i="6"/>
  <c r="H22" i="6"/>
  <c r="F22" i="6"/>
  <c r="B23" i="6"/>
  <c r="M26" i="5"/>
  <c r="B24" i="6" l="1"/>
  <c r="F23" i="6"/>
  <c r="G23" i="6"/>
  <c r="H23" i="6"/>
  <c r="J23" i="6"/>
  <c r="I23" i="6"/>
  <c r="AH13" i="1"/>
  <c r="J7" i="1"/>
  <c r="G24" i="6" l="1"/>
  <c r="F24" i="6"/>
  <c r="H24" i="6"/>
  <c r="J24" i="6"/>
  <c r="I24" i="6"/>
  <c r="B25" i="6"/>
  <c r="X6" i="1"/>
  <c r="W6" i="1"/>
  <c r="V6" i="1"/>
  <c r="S6" i="1"/>
  <c r="R2" i="1"/>
  <c r="I2" i="1"/>
  <c r="O6" i="1"/>
  <c r="N6" i="1"/>
  <c r="M6" i="1"/>
  <c r="J6" i="1"/>
  <c r="B26" i="6" l="1"/>
  <c r="I25" i="6"/>
  <c r="G25" i="6"/>
  <c r="H25" i="6"/>
  <c r="J25" i="6"/>
  <c r="F25" i="6"/>
  <c r="P3" i="5"/>
  <c r="G26" i="6" l="1"/>
  <c r="I26" i="6"/>
  <c r="J26" i="6"/>
  <c r="F26" i="6"/>
  <c r="H26" i="6"/>
  <c r="B27" i="6"/>
  <c r="M18" i="5"/>
  <c r="B28" i="6" l="1"/>
  <c r="F27" i="6"/>
  <c r="G27" i="6"/>
  <c r="I27" i="6"/>
  <c r="J27" i="6"/>
  <c r="H27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8" i="6" l="1"/>
  <c r="I28" i="6"/>
  <c r="J28" i="6"/>
  <c r="F28" i="6"/>
  <c r="H28" i="6"/>
  <c r="B29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0" i="6" l="1"/>
  <c r="F29" i="6"/>
  <c r="G29" i="6"/>
  <c r="I29" i="6"/>
  <c r="H29" i="6"/>
  <c r="J29" i="6"/>
  <c r="G259" i="4"/>
  <c r="G260" i="4"/>
  <c r="G261" i="4"/>
  <c r="G262" i="4"/>
  <c r="G263" i="4"/>
  <c r="G264" i="4"/>
  <c r="G265" i="4"/>
  <c r="B31" i="6" l="1"/>
  <c r="G30" i="6"/>
  <c r="I30" i="6"/>
  <c r="H30" i="6"/>
  <c r="J30" i="6"/>
  <c r="F30" i="6"/>
  <c r="M14" i="5"/>
  <c r="M13" i="5"/>
  <c r="M12" i="5"/>
  <c r="M11" i="5"/>
  <c r="M10" i="5"/>
  <c r="M9" i="5"/>
  <c r="M8" i="5"/>
  <c r="M7" i="5"/>
  <c r="M6" i="5"/>
  <c r="M5" i="5"/>
  <c r="M4" i="5"/>
  <c r="M3" i="5"/>
  <c r="F31" i="6" l="1"/>
  <c r="G31" i="6"/>
  <c r="I31" i="6"/>
  <c r="J31" i="6"/>
  <c r="H31" i="6"/>
  <c r="B32" i="6"/>
  <c r="U13" i="1"/>
  <c r="S13" i="1" s="1"/>
  <c r="O3" i="3"/>
  <c r="H32" i="6" l="1"/>
  <c r="I32" i="6"/>
  <c r="F32" i="6"/>
  <c r="G32" i="6"/>
  <c r="J32" i="6"/>
  <c r="B33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4" i="6" l="1"/>
  <c r="F34" i="6" s="1"/>
  <c r="F33" i="6"/>
  <c r="G33" i="6"/>
  <c r="I33" i="6"/>
  <c r="H33" i="6"/>
  <c r="J33" i="6"/>
  <c r="J8" i="1"/>
  <c r="J4" i="1"/>
  <c r="S8" i="1"/>
  <c r="S4" i="1"/>
  <c r="J34" i="6" l="1"/>
  <c r="I34" i="6"/>
  <c r="G34" i="6"/>
  <c r="H34" i="6"/>
  <c r="B35" i="6"/>
  <c r="S9" i="1"/>
  <c r="J9" i="1"/>
  <c r="B36" i="6" l="1"/>
  <c r="H35" i="6"/>
  <c r="J35" i="6"/>
  <c r="F35" i="6"/>
  <c r="G35" i="6"/>
  <c r="I35" i="6"/>
  <c r="S11" i="1"/>
  <c r="A11" i="1"/>
  <c r="B37" i="6" l="1"/>
  <c r="F36" i="6"/>
  <c r="I36" i="6"/>
  <c r="J36" i="6"/>
  <c r="G36" i="6"/>
  <c r="H36" i="6"/>
  <c r="B1" i="6"/>
  <c r="A5" i="3"/>
  <c r="B38" i="6" l="1"/>
  <c r="G37" i="6"/>
  <c r="H37" i="6"/>
  <c r="F37" i="6"/>
  <c r="I37" i="6"/>
  <c r="J37" i="6"/>
  <c r="G38" i="6" l="1"/>
  <c r="H38" i="6"/>
  <c r="I38" i="6"/>
  <c r="J38" i="6"/>
  <c r="F38" i="6"/>
  <c r="B39" i="6"/>
  <c r="H39" i="6" l="1"/>
  <c r="F39" i="6"/>
  <c r="G39" i="6"/>
  <c r="I39" i="6"/>
  <c r="J39" i="6"/>
  <c r="B40" i="6"/>
  <c r="B41" i="6" l="1"/>
  <c r="G40" i="6"/>
  <c r="H40" i="6"/>
  <c r="I40" i="6"/>
  <c r="J40" i="6"/>
  <c r="F40" i="6"/>
  <c r="B42" i="6" l="1"/>
  <c r="I41" i="6"/>
  <c r="G41" i="6"/>
  <c r="F41" i="6"/>
  <c r="H41" i="6"/>
  <c r="J41" i="6"/>
  <c r="G42" i="6" l="1"/>
  <c r="F42" i="6"/>
  <c r="H42" i="6"/>
  <c r="I42" i="6"/>
  <c r="J42" i="6"/>
  <c r="B43" i="6"/>
  <c r="H43" i="6" l="1"/>
  <c r="J43" i="6"/>
  <c r="F43" i="6"/>
  <c r="G43" i="6"/>
  <c r="I43" i="6"/>
  <c r="B44" i="6"/>
  <c r="B45" i="6" l="1"/>
  <c r="F44" i="6"/>
  <c r="G44" i="6"/>
  <c r="I44" i="6"/>
  <c r="H44" i="6"/>
  <c r="J44" i="6"/>
  <c r="F45" i="6" l="1"/>
  <c r="G45" i="6"/>
  <c r="J45" i="6"/>
  <c r="H45" i="6"/>
  <c r="I45" i="6"/>
  <c r="B46" i="6"/>
  <c r="G46" i="6" l="1"/>
  <c r="J46" i="6"/>
  <c r="F46" i="6"/>
  <c r="H46" i="6"/>
  <c r="I46" i="6"/>
  <c r="B47" i="6"/>
  <c r="B48" i="6" l="1"/>
  <c r="F47" i="6"/>
  <c r="G47" i="6"/>
  <c r="H47" i="6"/>
  <c r="I47" i="6"/>
  <c r="J47" i="6"/>
  <c r="B49" i="6" l="1"/>
  <c r="J48" i="6"/>
  <c r="F48" i="6"/>
  <c r="I48" i="6"/>
  <c r="G48" i="6"/>
  <c r="H48" i="6"/>
  <c r="B50" i="6" l="1"/>
  <c r="G49" i="6"/>
  <c r="H49" i="6"/>
  <c r="F49" i="6"/>
  <c r="I49" i="6"/>
  <c r="J49" i="6"/>
  <c r="G50" i="6" l="1"/>
  <c r="I50" i="6"/>
  <c r="J50" i="6"/>
  <c r="F50" i="6"/>
  <c r="H50" i="6"/>
  <c r="B51" i="6"/>
  <c r="B52" i="6" l="1"/>
  <c r="J51" i="6"/>
  <c r="F51" i="6"/>
  <c r="H51" i="6"/>
  <c r="G51" i="6"/>
  <c r="I51" i="6"/>
  <c r="B53" i="6" l="1"/>
  <c r="H52" i="6"/>
  <c r="F52" i="6"/>
  <c r="I52" i="6"/>
  <c r="J52" i="6"/>
  <c r="G52" i="6"/>
  <c r="B55" i="6" l="1"/>
  <c r="B54" i="6"/>
  <c r="G53" i="6"/>
  <c r="H53" i="6"/>
  <c r="F53" i="6"/>
  <c r="I53" i="6"/>
  <c r="J53" i="6"/>
  <c r="G54" i="6" l="1"/>
  <c r="H54" i="6"/>
  <c r="I54" i="6"/>
  <c r="J54" i="6"/>
  <c r="F54" i="6"/>
  <c r="H55" i="6"/>
  <c r="J55" i="6"/>
  <c r="G55" i="6"/>
  <c r="I55" i="6"/>
  <c r="F5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<sst xmlns="http://schemas.openxmlformats.org/spreadsheetml/2006/main" count="2905" uniqueCount="1031">
  <si>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</si>
  <si>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</si>
  <si>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</si>
  <si>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</si>
  <si>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</si>
  <si>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</si>
  <si>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</si>
  <si>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</si>
  <si>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</si>
  <si>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</si>
  <si>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</si>
  <si>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</si>
  <si>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</si>
  <si>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</si>
  <si>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</si>
  <si>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</si>
  <si>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</si>
  <si>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</si>
  <si>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</si>
  <si>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</si>
  <si>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</si>
  <si>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</si>
  <si>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</si>
  <si>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</si>
  <si>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</si>
  <si>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</si>
  <si>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</si>
  <si>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</si>
  <si>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</si>
  <si>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</si>
  <si>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</si>
  <si>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</si>
  <si>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</si>
  <si>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</si>
  <si>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</si>
  <si>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</si>
  <si>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</si>
  <si>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</si>
  <si>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</si>
  <si>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</si>
  <si>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</si>
  <si>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</si>
  <si>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</si>
  <si>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</si>
  <si>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</si>
  <si>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</si>
  <si>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</si>
  <si>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</si>
  <si>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</si>
  <si>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</si>
  <si>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</si>
  <si>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</si>
  <si>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</si>
  <si>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</si>
  <si>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</si>
  <si>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</si>
  <si>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</si>
  <si>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</si>
  <si>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</si>
  <si>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</si>
  <si>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</si>
  <si>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</si>
  <si>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</si>
  <si>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</si>
  <si>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</si>
  <si>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</si>
  <si>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</si>
  <si>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</si>
  <si>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</si>
  <si>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</si>
  <si>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</si>
  <si>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</si>
  <si>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</si>
  <si>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</si>
  <si>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</si>
  <si>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</si>
  <si>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</si>
  <si>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</si>
  <si>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</si>
  <si>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</si>
  <si>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</si>
  <si>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</si>
  <si>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</si>
  <si>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</si>
  <si>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</si>
  <si>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</si>
  <si>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</si>
  <si>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</si>
  <si>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</si>
  <si>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</si>
  <si>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</si>
  <si>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</si>
  <si>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</si>
  <si>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</si>
  <si>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</si>
  <si>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</si>
  <si>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</si>
  <si>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</si>
  <si>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</si>
  <si>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</si>
  <si>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</si>
  <si>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</si>
  <si>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</si>
  <si>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</si>
  <si>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</si>
  <si>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</si>
  <si>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</si>
  <si>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</si>
  <si>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</si>
  <si>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</si>
  <si>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</si>
  <si>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</si>
  <si>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</si>
  <si>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</si>
  <si>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</si>
  <si>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</si>
  <si>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</si>
  <si>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</si>
  <si>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</si>
  <si>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</si>
  <si>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</si>
  <si>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</si>
  <si>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</si>
  <si>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</si>
  <si>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</si>
  <si>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</si>
  <si>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</si>
  <si>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</si>
  <si>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</si>
  <si>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</si>
  <si>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</si>
  <si>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</si>
  <si>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</si>
  <si>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</si>
  <si>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</si>
  <si>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</si>
  <si>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</si>
  <si>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</si>
  <si>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</si>
  <si>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</si>
  <si>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</si>
  <si>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</si>
  <si>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</si>
  <si>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</si>
  <si>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</si>
  <si>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</si>
  <si>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</si>
  <si>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</si>
  <si>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</si>
  <si>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</si>
  <si>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</si>
  <si>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</si>
  <si>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</si>
  <si>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</si>
  <si>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</si>
  <si>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</si>
  <si>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</si>
  <si>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</si>
  <si>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</si>
  <si>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</si>
  <si>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</si>
  <si>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</si>
  <si>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</si>
  <si>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</si>
  <si>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</si>
  <si>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</si>
  <si>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</si>
  <si>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</si>
  <si>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</si>
  <si>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</si>
  <si>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</si>
  <si>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</si>
  <si>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</si>
  <si>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</si>
  <si>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</si>
  <si>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</si>
  <si>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</si>
  <si>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</si>
  <si>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</si>
  <si>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</si>
  <si>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</si>
  <si>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</si>
  <si>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</si>
  <si>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</si>
  <si>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</si>
  <si>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</si>
  <si>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</si>
  <si>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</si>
  <si>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</si>
  <si>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</si>
  <si>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</si>
  <si>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</si>
  <si>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</si>
  <si>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</si>
  <si>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</si>
  <si>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</si>
  <si>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</si>
  <si>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</si>
  <si>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</si>
  <si>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</si>
  <si>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</si>
  <si>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</si>
  <si>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</si>
  <si>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</si>
  <si>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</si>
  <si>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</si>
  <si>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</si>
  <si>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</si>
  <si>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</si>
  <si>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</si>
  <si>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</si>
  <si>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</si>
  <si>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</si>
  <si>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</si>
  <si>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</si>
  <si>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</si>
  <si>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</si>
  <si>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</si>
  <si>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</si>
  <si>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</si>
  <si>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</si>
  <si>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</si>
  <si>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</si>
  <si>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</si>
  <si>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</si>
  <si>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</si>
  <si>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</si>
  <si>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</si>
  <si>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</si>
  <si>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</si>
  <si>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</si>
  <si>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</si>
  <si>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</si>
  <si>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</si>
  <si>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</si>
  <si>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</si>
  <si>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</si>
  <si>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</si>
  <si>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</si>
  <si>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</si>
  <si>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</si>
  <si>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</si>
  <si>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</si>
  <si>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</si>
  <si>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</si>
  <si>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</si>
  <si>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</si>
  <si>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</si>
  <si>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</si>
  <si>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</si>
  <si>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</si>
  <si>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</si>
  <si>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</si>
  <si>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</si>
  <si>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</si>
  <si>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</si>
  <si>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</si>
  <si>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</si>
  <si>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</si>
  <si>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</si>
  <si>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</si>
  <si>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</si>
  <si>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</si>
  <si>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</si>
  <si>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</si>
  <si>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</si>
  <si>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</si>
  <si>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</si>
  <si>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</si>
  <si>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</si>
  <si>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</si>
  <si>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</si>
  <si>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</si>
  <si>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</si>
  <si>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</si>
  <si>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</si>
  <si>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</si>
  <si>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</si>
  <si>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</si>
  <si>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</si>
  <si>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</si>
  <si>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</si>
  <si>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</si>
  <si>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</si>
  <si>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</si>
  <si>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</si>
  <si>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</si>
  <si>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</si>
  <si>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</si>
  <si>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</si>
  <si>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</si>
  <si>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</si>
  <si>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</si>
  <si>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</si>
  <si>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</si>
  <si>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</si>
  <si>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</si>
  <si>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</si>
  <si>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</si>
  <si>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</si>
  <si>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</si>
  <si>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</si>
  <si>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</si>
  <si>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</si>
  <si>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</si>
  <si>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</si>
  <si>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</si>
  <si>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</si>
  <si>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</si>
  <si>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</si>
  <si>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</si>
  <si>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</si>
  <si>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</si>
  <si>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</si>
  <si>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</si>
  <si>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</si>
  <si>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</si>
  <si>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</si>
  <si>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</si>
  <si>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</si>
  <si>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</si>
  <si>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</si>
  <si>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</si>
  <si>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</si>
  <si>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</si>
  <si>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</si>
  <si>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</si>
  <si>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</si>
  <si>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</si>
  <si>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</si>
  <si>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</si>
  <si>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</si>
  <si>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</si>
  <si>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</si>
  <si>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</si>
  <si>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</si>
  <si>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</si>
  <si>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</si>
  <si>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</si>
  <si>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</si>
  <si>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</si>
  <si>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</si>
  <si>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</si>
  <si>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</si>
  <si>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</si>
  <si>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</si>
  <si>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</si>
  <si>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</si>
  <si>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</si>
  <si>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</si>
  <si>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</si>
  <si>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</si>
  <si>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</si>
  <si>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</si>
  <si>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</si>
  <si>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</si>
  <si>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</si>
  <si>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</si>
  <si>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</si>
  <si>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</si>
  <si>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</si>
  <si>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</si>
  <si>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</si>
  <si>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</si>
  <si>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</si>
  <si>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</si>
  <si>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</si>
  <si>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</si>
  <si>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</si>
  <si>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</si>
  <si>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</si>
  <si>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</si>
  <si>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</si>
  <si>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</si>
  <si>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</si>
  <si>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</si>
  <si>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</si>
  <si>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</si>
  <si>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</si>
  <si>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</si>
  <si>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</si>
  <si>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</si>
  <si>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</si>
  <si>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</si>
  <si>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</si>
  <si>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</si>
  <si>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</si>
  <si>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</si>
  <si>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</si>
  <si>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</si>
  <si>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</si>
  <si>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</si>
  <si>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</si>
  <si>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</si>
  <si>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</si>
  <si>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</si>
  <si>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</si>
  <si>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</si>
  <si>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</si>
  <si>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</si>
  <si>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</si>
  <si>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</si>
  <si>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</si>
  <si>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204:232982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</si>
  <si>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</si>
  <si>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</si>
  <si>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</si>
  <si>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</si>
  <si>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</si>
  <si>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</si>
  <si>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</si>
  <si>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</si>
  <si>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</si>
  <si>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</si>
  <si>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</si>
  <si>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</si>
  <si>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</si>
  <si>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</si>
  <si>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</si>
  <si>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Track device (7)</t>
  </si>
  <si>
    <t>ROBINSON</t>
  </si>
  <si>
    <t>KADDIBA</t>
  </si>
  <si>
    <t>SWITCH UNKNOWN</t>
  </si>
  <si>
    <t>rtdc.l.rtdc.4041:itc</t>
  </si>
  <si>
    <t>STAMBAUGH</t>
  </si>
  <si>
    <t>DAVIS</t>
  </si>
  <si>
    <t>DUNCAN</t>
  </si>
  <si>
    <t>SHEILA</t>
  </si>
  <si>
    <t>MAGEE</t>
  </si>
  <si>
    <t>KENYA</t>
  </si>
  <si>
    <t>204:232977</t>
  </si>
  <si>
    <t>204:145</t>
  </si>
  <si>
    <t>204:232980</t>
  </si>
  <si>
    <t>204:442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</si>
  <si>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</si>
  <si>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</si>
  <si>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</si>
  <si>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</si>
  <si>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</si>
  <si>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</si>
  <si>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</si>
  <si>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</si>
  <si>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</si>
  <si>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</si>
  <si>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</si>
  <si>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</si>
  <si>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</si>
  <si>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</si>
  <si>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</si>
  <si>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</si>
  <si>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</si>
  <si>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</si>
  <si>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</si>
  <si>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</si>
  <si>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</si>
  <si>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</si>
  <si>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204:467</t>
  </si>
  <si>
    <t>204:156</t>
  </si>
  <si>
    <t>204:138</t>
  </si>
  <si>
    <t>204:233309</t>
  </si>
  <si>
    <t>204:233312</t>
  </si>
  <si>
    <t>rtdc.l.rtdc.4001:itc</t>
  </si>
  <si>
    <t>rtdc.l.rtdc.4002:itc</t>
  </si>
  <si>
    <t>SAFIEF</t>
  </si>
  <si>
    <t>AEIMEN</t>
  </si>
  <si>
    <t>204:163</t>
  </si>
  <si>
    <t>MOSES</t>
  </si>
  <si>
    <t>BRADLEY</t>
  </si>
  <si>
    <t>204:232988</t>
  </si>
  <si>
    <t>204:233289</t>
  </si>
  <si>
    <t>204:165</t>
  </si>
  <si>
    <t>81-01</t>
  </si>
  <si>
    <t>SUR-02</t>
  </si>
  <si>
    <t>SUR</t>
  </si>
  <si>
    <t>JEREMY</t>
  </si>
  <si>
    <t>313-01</t>
  </si>
  <si>
    <t>204:444</t>
  </si>
  <si>
    <t>rtdc.l.rtdc.4012:itc</t>
  </si>
  <si>
    <t>204:233307</t>
  </si>
  <si>
    <t>204:437</t>
  </si>
  <si>
    <t>300:23308</t>
  </si>
  <si>
    <t>rtdc.l.rtdc.4016:itc</t>
  </si>
  <si>
    <t>HAITHCOX</t>
  </si>
  <si>
    <t>partly-cloudy-day</t>
  </si>
  <si>
    <t>Partly Cloudy</t>
  </si>
  <si>
    <t>204:232989</t>
  </si>
  <si>
    <t>204:233053</t>
  </si>
  <si>
    <t>204:232986</t>
  </si>
  <si>
    <t>204:477</t>
  </si>
  <si>
    <t>rtdc.l.rtdc.4046:itc</t>
  </si>
  <si>
    <t>rtdc.l.rtdc.4045:itc</t>
  </si>
  <si>
    <t>SPECTOR</t>
  </si>
  <si>
    <t>STARKS</t>
  </si>
  <si>
    <t>ANGELINA</t>
  </si>
  <si>
    <t>HELVIE</t>
  </si>
  <si>
    <t>ADAM</t>
  </si>
  <si>
    <t>LOZA</t>
  </si>
  <si>
    <t>FIDEL</t>
  </si>
  <si>
    <t>LEVIN</t>
  </si>
  <si>
    <t>SCOTT</t>
  </si>
  <si>
    <t>311-05</t>
  </si>
  <si>
    <t>313-05</t>
  </si>
  <si>
    <t>precipType</t>
  </si>
  <si>
    <t>partly-cloudy-night</t>
  </si>
  <si>
    <t>rain</t>
  </si>
  <si>
    <t>Mostly Cloudy</t>
  </si>
  <si>
    <t>204:232983</t>
  </si>
  <si>
    <t>204:232975</t>
  </si>
  <si>
    <t>204:233298</t>
  </si>
  <si>
    <t>204:167</t>
  </si>
  <si>
    <t>204:471</t>
  </si>
  <si>
    <t>204:694</t>
  </si>
  <si>
    <t>204:985</t>
  </si>
  <si>
    <t>300:58623</t>
  </si>
  <si>
    <t>204:964</t>
  </si>
  <si>
    <t>204:668</t>
  </si>
  <si>
    <t>300:58929</t>
  </si>
  <si>
    <t>300:58615</t>
  </si>
  <si>
    <t>300:58606</t>
  </si>
  <si>
    <t>rtdc.l.rtdc.4055:itc</t>
  </si>
  <si>
    <t>rtdc.l.rtdc.4056:itc</t>
  </si>
  <si>
    <t>rtdc.l.rtdc.4006:itc</t>
  </si>
  <si>
    <t>rtdc.l.rtdc.4004:itc</t>
  </si>
  <si>
    <t>YANG</t>
  </si>
  <si>
    <t>JAN</t>
  </si>
  <si>
    <t>STEWART</t>
  </si>
  <si>
    <t>244-06</t>
  </si>
  <si>
    <t>311-06</t>
  </si>
  <si>
    <t>313-06</t>
  </si>
  <si>
    <t>204:233303</t>
  </si>
  <si>
    <t>204:438</t>
  </si>
  <si>
    <t>204:233342</t>
  </si>
  <si>
    <t>204:232990</t>
  </si>
  <si>
    <t>204:232971</t>
  </si>
  <si>
    <t>204:136</t>
  </si>
  <si>
    <t>204:233287</t>
  </si>
  <si>
    <t>204:233282</t>
  </si>
  <si>
    <t>204:233378</t>
  </si>
  <si>
    <t>204:232996</t>
  </si>
  <si>
    <t>204:233000</t>
  </si>
  <si>
    <t>204:475</t>
  </si>
  <si>
    <t>204:958</t>
  </si>
  <si>
    <t>300:58931</t>
  </si>
  <si>
    <t>rtdc.l.rtdc.4015:itc</t>
  </si>
  <si>
    <t>rtdc.l.rtdc.4031:itc</t>
  </si>
  <si>
    <t>rtdc.l.rtdc.4058:itc</t>
  </si>
  <si>
    <t>rtdc.l.rtdc.4057:itc</t>
  </si>
  <si>
    <t>242-07</t>
  </si>
  <si>
    <t>WENDY</t>
  </si>
  <si>
    <t>rtdc.l.rtdc.4032:itc</t>
  </si>
  <si>
    <t>GEBRETEKLE</t>
  </si>
  <si>
    <t>DAGNEW</t>
  </si>
  <si>
    <t>BONDS</t>
  </si>
  <si>
    <t>REYNALDO</t>
  </si>
  <si>
    <t>HOLCOMB</t>
  </si>
  <si>
    <t>KAMDEN</t>
  </si>
  <si>
    <t>DELGADO</t>
  </si>
  <si>
    <t>DIANAH</t>
  </si>
  <si>
    <t>COOLAHAN</t>
  </si>
  <si>
    <t>JOHN</t>
  </si>
  <si>
    <t>BERLING</t>
  </si>
  <si>
    <t>GARY</t>
  </si>
  <si>
    <t>240-07</t>
  </si>
  <si>
    <t>243-07</t>
  </si>
  <si>
    <t>307-07</t>
  </si>
  <si>
    <t>309-07</t>
  </si>
  <si>
    <t>244-07</t>
  </si>
  <si>
    <t>311-07</t>
  </si>
  <si>
    <t>313-07</t>
  </si>
  <si>
    <t>clear-night</t>
  </si>
  <si>
    <t>Clear</t>
  </si>
  <si>
    <t>clear-day</t>
  </si>
  <si>
    <t>204:233304</t>
  </si>
  <si>
    <t>204:232994</t>
  </si>
  <si>
    <t>204:233327</t>
  </si>
  <si>
    <t>204:233311</t>
  </si>
  <si>
    <t>204:233302</t>
  </si>
  <si>
    <t>204:233306</t>
  </si>
  <si>
    <t>204:232981</t>
  </si>
  <si>
    <t>204:232969</t>
  </si>
  <si>
    <t>204:161</t>
  </si>
  <si>
    <t>204:233318</t>
  </si>
  <si>
    <t>204:232985</t>
  </si>
  <si>
    <t>204:233382</t>
  </si>
  <si>
    <t>204:233006</t>
  </si>
  <si>
    <t>204:233321</t>
  </si>
  <si>
    <t>204:233051</t>
  </si>
  <si>
    <t>204:232965</t>
  </si>
  <si>
    <t>204:125</t>
  </si>
  <si>
    <t>204:233272</t>
  </si>
  <si>
    <t>204:233005</t>
  </si>
  <si>
    <t>204:233340</t>
  </si>
  <si>
    <t>204:132</t>
  </si>
  <si>
    <t>204:169</t>
  </si>
  <si>
    <t>204:233315</t>
  </si>
  <si>
    <t>204:233300</t>
  </si>
  <si>
    <t>204:233291</t>
  </si>
  <si>
    <t>300:23310</t>
  </si>
  <si>
    <t>300:23295</t>
  </si>
  <si>
    <t>204:993</t>
  </si>
  <si>
    <t>204:972</t>
  </si>
  <si>
    <t>204:712</t>
  </si>
  <si>
    <t>300:58960</t>
  </si>
  <si>
    <t>300:58651</t>
  </si>
  <si>
    <t>300:58609</t>
  </si>
  <si>
    <t>300:58928</t>
  </si>
  <si>
    <t>300:58914</t>
  </si>
  <si>
    <t>204:661</t>
  </si>
  <si>
    <t>Overspeed</t>
  </si>
  <si>
    <t>50-08</t>
  </si>
  <si>
    <t>rtdc.l.rtdc.4029:itc</t>
  </si>
  <si>
    <t>308-08</t>
  </si>
  <si>
    <t>111-08</t>
  </si>
  <si>
    <t>rtdc.l.rtdc.4007:itc</t>
  </si>
  <si>
    <t>800-08</t>
  </si>
  <si>
    <t>115-08</t>
  </si>
  <si>
    <t>802-08</t>
  </si>
  <si>
    <t>125-08</t>
  </si>
  <si>
    <t>rtdc.l.rtdc.4026:itc</t>
  </si>
  <si>
    <t>131-08</t>
  </si>
  <si>
    <t>129-08</t>
  </si>
  <si>
    <t>810-08</t>
  </si>
  <si>
    <t>126-08</t>
  </si>
  <si>
    <t>140-08</t>
  </si>
  <si>
    <t>156-08</t>
  </si>
  <si>
    <t>173-08</t>
  </si>
  <si>
    <t>170-08</t>
  </si>
  <si>
    <t>822-08</t>
  </si>
  <si>
    <t>172-08</t>
  </si>
  <si>
    <t>823-08</t>
  </si>
  <si>
    <t>178-08</t>
  </si>
  <si>
    <t>187-08</t>
  </si>
  <si>
    <t>186-08</t>
  </si>
  <si>
    <t>194-08</t>
  </si>
  <si>
    <t>196-08</t>
  </si>
  <si>
    <t>830-08</t>
  </si>
  <si>
    <t>831-08</t>
  </si>
  <si>
    <t>198-08</t>
  </si>
  <si>
    <t>833-08</t>
  </si>
  <si>
    <t>200-08</t>
  </si>
  <si>
    <t>rtdc.l.rtdc.4025:itc</t>
  </si>
  <si>
    <t>202-08</t>
  </si>
  <si>
    <t>834-08</t>
  </si>
  <si>
    <t>212-08</t>
  </si>
  <si>
    <t>rtdc.l.rtdc.4003:itc</t>
  </si>
  <si>
    <t>218-08</t>
  </si>
  <si>
    <t>305-08</t>
  </si>
  <si>
    <t>225-08</t>
  </si>
  <si>
    <t>229-08</t>
  </si>
  <si>
    <t>908-08</t>
  </si>
  <si>
    <t>300-08</t>
  </si>
  <si>
    <t>101-08</t>
  </si>
  <si>
    <t>302-08</t>
  </si>
  <si>
    <t>103-08</t>
  </si>
  <si>
    <t>304-08</t>
  </si>
  <si>
    <t>102-08</t>
  </si>
  <si>
    <t>306-08</t>
  </si>
  <si>
    <t>105-08</t>
  </si>
  <si>
    <t>107-08</t>
  </si>
  <si>
    <t>104-08</t>
  </si>
  <si>
    <t>rtdc.l.rtdc.4030:itc</t>
  </si>
  <si>
    <t>109-08</t>
  </si>
  <si>
    <t>901-08</t>
  </si>
  <si>
    <t>310-08</t>
  </si>
  <si>
    <t>106-08</t>
  </si>
  <si>
    <t>108-08</t>
  </si>
  <si>
    <t>113-08</t>
  </si>
  <si>
    <t>312-08</t>
  </si>
  <si>
    <t>110-08</t>
  </si>
  <si>
    <t>117-08</t>
  </si>
  <si>
    <t>112-08</t>
  </si>
  <si>
    <t>801-08</t>
  </si>
  <si>
    <t>119-08</t>
  </si>
  <si>
    <t>52-08</t>
  </si>
  <si>
    <t>902-08</t>
  </si>
  <si>
    <t>114-08</t>
  </si>
  <si>
    <t>121-08</t>
  </si>
  <si>
    <t>116-08</t>
  </si>
  <si>
    <t>803-08</t>
  </si>
  <si>
    <t>123-08</t>
  </si>
  <si>
    <t>118-08</t>
  </si>
  <si>
    <t>804-08</t>
  </si>
  <si>
    <t>805-08</t>
  </si>
  <si>
    <t>122-08</t>
  </si>
  <si>
    <t>127-08</t>
  </si>
  <si>
    <t>120-08</t>
  </si>
  <si>
    <t>806-08</t>
  </si>
  <si>
    <t>124-08</t>
  </si>
  <si>
    <t>807-08</t>
  </si>
  <si>
    <t>808-08</t>
  </si>
  <si>
    <t>133-08</t>
  </si>
  <si>
    <t>CUSHING</t>
  </si>
  <si>
    <t>HARRY</t>
  </si>
  <si>
    <t>809-08</t>
  </si>
  <si>
    <t>128-08</t>
  </si>
  <si>
    <t>135-08</t>
  </si>
  <si>
    <t>130-08</t>
  </si>
  <si>
    <t>811-08</t>
  </si>
  <si>
    <t>137-08</t>
  </si>
  <si>
    <t>132-08</t>
  </si>
  <si>
    <t>903-08</t>
  </si>
  <si>
    <t>139-08</t>
  </si>
  <si>
    <t>134-08</t>
  </si>
  <si>
    <t>812-08</t>
  </si>
  <si>
    <t>136-08</t>
  </si>
  <si>
    <t>141-08</t>
  </si>
  <si>
    <t>138-08</t>
  </si>
  <si>
    <t>143-08</t>
  </si>
  <si>
    <t>813-08</t>
  </si>
  <si>
    <t>145-08</t>
  </si>
  <si>
    <t>147-08</t>
  </si>
  <si>
    <t>142-08</t>
  </si>
  <si>
    <t>149-08</t>
  </si>
  <si>
    <t>814-08</t>
  </si>
  <si>
    <t>144-08</t>
  </si>
  <si>
    <t>151-08</t>
  </si>
  <si>
    <t>815-08</t>
  </si>
  <si>
    <t>146-08</t>
  </si>
  <si>
    <t>153-08</t>
  </si>
  <si>
    <t>150-08</t>
  </si>
  <si>
    <t>148-08</t>
  </si>
  <si>
    <t>155-08</t>
  </si>
  <si>
    <t>816-08</t>
  </si>
  <si>
    <t>152-08</t>
  </si>
  <si>
    <t>157-08</t>
  </si>
  <si>
    <t>rtdc.l.rtdc.4053:itc</t>
  </si>
  <si>
    <t>159-08</t>
  </si>
  <si>
    <t>817-08</t>
  </si>
  <si>
    <t>154-08</t>
  </si>
  <si>
    <t>161-08</t>
  </si>
  <si>
    <t>163-08</t>
  </si>
  <si>
    <t>YORK</t>
  </si>
  <si>
    <t>EDGAR</t>
  </si>
  <si>
    <t>53-08</t>
  </si>
  <si>
    <t>158-08</t>
  </si>
  <si>
    <t>818-08</t>
  </si>
  <si>
    <t>165-08</t>
  </si>
  <si>
    <t>160-08</t>
  </si>
  <si>
    <t>167-08</t>
  </si>
  <si>
    <t>819-08</t>
  </si>
  <si>
    <t>164-08</t>
  </si>
  <si>
    <t>162-08</t>
  </si>
  <si>
    <t>169-08</t>
  </si>
  <si>
    <t>171-08</t>
  </si>
  <si>
    <t>820-08</t>
  </si>
  <si>
    <t>166-08</t>
  </si>
  <si>
    <t>168-08</t>
  </si>
  <si>
    <t>175-08</t>
  </si>
  <si>
    <t>821-08</t>
  </si>
  <si>
    <t>177-08</t>
  </si>
  <si>
    <t>179-08</t>
  </si>
  <si>
    <t>174-08</t>
  </si>
  <si>
    <t>181-08</t>
  </si>
  <si>
    <t>176-08</t>
  </si>
  <si>
    <t>183-08</t>
  </si>
  <si>
    <t>185-08</t>
  </si>
  <si>
    <t>180-08</t>
  </si>
  <si>
    <t>182-08</t>
  </si>
  <si>
    <t>189-08</t>
  </si>
  <si>
    <t>824-08</t>
  </si>
  <si>
    <t>184-08</t>
  </si>
  <si>
    <t>191-08</t>
  </si>
  <si>
    <t>825-08</t>
  </si>
  <si>
    <t>193-08</t>
  </si>
  <si>
    <t>188-08</t>
  </si>
  <si>
    <t>195-08</t>
  </si>
  <si>
    <t>904-08</t>
  </si>
  <si>
    <t>826-08</t>
  </si>
  <si>
    <t>192-08</t>
  </si>
  <si>
    <t>190-08</t>
  </si>
  <si>
    <t>827-08</t>
  </si>
  <si>
    <t>197-08</t>
  </si>
  <si>
    <t>199-08</t>
  </si>
  <si>
    <t>829-08</t>
  </si>
  <si>
    <t>828-08</t>
  </si>
  <si>
    <t>201-08</t>
  </si>
  <si>
    <t>203-08</t>
  </si>
  <si>
    <t>205-08</t>
  </si>
  <si>
    <t>73-08</t>
  </si>
  <si>
    <t>BEAM</t>
  </si>
  <si>
    <t>ROSS</t>
  </si>
  <si>
    <t>207-08</t>
  </si>
  <si>
    <t>832-08</t>
  </si>
  <si>
    <t>209-08</t>
  </si>
  <si>
    <t>204-08</t>
  </si>
  <si>
    <t>211-08</t>
  </si>
  <si>
    <t>75-08</t>
  </si>
  <si>
    <t>835-08</t>
  </si>
  <si>
    <t>206-08</t>
  </si>
  <si>
    <t>76-08</t>
  </si>
  <si>
    <t>213-08</t>
  </si>
  <si>
    <t>215-08</t>
  </si>
  <si>
    <t>208-08</t>
  </si>
  <si>
    <t>837-08</t>
  </si>
  <si>
    <t>210-08</t>
  </si>
  <si>
    <t>836-08</t>
  </si>
  <si>
    <t>217-08</t>
  </si>
  <si>
    <t>PERKINS</t>
  </si>
  <si>
    <t>DARREN</t>
  </si>
  <si>
    <t>219-08</t>
  </si>
  <si>
    <t>839-08</t>
  </si>
  <si>
    <t>214-08</t>
  </si>
  <si>
    <t>838-08</t>
  </si>
  <si>
    <t>301-08</t>
  </si>
  <si>
    <t>216-08</t>
  </si>
  <si>
    <t>221-08</t>
  </si>
  <si>
    <t>841-08</t>
  </si>
  <si>
    <t>906-08</t>
  </si>
  <si>
    <t>303-08</t>
  </si>
  <si>
    <t>220-08</t>
  </si>
  <si>
    <t>223-08</t>
  </si>
  <si>
    <t>840-08</t>
  </si>
  <si>
    <t>222-08</t>
  </si>
  <si>
    <t>224-08</t>
  </si>
  <si>
    <t>227-08</t>
  </si>
  <si>
    <t>843-08</t>
  </si>
  <si>
    <t>842-08</t>
  </si>
  <si>
    <t>845-08</t>
  </si>
  <si>
    <t>231-08</t>
  </si>
  <si>
    <t>226-08</t>
  </si>
  <si>
    <t>228-08</t>
  </si>
  <si>
    <t>85-08</t>
  </si>
  <si>
    <t>844-08</t>
  </si>
  <si>
    <t>233-08</t>
  </si>
  <si>
    <t>230-08</t>
  </si>
  <si>
    <t>847-08</t>
  </si>
  <si>
    <t>235-08</t>
  </si>
  <si>
    <t>232-08</t>
  </si>
  <si>
    <t>234-08</t>
  </si>
  <si>
    <t>237-08</t>
  </si>
  <si>
    <t>87-08</t>
  </si>
  <si>
    <t>88-08</t>
  </si>
  <si>
    <t>236-08</t>
  </si>
  <si>
    <t>239-08</t>
  </si>
  <si>
    <t>241-08</t>
  </si>
  <si>
    <t>238-08</t>
  </si>
  <si>
    <t>243-08</t>
  </si>
  <si>
    <t>240-08</t>
  </si>
  <si>
    <t>307-08</t>
  </si>
  <si>
    <t>204:233017</t>
  </si>
  <si>
    <t>204:232998</t>
  </si>
  <si>
    <t>204:233305</t>
  </si>
  <si>
    <t>204:233355</t>
  </si>
  <si>
    <t>204:233323</t>
  </si>
  <si>
    <t>204:233002</t>
  </si>
  <si>
    <t>204:232984</t>
  </si>
  <si>
    <t>204:482</t>
  </si>
  <si>
    <t>204:232959</t>
  </si>
  <si>
    <t>204:233317</t>
  </si>
  <si>
    <t>204:233004</t>
  </si>
  <si>
    <t>204:232979</t>
  </si>
  <si>
    <t>204:134</t>
  </si>
  <si>
    <t>204:233286</t>
  </si>
  <si>
    <t>204:233338</t>
  </si>
  <si>
    <t>204:233362</t>
  </si>
  <si>
    <t>204:233013</t>
  </si>
  <si>
    <t>204:233361</t>
  </si>
  <si>
    <t>204:233001</t>
  </si>
  <si>
    <t>204:233295</t>
  </si>
  <si>
    <t>204:232964</t>
  </si>
  <si>
    <t>204:233395</t>
  </si>
  <si>
    <t>204:233101</t>
  </si>
  <si>
    <t>204:233398</t>
  </si>
  <si>
    <t>204:233093</t>
  </si>
  <si>
    <t>204:233339</t>
  </si>
  <si>
    <t>204:233336</t>
  </si>
  <si>
    <t>204:233025</t>
  </si>
  <si>
    <t>204:2276</t>
  </si>
  <si>
    <t>204:473</t>
  </si>
  <si>
    <t>204:232987</t>
  </si>
  <si>
    <t>204:233406</t>
  </si>
  <si>
    <t>204:233074</t>
  </si>
  <si>
    <t>204:233299</t>
  </si>
  <si>
    <t>204:130</t>
  </si>
  <si>
    <t>204:233308</t>
  </si>
  <si>
    <t>204:232976</t>
  </si>
  <si>
    <t>204:424</t>
  </si>
  <si>
    <t>204:233044</t>
  </si>
  <si>
    <t>204:233368</t>
  </si>
  <si>
    <t>204:233087</t>
  </si>
  <si>
    <t>204:426</t>
  </si>
  <si>
    <t>204:233357</t>
  </si>
  <si>
    <t>204:189</t>
  </si>
  <si>
    <t>204:228120</t>
  </si>
  <si>
    <t>204:233417</t>
  </si>
  <si>
    <t>204:233119</t>
  </si>
  <si>
    <t>204:79</t>
  </si>
  <si>
    <t>204:431</t>
  </si>
  <si>
    <t>204:233380</t>
  </si>
  <si>
    <t>204:233067</t>
  </si>
  <si>
    <t>204:233366</t>
  </si>
  <si>
    <t>204:233057</t>
  </si>
  <si>
    <t>204:171</t>
  </si>
  <si>
    <t>204:497</t>
  </si>
  <si>
    <t>204:232953</t>
  </si>
  <si>
    <t>204:488</t>
  </si>
  <si>
    <t>204:307</t>
  </si>
  <si>
    <t>204:233337</t>
  </si>
  <si>
    <t>204:233007</t>
  </si>
  <si>
    <t>204:233331</t>
  </si>
  <si>
    <t>204:128264</t>
  </si>
  <si>
    <t>204:413</t>
  </si>
  <si>
    <t>204:101809</t>
  </si>
  <si>
    <t>204:956</t>
  </si>
  <si>
    <t>204:128252</t>
  </si>
  <si>
    <t>204:100899</t>
  </si>
  <si>
    <t>204:233249</t>
  </si>
  <si>
    <t>204:232894</t>
  </si>
  <si>
    <t>204:1092</t>
  </si>
  <si>
    <t>204:200</t>
  </si>
  <si>
    <t>300:25463</t>
  </si>
  <si>
    <t>204:1156</t>
  </si>
  <si>
    <t>204:386</t>
  </si>
  <si>
    <t>300:23591</t>
  </si>
  <si>
    <t>300:23302</t>
  </si>
  <si>
    <t>300:22957</t>
  </si>
  <si>
    <t>204:330</t>
  </si>
  <si>
    <t>300:23304</t>
  </si>
  <si>
    <t>300:23292</t>
  </si>
  <si>
    <t>300:23252</t>
  </si>
  <si>
    <t>300:23788</t>
  </si>
  <si>
    <t>300:23245</t>
  </si>
  <si>
    <t>300:23301</t>
  </si>
  <si>
    <t>300:23266</t>
  </si>
  <si>
    <t>300:23306</t>
  </si>
  <si>
    <t>300:23544</t>
  </si>
  <si>
    <t>300:22508</t>
  </si>
  <si>
    <t>300:21464</t>
  </si>
  <si>
    <t>204:1481</t>
  </si>
  <si>
    <t>204:1492</t>
  </si>
  <si>
    <t>300:22030</t>
  </si>
  <si>
    <t>204:75</t>
  </si>
  <si>
    <t>204:368</t>
  </si>
  <si>
    <t>300:24197</t>
  </si>
  <si>
    <t>300:23049</t>
  </si>
  <si>
    <t>204:1150</t>
  </si>
  <si>
    <t>300:31178</t>
  </si>
  <si>
    <t>204:1773</t>
  </si>
  <si>
    <t>204:955</t>
  </si>
  <si>
    <t>300:59011</t>
  </si>
  <si>
    <t>300:58691</t>
  </si>
  <si>
    <t>204:969</t>
  </si>
  <si>
    <t>300:58969</t>
  </si>
  <si>
    <t>300:58645</t>
  </si>
  <si>
    <t>204:698</t>
  </si>
  <si>
    <t>204:948</t>
  </si>
  <si>
    <t>300:59009</t>
  </si>
  <si>
    <t>300:58698</t>
  </si>
  <si>
    <t>204:680</t>
  </si>
  <si>
    <t>204:978</t>
  </si>
  <si>
    <t>300:58967</t>
  </si>
  <si>
    <t>300:58657</t>
  </si>
  <si>
    <t>204:682</t>
  </si>
  <si>
    <t>300:59024</t>
  </si>
  <si>
    <t>300:58696</t>
  </si>
  <si>
    <t>204:137</t>
  </si>
  <si>
    <t>204:974</t>
  </si>
  <si>
    <t>300:58977</t>
  </si>
  <si>
    <t>204:960</t>
  </si>
  <si>
    <t>300:58961</t>
  </si>
  <si>
    <t>300:58642</t>
  </si>
  <si>
    <t>204:678</t>
  </si>
  <si>
    <t>204:962</t>
  </si>
  <si>
    <t>300:58973</t>
  </si>
  <si>
    <t>300:58649</t>
  </si>
  <si>
    <t>204:687</t>
  </si>
  <si>
    <t>204:685</t>
  </si>
  <si>
    <t>300:58950</t>
  </si>
  <si>
    <t>300:58632</t>
  </si>
  <si>
    <t>300:58916</t>
  </si>
  <si>
    <t>300:58611</t>
  </si>
  <si>
    <t>204:643</t>
  </si>
  <si>
    <t>204:916</t>
  </si>
  <si>
    <t>300:58613</t>
  </si>
  <si>
    <t>204:612</t>
  </si>
  <si>
    <t>300:58927</t>
  </si>
  <si>
    <t>204:677</t>
  </si>
  <si>
    <t>204:911</t>
  </si>
  <si>
    <t>300:58905</t>
  </si>
  <si>
    <t>300:58594</t>
  </si>
  <si>
    <t>204:848</t>
  </si>
  <si>
    <t>204:1135</t>
  </si>
  <si>
    <t>300:58693</t>
  </si>
  <si>
    <t>204:895</t>
  </si>
  <si>
    <t>204:971</t>
  </si>
  <si>
    <t>204:691</t>
  </si>
  <si>
    <t>204:1186</t>
  </si>
  <si>
    <t>300:58608</t>
  </si>
  <si>
    <t>300:58655</t>
  </si>
  <si>
    <t>204:622</t>
  </si>
  <si>
    <t>300:58975</t>
  </si>
  <si>
    <t>300:58643</t>
  </si>
  <si>
    <t>204:689</t>
  </si>
  <si>
    <t>204:902</t>
  </si>
  <si>
    <t>300:58963</t>
  </si>
  <si>
    <t>204:5145</t>
  </si>
  <si>
    <t>204:1164</t>
  </si>
  <si>
    <t>204:5464</t>
  </si>
  <si>
    <t>204:3605</t>
  </si>
  <si>
    <t>204:3294</t>
  </si>
  <si>
    <t>300:30006</t>
  </si>
  <si>
    <t>300:59020</t>
  </si>
  <si>
    <t>204:430</t>
  </si>
  <si>
    <t>300:24220</t>
  </si>
  <si>
    <t>300:22773</t>
  </si>
  <si>
    <t>300:21452</t>
  </si>
  <si>
    <t>300:58287</t>
  </si>
  <si>
    <t>start /low /b %USERPROFILE%\Documents\GitHub\eaglep3\Utilities\DownloadLogsFromS3.py --loco 4026 --day 2017-06-08</t>
  </si>
  <si>
    <t>start /low /b %USERPROFILE%\Documents\GitHub\eaglep3\Utilities\DownloadLogsFromS3.py --loco 4004 --day 2017-06-08</t>
  </si>
  <si>
    <t>start /low /b %USERPROFILE%\Documents\GitHub\eaglep3\Utilities\DownloadLogsFromS3.py --loco 4002 --day 2017-06-08</t>
  </si>
  <si>
    <t>start /low /b %USERPROFILE%\Documents\GitHub\eaglep3\Utilities\DownloadLogsFromS3.py --loco 4004 --day 2017-06-09</t>
  </si>
  <si>
    <t>start /low /b %USERPROFILE%\Documents\GitHub\eaglep3\Utilities\DownloadLogsFromS3.py --loco 4003 --day 2017-06-09</t>
  </si>
  <si>
    <t>start /low /b %USERPROFILE%\Documents\GitHub\eaglep3\Utilities\DownloadLogsFromS3.py --loco 4001 --day 2017-06-08</t>
  </si>
  <si>
    <t>start /low /b %USERPROFILE%\Documents\GitHub\eaglep3\Utilities\DownloadLogsFromS3.py --loco 4021 --day 2017-06-08</t>
  </si>
  <si>
    <t>start /low /b %USERPROFILE%\Documents\GitHub\eaglep3\Utilities\DownloadLogsFromS3.py --loco 4022 --day 2017-06-08</t>
  </si>
  <si>
    <t>start /low /b %USERPROFILE%\Documents\GitHub\eaglep3\Utilities\DownloadLogsFromS3.py --loco 4043 --day 2017-06-09</t>
  </si>
  <si>
    <t>start /low /b %USERPROFILE%\Documents\GitHub\eaglep3\Utilities\DownloadLogsFromS3.py --loco 4043 --day 2017-06-08</t>
  </si>
  <si>
    <t>start /low /b %USERPROFILE%\Documents\GitHub\eaglep3\Utilities\DownloadLogsFromS3.py --loco 4029 --day 2017-06-08</t>
  </si>
  <si>
    <t>start /low /b %USERPROFILE%\Documents\GitHub\eaglep3\Utilities\DownloadLogsFromS3.py --loco 4055 --day 2017-06-08</t>
  </si>
  <si>
    <t>start /low /b %USERPROFILE%\Documents\GitHub\eaglep3\Utilities\DownloadLogsFromS3.py --loco 4056 --day 2017-06-08</t>
  </si>
  <si>
    <t>start /low /b %USERPROFILE%\Documents\GitHub\eaglep3\Utilities\DownloadLogsFromS3.py --loco 4025 --day 2017-06-08</t>
  </si>
  <si>
    <t>start /low /b %USERPROFILE%\Documents\GitHub\eaglep3\Utilities\DownloadLogsFromS3.py --loco 4022 --day 2017-06-09</t>
  </si>
  <si>
    <t>start /low /b %USERPROFILE%\Documents\GitHub\eaglep3\Utilities\DownloadLogsFromS3.py --loco 4008 --day 2017-06-08</t>
  </si>
  <si>
    <t>start /low /b %USERPROFILE%\Documents\GitHub\eaglep3\Utilities\DownloadLogsFromS3.py --loco 4032 --day 2017-06-08</t>
  </si>
  <si>
    <t>start /low /b %USERPROFILE%\Documents\GitHub\eaglep3\Utilities\DownloadLogsFromS3.py --loco 4007 --day 2017-06-08</t>
  </si>
  <si>
    <t>start /low /b %USERPROFILE%\Documents\GitHub\eaglep3\Utilities\DownloadLogsFromS3.py --loco 4031 --day 2017-06-08</t>
  </si>
  <si>
    <t>Barricade test</t>
  </si>
  <si>
    <t>Onboard in-route failure</t>
  </si>
  <si>
    <t>Sable switch maintenance</t>
  </si>
  <si>
    <t>DAVIS WENDY</t>
  </si>
  <si>
    <t>Initialized too close to signal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</si>
</sst>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8"/>
  <sheetViews>
    <sheetView topLeftCell="A207" zoomScaleNormal="100" workbookViewId="0">
      <selection activeCell="V214" sqref="V214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42894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42894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47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COUNTIFS($N$13:$N$9323,"&gt;0",$AG$13:$AG$9323,I1)</f>
        <v>142</v>
      </c>
      <c r="K5" s="39"/>
      <c r="L5" s="39"/>
      <c r="M5" s="40">
        <f>AVERAGEIFS($N$13:$N$9323,$AG$13:$AG$9323,I1)</f>
        <v>37.731572770420136</v>
      </c>
      <c r="N5" s="38">
        <f t="array" ref="N5">MIN(IF($AG$13:$AG$9323=I1,IF(ISNUMBER($N$13:$N$9323),IF($N$13:$N$9323&gt;0,$N$13:$N$9323))))</f>
        <v>34.066666667349637</v>
      </c>
      <c r="O5" s="3">
        <f t="array" ref="O5">MAX(IF($AG$13:$AG$9323=I1,IF(ISNUMBER($N$13:$N$9323),IF($N$13:$N$9323&gt;0,$N$13:$N$9323))))</f>
        <v>44.216666672145948</v>
      </c>
      <c r="P5" s="2"/>
      <c r="R5" s="169" t="s">
        <v>17</v>
      </c>
      <c r="S5" s="193">
        <f>COUNTIFS($N$13:$N$9323,"&gt;0",$AG$13:$AG$9323,R1)</f>
        <v>47</v>
      </c>
      <c r="T5" s="194"/>
      <c r="U5" s="194"/>
      <c r="V5" s="190">
        <f>AVERAGEIFS($N$13:$N$9323,$AG$13:$AG$9323,R1)</f>
        <v>15.210283688130849</v>
      </c>
      <c r="W5" s="191">
        <f t="array" ref="W5">MIN(IF($AG$13:$AG$9323=R1,IF(ISNUMBER($N$13:$N$9323),IF($N$13:$N$9323&gt;0,$N$13:$N$9323))))</f>
        <v>12.849999996833503</v>
      </c>
      <c r="X5" s="192">
        <f t="array" ref="X5">MAX(IF($AG$13:$AG$9323=R1,IF(ISNUMBER($N$13:$N$9323),IF($N$13:$N$9323&gt;0,$N$13:$N$9323))))</f>
        <v>18.883333336561918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COUNT($O$13:$O$126)</f>
        <v>0</v>
      </c>
      <c r="K6" s="39"/>
      <c r="L6" s="39"/>
      <c r="M6" s="40">
        <f>IFERROR(AVERAGE($O$13:$O$126),0)</f>
        <v>0</v>
      </c>
      <c r="N6" s="38">
        <f>MIN($O$13:$O$126)</f>
        <v>0</v>
      </c>
      <c r="O6" s="3">
        <f>MAX($O$13:$O$126)</f>
        <v>0</v>
      </c>
      <c r="P6" s="2"/>
      <c r="R6" s="170" t="s">
        <v>43</v>
      </c>
      <c r="S6" s="193">
        <f>COUNT($O$13:$O$126)</f>
        <v>0</v>
      </c>
      <c r="T6" s="194"/>
      <c r="U6" s="194"/>
      <c r="V6" s="190">
        <f>IFERROR(AVERAGE($O$13:$O$126),0)</f>
        <v>0</v>
      </c>
      <c r="W6" s="191">
        <f>MIN($O$13:$O$126)</f>
        <v>0</v>
      </c>
      <c r="X6" s="192">
        <f>MAX($O$13:$O$126)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COUNTIFS($P$13:$P$9323,"&gt;0",$AG$13:$AG$9323,I1)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COUNTIFS($P$13:$P$9323,"&gt;0",$AG$13:$AG$9323,R1)</f>
        <v>0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142</v>
      </c>
      <c r="K8" s="39"/>
      <c r="L8" s="39"/>
      <c r="M8" s="40">
        <f>M5</f>
        <v>37.731572770420136</v>
      </c>
      <c r="N8" s="38">
        <f>N5</f>
        <v>34.066666667349637</v>
      </c>
      <c r="O8" s="3">
        <f>O5</f>
        <v>44.216666672145948</v>
      </c>
      <c r="P8" s="2"/>
      <c r="R8" s="169" t="s">
        <v>16</v>
      </c>
      <c r="S8" s="193">
        <f>S5</f>
        <v>47</v>
      </c>
      <c r="T8" s="194"/>
      <c r="U8" s="194"/>
      <c r="V8" s="190">
        <f>V5</f>
        <v>15.210283688130849</v>
      </c>
      <c r="W8" s="191">
        <f>W5</f>
        <v>12.849999996833503</v>
      </c>
      <c r="X8" s="192">
        <f>X5</f>
        <v>18.883333336561918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0.98611111111111116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1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- 2017-06-08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AVERAGE(S13:S98)</f>
        <v>1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651</v>
      </c>
      <c r="B13" s="7">
        <v>4022</v>
      </c>
      <c r="C13" s="21" t="s">
        <v>204</v>
      </c>
      <c r="D13" s="21" t="s">
        <v>345</v>
      </c>
      <c r="E13" s="13">
        <v>42894.129837962966</v>
      </c>
      <c r="F13" s="13">
        <v>42894.13559027778</v>
      </c>
      <c r="G13" s="7">
        <v>1</v>
      </c>
      <c r="H13" s="21" t="s">
        <v>460</v>
      </c>
      <c r="I13" s="13">
        <v>42894.160995370374</v>
      </c>
      <c r="J13" s="7">
        <v>0</v>
      </c>
      <c r="K13" s="92" t="str">
        <f t="shared" ref="K13:K76" si="0">IF(ISEVEN(B13),(B13-1)&amp;"/"&amp;B13,B13&amp;"/"&amp;(B13+1))</f>
        <v>4021/4022</v>
      </c>
      <c r="L13" s="21" t="str">
        <f>VLOOKUP(A13,'Trips&amp;Operators'!$C$1:$G$99999,5,FALSE)</f>
        <v>SPECTOR MICHAEL</v>
      </c>
      <c r="M13" s="6">
        <f t="shared" ref="M13:M76" si="1">I13-F13</f>
        <v>2.5405092594155576E-2</v>
      </c>
      <c r="N13" s="7">
        <f t="shared" ref="N13:N44" si="2">24*60*SUM($M13:$M13)</f>
        <v>36.58333333558403</v>
      </c>
      <c r="O13" s="7"/>
      <c r="P13" s="7"/>
      <c r="Q13" s="22"/>
      <c r="R13" s="173"/>
      <c r="S13" s="176">
        <f t="shared" ref="S13:S44" si="3">SUM(U13:U13)/IF(AG13="EC",12,1)</f>
        <v>1</v>
      </c>
      <c r="T13" s="202" t="str">
        <f t="shared" ref="T13:T76" si="4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-08T02:06:58-0600',mode:absolute,to:'2017-06-08T04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" s="204" t="str">
        <f t="shared" ref="W13:W76" si="6">IF(AA13&lt;IF(AG13="EC",23,5.65),"Y","N")</f>
        <v>N</v>
      </c>
      <c r="X13" s="204" t="e">
        <f t="shared" ref="X13:X44" si="7">VALUE(LEFT(AD13,4))-VALUE(LEFT(AD12,4))</f>
        <v>#VALUE!</v>
      </c>
      <c r="Y13" s="204">
        <f t="shared" ref="Y13:Y76" si="8">RIGHT(D13,LEN(D13)-4)/10000</f>
        <v>4.4900000000000002E-2</v>
      </c>
      <c r="Z13" s="204">
        <f t="shared" ref="Z13:Z76" si="9">RIGHT(H13,LEN(H13)-4)/10000</f>
        <v>23.331199999999999</v>
      </c>
      <c r="AA13" s="204">
        <f t="shared" ref="AA13:AA76" si="10">ABS(Z13-Y13)</f>
        <v>23.286300000000001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0101-08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s3://rtdc.mdm.uploadarchive.raw/RTDC4022/ "%USERPROFILE%\AppData\Local\Temp\OnboardLogs"\RTDC4022\2017-06-08 --exclude "*" --recursive --include "*20170608*" &amp; "%USERPROFILE%\Documents\GitHub\mrs-test-scripts\Headless Mode &amp; Sideloading\WalkAndUnGZ.bat" "%USERPROFILE%\AppData\Local\Temp\OnboardLogs"\RTDC4022\2017-06-08 &amp; 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/stypes="app*4022*20170608*"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4022 --swversion DE.1.0.9.0 --startMP 204:449 --initTime 2017-06-08T03:06:58 --startdatetime 2017-06-08T03:15:15 --delay 1 --endMP 204:233312 --enddatetime 2017-06-08T03:51:50 --enforcementcount 0 &gt;&gt;C:\Users\stu\Documents\GitHub\eaglep3-reporting\EC\2017-06-08-refined-times.txt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{"issue":{"subject":"","project_id":79,"tracker_id":40,"status_id":1,"priority_id":2,"assigned_to_id":23,"start_date":"2017-06-08","description":"","custom_fields":[{"id":1,"name":"Subdivision","value":"EC"},{"id":4,"name":"Milepost","value":"23.3312"},{"id":17,"name":"Train ID","value":"101-08"},{"id":16,"name":"Locomotive ID","value":"4022"},{"id":130,"name":"Impact","value":""},{"id":150,"name":"Time of Event (Mountain Time)","value":"03:51:50"},{"id":151,"name":"Denver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4022 --day 2017-06-08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09:51:50"},{"id":29,"name":"Sharepoint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655</v>
      </c>
      <c r="B14" s="7">
        <v>4021</v>
      </c>
      <c r="C14" s="21" t="s">
        <v>204</v>
      </c>
      <c r="D14" s="21" t="s">
        <v>532</v>
      </c>
      <c r="E14" s="13">
        <v>42894.164594907408</v>
      </c>
      <c r="F14" s="13">
        <v>42894.175173611111</v>
      </c>
      <c r="G14" s="7">
        <v>1</v>
      </c>
      <c r="H14" s="21" t="s">
        <v>401</v>
      </c>
      <c r="I14" s="13">
        <v>42894.202326388891</v>
      </c>
      <c r="J14" s="7">
        <v>0</v>
      </c>
      <c r="K14" s="92" t="str">
        <f t="shared" si="0"/>
        <v>4021/4022</v>
      </c>
      <c r="L14" s="21" t="str">
        <f>VLOOKUP(A14,'Trips&amp;Operators'!$C$1:$G$99999,5,FALSE)</f>
        <v>SPECTOR MICHAEL</v>
      </c>
      <c r="M14" s="6">
        <f t="shared" si="1"/>
        <v>2.715277778042946E-2</v>
      </c>
      <c r="N14" s="7">
        <f t="shared" si="2"/>
        <v>39.100000003818423</v>
      </c>
      <c r="O14" s="7"/>
      <c r="P14" s="7"/>
      <c r="Q14" s="22"/>
      <c r="R14" s="173"/>
      <c r="S14" s="176">
        <f t="shared" si="3"/>
        <v>1</v>
      </c>
      <c r="T14" s="202" t="str">
        <f t="shared" si="4"/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 t="shared" si="5"/>
        <v>https://d0f6bd738d7f1b3e5a7ca70fe4ff75f0.us-east-1.aws.found.io/app/kibana#/discover/Steve-Slow-Train-Analysis-(2080s-and-2083s)?_g=(refreshInterval:(display:Off,pause:!f,section:0,value:0),time:(from:'2017-06-08T02:57:01-0600',mode:absolute,to:'2017-06-08T05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" s="204" t="str">
        <f t="shared" si="6"/>
        <v>N</v>
      </c>
      <c r="X14" s="204">
        <f t="shared" si="7"/>
        <v>1</v>
      </c>
      <c r="Y14" s="204">
        <f t="shared" si="8"/>
        <v>23.298999999999999</v>
      </c>
      <c r="Z14" s="204">
        <f t="shared" si="9"/>
        <v>1.54E-2</v>
      </c>
      <c r="AA14" s="204">
        <f t="shared" si="10"/>
        <v>23.2836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0102-08</v>
      </c>
      <c r="AE14" s="80" t="str">
        <f t="shared" si="12"/>
        <v>aws s3 cp s3://rtdc.mdm.uploadarchive.raw/RTDC4021/ "%USERPROFILE%\AppData\Local\Temp\OnboardLogs"\RTDC4021\2017-06-08 --exclude "*" --recursive --include "*20170608*" &amp; "%USERPROFILE%\Documents\GitHub\mrs-test-scripts\Headless Mode &amp; Sideloading\WalkAndUnGZ.bat" "%USERPROFILE%\AppData\Local\Temp\OnboardLogs"\RTDC4021\2017-06-08 &amp; 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</v>
      </c>
      <c r="AF14" s="77" t="str">
        <f t="shared" si="13"/>
        <v>"C:\Program Files (x86)\AstroGrep\AstroGrep.exe" /e /r /s /spath="%USERPROFILE%\AppData\Local\Temp\OnboardLogs" /stypes="app*4021*20170608*"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4021 --swversion DE.1.0.9.0 --startMP 204:232990 --initTime 2017-06-08T03:57:01 --startdatetime 2017-06-08T04:12:15 --delay 1 --endMP 204:154 --enddatetime 2017-06-08T04:51:21 --enforcementcount 0 &gt;&gt;C:\Users\stu\Documents\GitHub\eaglep3-reporting\EC\2017-06-08-refined-times.txt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{"issue":{"subject":"","project_id":79,"tracker_id":40,"status_id":1,"priority_id":2,"assigned_to_id":23,"start_date":"2017-06-08","description":"","custom_fields":[{"id":1,"name":"Subdivision","value":"EC"},{"id":4,"name":"Milepost","value":"0.0154"},{"id":17,"name":"Train ID","value":"102-08"},{"id":16,"name":"Locomotive ID","value":"4021"},{"id":130,"name":"Impact","value":""},{"id":150,"name":"Time of Event (Mountain Time)","value":"04:51:21"},{"id":151,"name":"Denver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4021 --day 2017-06-08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10:51:21"},{"id":29,"name":"Sharepoint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653</v>
      </c>
      <c r="B15" s="7">
        <v>4056</v>
      </c>
      <c r="C15" s="21" t="s">
        <v>204</v>
      </c>
      <c r="D15" s="21" t="s">
        <v>530</v>
      </c>
      <c r="E15" s="13">
        <v>42894.15011574074</v>
      </c>
      <c r="F15" s="13">
        <v>42894.156909722224</v>
      </c>
      <c r="G15" s="7">
        <v>1</v>
      </c>
      <c r="H15" s="21" t="s">
        <v>591</v>
      </c>
      <c r="I15" s="13">
        <v>42894.182627314818</v>
      </c>
      <c r="J15" s="7">
        <v>0</v>
      </c>
      <c r="K15" s="92" t="str">
        <f t="shared" si="0"/>
        <v>4055/4056</v>
      </c>
      <c r="L15" s="21" t="str">
        <f>VLOOKUP(A15,'Trips&amp;Operators'!$C$1:$G$99999,5,FALSE)</f>
        <v>WILLIAMS DONTE</v>
      </c>
      <c r="M15" s="6">
        <f t="shared" si="1"/>
        <v>2.5717592594446614E-2</v>
      </c>
      <c r="N15" s="7">
        <f t="shared" si="2"/>
        <v>37.033333336003125</v>
      </c>
      <c r="O15" s="7"/>
      <c r="P15" s="7"/>
      <c r="Q15" s="22"/>
      <c r="R15" s="173"/>
      <c r="S15" s="176">
        <f t="shared" si="3"/>
        <v>1</v>
      </c>
      <c r="T15" s="202" t="str">
        <f t="shared" si="4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 t="shared" si="5"/>
        <v>https://d0f6bd738d7f1b3e5a7ca70fe4ff75f0.us-east-1.aws.found.io/app/kibana#/discover/Steve-Slow-Train-Analysis-(2080s-and-2083s)?_g=(refreshInterval:(display:Off,pause:!f,section:0,value:0),time:(from:'2017-06-08T02:36:10-0600',mode:absolute,to:'2017-06-08T05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" s="204" t="str">
        <f t="shared" si="6"/>
        <v>N</v>
      </c>
      <c r="X15" s="204">
        <f t="shared" si="7"/>
        <v>1</v>
      </c>
      <c r="Y15" s="204">
        <f t="shared" si="8"/>
        <v>4.3799999999999999E-2</v>
      </c>
      <c r="Z15" s="204">
        <f t="shared" si="9"/>
        <v>23.334</v>
      </c>
      <c r="AA15" s="204">
        <f t="shared" si="10"/>
        <v>23.290199999999999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0103-08</v>
      </c>
      <c r="AE15" s="80" t="str">
        <f t="shared" si="12"/>
        <v>aws s3 cp s3://rtdc.mdm.uploadarchive.raw/RTDC4056/ "%USERPROFILE%\AppData\Local\Temp\OnboardLogs"\RTDC4056\2017-06-08 --exclude "*" --recursive --include "*20170608*" &amp; "%USERPROFILE%\Documents\GitHub\mrs-test-scripts\Headless Mode &amp; Sideloading\WalkAndUnGZ.bat" "%USERPROFILE%\AppData\Local\Temp\OnboardLogs"\RTDC4056\2017-06-08 &amp; aws s3 cp s3://rtdc.mdm.uploadarchive.raw/RTDC4056/ "%USERPROFILE%\AppData\Local\Temp\OnboardLogs"\RTDC4056\2017-06-09 --exclude "*" --recursive --include "*20170609*" &amp; "%USERPROFILE%\Documents\GitHub\mrs-test-scripts\Headless Mode &amp; Sideloading\WalkAndUnGZ.bat" "%USERPROFILE%\AppData\Local\Temp\OnboardLogs"\RTDC4056\2017-06-09</v>
      </c>
      <c r="AF15" s="77" t="str">
        <f t="shared" si="13"/>
        <v>"C:\Program Files (x86)\AstroGrep\AstroGrep.exe" /e /r /s /spath="%USERPROFILE%\AppData\Local\Temp\OnboardLogs" /stypes="app*4056*20170608*"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103-08 --locoid 4056 --swversion DE.1.0.9.0 --startMP 204:438 --initTime 2017-06-08T03:36:10 --startdatetime 2017-06-08T03:45:57 --delay 1 --endMP 204:233340 --enddatetime 2017-06-08T04:22:59 --enforcementcount 0 &gt;&gt;C:\Users\stu\Documents\GitHub\eaglep3-reporting\EC\2017-06-08-refined-times.txt</v>
      </c>
      <c r="AI15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{"issue":{"subject":"","project_id":79,"tracker_id":40,"status_id":1,"priority_id":2,"assigned_to_id":23,"start_date":"2017-06-08","description":"","custom_fields":[{"id":1,"name":"Subdivision","value":"EC"},{"id":4,"name":"Milepost","value":"23.334"},{"id":17,"name":"Train ID","value":"103-08"},{"id":16,"name":"Locomotive ID","value":"4056"},{"id":130,"name":"Impact","value":""},{"id":150,"name":"Time of Event (Mountain Time)","value":"04:22:59"},{"id":151,"name":"Denver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4056 --day 2017-06-08</v>
      </c>
      <c r="AN15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10:22:59"},{"id":29,"name":"Sharepoint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659</v>
      </c>
      <c r="B16" s="7">
        <v>4055</v>
      </c>
      <c r="C16" s="21" t="s">
        <v>204</v>
      </c>
      <c r="D16" s="21" t="s">
        <v>573</v>
      </c>
      <c r="E16" s="13">
        <v>42894.184502314813</v>
      </c>
      <c r="F16" s="13">
        <v>42894.196122685185</v>
      </c>
      <c r="G16" s="7">
        <v>1</v>
      </c>
      <c r="H16" s="21" t="s">
        <v>352</v>
      </c>
      <c r="I16" s="13">
        <v>42894.224803240744</v>
      </c>
      <c r="J16" s="7">
        <v>0</v>
      </c>
      <c r="K16" s="92" t="str">
        <f t="shared" si="0"/>
        <v>4055/4056</v>
      </c>
      <c r="L16" s="21" t="str">
        <f>VLOOKUP(A16,'Trips&amp;Operators'!$C$1:$G$99999,5,FALSE)</f>
        <v>WILLIAMS DONTE</v>
      </c>
      <c r="M16" s="6">
        <f t="shared" si="1"/>
        <v>2.8680555558821652E-2</v>
      </c>
      <c r="N16" s="7">
        <f t="shared" si="2"/>
        <v>41.300000004703179</v>
      </c>
      <c r="O16" s="7"/>
      <c r="P16" s="7"/>
      <c r="Q16" s="22"/>
      <c r="R16" s="173"/>
      <c r="S16" s="176">
        <f t="shared" si="3"/>
        <v>1</v>
      </c>
      <c r="T16" s="202" t="str">
        <f t="shared" si="4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5"/>
        <v>https://d0f6bd738d7f1b3e5a7ca70fe4ff75f0.us-east-1.aws.found.io/app/kibana#/discover/Steve-Slow-Train-Analysis-(2080s-and-2083s)?_g=(refreshInterval:(display:Off,pause:!f,section:0,value:0),time:(from:'2017-06-08T03:25:41-0600',mode:absolute,to:'2017-06-08T06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" s="204" t="str">
        <f t="shared" si="6"/>
        <v>N</v>
      </c>
      <c r="X16" s="204">
        <f t="shared" si="7"/>
        <v>1</v>
      </c>
      <c r="Y16" s="204">
        <f t="shared" si="8"/>
        <v>23.299399999999999</v>
      </c>
      <c r="Z16" s="204">
        <f t="shared" si="9"/>
        <v>1.4999999999999999E-2</v>
      </c>
      <c r="AA16" s="204">
        <f t="shared" si="10"/>
        <v>23.284399999999998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0104-08</v>
      </c>
      <c r="AE16" s="80" t="str">
        <f t="shared" si="12"/>
        <v>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 &amp; aws s3 cp s3://rtdc.mdm.uploadarchive.raw/RTDC4055/ "%USERPROFILE%\AppData\Local\Temp\OnboardLogs"\RTDC4055\2017-06-09 --exclude "*" --recursive --include "*20170609*" &amp; "%USERPROFILE%\Documents\GitHub\mrs-test-scripts\Headless Mode &amp; Sideloading\WalkAndUnGZ.bat" "%USERPROFILE%\AppData\Local\Temp\OnboardLogs"\RTDC4055\2017-06-09</v>
      </c>
      <c r="AF16" s="77" t="str">
        <f t="shared" si="13"/>
        <v>"C:\Program Files (x86)\AstroGrep\AstroGrep.exe" /e /r /s /spath="%USERPROFILE%\AppData\Local\Temp\OnboardLogs" /stypes="app*4055*20170608*"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104-08 --locoid 4055 --swversion DE.1.0.9.0 --startMP 204:232994 --initTime 2017-06-08T04:25:41 --startdatetime 2017-06-08T04:42:25 --delay 1 --endMP 204:150 --enddatetime 2017-06-08T05:23:43 --enforcementcount 0 &gt;&gt;C:\Users\stu\Documents\GitHub\eaglep3-reporting\EC\2017-06-08-refined-times.txt</v>
      </c>
      <c r="AI16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{"issue":{"subject":"","project_id":79,"tracker_id":40,"status_id":1,"priority_id":2,"assigned_to_id":23,"start_date":"2017-06-08","description":"","custom_fields":[{"id":1,"name":"Subdivision","value":"EC"},{"id":4,"name":"Milepost","value":"0.015"},{"id":17,"name":"Train ID","value":"104-08"},{"id":16,"name":"Locomotive ID","value":"4055"},{"id":130,"name":"Impact","value":""},{"id":150,"name":"Time of Event (Mountain Time)","value":"05:23:43"},{"id":151,"name":"Denver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4055 --day 2017-06-08</v>
      </c>
      <c r="AN16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11:23:43"},{"id":29,"name":"Sharepoint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657</v>
      </c>
      <c r="B17" s="7">
        <v>4004</v>
      </c>
      <c r="C17" s="21" t="s">
        <v>204</v>
      </c>
      <c r="D17" s="21" t="s">
        <v>201</v>
      </c>
      <c r="E17" s="13">
        <v>42894.172314814816</v>
      </c>
      <c r="F17" s="13">
        <v>42894.177291666667</v>
      </c>
      <c r="G17" s="7">
        <v>1</v>
      </c>
      <c r="H17" s="21" t="s">
        <v>453</v>
      </c>
      <c r="I17" s="13">
        <v>42894.2031712963</v>
      </c>
      <c r="J17" s="7">
        <v>0</v>
      </c>
      <c r="K17" s="92" t="str">
        <f t="shared" si="0"/>
        <v>4003/4004</v>
      </c>
      <c r="L17" s="21" t="str">
        <f>VLOOKUP(A17,'Trips&amp;Operators'!$C$1:$G$99999,5,FALSE)</f>
        <v>BONDS REYNALDO</v>
      </c>
      <c r="M17" s="6">
        <f t="shared" si="1"/>
        <v>2.587962963298196E-2</v>
      </c>
      <c r="N17" s="7">
        <f t="shared" si="2"/>
        <v>37.266666671494022</v>
      </c>
      <c r="O17" s="7"/>
      <c r="P17" s="7"/>
      <c r="Q17" s="22"/>
      <c r="R17" s="173"/>
      <c r="S17" s="176">
        <f t="shared" si="3"/>
        <v>1</v>
      </c>
      <c r="T17" s="202" t="str">
        <f t="shared" si="4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5"/>
        <v>https://d0f6bd738d7f1b3e5a7ca70fe4ff75f0.us-east-1.aws.found.io/app/kibana#/discover/Steve-Slow-Train-Analysis-(2080s-and-2083s)?_g=(refreshInterval:(display:Off,pause:!f,section:0,value:0),time:(from:'2017-06-08T03:08:08-0600',mode:absolute,to:'2017-06-08T05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" s="204" t="str">
        <f t="shared" si="6"/>
        <v>N</v>
      </c>
      <c r="X17" s="204">
        <f t="shared" si="7"/>
        <v>1</v>
      </c>
      <c r="Y17" s="204">
        <f t="shared" si="8"/>
        <v>4.5999999999999999E-2</v>
      </c>
      <c r="Z17" s="204">
        <f t="shared" si="9"/>
        <v>23.329699999999999</v>
      </c>
      <c r="AA17" s="204">
        <f t="shared" si="10"/>
        <v>23.2837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0105-08</v>
      </c>
      <c r="AE17" s="80" t="str">
        <f t="shared" si="12"/>
        <v>aws s3 cp s3://rtdc.mdm.uploadarchive.raw/RTDC4004/ "%USERPROFILE%\AppData\Local\Temp\OnboardLogs"\RTDC4004\2017-06-08 --exclude "*" --recursive --include "*20170608*" &amp; "%USERPROFILE%\Documents\GitHub\mrs-test-scripts\Headless Mode &amp; Sideloading\WalkAndUnGZ.bat" "%USERPROFILE%\AppData\Local\Temp\OnboardLogs"\RTDC4004\2017-06-08 &amp; aws s3 cp s3://rtdc.mdm.uploadarchive.raw/RTDC4004/ "%USERPROFILE%\AppData\Local\Temp\OnboardLogs"\RTDC4004\2017-06-09 --exclude "*" --recursive --include "*20170609*" &amp; "%USERPROFILE%\Documents\GitHub\mrs-test-scripts\Headless Mode &amp; Sideloading\WalkAndUnGZ.bat" "%USERPROFILE%\AppData\Local\Temp\OnboardLogs"\RTDC4004\2017-06-09</v>
      </c>
      <c r="AF17" s="77" t="str">
        <f t="shared" si="13"/>
        <v>"C:\Program Files (x86)\AstroGrep\AstroGrep.exe" /e /r /s /spath="%USERPROFILE%\AppData\Local\Temp\OnboardLogs" /stypes="app*4004*20170608*"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105-08 --locoid 4004 --swversion DE.1.0.9.0 --startMP 204:460 --initTime 2017-06-08T04:08:08 --startdatetime 2017-06-08T04:15:18 --delay 1 --endMP 204:233297 --enddatetime 2017-06-08T04:52:34 --enforcementcount 0 &gt;&gt;C:\Users\stu\Documents\GitHub\eaglep3-reporting\EC\2017-06-08-refined-times.txt</v>
      </c>
      <c r="AI17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{"issue":{"subject":"","project_id":79,"tracker_id":40,"status_id":1,"priority_id":2,"assigned_to_id":23,"start_date":"2017-06-08","description":"","custom_fields":[{"id":1,"name":"Subdivision","value":"EC"},{"id":4,"name":"Milepost","value":"23.3297"},{"id":17,"name":"Train ID","value":"105-08"},{"id":16,"name":"Locomotive ID","value":"4004"},{"id":130,"name":"Impact","value":""},{"id":150,"name":"Time of Event (Mountain Time)","value":"04:52:34"},{"id":151,"name":"Denver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4004 --day 2017-06-08</v>
      </c>
      <c r="AN17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10:52:34"},{"id":29,"name":"Sharepoint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664</v>
      </c>
      <c r="B18" s="7">
        <v>4003</v>
      </c>
      <c r="C18" s="21" t="s">
        <v>204</v>
      </c>
      <c r="D18" s="21" t="s">
        <v>403</v>
      </c>
      <c r="E18" s="13">
        <v>42894.213101851848</v>
      </c>
      <c r="F18" s="13">
        <v>42894.216840277775</v>
      </c>
      <c r="G18" s="7">
        <v>1</v>
      </c>
      <c r="H18" s="21" t="s">
        <v>350</v>
      </c>
      <c r="I18" s="13">
        <v>42894.244710648149</v>
      </c>
      <c r="J18" s="7">
        <v>0</v>
      </c>
      <c r="K18" s="92" t="str">
        <f t="shared" si="0"/>
        <v>4003/4004</v>
      </c>
      <c r="L18" s="21" t="str">
        <f>VLOOKUP(A18,'Trips&amp;Operators'!$C$1:$G$99999,5,FALSE)</f>
        <v>BONDS REYNALDO</v>
      </c>
      <c r="M18" s="6">
        <f t="shared" si="1"/>
        <v>2.7870370373420883E-2</v>
      </c>
      <c r="N18" s="7">
        <f t="shared" si="2"/>
        <v>40.133333337726071</v>
      </c>
      <c r="O18" s="7"/>
      <c r="P18" s="7"/>
      <c r="Q18" s="22"/>
      <c r="R18" s="173"/>
      <c r="S18" s="176">
        <f t="shared" si="3"/>
        <v>1</v>
      </c>
      <c r="T18" s="202" t="str">
        <f t="shared" si="4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5"/>
        <v>https://d0f6bd738d7f1b3e5a7ca70fe4ff75f0.us-east-1.aws.found.io/app/kibana#/discover/Steve-Slow-Train-Analysis-(2080s-and-2083s)?_g=(refreshInterval:(display:Off,pause:!f,section:0,value:0),time:(from:'2017-06-08T04:06:52-0600',mode:absolute,to:'2017-06-08T06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" s="204" t="str">
        <f t="shared" si="6"/>
        <v>N</v>
      </c>
      <c r="X18" s="204">
        <f t="shared" si="7"/>
        <v>1</v>
      </c>
      <c r="Y18" s="204">
        <f t="shared" si="8"/>
        <v>23.298200000000001</v>
      </c>
      <c r="Z18" s="204">
        <f t="shared" si="9"/>
        <v>1.6E-2</v>
      </c>
      <c r="AA18" s="204">
        <f t="shared" si="10"/>
        <v>23.282200000000003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0106-08</v>
      </c>
      <c r="AE18" s="80" t="str">
        <f t="shared" si="12"/>
        <v>aws s3 cp s3://rtdc.mdm.uploadarchive.raw/RTDC4003/ "%USERPROFILE%\AppData\Local\Temp\OnboardLogs"\RTDC4003\2017-06-08 --exclude "*" --recursive --include "*20170608*" &amp; "%USERPROFILE%\Documents\GitHub\mrs-test-scripts\Headless Mode &amp; Sideloading\WalkAndUnGZ.bat" "%USERPROFILE%\AppData\Local\Temp\OnboardLogs"\RTDC4003\2017-06-08 &amp; aws s3 cp s3://rtdc.mdm.uploadarchive.raw/RTDC4003/ "%USERPROFILE%\AppData\Local\Temp\OnboardLogs"\RTDC4003\2017-06-09 --exclude "*" --recursive --include "*20170609*" &amp; "%USERPROFILE%\Documents\GitHub\mrs-test-scripts\Headless Mode &amp; Sideloading\WalkAndUnGZ.bat" "%USERPROFILE%\AppData\Local\Temp\OnboardLogs"\RTDC4003\2017-06-09</v>
      </c>
      <c r="AF18" s="77" t="str">
        <f t="shared" si="13"/>
        <v>"C:\Program Files (x86)\AstroGrep\AstroGrep.exe" /e /r /s /spath="%USERPROFILE%\AppData\Local\Temp\OnboardLogs" /stypes="app*4003*20170608*"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106-08 --locoid 4003 --swversion DE.1.0.9.0 --startMP 204:232982 --initTime 2017-06-08T05:06:52 --startdatetime 2017-06-08T05:12:15 --delay 1 --endMP 204:160 --enddatetime 2017-06-08T05:52:23 --enforcementcount 0 &gt;&gt;C:\Users\stu\Documents\GitHub\eaglep3-reporting\EC\2017-06-08-refined-times.txt</v>
      </c>
      <c r="AI18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{"issue":{"subject":"","project_id":79,"tracker_id":40,"status_id":1,"priority_id":2,"assigned_to_id":23,"start_date":"2017-06-08","description":"","custom_fields":[{"id":1,"name":"Subdivision","value":"EC"},{"id":4,"name":"Milepost","value":"0.016"},{"id":17,"name":"Train ID","value":"106-08"},{"id":16,"name":"Locomotive ID","value":"4003"},{"id":130,"name":"Impact","value":""},{"id":150,"name":"Time of Event (Mountain Time)","value":"05:52:23"},{"id":151,"name":"Denver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4003 --day 2017-06-08</v>
      </c>
      <c r="AN18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11:52:23"},{"id":29,"name":"Sharepoint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658</v>
      </c>
      <c r="B19" s="7">
        <v>4002</v>
      </c>
      <c r="C19" s="21" t="s">
        <v>204</v>
      </c>
      <c r="D19" s="21" t="s">
        <v>368</v>
      </c>
      <c r="E19" s="13">
        <v>42894.182847222219</v>
      </c>
      <c r="F19" s="13">
        <v>42894.187731481485</v>
      </c>
      <c r="G19" s="7">
        <v>1</v>
      </c>
      <c r="H19" s="21" t="s">
        <v>531</v>
      </c>
      <c r="I19" s="13">
        <v>42894.212731481479</v>
      </c>
      <c r="J19" s="7">
        <v>0</v>
      </c>
      <c r="K19" s="92" t="str">
        <f t="shared" si="0"/>
        <v>4001/4002</v>
      </c>
      <c r="L19" s="21" t="str">
        <f>VLOOKUP(A19,'Trips&amp;Operators'!$C$1:$G$99999,5,FALSE)</f>
        <v>GEBRETEKLE DAGNEW</v>
      </c>
      <c r="M19" s="6">
        <f t="shared" si="1"/>
        <v>2.4999999994179234E-2</v>
      </c>
      <c r="N19" s="7">
        <f t="shared" si="2"/>
        <v>35.999999991618097</v>
      </c>
      <c r="O19" s="7"/>
      <c r="P19" s="7"/>
      <c r="Q19" s="22"/>
      <c r="R19" s="173"/>
      <c r="S19" s="176">
        <f t="shared" si="3"/>
        <v>1</v>
      </c>
      <c r="T19" s="202" t="str">
        <f t="shared" si="4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5"/>
        <v>https://d0f6bd738d7f1b3e5a7ca70fe4ff75f0.us-east-1.aws.found.io/app/kibana#/discover/Steve-Slow-Train-Analysis-(2080s-and-2083s)?_g=(refreshInterval:(display:Off,pause:!f,section:0,value:0),time:(from:'2017-06-08T03:23:18-0600',mode:absolute,to:'2017-06-08T06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" s="204" t="str">
        <f t="shared" si="6"/>
        <v>N</v>
      </c>
      <c r="X19" s="204">
        <f t="shared" si="7"/>
        <v>1</v>
      </c>
      <c r="Y19" s="204">
        <f t="shared" si="8"/>
        <v>4.5499999999999999E-2</v>
      </c>
      <c r="Z19" s="204">
        <f t="shared" si="9"/>
        <v>23.334199999999999</v>
      </c>
      <c r="AA19" s="204">
        <f t="shared" si="10"/>
        <v>23.288699999999999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0107-08</v>
      </c>
      <c r="AE19" s="80" t="str">
        <f t="shared" si="12"/>
        <v>aws s3 cp s3://rtdc.mdm.uploadarchive.raw/RTDC4002/ "%USERPROFILE%\AppData\Local\Temp\OnboardLogs"\RTDC4002\2017-06-08 --exclude "*" --recursive --include "*20170608*" &amp; "%USERPROFILE%\Documents\GitHub\mrs-test-scripts\Headless Mode &amp; Sideloading\WalkAndUnGZ.bat" "%USERPROFILE%\AppData\Local\Temp\OnboardLogs"\RTDC4002\2017-06-08 &amp; aws s3 cp s3://rtdc.mdm.uploadarchive.raw/RTDC4002/ "%USERPROFILE%\AppData\Local\Temp\OnboardLogs"\RTDC4002\2017-06-09 --exclude "*" --recursive --include "*20170609*" &amp; "%USERPROFILE%\Documents\GitHub\mrs-test-scripts\Headless Mode &amp; Sideloading\WalkAndUnGZ.bat" "%USERPROFILE%\AppData\Local\Temp\OnboardLogs"\RTDC4002\2017-06-09</v>
      </c>
      <c r="AF19" s="77" t="str">
        <f t="shared" si="13"/>
        <v>"C:\Program Files (x86)\AstroGrep\AstroGrep.exe" /e /r /s /spath="%USERPROFILE%\AppData\Local\Temp\OnboardLogs" /stypes="app*4002*20170608*"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107-08 --locoid 4002 --swversion DE.1.0.9.0 --startMP 204:455 --initTime 2017-06-08T04:23:18 --startdatetime 2017-06-08T04:30:20 --delay 1 --endMP 204:233342 --enddatetime 2017-06-08T05:06:20 --enforcementcount 0 &gt;&gt;C:\Users\stu\Documents\GitHub\eaglep3-reporting\EC\2017-06-08-refined-times.txt</v>
      </c>
      <c r="AI19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{"issue":{"subject":"","project_id":79,"tracker_id":40,"status_id":1,"priority_id":2,"assigned_to_id":23,"start_date":"2017-06-08","description":"","custom_fields":[{"id":1,"name":"Subdivision","value":"EC"},{"id":4,"name":"Milepost","value":"23.3342"},{"id":17,"name":"Train ID","value":"107-08"},{"id":16,"name":"Locomotive ID","value":"4002"},{"id":130,"name":"Impact","value":""},{"id":150,"name":"Time of Event (Mountain Time)","value":"05:06:20"},{"id":151,"name":"Denver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4002 --day 2017-06-08</v>
      </c>
      <c r="AN19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11:06:20"},{"id":29,"name":"Sharepoint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665</v>
      </c>
      <c r="B20" s="7">
        <v>4001</v>
      </c>
      <c r="C20" s="21" t="s">
        <v>204</v>
      </c>
      <c r="D20" s="21" t="s">
        <v>839</v>
      </c>
      <c r="E20" s="13">
        <v>42894.214074074072</v>
      </c>
      <c r="F20" s="13">
        <v>42894.227280092593</v>
      </c>
      <c r="G20" s="7">
        <v>1</v>
      </c>
      <c r="H20" s="21" t="s">
        <v>353</v>
      </c>
      <c r="I20" s="13">
        <v>42894.254652777781</v>
      </c>
      <c r="J20" s="7">
        <v>0</v>
      </c>
      <c r="K20" s="92" t="str">
        <f t="shared" si="0"/>
        <v>4001/4002</v>
      </c>
      <c r="L20" s="21" t="str">
        <f>VLOOKUP(A20,'Trips&amp;Operators'!$C$1:$G$99999,5,FALSE)</f>
        <v>GEBRETEKLE DAGNEW</v>
      </c>
      <c r="M20" s="6">
        <f t="shared" si="1"/>
        <v>2.7372685188311152E-2</v>
      </c>
      <c r="N20" s="7">
        <f t="shared" si="2"/>
        <v>39.416666671168059</v>
      </c>
      <c r="O20" s="7"/>
      <c r="P20" s="7"/>
      <c r="Q20" s="22"/>
      <c r="R20" s="173"/>
      <c r="S20" s="176">
        <f t="shared" si="3"/>
        <v>1</v>
      </c>
      <c r="T20" s="202" t="str">
        <f t="shared" si="4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5"/>
        <v>https://d0f6bd738d7f1b3e5a7ca70fe4ff75f0.us-east-1.aws.found.io/app/kibana#/discover/Steve-Slow-Train-Analysis-(2080s-and-2083s)?_g=(refreshInterval:(display:Off,pause:!f,section:0,value:0),time:(from:'2017-06-08T04:08:16-0600',mode:absolute,to:'2017-06-08T07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" s="204" t="str">
        <f t="shared" si="6"/>
        <v>N</v>
      </c>
      <c r="X20" s="204">
        <f t="shared" si="7"/>
        <v>1</v>
      </c>
      <c r="Y20" s="204">
        <f t="shared" si="8"/>
        <v>23.3017</v>
      </c>
      <c r="Z20" s="204">
        <f t="shared" si="9"/>
        <v>1.49E-2</v>
      </c>
      <c r="AA20" s="204">
        <f t="shared" si="10"/>
        <v>23.286799999999999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0108-08</v>
      </c>
      <c r="AE20" s="80" t="str">
        <f t="shared" si="12"/>
        <v>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 &amp; aws s3 cp s3://rtdc.mdm.uploadarchive.raw/RTDC4001/ "%USERPROFILE%\AppData\Local\Temp\OnboardLogs"\RTDC4001\2017-06-09 --exclude "*" --recursive --include "*20170609*" &amp; "%USERPROFILE%\Documents\GitHub\mrs-test-scripts\Headless Mode &amp; Sideloading\WalkAndUnGZ.bat" "%USERPROFILE%\AppData\Local\Temp\OnboardLogs"\RTDC4001\2017-06-09</v>
      </c>
      <c r="AF20" s="77" t="str">
        <f t="shared" si="13"/>
        <v>"C:\Program Files (x86)\AstroGrep\AstroGrep.exe" /e /r /s /spath="%USERPROFILE%\AppData\Local\Temp\OnboardLogs" /stypes="app*4001*20170608*"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108-08 --locoid 4001 --swversion DE.1.0.9.0 --startMP 204:233017 --initTime 2017-06-08T05:08:16 --startdatetime 2017-06-08T05:27:17 --delay 1 --endMP 204:149 --enddatetime 2017-06-08T06:06:42 --enforcementcount 0 &gt;&gt;C:\Users\stu\Documents\GitHub\eaglep3-reporting\EC\2017-06-08-refined-times.txt</v>
      </c>
      <c r="AI20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{"issue":{"subject":"","project_id":79,"tracker_id":40,"status_id":1,"priority_id":2,"assigned_to_id":23,"start_date":"2017-06-08","description":"","custom_fields":[{"id":1,"name":"Subdivision","value":"EC"},{"id":4,"name":"Milepost","value":"0.0149"},{"id":17,"name":"Train ID","value":"108-08"},{"id":16,"name":"Locomotive ID","value":"4001"},{"id":130,"name":"Impact","value":""},{"id":150,"name":"Time of Event (Mountain Time)","value":"06:06:42"},{"id":151,"name":"Denver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4001 --day 2017-06-08</v>
      </c>
      <c r="AN20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12:06:42"},{"id":29,"name":"Sharepoint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661</v>
      </c>
      <c r="B21" s="7">
        <v>4030</v>
      </c>
      <c r="C21" s="21" t="s">
        <v>204</v>
      </c>
      <c r="D21" s="21" t="s">
        <v>355</v>
      </c>
      <c r="E21" s="13">
        <v>42894.193530092591</v>
      </c>
      <c r="F21" s="13">
        <v>42894.198101851849</v>
      </c>
      <c r="G21" s="7">
        <v>1</v>
      </c>
      <c r="H21" s="21" t="s">
        <v>460</v>
      </c>
      <c r="I21" s="13">
        <v>42894.223217592589</v>
      </c>
      <c r="J21" s="7">
        <v>0</v>
      </c>
      <c r="K21" s="92" t="str">
        <f t="shared" si="0"/>
        <v>4029/4030</v>
      </c>
      <c r="L21" s="21" t="str">
        <f>VLOOKUP(A21,'Trips&amp;Operators'!$C$1:$G$99999,5,FALSE)</f>
        <v>GUZMAN DANNY</v>
      </c>
      <c r="M21" s="6">
        <f t="shared" si="1"/>
        <v>2.5115740740147885E-2</v>
      </c>
      <c r="N21" s="7">
        <f t="shared" si="2"/>
        <v>36.166666665812954</v>
      </c>
      <c r="O21" s="7"/>
      <c r="P21" s="7"/>
      <c r="Q21" s="22"/>
      <c r="R21" s="173"/>
      <c r="S21" s="176">
        <f t="shared" si="3"/>
        <v>1</v>
      </c>
      <c r="T21" s="202" t="str">
        <f t="shared" si="4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5"/>
        <v>https://d0f6bd738d7f1b3e5a7ca70fe4ff75f0.us-east-1.aws.found.io/app/kibana#/discover/Steve-Slow-Train-Analysis-(2080s-and-2083s)?_g=(refreshInterval:(display:Off,pause:!f,section:0,value:0),time:(from:'2017-06-08T03:38:41-0600',mode:absolute,to:'2017-06-08T06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" s="204" t="str">
        <f t="shared" si="6"/>
        <v>N</v>
      </c>
      <c r="X21" s="204">
        <f t="shared" si="7"/>
        <v>1</v>
      </c>
      <c r="Y21" s="204">
        <f t="shared" si="8"/>
        <v>4.6600000000000003E-2</v>
      </c>
      <c r="Z21" s="204">
        <f t="shared" si="9"/>
        <v>23.331199999999999</v>
      </c>
      <c r="AA21" s="204">
        <f t="shared" si="10"/>
        <v>23.284599999999998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0109-08</v>
      </c>
      <c r="AE21" s="80" t="str">
        <f t="shared" si="12"/>
        <v>aws s3 cp s3://rtdc.mdm.uploadarchive.raw/RTDC4030/ "%USERPROFILE%\AppData\Local\Temp\OnboardLogs"\RTDC4030\2017-06-08 --exclude "*" --recursive --include "*20170608*" &amp; "%USERPROFILE%\Documents\GitHub\mrs-test-scripts\Headless Mode &amp; Sideloading\WalkAndUnGZ.bat" "%USERPROFILE%\AppData\Local\Temp\OnboardLogs"\RTDC4030\2017-06-08 &amp; 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</v>
      </c>
      <c r="AF21" s="77" t="str">
        <f t="shared" si="13"/>
        <v>"C:\Program Files (x86)\AstroGrep\AstroGrep.exe" /e /r /s /spath="%USERPROFILE%\AppData\Local\Temp\OnboardLogs" /stypes="app*4030*20170608*"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109-08 --locoid 4030 --swversion DE.1.0.9.0 --startMP 204:466 --initTime 2017-06-08T04:38:41 --startdatetime 2017-06-08T04:45:16 --delay 1 --endMP 204:233312 --enddatetime 2017-06-08T05:21:26 --enforcementcount 0 &gt;&gt;C:\Users\stu\Documents\GitHub\eaglep3-reporting\EC\2017-06-08-refined-times.txt</v>
      </c>
      <c r="AI21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{"issue":{"subject":"","project_id":79,"tracker_id":40,"status_id":1,"priority_id":2,"assigned_to_id":23,"start_date":"2017-06-08","description":"","custom_fields":[{"id":1,"name":"Subdivision","value":"EC"},{"id":4,"name":"Milepost","value":"23.3312"},{"id":17,"name":"Train ID","value":"109-08"},{"id":16,"name":"Locomotive ID","value":"4030"},{"id":130,"name":"Impact","value":""},{"id":150,"name":"Time of Event (Mountain Time)","value":"05:21:26"},{"id":151,"name":"Denver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4030 --day 2017-06-08</v>
      </c>
      <c r="AN21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11:21:26"},{"id":29,"name":"Sharepoint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668</v>
      </c>
      <c r="B22" s="7">
        <v>4029</v>
      </c>
      <c r="C22" s="21" t="s">
        <v>204</v>
      </c>
      <c r="D22" s="21" t="s">
        <v>840</v>
      </c>
      <c r="E22" s="13">
        <v>42894.225648148145</v>
      </c>
      <c r="F22" s="13">
        <v>42894.237916666665</v>
      </c>
      <c r="G22" s="7">
        <v>1</v>
      </c>
      <c r="H22" s="21" t="s">
        <v>196</v>
      </c>
      <c r="I22" s="13">
        <v>42894.265324074076</v>
      </c>
      <c r="J22" s="7">
        <v>0</v>
      </c>
      <c r="K22" s="92" t="str">
        <f t="shared" si="0"/>
        <v>4029/4030</v>
      </c>
      <c r="L22" s="21" t="str">
        <f>VLOOKUP(A22,'Trips&amp;Operators'!$C$1:$G$99999,5,FALSE)</f>
        <v>GUZMAN DANNY</v>
      </c>
      <c r="M22" s="6">
        <f t="shared" si="1"/>
        <v>2.7407407411374152E-2</v>
      </c>
      <c r="N22" s="7">
        <f t="shared" si="2"/>
        <v>39.466666672378778</v>
      </c>
      <c r="O22" s="7"/>
      <c r="P22" s="7"/>
      <c r="Q22" s="22"/>
      <c r="R22" s="173"/>
      <c r="S22" s="176">
        <f t="shared" si="3"/>
        <v>1</v>
      </c>
      <c r="T22" s="202" t="str">
        <f t="shared" si="4"/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5"/>
        <v>https://d0f6bd738d7f1b3e5a7ca70fe4ff75f0.us-east-1.aws.found.io/app/kibana#/discover/Steve-Slow-Train-Analysis-(2080s-and-2083s)?_g=(refreshInterval:(display:Off,pause:!f,section:0,value:0),time:(from:'2017-06-08T04:24:56-0600',mode:absolute,to:'2017-06-08T07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" s="204" t="str">
        <f t="shared" si="6"/>
        <v>N</v>
      </c>
      <c r="X22" s="204">
        <f t="shared" si="7"/>
        <v>1</v>
      </c>
      <c r="Y22" s="204">
        <f t="shared" si="8"/>
        <v>23.299800000000001</v>
      </c>
      <c r="Z22" s="204">
        <f t="shared" si="9"/>
        <v>1.5800000000000002E-2</v>
      </c>
      <c r="AA22" s="204">
        <f t="shared" si="10"/>
        <v>23.284000000000002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0110-08</v>
      </c>
      <c r="AE22" s="80" t="str">
        <f t="shared" si="12"/>
        <v>aws s3 cp s3://rtdc.mdm.uploadarchive.raw/RTDC4029/ "%USERPROFILE%\AppData\Local\Temp\OnboardLogs"\RTDC4029\2017-06-08 --exclude "*" --recursive --include "*20170608*" &amp; "%USERPROFILE%\Documents\GitHub\mrs-test-scripts\Headless Mode &amp; Sideloading\WalkAndUnGZ.bat" "%USERPROFILE%\AppData\Local\Temp\OnboardLogs"\RTDC4029\2017-06-08 &amp; 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</v>
      </c>
      <c r="AF22" s="77" t="str">
        <f t="shared" si="13"/>
        <v>"C:\Program Files (x86)\AstroGrep\AstroGrep.exe" /e /r /s /spath="%USERPROFILE%\AppData\Local\Temp\OnboardLogs" /stypes="app*4029*20170608*"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110-08 --locoid 4029 --swversion DE.1.0.9.0 --startMP 204:232998 --initTime 2017-06-08T05:24:56 --startdatetime 2017-06-08T05:42:36 --delay 1 --endMP 204:158 --enddatetime 2017-06-08T06:22:04 --enforcementcount 0 &gt;&gt;C:\Users\stu\Documents\GitHub\eaglep3-reporting\EC\2017-06-08-refined-times.txt</v>
      </c>
      <c r="AI22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{"issue":{"subject":"","project_id":79,"tracker_id":40,"status_id":1,"priority_id":2,"assigned_to_id":23,"start_date":"2017-06-08","description":"","custom_fields":[{"id":1,"name":"Subdivision","value":"EC"},{"id":4,"name":"Milepost","value":"0.0158"},{"id":17,"name":"Train ID","value":"110-08"},{"id":16,"name":"Locomotive ID","value":"4029"},{"id":130,"name":"Impact","value":""},{"id":150,"name":"Time of Event (Mountain Time)","value":"06:22:04"},{"id":151,"name":"Denver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4029 --day 2017-06-08</v>
      </c>
      <c r="AN22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12:22:04"},{"id":29,"name":"Sharepoint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612</v>
      </c>
      <c r="B23" s="7">
        <v>4022</v>
      </c>
      <c r="C23" s="21" t="s">
        <v>204</v>
      </c>
      <c r="D23" s="21" t="s">
        <v>200</v>
      </c>
      <c r="E23" s="13">
        <v>42894.204317129632</v>
      </c>
      <c r="F23" s="13">
        <v>42894.208796296298</v>
      </c>
      <c r="G23" s="7">
        <v>1</v>
      </c>
      <c r="H23" s="21" t="s">
        <v>508</v>
      </c>
      <c r="I23" s="13">
        <v>42894.236041666663</v>
      </c>
      <c r="J23" s="7">
        <v>0</v>
      </c>
      <c r="K23" s="92" t="str">
        <f t="shared" si="0"/>
        <v>4021/4022</v>
      </c>
      <c r="L23" s="21" t="str">
        <f>VLOOKUP(A23,'Trips&amp;Operators'!$C$1:$G$99999,5,FALSE)</f>
        <v>STARKS ANGELINA</v>
      </c>
      <c r="M23" s="6">
        <f t="shared" si="1"/>
        <v>2.7245370365562849E-2</v>
      </c>
      <c r="N23" s="7">
        <f t="shared" si="2"/>
        <v>39.233333326410502</v>
      </c>
      <c r="O23" s="7"/>
      <c r="P23" s="7"/>
      <c r="Q23" s="22"/>
      <c r="R23" s="173"/>
      <c r="S23" s="176">
        <f t="shared" si="3"/>
        <v>1</v>
      </c>
      <c r="T23" s="202" t="str">
        <f t="shared" si="4"/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5"/>
        <v>https://d0f6bd738d7f1b3e5a7ca70fe4ff75f0.us-east-1.aws.found.io/app/kibana#/discover/Steve-Slow-Train-Analysis-(2080s-and-2083s)?_g=(refreshInterval:(display:Off,pause:!f,section:0,value:0),time:(from:'2017-06-08T03:54:13-0600',mode:absolute,to:'2017-06-08T06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" s="204" t="str">
        <f t="shared" si="6"/>
        <v>N</v>
      </c>
      <c r="X23" s="204">
        <f t="shared" si="7"/>
        <v>1</v>
      </c>
      <c r="Y23" s="204">
        <f t="shared" si="8"/>
        <v>4.5699999999999998E-2</v>
      </c>
      <c r="Z23" s="204">
        <f t="shared" si="9"/>
        <v>23.329799999999999</v>
      </c>
      <c r="AA23" s="204">
        <f t="shared" si="10"/>
        <v>23.284099999999999</v>
      </c>
      <c r="AB23" s="57" t="str">
        <f>VLOOKUP(A23,Enforcements!$C$7:$K$13,8,0)</f>
        <v>Bulletin (2)</v>
      </c>
      <c r="AC23" s="53" t="str">
        <f>VLOOKUP(A23,Enforcements!$C$7:$E$13,3,0)</f>
        <v>GRADE CROSSING</v>
      </c>
      <c r="AD23" s="54" t="str">
        <f t="shared" si="11"/>
        <v>0111-08</v>
      </c>
      <c r="AE23" s="80" t="str">
        <f t="shared" si="12"/>
        <v>aws s3 cp s3://rtdc.mdm.uploadarchive.raw/RTDC4022/ "%USERPROFILE%\AppData\Local\Temp\OnboardLogs"\RTDC4022\2017-06-08 --exclude "*" --recursive --include "*20170608*" &amp; "%USERPROFILE%\Documents\GitHub\mrs-test-scripts\Headless Mode &amp; Sideloading\WalkAndUnGZ.bat" "%USERPROFILE%\AppData\Local\Temp\OnboardLogs"\RTDC4022\2017-06-08 &amp; 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</v>
      </c>
      <c r="AF23" s="77" t="str">
        <f t="shared" si="13"/>
        <v>"C:\Program Files (x86)\AstroGrep\AstroGrep.exe" /e /r /s /spath="%USERPROFILE%\AppData\Local\Temp\OnboardLogs" /stypes="app*4022*20170608*"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111-08 --locoid 4022 --swversion DE.1.0.9.0 --startMP 204:457 --initTime 2017-06-08T04:54:13 --startdatetime 2017-06-08T05:00:40 --delay 1 --endMP 204:233298 --enddatetime 2017-06-08T05:39:54 --enforcementcount 0 &gt;&gt;C:\Users\stu\Documents\GitHub\eaglep3-reporting\EC\2017-06-08-refined-times.txt</v>
      </c>
      <c r="AI23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{"issue":{"subject":"","project_id":79,"tracker_id":40,"status_id":1,"priority_id":2,"assigned_to_id":23,"start_date":"2017-06-08","description":"","custom_fields":[{"id":1,"name":"Subdivision","value":"EC"},{"id":4,"name":"Milepost","value":"23.3298"},{"id":17,"name":"Train ID","value":"111-08"},{"id":16,"name":"Locomotive ID","value":"4022"},{"id":130,"name":"Impact","value":""},{"id":150,"name":"Time of Event (Mountain Time)","value":"05:39:54"},{"id":151,"name":"Denver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4022 --day 2017-06-08</v>
      </c>
      <c r="AN23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11:39:54"},{"id":29,"name":"Sharepoint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670</v>
      </c>
      <c r="B24" s="7">
        <v>4021</v>
      </c>
      <c r="C24" s="21" t="s">
        <v>204</v>
      </c>
      <c r="D24" s="21" t="s">
        <v>840</v>
      </c>
      <c r="E24" s="13">
        <v>42894.237881944442</v>
      </c>
      <c r="F24" s="13">
        <v>42894.248067129629</v>
      </c>
      <c r="G24" s="7">
        <v>1</v>
      </c>
      <c r="H24" s="21" t="s">
        <v>458</v>
      </c>
      <c r="I24" s="13">
        <v>42894.277048611111</v>
      </c>
      <c r="J24" s="7">
        <v>0</v>
      </c>
      <c r="K24" s="92" t="str">
        <f t="shared" si="0"/>
        <v>4021/4022</v>
      </c>
      <c r="L24" s="21" t="str">
        <f>VLOOKUP(A24,'Trips&amp;Operators'!$C$1:$G$99999,5,FALSE)</f>
        <v>STARKS ANGELINA</v>
      </c>
      <c r="M24" s="6">
        <f t="shared" si="1"/>
        <v>2.8981481482333038E-2</v>
      </c>
      <c r="N24" s="7">
        <f t="shared" si="2"/>
        <v>41.733333334559575</v>
      </c>
      <c r="O24" s="7"/>
      <c r="P24" s="7"/>
      <c r="Q24" s="22"/>
      <c r="R24" s="173"/>
      <c r="S24" s="176">
        <f t="shared" si="3"/>
        <v>1</v>
      </c>
      <c r="T24" s="202" t="str">
        <f t="shared" si="4"/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5"/>
        <v>https://d0f6bd738d7f1b3e5a7ca70fe4ff75f0.us-east-1.aws.found.io/app/kibana#/discover/Steve-Slow-Train-Analysis-(2080s-and-2083s)?_g=(refreshInterval:(display:Off,pause:!f,section:0,value:0),time:(from:'2017-06-08T04:42:33-0600',mode:absolute,to:'2017-06-08T07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" s="204" t="str">
        <f t="shared" si="6"/>
        <v>N</v>
      </c>
      <c r="X24" s="204">
        <f t="shared" si="7"/>
        <v>1</v>
      </c>
      <c r="Y24" s="204">
        <f t="shared" si="8"/>
        <v>23.299800000000001</v>
      </c>
      <c r="Z24" s="204">
        <f t="shared" si="9"/>
        <v>1.38E-2</v>
      </c>
      <c r="AA24" s="204">
        <f t="shared" si="10"/>
        <v>23.286000000000001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0112-08</v>
      </c>
      <c r="AE24" s="80" t="str">
        <f t="shared" si="12"/>
        <v>aws s3 cp s3://rtdc.mdm.uploadarchive.raw/RTDC4021/ "%USERPROFILE%\AppData\Local\Temp\OnboardLogs"\RTDC4021\2017-06-08 --exclude "*" --recursive --include "*20170608*" &amp; "%USERPROFILE%\Documents\GitHub\mrs-test-scripts\Headless Mode &amp; Sideloading\WalkAndUnGZ.bat" "%USERPROFILE%\AppData\Local\Temp\OnboardLogs"\RTDC4021\2017-06-08 &amp; 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</v>
      </c>
      <c r="AF24" s="77" t="str">
        <f t="shared" si="13"/>
        <v>"C:\Program Files (x86)\AstroGrep\AstroGrep.exe" /e /r /s /spath="%USERPROFILE%\AppData\Local\Temp\OnboardLogs" /stypes="app*4021*20170608*"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112-08 --locoid 4021 --swversion DE.1.0.9.0 --startMP 204:232998 --initTime 2017-06-08T05:42:33 --startdatetime 2017-06-08T05:57:13 --delay 1 --endMP 204:138 --enddatetime 2017-06-08T06:38:57 --enforcementcount 0 &gt;&gt;C:\Users\stu\Documents\GitHub\eaglep3-reporting\EC\2017-06-08-refined-times.txt</v>
      </c>
      <c r="AI24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{"issue":{"subject":"","project_id":79,"tracker_id":40,"status_id":1,"priority_id":2,"assigned_to_id":23,"start_date":"2017-06-08","description":"","custom_fields":[{"id":1,"name":"Subdivision","value":"EC"},{"id":4,"name":"Milepost","value":"0.0138"},{"id":17,"name":"Train ID","value":"112-08"},{"id":16,"name":"Locomotive ID","value":"4021"},{"id":130,"name":"Impact","value":""},{"id":150,"name":"Time of Event (Mountain Time)","value":"06:38:57"},{"id":151,"name":"Denver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4021 --day 2017-06-08</v>
      </c>
      <c r="AN24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12:38:57"},{"id":29,"name":"Sharepoint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666</v>
      </c>
      <c r="B25" s="7">
        <v>4044</v>
      </c>
      <c r="C25" s="21" t="s">
        <v>204</v>
      </c>
      <c r="D25" s="21" t="s">
        <v>345</v>
      </c>
      <c r="E25" s="13">
        <v>42894.21769675926</v>
      </c>
      <c r="F25" s="13">
        <v>42894.219224537039</v>
      </c>
      <c r="G25" s="7">
        <v>1</v>
      </c>
      <c r="H25" s="21" t="s">
        <v>841</v>
      </c>
      <c r="I25" s="13">
        <v>42894.243472222224</v>
      </c>
      <c r="J25" s="7">
        <v>0</v>
      </c>
      <c r="K25" s="92" t="str">
        <f t="shared" si="0"/>
        <v>4043/4044</v>
      </c>
      <c r="L25" s="21" t="str">
        <f>VLOOKUP(A25,'Trips&amp;Operators'!$C$1:$G$99999,5,FALSE)</f>
        <v>LOZA FIDEL</v>
      </c>
      <c r="M25" s="6">
        <f t="shared" si="1"/>
        <v>2.4247685185400769E-2</v>
      </c>
      <c r="N25" s="7">
        <f t="shared" si="2"/>
        <v>34.916666666977108</v>
      </c>
      <c r="O25" s="7"/>
      <c r="P25" s="7"/>
      <c r="Q25" s="22"/>
      <c r="R25" s="173"/>
      <c r="S25" s="176">
        <f t="shared" si="3"/>
        <v>1</v>
      </c>
      <c r="T25" s="202" t="str">
        <f t="shared" si="4"/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5"/>
        <v>https://d0f6bd738d7f1b3e5a7ca70fe4ff75f0.us-east-1.aws.found.io/app/kibana#/discover/Steve-Slow-Train-Analysis-(2080s-and-2083s)?_g=(refreshInterval:(display:Off,pause:!f,section:0,value:0),time:(from:'2017-06-08T04:13:29-0600',mode:absolute,to:'2017-06-08T06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204" t="str">
        <f t="shared" si="6"/>
        <v>N</v>
      </c>
      <c r="X25" s="204">
        <f t="shared" si="7"/>
        <v>1</v>
      </c>
      <c r="Y25" s="204">
        <f t="shared" si="8"/>
        <v>4.4900000000000002E-2</v>
      </c>
      <c r="Z25" s="204">
        <f t="shared" si="9"/>
        <v>23.330500000000001</v>
      </c>
      <c r="AA25" s="204">
        <f t="shared" si="10"/>
        <v>23.285600000000002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0113-08</v>
      </c>
      <c r="AE25" s="80" t="str">
        <f t="shared" si="12"/>
        <v>aws s3 cp s3://rtdc.mdm.uploadarchive.raw/RTDC4044/ "%USERPROFILE%\AppData\Local\Temp\OnboardLogs"\RTDC4044\2017-06-08 --exclude "*" --recursive --include "*20170608*" &amp; "%USERPROFILE%\Documents\GitHub\mrs-test-scripts\Headless Mode &amp; Sideloading\WalkAndUnGZ.bat" "%USERPROFILE%\AppData\Local\Temp\OnboardLogs"\RTDC4044\2017-06-08 &amp; aws s3 cp s3://rtdc.mdm.uploadarchive.raw/RTDC4044/ "%USERPROFILE%\AppData\Local\Temp\OnboardLogs"\RTDC4044\2017-06-09 --exclude "*" --recursive --include "*20170609*" &amp; "%USERPROFILE%\Documents\GitHub\mrs-test-scripts\Headless Mode &amp; Sideloading\WalkAndUnGZ.bat" "%USERPROFILE%\AppData\Local\Temp\OnboardLogs"\RTDC4044\2017-06-09</v>
      </c>
      <c r="AF25" s="77" t="str">
        <f t="shared" si="13"/>
        <v>"C:\Program Files (x86)\AstroGrep\AstroGrep.exe" /e /r /s /spath="%USERPROFILE%\AppData\Local\Temp\OnboardLogs" /stypes="app*4044*20170608*"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113-08 --locoid 4044 --swversion DE.1.0.9.0 --startMP 204:449 --initTime 2017-06-08T05:13:29 --startdatetime 2017-06-08T05:15:41 --delay 1 --endMP 204:233305 --enddatetime 2017-06-08T05:50:36 --enforcementcount 0 &gt;&gt;C:\Users\stu\Documents\GitHub\eaglep3-reporting\EC\2017-06-08-refined-times.txt</v>
      </c>
      <c r="AI25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{"issue":{"subject":"","project_id":79,"tracker_id":40,"status_id":1,"priority_id":2,"assigned_to_id":23,"start_date":"2017-06-08","description":"","custom_fields":[{"id":1,"name":"Subdivision","value":"EC"},{"id":4,"name":"Milepost","value":"23.3305"},{"id":17,"name":"Train ID","value":"113-08"},{"id":16,"name":"Locomotive ID","value":"4044"},{"id":130,"name":"Impact","value":""},{"id":150,"name":"Time of Event (Mountain Time)","value":"05:50:36"},{"id":151,"name":"Denver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4044 --day 2017-06-08</v>
      </c>
      <c r="AN25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11:50:36"},{"id":29,"name":"Sharepoint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675</v>
      </c>
      <c r="B26" s="7">
        <v>4043</v>
      </c>
      <c r="C26" s="21" t="s">
        <v>204</v>
      </c>
      <c r="D26" s="21" t="s">
        <v>487</v>
      </c>
      <c r="E26" s="13">
        <v>42894.255555555559</v>
      </c>
      <c r="F26" s="13">
        <v>42894.25854166667</v>
      </c>
      <c r="G26" s="7">
        <v>1</v>
      </c>
      <c r="H26" s="21" t="s">
        <v>364</v>
      </c>
      <c r="I26" s="13">
        <v>42894.285000000003</v>
      </c>
      <c r="J26" s="7">
        <v>0</v>
      </c>
      <c r="K26" s="92" t="str">
        <f t="shared" si="0"/>
        <v>4043/4044</v>
      </c>
      <c r="L26" s="21" t="str">
        <f>VLOOKUP(A26,'Trips&amp;Operators'!$C$1:$G$99999,5,FALSE)</f>
        <v>LOZA FIDEL</v>
      </c>
      <c r="M26" s="6">
        <f t="shared" si="1"/>
        <v>2.6458333333721384E-2</v>
      </c>
      <c r="N26" s="7">
        <f t="shared" si="2"/>
        <v>38.100000000558794</v>
      </c>
      <c r="O26" s="7"/>
      <c r="P26" s="7"/>
      <c r="Q26" s="22"/>
      <c r="R26" s="173"/>
      <c r="S26" s="176">
        <f t="shared" si="3"/>
        <v>1</v>
      </c>
      <c r="T26" s="202" t="str">
        <f t="shared" si="4"/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5"/>
        <v>https://d0f6bd738d7f1b3e5a7ca70fe4ff75f0.us-east-1.aws.found.io/app/kibana#/discover/Steve-Slow-Train-Analysis-(2080s-and-2083s)?_g=(refreshInterval:(display:Off,pause:!f,section:0,value:0),time:(from:'2017-06-08T05:08:00-0600',mode:absolute,to:'2017-06-08T07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204" t="str">
        <f t="shared" si="6"/>
        <v>N</v>
      </c>
      <c r="X26" s="204">
        <f t="shared" si="7"/>
        <v>1</v>
      </c>
      <c r="Y26" s="204">
        <f t="shared" si="8"/>
        <v>23.2986</v>
      </c>
      <c r="Z26" s="204">
        <f t="shared" si="9"/>
        <v>1.47E-2</v>
      </c>
      <c r="AA26" s="204">
        <f t="shared" si="10"/>
        <v>23.283899999999999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0114-08</v>
      </c>
      <c r="AE26" s="80" t="str">
        <f t="shared" si="12"/>
        <v>aws s3 cp s3://rtdc.mdm.uploadarchive.raw/RTDC4043/ "%USERPROFILE%\AppData\Local\Temp\OnboardLogs"\RTDC4043\2017-06-08 --exclude "*" --recursive --include "*20170608*" &amp; "%USERPROFILE%\Documents\GitHub\mrs-test-scripts\Headless Mode &amp; Sideloading\WalkAndUnGZ.bat" "%USERPROFILE%\AppData\Local\Temp\OnboardLogs"\RTDC4043\2017-06-08 &amp; aws s3 cp s3://rtdc.mdm.uploadarchive.raw/RTDC4043/ "%USERPROFILE%\AppData\Local\Temp\OnboardLogs"\RTDC4043\2017-06-09 --exclude "*" --recursive --include "*20170609*" &amp; "%USERPROFILE%\Documents\GitHub\mrs-test-scripts\Headless Mode &amp; Sideloading\WalkAndUnGZ.bat" "%USERPROFILE%\AppData\Local\Temp\OnboardLogs"\RTDC4043\2017-06-09</v>
      </c>
      <c r="AF26" s="77" t="str">
        <f t="shared" si="13"/>
        <v>"C:\Program Files (x86)\AstroGrep\AstroGrep.exe" /e /r /s /spath="%USERPROFILE%\AppData\Local\Temp\OnboardLogs" /stypes="app*4043*20170608*"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114-08 --locoid 4043 --swversion DE.1.0.9.0 --startMP 204:232986 --initTime 2017-06-08T06:08:00 --startdatetime 2017-06-08T06:12:18 --delay 1 --endMP 204:147 --enddatetime 2017-06-08T06:50:24 --enforcementcount 0 &gt;&gt;C:\Users\stu\Documents\GitHub\eaglep3-reporting\EC\2017-06-08-refined-times.txt</v>
      </c>
      <c r="AI26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{"issue":{"subject":"","project_id":79,"tracker_id":40,"status_id":1,"priority_id":2,"assigned_to_id":23,"start_date":"2017-06-08","description":"","custom_fields":[{"id":1,"name":"Subdivision","value":"EC"},{"id":4,"name":"Milepost","value":"0.0147"},{"id":17,"name":"Train ID","value":"114-08"},{"id":16,"name":"Locomotive ID","value":"4043"},{"id":130,"name":"Impact","value":""},{"id":150,"name":"Time of Event (Mountain Time)","value":"06:50:24"},{"id":151,"name":"Denver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4043 --day 2017-06-08</v>
      </c>
      <c r="AN26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12:50:24"},{"id":29,"name":"Sharepoint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615</v>
      </c>
      <c r="B27" s="7">
        <v>4056</v>
      </c>
      <c r="C27" s="21" t="s">
        <v>204</v>
      </c>
      <c r="D27" s="21" t="s">
        <v>360</v>
      </c>
      <c r="E27" s="13">
        <v>42894.226412037038</v>
      </c>
      <c r="F27" s="13">
        <v>42894.229398148149</v>
      </c>
      <c r="G27" s="7">
        <v>1</v>
      </c>
      <c r="H27" s="21" t="s">
        <v>842</v>
      </c>
      <c r="I27" s="13">
        <v>42894.257824074077</v>
      </c>
      <c r="J27" s="7">
        <v>0</v>
      </c>
      <c r="K27" s="92" t="str">
        <f t="shared" si="0"/>
        <v>4055/4056</v>
      </c>
      <c r="L27" s="21" t="str">
        <f>VLOOKUP(A27,'Trips&amp;Operators'!$C$1:$G$99999,5,FALSE)</f>
        <v>WILLIAMS DONTE</v>
      </c>
      <c r="M27" s="6">
        <f t="shared" si="1"/>
        <v>2.842592592787696E-2</v>
      </c>
      <c r="N27" s="7">
        <f t="shared" si="2"/>
        <v>40.933333336142823</v>
      </c>
      <c r="O27" s="7"/>
      <c r="P27" s="7"/>
      <c r="Q27" s="22"/>
      <c r="R27" s="173"/>
      <c r="S27" s="176">
        <f t="shared" si="3"/>
        <v>1</v>
      </c>
      <c r="T27" s="202" t="str">
        <f t="shared" si="4"/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5"/>
        <v>https://d0f6bd738d7f1b3e5a7ca70fe4ff75f0.us-east-1.aws.found.io/app/kibana#/discover/Steve-Slow-Train-Analysis-(2080s-and-2083s)?_g=(refreshInterval:(display:Off,pause:!f,section:0,value:0),time:(from:'2017-06-08T04:26:02-0600',mode:absolute,to:'2017-06-08T07:11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7" s="204" t="str">
        <f t="shared" si="6"/>
        <v>N</v>
      </c>
      <c r="X27" s="204">
        <f t="shared" si="7"/>
        <v>1</v>
      </c>
      <c r="Y27" s="204">
        <f t="shared" si="8"/>
        <v>4.4699999999999997E-2</v>
      </c>
      <c r="Z27" s="204">
        <f t="shared" si="9"/>
        <v>23.3355</v>
      </c>
      <c r="AA27" s="204">
        <f t="shared" si="10"/>
        <v>23.290800000000001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0115-08</v>
      </c>
      <c r="AE27" s="80" t="str">
        <f t="shared" si="12"/>
        <v>aws s3 cp s3://rtdc.mdm.uploadarchive.raw/RTDC4056/ "%USERPROFILE%\AppData\Local\Temp\OnboardLogs"\RTDC4056\2017-06-08 --exclude "*" --recursive --include "*20170608*" &amp; "%USERPROFILE%\Documents\GitHub\mrs-test-scripts\Headless Mode &amp; Sideloading\WalkAndUnGZ.bat" "%USERPROFILE%\AppData\Local\Temp\OnboardLogs"\RTDC4056\2017-06-08 &amp; aws s3 cp s3://rtdc.mdm.uploadarchive.raw/RTDC4056/ "%USERPROFILE%\AppData\Local\Temp\OnboardLogs"\RTDC4056\2017-06-09 --exclude "*" --recursive --include "*20170609*" &amp; "%USERPROFILE%\Documents\GitHub\mrs-test-scripts\Headless Mode &amp; Sideloading\WalkAndUnGZ.bat" "%USERPROFILE%\AppData\Local\Temp\OnboardLogs"\RTDC4056\2017-06-09</v>
      </c>
      <c r="AF27" s="77" t="str">
        <f t="shared" si="13"/>
        <v>"C:\Program Files (x86)\AstroGrep\AstroGrep.exe" /e /r /s /spath="%USERPROFILE%\AppData\Local\Temp\OnboardLogs" /stypes="app*4056*20170608*"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115-08 --locoid 4056 --swversion DE.1.0.9.0 --startMP 204:447 --initTime 2017-06-08T05:26:02 --startdatetime 2017-06-08T05:30:20 --delay 1 --endMP 204:233355 --enddatetime 2017-06-08T06:11:16 --enforcementcount 0 &gt;&gt;C:\Users\stu\Documents\GitHub\eaglep3-reporting\EC\2017-06-08-refined-times.txt</v>
      </c>
      <c r="AI27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{"issue":{"subject":"","project_id":79,"tracker_id":40,"status_id":1,"priority_id":2,"assigned_to_id":23,"start_date":"2017-06-08","description":"","custom_fields":[{"id":1,"name":"Subdivision","value":"EC"},{"id":4,"name":"Milepost","value":"23.3355"},{"id":17,"name":"Train ID","value":"115-08"},{"id":16,"name":"Locomotive ID","value":"4056"},{"id":130,"name":"Impact","value":""},{"id":150,"name":"Time of Event (Mountain Time)","value":"06:11:16"},{"id":151,"name":"Denver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4056 --day 2017-06-08</v>
      </c>
      <c r="AN27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12:11:16"},{"id":29,"name":"Sharepoint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677</v>
      </c>
      <c r="B28" s="7">
        <v>4055</v>
      </c>
      <c r="C28" s="21" t="s">
        <v>204</v>
      </c>
      <c r="D28" s="21" t="s">
        <v>539</v>
      </c>
      <c r="E28" s="13">
        <v>42894.260428240741</v>
      </c>
      <c r="F28" s="13">
        <v>42894.269236111111</v>
      </c>
      <c r="G28" s="7">
        <v>1</v>
      </c>
      <c r="H28" s="21" t="s">
        <v>352</v>
      </c>
      <c r="I28" s="13">
        <v>42894.296863425923</v>
      </c>
      <c r="J28" s="7">
        <v>0</v>
      </c>
      <c r="K28" s="92" t="str">
        <f t="shared" si="0"/>
        <v>4055/4056</v>
      </c>
      <c r="L28" s="21" t="str">
        <f>VLOOKUP(A28,'Trips&amp;Operators'!$C$1:$G$99999,5,FALSE)</f>
        <v>WILLIAMS DONTE</v>
      </c>
      <c r="M28" s="6">
        <f t="shared" si="1"/>
        <v>2.7627314811979886E-2</v>
      </c>
      <c r="N28" s="7">
        <f t="shared" si="2"/>
        <v>39.783333329251036</v>
      </c>
      <c r="O28" s="7"/>
      <c r="P28" s="7"/>
      <c r="Q28" s="22"/>
      <c r="R28" s="173"/>
      <c r="S28" s="176">
        <f t="shared" si="3"/>
        <v>1</v>
      </c>
      <c r="T28" s="202" t="str">
        <f t="shared" si="4"/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5"/>
        <v>https://d0f6bd738d7f1b3e5a7ca70fe4ff75f0.us-east-1.aws.found.io/app/kibana#/discover/Steve-Slow-Train-Analysis-(2080s-and-2083s)?_g=(refreshInterval:(display:Off,pause:!f,section:0,value:0),time:(from:'2017-06-08T05:15:01-0600',mode:absolute,to:'2017-06-08T08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8" s="204" t="str">
        <f t="shared" si="6"/>
        <v>N</v>
      </c>
      <c r="X28" s="204">
        <f t="shared" si="7"/>
        <v>1</v>
      </c>
      <c r="Y28" s="204">
        <f t="shared" si="8"/>
        <v>23.3</v>
      </c>
      <c r="Z28" s="204">
        <f t="shared" si="9"/>
        <v>1.4999999999999999E-2</v>
      </c>
      <c r="AA28" s="204">
        <f t="shared" si="10"/>
        <v>23.285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0116-08</v>
      </c>
      <c r="AE28" s="80" t="str">
        <f t="shared" si="12"/>
        <v>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 &amp; aws s3 cp s3://rtdc.mdm.uploadarchive.raw/RTDC4055/ "%USERPROFILE%\AppData\Local\Temp\OnboardLogs"\RTDC4055\2017-06-09 --exclude "*" --recursive --include "*20170609*" &amp; "%USERPROFILE%\Documents\GitHub\mrs-test-scripts\Headless Mode &amp; Sideloading\WalkAndUnGZ.bat" "%USERPROFILE%\AppData\Local\Temp\OnboardLogs"\RTDC4055\2017-06-09</v>
      </c>
      <c r="AF28" s="77" t="str">
        <f t="shared" si="13"/>
        <v>"C:\Program Files (x86)\AstroGrep\AstroGrep.exe" /e /r /s /spath="%USERPROFILE%\AppData\Local\Temp\OnboardLogs" /stypes="app*4055*20170608*"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116-08 --locoid 4055 --swversion DE.1.0.9.0 --startMP 204:233000 --initTime 2017-06-08T06:15:01 --startdatetime 2017-06-08T06:27:42 --delay 1 --endMP 204:150 --enddatetime 2017-06-08T07:07:29 --enforcementcount 0 &gt;&gt;C:\Users\stu\Documents\GitHub\eaglep3-reporting\EC\2017-06-08-refined-times.txt</v>
      </c>
      <c r="AI28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{"issue":{"subject":"","project_id":79,"tracker_id":40,"status_id":1,"priority_id":2,"assigned_to_id":23,"start_date":"2017-06-08","description":"","custom_fields":[{"id":1,"name":"Subdivision","value":"EC"},{"id":4,"name":"Milepost","value":"0.015"},{"id":17,"name":"Train ID","value":"116-08"},{"id":16,"name":"Locomotive ID","value":"4055"},{"id":130,"name":"Impact","value":""},{"id":150,"name":"Time of Event (Mountain Time)","value":"07:07:29"},{"id":151,"name":"Denver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4055 --day 2017-06-08</v>
      </c>
      <c r="AN28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13:07:29"},{"id":29,"name":"Sharepoint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669</v>
      </c>
      <c r="B29" s="7">
        <v>4026</v>
      </c>
      <c r="C29" s="21" t="s">
        <v>204</v>
      </c>
      <c r="D29" s="21" t="s">
        <v>355</v>
      </c>
      <c r="E29" s="13">
        <v>42894.234027777777</v>
      </c>
      <c r="F29" s="13">
        <v>42894.239756944444</v>
      </c>
      <c r="G29" s="7">
        <v>1</v>
      </c>
      <c r="H29" s="21" t="s">
        <v>478</v>
      </c>
      <c r="I29" s="13">
        <v>42894.264699074076</v>
      </c>
      <c r="J29" s="7">
        <v>0</v>
      </c>
      <c r="K29" s="92" t="str">
        <f t="shared" si="0"/>
        <v>4025/4026</v>
      </c>
      <c r="L29" s="21" t="str">
        <f>VLOOKUP(A29,'Trips&amp;Operators'!$C$1:$G$99999,5,FALSE)</f>
        <v>HELVIE ADAM</v>
      </c>
      <c r="M29" s="6">
        <f t="shared" si="1"/>
        <v>2.4942129632108845E-2</v>
      </c>
      <c r="N29" s="7">
        <f t="shared" si="2"/>
        <v>35.916666670236737</v>
      </c>
      <c r="O29" s="7"/>
      <c r="P29" s="7"/>
      <c r="Q29" s="22"/>
      <c r="R29" s="173"/>
      <c r="S29" s="176">
        <f t="shared" si="3"/>
        <v>1</v>
      </c>
      <c r="T29" s="202" t="str">
        <f t="shared" si="4"/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5"/>
        <v>https://d0f6bd738d7f1b3e5a7ca70fe4ff75f0.us-east-1.aws.found.io/app/kibana#/discover/Steve-Slow-Train-Analysis-(2080s-and-2083s)?_g=(refreshInterval:(display:Off,pause:!f,section:0,value:0),time:(from:'2017-06-08T04:37:00-0600',mode:absolute,to:'2017-06-08T07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204" t="str">
        <f t="shared" si="6"/>
        <v>N</v>
      </c>
      <c r="X29" s="204">
        <f t="shared" si="7"/>
        <v>1</v>
      </c>
      <c r="Y29" s="204">
        <f t="shared" si="8"/>
        <v>4.6600000000000003E-2</v>
      </c>
      <c r="Z29" s="204">
        <f t="shared" si="9"/>
        <v>23.3307</v>
      </c>
      <c r="AA29" s="204">
        <f t="shared" si="10"/>
        <v>23.284099999999999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0117-08</v>
      </c>
      <c r="AE29" s="80" t="str">
        <f t="shared" si="12"/>
        <v>aws s3 cp s3://rtdc.mdm.uploadarchive.raw/RTDC4026/ "%USERPROFILE%\AppData\Local\Temp\OnboardLogs"\RTDC4026\2017-06-08 --exclude "*" --recursive --include "*20170608*" &amp; "%USERPROFILE%\Documents\GitHub\mrs-test-scripts\Headless Mode &amp; Sideloading\WalkAndUnGZ.bat" "%USERPROFILE%\AppData\Local\Temp\OnboardLogs"\RTDC4026\2017-06-08 &amp; aws s3 cp s3://rtdc.mdm.uploadarchive.raw/RTDC4026/ "%USERPROFILE%\AppData\Local\Temp\OnboardLogs"\RTDC4026\2017-06-09 --exclude "*" --recursive --include "*20170609*" &amp; "%USERPROFILE%\Documents\GitHub\mrs-test-scripts\Headless Mode &amp; Sideloading\WalkAndUnGZ.bat" "%USERPROFILE%\AppData\Local\Temp\OnboardLogs"\RTDC4026\2017-06-09</v>
      </c>
      <c r="AF29" s="77" t="str">
        <f t="shared" si="13"/>
        <v>"C:\Program Files (x86)\AstroGrep\AstroGrep.exe" /e /r /s /spath="%USERPROFILE%\AppData\Local\Temp\OnboardLogs" /stypes="app*4026*20170608*"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117-08 --locoid 4026 --swversion DE.1.0.9.0 --startMP 204:466 --initTime 2017-06-08T05:37:00 --startdatetime 2017-06-08T05:45:15 --delay 1 --endMP 204:233307 --enddatetime 2017-06-08T06:21:10 --enforcementcount 0 &gt;&gt;C:\Users\stu\Documents\GitHub\eaglep3-reporting\EC\2017-06-08-refined-times.txt</v>
      </c>
      <c r="AI29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{"issue":{"subject":"","project_id":79,"tracker_id":40,"status_id":1,"priority_id":2,"assigned_to_id":23,"start_date":"2017-06-08","description":"","custom_fields":[{"id":1,"name":"Subdivision","value":"EC"},{"id":4,"name":"Milepost","value":"23.3307"},{"id":17,"name":"Train ID","value":"117-08"},{"id":16,"name":"Locomotive ID","value":"4026"},{"id":130,"name":"Impact","value":""},{"id":150,"name":"Time of Event (Mountain Time)","value":"06:21:10"},{"id":151,"name":"Denver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4026 --day 2017-06-08</v>
      </c>
      <c r="AN29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12:21:10"},{"id":29,"name":"Sharepoint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680</v>
      </c>
      <c r="B30" s="7">
        <v>4025</v>
      </c>
      <c r="C30" s="21" t="s">
        <v>204</v>
      </c>
      <c r="D30" s="21" t="s">
        <v>538</v>
      </c>
      <c r="E30" s="13">
        <v>42894.276400462964</v>
      </c>
      <c r="F30" s="13">
        <v>42894.279328703706</v>
      </c>
      <c r="G30" s="7">
        <v>1</v>
      </c>
      <c r="H30" s="21" t="s">
        <v>580</v>
      </c>
      <c r="I30" s="13">
        <v>42894.305046296293</v>
      </c>
      <c r="J30" s="7">
        <v>0</v>
      </c>
      <c r="K30" s="92" t="str">
        <f t="shared" si="0"/>
        <v>4025/4026</v>
      </c>
      <c r="L30" s="21" t="str">
        <f>VLOOKUP(A30,'Trips&amp;Operators'!$C$1:$G$99999,5,FALSE)</f>
        <v>HELVIE ADAM</v>
      </c>
      <c r="M30" s="6">
        <f t="shared" si="1"/>
        <v>2.5717592587170657E-2</v>
      </c>
      <c r="N30" s="7">
        <f t="shared" si="2"/>
        <v>37.033333325525746</v>
      </c>
      <c r="O30" s="7"/>
      <c r="P30" s="7"/>
      <c r="Q30" s="22"/>
      <c r="R30" s="173"/>
      <c r="S30" s="176">
        <f t="shared" si="3"/>
        <v>1</v>
      </c>
      <c r="T30" s="202" t="str">
        <f t="shared" si="4"/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5"/>
        <v>https://d0f6bd738d7f1b3e5a7ca70fe4ff75f0.us-east-1.aws.found.io/app/kibana#/discover/Steve-Slow-Train-Analysis-(2080s-and-2083s)?_g=(refreshInterval:(display:Off,pause:!f,section:0,value:0),time:(from:'2017-06-08T05:38:01-0600',mode:absolute,to:'2017-06-08T08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204" t="str">
        <f t="shared" si="6"/>
        <v>N</v>
      </c>
      <c r="X30" s="204">
        <f t="shared" si="7"/>
        <v>1</v>
      </c>
      <c r="Y30" s="204">
        <f t="shared" si="8"/>
        <v>23.299600000000002</v>
      </c>
      <c r="Z30" s="204">
        <f t="shared" si="9"/>
        <v>1.61E-2</v>
      </c>
      <c r="AA30" s="204">
        <f t="shared" si="10"/>
        <v>23.2835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0118-08</v>
      </c>
      <c r="AE30" s="80" t="str">
        <f t="shared" si="12"/>
        <v>aws s3 cp s3://rtdc.mdm.uploadarchive.raw/RTDC4025/ "%USERPROFILE%\AppData\Local\Temp\OnboardLogs"\RTDC4025\2017-06-08 --exclude "*" --recursive --include "*20170608*" &amp; "%USERPROFILE%\Documents\GitHub\mrs-test-scripts\Headless Mode &amp; Sideloading\WalkAndUnGZ.bat" "%USERPROFILE%\AppData\Local\Temp\OnboardLogs"\RTDC4025\2017-06-08 &amp; aws s3 cp s3://rtdc.mdm.uploadarchive.raw/RTDC4025/ "%USERPROFILE%\AppData\Local\Temp\OnboardLogs"\RTDC4025\2017-06-09 --exclude "*" --recursive --include "*20170609*" &amp; "%USERPROFILE%\Documents\GitHub\mrs-test-scripts\Headless Mode &amp; Sideloading\WalkAndUnGZ.bat" "%USERPROFILE%\AppData\Local\Temp\OnboardLogs"\RTDC4025\2017-06-09</v>
      </c>
      <c r="AF30" s="77" t="str">
        <f t="shared" si="13"/>
        <v>"C:\Program Files (x86)\AstroGrep\AstroGrep.exe" /e /r /s /spath="%USERPROFILE%\AppData\Local\Temp\OnboardLogs" /stypes="app*4025*20170608*"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118-08 --locoid 4025 --swversion DE.1.0.9.0 --startMP 204:232996 --initTime 2017-06-08T06:38:01 --startdatetime 2017-06-08T06:42:14 --delay 1 --endMP 204:161 --enddatetime 2017-06-08T07:19:16 --enforcementcount 0 &gt;&gt;C:\Users\stu\Documents\GitHub\eaglep3-reporting\EC\2017-06-08-refined-times.txt</v>
      </c>
      <c r="AI30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{"issue":{"subject":"","project_id":79,"tracker_id":40,"status_id":1,"priority_id":2,"assigned_to_id":23,"start_date":"2017-06-08","description":"","custom_fields":[{"id":1,"name":"Subdivision","value":"EC"},{"id":4,"name":"Milepost","value":"0.0161"},{"id":17,"name":"Train ID","value":"118-08"},{"id":16,"name":"Locomotive ID","value":"4025"},{"id":130,"name":"Impact","value":""},{"id":150,"name":"Time of Event (Mountain Time)","value":"07:19:16"},{"id":151,"name":"Denver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4025 --day 2017-06-08</v>
      </c>
      <c r="AN30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13:19:16"},{"id":29,"name":"Sharepoint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672</v>
      </c>
      <c r="B31" s="7">
        <v>4004</v>
      </c>
      <c r="C31" s="21" t="s">
        <v>204</v>
      </c>
      <c r="D31" s="21" t="s">
        <v>200</v>
      </c>
      <c r="E31" s="13">
        <v>42894.247141203705</v>
      </c>
      <c r="F31" s="13">
        <v>42894.250208333331</v>
      </c>
      <c r="G31" s="7">
        <v>1</v>
      </c>
      <c r="H31" s="21" t="s">
        <v>843</v>
      </c>
      <c r="I31" s="13">
        <v>42894.276145833333</v>
      </c>
      <c r="J31" s="7">
        <v>0</v>
      </c>
      <c r="K31" s="92" t="str">
        <f t="shared" si="0"/>
        <v>4003/4004</v>
      </c>
      <c r="L31" s="21" t="str">
        <f>VLOOKUP(A31,'Trips&amp;Operators'!$C$1:$G$99999,5,FALSE)</f>
        <v>BONDS REYNALDO</v>
      </c>
      <c r="M31" s="6">
        <f t="shared" si="1"/>
        <v>2.5937500002328306E-2</v>
      </c>
      <c r="N31" s="7">
        <f t="shared" si="2"/>
        <v>37.350000003352761</v>
      </c>
      <c r="O31" s="7"/>
      <c r="P31" s="7"/>
      <c r="Q31" s="22"/>
      <c r="R31" s="173"/>
      <c r="S31" s="176">
        <f t="shared" si="3"/>
        <v>1</v>
      </c>
      <c r="T31" s="202" t="str">
        <f t="shared" si="4"/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5"/>
        <v>https://d0f6bd738d7f1b3e5a7ca70fe4ff75f0.us-east-1.aws.found.io/app/kibana#/discover/Steve-Slow-Train-Analysis-(2080s-and-2083s)?_g=(refreshInterval:(display:Off,pause:!f,section:0,value:0),time:(from:'2017-06-08T04:55:53-0600',mode:absolute,to:'2017-06-08T07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1" s="204" t="str">
        <f t="shared" si="6"/>
        <v>N</v>
      </c>
      <c r="X31" s="204">
        <f t="shared" si="7"/>
        <v>1</v>
      </c>
      <c r="Y31" s="204">
        <f t="shared" si="8"/>
        <v>4.5699999999999998E-2</v>
      </c>
      <c r="Z31" s="204">
        <f t="shared" si="9"/>
        <v>23.3323</v>
      </c>
      <c r="AA31" s="204">
        <f t="shared" si="10"/>
        <v>23.2866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0119-08</v>
      </c>
      <c r="AE31" s="80" t="str">
        <f t="shared" si="12"/>
        <v>aws s3 cp s3://rtdc.mdm.uploadarchive.raw/RTDC4004/ "%USERPROFILE%\AppData\Local\Temp\OnboardLogs"\RTDC4004\2017-06-08 --exclude "*" --recursive --include "*20170608*" &amp; "%USERPROFILE%\Documents\GitHub\mrs-test-scripts\Headless Mode &amp; Sideloading\WalkAndUnGZ.bat" "%USERPROFILE%\AppData\Local\Temp\OnboardLogs"\RTDC4004\2017-06-08 &amp; aws s3 cp s3://rtdc.mdm.uploadarchive.raw/RTDC4004/ "%USERPROFILE%\AppData\Local\Temp\OnboardLogs"\RTDC4004\2017-06-09 --exclude "*" --recursive --include "*20170609*" &amp; "%USERPROFILE%\Documents\GitHub\mrs-test-scripts\Headless Mode &amp; Sideloading\WalkAndUnGZ.bat" "%USERPROFILE%\AppData\Local\Temp\OnboardLogs"\RTDC4004\2017-06-09</v>
      </c>
      <c r="AF31" s="77" t="str">
        <f t="shared" si="13"/>
        <v>"C:\Program Files (x86)\AstroGrep\AstroGrep.exe" /e /r /s /spath="%USERPROFILE%\AppData\Local\Temp\OnboardLogs" /stypes="app*4004*20170608*"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119-08 --locoid 4004 --swversion DE.1.0.9.0 --startMP 204:457 --initTime 2017-06-08T05:55:53 --startdatetime 2017-06-08T06:00:18 --delay 1 --endMP 204:233323 --enddatetime 2017-06-08T06:37:39 --enforcementcount 0 &gt;&gt;C:\Users\stu\Documents\GitHub\eaglep3-reporting\EC\2017-06-08-refined-times.txt</v>
      </c>
      <c r="AI31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{"issue":{"subject":"","project_id":79,"tracker_id":40,"status_id":1,"priority_id":2,"assigned_to_id":23,"start_date":"2017-06-08","description":"","custom_fields":[{"id":1,"name":"Subdivision","value":"EC"},{"id":4,"name":"Milepost","value":"23.3323"},{"id":17,"name":"Train ID","value":"119-08"},{"id":16,"name":"Locomotive ID","value":"4004"},{"id":130,"name":"Impact","value":""},{"id":150,"name":"Time of Event (Mountain Time)","value":"06:37:39"},{"id":151,"name":"Denver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4004 --day 2017-06-08</v>
      </c>
      <c r="AN31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12:37:39"},{"id":29,"name":"Sharepoint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685</v>
      </c>
      <c r="B32" s="7">
        <v>4003</v>
      </c>
      <c r="C32" s="21" t="s">
        <v>204</v>
      </c>
      <c r="D32" s="21" t="s">
        <v>844</v>
      </c>
      <c r="E32" s="13">
        <v>42894.287881944445</v>
      </c>
      <c r="F32" s="13">
        <v>42894.289837962962</v>
      </c>
      <c r="G32" s="7">
        <v>1</v>
      </c>
      <c r="H32" s="21" t="s">
        <v>196</v>
      </c>
      <c r="I32" s="13">
        <v>42894.317569444444</v>
      </c>
      <c r="J32" s="7">
        <v>0</v>
      </c>
      <c r="K32" s="92" t="str">
        <f t="shared" si="0"/>
        <v>4003/4004</v>
      </c>
      <c r="L32" s="21" t="str">
        <f>VLOOKUP(A32,'Trips&amp;Operators'!$C$1:$G$99999,5,FALSE)</f>
        <v>BONDS REYNALDO</v>
      </c>
      <c r="M32" s="6">
        <f t="shared" si="1"/>
        <v>2.7731481481168885E-2</v>
      </c>
      <c r="N32" s="7">
        <f t="shared" si="2"/>
        <v>39.933333332883194</v>
      </c>
      <c r="O32" s="7"/>
      <c r="P32" s="7"/>
      <c r="Q32" s="22"/>
      <c r="R32" s="173"/>
      <c r="S32" s="176">
        <f t="shared" si="3"/>
        <v>1</v>
      </c>
      <c r="T32" s="202" t="str">
        <f t="shared" si="4"/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5"/>
        <v>https://d0f6bd738d7f1b3e5a7ca70fe4ff75f0.us-east-1.aws.found.io/app/kibana#/discover/Steve-Slow-Train-Analysis-(2080s-and-2083s)?_g=(refreshInterval:(display:Off,pause:!f,section:0,value:0),time:(from:'2017-06-08T05:54:33-0600',mode:absolute,to:'2017-06-08T08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2" s="204" t="str">
        <f t="shared" si="6"/>
        <v>N</v>
      </c>
      <c r="X32" s="204">
        <f t="shared" si="7"/>
        <v>1</v>
      </c>
      <c r="Y32" s="204">
        <f t="shared" si="8"/>
        <v>23.3002</v>
      </c>
      <c r="Z32" s="204">
        <f t="shared" si="9"/>
        <v>1.5800000000000002E-2</v>
      </c>
      <c r="AA32" s="204">
        <f t="shared" si="10"/>
        <v>23.284400000000002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0120-08</v>
      </c>
      <c r="AE32" s="80" t="str">
        <f t="shared" si="12"/>
        <v>aws s3 cp s3://rtdc.mdm.uploadarchive.raw/RTDC4003/ "%USERPROFILE%\AppData\Local\Temp\OnboardLogs"\RTDC4003\2017-06-08 --exclude "*" --recursive --include "*20170608*" &amp; "%USERPROFILE%\Documents\GitHub\mrs-test-scripts\Headless Mode &amp; Sideloading\WalkAndUnGZ.bat" "%USERPROFILE%\AppData\Local\Temp\OnboardLogs"\RTDC4003\2017-06-08 &amp; aws s3 cp s3://rtdc.mdm.uploadarchive.raw/RTDC4003/ "%USERPROFILE%\AppData\Local\Temp\OnboardLogs"\RTDC4003\2017-06-09 --exclude "*" --recursive --include "*20170609*" &amp; "%USERPROFILE%\Documents\GitHub\mrs-test-scripts\Headless Mode &amp; Sideloading\WalkAndUnGZ.bat" "%USERPROFILE%\AppData\Local\Temp\OnboardLogs"\RTDC4003\2017-06-09</v>
      </c>
      <c r="AF32" s="77" t="str">
        <f t="shared" si="13"/>
        <v>"C:\Program Files (x86)\AstroGrep\AstroGrep.exe" /e /r /s /spath="%USERPROFILE%\AppData\Local\Temp\OnboardLogs" /stypes="app*4003*20170608*"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120-08 --locoid 4003 --swversion DE.1.0.9.0 --startMP 204:233002 --initTime 2017-06-08T06:54:33 --startdatetime 2017-06-08T06:57:22 --delay 1 --endMP 204:158 --enddatetime 2017-06-08T07:37:18 --enforcementcount 0 &gt;&gt;C:\Users\stu\Documents\GitHub\eaglep3-reporting\EC\2017-06-08-refined-times.txt</v>
      </c>
      <c r="AI32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{"issue":{"subject":"","project_id":79,"tracker_id":40,"status_id":1,"priority_id":2,"assigned_to_id":23,"start_date":"2017-06-08","description":"","custom_fields":[{"id":1,"name":"Subdivision","value":"EC"},{"id":4,"name":"Milepost","value":"0.0158"},{"id":17,"name":"Train ID","value":"120-08"},{"id":16,"name":"Locomotive ID","value":"4003"},{"id":130,"name":"Impact","value":""},{"id":150,"name":"Time of Event (Mountain Time)","value":"07:37:18"},{"id":151,"name":"Denver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4003 --day 2017-06-08</v>
      </c>
      <c r="AN32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13:37:18"},{"id":29,"name":"Sharepoint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676</v>
      </c>
      <c r="B33" s="7">
        <v>4002</v>
      </c>
      <c r="C33" s="21" t="s">
        <v>204</v>
      </c>
      <c r="D33" s="21" t="s">
        <v>360</v>
      </c>
      <c r="E33" s="13">
        <v>42894.257187499999</v>
      </c>
      <c r="F33" s="13">
        <v>42894.260601851849</v>
      </c>
      <c r="G33" s="7">
        <v>2</v>
      </c>
      <c r="H33" s="21" t="s">
        <v>537</v>
      </c>
      <c r="I33" s="13">
        <v>42894.285069444442</v>
      </c>
      <c r="J33" s="7">
        <v>0</v>
      </c>
      <c r="K33" s="92" t="str">
        <f t="shared" si="0"/>
        <v>4001/4002</v>
      </c>
      <c r="L33" s="21" t="str">
        <f>VLOOKUP(A33,'Trips&amp;Operators'!$C$1:$G$99999,5,FALSE)</f>
        <v>GEBRETEKLE DAGNEW</v>
      </c>
      <c r="M33" s="6">
        <f t="shared" si="1"/>
        <v>2.4467592593282461E-2</v>
      </c>
      <c r="N33" s="7">
        <f t="shared" si="2"/>
        <v>35.233333334326744</v>
      </c>
      <c r="O33" s="7"/>
      <c r="P33" s="7"/>
      <c r="Q33" s="22"/>
      <c r="R33" s="173"/>
      <c r="S33" s="176">
        <f t="shared" si="3"/>
        <v>1</v>
      </c>
      <c r="T33" s="202" t="str">
        <f t="shared" si="4"/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5"/>
        <v>https://d0f6bd738d7f1b3e5a7ca70fe4ff75f0.us-east-1.aws.found.io/app/kibana#/discover/Steve-Slow-Train-Analysis-(2080s-and-2083s)?_g=(refreshInterval:(display:Off,pause:!f,section:0,value:0),time:(from:'2017-06-08T05:10:21-0600',mode:absolute,to:'2017-06-08T07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3" s="204" t="str">
        <f t="shared" si="6"/>
        <v>N</v>
      </c>
      <c r="X33" s="204">
        <f t="shared" si="7"/>
        <v>1</v>
      </c>
      <c r="Y33" s="204">
        <f t="shared" si="8"/>
        <v>4.4699999999999997E-2</v>
      </c>
      <c r="Z33" s="204">
        <f t="shared" si="9"/>
        <v>23.337800000000001</v>
      </c>
      <c r="AA33" s="204">
        <f t="shared" si="10"/>
        <v>23.293100000000003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0121-08</v>
      </c>
      <c r="AE33" s="80" t="str">
        <f t="shared" si="12"/>
        <v>aws s3 cp s3://rtdc.mdm.uploadarchive.raw/RTDC4002/ "%USERPROFILE%\AppData\Local\Temp\OnboardLogs"\RTDC4002\2017-06-08 --exclude "*" --recursive --include "*20170608*" &amp; "%USERPROFILE%\Documents\GitHub\mrs-test-scripts\Headless Mode &amp; Sideloading\WalkAndUnGZ.bat" "%USERPROFILE%\AppData\Local\Temp\OnboardLogs"\RTDC4002\2017-06-08 &amp; aws s3 cp s3://rtdc.mdm.uploadarchive.raw/RTDC4002/ "%USERPROFILE%\AppData\Local\Temp\OnboardLogs"\RTDC4002\2017-06-09 --exclude "*" --recursive --include "*20170609*" &amp; "%USERPROFILE%\Documents\GitHub\mrs-test-scripts\Headless Mode &amp; Sideloading\WalkAndUnGZ.bat" "%USERPROFILE%\AppData\Local\Temp\OnboardLogs"\RTDC4002\2017-06-09</v>
      </c>
      <c r="AF33" s="77" t="str">
        <f t="shared" si="13"/>
        <v>"C:\Program Files (x86)\AstroGrep\AstroGrep.exe" /e /r /s /spath="%USERPROFILE%\AppData\Local\Temp\OnboardLogs" /stypes="app*4002*20170608*"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121-08 --locoid 4002 --swversion DE.1.0.9.0 --startMP 204:447 --initTime 2017-06-08T06:10:21 --startdatetime 2017-06-08T06:15:16 --delay 2 --endMP 204:233378 --enddatetime 2017-06-08T06:50:30 --enforcementcount 0 &gt;&gt;C:\Users\stu\Documents\GitHub\eaglep3-reporting\EC\2017-06-08-refined-times.txt</v>
      </c>
      <c r="AI33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{"issue":{"subject":"","project_id":79,"tracker_id":40,"status_id":1,"priority_id":2,"assigned_to_id":23,"start_date":"2017-06-08","description":"","custom_fields":[{"id":1,"name":"Subdivision","value":"EC"},{"id":4,"name":"Milepost","value":"23.3378"},{"id":17,"name":"Train ID","value":"121-08"},{"id":16,"name":"Locomotive ID","value":"4002"},{"id":130,"name":"Impact","value":""},{"id":150,"name":"Time of Event (Mountain Time)","value":"06:50:30"},{"id":151,"name":"Denver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4002 --day 2017-06-08</v>
      </c>
      <c r="AN33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12:50:30"},{"id":29,"name":"Sharepoint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683</v>
      </c>
      <c r="B34" s="7">
        <v>4001</v>
      </c>
      <c r="C34" s="21" t="s">
        <v>204</v>
      </c>
      <c r="D34" s="21" t="s">
        <v>486</v>
      </c>
      <c r="E34" s="13">
        <v>42894.286354166667</v>
      </c>
      <c r="F34" s="13">
        <v>42894.300196759257</v>
      </c>
      <c r="G34" s="7">
        <v>1</v>
      </c>
      <c r="H34" s="21" t="s">
        <v>363</v>
      </c>
      <c r="I34" s="13">
        <v>42894.327465277776</v>
      </c>
      <c r="J34" s="7">
        <v>0</v>
      </c>
      <c r="K34" s="92" t="str">
        <f t="shared" si="0"/>
        <v>4001/4002</v>
      </c>
      <c r="L34" s="21" t="str">
        <f>VLOOKUP(A34,'Trips&amp;Operators'!$C$1:$G$99999,5,FALSE)</f>
        <v>GEBRETEKLE DAGNEW</v>
      </c>
      <c r="M34" s="6">
        <f t="shared" si="1"/>
        <v>2.7268518519122154E-2</v>
      </c>
      <c r="N34" s="7">
        <f t="shared" si="2"/>
        <v>39.266666667535901</v>
      </c>
      <c r="O34" s="7"/>
      <c r="P34" s="7"/>
      <c r="Q34" s="22"/>
      <c r="R34" s="173"/>
      <c r="S34" s="176">
        <f t="shared" si="3"/>
        <v>1</v>
      </c>
      <c r="T34" s="202" t="str">
        <f t="shared" si="4"/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5"/>
        <v>https://d0f6bd738d7f1b3e5a7ca70fe4ff75f0.us-east-1.aws.found.io/app/kibana#/discover/Steve-Slow-Train-Analysis-(2080s-and-2083s)?_g=(refreshInterval:(display:Off,pause:!f,section:0,value:0),time:(from:'2017-06-08T05:52:21-0600',mode:absolute,to:'2017-06-08T08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4" s="204" t="str">
        <f t="shared" si="6"/>
        <v>N</v>
      </c>
      <c r="X34" s="204">
        <f t="shared" si="7"/>
        <v>1</v>
      </c>
      <c r="Y34" s="204">
        <f t="shared" si="8"/>
        <v>23.305299999999999</v>
      </c>
      <c r="Z34" s="204">
        <f t="shared" si="9"/>
        <v>1.41E-2</v>
      </c>
      <c r="AA34" s="204">
        <f t="shared" si="10"/>
        <v>23.2912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0122-08</v>
      </c>
      <c r="AE34" s="80" t="str">
        <f t="shared" si="12"/>
        <v>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 &amp; aws s3 cp s3://rtdc.mdm.uploadarchive.raw/RTDC4001/ "%USERPROFILE%\AppData\Local\Temp\OnboardLogs"\RTDC4001\2017-06-09 --exclude "*" --recursive --include "*20170609*" &amp; "%USERPROFILE%\Documents\GitHub\mrs-test-scripts\Headless Mode &amp; Sideloading\WalkAndUnGZ.bat" "%USERPROFILE%\AppData\Local\Temp\OnboardLogs"\RTDC4001\2017-06-09</v>
      </c>
      <c r="AF34" s="77" t="str">
        <f t="shared" si="13"/>
        <v>"C:\Program Files (x86)\AstroGrep\AstroGrep.exe" /e /r /s /spath="%USERPROFILE%\AppData\Local\Temp\OnboardLogs" /stypes="app*4001*20170608*"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122-08 --locoid 4001 --swversion DE.1.0.9.0 --startMP 204:233053 --initTime 2017-06-08T06:52:21 --startdatetime 2017-06-08T07:12:17 --delay 1 --endMP 204:141 --enddatetime 2017-06-08T07:51:33 --enforcementcount 0 &gt;&gt;C:\Users\stu\Documents\GitHub\eaglep3-reporting\EC\2017-06-08-refined-times.txt</v>
      </c>
      <c r="AI34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{"issue":{"subject":"","project_id":79,"tracker_id":40,"status_id":1,"priority_id":2,"assigned_to_id":23,"start_date":"2017-06-08","description":"","custom_fields":[{"id":1,"name":"Subdivision","value":"EC"},{"id":4,"name":"Milepost","value":"0.0141"},{"id":17,"name":"Train ID","value":"122-08"},{"id":16,"name":"Locomotive ID","value":"4001"},{"id":130,"name":"Impact","value":""},{"id":150,"name":"Time of Event (Mountain Time)","value":"07:51:33"},{"id":151,"name":"Denver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4001 --day 2017-06-08</v>
      </c>
      <c r="AN34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13:51:33"},{"id":29,"name":"Sharepoint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679</v>
      </c>
      <c r="B35" s="7">
        <v>4030</v>
      </c>
      <c r="C35" s="21" t="s">
        <v>204</v>
      </c>
      <c r="D35" s="21" t="s">
        <v>355</v>
      </c>
      <c r="E35" s="13">
        <v>42894.266956018517</v>
      </c>
      <c r="F35" s="13">
        <v>42894.271006944444</v>
      </c>
      <c r="G35" s="7">
        <v>1</v>
      </c>
      <c r="H35" s="21" t="s">
        <v>398</v>
      </c>
      <c r="I35" s="13">
        <v>42894.296400462961</v>
      </c>
      <c r="J35" s="7">
        <v>0</v>
      </c>
      <c r="K35" s="92" t="str">
        <f t="shared" si="0"/>
        <v>4029/4030</v>
      </c>
      <c r="L35" s="21" t="str">
        <f>VLOOKUP(A35,'Trips&amp;Operators'!$C$1:$G$99999,5,FALSE)</f>
        <v>GUZMAN DANNY</v>
      </c>
      <c r="M35" s="6">
        <f t="shared" si="1"/>
        <v>2.5393518517375924E-2</v>
      </c>
      <c r="N35" s="7">
        <f t="shared" si="2"/>
        <v>36.56666666502133</v>
      </c>
      <c r="O35" s="7"/>
      <c r="P35" s="7"/>
      <c r="Q35" s="22"/>
      <c r="R35" s="173"/>
      <c r="S35" s="176">
        <f t="shared" si="3"/>
        <v>1</v>
      </c>
      <c r="T35" s="202" t="str">
        <f t="shared" si="4"/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 t="shared" si="5"/>
        <v>https://d0f6bd738d7f1b3e5a7ca70fe4ff75f0.us-east-1.aws.found.io/app/kibana#/discover/Steve-Slow-Train-Analysis-(2080s-and-2083s)?_g=(refreshInterval:(display:Off,pause:!f,section:0,value:0),time:(from:'2017-06-08T05:24:25-0600',mode:absolute,to:'2017-06-08T08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5" s="204" t="str">
        <f t="shared" si="6"/>
        <v>N</v>
      </c>
      <c r="X35" s="204">
        <f t="shared" si="7"/>
        <v>1</v>
      </c>
      <c r="Y35" s="204">
        <f t="shared" si="8"/>
        <v>4.6600000000000003E-2</v>
      </c>
      <c r="Z35" s="204">
        <f t="shared" si="9"/>
        <v>23.3293</v>
      </c>
      <c r="AA35" s="204">
        <f t="shared" si="10"/>
        <v>23.282699999999998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0123-08</v>
      </c>
      <c r="AE35" s="80" t="str">
        <f t="shared" si="12"/>
        <v>aws s3 cp s3://rtdc.mdm.uploadarchive.raw/RTDC4030/ "%USERPROFILE%\AppData\Local\Temp\OnboardLogs"\RTDC4030\2017-06-08 --exclude "*" --recursive --include "*20170608*" &amp; "%USERPROFILE%\Documents\GitHub\mrs-test-scripts\Headless Mode &amp; Sideloading\WalkAndUnGZ.bat" "%USERPROFILE%\AppData\Local\Temp\OnboardLogs"\RTDC4030\2017-06-08 &amp; 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</v>
      </c>
      <c r="AF35" s="77" t="str">
        <f t="shared" si="13"/>
        <v>"C:\Program Files (x86)\AstroGrep\AstroGrep.exe" /e /r /s /spath="%USERPROFILE%\AppData\Local\Temp\OnboardLogs" /stypes="app*4030*20170608*"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123-08 --locoid 4030 --swversion DE.1.0.9.0 --startMP 204:466 --initTime 2017-06-08T06:24:25 --startdatetime 2017-06-08T06:30:15 --delay 1 --endMP 204:233293 --enddatetime 2017-06-08T07:06:49 --enforcementcount 0 &gt;&gt;C:\Users\stu\Documents\GitHub\eaglep3-reporting\EC\2017-06-08-refined-times.txt</v>
      </c>
      <c r="AI35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{"issue":{"subject":"","project_id":79,"tracker_id":40,"status_id":1,"priority_id":2,"assigned_to_id":23,"start_date":"2017-06-08","description":"","custom_fields":[{"id":1,"name":"Subdivision","value":"EC"},{"id":4,"name":"Milepost","value":"23.3293"},{"id":17,"name":"Train ID","value":"123-08"},{"id":16,"name":"Locomotive ID","value":"4030"},{"id":130,"name":"Impact","value":""},{"id":150,"name":"Time of Event (Mountain Time)","value":"07:06:49"},{"id":151,"name":"Denver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4030 --day 2017-06-08</v>
      </c>
      <c r="AN35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13:06:49"},{"id":29,"name":"Sharepoint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687</v>
      </c>
      <c r="B36" s="7">
        <v>4029</v>
      </c>
      <c r="C36" s="21" t="s">
        <v>204</v>
      </c>
      <c r="D36" s="21" t="s">
        <v>573</v>
      </c>
      <c r="E36" s="13">
        <v>42894.298182870371</v>
      </c>
      <c r="F36" s="13">
        <v>42894.310601851852</v>
      </c>
      <c r="G36" s="7">
        <v>1</v>
      </c>
      <c r="H36" s="21" t="s">
        <v>580</v>
      </c>
      <c r="I36" s="13">
        <v>42894.337824074071</v>
      </c>
      <c r="J36" s="7">
        <v>0</v>
      </c>
      <c r="K36" s="92" t="str">
        <f t="shared" si="0"/>
        <v>4029/4030</v>
      </c>
      <c r="L36" s="21" t="str">
        <f>VLOOKUP(A36,'Trips&amp;Operators'!$C$1:$G$99999,5,FALSE)</f>
        <v>GUZMAN DANNY</v>
      </c>
      <c r="M36" s="6">
        <f t="shared" si="1"/>
        <v>2.7222222219279502E-2</v>
      </c>
      <c r="N36" s="7">
        <f t="shared" si="2"/>
        <v>39.199999995762482</v>
      </c>
      <c r="O36" s="7"/>
      <c r="P36" s="7"/>
      <c r="Q36" s="22"/>
      <c r="R36" s="173"/>
      <c r="S36" s="176">
        <f t="shared" si="3"/>
        <v>1</v>
      </c>
      <c r="T36" s="202" t="str">
        <f t="shared" si="4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 t="shared" si="5"/>
        <v>https://d0f6bd738d7f1b3e5a7ca70fe4ff75f0.us-east-1.aws.found.io/app/kibana#/discover/Steve-Slow-Train-Analysis-(2080s-and-2083s)?_g=(refreshInterval:(display:Off,pause:!f,section:0,value:0),time:(from:'2017-06-08T06:09:23-0600',mode:absolute,to:'2017-06-08T09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6" s="204" t="str">
        <f t="shared" si="6"/>
        <v>N</v>
      </c>
      <c r="X36" s="204">
        <f t="shared" si="7"/>
        <v>1</v>
      </c>
      <c r="Y36" s="204">
        <f t="shared" si="8"/>
        <v>23.299399999999999</v>
      </c>
      <c r="Z36" s="204">
        <f t="shared" si="9"/>
        <v>1.61E-2</v>
      </c>
      <c r="AA36" s="204">
        <f t="shared" si="10"/>
        <v>23.283299999999997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0124-08</v>
      </c>
      <c r="AE36" s="80" t="str">
        <f t="shared" si="12"/>
        <v>aws s3 cp s3://rtdc.mdm.uploadarchive.raw/RTDC4029/ "%USERPROFILE%\AppData\Local\Temp\OnboardLogs"\RTDC4029\2017-06-08 --exclude "*" --recursive --include "*20170608*" &amp; "%USERPROFILE%\Documents\GitHub\mrs-test-scripts\Headless Mode &amp; Sideloading\WalkAndUnGZ.bat" "%USERPROFILE%\AppData\Local\Temp\OnboardLogs"\RTDC4029\2017-06-08 &amp; 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</v>
      </c>
      <c r="AF36" s="77" t="str">
        <f t="shared" si="13"/>
        <v>"C:\Program Files (x86)\AstroGrep\AstroGrep.exe" /e /r /s /spath="%USERPROFILE%\AppData\Local\Temp\OnboardLogs" /stypes="app*4029*20170608*"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124-08 --locoid 4029 --swversion DE.1.0.9.0 --startMP 204:232994 --initTime 2017-06-08T07:09:23 --startdatetime 2017-06-08T07:27:16 --delay 1 --endMP 204:161 --enddatetime 2017-06-08T08:06:28 --enforcementcount 0 &gt;&gt;C:\Users\stu\Documents\GitHub\eaglep3-reporting\EC\2017-06-08-refined-times.txt</v>
      </c>
      <c r="AI36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{"issue":{"subject":"","project_id":79,"tracker_id":40,"status_id":1,"priority_id":2,"assigned_to_id":23,"start_date":"2017-06-08","description":"","custom_fields":[{"id":1,"name":"Subdivision","value":"EC"},{"id":4,"name":"Milepost","value":"0.0161"},{"id":17,"name":"Train ID","value":"124-08"},{"id":16,"name":"Locomotive ID","value":"4029"},{"id":130,"name":"Impact","value":""},{"id":150,"name":"Time of Event (Mountain Time)","value":"08:06:28"},{"id":151,"name":"Denver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4029 --day 2017-06-08</v>
      </c>
      <c r="AN36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14:06:28"},{"id":29,"name":"Sharepoint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617</v>
      </c>
      <c r="B37" s="7">
        <v>4022</v>
      </c>
      <c r="C37" s="21" t="s">
        <v>204</v>
      </c>
      <c r="D37" s="21" t="s">
        <v>349</v>
      </c>
      <c r="E37" s="13">
        <v>42894.278564814813</v>
      </c>
      <c r="F37" s="13">
        <v>42894.281423611108</v>
      </c>
      <c r="G37" s="7">
        <v>1</v>
      </c>
      <c r="H37" s="21" t="s">
        <v>536</v>
      </c>
      <c r="I37" s="13">
        <v>42894.30809027778</v>
      </c>
      <c r="J37" s="7">
        <v>0</v>
      </c>
      <c r="K37" s="92" t="str">
        <f t="shared" si="0"/>
        <v>4021/4022</v>
      </c>
      <c r="L37" s="21" t="str">
        <f>VLOOKUP(A37,'Trips&amp;Operators'!$C$1:$G$99999,5,FALSE)</f>
        <v>STARKS ANGELINA</v>
      </c>
      <c r="M37" s="6">
        <f t="shared" si="1"/>
        <v>2.6666666672099382E-2</v>
      </c>
      <c r="N37" s="7">
        <f t="shared" si="2"/>
        <v>38.40000000782311</v>
      </c>
      <c r="O37" s="7"/>
      <c r="P37" s="7"/>
      <c r="Q37" s="22"/>
      <c r="R37" s="173"/>
      <c r="S37" s="176">
        <f t="shared" si="3"/>
        <v>1</v>
      </c>
      <c r="T37" s="202" t="str">
        <f t="shared" si="4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5"/>
        <v>https://d0f6bd738d7f1b3e5a7ca70fe4ff75f0.us-east-1.aws.found.io/app/kibana#/discover/Steve-Slow-Train-Analysis-(2080s-and-2083s)?_g=(refreshInterval:(display:Off,pause:!f,section:0,value:0),time:(from:'2017-06-08T05:41:08-0600',mode:absolute,to:'2017-06-08T08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7" s="204" t="str">
        <f t="shared" si="6"/>
        <v>N</v>
      </c>
      <c r="X37" s="204">
        <f t="shared" si="7"/>
        <v>1</v>
      </c>
      <c r="Y37" s="204">
        <f t="shared" si="8"/>
        <v>4.4600000000000001E-2</v>
      </c>
      <c r="Z37" s="204">
        <f t="shared" si="9"/>
        <v>23.328199999999999</v>
      </c>
      <c r="AA37" s="204">
        <f t="shared" si="10"/>
        <v>23.2836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0125-08</v>
      </c>
      <c r="AE37" s="80" t="str">
        <f t="shared" si="12"/>
        <v>aws s3 cp s3://rtdc.mdm.uploadarchive.raw/RTDC4022/ "%USERPROFILE%\AppData\Local\Temp\OnboardLogs"\RTDC4022\2017-06-08 --exclude "*" --recursive --include "*20170608*" &amp; "%USERPROFILE%\Documents\GitHub\mrs-test-scripts\Headless Mode &amp; Sideloading\WalkAndUnGZ.bat" "%USERPROFILE%\AppData\Local\Temp\OnboardLogs"\RTDC4022\2017-06-08 &amp; 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</v>
      </c>
      <c r="AF37" s="77" t="str">
        <f t="shared" si="13"/>
        <v>"C:\Program Files (x86)\AstroGrep\AstroGrep.exe" /e /r /s /spath="%USERPROFILE%\AppData\Local\Temp\OnboardLogs" /stypes="app*4022*20170608*"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125-08 --locoid 4022 --swversion DE.1.0.9.0 --startMP 204:446 --initTime 2017-06-08T06:41:08 --startdatetime 2017-06-08T06:45:15 --delay 1 --endMP 204:233282 --enddatetime 2017-06-08T07:23:39 --enforcementcount 0 &gt;&gt;C:\Users\stu\Documents\GitHub\eaglep3-reporting\EC\2017-06-08-refined-times.txt</v>
      </c>
      <c r="AI37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{"issue":{"subject":"","project_id":79,"tracker_id":40,"status_id":1,"priority_id":2,"assigned_to_id":23,"start_date":"2017-06-08","description":"","custom_fields":[{"id":1,"name":"Subdivision","value":"EC"},{"id":4,"name":"Milepost","value":"23.3282"},{"id":17,"name":"Train ID","value":"125-08"},{"id":16,"name":"Locomotive ID","value":"4022"},{"id":130,"name":"Impact","value":""},{"id":150,"name":"Time of Event (Mountain Time)","value":"07:23:39"},{"id":151,"name":"Denver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4022 --day 2017-06-08</v>
      </c>
      <c r="AN37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13:23:39"},{"id":29,"name":"Sharepoint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622</v>
      </c>
      <c r="B38" s="7">
        <v>4021</v>
      </c>
      <c r="C38" s="21" t="s">
        <v>204</v>
      </c>
      <c r="D38" s="21" t="s">
        <v>432</v>
      </c>
      <c r="E38" s="13">
        <v>42894.315243055556</v>
      </c>
      <c r="F38" s="13">
        <v>42894.321111111109</v>
      </c>
      <c r="G38" s="7">
        <v>0</v>
      </c>
      <c r="H38" s="21" t="s">
        <v>354</v>
      </c>
      <c r="I38" s="13">
        <v>42894.351817129631</v>
      </c>
      <c r="J38" s="7">
        <v>0</v>
      </c>
      <c r="K38" s="92" t="str">
        <f t="shared" si="0"/>
        <v>4021/4022</v>
      </c>
      <c r="L38" s="21" t="str">
        <f>VLOOKUP(A38,'Trips&amp;Operators'!$C$1:$G$99999,5,FALSE)</f>
        <v>STARKS ANGELINA</v>
      </c>
      <c r="M38" s="6">
        <f t="shared" si="1"/>
        <v>3.0706018522323575E-2</v>
      </c>
      <c r="N38" s="7">
        <f t="shared" si="2"/>
        <v>44.216666672145948</v>
      </c>
      <c r="O38" s="7"/>
      <c r="P38" s="7"/>
      <c r="Q38" s="22"/>
      <c r="R38" s="173"/>
      <c r="S38" s="176">
        <f t="shared" si="3"/>
        <v>1</v>
      </c>
      <c r="T38" s="202" t="str">
        <f t="shared" si="4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 t="shared" si="5"/>
        <v>https://d0f6bd738d7f1b3e5a7ca70fe4ff75f0.us-east-1.aws.found.io/app/kibana#/discover/Steve-Slow-Train-Analysis-(2080s-and-2083s)?_g=(refreshInterval:(display:Off,pause:!f,section:0,value:0),time:(from:'2017-06-08T06:33:57-0600',mode:absolute,to:'2017-06-08T09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8" s="204" t="str">
        <f t="shared" si="6"/>
        <v>N</v>
      </c>
      <c r="X38" s="204">
        <f t="shared" si="7"/>
        <v>1</v>
      </c>
      <c r="Y38" s="204">
        <f t="shared" si="8"/>
        <v>23.297999999999998</v>
      </c>
      <c r="Z38" s="204">
        <f t="shared" si="9"/>
        <v>1.43E-2</v>
      </c>
      <c r="AA38" s="204">
        <f t="shared" si="10"/>
        <v>23.2837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0126-08</v>
      </c>
      <c r="AE38" s="80" t="str">
        <f t="shared" si="12"/>
        <v>aws s3 cp s3://rtdc.mdm.uploadarchive.raw/RTDC4021/ "%USERPROFILE%\AppData\Local\Temp\OnboardLogs"\RTDC4021\2017-06-08 --exclude "*" --recursive --include "*20170608*" &amp; "%USERPROFILE%\Documents\GitHub\mrs-test-scripts\Headless Mode &amp; Sideloading\WalkAndUnGZ.bat" "%USERPROFILE%\AppData\Local\Temp\OnboardLogs"\RTDC4021\2017-06-08 &amp; 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</v>
      </c>
      <c r="AF38" s="77" t="str">
        <f t="shared" si="13"/>
        <v>"C:\Program Files (x86)\AstroGrep\AstroGrep.exe" /e /r /s /spath="%USERPROFILE%\AppData\Local\Temp\OnboardLogs" /stypes="app*4021*20170608*"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126-08 --locoid 4021 --swversion DE.1.0.9.0 --startMP 204:232980 --initTime 2017-06-08T07:33:57 --startdatetime 2017-06-08T07:42:24 --delay 0 --endMP 204:143 --enddatetime 2017-06-08T08:26:37 --enforcementcount 0 &gt;&gt;C:\Users\stu\Documents\GitHub\eaglep3-reporting\EC\2017-06-08-refined-times.txt</v>
      </c>
      <c r="AI38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{"issue":{"subject":"","project_id":79,"tracker_id":40,"status_id":1,"priority_id":2,"assigned_to_id":23,"start_date":"2017-06-08","description":"","custom_fields":[{"id":1,"name":"Subdivision","value":"EC"},{"id":4,"name":"Milepost","value":"0.0143"},{"id":17,"name":"Train ID","value":"126-08"},{"id":16,"name":"Locomotive ID","value":"4021"},{"id":130,"name":"Impact","value":""},{"id":150,"name":"Time of Event (Mountain Time)","value":"08:26:37"},{"id":151,"name":"Denver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4021 --day 2017-06-08</v>
      </c>
      <c r="AN38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14:26:37"},{"id":29,"name":"Sharepoint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684</v>
      </c>
      <c r="B39" s="7">
        <v>4044</v>
      </c>
      <c r="C39" s="21" t="s">
        <v>204</v>
      </c>
      <c r="D39" s="21" t="s">
        <v>351</v>
      </c>
      <c r="E39" s="13">
        <v>42894.287361111114</v>
      </c>
      <c r="F39" s="13">
        <v>42894.291979166665</v>
      </c>
      <c r="G39" s="7">
        <v>1</v>
      </c>
      <c r="H39" s="21" t="s">
        <v>469</v>
      </c>
      <c r="I39" s="13">
        <v>42894.317141203705</v>
      </c>
      <c r="J39" s="7">
        <v>0</v>
      </c>
      <c r="K39" s="92" t="str">
        <f t="shared" si="0"/>
        <v>4043/4044</v>
      </c>
      <c r="L39" s="21" t="str">
        <f>VLOOKUP(A39,'Trips&amp;Operators'!$C$1:$G$99999,5,FALSE)</f>
        <v>LOZA FIDEL</v>
      </c>
      <c r="M39" s="6">
        <f t="shared" si="1"/>
        <v>2.5162037039990537E-2</v>
      </c>
      <c r="N39" s="7">
        <f t="shared" si="2"/>
        <v>36.233333337586373</v>
      </c>
      <c r="O39" s="7"/>
      <c r="P39" s="7"/>
      <c r="Q39" s="22"/>
      <c r="R39" s="173"/>
      <c r="S39" s="176">
        <f t="shared" si="3"/>
        <v>1</v>
      </c>
      <c r="T39" s="202" t="str">
        <f t="shared" si="4"/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 t="shared" si="5"/>
        <v>https://d0f6bd738d7f1b3e5a7ca70fe4ff75f0.us-east-1.aws.found.io/app/kibana#/discover/Steve-Slow-Train-Analysis-(2080s-and-2083s)?_g=(refreshInterval:(display:Off,pause:!f,section:0,value:0),time:(from:'2017-06-08T05:53:48-0600',mode:absolute,to:'2017-06-08T08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9" s="204" t="str">
        <f t="shared" si="6"/>
        <v>N</v>
      </c>
      <c r="X39" s="204">
        <f t="shared" si="7"/>
        <v>1</v>
      </c>
      <c r="Y39" s="204">
        <f t="shared" si="8"/>
        <v>4.58E-2</v>
      </c>
      <c r="Z39" s="204">
        <f t="shared" si="9"/>
        <v>23.328900000000001</v>
      </c>
      <c r="AA39" s="204">
        <f t="shared" si="10"/>
        <v>23.283100000000001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0127-08</v>
      </c>
      <c r="AE39" s="80" t="str">
        <f t="shared" si="12"/>
        <v>aws s3 cp s3://rtdc.mdm.uploadarchive.raw/RTDC4044/ "%USERPROFILE%\AppData\Local\Temp\OnboardLogs"\RTDC4044\2017-06-08 --exclude "*" --recursive --include "*20170608*" &amp; "%USERPROFILE%\Documents\GitHub\mrs-test-scripts\Headless Mode &amp; Sideloading\WalkAndUnGZ.bat" "%USERPROFILE%\AppData\Local\Temp\OnboardLogs"\RTDC4044\2017-06-08 &amp; aws s3 cp s3://rtdc.mdm.uploadarchive.raw/RTDC4044/ "%USERPROFILE%\AppData\Local\Temp\OnboardLogs"\RTDC4044\2017-06-09 --exclude "*" --recursive --include "*20170609*" &amp; "%USERPROFILE%\Documents\GitHub\mrs-test-scripts\Headless Mode &amp; Sideloading\WalkAndUnGZ.bat" "%USERPROFILE%\AppData\Local\Temp\OnboardLogs"\RTDC4044\2017-06-09</v>
      </c>
      <c r="AF39" s="77" t="str">
        <f t="shared" si="13"/>
        <v>"C:\Program Files (x86)\AstroGrep\AstroGrep.exe" /e /r /s /spath="%USERPROFILE%\AppData\Local\Temp\OnboardLogs" /stypes="app*4044*20170608*"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127-08 --locoid 4044 --swversion DE.1.0.9.0 --startMP 204:458 --initTime 2017-06-08T06:53:48 --startdatetime 2017-06-08T07:00:27 --delay 1 --endMP 204:233289 --enddatetime 2017-06-08T07:36:41 --enforcementcount 0 &gt;&gt;C:\Users\stu\Documents\GitHub\eaglep3-reporting\EC\2017-06-08-refined-times.txt</v>
      </c>
      <c r="AI39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{"issue":{"subject":"","project_id":79,"tracker_id":40,"status_id":1,"priority_id":2,"assigned_to_id":23,"start_date":"2017-06-08","description":"","custom_fields":[{"id":1,"name":"Subdivision","value":"EC"},{"id":4,"name":"Milepost","value":"23.3289"},{"id":17,"name":"Train ID","value":"127-08"},{"id":16,"name":"Locomotive ID","value":"4044"},{"id":130,"name":"Impact","value":""},{"id":150,"name":"Time of Event (Mountain Time)","value":"07:36:41"},{"id":151,"name":"Denver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4044 --day 2017-06-08</v>
      </c>
      <c r="AN39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13:36:41"},{"id":29,"name":"Sharepoint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694</v>
      </c>
      <c r="B40" s="7">
        <v>4043</v>
      </c>
      <c r="C40" s="21" t="s">
        <v>204</v>
      </c>
      <c r="D40" s="21" t="s">
        <v>506</v>
      </c>
      <c r="E40" s="13">
        <v>42894.328159722223</v>
      </c>
      <c r="F40" s="13">
        <v>42894.33152777778</v>
      </c>
      <c r="G40" s="7">
        <v>1</v>
      </c>
      <c r="H40" s="21" t="s">
        <v>401</v>
      </c>
      <c r="I40" s="13">
        <v>42894.358888888892</v>
      </c>
      <c r="J40" s="7">
        <v>0</v>
      </c>
      <c r="K40" s="92" t="str">
        <f t="shared" si="0"/>
        <v>4043/4044</v>
      </c>
      <c r="L40" s="21" t="str">
        <f>VLOOKUP(A40,'Trips&amp;Operators'!$C$1:$G$99999,5,FALSE)</f>
        <v>LOZA FIDEL</v>
      </c>
      <c r="M40" s="6">
        <f t="shared" si="1"/>
        <v>2.73611111115315E-2</v>
      </c>
      <c r="N40" s="7">
        <f t="shared" si="2"/>
        <v>39.40000000060536</v>
      </c>
      <c r="O40" s="7"/>
      <c r="P40" s="7"/>
      <c r="Q40" s="22"/>
      <c r="R40" s="173"/>
      <c r="S40" s="176">
        <f t="shared" si="3"/>
        <v>1</v>
      </c>
      <c r="T40" s="202" t="str">
        <f t="shared" si="4"/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5"/>
        <v>https://d0f6bd738d7f1b3e5a7ca70fe4ff75f0.us-east-1.aws.found.io/app/kibana#/discover/Steve-Slow-Train-Analysis-(2080s-and-2083s)?_g=(refreshInterval:(display:Off,pause:!f,section:0,value:0),time:(from:'2017-06-08T06:52:33-0600',mode:absolute,to:'2017-06-08T09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0" s="204" t="str">
        <f t="shared" si="6"/>
        <v>N</v>
      </c>
      <c r="X40" s="204">
        <f t="shared" si="7"/>
        <v>1</v>
      </c>
      <c r="Y40" s="204">
        <f t="shared" si="8"/>
        <v>23.298300000000001</v>
      </c>
      <c r="Z40" s="204">
        <f t="shared" si="9"/>
        <v>1.54E-2</v>
      </c>
      <c r="AA40" s="204">
        <f t="shared" si="10"/>
        <v>23.282900000000001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0128-08</v>
      </c>
      <c r="AE40" s="80" t="str">
        <f t="shared" si="12"/>
        <v>aws s3 cp s3://rtdc.mdm.uploadarchive.raw/RTDC4043/ "%USERPROFILE%\AppData\Local\Temp\OnboardLogs"\RTDC4043\2017-06-08 --exclude "*" --recursive --include "*20170608*" &amp; "%USERPROFILE%\Documents\GitHub\mrs-test-scripts\Headless Mode &amp; Sideloading\WalkAndUnGZ.bat" "%USERPROFILE%\AppData\Local\Temp\OnboardLogs"\RTDC4043\2017-06-08 &amp; aws s3 cp s3://rtdc.mdm.uploadarchive.raw/RTDC4043/ "%USERPROFILE%\AppData\Local\Temp\OnboardLogs"\RTDC4043\2017-06-09 --exclude "*" --recursive --include "*20170609*" &amp; "%USERPROFILE%\Documents\GitHub\mrs-test-scripts\Headless Mode &amp; Sideloading\WalkAndUnGZ.bat" "%USERPROFILE%\AppData\Local\Temp\OnboardLogs"\RTDC4043\2017-06-09</v>
      </c>
      <c r="AF40" s="77" t="str">
        <f t="shared" si="13"/>
        <v>"C:\Program Files (x86)\AstroGrep\AstroGrep.exe" /e /r /s /spath="%USERPROFILE%\AppData\Local\Temp\OnboardLogs" /stypes="app*4043*20170608*"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128-08 --locoid 4043 --swversion DE.1.0.9.0 --startMP 204:232983 --initTime 2017-06-08T07:52:33 --startdatetime 2017-06-08T07:57:24 --delay 1 --endMP 204:154 --enddatetime 2017-06-08T08:36:48 --enforcementcount 0 &gt;&gt;C:\Users\stu\Documents\GitHub\eaglep3-reporting\EC\2017-06-08-refined-times.txt</v>
      </c>
      <c r="AI40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{"issue":{"subject":"","project_id":79,"tracker_id":40,"status_id":1,"priority_id":2,"assigned_to_id":23,"start_date":"2017-06-08","description":"","custom_fields":[{"id":1,"name":"Subdivision","value":"EC"},{"id":4,"name":"Milepost","value":"0.0154"},{"id":17,"name":"Train ID","value":"128-08"},{"id":16,"name":"Locomotive ID","value":"4043"},{"id":130,"name":"Impact","value":""},{"id":150,"name":"Time of Event (Mountain Time)","value":"08:36:48"},{"id":151,"name":"Denver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4043 --day 2017-06-08</v>
      </c>
      <c r="AN40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14:36:48"},{"id":29,"name":"Sharepoint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620</v>
      </c>
      <c r="B41" s="7">
        <v>4056</v>
      </c>
      <c r="C41" s="21" t="s">
        <v>204</v>
      </c>
      <c r="D41" s="21" t="s">
        <v>359</v>
      </c>
      <c r="E41" s="13">
        <v>42894.298726851855</v>
      </c>
      <c r="F41" s="13">
        <v>42894.302303240744</v>
      </c>
      <c r="G41" s="7">
        <v>1</v>
      </c>
      <c r="H41" s="21" t="s">
        <v>459</v>
      </c>
      <c r="I41" s="13">
        <v>42894.331365740742</v>
      </c>
      <c r="J41" s="7">
        <v>0</v>
      </c>
      <c r="K41" s="92" t="str">
        <f t="shared" si="0"/>
        <v>4055/4056</v>
      </c>
      <c r="L41" s="21" t="str">
        <f>VLOOKUP(A41,'Trips&amp;Operators'!$C$1:$G$99999,5,FALSE)</f>
        <v>WILLIAMS DONTE</v>
      </c>
      <c r="M41" s="6">
        <f t="shared" si="1"/>
        <v>2.9062499997962732E-2</v>
      </c>
      <c r="N41" s="7">
        <f t="shared" si="2"/>
        <v>41.849999997066334</v>
      </c>
      <c r="O41" s="7"/>
      <c r="P41" s="7"/>
      <c r="Q41" s="22"/>
      <c r="R41" s="173"/>
      <c r="S41" s="176">
        <f t="shared" si="3"/>
        <v>1</v>
      </c>
      <c r="T41" s="202" t="str">
        <f t="shared" si="4"/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 t="shared" si="5"/>
        <v>https://d0f6bd738d7f1b3e5a7ca70fe4ff75f0.us-east-1.aws.found.io/app/kibana#/discover/Steve-Slow-Train-Analysis-(2080s-and-2083s)?_g=(refreshInterval:(display:Off,pause:!f,section:0,value:0),time:(from:'2017-06-08T06:10:10-0600',mode:absolute,to:'2017-06-08T08:57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1" s="204" t="str">
        <f t="shared" si="6"/>
        <v>N</v>
      </c>
      <c r="X41" s="204">
        <f t="shared" si="7"/>
        <v>1</v>
      </c>
      <c r="Y41" s="204">
        <f t="shared" si="8"/>
        <v>4.53E-2</v>
      </c>
      <c r="Z41" s="204">
        <f t="shared" si="9"/>
        <v>23.3309</v>
      </c>
      <c r="AA41" s="204">
        <f t="shared" si="10"/>
        <v>23.285599999999999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0129-08</v>
      </c>
      <c r="AE41" s="80" t="str">
        <f t="shared" si="12"/>
        <v>aws s3 cp s3://rtdc.mdm.uploadarchive.raw/RTDC4056/ "%USERPROFILE%\AppData\Local\Temp\OnboardLogs"\RTDC4056\2017-06-08 --exclude "*" --recursive --include "*20170608*" &amp; "%USERPROFILE%\Documents\GitHub\mrs-test-scripts\Headless Mode &amp; Sideloading\WalkAndUnGZ.bat" "%USERPROFILE%\AppData\Local\Temp\OnboardLogs"\RTDC4056\2017-06-08 &amp; aws s3 cp s3://rtdc.mdm.uploadarchive.raw/RTDC4056/ "%USERPROFILE%\AppData\Local\Temp\OnboardLogs"\RTDC4056\2017-06-09 --exclude "*" --recursive --include "*20170609*" &amp; "%USERPROFILE%\Documents\GitHub\mrs-test-scripts\Headless Mode &amp; Sideloading\WalkAndUnGZ.bat" "%USERPROFILE%\AppData\Local\Temp\OnboardLogs"\RTDC4056\2017-06-09</v>
      </c>
      <c r="AF41" s="77" t="str">
        <f t="shared" si="13"/>
        <v>"C:\Program Files (x86)\AstroGrep\AstroGrep.exe" /e /r /s /spath="%USERPROFILE%\AppData\Local\Temp\OnboardLogs" /stypes="app*4056*20170608*"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129-08 --locoid 4056 --swversion DE.1.0.9.0 --startMP 204:453 --initTime 2017-06-08T07:10:10 --startdatetime 2017-06-08T07:15:19 --delay 1 --endMP 204:233309 --enddatetime 2017-06-08T07:57:10 --enforcementcount 0 &gt;&gt;C:\Users\stu\Documents\GitHub\eaglep3-reporting\EC\2017-06-08-refined-times.txt</v>
      </c>
      <c r="AI41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{"issue":{"subject":"","project_id":79,"tracker_id":40,"status_id":1,"priority_id":2,"assigned_to_id":23,"start_date":"2017-06-08","description":"","custom_fields":[{"id":1,"name":"Subdivision","value":"EC"},{"id":4,"name":"Milepost","value":"23.3309"},{"id":17,"name":"Train ID","value":"129-08"},{"id":16,"name":"Locomotive ID","value":"4056"},{"id":130,"name":"Impact","value":""},{"id":150,"name":"Time of Event (Mountain Time)","value":"07:57:10"},{"id":151,"name":"Denver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4056 --day 2017-06-08</v>
      </c>
      <c r="AN41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13:57:10"},{"id":29,"name":"Sharepoint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696</v>
      </c>
      <c r="B42" s="7">
        <v>4055</v>
      </c>
      <c r="C42" s="21" t="s">
        <v>204</v>
      </c>
      <c r="D42" s="21" t="s">
        <v>845</v>
      </c>
      <c r="E42" s="13">
        <v>42894.333194444444</v>
      </c>
      <c r="F42" s="13">
        <v>42894.341874999998</v>
      </c>
      <c r="G42" s="7">
        <v>1</v>
      </c>
      <c r="H42" s="21" t="s">
        <v>353</v>
      </c>
      <c r="I42" s="13">
        <v>42894.370034722226</v>
      </c>
      <c r="J42" s="7">
        <v>0</v>
      </c>
      <c r="K42" s="92" t="str">
        <f t="shared" si="0"/>
        <v>4055/4056</v>
      </c>
      <c r="L42" s="21" t="str">
        <f>VLOOKUP(A42,'Trips&amp;Operators'!$C$1:$G$99999,5,FALSE)</f>
        <v>WILLIAMS DONTE</v>
      </c>
      <c r="M42" s="6">
        <f t="shared" si="1"/>
        <v>2.8159722227428574E-2</v>
      </c>
      <c r="N42" s="7">
        <f t="shared" si="2"/>
        <v>40.550000007497147</v>
      </c>
      <c r="O42" s="7"/>
      <c r="P42" s="7"/>
      <c r="Q42" s="22"/>
      <c r="R42" s="173"/>
      <c r="S42" s="176">
        <f t="shared" si="3"/>
        <v>1</v>
      </c>
      <c r="T42" s="202" t="str">
        <f t="shared" si="4"/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 t="shared" si="5"/>
        <v>https://d0f6bd738d7f1b3e5a7ca70fe4ff75f0.us-east-1.aws.found.io/app/kibana#/discover/Steve-Slow-Train-Analysis-(2080s-and-2083s)?_g=(refreshInterval:(display:Off,pause:!f,section:0,value:0),time:(from:'2017-06-08T06:59:48-0600',mode:absolute,to:'2017-06-08T09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2" s="204" t="str">
        <f t="shared" si="6"/>
        <v>N</v>
      </c>
      <c r="X42" s="204">
        <f t="shared" si="7"/>
        <v>1</v>
      </c>
      <c r="Y42" s="204">
        <f t="shared" si="8"/>
        <v>23.298400000000001</v>
      </c>
      <c r="Z42" s="204">
        <f t="shared" si="9"/>
        <v>1.49E-2</v>
      </c>
      <c r="AA42" s="204">
        <f t="shared" si="10"/>
        <v>23.2835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0130-08</v>
      </c>
      <c r="AE42" s="80" t="str">
        <f t="shared" si="12"/>
        <v>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 &amp; aws s3 cp s3://rtdc.mdm.uploadarchive.raw/RTDC4055/ "%USERPROFILE%\AppData\Local\Temp\OnboardLogs"\RTDC4055\2017-06-09 --exclude "*" --recursive --include "*20170609*" &amp; "%USERPROFILE%\Documents\GitHub\mrs-test-scripts\Headless Mode &amp; Sideloading\WalkAndUnGZ.bat" "%USERPROFILE%\AppData\Local\Temp\OnboardLogs"\RTDC4055\2017-06-09</v>
      </c>
      <c r="AF42" s="77" t="str">
        <f t="shared" si="13"/>
        <v>"C:\Program Files (x86)\AstroGrep\AstroGrep.exe" /e /r /s /spath="%USERPROFILE%\AppData\Local\Temp\OnboardLogs" /stypes="app*4055*20170608*"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130-08 --locoid 4055 --swversion DE.1.0.9.0 --startMP 204:232984 --initTime 2017-06-08T07:59:48 --startdatetime 2017-06-08T08:12:18 --delay 1 --endMP 204:149 --enddatetime 2017-06-08T08:52:51 --enforcementcount 0 &gt;&gt;C:\Users\stu\Documents\GitHub\eaglep3-reporting\EC\2017-06-08-refined-times.txt</v>
      </c>
      <c r="AI42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{"issue":{"subject":"","project_id":79,"tracker_id":40,"status_id":1,"priority_id":2,"assigned_to_id":23,"start_date":"2017-06-08","description":"","custom_fields":[{"id":1,"name":"Subdivision","value":"EC"},{"id":4,"name":"Milepost","value":"0.0149"},{"id":17,"name":"Train ID","value":"130-08"},{"id":16,"name":"Locomotive ID","value":"4055"},{"id":130,"name":"Impact","value":""},{"id":150,"name":"Time of Event (Mountain Time)","value":"08:52:51"},{"id":151,"name":"Denver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4055 --day 2017-06-08</v>
      </c>
      <c r="AN42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14:52:51"},{"id":29,"name":"Sharepoint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619</v>
      </c>
      <c r="B43" s="7">
        <v>4026</v>
      </c>
      <c r="C43" s="21" t="s">
        <v>204</v>
      </c>
      <c r="D43" s="21" t="s">
        <v>846</v>
      </c>
      <c r="E43" s="13">
        <v>42894.31150462963</v>
      </c>
      <c r="F43" s="13">
        <v>42894.312662037039</v>
      </c>
      <c r="G43" s="7">
        <v>1</v>
      </c>
      <c r="H43" s="21" t="s">
        <v>572</v>
      </c>
      <c r="I43" s="13">
        <v>42894.338819444441</v>
      </c>
      <c r="J43" s="7">
        <v>0</v>
      </c>
      <c r="K43" s="92" t="str">
        <f t="shared" si="0"/>
        <v>4025/4026</v>
      </c>
      <c r="L43" s="21" t="str">
        <f>VLOOKUP(A43,'Trips&amp;Operators'!$C$1:$G$99999,5,FALSE)</f>
        <v>HELVIE ADAM</v>
      </c>
      <c r="M43" s="6">
        <f t="shared" si="1"/>
        <v>2.6157407402934041E-2</v>
      </c>
      <c r="N43" s="7">
        <f t="shared" si="2"/>
        <v>37.666666660225019</v>
      </c>
      <c r="O43" s="7"/>
      <c r="P43" s="7"/>
      <c r="Q43" s="22"/>
      <c r="R43" s="173"/>
      <c r="S43" s="176">
        <f t="shared" si="3"/>
        <v>1</v>
      </c>
      <c r="T43" s="202" t="str">
        <f t="shared" si="4"/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5"/>
        <v>https://d0f6bd738d7f1b3e5a7ca70fe4ff75f0.us-east-1.aws.found.io/app/kibana#/discover/Steve-Slow-Train-Analysis-(2080s-and-2083s)?_g=(refreshInterval:(display:Off,pause:!f,section:0,value:0),time:(from:'2017-06-08T06:28:34-0600',mode:absolute,to:'2017-06-08T09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3" s="204" t="str">
        <f t="shared" si="6"/>
        <v>N</v>
      </c>
      <c r="X43" s="204">
        <f t="shared" si="7"/>
        <v>1</v>
      </c>
      <c r="Y43" s="204">
        <f t="shared" si="8"/>
        <v>4.82E-2</v>
      </c>
      <c r="Z43" s="204">
        <f t="shared" si="9"/>
        <v>23.330400000000001</v>
      </c>
      <c r="AA43" s="204">
        <f t="shared" si="10"/>
        <v>23.2822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0131-08</v>
      </c>
      <c r="AE43" s="80" t="str">
        <f t="shared" si="12"/>
        <v>aws s3 cp s3://rtdc.mdm.uploadarchive.raw/RTDC4026/ "%USERPROFILE%\AppData\Local\Temp\OnboardLogs"\RTDC4026\2017-06-08 --exclude "*" --recursive --include "*20170608*" &amp; "%USERPROFILE%\Documents\GitHub\mrs-test-scripts\Headless Mode &amp; Sideloading\WalkAndUnGZ.bat" "%USERPROFILE%\AppData\Local\Temp\OnboardLogs"\RTDC4026\2017-06-08 &amp; aws s3 cp s3://rtdc.mdm.uploadarchive.raw/RTDC4026/ "%USERPROFILE%\AppData\Local\Temp\OnboardLogs"\RTDC4026\2017-06-09 --exclude "*" --recursive --include "*20170609*" &amp; "%USERPROFILE%\Documents\GitHub\mrs-test-scripts\Headless Mode &amp; Sideloading\WalkAndUnGZ.bat" "%USERPROFILE%\AppData\Local\Temp\OnboardLogs"\RTDC4026\2017-06-09</v>
      </c>
      <c r="AF43" s="77" t="str">
        <f t="shared" si="13"/>
        <v>"C:\Program Files (x86)\AstroGrep\AstroGrep.exe" /e /r /s /spath="%USERPROFILE%\AppData\Local\Temp\OnboardLogs" /stypes="app*4026*20170608*"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131-08 --locoid 4026 --swversion DE.1.0.9.0 --startMP 204:482 --initTime 2017-06-08T07:28:34 --startdatetime 2017-06-08T07:30:14 --delay 1 --endMP 204:233304 --enddatetime 2017-06-08T08:07:54 --enforcementcount 0 &gt;&gt;C:\Users\stu\Documents\GitHub\eaglep3-reporting\EC\2017-06-08-refined-times.txt</v>
      </c>
      <c r="AI43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{"issue":{"subject":"","project_id":79,"tracker_id":40,"status_id":1,"priority_id":2,"assigned_to_id":23,"start_date":"2017-06-08","description":"","custom_fields":[{"id":1,"name":"Subdivision","value":"EC"},{"id":4,"name":"Milepost","value":"23.3304"},{"id":17,"name":"Train ID","value":"131-08"},{"id":16,"name":"Locomotive ID","value":"4026"},{"id":130,"name":"Impact","value":""},{"id":150,"name":"Time of Event (Mountain Time)","value":"08:07:54"},{"id":151,"name":"Denver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4026 --day 2017-06-08</v>
      </c>
      <c r="AN43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14:07:54"},{"id":29,"name":"Sharepoint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699</v>
      </c>
      <c r="B44" s="7">
        <v>4025</v>
      </c>
      <c r="C44" s="21" t="s">
        <v>204</v>
      </c>
      <c r="D44" s="21" t="s">
        <v>506</v>
      </c>
      <c r="E44" s="13">
        <v>42894.350127314814</v>
      </c>
      <c r="F44" s="13">
        <v>42894.35229166667</v>
      </c>
      <c r="G44" s="7">
        <v>1</v>
      </c>
      <c r="H44" s="21" t="s">
        <v>363</v>
      </c>
      <c r="I44" s="13">
        <v>42894.377997685187</v>
      </c>
      <c r="J44" s="7">
        <v>0</v>
      </c>
      <c r="K44" s="92" t="str">
        <f t="shared" si="0"/>
        <v>4025/4026</v>
      </c>
      <c r="L44" s="21" t="str">
        <f>VLOOKUP(A44,'Trips&amp;Operators'!$C$1:$G$99999,5,FALSE)</f>
        <v>HELVIE ADAM</v>
      </c>
      <c r="M44" s="6">
        <f t="shared" si="1"/>
        <v>2.5706018517666962E-2</v>
      </c>
      <c r="N44" s="7">
        <f t="shared" si="2"/>
        <v>37.016666665440425</v>
      </c>
      <c r="O44" s="7"/>
      <c r="P44" s="7"/>
      <c r="Q44" s="22"/>
      <c r="R44" s="173"/>
      <c r="S44" s="176">
        <f t="shared" si="3"/>
        <v>1</v>
      </c>
      <c r="T44" s="202" t="str">
        <f t="shared" si="4"/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 t="shared" si="5"/>
        <v>https://d0f6bd738d7f1b3e5a7ca70fe4ff75f0.us-east-1.aws.found.io/app/kibana#/discover/Steve-Slow-Train-Analysis-(2080s-and-2083s)?_g=(refreshInterval:(display:Off,pause:!f,section:0,value:0),time:(from:'2017-06-08T07:24:11-0600',mode:absolute,to:'2017-06-08T10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204" t="str">
        <f t="shared" si="6"/>
        <v>N</v>
      </c>
      <c r="X44" s="204">
        <f t="shared" si="7"/>
        <v>1</v>
      </c>
      <c r="Y44" s="204">
        <f t="shared" si="8"/>
        <v>23.298300000000001</v>
      </c>
      <c r="Z44" s="204">
        <f t="shared" si="9"/>
        <v>1.41E-2</v>
      </c>
      <c r="AA44" s="204">
        <f t="shared" si="10"/>
        <v>23.284200000000002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0132-08</v>
      </c>
      <c r="AE44" s="80" t="str">
        <f t="shared" si="12"/>
        <v>aws s3 cp s3://rtdc.mdm.uploadarchive.raw/RTDC4025/ "%USERPROFILE%\AppData\Local\Temp\OnboardLogs"\RTDC4025\2017-06-08 --exclude "*" --recursive --include "*20170608*" &amp; "%USERPROFILE%\Documents\GitHub\mrs-test-scripts\Headless Mode &amp; Sideloading\WalkAndUnGZ.bat" "%USERPROFILE%\AppData\Local\Temp\OnboardLogs"\RTDC4025\2017-06-08 &amp; aws s3 cp s3://rtdc.mdm.uploadarchive.raw/RTDC4025/ "%USERPROFILE%\AppData\Local\Temp\OnboardLogs"\RTDC4025\2017-06-09 --exclude "*" --recursive --include "*20170609*" &amp; "%USERPROFILE%\Documents\GitHub\mrs-test-scripts\Headless Mode &amp; Sideloading\WalkAndUnGZ.bat" "%USERPROFILE%\AppData\Local\Temp\OnboardLogs"\RTDC4025\2017-06-09</v>
      </c>
      <c r="AF44" s="77" t="str">
        <f t="shared" si="13"/>
        <v>"C:\Program Files (x86)\AstroGrep\AstroGrep.exe" /e /r /s /spath="%USERPROFILE%\AppData\Local\Temp\OnboardLogs" /stypes="app*4025*20170608*"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132-08 --locoid 4025 --swversion DE.1.0.9.0 --startMP 204:232983 --initTime 2017-06-08T08:24:11 --startdatetime 2017-06-08T08:27:18 --delay 1 --endMP 204:141 --enddatetime 2017-06-08T09:04:19 --enforcementcount 0 &gt;&gt;C:\Users\stu\Documents\GitHub\eaglep3-reporting\EC\2017-06-08-refined-times.txt</v>
      </c>
      <c r="AI44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{"issue":{"subject":"","project_id":79,"tracker_id":40,"status_id":1,"priority_id":2,"assigned_to_id":23,"start_date":"2017-06-08","description":"","custom_fields":[{"id":1,"name":"Subdivision","value":"EC"},{"id":4,"name":"Milepost","value":"0.0141"},{"id":17,"name":"Train ID","value":"132-08"},{"id":16,"name":"Locomotive ID","value":"4025"},{"id":130,"name":"Impact","value":""},{"id":150,"name":"Time of Event (Mountain Time)","value":"09:04:19"},{"id":151,"name":"Denver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4025 --day 2017-06-08</v>
      </c>
      <c r="AN44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15:04:19"},{"id":29,"name":"Sharepoint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690</v>
      </c>
      <c r="B45" s="7">
        <v>4004</v>
      </c>
      <c r="C45" s="21" t="s">
        <v>204</v>
      </c>
      <c r="D45" s="21" t="s">
        <v>349</v>
      </c>
      <c r="E45" s="13">
        <v>42894.320092592592</v>
      </c>
      <c r="F45" s="13">
        <v>42894.323101851849</v>
      </c>
      <c r="G45" s="7">
        <v>2</v>
      </c>
      <c r="H45" s="21" t="s">
        <v>469</v>
      </c>
      <c r="I45" s="13">
        <v>42894.348668981482</v>
      </c>
      <c r="J45" s="7">
        <v>0</v>
      </c>
      <c r="K45" s="92" t="str">
        <f t="shared" si="0"/>
        <v>4003/4004</v>
      </c>
      <c r="L45" s="21" t="str">
        <f>VLOOKUP(A45,'Trips&amp;Operators'!$C$1:$G$99999,5,FALSE)</f>
        <v>CUSHING HARRY</v>
      </c>
      <c r="M45" s="6">
        <f t="shared" si="1"/>
        <v>2.5567129632690921E-2</v>
      </c>
      <c r="N45" s="7">
        <f t="shared" ref="N45:N76" si="23">24*60*SUM($M45:$M45)</f>
        <v>36.816666671074927</v>
      </c>
      <c r="O45" s="7"/>
      <c r="P45" s="7"/>
      <c r="Q45" s="22"/>
      <c r="R45" s="173"/>
      <c r="S45" s="176">
        <f t="shared" ref="S45:S76" si="24">SUM(U45:U45)/IF(AG45="EC",12,1)</f>
        <v>1</v>
      </c>
      <c r="T45" s="202" t="str">
        <f t="shared" si="4"/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 t="shared" si="5"/>
        <v>https://d0f6bd738d7f1b3e5a7ca70fe4ff75f0.us-east-1.aws.found.io/app/kibana#/discover/Steve-Slow-Train-Analysis-(2080s-and-2083s)?_g=(refreshInterval:(display:Off,pause:!f,section:0,value:0),time:(from:'2017-06-08T06:40:56-0600',mode:absolute,to:'2017-06-08T09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5" s="204" t="str">
        <f t="shared" si="6"/>
        <v>N</v>
      </c>
      <c r="X45" s="204">
        <f t="shared" ref="X45:X76" si="25">VALUE(LEFT(AD45,4))-VALUE(LEFT(AD44,4))</f>
        <v>1</v>
      </c>
      <c r="Y45" s="204">
        <f t="shared" si="8"/>
        <v>4.4600000000000001E-2</v>
      </c>
      <c r="Z45" s="204">
        <f t="shared" si="9"/>
        <v>23.328900000000001</v>
      </c>
      <c r="AA45" s="204">
        <f t="shared" si="10"/>
        <v>23.284300000000002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0133-08</v>
      </c>
      <c r="AE45" s="80" t="str">
        <f t="shared" si="12"/>
        <v>aws s3 cp s3://rtdc.mdm.uploadarchive.raw/RTDC4004/ "%USERPROFILE%\AppData\Local\Temp\OnboardLogs"\RTDC4004\2017-06-08 --exclude "*" --recursive --include "*20170608*" &amp; "%USERPROFILE%\Documents\GitHub\mrs-test-scripts\Headless Mode &amp; Sideloading\WalkAndUnGZ.bat" "%USERPROFILE%\AppData\Local\Temp\OnboardLogs"\RTDC4004\2017-06-08 &amp; aws s3 cp s3://rtdc.mdm.uploadarchive.raw/RTDC4004/ "%USERPROFILE%\AppData\Local\Temp\OnboardLogs"\RTDC4004\2017-06-09 --exclude "*" --recursive --include "*20170609*" &amp; "%USERPROFILE%\Documents\GitHub\mrs-test-scripts\Headless Mode &amp; Sideloading\WalkAndUnGZ.bat" "%USERPROFILE%\AppData\Local\Temp\OnboardLogs"\RTDC4004\2017-06-09</v>
      </c>
      <c r="AF45" s="77" t="str">
        <f t="shared" si="13"/>
        <v>"C:\Program Files (x86)\AstroGrep\AstroGrep.exe" /e /r /s /spath="%USERPROFILE%\AppData\Local\Temp\OnboardLogs" /stypes="app*4004*20170608*"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133-08 --locoid 4004 --swversion DE.1.0.9.0 --startMP 204:446 --initTime 2017-06-08T07:40:56 --startdatetime 2017-06-08T07:45:16 --delay 2 --endMP 204:233289 --enddatetime 2017-06-08T08:22:05 --enforcementcount 0 &gt;&gt;C:\Users\stu\Documents\GitHub\eaglep3-reporting\EC\2017-06-08-refined-times.txt</v>
      </c>
      <c r="AI45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{"issue":{"subject":"","project_id":79,"tracker_id":40,"status_id":1,"priority_id":2,"assigned_to_id":23,"start_date":"2017-06-08","description":"","custom_fields":[{"id":1,"name":"Subdivision","value":"EC"},{"id":4,"name":"Milepost","value":"23.3289"},{"id":17,"name":"Train ID","value":"133-08"},{"id":16,"name":"Locomotive ID","value":"4004"},{"id":130,"name":"Impact","value":""},{"id":150,"name":"Time of Event (Mountain Time)","value":"08:22:05"},{"id":151,"name":"Denver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4004 --day 2017-06-08</v>
      </c>
      <c r="AN45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14:22:05"},{"id":29,"name":"Sharepoint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702</v>
      </c>
      <c r="B46" s="7">
        <v>4003</v>
      </c>
      <c r="C46" s="21" t="s">
        <v>204</v>
      </c>
      <c r="D46" s="21" t="s">
        <v>847</v>
      </c>
      <c r="E46" s="13">
        <v>42894.356550925928</v>
      </c>
      <c r="F46" s="13">
        <v>42894.362719907411</v>
      </c>
      <c r="G46" s="7">
        <v>1</v>
      </c>
      <c r="H46" s="21" t="s">
        <v>457</v>
      </c>
      <c r="I46" s="13">
        <v>42894.389930555553</v>
      </c>
      <c r="J46" s="7">
        <v>0</v>
      </c>
      <c r="K46" s="92" t="str">
        <f t="shared" si="0"/>
        <v>4003/4004</v>
      </c>
      <c r="L46" s="21" t="str">
        <f>VLOOKUP(A46,'Trips&amp;Operators'!$C$1:$G$99999,5,FALSE)</f>
        <v>CUSHING HARRY</v>
      </c>
      <c r="M46" s="6">
        <f t="shared" si="1"/>
        <v>2.7210648142499849E-2</v>
      </c>
      <c r="N46" s="7">
        <f t="shared" si="23"/>
        <v>39.183333325199783</v>
      </c>
      <c r="O46" s="7"/>
      <c r="P46" s="7"/>
      <c r="Q46" s="22"/>
      <c r="R46" s="173"/>
      <c r="S46" s="176">
        <f t="shared" si="24"/>
        <v>1</v>
      </c>
      <c r="T46" s="202" t="str">
        <f t="shared" si="4"/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5"/>
        <v>https://d0f6bd738d7f1b3e5a7ca70fe4ff75f0.us-east-1.aws.found.io/app/kibana#/discover/Steve-Slow-Train-Analysis-(2080s-and-2083s)?_g=(refreshInterval:(display:Off,pause:!f,section:0,value:0),time:(from:'2017-06-08T07:33:26-0600',mode:absolute,to:'2017-06-08T10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6" s="204" t="str">
        <f t="shared" si="6"/>
        <v>N</v>
      </c>
      <c r="X46" s="204">
        <f t="shared" si="25"/>
        <v>1</v>
      </c>
      <c r="Y46" s="204">
        <f t="shared" si="8"/>
        <v>23.2959</v>
      </c>
      <c r="Z46" s="204">
        <f t="shared" si="9"/>
        <v>1.5599999999999999E-2</v>
      </c>
      <c r="AA46" s="204">
        <f t="shared" si="10"/>
        <v>23.2803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0134-08</v>
      </c>
      <c r="AE46" s="80" t="str">
        <f t="shared" si="12"/>
        <v>aws s3 cp s3://rtdc.mdm.uploadarchive.raw/RTDC4003/ "%USERPROFILE%\AppData\Local\Temp\OnboardLogs"\RTDC4003\2017-06-08 --exclude "*" --recursive --include "*20170608*" &amp; "%USERPROFILE%\Documents\GitHub\mrs-test-scripts\Headless Mode &amp; Sideloading\WalkAndUnGZ.bat" "%USERPROFILE%\AppData\Local\Temp\OnboardLogs"\RTDC4003\2017-06-08 &amp; aws s3 cp s3://rtdc.mdm.uploadarchive.raw/RTDC4003/ "%USERPROFILE%\AppData\Local\Temp\OnboardLogs"\RTDC4003\2017-06-09 --exclude "*" --recursive --include "*20170609*" &amp; "%USERPROFILE%\Documents\GitHub\mrs-test-scripts\Headless Mode &amp; Sideloading\WalkAndUnGZ.bat" "%USERPROFILE%\AppData\Local\Temp\OnboardLogs"\RTDC4003\2017-06-09</v>
      </c>
      <c r="AF46" s="77" t="str">
        <f t="shared" si="13"/>
        <v>"C:\Program Files (x86)\AstroGrep\AstroGrep.exe" /e /r /s /spath="%USERPROFILE%\AppData\Local\Temp\OnboardLogs" /stypes="app*4003*20170608*"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134-08 --locoid 4003 --swversion DE.1.0.9.0 --startMP 204:232959 --initTime 2017-06-08T08:33:26 --startdatetime 2017-06-08T08:42:19 --delay 1 --endMP 204:156 --enddatetime 2017-06-08T09:21:30 --enforcementcount 0 &gt;&gt;C:\Users\stu\Documents\GitHub\eaglep3-reporting\EC\2017-06-08-refined-times.txt</v>
      </c>
      <c r="AI46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{"issue":{"subject":"","project_id":79,"tracker_id":40,"status_id":1,"priority_id":2,"assigned_to_id":23,"start_date":"2017-06-08","description":"","custom_fields":[{"id":1,"name":"Subdivision","value":"EC"},{"id":4,"name":"Milepost","value":"0.0156"},{"id":17,"name":"Train ID","value":"134-08"},{"id":16,"name":"Locomotive ID","value":"4003"},{"id":130,"name":"Impact","value":""},{"id":150,"name":"Time of Event (Mountain Time)","value":"09:21:30"},{"id":151,"name":"Denver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4003 --day 2017-06-08</v>
      </c>
      <c r="AN46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15:21:30"},{"id":29,"name":"Sharepoint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695</v>
      </c>
      <c r="B47" s="7">
        <v>4002</v>
      </c>
      <c r="C47" s="21" t="s">
        <v>204</v>
      </c>
      <c r="D47" s="21" t="s">
        <v>397</v>
      </c>
      <c r="E47" s="13">
        <v>42894.330069444448</v>
      </c>
      <c r="F47" s="13">
        <v>42894.33394675926</v>
      </c>
      <c r="G47" s="7">
        <v>1</v>
      </c>
      <c r="H47" s="21" t="s">
        <v>848</v>
      </c>
      <c r="I47" s="13">
        <v>42894.358831018515</v>
      </c>
      <c r="J47" s="7">
        <v>0</v>
      </c>
      <c r="K47" s="92" t="str">
        <f t="shared" si="0"/>
        <v>4001/4002</v>
      </c>
      <c r="L47" s="21" t="str">
        <f>VLOOKUP(A47,'Trips&amp;Operators'!$C$1:$G$99999,5,FALSE)</f>
        <v>GEBRETEKLE DAGNEW</v>
      </c>
      <c r="M47" s="6">
        <f t="shared" si="1"/>
        <v>2.488425925548654E-2</v>
      </c>
      <c r="N47" s="7">
        <f t="shared" si="23"/>
        <v>35.833333327900618</v>
      </c>
      <c r="O47" s="7"/>
      <c r="P47" s="7"/>
      <c r="Q47" s="22"/>
      <c r="R47" s="173"/>
      <c r="S47" s="176">
        <f t="shared" si="24"/>
        <v>1</v>
      </c>
      <c r="T47" s="202" t="str">
        <f t="shared" si="4"/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 t="shared" si="5"/>
        <v>https://d0f6bd738d7f1b3e5a7ca70fe4ff75f0.us-east-1.aws.found.io/app/kibana#/discover/Steve-Slow-Train-Analysis-(2080s-and-2083s)?_g=(refreshInterval:(display:Off,pause:!f,section:0,value:0),time:(from:'2017-06-08T06:55:18-0600',mode:absolute,to:'2017-06-08T09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7" s="204" t="str">
        <f t="shared" si="6"/>
        <v>N</v>
      </c>
      <c r="X47" s="204">
        <f t="shared" si="25"/>
        <v>1</v>
      </c>
      <c r="Y47" s="204">
        <f t="shared" si="8"/>
        <v>4.6199999999999998E-2</v>
      </c>
      <c r="Z47" s="204">
        <f t="shared" si="9"/>
        <v>23.331700000000001</v>
      </c>
      <c r="AA47" s="204">
        <f t="shared" si="10"/>
        <v>23.285500000000003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0135-08</v>
      </c>
      <c r="AE47" s="80" t="str">
        <f t="shared" si="12"/>
        <v>aws s3 cp s3://rtdc.mdm.uploadarchive.raw/RTDC4002/ "%USERPROFILE%\AppData\Local\Temp\OnboardLogs"\RTDC4002\2017-06-08 --exclude "*" --recursive --include "*20170608*" &amp; "%USERPROFILE%\Documents\GitHub\mrs-test-scripts\Headless Mode &amp; Sideloading\WalkAndUnGZ.bat" "%USERPROFILE%\AppData\Local\Temp\OnboardLogs"\RTDC4002\2017-06-08 &amp; aws s3 cp s3://rtdc.mdm.uploadarchive.raw/RTDC4002/ "%USERPROFILE%\AppData\Local\Temp\OnboardLogs"\RTDC4002\2017-06-09 --exclude "*" --recursive --include "*20170609*" &amp; "%USERPROFILE%\Documents\GitHub\mrs-test-scripts\Headless Mode &amp; Sideloading\WalkAndUnGZ.bat" "%USERPROFILE%\AppData\Local\Temp\OnboardLogs"\RTDC4002\2017-06-09</v>
      </c>
      <c r="AF47" s="77" t="str">
        <f t="shared" si="13"/>
        <v>"C:\Program Files (x86)\AstroGrep\AstroGrep.exe" /e /r /s /spath="%USERPROFILE%\AppData\Local\Temp\OnboardLogs" /stypes="app*4002*20170608*"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135-08 --locoid 4002 --swversion DE.1.0.9.0 --startMP 204:462 --initTime 2017-06-08T07:55:18 --startdatetime 2017-06-08T08:00:53 --delay 1 --endMP 204:233317 --enddatetime 2017-06-08T08:36:43 --enforcementcount 0 &gt;&gt;C:\Users\stu\Documents\GitHub\eaglep3-reporting\EC\2017-06-08-refined-times.txt</v>
      </c>
      <c r="AI47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{"issue":{"subject":"","project_id":79,"tracker_id":40,"status_id":1,"priority_id":2,"assigned_to_id":23,"start_date":"2017-06-08","description":"","custom_fields":[{"id":1,"name":"Subdivision","value":"EC"},{"id":4,"name":"Milepost","value":"23.3317"},{"id":17,"name":"Train ID","value":"135-08"},{"id":16,"name":"Locomotive ID","value":"4002"},{"id":130,"name":"Impact","value":""},{"id":150,"name":"Time of Event (Mountain Time)","value":"08:36:43"},{"id":151,"name":"Denver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4002 --day 2017-06-08</v>
      </c>
      <c r="AN47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14:36:43"},{"id":29,"name":"Sharepoint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704</v>
      </c>
      <c r="B48" s="7">
        <v>4001</v>
      </c>
      <c r="C48" s="21" t="s">
        <v>204</v>
      </c>
      <c r="D48" s="21" t="s">
        <v>849</v>
      </c>
      <c r="E48" s="13">
        <v>42894.360995370371</v>
      </c>
      <c r="F48" s="13">
        <v>42894.373124999998</v>
      </c>
      <c r="G48" s="7">
        <v>1</v>
      </c>
      <c r="H48" s="21" t="s">
        <v>465</v>
      </c>
      <c r="I48" s="13">
        <v>42894.399131944447</v>
      </c>
      <c r="J48" s="7">
        <v>0</v>
      </c>
      <c r="K48" s="92" t="str">
        <f t="shared" si="0"/>
        <v>4001/4002</v>
      </c>
      <c r="L48" s="21" t="str">
        <f>VLOOKUP(A48,'Trips&amp;Operators'!$C$1:$G$99999,5,FALSE)</f>
        <v>GEBRETEKLE DAGNEW</v>
      </c>
      <c r="M48" s="6">
        <f t="shared" si="1"/>
        <v>2.6006944448454306E-2</v>
      </c>
      <c r="N48" s="7">
        <f t="shared" si="23"/>
        <v>37.4500000057742</v>
      </c>
      <c r="O48" s="7"/>
      <c r="P48" s="7"/>
      <c r="Q48" s="22"/>
      <c r="R48" s="173"/>
      <c r="S48" s="176">
        <f t="shared" si="24"/>
        <v>1</v>
      </c>
      <c r="T48" s="202" t="str">
        <f t="shared" si="4"/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 t="shared" si="5"/>
        <v>https://d0f6bd738d7f1b3e5a7ca70fe4ff75f0.us-east-1.aws.found.io/app/kibana#/discover/Steve-Slow-Train-Analysis-(2080s-and-2083s)?_g=(refreshInterval:(display:Off,pause:!f,section:0,value:0),time:(from:'2017-06-08T07:39:50-0600',mode:absolute,to:'2017-06-08T10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8" s="204" t="str">
        <f t="shared" si="6"/>
        <v>N</v>
      </c>
      <c r="X48" s="204">
        <f t="shared" si="25"/>
        <v>1</v>
      </c>
      <c r="Y48" s="204">
        <f t="shared" si="8"/>
        <v>23.3004</v>
      </c>
      <c r="Z48" s="204">
        <f t="shared" si="9"/>
        <v>1.6299999999999999E-2</v>
      </c>
      <c r="AA48" s="204">
        <f t="shared" si="10"/>
        <v>23.284099999999999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0136-08</v>
      </c>
      <c r="AE48" s="80" t="str">
        <f t="shared" si="12"/>
        <v>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 &amp; aws s3 cp s3://rtdc.mdm.uploadarchive.raw/RTDC4001/ "%USERPROFILE%\AppData\Local\Temp\OnboardLogs"\RTDC4001\2017-06-09 --exclude "*" --recursive --include "*20170609*" &amp; "%USERPROFILE%\Documents\GitHub\mrs-test-scripts\Headless Mode &amp; Sideloading\WalkAndUnGZ.bat" "%USERPROFILE%\AppData\Local\Temp\OnboardLogs"\RTDC4001\2017-06-09</v>
      </c>
      <c r="AF48" s="77" t="str">
        <f t="shared" si="13"/>
        <v>"C:\Program Files (x86)\AstroGrep\AstroGrep.exe" /e /r /s /spath="%USERPROFILE%\AppData\Local\Temp\OnboardLogs" /stypes="app*4001*20170608*"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136-08 --locoid 4001 --swversion DE.1.0.9.0 --startMP 204:233004 --initTime 2017-06-08T08:39:50 --startdatetime 2017-06-08T08:57:18 --delay 1 --endMP 204:163 --enddatetime 2017-06-08T09:34:45 --enforcementcount 0 &gt;&gt;C:\Users\stu\Documents\GitHub\eaglep3-reporting\EC\2017-06-08-refined-times.txt</v>
      </c>
      <c r="AI48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{"issue":{"subject":"","project_id":79,"tracker_id":40,"status_id":1,"priority_id":2,"assigned_to_id":23,"start_date":"2017-06-08","description":"","custom_fields":[{"id":1,"name":"Subdivision","value":"EC"},{"id":4,"name":"Milepost","value":"0.0163"},{"id":17,"name":"Train ID","value":"136-08"},{"id":16,"name":"Locomotive ID","value":"4001"},{"id":130,"name":"Impact","value":""},{"id":150,"name":"Time of Event (Mountain Time)","value":"09:34:45"},{"id":151,"name":"Denver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4001 --day 2017-06-08</v>
      </c>
      <c r="AN48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15:34:45"},{"id":29,"name":"Sharepoint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698</v>
      </c>
      <c r="B49" s="7">
        <v>4030</v>
      </c>
      <c r="C49" s="21" t="s">
        <v>204</v>
      </c>
      <c r="D49" s="21" t="s">
        <v>397</v>
      </c>
      <c r="E49" s="13">
        <v>42894.339988425927</v>
      </c>
      <c r="F49" s="13">
        <v>42894.343923611108</v>
      </c>
      <c r="G49" s="7">
        <v>1</v>
      </c>
      <c r="H49" s="21" t="s">
        <v>581</v>
      </c>
      <c r="I49" s="13">
        <v>42894.368969907409</v>
      </c>
      <c r="J49" s="7">
        <v>0</v>
      </c>
      <c r="K49" s="92" t="str">
        <f t="shared" si="0"/>
        <v>4029/4030</v>
      </c>
      <c r="L49" s="21" t="str">
        <f>VLOOKUP(A49,'Trips&amp;Operators'!$C$1:$G$99999,5,FALSE)</f>
        <v>GUZMAN DANNY</v>
      </c>
      <c r="M49" s="6">
        <f t="shared" si="1"/>
        <v>2.5046296301297843E-2</v>
      </c>
      <c r="N49" s="7">
        <f t="shared" si="23"/>
        <v>36.066666673868895</v>
      </c>
      <c r="O49" s="7"/>
      <c r="P49" s="7"/>
      <c r="Q49" s="22"/>
      <c r="R49" s="173"/>
      <c r="S49" s="176">
        <f t="shared" si="24"/>
        <v>1</v>
      </c>
      <c r="T49" s="202" t="str">
        <f t="shared" si="4"/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5"/>
        <v>https://d0f6bd738d7f1b3e5a7ca70fe4ff75f0.us-east-1.aws.found.io/app/kibana#/discover/Steve-Slow-Train-Analysis-(2080s-and-2083s)?_g=(refreshInterval:(display:Off,pause:!f,section:0,value:0),time:(from:'2017-06-08T07:09:35-0600',mode:absolute,to:'2017-06-08T09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9" s="204" t="str">
        <f t="shared" si="6"/>
        <v>N</v>
      </c>
      <c r="X49" s="204">
        <f t="shared" si="25"/>
        <v>1</v>
      </c>
      <c r="Y49" s="204">
        <f t="shared" si="8"/>
        <v>4.6199999999999998E-2</v>
      </c>
      <c r="Z49" s="204">
        <f t="shared" si="9"/>
        <v>23.331800000000001</v>
      </c>
      <c r="AA49" s="204">
        <f t="shared" si="10"/>
        <v>23.285600000000002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0137-08</v>
      </c>
      <c r="AE49" s="80" t="str">
        <f t="shared" si="12"/>
        <v>aws s3 cp s3://rtdc.mdm.uploadarchive.raw/RTDC4030/ "%USERPROFILE%\AppData\Local\Temp\OnboardLogs"\RTDC4030\2017-06-08 --exclude "*" --recursive --include "*20170608*" &amp; "%USERPROFILE%\Documents\GitHub\mrs-test-scripts\Headless Mode &amp; Sideloading\WalkAndUnGZ.bat" "%USERPROFILE%\AppData\Local\Temp\OnboardLogs"\RTDC4030\2017-06-08 &amp; 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</v>
      </c>
      <c r="AF49" s="77" t="str">
        <f t="shared" si="13"/>
        <v>"C:\Program Files (x86)\AstroGrep\AstroGrep.exe" /e /r /s /spath="%USERPROFILE%\AppData\Local\Temp\OnboardLogs" /stypes="app*4030*20170608*"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137-08 --locoid 4030 --swversion DE.1.0.9.0 --startMP 204:462 --initTime 2017-06-08T08:09:35 --startdatetime 2017-06-08T08:15:15 --delay 1 --endMP 204:233318 --enddatetime 2017-06-08T08:51:19 --enforcementcount 0 &gt;&gt;C:\Users\stu\Documents\GitHub\eaglep3-reporting\EC\2017-06-08-refined-times.txt</v>
      </c>
      <c r="AI49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{"issue":{"subject":"","project_id":79,"tracker_id":40,"status_id":1,"priority_id":2,"assigned_to_id":23,"start_date":"2017-06-08","description":"","custom_fields":[{"id":1,"name":"Subdivision","value":"EC"},{"id":4,"name":"Milepost","value":"23.3318"},{"id":17,"name":"Train ID","value":"137-08"},{"id":16,"name":"Locomotive ID","value":"4030"},{"id":130,"name":"Impact","value":""},{"id":150,"name":"Time of Event (Mountain Time)","value":"08:51:19"},{"id":151,"name":"Denver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4030 --day 2017-06-08</v>
      </c>
      <c r="AN49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14:51:19"},{"id":29,"name":"Sharepoint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706</v>
      </c>
      <c r="B50" s="7">
        <v>4029</v>
      </c>
      <c r="C50" s="21" t="s">
        <v>204</v>
      </c>
      <c r="D50" s="21" t="s">
        <v>468</v>
      </c>
      <c r="E50" s="13">
        <v>42894.372465277775</v>
      </c>
      <c r="F50" s="13">
        <v>42894.383634259262</v>
      </c>
      <c r="G50" s="7">
        <v>1</v>
      </c>
      <c r="H50" s="21" t="s">
        <v>364</v>
      </c>
      <c r="I50" s="13">
        <v>42894.410497685189</v>
      </c>
      <c r="J50" s="7">
        <v>0</v>
      </c>
      <c r="K50" s="92" t="str">
        <f t="shared" si="0"/>
        <v>4029/4030</v>
      </c>
      <c r="L50" s="21" t="str">
        <f>VLOOKUP(A50,'Trips&amp;Operators'!$C$1:$G$99999,5,FALSE)</f>
        <v>GUZMAN DANNY</v>
      </c>
      <c r="M50" s="6">
        <f t="shared" si="1"/>
        <v>2.6863425926421769E-2</v>
      </c>
      <c r="N50" s="7">
        <f t="shared" si="23"/>
        <v>38.683333334047347</v>
      </c>
      <c r="O50" s="7"/>
      <c r="P50" s="7"/>
      <c r="Q50" s="22"/>
      <c r="R50" s="173"/>
      <c r="S50" s="176">
        <f t="shared" si="24"/>
        <v>1</v>
      </c>
      <c r="T50" s="202" t="str">
        <f t="shared" si="4"/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 t="shared" si="5"/>
        <v>https://d0f6bd738d7f1b3e5a7ca70fe4ff75f0.us-east-1.aws.found.io/app/kibana#/discover/Steve-Slow-Train-Analysis-(2080s-and-2083s)?_g=(refreshInterval:(display:Off,pause:!f,section:0,value:0),time:(from:'2017-06-08T07:56:21-0600',mode:absolute,to:'2017-06-08T10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0" s="204" t="str">
        <f t="shared" si="6"/>
        <v>N</v>
      </c>
      <c r="X50" s="204">
        <f t="shared" si="25"/>
        <v>1</v>
      </c>
      <c r="Y50" s="204">
        <f t="shared" si="8"/>
        <v>23.2988</v>
      </c>
      <c r="Z50" s="204">
        <f t="shared" si="9"/>
        <v>1.47E-2</v>
      </c>
      <c r="AA50" s="204">
        <f t="shared" si="10"/>
        <v>23.284099999999999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0138-08</v>
      </c>
      <c r="AE50" s="80" t="str">
        <f t="shared" si="12"/>
        <v>aws s3 cp s3://rtdc.mdm.uploadarchive.raw/RTDC4029/ "%USERPROFILE%\AppData\Local\Temp\OnboardLogs"\RTDC4029\2017-06-08 --exclude "*" --recursive --include "*20170608*" &amp; "%USERPROFILE%\Documents\GitHub\mrs-test-scripts\Headless Mode &amp; Sideloading\WalkAndUnGZ.bat" "%USERPROFILE%\AppData\Local\Temp\OnboardLogs"\RTDC4029\2017-06-08 &amp; 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</v>
      </c>
      <c r="AF50" s="77" t="str">
        <f t="shared" si="13"/>
        <v>"C:\Program Files (x86)\AstroGrep\AstroGrep.exe" /e /r /s /spath="%USERPROFILE%\AppData\Local\Temp\OnboardLogs" /stypes="app*4029*20170608*"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138-08 --locoid 4029 --swversion DE.1.0.9.0 --startMP 204:232988 --initTime 2017-06-08T08:56:21 --startdatetime 2017-06-08T09:12:26 --delay 1 --endMP 204:147 --enddatetime 2017-06-08T09:51:07 --enforcementcount 0 &gt;&gt;C:\Users\stu\Documents\GitHub\eaglep3-reporting\EC\2017-06-08-refined-times.txt</v>
      </c>
      <c r="AI50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{"issue":{"subject":"","project_id":79,"tracker_id":40,"status_id":1,"priority_id":2,"assigned_to_id":23,"start_date":"2017-06-08","description":"","custom_fields":[{"id":1,"name":"Subdivision","value":"EC"},{"id":4,"name":"Milepost","value":"0.0147"},{"id":17,"name":"Train ID","value":"138-08"},{"id":16,"name":"Locomotive ID","value":"4029"},{"id":130,"name":"Impact","value":""},{"id":150,"name":"Time of Event (Mountain Time)","value":"09:51:07"},{"id":151,"name":"Denver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4029 --day 2017-06-08</v>
      </c>
      <c r="AN50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15:51:07"},{"id":29,"name":"Sharepoint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701</v>
      </c>
      <c r="B51" s="7">
        <v>4022</v>
      </c>
      <c r="C51" s="21" t="s">
        <v>204</v>
      </c>
      <c r="D51" s="21" t="s">
        <v>397</v>
      </c>
      <c r="E51" s="13">
        <v>42894.353020833332</v>
      </c>
      <c r="F51" s="13">
        <v>42894.354351851849</v>
      </c>
      <c r="G51" s="7">
        <v>1</v>
      </c>
      <c r="H51" s="21" t="s">
        <v>577</v>
      </c>
      <c r="I51" s="13">
        <v>42894.379791666666</v>
      </c>
      <c r="J51" s="7">
        <v>0</v>
      </c>
      <c r="K51" s="92" t="str">
        <f t="shared" si="0"/>
        <v>4021/4022</v>
      </c>
      <c r="L51" s="21" t="str">
        <f>VLOOKUP(A51,'Trips&amp;Operators'!$C$1:$G$99999,5,FALSE)</f>
        <v>STARKS ANGELINA</v>
      </c>
      <c r="M51" s="6">
        <f t="shared" si="1"/>
        <v>2.5439814817218576E-2</v>
      </c>
      <c r="N51" s="7">
        <f t="shared" si="23"/>
        <v>36.633333336794749</v>
      </c>
      <c r="O51" s="7"/>
      <c r="P51" s="7"/>
      <c r="Q51" s="22"/>
      <c r="R51" s="173"/>
      <c r="S51" s="176">
        <f t="shared" si="24"/>
        <v>1</v>
      </c>
      <c r="T51" s="202" t="str">
        <f t="shared" si="4"/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 t="shared" si="5"/>
        <v>https://d0f6bd738d7f1b3e5a7ca70fe4ff75f0.us-east-1.aws.found.io/app/kibana#/discover/Steve-Slow-Train-Analysis-(2080s-and-2083s)?_g=(refreshInterval:(display:Off,pause:!f,section:0,value:0),time:(from:'2017-06-08T07:28:21-0600',mode:absolute,to:'2017-06-08T10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1" s="204" t="str">
        <f t="shared" si="6"/>
        <v>N</v>
      </c>
      <c r="X51" s="204">
        <f t="shared" si="25"/>
        <v>1</v>
      </c>
      <c r="Y51" s="204">
        <f t="shared" si="8"/>
        <v>4.6199999999999998E-2</v>
      </c>
      <c r="Z51" s="204">
        <f t="shared" si="9"/>
        <v>23.3306</v>
      </c>
      <c r="AA51" s="204">
        <f t="shared" si="10"/>
        <v>23.284400000000002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0139-08</v>
      </c>
      <c r="AE51" s="80" t="str">
        <f t="shared" si="12"/>
        <v>aws s3 cp s3://rtdc.mdm.uploadarchive.raw/RTDC4022/ "%USERPROFILE%\AppData\Local\Temp\OnboardLogs"\RTDC4022\2017-06-08 --exclude "*" --recursive --include "*20170608*" &amp; "%USERPROFILE%\Documents\GitHub\mrs-test-scripts\Headless Mode &amp; Sideloading\WalkAndUnGZ.bat" "%USERPROFILE%\AppData\Local\Temp\OnboardLogs"\RTDC4022\2017-06-08 &amp; 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</v>
      </c>
      <c r="AF51" s="77" t="str">
        <f t="shared" si="13"/>
        <v>"C:\Program Files (x86)\AstroGrep\AstroGrep.exe" /e /r /s /spath="%USERPROFILE%\AppData\Local\Temp\OnboardLogs" /stypes="app*4022*20170608*"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139-08 --locoid 4022 --swversion DE.1.0.9.0 --startMP 204:462 --initTime 2017-06-08T08:28:21 --startdatetime 2017-06-08T08:30:16 --delay 1 --endMP 204:233306 --enddatetime 2017-06-08T09:06:54 --enforcementcount 0 &gt;&gt;C:\Users\stu\Documents\GitHub\eaglep3-reporting\EC\2017-06-08-refined-times.txt</v>
      </c>
      <c r="AI51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{"issue":{"subject":"","project_id":79,"tracker_id":40,"status_id":1,"priority_id":2,"assigned_to_id":23,"start_date":"2017-06-08","description":"","custom_fields":[{"id":1,"name":"Subdivision","value":"EC"},{"id":4,"name":"Milepost","value":"23.3306"},{"id":17,"name":"Train ID","value":"139-08"},{"id":16,"name":"Locomotive ID","value":"4022"},{"id":130,"name":"Impact","value":""},{"id":150,"name":"Time of Event (Mountain Time)","value":"09:06:54"},{"id":151,"name":"Denver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4022 --day 2017-06-08</v>
      </c>
      <c r="AN51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15:06:54"},{"id":29,"name":"Sharepoint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623</v>
      </c>
      <c r="B52" s="7">
        <v>4021</v>
      </c>
      <c r="C52" s="21" t="s">
        <v>204</v>
      </c>
      <c r="D52" s="21" t="s">
        <v>850</v>
      </c>
      <c r="E52" s="13">
        <v>42894.391909722224</v>
      </c>
      <c r="F52" s="13">
        <v>42894.393912037034</v>
      </c>
      <c r="G52" s="7">
        <v>1</v>
      </c>
      <c r="H52" s="21" t="s">
        <v>851</v>
      </c>
      <c r="I52" s="13">
        <v>42894.422731481478</v>
      </c>
      <c r="J52" s="7">
        <v>0</v>
      </c>
      <c r="K52" s="92" t="str">
        <f t="shared" si="0"/>
        <v>4021/4022</v>
      </c>
      <c r="L52" s="21" t="str">
        <f>VLOOKUP(A52,'Trips&amp;Operators'!$C$1:$G$99999,5,FALSE)</f>
        <v>STARKS ANGELINA</v>
      </c>
      <c r="M52" s="6">
        <f t="shared" si="1"/>
        <v>2.8819444443797693E-2</v>
      </c>
      <c r="N52" s="7">
        <f t="shared" si="23"/>
        <v>41.499999999068677</v>
      </c>
      <c r="O52" s="7"/>
      <c r="P52" s="7"/>
      <c r="Q52" s="22"/>
      <c r="R52" s="173"/>
      <c r="S52" s="176">
        <f t="shared" si="24"/>
        <v>1</v>
      </c>
      <c r="T52" s="202" t="str">
        <f t="shared" si="4"/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5"/>
        <v>https://d0f6bd738d7f1b3e5a7ca70fe4ff75f0.us-east-1.aws.found.io/app/kibana#/discover/Steve-Slow-Train-Analysis-(2080s-and-2083s)?_g=(refreshInterval:(display:Off,pause:!f,section:0,value:0),time:(from:'2017-06-08T08:24:21-0600',mode:absolute,to:'2017-06-08T11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2" s="204" t="str">
        <f t="shared" si="6"/>
        <v>N</v>
      </c>
      <c r="X52" s="204">
        <f t="shared" si="25"/>
        <v>1</v>
      </c>
      <c r="Y52" s="204">
        <f t="shared" si="8"/>
        <v>23.297899999999998</v>
      </c>
      <c r="Z52" s="204">
        <f t="shared" si="9"/>
        <v>1.34E-2</v>
      </c>
      <c r="AA52" s="204">
        <f t="shared" si="10"/>
        <v>23.284499999999998</v>
      </c>
      <c r="AB52" s="57" t="str">
        <f>VLOOKUP(A52,Enforcements!$C$7:$K$13,8,0)</f>
        <v>Bulletin (2)</v>
      </c>
      <c r="AC52" s="53" t="str">
        <f>VLOOKUP(A52,Enforcements!$C$7:$E$13,3,0)</f>
        <v>GRADE CROSSING</v>
      </c>
      <c r="AD52" s="54" t="str">
        <f t="shared" si="11"/>
        <v>0140-08</v>
      </c>
      <c r="AE52" s="80" t="str">
        <f t="shared" si="12"/>
        <v>aws s3 cp s3://rtdc.mdm.uploadarchive.raw/RTDC4021/ "%USERPROFILE%\AppData\Local\Temp\OnboardLogs"\RTDC4021\2017-06-08 --exclude "*" --recursive --include "*20170608*" &amp; "%USERPROFILE%\Documents\GitHub\mrs-test-scripts\Headless Mode &amp; Sideloading\WalkAndUnGZ.bat" "%USERPROFILE%\AppData\Local\Temp\OnboardLogs"\RTDC4021\2017-06-08 &amp; 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</v>
      </c>
      <c r="AF52" s="77" t="str">
        <f t="shared" si="13"/>
        <v>"C:\Program Files (x86)\AstroGrep\AstroGrep.exe" /e /r /s /spath="%USERPROFILE%\AppData\Local\Temp\OnboardLogs" /stypes="app*4021*20170608*"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140-08 --locoid 4021 --swversion DE.1.0.9.0 --startMP 204:232979 --initTime 2017-06-08T09:24:21 --startdatetime 2017-06-08T09:27:14 --delay 1 --endMP 204:134 --enddatetime 2017-06-08T10:08:44 --enforcementcount 0 &gt;&gt;C:\Users\stu\Documents\GitHub\eaglep3-reporting\EC\2017-06-08-refined-times.txt</v>
      </c>
      <c r="AI52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{"issue":{"subject":"","project_id":79,"tracker_id":40,"status_id":1,"priority_id":2,"assigned_to_id":23,"start_date":"2017-06-08","description":"","custom_fields":[{"id":1,"name":"Subdivision","value":"EC"},{"id":4,"name":"Milepost","value":"0.0134"},{"id":17,"name":"Train ID","value":"140-08"},{"id":16,"name":"Locomotive ID","value":"4021"},{"id":130,"name":"Impact","value":""},{"id":150,"name":"Time of Event (Mountain Time)","value":"10:08:44"},{"id":151,"name":"Denver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4021 --day 2017-06-08</v>
      </c>
      <c r="AN52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16:08:44"},{"id":29,"name":"Sharepoint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705</v>
      </c>
      <c r="B53" s="7">
        <v>4044</v>
      </c>
      <c r="C53" s="21" t="s">
        <v>204</v>
      </c>
      <c r="D53" s="21" t="s">
        <v>351</v>
      </c>
      <c r="E53" s="13">
        <v>42894.36210648148</v>
      </c>
      <c r="F53" s="13">
        <v>42894.364895833336</v>
      </c>
      <c r="G53" s="7">
        <v>1</v>
      </c>
      <c r="H53" s="21" t="s">
        <v>453</v>
      </c>
      <c r="I53" s="13">
        <v>42894.388923611114</v>
      </c>
      <c r="J53" s="7">
        <v>0</v>
      </c>
      <c r="K53" s="92" t="str">
        <f t="shared" si="0"/>
        <v>4043/4044</v>
      </c>
      <c r="L53" s="21" t="str">
        <f>VLOOKUP(A53,'Trips&amp;Operators'!$C$1:$G$99999,5,FALSE)</f>
        <v>LOZA FIDEL</v>
      </c>
      <c r="M53" s="6">
        <f t="shared" si="1"/>
        <v>2.4027777777519077E-2</v>
      </c>
      <c r="N53" s="7">
        <f t="shared" si="23"/>
        <v>34.599999999627471</v>
      </c>
      <c r="O53" s="7"/>
      <c r="P53" s="7"/>
      <c r="Q53" s="22"/>
      <c r="R53" s="173"/>
      <c r="S53" s="176">
        <f t="shared" si="24"/>
        <v>1</v>
      </c>
      <c r="T53" s="202" t="str">
        <f t="shared" si="4"/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 t="shared" si="5"/>
        <v>https://d0f6bd738d7f1b3e5a7ca70fe4ff75f0.us-east-1.aws.found.io/app/kibana#/discover/Steve-Slow-Train-Analysis-(2080s-and-2083s)?_g=(refreshInterval:(display:Off,pause:!f,section:0,value:0),time:(from:'2017-06-08T07:41:26-0600',mode:absolute,to:'2017-06-08T10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3" s="204" t="str">
        <f t="shared" si="6"/>
        <v>N</v>
      </c>
      <c r="X53" s="204">
        <f t="shared" si="25"/>
        <v>1</v>
      </c>
      <c r="Y53" s="204">
        <f t="shared" si="8"/>
        <v>4.58E-2</v>
      </c>
      <c r="Z53" s="204">
        <f t="shared" si="9"/>
        <v>23.329699999999999</v>
      </c>
      <c r="AA53" s="204">
        <f t="shared" si="10"/>
        <v>23.283899999999999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0141-08</v>
      </c>
      <c r="AE53" s="80" t="str">
        <f t="shared" si="12"/>
        <v>aws s3 cp s3://rtdc.mdm.uploadarchive.raw/RTDC4044/ "%USERPROFILE%\AppData\Local\Temp\OnboardLogs"\RTDC4044\2017-06-08 --exclude "*" --recursive --include "*20170608*" &amp; "%USERPROFILE%\Documents\GitHub\mrs-test-scripts\Headless Mode &amp; Sideloading\WalkAndUnGZ.bat" "%USERPROFILE%\AppData\Local\Temp\OnboardLogs"\RTDC4044\2017-06-08 &amp; aws s3 cp s3://rtdc.mdm.uploadarchive.raw/RTDC4044/ "%USERPROFILE%\AppData\Local\Temp\OnboardLogs"\RTDC4044\2017-06-09 --exclude "*" --recursive --include "*20170609*" &amp; "%USERPROFILE%\Documents\GitHub\mrs-test-scripts\Headless Mode &amp; Sideloading\WalkAndUnGZ.bat" "%USERPROFILE%\AppData\Local\Temp\OnboardLogs"\RTDC4044\2017-06-09</v>
      </c>
      <c r="AF53" s="77" t="str">
        <f t="shared" si="13"/>
        <v>"C:\Program Files (x86)\AstroGrep\AstroGrep.exe" /e /r /s /spath="%USERPROFILE%\AppData\Local\Temp\OnboardLogs" /stypes="app*4044*20170608*"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141-08 --locoid 4044 --swversion DE.1.0.9.0 --startMP 204:458 --initTime 2017-06-08T08:41:26 --startdatetime 2017-06-08T08:45:27 --delay 1 --endMP 204:233297 --enddatetime 2017-06-08T09:20:03 --enforcementcount 0 &gt;&gt;C:\Users\stu\Documents\GitHub\eaglep3-reporting\EC\2017-06-08-refined-times.txt</v>
      </c>
      <c r="AI53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{"issue":{"subject":"","project_id":79,"tracker_id":40,"status_id":1,"priority_id":2,"assigned_to_id":23,"start_date":"2017-06-08","description":"","custom_fields":[{"id":1,"name":"Subdivision","value":"EC"},{"id":4,"name":"Milepost","value":"23.3297"},{"id":17,"name":"Train ID","value":"141-08"},{"id":16,"name":"Locomotive ID","value":"4044"},{"id":130,"name":"Impact","value":""},{"id":150,"name":"Time of Event (Mountain Time)","value":"09:20:03"},{"id":151,"name":"Denver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4044 --day 2017-06-08</v>
      </c>
      <c r="AN53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15:20:03"},{"id":29,"name":"Sharepoint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711</v>
      </c>
      <c r="B54" s="7">
        <v>4043</v>
      </c>
      <c r="C54" s="21" t="s">
        <v>204</v>
      </c>
      <c r="D54" s="21" t="s">
        <v>573</v>
      </c>
      <c r="E54" s="13">
        <v>42894.399988425925</v>
      </c>
      <c r="F54" s="13">
        <v>42894.404351851852</v>
      </c>
      <c r="G54" s="7">
        <v>1</v>
      </c>
      <c r="H54" s="21" t="s">
        <v>851</v>
      </c>
      <c r="I54" s="13">
        <v>42894.430300925924</v>
      </c>
      <c r="J54" s="7">
        <v>0</v>
      </c>
      <c r="K54" s="92" t="str">
        <f t="shared" si="0"/>
        <v>4043/4044</v>
      </c>
      <c r="L54" s="21" t="str">
        <f>VLOOKUP(A54,'Trips&amp;Operators'!$C$1:$G$99999,5,FALSE)</f>
        <v>LOZA FIDEL</v>
      </c>
      <c r="M54" s="6">
        <f t="shared" si="1"/>
        <v>2.5949074071832001E-2</v>
      </c>
      <c r="N54" s="7">
        <f t="shared" si="23"/>
        <v>37.366666663438082</v>
      </c>
      <c r="O54" s="7"/>
      <c r="P54" s="7"/>
      <c r="Q54" s="22"/>
      <c r="R54" s="173"/>
      <c r="S54" s="176">
        <f t="shared" si="24"/>
        <v>1</v>
      </c>
      <c r="T54" s="202" t="str">
        <f t="shared" si="4"/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 t="shared" si="5"/>
        <v>https://d0f6bd738d7f1b3e5a7ca70fe4ff75f0.us-east-1.aws.found.io/app/kibana#/discover/Steve-Slow-Train-Analysis-(2080s-and-2083s)?_g=(refreshInterval:(display:Off,pause:!f,section:0,value:0),time:(from:'2017-06-08T08:35:59-0600',mode:absolute,to:'2017-06-08T11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4" s="204" t="str">
        <f t="shared" si="6"/>
        <v>N</v>
      </c>
      <c r="X54" s="204">
        <f t="shared" si="25"/>
        <v>1</v>
      </c>
      <c r="Y54" s="204">
        <f t="shared" si="8"/>
        <v>23.299399999999999</v>
      </c>
      <c r="Z54" s="204">
        <f t="shared" si="9"/>
        <v>1.34E-2</v>
      </c>
      <c r="AA54" s="204">
        <f t="shared" si="10"/>
        <v>23.285999999999998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0142-08</v>
      </c>
      <c r="AE54" s="80" t="str">
        <f t="shared" si="12"/>
        <v>aws s3 cp s3://rtdc.mdm.uploadarchive.raw/RTDC4043/ "%USERPROFILE%\AppData\Local\Temp\OnboardLogs"\RTDC4043\2017-06-08 --exclude "*" --recursive --include "*20170608*" &amp; "%USERPROFILE%\Documents\GitHub\mrs-test-scripts\Headless Mode &amp; Sideloading\WalkAndUnGZ.bat" "%USERPROFILE%\AppData\Local\Temp\OnboardLogs"\RTDC4043\2017-06-08 &amp; aws s3 cp s3://rtdc.mdm.uploadarchive.raw/RTDC4043/ "%USERPROFILE%\AppData\Local\Temp\OnboardLogs"\RTDC4043\2017-06-09 --exclude "*" --recursive --include "*20170609*" &amp; "%USERPROFILE%\Documents\GitHub\mrs-test-scripts\Headless Mode &amp; Sideloading\WalkAndUnGZ.bat" "%USERPROFILE%\AppData\Local\Temp\OnboardLogs"\RTDC4043\2017-06-09</v>
      </c>
      <c r="AF54" s="77" t="str">
        <f t="shared" si="13"/>
        <v>"C:\Program Files (x86)\AstroGrep\AstroGrep.exe" /e /r /s /spath="%USERPROFILE%\AppData\Local\Temp\OnboardLogs" /stypes="app*4043*20170608*"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142-08 --locoid 4043 --swversion DE.1.0.9.0 --startMP 204:232994 --initTime 2017-06-08T09:35:59 --startdatetime 2017-06-08T09:42:16 --delay 1 --endMP 204:134 --enddatetime 2017-06-08T10:19:38 --enforcementcount 0 &gt;&gt;C:\Users\stu\Documents\GitHub\eaglep3-reporting\EC\2017-06-08-refined-times.txt</v>
      </c>
      <c r="AI54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{"issue":{"subject":"","project_id":79,"tracker_id":40,"status_id":1,"priority_id":2,"assigned_to_id":23,"start_date":"2017-06-08","description":"","custom_fields":[{"id":1,"name":"Subdivision","value":"EC"},{"id":4,"name":"Milepost","value":"0.0134"},{"id":17,"name":"Train ID","value":"142-08"},{"id":16,"name":"Locomotive ID","value":"4043"},{"id":130,"name":"Impact","value":""},{"id":150,"name":"Time of Event (Mountain Time)","value":"10:19:38"},{"id":151,"name":"Denver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4043 --day 2017-06-08</v>
      </c>
      <c r="AN54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16:19:38"},{"id":29,"name":"Sharepoint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707</v>
      </c>
      <c r="B55" s="7">
        <v>4056</v>
      </c>
      <c r="C55" s="21" t="s">
        <v>204</v>
      </c>
      <c r="D55" s="21" t="s">
        <v>356</v>
      </c>
      <c r="E55" s="13">
        <v>42894.373078703706</v>
      </c>
      <c r="F55" s="13">
        <v>42894.375219907408</v>
      </c>
      <c r="G55" s="7">
        <v>1</v>
      </c>
      <c r="H55" s="21" t="s">
        <v>574</v>
      </c>
      <c r="I55" s="13">
        <v>42894.401238425926</v>
      </c>
      <c r="J55" s="7">
        <v>0</v>
      </c>
      <c r="K55" s="92" t="str">
        <f t="shared" si="0"/>
        <v>4055/4056</v>
      </c>
      <c r="L55" s="21" t="str">
        <f>VLOOKUP(A55,'Trips&amp;Operators'!$C$1:$G$99999,5,FALSE)</f>
        <v>WILLIAMS DONTE</v>
      </c>
      <c r="M55" s="6">
        <f t="shared" si="1"/>
        <v>2.6018518517958E-2</v>
      </c>
      <c r="N55" s="7">
        <f t="shared" si="23"/>
        <v>37.46666666585952</v>
      </c>
      <c r="O55" s="7"/>
      <c r="P55" s="7"/>
      <c r="Q55" s="22"/>
      <c r="R55" s="173"/>
      <c r="S55" s="176">
        <f t="shared" si="24"/>
        <v>1</v>
      </c>
      <c r="T55" s="202" t="str">
        <f t="shared" si="4"/>
        <v>NorthBound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 t="shared" si="5"/>
        <v>https://d0f6bd738d7f1b3e5a7ca70fe4ff75f0.us-east-1.aws.found.io/app/kibana#/discover/Steve-Slow-Train-Analysis-(2080s-and-2083s)?_g=(refreshInterval:(display:Off,pause:!f,section:0,value:0),time:(from:'2017-06-08T07:57:14-0600',mode:absolute,to:'2017-06-08T10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5" s="204" t="str">
        <f t="shared" si="6"/>
        <v>N</v>
      </c>
      <c r="X55" s="204">
        <f t="shared" si="25"/>
        <v>1</v>
      </c>
      <c r="Y55" s="204">
        <f t="shared" si="8"/>
        <v>4.5100000000000001E-2</v>
      </c>
      <c r="Z55" s="204">
        <f t="shared" si="9"/>
        <v>23.332699999999999</v>
      </c>
      <c r="AA55" s="204">
        <f t="shared" si="10"/>
        <v>23.287599999999998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0143-08</v>
      </c>
      <c r="AE55" s="80" t="str">
        <f t="shared" si="12"/>
        <v>aws s3 cp s3://rtdc.mdm.uploadarchive.raw/RTDC4056/ "%USERPROFILE%\AppData\Local\Temp\OnboardLogs"\RTDC4056\2017-06-08 --exclude "*" --recursive --include "*20170608*" &amp; "%USERPROFILE%\Documents\GitHub\mrs-test-scripts\Headless Mode &amp; Sideloading\WalkAndUnGZ.bat" "%USERPROFILE%\AppData\Local\Temp\OnboardLogs"\RTDC4056\2017-06-08 &amp; aws s3 cp s3://rtdc.mdm.uploadarchive.raw/RTDC4056/ "%USERPROFILE%\AppData\Local\Temp\OnboardLogs"\RTDC4056\2017-06-09 --exclude "*" --recursive --include "*20170609*" &amp; "%USERPROFILE%\Documents\GitHub\mrs-test-scripts\Headless Mode &amp; Sideloading\WalkAndUnGZ.bat" "%USERPROFILE%\AppData\Local\Temp\OnboardLogs"\RTDC4056\2017-06-09</v>
      </c>
      <c r="AF55" s="77" t="str">
        <f t="shared" si="13"/>
        <v>"C:\Program Files (x86)\AstroGrep\AstroGrep.exe" /e /r /s /spath="%USERPROFILE%\AppData\Local\Temp\OnboardLogs" /stypes="app*4056*20170608*"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143-08 --locoid 4056 --swversion DE.1.0.9.0 --startMP 204:451 --initTime 2017-06-08T08:57:14 --startdatetime 2017-06-08T09:00:19 --delay 1 --endMP 204:233327 --enddatetime 2017-06-08T09:37:47 --enforcementcount 0 &gt;&gt;C:\Users\stu\Documents\GitHub\eaglep3-reporting\EC\2017-06-08-refined-times.txt</v>
      </c>
      <c r="AI55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{"issue":{"subject":"","project_id":79,"tracker_id":40,"status_id":1,"priority_id":2,"assigned_to_id":23,"start_date":"2017-06-08","description":"","custom_fields":[{"id":1,"name":"Subdivision","value":"EC"},{"id":4,"name":"Milepost","value":"23.3327"},{"id":17,"name":"Train ID","value":"143-08"},{"id":16,"name":"Locomotive ID","value":"4056"},{"id":130,"name":"Impact","value":""},{"id":150,"name":"Time of Event (Mountain Time)","value":"09:37:47"},{"id":151,"name":"Denver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4056 --day 2017-06-08</v>
      </c>
      <c r="AN55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15:37:47"},{"id":29,"name":"Sharepoint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714</v>
      </c>
      <c r="B56" s="7">
        <v>4055</v>
      </c>
      <c r="C56" s="21" t="s">
        <v>204</v>
      </c>
      <c r="D56" s="21" t="s">
        <v>573</v>
      </c>
      <c r="E56" s="13">
        <v>42894.40347222222</v>
      </c>
      <c r="F56" s="13">
        <v>42894.414814814816</v>
      </c>
      <c r="G56" s="7">
        <v>1</v>
      </c>
      <c r="H56" s="21" t="s">
        <v>470</v>
      </c>
      <c r="I56" s="13">
        <v>42894.442997685182</v>
      </c>
      <c r="J56" s="7">
        <v>0</v>
      </c>
      <c r="K56" s="92" t="str">
        <f t="shared" si="0"/>
        <v>4055/4056</v>
      </c>
      <c r="L56" s="21" t="str">
        <f>VLOOKUP(A56,'Trips&amp;Operators'!$C$1:$G$99999,5,FALSE)</f>
        <v>WILLIAMS DONTE</v>
      </c>
      <c r="M56" s="6">
        <f t="shared" si="1"/>
        <v>2.8182870366435964E-2</v>
      </c>
      <c r="N56" s="7">
        <f t="shared" si="23"/>
        <v>40.583333327667788</v>
      </c>
      <c r="O56" s="7"/>
      <c r="P56" s="7"/>
      <c r="Q56" s="22"/>
      <c r="R56" s="173"/>
      <c r="S56" s="176">
        <f t="shared" si="24"/>
        <v>1</v>
      </c>
      <c r="T56" s="202" t="str">
        <f t="shared" si="4"/>
        <v>Southbound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 t="shared" si="5"/>
        <v>https://d0f6bd738d7f1b3e5a7ca70fe4ff75f0.us-east-1.aws.found.io/app/kibana#/discover/Steve-Slow-Train-Analysis-(2080s-and-2083s)?_g=(refreshInterval:(display:Off,pause:!f,section:0,value:0),time:(from:'2017-06-08T08:41:00-0600',mode:absolute,to:'2017-06-08T11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6" s="204" t="str">
        <f t="shared" si="6"/>
        <v>N</v>
      </c>
      <c r="X56" s="204">
        <f t="shared" si="25"/>
        <v>1</v>
      </c>
      <c r="Y56" s="204">
        <f t="shared" si="8"/>
        <v>23.299399999999999</v>
      </c>
      <c r="Z56" s="204">
        <f t="shared" si="9"/>
        <v>1.6500000000000001E-2</v>
      </c>
      <c r="AA56" s="204">
        <f t="shared" si="10"/>
        <v>23.282899999999998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0144-08</v>
      </c>
      <c r="AE56" s="80" t="str">
        <f t="shared" si="12"/>
        <v>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 &amp; aws s3 cp s3://rtdc.mdm.uploadarchive.raw/RTDC4055/ "%USERPROFILE%\AppData\Local\Temp\OnboardLogs"\RTDC4055\2017-06-09 --exclude "*" --recursive --include "*20170609*" &amp; "%USERPROFILE%\Documents\GitHub\mrs-test-scripts\Headless Mode &amp; Sideloading\WalkAndUnGZ.bat" "%USERPROFILE%\AppData\Local\Temp\OnboardLogs"\RTDC4055\2017-06-09</v>
      </c>
      <c r="AF56" s="77" t="str">
        <f t="shared" si="13"/>
        <v>"C:\Program Files (x86)\AstroGrep\AstroGrep.exe" /e /r /s /spath="%USERPROFILE%\AppData\Local\Temp\OnboardLogs" /stypes="app*4055*20170608*"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144-08 --locoid 4055 --swversion DE.1.0.9.0 --startMP 204:232994 --initTime 2017-06-08T09:41:00 --startdatetime 2017-06-08T09:57:20 --delay 1 --endMP 204:165 --enddatetime 2017-06-08T10:37:55 --enforcementcount 0 &gt;&gt;C:\Users\stu\Documents\GitHub\eaglep3-reporting\EC\2017-06-08-refined-times.txt</v>
      </c>
      <c r="AI56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{"issue":{"subject":"","project_id":79,"tracker_id":40,"status_id":1,"priority_id":2,"assigned_to_id":23,"start_date":"2017-06-08","description":"","custom_fields":[{"id":1,"name":"Subdivision","value":"EC"},{"id":4,"name":"Milepost","value":"0.0165"},{"id":17,"name":"Train ID","value":"144-08"},{"id":16,"name":"Locomotive ID","value":"4055"},{"id":130,"name":"Impact","value":""},{"id":150,"name":"Time of Event (Mountain Time)","value":"10:37:55"},{"id":151,"name":"Denver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4055 --day 2017-06-08</v>
      </c>
      <c r="AN56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16:37:55"},{"id":29,"name":"Sharepoint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709</v>
      </c>
      <c r="B57" s="7">
        <v>4026</v>
      </c>
      <c r="C57" s="21" t="s">
        <v>204</v>
      </c>
      <c r="D57" s="21" t="s">
        <v>368</v>
      </c>
      <c r="E57" s="13">
        <v>42894.38490740741</v>
      </c>
      <c r="F57" s="13">
        <v>42894.386180555557</v>
      </c>
      <c r="G57" s="7">
        <v>1</v>
      </c>
      <c r="H57" s="21" t="s">
        <v>852</v>
      </c>
      <c r="I57" s="13">
        <v>42894.409837962965</v>
      </c>
      <c r="J57" s="7">
        <v>0</v>
      </c>
      <c r="K57" s="92" t="str">
        <f t="shared" si="0"/>
        <v>4025/4026</v>
      </c>
      <c r="L57" s="21" t="str">
        <f>VLOOKUP(A57,'Trips&amp;Operators'!$C$1:$G$99999,5,FALSE)</f>
        <v>HELVIE ADAM</v>
      </c>
      <c r="M57" s="6">
        <f t="shared" si="1"/>
        <v>2.3657407407881692E-2</v>
      </c>
      <c r="N57" s="7">
        <f t="shared" si="23"/>
        <v>34.066666667349637</v>
      </c>
      <c r="O57" s="7"/>
      <c r="P57" s="7"/>
      <c r="Q57" s="22"/>
      <c r="R57" s="173"/>
      <c r="S57" s="176">
        <f t="shared" si="24"/>
        <v>1</v>
      </c>
      <c r="T57" s="202" t="str">
        <f t="shared" si="4"/>
        <v>NorthBound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 t="shared" si="5"/>
        <v>https://d0f6bd738d7f1b3e5a7ca70fe4ff75f0.us-east-1.aws.found.io/app/kibana#/discover/Steve-Slow-Train-Analysis-(2080s-and-2083s)?_g=(refreshInterval:(display:Off,pause:!f,section:0,value:0),time:(from:'2017-06-08T08:14:16-0600',mode:absolute,to:'2017-06-08T10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7" s="204" t="str">
        <f t="shared" si="6"/>
        <v>N</v>
      </c>
      <c r="X57" s="204">
        <f t="shared" si="25"/>
        <v>1</v>
      </c>
      <c r="Y57" s="204">
        <f t="shared" si="8"/>
        <v>4.5499999999999999E-2</v>
      </c>
      <c r="Z57" s="204">
        <f t="shared" si="9"/>
        <v>23.328600000000002</v>
      </c>
      <c r="AA57" s="204">
        <f t="shared" si="10"/>
        <v>23.283100000000001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0145-08</v>
      </c>
      <c r="AE57" s="80" t="str">
        <f t="shared" si="12"/>
        <v>aws s3 cp s3://rtdc.mdm.uploadarchive.raw/RTDC4026/ "%USERPROFILE%\AppData\Local\Temp\OnboardLogs"\RTDC4026\2017-06-08 --exclude "*" --recursive --include "*20170608*" &amp; "%USERPROFILE%\Documents\GitHub\mrs-test-scripts\Headless Mode &amp; Sideloading\WalkAndUnGZ.bat" "%USERPROFILE%\AppData\Local\Temp\OnboardLogs"\RTDC4026\2017-06-08 &amp; aws s3 cp s3://rtdc.mdm.uploadarchive.raw/RTDC4026/ "%USERPROFILE%\AppData\Local\Temp\OnboardLogs"\RTDC4026\2017-06-09 --exclude "*" --recursive --include "*20170609*" &amp; "%USERPROFILE%\Documents\GitHub\mrs-test-scripts\Headless Mode &amp; Sideloading\WalkAndUnGZ.bat" "%USERPROFILE%\AppData\Local\Temp\OnboardLogs"\RTDC4026\2017-06-09</v>
      </c>
      <c r="AF57" s="77" t="str">
        <f t="shared" si="13"/>
        <v>"C:\Program Files (x86)\AstroGrep\AstroGrep.exe" /e /r /s /spath="%USERPROFILE%\AppData\Local\Temp\OnboardLogs" /stypes="app*4026*20170608*"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145-08 --locoid 4026 --swversion DE.1.0.9.0 --startMP 204:455 --initTime 2017-06-08T09:14:16 --startdatetime 2017-06-08T09:16:06 --delay 1 --endMP 204:233286 --enddatetime 2017-06-08T09:50:10 --enforcementcount 0 &gt;&gt;C:\Users\stu\Documents\GitHub\eaglep3-reporting\EC\2017-06-08-refined-times.txt</v>
      </c>
      <c r="AI57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{"issue":{"subject":"","project_id":79,"tracker_id":40,"status_id":1,"priority_id":2,"assigned_to_id":23,"start_date":"2017-06-08","description":"","custom_fields":[{"id":1,"name":"Subdivision","value":"EC"},{"id":4,"name":"Milepost","value":"23.3286"},{"id":17,"name":"Train ID","value":"145-08"},{"id":16,"name":"Locomotive ID","value":"4026"},{"id":130,"name":"Impact","value":""},{"id":150,"name":"Time of Event (Mountain Time)","value":"09:50:10"},{"id":151,"name":"Denver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4026 --day 2017-06-08</v>
      </c>
      <c r="AN57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15:50:10"},{"id":29,"name":"Sharepoint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717</v>
      </c>
      <c r="B58" s="7">
        <v>4025</v>
      </c>
      <c r="C58" s="21" t="s">
        <v>204</v>
      </c>
      <c r="D58" s="21" t="s">
        <v>430</v>
      </c>
      <c r="E58" s="13">
        <v>42894.421967592592</v>
      </c>
      <c r="F58" s="13">
        <v>42894.425162037034</v>
      </c>
      <c r="G58" s="7">
        <v>1</v>
      </c>
      <c r="H58" s="21" t="s">
        <v>195</v>
      </c>
      <c r="I58" s="13">
        <v>42894.451643518521</v>
      </c>
      <c r="J58" s="7">
        <v>0</v>
      </c>
      <c r="K58" s="92" t="str">
        <f t="shared" si="0"/>
        <v>4025/4026</v>
      </c>
      <c r="L58" s="21" t="str">
        <f>VLOOKUP(A58,'Trips&amp;Operators'!$C$1:$G$99999,5,FALSE)</f>
        <v>HELVIE ADAM</v>
      </c>
      <c r="M58" s="6">
        <f t="shared" si="1"/>
        <v>2.6481481487280689E-2</v>
      </c>
      <c r="N58" s="7">
        <f t="shared" si="23"/>
        <v>38.133333341684192</v>
      </c>
      <c r="O58" s="7"/>
      <c r="P58" s="7"/>
      <c r="Q58" s="22"/>
      <c r="R58" s="173"/>
      <c r="S58" s="176">
        <f t="shared" si="24"/>
        <v>1</v>
      </c>
      <c r="T58" s="202" t="str">
        <f t="shared" si="4"/>
        <v>Southbound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5"/>
        <v>https://d0f6bd738d7f1b3e5a7ca70fe4ff75f0.us-east-1.aws.found.io/app/kibana#/discover/Steve-Slow-Train-Analysis-(2080s-and-2083s)?_g=(refreshInterval:(display:Off,pause:!f,section:0,value:0),time:(from:'2017-06-08T09:07:38-0600',mode:absolute,to:'2017-06-08T11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8" s="204" t="str">
        <f t="shared" si="6"/>
        <v>N</v>
      </c>
      <c r="X58" s="204">
        <f t="shared" si="25"/>
        <v>1</v>
      </c>
      <c r="Y58" s="204">
        <f t="shared" si="8"/>
        <v>23.297699999999999</v>
      </c>
      <c r="Z58" s="204">
        <f t="shared" si="9"/>
        <v>1.52E-2</v>
      </c>
      <c r="AA58" s="204">
        <f t="shared" si="10"/>
        <v>23.282499999999999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0146-08</v>
      </c>
      <c r="AE58" s="80" t="str">
        <f t="shared" si="12"/>
        <v>aws s3 cp s3://rtdc.mdm.uploadarchive.raw/RTDC4025/ "%USERPROFILE%\AppData\Local\Temp\OnboardLogs"\RTDC4025\2017-06-08 --exclude "*" --recursive --include "*20170608*" &amp; "%USERPROFILE%\Documents\GitHub\mrs-test-scripts\Headless Mode &amp; Sideloading\WalkAndUnGZ.bat" "%USERPROFILE%\AppData\Local\Temp\OnboardLogs"\RTDC4025\2017-06-08 &amp; aws s3 cp s3://rtdc.mdm.uploadarchive.raw/RTDC4025/ "%USERPROFILE%\AppData\Local\Temp\OnboardLogs"\RTDC4025\2017-06-09 --exclude "*" --recursive --include "*20170609*" &amp; "%USERPROFILE%\Documents\GitHub\mrs-test-scripts\Headless Mode &amp; Sideloading\WalkAndUnGZ.bat" "%USERPROFILE%\AppData\Local\Temp\OnboardLogs"\RTDC4025\2017-06-09</v>
      </c>
      <c r="AF58" s="77" t="str">
        <f t="shared" si="13"/>
        <v>"C:\Program Files (x86)\AstroGrep\AstroGrep.exe" /e /r /s /spath="%USERPROFILE%\AppData\Local\Temp\OnboardLogs" /stypes="app*4025*20170608*"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146-08 --locoid 4025 --swversion DE.1.0.9.0 --startMP 204:232977 --initTime 2017-06-08T10:07:38 --startdatetime 2017-06-08T10:12:14 --delay 1 --endMP 204:152 --enddatetime 2017-06-08T10:50:22 --enforcementcount 0 &gt;&gt;C:\Users\stu\Documents\GitHub\eaglep3-reporting\EC\2017-06-08-refined-times.txt</v>
      </c>
      <c r="AI58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{"issue":{"subject":"","project_id":79,"tracker_id":40,"status_id":1,"priority_id":2,"assigned_to_id":23,"start_date":"2017-06-08","description":"","custom_fields":[{"id":1,"name":"Subdivision","value":"EC"},{"id":4,"name":"Milepost","value":"0.0152"},{"id":17,"name":"Train ID","value":"146-08"},{"id":16,"name":"Locomotive ID","value":"4025"},{"id":130,"name":"Impact","value":""},{"id":150,"name":"Time of Event (Mountain Time)","value":"10:50:22"},{"id":151,"name":"Denver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4025 --day 2017-06-08</v>
      </c>
      <c r="AN58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16:50:22"},{"id":29,"name":"Sharepoint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710</v>
      </c>
      <c r="B59" s="7">
        <v>4004</v>
      </c>
      <c r="C59" s="21" t="s">
        <v>204</v>
      </c>
      <c r="D59" s="21" t="s">
        <v>360</v>
      </c>
      <c r="E59" s="13">
        <v>42894.390601851854</v>
      </c>
      <c r="F59" s="13">
        <v>42894.396053240744</v>
      </c>
      <c r="G59" s="7">
        <v>2</v>
      </c>
      <c r="H59" s="21" t="s">
        <v>853</v>
      </c>
      <c r="I59" s="13">
        <v>42894.422430555554</v>
      </c>
      <c r="J59" s="7">
        <v>0</v>
      </c>
      <c r="K59" s="92" t="str">
        <f t="shared" si="0"/>
        <v>4003/4004</v>
      </c>
      <c r="L59" s="21" t="str">
        <f>VLOOKUP(A59,'Trips&amp;Operators'!$C$1:$G$99999,5,FALSE)</f>
        <v>BONDS REYNALDO</v>
      </c>
      <c r="M59" s="6">
        <f t="shared" si="1"/>
        <v>2.6377314810815733E-2</v>
      </c>
      <c r="N59" s="7">
        <f t="shared" si="23"/>
        <v>37.983333327574655</v>
      </c>
      <c r="O59" s="7"/>
      <c r="P59" s="7"/>
      <c r="Q59" s="22"/>
      <c r="R59" s="173"/>
      <c r="S59" s="176">
        <f t="shared" si="24"/>
        <v>1</v>
      </c>
      <c r="T59" s="202" t="str">
        <f t="shared" si="4"/>
        <v>NorthBound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 t="shared" si="5"/>
        <v>https://d0f6bd738d7f1b3e5a7ca70fe4ff75f0.us-east-1.aws.found.io/app/kibana#/discover/Steve-Slow-Train-Analysis-(2080s-and-2083s)?_g=(refreshInterval:(display:Off,pause:!f,section:0,value:0),time:(from:'2017-06-08T08:22:28-0600',mode:absolute,to:'2017-06-08T11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9" s="204" t="str">
        <f t="shared" si="6"/>
        <v>N</v>
      </c>
      <c r="X59" s="204">
        <f t="shared" si="25"/>
        <v>1</v>
      </c>
      <c r="Y59" s="204">
        <f t="shared" si="8"/>
        <v>4.4699999999999997E-2</v>
      </c>
      <c r="Z59" s="204">
        <f t="shared" si="9"/>
        <v>23.3338</v>
      </c>
      <c r="AA59" s="204">
        <f t="shared" si="10"/>
        <v>23.289100000000001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0147-08</v>
      </c>
      <c r="AE59" s="80" t="str">
        <f t="shared" si="12"/>
        <v>aws s3 cp s3://rtdc.mdm.uploadarchive.raw/RTDC4004/ "%USERPROFILE%\AppData\Local\Temp\OnboardLogs"\RTDC4004\2017-06-08 --exclude "*" --recursive --include "*20170608*" &amp; "%USERPROFILE%\Documents\GitHub\mrs-test-scripts\Headless Mode &amp; Sideloading\WalkAndUnGZ.bat" "%USERPROFILE%\AppData\Local\Temp\OnboardLogs"\RTDC4004\2017-06-08 &amp; aws s3 cp s3://rtdc.mdm.uploadarchive.raw/RTDC4004/ "%USERPROFILE%\AppData\Local\Temp\OnboardLogs"\RTDC4004\2017-06-09 --exclude "*" --recursive --include "*20170609*" &amp; "%USERPROFILE%\Documents\GitHub\mrs-test-scripts\Headless Mode &amp; Sideloading\WalkAndUnGZ.bat" "%USERPROFILE%\AppData\Local\Temp\OnboardLogs"\RTDC4004\2017-06-09</v>
      </c>
      <c r="AF59" s="77" t="str">
        <f t="shared" si="13"/>
        <v>"C:\Program Files (x86)\AstroGrep\AstroGrep.exe" /e /r /s /spath="%USERPROFILE%\AppData\Local\Temp\OnboardLogs" /stypes="app*4004*20170608*"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147-08 --locoid 4004 --swversion DE.1.0.9.0 --startMP 204:447 --initTime 2017-06-08T09:22:28 --startdatetime 2017-06-08T09:30:19 --delay 2 --endMP 204:233338 --enddatetime 2017-06-08T10:08:18 --enforcementcount 0 &gt;&gt;C:\Users\stu\Documents\GitHub\eaglep3-reporting\EC\2017-06-08-refined-times.txt</v>
      </c>
      <c r="AI59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{"issue":{"subject":"","project_id":79,"tracker_id":40,"status_id":1,"priority_id":2,"assigned_to_id":23,"start_date":"2017-06-08","description":"","custom_fields":[{"id":1,"name":"Subdivision","value":"EC"},{"id":4,"name":"Milepost","value":"23.3338"},{"id":17,"name":"Train ID","value":"147-08"},{"id":16,"name":"Locomotive ID","value":"4004"},{"id":130,"name":"Impact","value":""},{"id":150,"name":"Time of Event (Mountain Time)","value":"10:08:18"},{"id":151,"name":"Denver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4004 --day 2017-06-08</v>
      </c>
      <c r="AN59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16:08:18"},{"id":29,"name":"Sharepoint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720</v>
      </c>
      <c r="B60" s="7">
        <v>4003</v>
      </c>
      <c r="C60" s="21" t="s">
        <v>204</v>
      </c>
      <c r="D60" s="21" t="s">
        <v>573</v>
      </c>
      <c r="E60" s="13">
        <v>42894.432349537034</v>
      </c>
      <c r="F60" s="13">
        <v>42894.435752314814</v>
      </c>
      <c r="G60" s="7">
        <v>1</v>
      </c>
      <c r="H60" s="21" t="s">
        <v>350</v>
      </c>
      <c r="I60" s="13">
        <v>42894.462719907409</v>
      </c>
      <c r="J60" s="7">
        <v>0</v>
      </c>
      <c r="K60" s="92" t="str">
        <f t="shared" si="0"/>
        <v>4003/4004</v>
      </c>
      <c r="L60" s="21" t="str">
        <f>VLOOKUP(A60,'Trips&amp;Operators'!$C$1:$G$99999,5,FALSE)</f>
        <v>BONDS REYNALDO</v>
      </c>
      <c r="M60" s="6">
        <f t="shared" si="1"/>
        <v>2.6967592595610768E-2</v>
      </c>
      <c r="N60" s="7">
        <f t="shared" si="23"/>
        <v>38.833333337679505</v>
      </c>
      <c r="O60" s="7"/>
      <c r="P60" s="7"/>
      <c r="Q60" s="22"/>
      <c r="R60" s="173"/>
      <c r="S60" s="176">
        <f t="shared" si="24"/>
        <v>1</v>
      </c>
      <c r="T60" s="202" t="str">
        <f t="shared" si="4"/>
        <v>Southbound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 t="shared" si="5"/>
        <v>https://d0f6bd738d7f1b3e5a7ca70fe4ff75f0.us-east-1.aws.found.io/app/kibana#/discover/Steve-Slow-Train-Analysis-(2080s-and-2083s)?_g=(refreshInterval:(display:Off,pause:!f,section:0,value:0),time:(from:'2017-06-08T09:22:35-0600',mode:absolute,to:'2017-06-08T12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0" s="204" t="str">
        <f t="shared" si="6"/>
        <v>N</v>
      </c>
      <c r="X60" s="204">
        <f t="shared" si="25"/>
        <v>1</v>
      </c>
      <c r="Y60" s="204">
        <f t="shared" si="8"/>
        <v>23.299399999999999</v>
      </c>
      <c r="Z60" s="204">
        <f t="shared" si="9"/>
        <v>1.6E-2</v>
      </c>
      <c r="AA60" s="204">
        <f t="shared" si="10"/>
        <v>23.2834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0148-08</v>
      </c>
      <c r="AE60" s="80" t="str">
        <f t="shared" si="12"/>
        <v>aws s3 cp s3://rtdc.mdm.uploadarchive.raw/RTDC4003/ "%USERPROFILE%\AppData\Local\Temp\OnboardLogs"\RTDC4003\2017-06-08 --exclude "*" --recursive --include "*20170608*" &amp; "%USERPROFILE%\Documents\GitHub\mrs-test-scripts\Headless Mode &amp; Sideloading\WalkAndUnGZ.bat" "%USERPROFILE%\AppData\Local\Temp\OnboardLogs"\RTDC4003\2017-06-08 &amp; aws s3 cp s3://rtdc.mdm.uploadarchive.raw/RTDC4003/ "%USERPROFILE%\AppData\Local\Temp\OnboardLogs"\RTDC4003\2017-06-09 --exclude "*" --recursive --include "*20170609*" &amp; "%USERPROFILE%\Documents\GitHub\mrs-test-scripts\Headless Mode &amp; Sideloading\WalkAndUnGZ.bat" "%USERPROFILE%\AppData\Local\Temp\OnboardLogs"\RTDC4003\2017-06-09</v>
      </c>
      <c r="AF60" s="77" t="str">
        <f t="shared" si="13"/>
        <v>"C:\Program Files (x86)\AstroGrep\AstroGrep.exe" /e /r /s /spath="%USERPROFILE%\AppData\Local\Temp\OnboardLogs" /stypes="app*4003*20170608*"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148-08 --locoid 4003 --swversion DE.1.0.9.0 --startMP 204:232994 --initTime 2017-06-08T10:22:35 --startdatetime 2017-06-08T10:27:29 --delay 1 --endMP 204:160 --enddatetime 2017-06-08T11:06:19 --enforcementcount 0 &gt;&gt;C:\Users\stu\Documents\GitHub\eaglep3-reporting\EC\2017-06-08-refined-times.txt</v>
      </c>
      <c r="AI60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{"issue":{"subject":"","project_id":79,"tracker_id":40,"status_id":1,"priority_id":2,"assigned_to_id":23,"start_date":"2017-06-08","description":"","custom_fields":[{"id":1,"name":"Subdivision","value":"EC"},{"id":4,"name":"Milepost","value":"0.016"},{"id":17,"name":"Train ID","value":"148-08"},{"id":16,"name":"Locomotive ID","value":"4003"},{"id":130,"name":"Impact","value":""},{"id":150,"name":"Time of Event (Mountain Time)","value":"11:06:19"},{"id":151,"name":"Denver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4003 --day 2017-06-08</v>
      </c>
      <c r="AN60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17:06:19"},{"id":29,"name":"Sharepoint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712</v>
      </c>
      <c r="B61" s="7">
        <v>4002</v>
      </c>
      <c r="C61" s="21" t="s">
        <v>204</v>
      </c>
      <c r="D61" s="21" t="s">
        <v>355</v>
      </c>
      <c r="E61" s="13">
        <v>42894.40047453704</v>
      </c>
      <c r="F61" s="13">
        <v>42894.406423611108</v>
      </c>
      <c r="G61" s="7">
        <v>1</v>
      </c>
      <c r="H61" s="21" t="s">
        <v>854</v>
      </c>
      <c r="I61" s="13">
        <v>42894.430763888886</v>
      </c>
      <c r="J61" s="7">
        <v>0</v>
      </c>
      <c r="K61" s="92" t="str">
        <f t="shared" si="0"/>
        <v>4001/4002</v>
      </c>
      <c r="L61" s="21" t="str">
        <f>VLOOKUP(A61,'Trips&amp;Operators'!$C$1:$G$99999,5,FALSE)</f>
        <v>GEBRETEKLE DAGNEW</v>
      </c>
      <c r="M61" s="6">
        <f t="shared" si="1"/>
        <v>2.4340277777810115E-2</v>
      </c>
      <c r="N61" s="7">
        <f t="shared" si="23"/>
        <v>35.050000000046566</v>
      </c>
      <c r="O61" s="7"/>
      <c r="P61" s="7"/>
      <c r="Q61" s="22"/>
      <c r="R61" s="173"/>
      <c r="S61" s="176">
        <f t="shared" si="24"/>
        <v>1</v>
      </c>
      <c r="T61" s="202" t="str">
        <f t="shared" si="4"/>
        <v>NorthBound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5"/>
        <v>https://d0f6bd738d7f1b3e5a7ca70fe4ff75f0.us-east-1.aws.found.io/app/kibana#/discover/Steve-Slow-Train-Analysis-(2080s-and-2083s)?_g=(refreshInterval:(display:Off,pause:!f,section:0,value:0),time:(from:'2017-06-08T08:36:41-0600',mode:absolute,to:'2017-06-08T11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1" s="204" t="str">
        <f t="shared" si="6"/>
        <v>N</v>
      </c>
      <c r="X61" s="204">
        <f t="shared" si="25"/>
        <v>1</v>
      </c>
      <c r="Y61" s="204">
        <f t="shared" si="8"/>
        <v>4.6600000000000003E-2</v>
      </c>
      <c r="Z61" s="204">
        <f t="shared" si="9"/>
        <v>23.336200000000002</v>
      </c>
      <c r="AA61" s="204">
        <f t="shared" si="10"/>
        <v>23.2896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0149-08</v>
      </c>
      <c r="AE61" s="80" t="str">
        <f t="shared" si="12"/>
        <v>aws s3 cp s3://rtdc.mdm.uploadarchive.raw/RTDC4002/ "%USERPROFILE%\AppData\Local\Temp\OnboardLogs"\RTDC4002\2017-06-08 --exclude "*" --recursive --include "*20170608*" &amp; "%USERPROFILE%\Documents\GitHub\mrs-test-scripts\Headless Mode &amp; Sideloading\WalkAndUnGZ.bat" "%USERPROFILE%\AppData\Local\Temp\OnboardLogs"\RTDC4002\2017-06-08 &amp; aws s3 cp s3://rtdc.mdm.uploadarchive.raw/RTDC4002/ "%USERPROFILE%\AppData\Local\Temp\OnboardLogs"\RTDC4002\2017-06-09 --exclude "*" --recursive --include "*20170609*" &amp; "%USERPROFILE%\Documents\GitHub\mrs-test-scripts\Headless Mode &amp; Sideloading\WalkAndUnGZ.bat" "%USERPROFILE%\AppData\Local\Temp\OnboardLogs"\RTDC4002\2017-06-09</v>
      </c>
      <c r="AF61" s="77" t="str">
        <f t="shared" si="13"/>
        <v>"C:\Program Files (x86)\AstroGrep\AstroGrep.exe" /e /r /s /spath="%USERPROFILE%\AppData\Local\Temp\OnboardLogs" /stypes="app*4002*20170608*"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149-08 --locoid 4002 --swversion DE.1.0.9.0 --startMP 204:466 --initTime 2017-06-08T09:36:41 --startdatetime 2017-06-08T09:45:15 --delay 1 --endMP 204:233362 --enddatetime 2017-06-08T10:20:18 --enforcementcount 0 &gt;&gt;C:\Users\stu\Documents\GitHub\eaglep3-reporting\EC\2017-06-08-refined-times.txt</v>
      </c>
      <c r="AI61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{"issue":{"subject":"","project_id":79,"tracker_id":40,"status_id":1,"priority_id":2,"assigned_to_id":23,"start_date":"2017-06-08","description":"","custom_fields":[{"id":1,"name":"Subdivision","value":"EC"},{"id":4,"name":"Milepost","value":"23.3362"},{"id":17,"name":"Train ID","value":"149-08"},{"id":16,"name":"Locomotive ID","value":"4002"},{"id":130,"name":"Impact","value":""},{"id":150,"name":"Time of Event (Mountain Time)","value":"10:20:18"},{"id":151,"name":"Denver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4002 --day 2017-06-08</v>
      </c>
      <c r="AN61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16:20:18"},{"id":29,"name":"Sharepoint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719</v>
      </c>
      <c r="B62" s="7">
        <v>4001</v>
      </c>
      <c r="C62" s="21" t="s">
        <v>204</v>
      </c>
      <c r="D62" s="21" t="s">
        <v>855</v>
      </c>
      <c r="E62" s="13">
        <v>42894.431909722225</v>
      </c>
      <c r="F62" s="13">
        <v>42894.446076388886</v>
      </c>
      <c r="G62" s="7">
        <v>1</v>
      </c>
      <c r="H62" s="21" t="s">
        <v>352</v>
      </c>
      <c r="I62" s="13">
        <v>42894.472314814811</v>
      </c>
      <c r="J62" s="7">
        <v>0</v>
      </c>
      <c r="K62" s="92" t="str">
        <f t="shared" si="0"/>
        <v>4001/4002</v>
      </c>
      <c r="L62" s="21" t="str">
        <f>VLOOKUP(A62,'Trips&amp;Operators'!$C$1:$G$99999,5,FALSE)</f>
        <v>GEBRETEKLE DAGNEW</v>
      </c>
      <c r="M62" s="6">
        <f t="shared" si="1"/>
        <v>2.6238425925839692E-2</v>
      </c>
      <c r="N62" s="7">
        <f t="shared" si="23"/>
        <v>37.783333333209157</v>
      </c>
      <c r="O62" s="7"/>
      <c r="P62" s="7"/>
      <c r="Q62" s="22"/>
      <c r="R62" s="173"/>
      <c r="S62" s="176">
        <f t="shared" si="24"/>
        <v>1</v>
      </c>
      <c r="T62" s="202" t="str">
        <f t="shared" si="4"/>
        <v>Southbound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 t="shared" si="5"/>
        <v>https://d0f6bd738d7f1b3e5a7ca70fe4ff75f0.us-east-1.aws.found.io/app/kibana#/discover/Steve-Slow-Train-Analysis-(2080s-and-2083s)?_g=(refreshInterval:(display:Off,pause:!f,section:0,value:0),time:(from:'2017-06-08T09:21:57-0600',mode:absolute,to:'2017-06-08T12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2" s="204" t="str">
        <f t="shared" si="6"/>
        <v>N</v>
      </c>
      <c r="X62" s="204">
        <f t="shared" si="25"/>
        <v>1</v>
      </c>
      <c r="Y62" s="204">
        <f t="shared" si="8"/>
        <v>23.301300000000001</v>
      </c>
      <c r="Z62" s="204">
        <f t="shared" si="9"/>
        <v>1.4999999999999999E-2</v>
      </c>
      <c r="AA62" s="204">
        <f t="shared" si="10"/>
        <v>23.286300000000001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0150-08</v>
      </c>
      <c r="AE62" s="80" t="str">
        <f t="shared" si="12"/>
        <v>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 &amp; aws s3 cp s3://rtdc.mdm.uploadarchive.raw/RTDC4001/ "%USERPROFILE%\AppData\Local\Temp\OnboardLogs"\RTDC4001\2017-06-09 --exclude "*" --recursive --include "*20170609*" &amp; "%USERPROFILE%\Documents\GitHub\mrs-test-scripts\Headless Mode &amp; Sideloading\WalkAndUnGZ.bat" "%USERPROFILE%\AppData\Local\Temp\OnboardLogs"\RTDC4001\2017-06-09</v>
      </c>
      <c r="AF62" s="77" t="str">
        <f t="shared" si="13"/>
        <v>"C:\Program Files (x86)\AstroGrep\AstroGrep.exe" /e /r /s /spath="%USERPROFILE%\AppData\Local\Temp\OnboardLogs" /stypes="app*4001*20170608*"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150-08 --locoid 4001 --swversion DE.1.0.9.0 --startMP 204:233013 --initTime 2017-06-08T10:21:57 --startdatetime 2017-06-08T10:42:21 --delay 1 --endMP 204:150 --enddatetime 2017-06-08T11:20:08 --enforcementcount 0 &gt;&gt;C:\Users\stu\Documents\GitHub\eaglep3-reporting\EC\2017-06-08-refined-times.txt</v>
      </c>
      <c r="AI62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{"issue":{"subject":"","project_id":79,"tracker_id":40,"status_id":1,"priority_id":2,"assigned_to_id":23,"start_date":"2017-06-08","description":"","custom_fields":[{"id":1,"name":"Subdivision","value":"EC"},{"id":4,"name":"Milepost","value":"0.015"},{"id":17,"name":"Train ID","value":"150-08"},{"id":16,"name":"Locomotive ID","value":"4001"},{"id":130,"name":"Impact","value":""},{"id":150,"name":"Time of Event (Mountain Time)","value":"11:20:08"},{"id":151,"name":"Denver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4001 --day 2017-06-08</v>
      </c>
      <c r="AN62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17:20:08"},{"id":29,"name":"Sharepoint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715</v>
      </c>
      <c r="B63" s="7">
        <v>4030</v>
      </c>
      <c r="C63" s="21" t="s">
        <v>204</v>
      </c>
      <c r="D63" s="21" t="s">
        <v>349</v>
      </c>
      <c r="E63" s="13">
        <v>42894.41202546296</v>
      </c>
      <c r="F63" s="13">
        <v>42894.416956018518</v>
      </c>
      <c r="G63" s="7">
        <v>1</v>
      </c>
      <c r="H63" s="21" t="s">
        <v>856</v>
      </c>
      <c r="I63" s="13">
        <v>42894.442511574074</v>
      </c>
      <c r="J63" s="7">
        <v>0</v>
      </c>
      <c r="K63" s="92" t="str">
        <f t="shared" si="0"/>
        <v>4029/4030</v>
      </c>
      <c r="L63" s="21" t="str">
        <f>VLOOKUP(A63,'Trips&amp;Operators'!$C$1:$G$99999,5,FALSE)</f>
        <v>GUZMAN DANNY</v>
      </c>
      <c r="M63" s="6">
        <f t="shared" si="1"/>
        <v>2.5555555555911269E-2</v>
      </c>
      <c r="N63" s="7">
        <f t="shared" si="23"/>
        <v>36.800000000512227</v>
      </c>
      <c r="O63" s="7"/>
      <c r="P63" s="7"/>
      <c r="Q63" s="22"/>
      <c r="R63" s="173"/>
      <c r="S63" s="176">
        <f t="shared" si="24"/>
        <v>1</v>
      </c>
      <c r="T63" s="202" t="str">
        <f t="shared" si="4"/>
        <v>NorthBound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 t="shared" si="5"/>
        <v>https://d0f6bd738d7f1b3e5a7ca70fe4ff75f0.us-east-1.aws.found.io/app/kibana#/discover/Steve-Slow-Train-Analysis-(2080s-and-2083s)?_g=(refreshInterval:(display:Off,pause:!f,section:0,value:0),time:(from:'2017-06-08T08:53:19-0600',mode:absolute,to:'2017-06-08T11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3" s="204" t="str">
        <f t="shared" si="6"/>
        <v>N</v>
      </c>
      <c r="X63" s="204">
        <f t="shared" si="25"/>
        <v>1</v>
      </c>
      <c r="Y63" s="204">
        <f t="shared" si="8"/>
        <v>4.4600000000000001E-2</v>
      </c>
      <c r="Z63" s="204">
        <f t="shared" si="9"/>
        <v>23.336099999999998</v>
      </c>
      <c r="AA63" s="204">
        <f t="shared" si="10"/>
        <v>23.291499999999999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0151-08</v>
      </c>
      <c r="AE63" s="80" t="str">
        <f t="shared" si="12"/>
        <v>aws s3 cp s3://rtdc.mdm.uploadarchive.raw/RTDC4030/ "%USERPROFILE%\AppData\Local\Temp\OnboardLogs"\RTDC4030\2017-06-08 --exclude "*" --recursive --include "*20170608*" &amp; "%USERPROFILE%\Documents\GitHub\mrs-test-scripts\Headless Mode &amp; Sideloading\WalkAndUnGZ.bat" "%USERPROFILE%\AppData\Local\Temp\OnboardLogs"\RTDC4030\2017-06-08 &amp; 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</v>
      </c>
      <c r="AF63" s="77" t="str">
        <f t="shared" si="13"/>
        <v>"C:\Program Files (x86)\AstroGrep\AstroGrep.exe" /e /r /s /spath="%USERPROFILE%\AppData\Local\Temp\OnboardLogs" /stypes="app*4030*20170608*"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151-08 --locoid 4030 --swversion DE.1.0.9.0 --startMP 204:446 --initTime 2017-06-08T09:53:19 --startdatetime 2017-06-08T10:00:25 --delay 1 --endMP 204:233361 --enddatetime 2017-06-08T10:37:13 --enforcementcount 0 &gt;&gt;C:\Users\stu\Documents\GitHub\eaglep3-reporting\EC\2017-06-08-refined-times.txt</v>
      </c>
      <c r="AI63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{"issue":{"subject":"","project_id":79,"tracker_id":40,"status_id":1,"priority_id":2,"assigned_to_id":23,"start_date":"2017-06-08","description":"","custom_fields":[{"id":1,"name":"Subdivision","value":"EC"},{"id":4,"name":"Milepost","value":"23.3361"},{"id":17,"name":"Train ID","value":"151-08"},{"id":16,"name":"Locomotive ID","value":"4030"},{"id":130,"name":"Impact","value":""},{"id":150,"name":"Time of Event (Mountain Time)","value":"10:37:13"},{"id":151,"name":"Denver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4030 --day 2017-06-08</v>
      </c>
      <c r="AN63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16:37:13"},{"id":29,"name":"Sharepoint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723</v>
      </c>
      <c r="B64" s="7">
        <v>4029</v>
      </c>
      <c r="C64" s="21" t="s">
        <v>204</v>
      </c>
      <c r="D64" s="21" t="s">
        <v>839</v>
      </c>
      <c r="E64" s="13">
        <v>42894.445277777777</v>
      </c>
      <c r="F64" s="13">
        <v>42894.456412037034</v>
      </c>
      <c r="G64" s="7">
        <v>1</v>
      </c>
      <c r="H64" s="21" t="s">
        <v>457</v>
      </c>
      <c r="I64" s="13">
        <v>42894.483275462961</v>
      </c>
      <c r="J64" s="7">
        <v>0</v>
      </c>
      <c r="K64" s="92" t="str">
        <f t="shared" si="0"/>
        <v>4029/4030</v>
      </c>
      <c r="L64" s="21" t="str">
        <f>VLOOKUP(A64,'Trips&amp;Operators'!$C$1:$G$99999,5,FALSE)</f>
        <v>GUZMAN DANNY</v>
      </c>
      <c r="M64" s="6">
        <f t="shared" si="1"/>
        <v>2.6863425926421769E-2</v>
      </c>
      <c r="N64" s="7">
        <f t="shared" si="23"/>
        <v>38.683333334047347</v>
      </c>
      <c r="O64" s="7"/>
      <c r="P64" s="7"/>
      <c r="Q64" s="22"/>
      <c r="R64" s="173"/>
      <c r="S64" s="176">
        <f t="shared" si="24"/>
        <v>1</v>
      </c>
      <c r="T64" s="202" t="str">
        <f t="shared" si="4"/>
        <v>Southbound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5"/>
        <v>https://d0f6bd738d7f1b3e5a7ca70fe4ff75f0.us-east-1.aws.found.io/app/kibana#/discover/Steve-Slow-Train-Analysis-(2080s-and-2083s)?_g=(refreshInterval:(display:Off,pause:!f,section:0,value:0),time:(from:'2017-06-08T09:41:12-0600',mode:absolute,to:'2017-06-08T12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4" s="204" t="str">
        <f t="shared" si="6"/>
        <v>N</v>
      </c>
      <c r="X64" s="204">
        <f t="shared" si="25"/>
        <v>1</v>
      </c>
      <c r="Y64" s="204">
        <f t="shared" si="8"/>
        <v>23.3017</v>
      </c>
      <c r="Z64" s="204">
        <f t="shared" si="9"/>
        <v>1.5599999999999999E-2</v>
      </c>
      <c r="AA64" s="204">
        <f t="shared" si="10"/>
        <v>23.286100000000001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0152-08</v>
      </c>
      <c r="AE64" s="80" t="str">
        <f t="shared" si="12"/>
        <v>aws s3 cp s3://rtdc.mdm.uploadarchive.raw/RTDC4029/ "%USERPROFILE%\AppData\Local\Temp\OnboardLogs"\RTDC4029\2017-06-08 --exclude "*" --recursive --include "*20170608*" &amp; "%USERPROFILE%\Documents\GitHub\mrs-test-scripts\Headless Mode &amp; Sideloading\WalkAndUnGZ.bat" "%USERPROFILE%\AppData\Local\Temp\OnboardLogs"\RTDC4029\2017-06-08 &amp; 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</v>
      </c>
      <c r="AF64" s="77" t="str">
        <f t="shared" si="13"/>
        <v>"C:\Program Files (x86)\AstroGrep\AstroGrep.exe" /e /r /s /spath="%USERPROFILE%\AppData\Local\Temp\OnboardLogs" /stypes="app*4029*20170608*"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152-08 --locoid 4029 --swversion DE.1.0.9.0 --startMP 204:233017 --initTime 2017-06-08T10:41:12 --startdatetime 2017-06-08T10:57:14 --delay 1 --endMP 204:156 --enddatetime 2017-06-08T11:35:55 --enforcementcount 0 &gt;&gt;C:\Users\stu\Documents\GitHub\eaglep3-reporting\EC\2017-06-08-refined-times.txt</v>
      </c>
      <c r="AI64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{"issue":{"subject":"","project_id":79,"tracker_id":40,"status_id":1,"priority_id":2,"assigned_to_id":23,"start_date":"2017-06-08","description":"","custom_fields":[{"id":1,"name":"Subdivision","value":"EC"},{"id":4,"name":"Milepost","value":"0.0156"},{"id":17,"name":"Train ID","value":"152-08"},{"id":16,"name":"Locomotive ID","value":"4029"},{"id":130,"name":"Impact","value":""},{"id":150,"name":"Time of Event (Mountain Time)","value":"11:35:55"},{"id":151,"name":"Denver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4029 --day 2017-06-08</v>
      </c>
      <c r="AN64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17:35:55"},{"id":29,"name":"Sharepoint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718</v>
      </c>
      <c r="B65" s="7">
        <v>4022</v>
      </c>
      <c r="C65" s="21" t="s">
        <v>204</v>
      </c>
      <c r="D65" s="21" t="s">
        <v>351</v>
      </c>
      <c r="E65" s="13">
        <v>42894.424884259257</v>
      </c>
      <c r="F65" s="13">
        <v>42894.42728009259</v>
      </c>
      <c r="G65" s="7">
        <v>1</v>
      </c>
      <c r="H65" s="21" t="s">
        <v>529</v>
      </c>
      <c r="I65" s="13">
        <v>42894.452662037038</v>
      </c>
      <c r="J65" s="7">
        <v>0</v>
      </c>
      <c r="K65" s="92" t="str">
        <f t="shared" si="0"/>
        <v>4021/4022</v>
      </c>
      <c r="L65" s="21" t="str">
        <f>VLOOKUP(A65,'Trips&amp;Operators'!$C$1:$G$99999,5,FALSE)</f>
        <v>DAVIS WENDY</v>
      </c>
      <c r="M65" s="6">
        <f t="shared" si="1"/>
        <v>2.5381944447872229E-2</v>
      </c>
      <c r="N65" s="7">
        <f t="shared" si="23"/>
        <v>36.55000000493601</v>
      </c>
      <c r="O65" s="7"/>
      <c r="P65" s="7"/>
      <c r="Q65" s="22"/>
      <c r="R65" s="173"/>
      <c r="S65" s="176">
        <f t="shared" si="24"/>
        <v>1</v>
      </c>
      <c r="T65" s="202" t="str">
        <f t="shared" si="4"/>
        <v>NorthBound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 t="shared" si="5"/>
        <v>https://d0f6bd738d7f1b3e5a7ca70fe4ff75f0.us-east-1.aws.found.io/app/kibana#/discover/Steve-Slow-Train-Analysis-(2080s-and-2083s)?_g=(refreshInterval:(display:Off,pause:!f,section:0,value:0),time:(from:'2017-06-08T09:11:50-0600',mode:absolute,to:'2017-06-08T11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5" s="204" t="str">
        <f t="shared" si="6"/>
        <v>N</v>
      </c>
      <c r="X65" s="204">
        <f t="shared" si="25"/>
        <v>1</v>
      </c>
      <c r="Y65" s="204">
        <f t="shared" si="8"/>
        <v>4.58E-2</v>
      </c>
      <c r="Z65" s="204">
        <f t="shared" si="9"/>
        <v>23.330300000000001</v>
      </c>
      <c r="AA65" s="204">
        <f t="shared" si="10"/>
        <v>23.284500000000001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0153-08</v>
      </c>
      <c r="AE65" s="80" t="str">
        <f t="shared" si="12"/>
        <v>aws s3 cp s3://rtdc.mdm.uploadarchive.raw/RTDC4022/ "%USERPROFILE%\AppData\Local\Temp\OnboardLogs"\RTDC4022\2017-06-08 --exclude "*" --recursive --include "*20170608*" &amp; "%USERPROFILE%\Documents\GitHub\mrs-test-scripts\Headless Mode &amp; Sideloading\WalkAndUnGZ.bat" "%USERPROFILE%\AppData\Local\Temp\OnboardLogs"\RTDC4022\2017-06-08 &amp; 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</v>
      </c>
      <c r="AF65" s="77" t="str">
        <f t="shared" si="13"/>
        <v>"C:\Program Files (x86)\AstroGrep\AstroGrep.exe" /e /r /s /spath="%USERPROFILE%\AppData\Local\Temp\OnboardLogs" /stypes="app*4022*20170608*"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153-08 --locoid 4022 --swversion DE.1.0.9.0 --startMP 204:458 --initTime 2017-06-08T10:11:50 --startdatetime 2017-06-08T10:15:17 --delay 1 --endMP 204:233303 --enddatetime 2017-06-08T10:51:50 --enforcementcount 0 &gt;&gt;C:\Users\stu\Documents\GitHub\eaglep3-reporting\EC\2017-06-08-refined-times.txt</v>
      </c>
      <c r="AI65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{"issue":{"subject":"","project_id":79,"tracker_id":40,"status_id":1,"priority_id":2,"assigned_to_id":23,"start_date":"2017-06-08","description":"","custom_fields":[{"id":1,"name":"Subdivision","value":"EC"},{"id":4,"name":"Milepost","value":"23.3303"},{"id":17,"name":"Train ID","value":"153-08"},{"id":16,"name":"Locomotive ID","value":"4022"},{"id":130,"name":"Impact","value":""},{"id":150,"name":"Time of Event (Mountain Time)","value":"10:51:50"},{"id":151,"name":"Denver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4022 --day 2017-06-08</v>
      </c>
      <c r="AN65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16:51:50"},{"id":29,"name":"Sharepoint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728</v>
      </c>
      <c r="B66" s="7">
        <v>4021</v>
      </c>
      <c r="C66" s="21" t="s">
        <v>204</v>
      </c>
      <c r="D66" s="21" t="s">
        <v>857</v>
      </c>
      <c r="E66" s="13">
        <v>42894.463946759257</v>
      </c>
      <c r="F66" s="13">
        <v>42894.466805555552</v>
      </c>
      <c r="G66" s="7">
        <v>1</v>
      </c>
      <c r="H66" s="21" t="s">
        <v>353</v>
      </c>
      <c r="I66" s="13">
        <v>42894.494074074071</v>
      </c>
      <c r="J66" s="7">
        <v>0</v>
      </c>
      <c r="K66" s="92" t="str">
        <f t="shared" si="0"/>
        <v>4021/4022</v>
      </c>
      <c r="L66" s="21" t="str">
        <f>VLOOKUP(A66,'Trips&amp;Operators'!$C$1:$G$99999,5,FALSE)</f>
        <v>DAVIS WENDY</v>
      </c>
      <c r="M66" s="6">
        <f t="shared" si="1"/>
        <v>2.7268518519122154E-2</v>
      </c>
      <c r="N66" s="7">
        <f t="shared" si="23"/>
        <v>39.266666667535901</v>
      </c>
      <c r="O66" s="7"/>
      <c r="P66" s="7"/>
      <c r="Q66" s="22"/>
      <c r="R66" s="173"/>
      <c r="S66" s="176">
        <f t="shared" si="24"/>
        <v>1</v>
      </c>
      <c r="T66" s="202" t="str">
        <f t="shared" si="4"/>
        <v>Southbound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 t="shared" si="5"/>
        <v>https://d0f6bd738d7f1b3e5a7ca70fe4ff75f0.us-east-1.aws.found.io/app/kibana#/discover/Steve-Slow-Train-Analysis-(2080s-and-2083s)?_g=(refreshInterval:(display:Off,pause:!f,section:0,value:0),time:(from:'2017-06-08T10:08:05-0600',mode:absolute,to:'2017-06-08T12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6" s="204" t="str">
        <f t="shared" si="6"/>
        <v>N</v>
      </c>
      <c r="X66" s="204">
        <f t="shared" si="25"/>
        <v>1</v>
      </c>
      <c r="Y66" s="204">
        <f t="shared" si="8"/>
        <v>23.3001</v>
      </c>
      <c r="Z66" s="204">
        <f t="shared" si="9"/>
        <v>1.49E-2</v>
      </c>
      <c r="AA66" s="204">
        <f t="shared" si="10"/>
        <v>23.2852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0154-08</v>
      </c>
      <c r="AE66" s="80" t="str">
        <f t="shared" si="12"/>
        <v>aws s3 cp s3://rtdc.mdm.uploadarchive.raw/RTDC4021/ "%USERPROFILE%\AppData\Local\Temp\OnboardLogs"\RTDC4021\2017-06-08 --exclude "*" --recursive --include "*20170608*" &amp; "%USERPROFILE%\Documents\GitHub\mrs-test-scripts\Headless Mode &amp; Sideloading\WalkAndUnGZ.bat" "%USERPROFILE%\AppData\Local\Temp\OnboardLogs"\RTDC4021\2017-06-08 &amp; 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</v>
      </c>
      <c r="AF66" s="77" t="str">
        <f t="shared" si="13"/>
        <v>"C:\Program Files (x86)\AstroGrep\AstroGrep.exe" /e /r /s /spath="%USERPROFILE%\AppData\Local\Temp\OnboardLogs" /stypes="app*4021*20170608*"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154-08 --locoid 4021 --swversion DE.1.0.9.0 --startMP 204:233001 --initTime 2017-06-08T11:08:05 --startdatetime 2017-06-08T11:12:12 --delay 1 --endMP 204:149 --enddatetime 2017-06-08T11:51:28 --enforcementcount 0 &gt;&gt;C:\Users\stu\Documents\GitHub\eaglep3-reporting\EC\2017-06-08-refined-times.txt</v>
      </c>
      <c r="AI66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{"issue":{"subject":"","project_id":79,"tracker_id":40,"status_id":1,"priority_id":2,"assigned_to_id":23,"start_date":"2017-06-08","description":"","custom_fields":[{"id":1,"name":"Subdivision","value":"EC"},{"id":4,"name":"Milepost","value":"0.0149"},{"id":17,"name":"Train ID","value":"154-08"},{"id":16,"name":"Locomotive ID","value":"4021"},{"id":130,"name":"Impact","value":""},{"id":150,"name":"Time of Event (Mountain Time)","value":"11:51:28"},{"id":151,"name":"Denver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4021 --day 2017-06-08</v>
      </c>
      <c r="AN66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17:51:28"},{"id":29,"name":"Sharepoint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721</v>
      </c>
      <c r="B67" s="7">
        <v>4044</v>
      </c>
      <c r="C67" s="21" t="s">
        <v>204</v>
      </c>
      <c r="D67" s="21" t="s">
        <v>345</v>
      </c>
      <c r="E67" s="13">
        <v>42894.432222222225</v>
      </c>
      <c r="F67" s="13">
        <v>42894.437719907408</v>
      </c>
      <c r="G67" s="7">
        <v>1</v>
      </c>
      <c r="H67" s="21" t="s">
        <v>572</v>
      </c>
      <c r="I67" s="13">
        <v>42894.462766203702</v>
      </c>
      <c r="J67" s="7">
        <v>0</v>
      </c>
      <c r="K67" s="92" t="str">
        <f t="shared" si="0"/>
        <v>4043/4044</v>
      </c>
      <c r="L67" s="21" t="str">
        <f>VLOOKUP(A67,'Trips&amp;Operators'!$C$1:$G$99999,5,FALSE)</f>
        <v>LOZA FIDEL</v>
      </c>
      <c r="M67" s="6">
        <f t="shared" si="1"/>
        <v>2.5046296294021886E-2</v>
      </c>
      <c r="N67" s="7">
        <f t="shared" si="23"/>
        <v>36.066666663391516</v>
      </c>
      <c r="O67" s="7"/>
      <c r="P67" s="7"/>
      <c r="Q67" s="22"/>
      <c r="R67" s="173"/>
      <c r="S67" s="176">
        <f t="shared" si="24"/>
        <v>1</v>
      </c>
      <c r="T67" s="202" t="str">
        <f t="shared" si="4"/>
        <v>NorthBound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 t="shared" si="5"/>
        <v>https://d0f6bd738d7f1b3e5a7ca70fe4ff75f0.us-east-1.aws.found.io/app/kibana#/discover/Steve-Slow-Train-Analysis-(2080s-and-2083s)?_g=(refreshInterval:(display:Off,pause:!f,section:0,value:0),time:(from:'2017-06-08T09:22:24-0600',mode:absolute,to:'2017-06-08T12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7" s="204" t="str">
        <f t="shared" si="6"/>
        <v>N</v>
      </c>
      <c r="X67" s="204">
        <f t="shared" si="25"/>
        <v>1</v>
      </c>
      <c r="Y67" s="204">
        <f t="shared" si="8"/>
        <v>4.4900000000000002E-2</v>
      </c>
      <c r="Z67" s="204">
        <f t="shared" si="9"/>
        <v>23.330400000000001</v>
      </c>
      <c r="AA67" s="204">
        <f t="shared" si="10"/>
        <v>23.285500000000003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0155-08</v>
      </c>
      <c r="AE67" s="80" t="str">
        <f t="shared" si="12"/>
        <v>aws s3 cp s3://rtdc.mdm.uploadarchive.raw/RTDC4044/ "%USERPROFILE%\AppData\Local\Temp\OnboardLogs"\RTDC4044\2017-06-08 --exclude "*" --recursive --include "*20170608*" &amp; "%USERPROFILE%\Documents\GitHub\mrs-test-scripts\Headless Mode &amp; Sideloading\WalkAndUnGZ.bat" "%USERPROFILE%\AppData\Local\Temp\OnboardLogs"\RTDC4044\2017-06-08 &amp; aws s3 cp s3://rtdc.mdm.uploadarchive.raw/RTDC4044/ "%USERPROFILE%\AppData\Local\Temp\OnboardLogs"\RTDC4044\2017-06-09 --exclude "*" --recursive --include "*20170609*" &amp; "%USERPROFILE%\Documents\GitHub\mrs-test-scripts\Headless Mode &amp; Sideloading\WalkAndUnGZ.bat" "%USERPROFILE%\AppData\Local\Temp\OnboardLogs"\RTDC4044\2017-06-09</v>
      </c>
      <c r="AF67" s="77" t="str">
        <f t="shared" si="13"/>
        <v>"C:\Program Files (x86)\AstroGrep\AstroGrep.exe" /e /r /s /spath="%USERPROFILE%\AppData\Local\Temp\OnboardLogs" /stypes="app*4044*20170608*"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155-08 --locoid 4044 --swversion DE.1.0.9.0 --startMP 204:449 --initTime 2017-06-08T10:22:24 --startdatetime 2017-06-08T10:30:19 --delay 1 --endMP 204:233304 --enddatetime 2017-06-08T11:06:23 --enforcementcount 0 &gt;&gt;C:\Users\stu\Documents\GitHub\eaglep3-reporting\EC\2017-06-08-refined-times.txt</v>
      </c>
      <c r="AI67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{"issue":{"subject":"","project_id":79,"tracker_id":40,"status_id":1,"priority_id":2,"assigned_to_id":23,"start_date":"2017-06-08","description":"","custom_fields":[{"id":1,"name":"Subdivision","value":"EC"},{"id":4,"name":"Milepost","value":"23.3304"},{"id":17,"name":"Train ID","value":"155-08"},{"id":16,"name":"Locomotive ID","value":"4044"},{"id":130,"name":"Impact","value":""},{"id":150,"name":"Time of Event (Mountain Time)","value":"11:06:23"},{"id":151,"name":"Denver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4044 --day 2017-06-08</v>
      </c>
      <c r="AN67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17:06:23"},{"id":29,"name":"Sharepoint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624</v>
      </c>
      <c r="B68" s="7">
        <v>4043</v>
      </c>
      <c r="C68" s="21" t="s">
        <v>204</v>
      </c>
      <c r="D68" s="21" t="s">
        <v>538</v>
      </c>
      <c r="E68" s="13">
        <v>42894.472349537034</v>
      </c>
      <c r="F68" s="13">
        <v>42894.477280092593</v>
      </c>
      <c r="G68" s="7">
        <v>1</v>
      </c>
      <c r="H68" s="21" t="s">
        <v>593</v>
      </c>
      <c r="I68" s="13">
        <v>42894.505891203706</v>
      </c>
      <c r="J68" s="7">
        <v>0</v>
      </c>
      <c r="K68" s="92" t="str">
        <f t="shared" si="0"/>
        <v>4043/4044</v>
      </c>
      <c r="L68" s="21" t="str">
        <f>VLOOKUP(A68,'Trips&amp;Operators'!$C$1:$G$99999,5,FALSE)</f>
        <v>LOZA FIDEL</v>
      </c>
      <c r="M68" s="6">
        <f t="shared" si="1"/>
        <v>2.8611111112695653E-2</v>
      </c>
      <c r="N68" s="7">
        <f t="shared" si="23"/>
        <v>41.20000000228174</v>
      </c>
      <c r="O68" s="7"/>
      <c r="P68" s="7"/>
      <c r="Q68" s="22"/>
      <c r="R68" s="173"/>
      <c r="S68" s="176">
        <f t="shared" si="24"/>
        <v>1</v>
      </c>
      <c r="T68" s="202" t="str">
        <f t="shared" si="4"/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 t="shared" si="5"/>
        <v>https://d0f6bd738d7f1b3e5a7ca70fe4ff75f0.us-east-1.aws.found.io/app/kibana#/discover/Steve-Slow-Train-Analysis-(2080s-and-2083s)?_g=(refreshInterval:(display:Off,pause:!f,section:0,value:0),time:(from:'2017-06-08T10:20:11-0600',mode:absolute,to:'2017-06-08T13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8" s="204" t="str">
        <f t="shared" si="6"/>
        <v>N</v>
      </c>
      <c r="X68" s="204">
        <f t="shared" si="25"/>
        <v>1</v>
      </c>
      <c r="Y68" s="204">
        <f t="shared" si="8"/>
        <v>23.299600000000002</v>
      </c>
      <c r="Z68" s="204">
        <f t="shared" si="9"/>
        <v>1.6899999999999998E-2</v>
      </c>
      <c r="AA68" s="204">
        <f t="shared" si="10"/>
        <v>23.282700000000002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0156-08</v>
      </c>
      <c r="AE68" s="80" t="str">
        <f t="shared" si="12"/>
        <v>aws s3 cp s3://rtdc.mdm.uploadarchive.raw/RTDC4043/ "%USERPROFILE%\AppData\Local\Temp\OnboardLogs"\RTDC4043\2017-06-08 --exclude "*" --recursive --include "*20170608*" &amp; "%USERPROFILE%\Documents\GitHub\mrs-test-scripts\Headless Mode &amp; Sideloading\WalkAndUnGZ.bat" "%USERPROFILE%\AppData\Local\Temp\OnboardLogs"\RTDC4043\2017-06-08 &amp; aws s3 cp s3://rtdc.mdm.uploadarchive.raw/RTDC4043/ "%USERPROFILE%\AppData\Local\Temp\OnboardLogs"\RTDC4043\2017-06-09 --exclude "*" --recursive --include "*20170609*" &amp; "%USERPROFILE%\Documents\GitHub\mrs-test-scripts\Headless Mode &amp; Sideloading\WalkAndUnGZ.bat" "%USERPROFILE%\AppData\Local\Temp\OnboardLogs"\RTDC4043\2017-06-09</v>
      </c>
      <c r="AF68" s="77" t="str">
        <f t="shared" si="13"/>
        <v>"C:\Program Files (x86)\AstroGrep\AstroGrep.exe" /e /r /s /spath="%USERPROFILE%\AppData\Local\Temp\OnboardLogs" /stypes="app*4043*20170608*"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156-08 --locoid 4043 --swversion DE.1.0.9.0 --startMP 204:232996 --initTime 2017-06-08T11:20:11 --startdatetime 2017-06-08T11:27:17 --delay 1 --endMP 204:169 --enddatetime 2017-06-08T12:08:29 --enforcementcount 0 &gt;&gt;C:\Users\stu\Documents\GitHub\eaglep3-reporting\EC\2017-06-08-refined-times.txt</v>
      </c>
      <c r="AI68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{"issue":{"subject":"","project_id":79,"tracker_id":40,"status_id":1,"priority_id":2,"assigned_to_id":23,"start_date":"2017-06-08","description":"","custom_fields":[{"id":1,"name":"Subdivision","value":"EC"},{"id":4,"name":"Milepost","value":"0.0169"},{"id":17,"name":"Train ID","value":"156-08"},{"id":16,"name":"Locomotive ID","value":"4043"},{"id":130,"name":"Impact","value":""},{"id":150,"name":"Time of Event (Mountain Time)","value":"12:08:29"},{"id":151,"name":"Denver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4043 --day 2017-06-08</v>
      </c>
      <c r="AN68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18:08:29"},{"id":29,"name":"Sharepoint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724</v>
      </c>
      <c r="B69" s="7">
        <v>4056</v>
      </c>
      <c r="C69" s="21" t="s">
        <v>204</v>
      </c>
      <c r="D69" s="21" t="s">
        <v>510</v>
      </c>
      <c r="E69" s="13">
        <v>42894.4455787037</v>
      </c>
      <c r="F69" s="13">
        <v>42894.448217592595</v>
      </c>
      <c r="G69" s="7">
        <v>2</v>
      </c>
      <c r="H69" s="21" t="s">
        <v>858</v>
      </c>
      <c r="I69" s="13">
        <v>42894.473333333335</v>
      </c>
      <c r="J69" s="7">
        <v>0</v>
      </c>
      <c r="K69" s="92" t="str">
        <f t="shared" si="0"/>
        <v>4055/4056</v>
      </c>
      <c r="L69" s="21" t="str">
        <f>VLOOKUP(A69,'Trips&amp;Operators'!$C$1:$G$99999,5,FALSE)</f>
        <v>COOLAHAN JOHN</v>
      </c>
      <c r="M69" s="6">
        <f t="shared" si="1"/>
        <v>2.5115740740147885E-2</v>
      </c>
      <c r="N69" s="7">
        <f t="shared" si="23"/>
        <v>36.166666665812954</v>
      </c>
      <c r="O69" s="7"/>
      <c r="P69" s="7"/>
      <c r="Q69" s="22"/>
      <c r="R69" s="173"/>
      <c r="S69" s="176">
        <f t="shared" si="24"/>
        <v>1</v>
      </c>
      <c r="T69" s="202" t="str">
        <f t="shared" si="4"/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 t="shared" si="5"/>
        <v>https://d0f6bd738d7f1b3e5a7ca70fe4ff75f0.us-east-1.aws.found.io/app/kibana#/discover/Steve-Slow-Train-Analysis-(2080s-and-2083s)?_g=(refreshInterval:(display:Off,pause:!f,section:0,value:0),time:(from:'2017-06-08T09:41:38-0600',mode:absolute,to:'2017-06-08T12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9" s="204" t="str">
        <f t="shared" si="6"/>
        <v>N</v>
      </c>
      <c r="X69" s="204">
        <f t="shared" si="25"/>
        <v>1</v>
      </c>
      <c r="Y69" s="204">
        <f t="shared" si="8"/>
        <v>4.7100000000000003E-2</v>
      </c>
      <c r="Z69" s="204">
        <f t="shared" si="9"/>
        <v>23.329499999999999</v>
      </c>
      <c r="AA69" s="204">
        <f t="shared" si="10"/>
        <v>23.282399999999999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0157-08</v>
      </c>
      <c r="AE69" s="80" t="str">
        <f t="shared" si="12"/>
        <v>aws s3 cp s3://rtdc.mdm.uploadarchive.raw/RTDC4056/ "%USERPROFILE%\AppData\Local\Temp\OnboardLogs"\RTDC4056\2017-06-08 --exclude "*" --recursive --include "*20170608*" &amp; "%USERPROFILE%\Documents\GitHub\mrs-test-scripts\Headless Mode &amp; Sideloading\WalkAndUnGZ.bat" "%USERPROFILE%\AppData\Local\Temp\OnboardLogs"\RTDC4056\2017-06-08 &amp; aws s3 cp s3://rtdc.mdm.uploadarchive.raw/RTDC4056/ "%USERPROFILE%\AppData\Local\Temp\OnboardLogs"\RTDC4056\2017-06-09 --exclude "*" --recursive --include "*20170609*" &amp; "%USERPROFILE%\Documents\GitHub\mrs-test-scripts\Headless Mode &amp; Sideloading\WalkAndUnGZ.bat" "%USERPROFILE%\AppData\Local\Temp\OnboardLogs"\RTDC4056\2017-06-09</v>
      </c>
      <c r="AF69" s="77" t="str">
        <f t="shared" si="13"/>
        <v>"C:\Program Files (x86)\AstroGrep\AstroGrep.exe" /e /r /s /spath="%USERPROFILE%\AppData\Local\Temp\OnboardLogs" /stypes="app*4056*20170608*"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157-08 --locoid 4056 --swversion DE.1.0.9.0 --startMP 204:471 --initTime 2017-06-08T10:41:38 --startdatetime 2017-06-08T10:45:26 --delay 2 --endMP 204:233295 --enddatetime 2017-06-08T11:21:36 --enforcementcount 0 &gt;&gt;C:\Users\stu\Documents\GitHub\eaglep3-reporting\EC\2017-06-08-refined-times.txt</v>
      </c>
      <c r="AI69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{"issue":{"subject":"","project_id":79,"tracker_id":40,"status_id":1,"priority_id":2,"assigned_to_id":23,"start_date":"2017-06-08","description":"","custom_fields":[{"id":1,"name":"Subdivision","value":"EC"},{"id":4,"name":"Milepost","value":"23.3295"},{"id":17,"name":"Train ID","value":"157-08"},{"id":16,"name":"Locomotive ID","value":"4056"},{"id":130,"name":"Impact","value":""},{"id":150,"name":"Time of Event (Mountain Time)","value":"11:21:36"},{"id":151,"name":"Denver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4056 --day 2017-06-08</v>
      </c>
      <c r="AN69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17:21:36"},{"id":29,"name":"Sharepoint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734</v>
      </c>
      <c r="B70" s="7">
        <v>4055</v>
      </c>
      <c r="C70" s="21" t="s">
        <v>204</v>
      </c>
      <c r="D70" s="21" t="s">
        <v>507</v>
      </c>
      <c r="E70" s="13">
        <v>42894.482233796298</v>
      </c>
      <c r="F70" s="13">
        <v>42894.487696759257</v>
      </c>
      <c r="G70" s="7">
        <v>1</v>
      </c>
      <c r="H70" s="21" t="s">
        <v>195</v>
      </c>
      <c r="I70" s="13">
        <v>42894.513969907406</v>
      </c>
      <c r="J70" s="7">
        <v>0</v>
      </c>
      <c r="K70" s="92" t="str">
        <f t="shared" si="0"/>
        <v>4055/4056</v>
      </c>
      <c r="L70" s="21" t="str">
        <f>VLOOKUP(A70,'Trips&amp;Operators'!$C$1:$G$99999,5,FALSE)</f>
        <v>COOLAHAN JOHN</v>
      </c>
      <c r="M70" s="6">
        <f t="shared" si="1"/>
        <v>2.6273148148902692E-2</v>
      </c>
      <c r="N70" s="7">
        <f t="shared" si="23"/>
        <v>37.833333334419876</v>
      </c>
      <c r="O70" s="7"/>
      <c r="P70" s="7"/>
      <c r="Q70" s="22"/>
      <c r="R70" s="173"/>
      <c r="S70" s="176">
        <f t="shared" si="24"/>
        <v>1</v>
      </c>
      <c r="T70" s="202" t="str">
        <f t="shared" si="4"/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5"/>
        <v>https://d0f6bd738d7f1b3e5a7ca70fe4ff75f0.us-east-1.aws.found.io/app/kibana#/discover/Steve-Slow-Train-Analysis-(2080s-and-2083s)?_g=(refreshInterval:(display:Off,pause:!f,section:0,value:0),time:(from:'2017-06-08T10:34:25-0600',mode:absolute,to:'2017-06-08T13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0" s="204" t="str">
        <f t="shared" si="6"/>
        <v>N</v>
      </c>
      <c r="X70" s="204">
        <f t="shared" si="25"/>
        <v>1</v>
      </c>
      <c r="Y70" s="204">
        <f t="shared" si="8"/>
        <v>23.297499999999999</v>
      </c>
      <c r="Z70" s="204">
        <f t="shared" si="9"/>
        <v>1.52E-2</v>
      </c>
      <c r="AA70" s="204">
        <f t="shared" si="10"/>
        <v>23.282299999999999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0158-08</v>
      </c>
      <c r="AE70" s="80" t="str">
        <f t="shared" si="12"/>
        <v>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 &amp; aws s3 cp s3://rtdc.mdm.uploadarchive.raw/RTDC4055/ "%USERPROFILE%\AppData\Local\Temp\OnboardLogs"\RTDC4055\2017-06-09 --exclude "*" --recursive --include "*20170609*" &amp; "%USERPROFILE%\Documents\GitHub\mrs-test-scripts\Headless Mode &amp; Sideloading\WalkAndUnGZ.bat" "%USERPROFILE%\AppData\Local\Temp\OnboardLogs"\RTDC4055\2017-06-09</v>
      </c>
      <c r="AF70" s="77" t="str">
        <f t="shared" si="13"/>
        <v>"C:\Program Files (x86)\AstroGrep\AstroGrep.exe" /e /r /s /spath="%USERPROFILE%\AppData\Local\Temp\OnboardLogs" /stypes="app*4055*20170608*"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158-08 --locoid 4055 --swversion DE.1.0.9.0 --startMP 204:232975 --initTime 2017-06-08T11:34:25 --startdatetime 2017-06-08T11:42:17 --delay 1 --endMP 204:152 --enddatetime 2017-06-08T12:20:07 --enforcementcount 0 &gt;&gt;C:\Users\stu\Documents\GitHub\eaglep3-reporting\EC\2017-06-08-refined-times.txt</v>
      </c>
      <c r="AI70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{"issue":{"subject":"","project_id":79,"tracker_id":40,"status_id":1,"priority_id":2,"assigned_to_id":23,"start_date":"2017-06-08","description":"","custom_fields":[{"id":1,"name":"Subdivision","value":"EC"},{"id":4,"name":"Milepost","value":"0.0152"},{"id":17,"name":"Train ID","value":"158-08"},{"id":16,"name":"Locomotive ID","value":"4055"},{"id":130,"name":"Impact","value":""},{"id":150,"name":"Time of Event (Mountain Time)","value":"12:20:07"},{"id":151,"name":"Denver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4055 --day 2017-06-08</v>
      </c>
      <c r="AN70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18:20:07"},{"id":29,"name":"Sharepoint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726</v>
      </c>
      <c r="B71" s="7">
        <v>4026</v>
      </c>
      <c r="C71" s="21" t="s">
        <v>204</v>
      </c>
      <c r="D71" s="21" t="s">
        <v>349</v>
      </c>
      <c r="E71" s="13">
        <v>42894.453761574077</v>
      </c>
      <c r="F71" s="13">
        <v>42894.458541666667</v>
      </c>
      <c r="G71" s="7">
        <v>1</v>
      </c>
      <c r="H71" s="21" t="s">
        <v>535</v>
      </c>
      <c r="I71" s="13">
        <v>42894.484131944446</v>
      </c>
      <c r="J71" s="7">
        <v>0</v>
      </c>
      <c r="K71" s="92" t="str">
        <f t="shared" si="0"/>
        <v>4025/4026</v>
      </c>
      <c r="L71" s="21" t="str">
        <f>VLOOKUP(A71,'Trips&amp;Operators'!$C$1:$G$99999,5,FALSE)</f>
        <v>HELVIE ADAM</v>
      </c>
      <c r="M71" s="6">
        <f t="shared" si="1"/>
        <v>2.5590277778974269E-2</v>
      </c>
      <c r="N71" s="7">
        <f t="shared" si="23"/>
        <v>36.850000001722947</v>
      </c>
      <c r="O71" s="7"/>
      <c r="P71" s="7"/>
      <c r="Q71" s="22"/>
      <c r="R71" s="173"/>
      <c r="S71" s="176">
        <f t="shared" si="24"/>
        <v>1</v>
      </c>
      <c r="T71" s="202" t="str">
        <f t="shared" si="4"/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 t="shared" si="5"/>
        <v>https://d0f6bd738d7f1b3e5a7ca70fe4ff75f0.us-east-1.aws.found.io/app/kibana#/discover/Steve-Slow-Train-Analysis-(2080s-and-2083s)?_g=(refreshInterval:(display:Off,pause:!f,section:0,value:0),time:(from:'2017-06-08T09:53:25-0600',mode:absolute,to:'2017-06-08T12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1" s="204" t="str">
        <f t="shared" si="6"/>
        <v>N</v>
      </c>
      <c r="X71" s="204">
        <f t="shared" si="25"/>
        <v>1</v>
      </c>
      <c r="Y71" s="204">
        <f t="shared" si="8"/>
        <v>4.4600000000000001E-2</v>
      </c>
      <c r="Z71" s="204">
        <f t="shared" si="9"/>
        <v>23.328700000000001</v>
      </c>
      <c r="AA71" s="204">
        <f t="shared" si="10"/>
        <v>23.284100000000002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0159-08</v>
      </c>
      <c r="AE71" s="80" t="str">
        <f t="shared" si="12"/>
        <v>aws s3 cp s3://rtdc.mdm.uploadarchive.raw/RTDC4026/ "%USERPROFILE%\AppData\Local\Temp\OnboardLogs"\RTDC4026\2017-06-08 --exclude "*" --recursive --include "*20170608*" &amp; "%USERPROFILE%\Documents\GitHub\mrs-test-scripts\Headless Mode &amp; Sideloading\WalkAndUnGZ.bat" "%USERPROFILE%\AppData\Local\Temp\OnboardLogs"\RTDC4026\2017-06-08 &amp; aws s3 cp s3://rtdc.mdm.uploadarchive.raw/RTDC4026/ "%USERPROFILE%\AppData\Local\Temp\OnboardLogs"\RTDC4026\2017-06-09 --exclude "*" --recursive --include "*20170609*" &amp; "%USERPROFILE%\Documents\GitHub\mrs-test-scripts\Headless Mode &amp; Sideloading\WalkAndUnGZ.bat" "%USERPROFILE%\AppData\Local\Temp\OnboardLogs"\RTDC4026\2017-06-09</v>
      </c>
      <c r="AF71" s="77" t="str">
        <f t="shared" si="13"/>
        <v>"C:\Program Files (x86)\AstroGrep\AstroGrep.exe" /e /r /s /spath="%USERPROFILE%\AppData\Local\Temp\OnboardLogs" /stypes="app*4026*20170608*"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159-08 --locoid 4026 --swversion DE.1.0.9.0 --startMP 204:446 --initTime 2017-06-08T10:53:25 --startdatetime 2017-06-08T11:00:18 --delay 1 --endMP 204:233287 --enddatetime 2017-06-08T11:37:09 --enforcementcount 0 &gt;&gt;C:\Users\stu\Documents\GitHub\eaglep3-reporting\EC\2017-06-08-refined-times.txt</v>
      </c>
      <c r="AI71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{"issue":{"subject":"","project_id":79,"tracker_id":40,"status_id":1,"priority_id":2,"assigned_to_id":23,"start_date":"2017-06-08","description":"","custom_fields":[{"id":1,"name":"Subdivision","value":"EC"},{"id":4,"name":"Milepost","value":"23.3287"},{"id":17,"name":"Train ID","value":"159-08"},{"id":16,"name":"Locomotive ID","value":"4026"},{"id":130,"name":"Impact","value":""},{"id":150,"name":"Time of Event (Mountain Time)","value":"11:37:09"},{"id":151,"name":"Denver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4026 --day 2017-06-08</v>
      </c>
      <c r="AN71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17:37:09"},{"id":29,"name":"Sharepoint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737</v>
      </c>
      <c r="B72" s="7">
        <v>4025</v>
      </c>
      <c r="C72" s="21" t="s">
        <v>204</v>
      </c>
      <c r="D72" s="21" t="s">
        <v>859</v>
      </c>
      <c r="E72" s="13">
        <v>42894.495011574072</v>
      </c>
      <c r="F72" s="13">
        <v>42894.498171296298</v>
      </c>
      <c r="G72" s="7">
        <v>1</v>
      </c>
      <c r="H72" s="21" t="s">
        <v>401</v>
      </c>
      <c r="I72" s="13">
        <v>42894.524004629631</v>
      </c>
      <c r="J72" s="7">
        <v>0</v>
      </c>
      <c r="K72" s="92" t="str">
        <f t="shared" si="0"/>
        <v>4025/4026</v>
      </c>
      <c r="L72" s="21" t="str">
        <f>VLOOKUP(A72,'Trips&amp;Operators'!$C$1:$G$99999,5,FALSE)</f>
        <v>HELVIE ADAM</v>
      </c>
      <c r="M72" s="6">
        <f t="shared" si="1"/>
        <v>2.5833333333139308E-2</v>
      </c>
      <c r="N72" s="7">
        <f t="shared" si="23"/>
        <v>37.199999999720603</v>
      </c>
      <c r="O72" s="7"/>
      <c r="P72" s="7"/>
      <c r="Q72" s="22"/>
      <c r="R72" s="173"/>
      <c r="S72" s="176">
        <f t="shared" si="24"/>
        <v>1</v>
      </c>
      <c r="T72" s="202" t="str">
        <f t="shared" si="4"/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 t="shared" si="5"/>
        <v>https://d0f6bd738d7f1b3e5a7ca70fe4ff75f0.us-east-1.aws.found.io/app/kibana#/discover/Steve-Slow-Train-Analysis-(2080s-and-2083s)?_g=(refreshInterval:(display:Off,pause:!f,section:0,value:0),time:(from:'2017-06-08T10:52:49-0600',mode:absolute,to:'2017-06-08T13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2" s="204" t="str">
        <f t="shared" si="6"/>
        <v>N</v>
      </c>
      <c r="X72" s="204">
        <f t="shared" si="25"/>
        <v>1</v>
      </c>
      <c r="Y72" s="204">
        <f t="shared" si="8"/>
        <v>23.296399999999998</v>
      </c>
      <c r="Z72" s="204">
        <f t="shared" si="9"/>
        <v>1.54E-2</v>
      </c>
      <c r="AA72" s="204">
        <f t="shared" si="10"/>
        <v>23.280999999999999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0160-08</v>
      </c>
      <c r="AE72" s="80" t="str">
        <f t="shared" si="12"/>
        <v>aws s3 cp s3://rtdc.mdm.uploadarchive.raw/RTDC4025/ "%USERPROFILE%\AppData\Local\Temp\OnboardLogs"\RTDC4025\2017-06-08 --exclude "*" --recursive --include "*20170608*" &amp; "%USERPROFILE%\Documents\GitHub\mrs-test-scripts\Headless Mode &amp; Sideloading\WalkAndUnGZ.bat" "%USERPROFILE%\AppData\Local\Temp\OnboardLogs"\RTDC4025\2017-06-08 &amp; aws s3 cp s3://rtdc.mdm.uploadarchive.raw/RTDC4025/ "%USERPROFILE%\AppData\Local\Temp\OnboardLogs"\RTDC4025\2017-06-09 --exclude "*" --recursive --include "*20170609*" &amp; "%USERPROFILE%\Documents\GitHub\mrs-test-scripts\Headless Mode &amp; Sideloading\WalkAndUnGZ.bat" "%USERPROFILE%\AppData\Local\Temp\OnboardLogs"\RTDC4025\2017-06-09</v>
      </c>
      <c r="AF72" s="77" t="str">
        <f t="shared" si="13"/>
        <v>"C:\Program Files (x86)\AstroGrep\AstroGrep.exe" /e /r /s /spath="%USERPROFILE%\AppData\Local\Temp\OnboardLogs" /stypes="app*4025*20170608*"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160-08 --locoid 4025 --swversion DE.1.0.9.0 --startMP 204:232964 --initTime 2017-06-08T11:52:49 --startdatetime 2017-06-08T11:57:22 --delay 1 --endMP 204:154 --enddatetime 2017-06-08T12:34:34 --enforcementcount 0 &gt;&gt;C:\Users\stu\Documents\GitHub\eaglep3-reporting\EC\2017-06-08-refined-times.txt</v>
      </c>
      <c r="AI72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{"issue":{"subject":"","project_id":79,"tracker_id":40,"status_id":1,"priority_id":2,"assigned_to_id":23,"start_date":"2017-06-08","description":"","custom_fields":[{"id":1,"name":"Subdivision","value":"EC"},{"id":4,"name":"Milepost","value":"0.0154"},{"id":17,"name":"Train ID","value":"160-08"},{"id":16,"name":"Locomotive ID","value":"4025"},{"id":130,"name":"Impact","value":""},{"id":150,"name":"Time of Event (Mountain Time)","value":"12:34:34"},{"id":151,"name":"Denver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4025 --day 2017-06-08</v>
      </c>
      <c r="AN72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18:34:34"},{"id":29,"name":"Sharepoint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729</v>
      </c>
      <c r="B73" s="7">
        <v>4004</v>
      </c>
      <c r="C73" s="21" t="s">
        <v>204</v>
      </c>
      <c r="D73" s="21" t="s">
        <v>433</v>
      </c>
      <c r="E73" s="13">
        <v>42894.465636574074</v>
      </c>
      <c r="F73" s="13">
        <v>42894.468946759262</v>
      </c>
      <c r="G73" s="7">
        <v>2</v>
      </c>
      <c r="H73" s="21" t="s">
        <v>460</v>
      </c>
      <c r="I73" s="13">
        <v>42894.494942129626</v>
      </c>
      <c r="J73" s="7">
        <v>0</v>
      </c>
      <c r="K73" s="92" t="str">
        <f t="shared" si="0"/>
        <v>4003/4004</v>
      </c>
      <c r="L73" s="21" t="str">
        <f>VLOOKUP(A73,'Trips&amp;Operators'!$C$1:$G$99999,5,FALSE)</f>
        <v>STEWART MICHAEL</v>
      </c>
      <c r="M73" s="6">
        <f t="shared" si="1"/>
        <v>2.5995370364398696E-2</v>
      </c>
      <c r="N73" s="7">
        <f t="shared" si="23"/>
        <v>37.433333324734122</v>
      </c>
      <c r="O73" s="7"/>
      <c r="P73" s="7"/>
      <c r="Q73" s="22"/>
      <c r="R73" s="173"/>
      <c r="S73" s="176">
        <f t="shared" si="24"/>
        <v>1</v>
      </c>
      <c r="T73" s="202" t="str">
        <f t="shared" si="4"/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5"/>
        <v>https://d0f6bd738d7f1b3e5a7ca70fe4ff75f0.us-east-1.aws.found.io/app/kibana#/discover/Steve-Slow-Train-Analysis-(2080s-and-2083s)?_g=(refreshInterval:(display:Off,pause:!f,section:0,value:0),time:(from:'2017-06-08T10:10:31-0600',mode:absolute,to:'2017-06-08T12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3" s="204" t="str">
        <f t="shared" si="6"/>
        <v>N</v>
      </c>
      <c r="X73" s="204">
        <f t="shared" si="25"/>
        <v>1</v>
      </c>
      <c r="Y73" s="204">
        <f t="shared" si="8"/>
        <v>4.4200000000000003E-2</v>
      </c>
      <c r="Z73" s="204">
        <f t="shared" si="9"/>
        <v>23.331199999999999</v>
      </c>
      <c r="AA73" s="204">
        <f t="shared" si="10"/>
        <v>23.286999999999999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0161-08</v>
      </c>
      <c r="AE73" s="80" t="str">
        <f t="shared" si="12"/>
        <v>aws s3 cp s3://rtdc.mdm.uploadarchive.raw/RTDC4004/ "%USERPROFILE%\AppData\Local\Temp\OnboardLogs"\RTDC4004\2017-06-08 --exclude "*" --recursive --include "*20170608*" &amp; "%USERPROFILE%\Documents\GitHub\mrs-test-scripts\Headless Mode &amp; Sideloading\WalkAndUnGZ.bat" "%USERPROFILE%\AppData\Local\Temp\OnboardLogs"\RTDC4004\2017-06-08 &amp; aws s3 cp s3://rtdc.mdm.uploadarchive.raw/RTDC4004/ "%USERPROFILE%\AppData\Local\Temp\OnboardLogs"\RTDC4004\2017-06-09 --exclude "*" --recursive --include "*20170609*" &amp; "%USERPROFILE%\Documents\GitHub\mrs-test-scripts\Headless Mode &amp; Sideloading\WalkAndUnGZ.bat" "%USERPROFILE%\AppData\Local\Temp\OnboardLogs"\RTDC4004\2017-06-09</v>
      </c>
      <c r="AF73" s="77" t="str">
        <f t="shared" si="13"/>
        <v>"C:\Program Files (x86)\AstroGrep\AstroGrep.exe" /e /r /s /spath="%USERPROFILE%\AppData\Local\Temp\OnboardLogs" /stypes="app*4004*20170608*"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161-08 --locoid 4004 --swversion DE.1.0.9.0 --startMP 204:442 --initTime 2017-06-08T11:10:31 --startdatetime 2017-06-08T11:15:17 --delay 2 --endMP 204:233312 --enddatetime 2017-06-08T11:52:43 --enforcementcount 0 &gt;&gt;C:\Users\stu\Documents\GitHub\eaglep3-reporting\EC\2017-06-08-refined-times.txt</v>
      </c>
      <c r="AI73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{"issue":{"subject":"","project_id":79,"tracker_id":40,"status_id":1,"priority_id":2,"assigned_to_id":23,"start_date":"2017-06-08","description":"","custom_fields":[{"id":1,"name":"Subdivision","value":"EC"},{"id":4,"name":"Milepost","value":"23.3312"},{"id":17,"name":"Train ID","value":"161-08"},{"id":16,"name":"Locomotive ID","value":"4004"},{"id":130,"name":"Impact","value":""},{"id":150,"name":"Time of Event (Mountain Time)","value":"11:52:43"},{"id":151,"name":"Denver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4004 --day 2017-06-08</v>
      </c>
      <c r="AN73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17:52:43"},{"id":29,"name":"Sharepoint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741</v>
      </c>
      <c r="B74" s="7">
        <v>4003</v>
      </c>
      <c r="C74" s="21" t="s">
        <v>204</v>
      </c>
      <c r="D74" s="21" t="s">
        <v>403</v>
      </c>
      <c r="E74" s="13">
        <v>42894.505590277775</v>
      </c>
      <c r="F74" s="13">
        <v>42894.508657407408</v>
      </c>
      <c r="G74" s="7">
        <v>1</v>
      </c>
      <c r="H74" s="21" t="s">
        <v>364</v>
      </c>
      <c r="I74" s="13">
        <v>42894.535729166666</v>
      </c>
      <c r="J74" s="7">
        <v>0</v>
      </c>
      <c r="K74" s="92" t="str">
        <f t="shared" si="0"/>
        <v>4003/4004</v>
      </c>
      <c r="L74" s="21" t="str">
        <f>VLOOKUP(A74,'Trips&amp;Operators'!$C$1:$G$99999,5,FALSE)</f>
        <v>STEWART MICHAEL</v>
      </c>
      <c r="M74" s="6">
        <f t="shared" si="1"/>
        <v>2.7071759257523809E-2</v>
      </c>
      <c r="N74" s="7">
        <f t="shared" si="23"/>
        <v>38.983333330834284</v>
      </c>
      <c r="O74" s="7"/>
      <c r="P74" s="7"/>
      <c r="Q74" s="22"/>
      <c r="R74" s="173"/>
      <c r="S74" s="176">
        <f t="shared" si="24"/>
        <v>1</v>
      </c>
      <c r="T74" s="202" t="str">
        <f t="shared" si="4"/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 t="shared" si="5"/>
        <v>https://d0f6bd738d7f1b3e5a7ca70fe4ff75f0.us-east-1.aws.found.io/app/kibana#/discover/Steve-Slow-Train-Analysis-(2080s-and-2083s)?_g=(refreshInterval:(display:Off,pause:!f,section:0,value:0),time:(from:'2017-06-08T11:08:03-0600',mode:absolute,to:'2017-06-08T13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4" s="204" t="str">
        <f t="shared" si="6"/>
        <v>N</v>
      </c>
      <c r="X74" s="204">
        <f t="shared" si="25"/>
        <v>1</v>
      </c>
      <c r="Y74" s="204">
        <f t="shared" si="8"/>
        <v>23.298200000000001</v>
      </c>
      <c r="Z74" s="204">
        <f t="shared" si="9"/>
        <v>1.47E-2</v>
      </c>
      <c r="AA74" s="204">
        <f t="shared" si="10"/>
        <v>23.2835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0162-08</v>
      </c>
      <c r="AE74" s="80" t="str">
        <f t="shared" si="12"/>
        <v>aws s3 cp s3://rtdc.mdm.uploadarchive.raw/RTDC4003/ "%USERPROFILE%\AppData\Local\Temp\OnboardLogs"\RTDC4003\2017-06-08 --exclude "*" --recursive --include "*20170608*" &amp; "%USERPROFILE%\Documents\GitHub\mrs-test-scripts\Headless Mode &amp; Sideloading\WalkAndUnGZ.bat" "%USERPROFILE%\AppData\Local\Temp\OnboardLogs"\RTDC4003\2017-06-08 &amp; aws s3 cp s3://rtdc.mdm.uploadarchive.raw/RTDC4003/ "%USERPROFILE%\AppData\Local\Temp\OnboardLogs"\RTDC4003\2017-06-09 --exclude "*" --recursive --include "*20170609*" &amp; "%USERPROFILE%\Documents\GitHub\mrs-test-scripts\Headless Mode &amp; Sideloading\WalkAndUnGZ.bat" "%USERPROFILE%\AppData\Local\Temp\OnboardLogs"\RTDC4003\2017-06-09</v>
      </c>
      <c r="AF74" s="77" t="str">
        <f t="shared" si="13"/>
        <v>"C:\Program Files (x86)\AstroGrep\AstroGrep.exe" /e /r /s /spath="%USERPROFILE%\AppData\Local\Temp\OnboardLogs" /stypes="app*4003*20170608*"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162-08 --locoid 4003 --swversion DE.1.0.9.0 --startMP 204:232982 --initTime 2017-06-08T12:08:03 --startdatetime 2017-06-08T12:12:28 --delay 1 --endMP 204:147 --enddatetime 2017-06-08T12:51:27 --enforcementcount 0 &gt;&gt;C:\Users\stu\Documents\GitHub\eaglep3-reporting\EC\2017-06-08-refined-times.txt</v>
      </c>
      <c r="AI74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{"issue":{"subject":"","project_id":79,"tracker_id":40,"status_id":1,"priority_id":2,"assigned_to_id":23,"start_date":"2017-06-08","description":"","custom_fields":[{"id":1,"name":"Subdivision","value":"EC"},{"id":4,"name":"Milepost","value":"0.0147"},{"id":17,"name":"Train ID","value":"162-08"},{"id":16,"name":"Locomotive ID","value":"4003"},{"id":130,"name":"Impact","value":""},{"id":150,"name":"Time of Event (Mountain Time)","value":"12:51:27"},{"id":151,"name":"Denver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4003 --day 2017-06-08</v>
      </c>
      <c r="AN74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18:51:27"},{"id":29,"name":"Sharepoint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730</v>
      </c>
      <c r="B75" s="7">
        <v>4002</v>
      </c>
      <c r="C75" s="21" t="s">
        <v>204</v>
      </c>
      <c r="D75" s="21" t="s">
        <v>200</v>
      </c>
      <c r="E75" s="13">
        <v>42894.475613425922</v>
      </c>
      <c r="F75" s="13">
        <v>42894.479675925926</v>
      </c>
      <c r="G75" s="7">
        <v>1</v>
      </c>
      <c r="H75" s="21" t="s">
        <v>595</v>
      </c>
      <c r="I75" s="13">
        <v>42894.503900462965</v>
      </c>
      <c r="J75" s="7">
        <v>0</v>
      </c>
      <c r="K75" s="92" t="str">
        <f t="shared" si="0"/>
        <v>4001/4002</v>
      </c>
      <c r="L75" s="21" t="str">
        <f>VLOOKUP(A75,'Trips&amp;Operators'!$C$1:$G$99999,5,FALSE)</f>
        <v>YORK EDGAR</v>
      </c>
      <c r="M75" s="6">
        <f t="shared" si="1"/>
        <v>2.4224537039117422E-2</v>
      </c>
      <c r="N75" s="7">
        <f t="shared" si="23"/>
        <v>34.883333336329088</v>
      </c>
      <c r="O75" s="7"/>
      <c r="P75" s="7"/>
      <c r="Q75" s="22"/>
      <c r="R75" s="173"/>
      <c r="S75" s="176">
        <f t="shared" si="24"/>
        <v>1</v>
      </c>
      <c r="T75" s="202" t="str">
        <f t="shared" si="4"/>
        <v>NorthBound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 t="shared" si="5"/>
        <v>https://d0f6bd738d7f1b3e5a7ca70fe4ff75f0.us-east-1.aws.found.io/app/kibana#/discover/Steve-Slow-Train-Analysis-(2080s-and-2083s)?_g=(refreshInterval:(display:Off,pause:!f,section:0,value:0),time:(from:'2017-06-08T10:24:53-0600',mode:absolute,to:'2017-06-08T13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5" s="204" t="str">
        <f t="shared" si="6"/>
        <v>N</v>
      </c>
      <c r="X75" s="204">
        <f t="shared" si="25"/>
        <v>1</v>
      </c>
      <c r="Y75" s="204">
        <f t="shared" si="8"/>
        <v>4.5699999999999998E-2</v>
      </c>
      <c r="Z75" s="204">
        <f t="shared" si="9"/>
        <v>23.33</v>
      </c>
      <c r="AA75" s="204">
        <f t="shared" si="10"/>
        <v>23.284299999999998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0163-08</v>
      </c>
      <c r="AE75" s="80" t="str">
        <f t="shared" si="12"/>
        <v>aws s3 cp s3://rtdc.mdm.uploadarchive.raw/RTDC4002/ "%USERPROFILE%\AppData\Local\Temp\OnboardLogs"\RTDC4002\2017-06-08 --exclude "*" --recursive --include "*20170608*" &amp; "%USERPROFILE%\Documents\GitHub\mrs-test-scripts\Headless Mode &amp; Sideloading\WalkAndUnGZ.bat" "%USERPROFILE%\AppData\Local\Temp\OnboardLogs"\RTDC4002\2017-06-08 &amp; aws s3 cp s3://rtdc.mdm.uploadarchive.raw/RTDC4002/ "%USERPROFILE%\AppData\Local\Temp\OnboardLogs"\RTDC4002\2017-06-09 --exclude "*" --recursive --include "*20170609*" &amp; "%USERPROFILE%\Documents\GitHub\mrs-test-scripts\Headless Mode &amp; Sideloading\WalkAndUnGZ.bat" "%USERPROFILE%\AppData\Local\Temp\OnboardLogs"\RTDC4002\2017-06-09</v>
      </c>
      <c r="AF75" s="77" t="str">
        <f t="shared" si="13"/>
        <v>"C:\Program Files (x86)\AstroGrep\AstroGrep.exe" /e /r /s /spath="%USERPROFILE%\AppData\Local\Temp\OnboardLogs" /stypes="app*4002*20170608*"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163-08 --locoid 4002 --swversion DE.1.0.9.0 --startMP 204:457 --initTime 2017-06-08T11:24:53 --startdatetime 2017-06-08T11:30:44 --delay 1 --endMP 204:233300 --enddatetime 2017-06-08T12:05:37 --enforcementcount 0 &gt;&gt;C:\Users\stu\Documents\GitHub\eaglep3-reporting\EC\2017-06-08-refined-times.txt</v>
      </c>
      <c r="AI75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{"issue":{"subject":"","project_id":79,"tracker_id":40,"status_id":1,"priority_id":2,"assigned_to_id":23,"start_date":"2017-06-08","description":"","custom_fields":[{"id":1,"name":"Subdivision","value":"EC"},{"id":4,"name":"Milepost","value":"23.33"},{"id":17,"name":"Train ID","value":"163-08"},{"id":16,"name":"Locomotive ID","value":"4002"},{"id":130,"name":"Impact","value":""},{"id":150,"name":"Time of Event (Mountain Time)","value":"12:05:37"},{"id":151,"name":"Denver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4002 --day 2017-06-08</v>
      </c>
      <c r="AN75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18:05:37"},{"id":29,"name":"Sharepoint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740</v>
      </c>
      <c r="B76" s="7">
        <v>4001</v>
      </c>
      <c r="C76" s="21" t="s">
        <v>204</v>
      </c>
      <c r="D76" s="21" t="s">
        <v>430</v>
      </c>
      <c r="E76" s="13">
        <v>42894.504629629628</v>
      </c>
      <c r="F76" s="13">
        <v>42894.518576388888</v>
      </c>
      <c r="G76" s="7">
        <v>1</v>
      </c>
      <c r="H76" s="21" t="s">
        <v>509</v>
      </c>
      <c r="I76" s="13">
        <v>42894.545127314814</v>
      </c>
      <c r="J76" s="7">
        <v>0</v>
      </c>
      <c r="K76" s="92" t="str">
        <f t="shared" si="0"/>
        <v>4001/4002</v>
      </c>
      <c r="L76" s="21" t="str">
        <f>VLOOKUP(A76,'Trips&amp;Operators'!$C$1:$G$99999,5,FALSE)</f>
        <v>YORK EDGAR</v>
      </c>
      <c r="M76" s="6">
        <f t="shared" si="1"/>
        <v>2.6550925926130731E-2</v>
      </c>
      <c r="N76" s="7">
        <f t="shared" si="23"/>
        <v>38.233333333628252</v>
      </c>
      <c r="O76" s="7"/>
      <c r="P76" s="7"/>
      <c r="Q76" s="22"/>
      <c r="R76" s="173"/>
      <c r="S76" s="176">
        <f t="shared" si="24"/>
        <v>1</v>
      </c>
      <c r="T76" s="202" t="str">
        <f t="shared" si="4"/>
        <v>Southbound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5"/>
        <v>https://d0f6bd738d7f1b3e5a7ca70fe4ff75f0.us-east-1.aws.found.io/app/kibana#/discover/Steve-Slow-Train-Analysis-(2080s-and-2083s)?_g=(refreshInterval:(display:Off,pause:!f,section:0,value:0),time:(from:'2017-06-08T11:06:40-0600',mode:absolute,to:'2017-06-08T14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6" s="204" t="str">
        <f t="shared" si="6"/>
        <v>N</v>
      </c>
      <c r="X76" s="204">
        <f t="shared" si="25"/>
        <v>1</v>
      </c>
      <c r="Y76" s="204">
        <f t="shared" si="8"/>
        <v>23.297699999999999</v>
      </c>
      <c r="Z76" s="204">
        <f t="shared" si="9"/>
        <v>1.67E-2</v>
      </c>
      <c r="AA76" s="204">
        <f t="shared" si="10"/>
        <v>23.280999999999999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0164-08</v>
      </c>
      <c r="AE76" s="80" t="str">
        <f t="shared" si="12"/>
        <v>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 &amp; aws s3 cp s3://rtdc.mdm.uploadarchive.raw/RTDC4001/ "%USERPROFILE%\AppData\Local\Temp\OnboardLogs"\RTDC4001\2017-06-09 --exclude "*" --recursive --include "*20170609*" &amp; "%USERPROFILE%\Documents\GitHub\mrs-test-scripts\Headless Mode &amp; Sideloading\WalkAndUnGZ.bat" "%USERPROFILE%\AppData\Local\Temp\OnboardLogs"\RTDC4001\2017-06-09</v>
      </c>
      <c r="AF76" s="77" t="str">
        <f t="shared" si="13"/>
        <v>"C:\Program Files (x86)\AstroGrep\AstroGrep.exe" /e /r /s /spath="%USERPROFILE%\AppData\Local\Temp\OnboardLogs" /stypes="app*4001*20170608*"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164-08 --locoid 4001 --swversion DE.1.0.9.0 --startMP 204:232977 --initTime 2017-06-08T12:06:40 --startdatetime 2017-06-08T12:26:45 --delay 1 --endMP 204:167 --enddatetime 2017-06-08T13:04:59 --enforcementcount 0 &gt;&gt;C:\Users\stu\Documents\GitHub\eaglep3-reporting\EC\2017-06-08-refined-times.txt</v>
      </c>
      <c r="AI76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{"issue":{"subject":"","project_id":79,"tracker_id":40,"status_id":1,"priority_id":2,"assigned_to_id":23,"start_date":"2017-06-08","description":"","custom_fields":[{"id":1,"name":"Subdivision","value":"EC"},{"id":4,"name":"Milepost","value":"0.0167"},{"id":17,"name":"Train ID","value":"164-08"},{"id":16,"name":"Locomotive ID","value":"4001"},{"id":130,"name":"Impact","value":""},{"id":150,"name":"Time of Event (Mountain Time)","value":"13:04:59"},{"id":151,"name":"Denver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4001 --day 2017-06-08</v>
      </c>
      <c r="AN76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19:04:59"},{"id":29,"name":"Sharepoint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736</v>
      </c>
      <c r="B77" s="7">
        <v>4030</v>
      </c>
      <c r="C77" s="21" t="s">
        <v>204</v>
      </c>
      <c r="D77" s="21" t="s">
        <v>488</v>
      </c>
      <c r="E77" s="13">
        <v>42894.484907407408</v>
      </c>
      <c r="F77" s="13">
        <v>42894.489745370367</v>
      </c>
      <c r="G77" s="7">
        <v>2</v>
      </c>
      <c r="H77" s="21" t="s">
        <v>860</v>
      </c>
      <c r="I77" s="13">
        <v>42894.514293981483</v>
      </c>
      <c r="J77" s="7">
        <v>0</v>
      </c>
      <c r="K77" s="92" t="str">
        <f t="shared" ref="K77:K140" si="26">IF(ISEVEN(B77),(B77-1)&amp;"/"&amp;B77,B77&amp;"/"&amp;(B77+1))</f>
        <v>4029/4030</v>
      </c>
      <c r="L77" s="21" t="str">
        <f>VLOOKUP(A77,'Trips&amp;Operators'!$C$1:$G$99999,5,FALSE)</f>
        <v>LEVIN SCOTT</v>
      </c>
      <c r="M77" s="6">
        <f t="shared" ref="M77:M140" si="27">I77-F77</f>
        <v>2.4548611116188113E-2</v>
      </c>
      <c r="N77" s="7">
        <f t="shared" ref="N77:N108" si="28">24*60*SUM($M77:$M77)</f>
        <v>35.350000007310882</v>
      </c>
      <c r="O77" s="7"/>
      <c r="P77" s="7"/>
      <c r="Q77" s="22"/>
      <c r="R77" s="173"/>
      <c r="S77" s="176">
        <f t="shared" ref="S77:S108" si="29">SUM(U77:U77)/IF(AG77="EC",12,1)</f>
        <v>1</v>
      </c>
      <c r="T77" s="202" t="str">
        <f t="shared" ref="T77:T140" si="30">IF(ISEVEN(LEFT(AD77,4)),"Southbound","NorthBound")</f>
        <v>NorthBound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-08T10:38:16-0600',mode:absolute,to:'2017-06-08T13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7" s="204" t="str">
        <f t="shared" ref="W77:W140" si="32">IF(AA77&lt;IF(AG77="EC",23,5.65),"Y","N")</f>
        <v>N</v>
      </c>
      <c r="X77" s="204">
        <f t="shared" ref="X77:X108" si="33">VALUE(LEFT(AD77,4))-VALUE(LEFT(AD76,4))</f>
        <v>1</v>
      </c>
      <c r="Y77" s="204">
        <f t="shared" ref="Y77:Y140" si="34">RIGHT(D77,LEN(D77)-4)/10000</f>
        <v>4.7699999999999999E-2</v>
      </c>
      <c r="Z77" s="204">
        <f t="shared" ref="Z77:Z140" si="35">RIGHT(H77,LEN(H77)-4)/10000</f>
        <v>23.339500000000001</v>
      </c>
      <c r="AA77" s="204">
        <f t="shared" ref="AA77:AA140" si="36">ABS(Z77-Y77)</f>
        <v>23.291800000000002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7">IF(LEN(A77)=6,"0"&amp;A77,A77)</f>
        <v>0165-08</v>
      </c>
      <c r="AE77" s="80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s3://rtdc.mdm.uploadarchive.raw/RTDC4030/ "%USERPROFILE%\AppData\Local\Temp\OnboardLogs"\RTDC4030\2017-06-08 --exclude "*" --recursive --include "*20170608*" &amp; "%USERPROFILE%\Documents\GitHub\mrs-test-scripts\Headless Mode &amp; Sideloading\WalkAndUnGZ.bat" "%USERPROFILE%\AppData\Local\Temp\OnboardLogs"\RTDC4030\2017-06-08 &amp; 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</v>
      </c>
      <c r="AF77" s="77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/stypes="app*4030*20170608*"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0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165-08 --locoid 4030 --swversion DE.1.0.9.0 --startMP 204:477 --initTime 2017-06-08T11:38:16 --startdatetime 2017-06-08T11:45:14 --delay 2 --endMP 204:233395 --enddatetime 2017-06-08T12:20:35 --enforcementcount 0 &gt;&gt;C:\Users\stu\Documents\GitHub\eaglep3-reporting\EC\2017-06-08-refined-times.txt</v>
      </c>
      <c r="AI77" s="99" t="str">
        <f t="shared" si="20"/>
        <v>echo {"issue":{"subject":"","project_id":79,"tracker_id":40,"status_id":1,"priority_id":2,"assigned_to_id":23,"start_date":"2017-06-08","description":"","custom_fields":[{"id":1,"name":"Subdivision","value":"EC"},{"id":4,"name":"Milepost","value":"23.3395"},{"id":17,"name":"Train ID","value":"165-08"},{"id":16,"name":"Locomotive ID","value":"4030"},{"id":130,"name":"Impact","value":""},{"id":150,"name":"Time of Event (Mountain Time)","value":"12:20:35"},{"id":151,"name":"Denver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4030 --day 2017-06-08</v>
      </c>
      <c r="AN77" s="154" t="str">
        <f t="shared" si="22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18:20:35"},{"id":29,"name":"Sharepoint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745</v>
      </c>
      <c r="B78" s="7">
        <v>4029</v>
      </c>
      <c r="C78" s="21" t="s">
        <v>204</v>
      </c>
      <c r="D78" s="21" t="s">
        <v>861</v>
      </c>
      <c r="E78" s="13">
        <v>42894.52584490741</v>
      </c>
      <c r="F78" s="13">
        <v>42894.529386574075</v>
      </c>
      <c r="G78" s="7">
        <v>2</v>
      </c>
      <c r="H78" s="21" t="s">
        <v>592</v>
      </c>
      <c r="I78" s="13">
        <v>42894.555497685185</v>
      </c>
      <c r="J78" s="7">
        <v>0</v>
      </c>
      <c r="K78" s="92" t="str">
        <f t="shared" si="26"/>
        <v>4029/4030</v>
      </c>
      <c r="L78" s="21" t="str">
        <f>VLOOKUP(A78,'Trips&amp;Operators'!$C$1:$G$99999,5,FALSE)</f>
        <v>LEVIN SCOTT</v>
      </c>
      <c r="M78" s="6">
        <f t="shared" si="27"/>
        <v>2.6111111110367347E-2</v>
      </c>
      <c r="N78" s="7">
        <f t="shared" si="28"/>
        <v>37.599999998928979</v>
      </c>
      <c r="O78" s="7"/>
      <c r="P78" s="7"/>
      <c r="Q78" s="22"/>
      <c r="R78" s="173"/>
      <c r="S78" s="176">
        <f t="shared" si="29"/>
        <v>1</v>
      </c>
      <c r="T78" s="202" t="str">
        <f t="shared" si="30"/>
        <v>Southbound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 t="shared" si="31"/>
        <v>https://d0f6bd738d7f1b3e5a7ca70fe4ff75f0.us-east-1.aws.found.io/app/kibana#/discover/Steve-Slow-Train-Analysis-(2080s-and-2083s)?_g=(refreshInterval:(display:Off,pause:!f,section:0,value:0),time:(from:'2017-06-08T11:37:13-0600',mode:absolute,to:'2017-06-08T14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8" s="204" t="str">
        <f t="shared" si="32"/>
        <v>N</v>
      </c>
      <c r="X78" s="204">
        <f t="shared" si="33"/>
        <v>1</v>
      </c>
      <c r="Y78" s="204">
        <f t="shared" si="34"/>
        <v>23.310099999999998</v>
      </c>
      <c r="Z78" s="204">
        <f t="shared" si="35"/>
        <v>1.32E-2</v>
      </c>
      <c r="AA78" s="204">
        <f t="shared" si="36"/>
        <v>23.296899999999997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7"/>
        <v>0166-08</v>
      </c>
      <c r="AE78" s="80" t="str">
        <f t="shared" si="38"/>
        <v>aws s3 cp s3://rtdc.mdm.uploadarchive.raw/RTDC4029/ "%USERPROFILE%\AppData\Local\Temp\OnboardLogs"\RTDC4029\2017-06-08 --exclude "*" --recursive --include "*20170608*" &amp; "%USERPROFILE%\Documents\GitHub\mrs-test-scripts\Headless Mode &amp; Sideloading\WalkAndUnGZ.bat" "%USERPROFILE%\AppData\Local\Temp\OnboardLogs"\RTDC4029\2017-06-08 &amp; 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</v>
      </c>
      <c r="AF78" s="77" t="str">
        <f t="shared" si="39"/>
        <v>"C:\Program Files (x86)\AstroGrep\AstroGrep.exe" /e /r /s /spath="%USERPROFILE%\AppData\Local\Temp\OnboardLogs" /stypes="app*4029*20170608*" /stext=" 19:.+((SYSTEM_STATE.+slice.+state.+changed )|(ment ac)|(multiple cpu faults)|(system.+state.+changed )|(\[timeout)|(PRM\|1\|D)|(kpr)|(kdp)|(train st.+moving)|(\|lc)|(penalty))"</v>
      </c>
      <c r="AG78" s="1" t="str">
        <f t="shared" si="40"/>
        <v>EC</v>
      </c>
      <c r="AH78" s="81" t="str">
        <f t="shared" ref="AH78:AH141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166-08 --locoid 4029 --swversion DE.1.0.9.0 --startMP 204:233101 --initTime 2017-06-08T12:37:13 --startdatetime 2017-06-08T12:42:19 --delay 2 --endMP 204:132 --enddatetime 2017-06-08T13:19:55 --enforcementcount 0 &gt;&gt;C:\Users\stu\Documents\GitHub\eaglep3-reporting\EC\2017-06-08-refined-times.txt</v>
      </c>
      <c r="AI78" s="99" t="str">
        <f t="shared" ref="AI78:AI141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{"issue":{"subject":"","project_id":79,"tracker_id":40,"status_id":1,"priority_id":2,"assigned_to_id":23,"start_date":"2017-06-08","description":"","custom_fields":[{"id":1,"name":"Subdivision","value":"EC"},{"id":4,"name":"Milepost","value":"0.0132"},{"id":17,"name":"Train ID","value":"166-08"},{"id":16,"name":"Locomotive ID","value":"4029"},{"id":130,"name":"Impact","value":""},{"id":150,"name":"Time of Event (Mountain Time)","value":"13:19:55"},{"id":151,"name":"Denver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43">"start /low /b "&amp;dls3logs&amp;" --loco "&amp;B78&amp;" --day "&amp;TEXT(F78,"YYYY-MM-DD")</f>
        <v>start /low /b %USERPROFILE%\Documents\GitHub\eaglep3\Utilities\DownloadLogsFromS3.py --loco 4029 --day 2017-06-08</v>
      </c>
      <c r="AN78" s="154" t="str">
        <f t="shared" ref="AN78:AN141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19:19:55"},{"id":29,"name":"Sharepoint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738</v>
      </c>
      <c r="B79" s="7">
        <v>4022</v>
      </c>
      <c r="C79" s="21" t="s">
        <v>204</v>
      </c>
      <c r="D79" s="21" t="s">
        <v>397</v>
      </c>
      <c r="E79" s="13">
        <v>42894.495844907404</v>
      </c>
      <c r="F79" s="13">
        <v>42894.500173611108</v>
      </c>
      <c r="G79" s="7">
        <v>1</v>
      </c>
      <c r="H79" s="21" t="s">
        <v>862</v>
      </c>
      <c r="I79" s="13">
        <v>42894.526412037034</v>
      </c>
      <c r="J79" s="7">
        <v>0</v>
      </c>
      <c r="K79" s="92" t="str">
        <f t="shared" si="26"/>
        <v>4021/4022</v>
      </c>
      <c r="L79" s="21" t="str">
        <f>VLOOKUP(A79,'Trips&amp;Operators'!$C$1:$G$99999,5,FALSE)</f>
        <v>DELGADO DIANAH</v>
      </c>
      <c r="M79" s="6">
        <f t="shared" si="27"/>
        <v>2.6238425925839692E-2</v>
      </c>
      <c r="N79" s="7">
        <f t="shared" si="28"/>
        <v>37.783333333209157</v>
      </c>
      <c r="O79" s="7"/>
      <c r="P79" s="7"/>
      <c r="Q79" s="22"/>
      <c r="R79" s="173"/>
      <c r="S79" s="176">
        <f t="shared" si="29"/>
        <v>1</v>
      </c>
      <c r="T79" s="202" t="str">
        <f t="shared" si="30"/>
        <v>NorthBound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31"/>
        <v>https://d0f6bd738d7f1b3e5a7ca70fe4ff75f0.us-east-1.aws.found.io/app/kibana#/discover/Steve-Slow-Train-Analysis-(2080s-and-2083s)?_g=(refreshInterval:(display:Off,pause:!f,section:0,value:0),time:(from:'2017-06-08T10:54:01-0600',mode:absolute,to:'2017-06-08T13:38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9" s="204" t="str">
        <f t="shared" si="32"/>
        <v>N</v>
      </c>
      <c r="X79" s="204">
        <f t="shared" si="33"/>
        <v>1</v>
      </c>
      <c r="Y79" s="204">
        <f t="shared" si="34"/>
        <v>4.6199999999999998E-2</v>
      </c>
      <c r="Z79" s="204">
        <f t="shared" si="35"/>
        <v>23.3398</v>
      </c>
      <c r="AA79" s="204">
        <f t="shared" si="36"/>
        <v>23.293600000000001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7"/>
        <v>0167-08</v>
      </c>
      <c r="AE79" s="80" t="str">
        <f t="shared" si="38"/>
        <v>aws s3 cp s3://rtdc.mdm.uploadarchive.raw/RTDC4022/ "%USERPROFILE%\AppData\Local\Temp\OnboardLogs"\RTDC4022\2017-06-08 --exclude "*" --recursive --include "*20170608*" &amp; "%USERPROFILE%\Documents\GitHub\mrs-test-scripts\Headless Mode &amp; Sideloading\WalkAndUnGZ.bat" "%USERPROFILE%\AppData\Local\Temp\OnboardLogs"\RTDC4022\2017-06-08 &amp; 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</v>
      </c>
      <c r="AF79" s="77" t="str">
        <f t="shared" si="39"/>
        <v>"C:\Program Files (x86)\AstroGrep\AstroGrep.exe" /e /r /s /spath="%USERPROFILE%\AppData\Local\Temp\OnboardLogs" /stypes="app*4022*20170608*" /stext=" 18:.+((SYSTEM_STATE.+slice.+state.+changed )|(ment ac)|(multiple cpu faults)|(system.+state.+changed )|(\[timeout)|(PRM\|1\|D)|(kpr)|(kdp)|(train st.+moving)|(\|lc)|(penalty))"</v>
      </c>
      <c r="AG79" s="1" t="str">
        <f t="shared" si="40"/>
        <v>EC</v>
      </c>
      <c r="AH79" s="81" t="str">
        <f t="shared" si="41"/>
        <v>"%USERPROFILE%\Documents\GitHub\eaglep3\Utilities\RefineRTDCRunTimes.py" --tripid 167-08 --locoid 4022 --swversion DE.1.0.9.0 --startMP 204:462 --initTime 2017-06-08T11:54:01 --startdatetime 2017-06-08T12:00:15 --delay 1 --endMP 204:233398 --enddatetime 2017-06-08T12:38:02 --enforcementcount 0 &gt;&gt;C:\Users\stu\Documents\GitHub\eaglep3-reporting\EC\2017-06-08-refined-times.txt</v>
      </c>
      <c r="AI79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{"issue":{"subject":"","project_id":79,"tracker_id":40,"status_id":1,"priority_id":2,"assigned_to_id":23,"start_date":"2017-06-08","description":"","custom_fields":[{"id":1,"name":"Subdivision","value":"EC"},{"id":4,"name":"Milepost","value":"23.3398"},{"id":17,"name":"Train ID","value":"167-08"},{"id":16,"name":"Locomotive ID","value":"4022"},{"id":130,"name":"Impact","value":""},{"id":150,"name":"Time of Event (Mountain Time)","value":"12:38:02"},{"id":151,"name":"Denver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3"/>
        <v>start /low /b %USERPROFILE%\Documents\GitHub\eaglep3\Utilities\DownloadLogsFromS3.py --loco 4022 --day 2017-06-08</v>
      </c>
      <c r="AN79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18:38:02"},{"id":29,"name":"Sharepoint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746</v>
      </c>
      <c r="B80" s="7">
        <v>4021</v>
      </c>
      <c r="C80" s="21" t="s">
        <v>204</v>
      </c>
      <c r="D80" s="21" t="s">
        <v>863</v>
      </c>
      <c r="E80" s="13">
        <v>42894.535092592596</v>
      </c>
      <c r="F80" s="13">
        <v>42894.53974537037</v>
      </c>
      <c r="G80" s="7">
        <v>1</v>
      </c>
      <c r="H80" s="21" t="s">
        <v>431</v>
      </c>
      <c r="I80" s="13">
        <v>42894.565370370372</v>
      </c>
      <c r="J80" s="7">
        <v>0</v>
      </c>
      <c r="K80" s="92" t="str">
        <f t="shared" si="26"/>
        <v>4021/4022</v>
      </c>
      <c r="L80" s="21" t="str">
        <f>VLOOKUP(A80,'Trips&amp;Operators'!$C$1:$G$99999,5,FALSE)</f>
        <v>DELGADO DIANAH</v>
      </c>
      <c r="M80" s="6">
        <f t="shared" si="27"/>
        <v>2.5625000002037268E-2</v>
      </c>
      <c r="N80" s="7">
        <f t="shared" si="28"/>
        <v>36.900000002933666</v>
      </c>
      <c r="O80" s="7"/>
      <c r="P80" s="7"/>
      <c r="Q80" s="22"/>
      <c r="R80" s="173"/>
      <c r="S80" s="176">
        <f t="shared" si="29"/>
        <v>1</v>
      </c>
      <c r="T80" s="202" t="str">
        <f t="shared" si="30"/>
        <v>Southbound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 t="shared" si="31"/>
        <v>https://d0f6bd738d7f1b3e5a7ca70fe4ff75f0.us-east-1.aws.found.io/app/kibana#/discover/Steve-Slow-Train-Analysis-(2080s-and-2083s)?_g=(refreshInterval:(display:Off,pause:!f,section:0,value:0),time:(from:'2017-06-08T11:50:32-0600',mode:absolute,to:'2017-06-08T14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0" s="204" t="str">
        <f t="shared" si="32"/>
        <v>N</v>
      </c>
      <c r="X80" s="204">
        <f t="shared" si="33"/>
        <v>1</v>
      </c>
      <c r="Y80" s="204">
        <f t="shared" si="34"/>
        <v>23.3093</v>
      </c>
      <c r="Z80" s="204">
        <f t="shared" si="35"/>
        <v>1.4500000000000001E-2</v>
      </c>
      <c r="AA80" s="204">
        <f t="shared" si="36"/>
        <v>23.294799999999999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7"/>
        <v>0168-08</v>
      </c>
      <c r="AE80" s="80" t="str">
        <f t="shared" si="38"/>
        <v>aws s3 cp s3://rtdc.mdm.uploadarchive.raw/RTDC4021/ "%USERPROFILE%\AppData\Local\Temp\OnboardLogs"\RTDC4021\2017-06-08 --exclude "*" --recursive --include "*20170608*" &amp; "%USERPROFILE%\Documents\GitHub\mrs-test-scripts\Headless Mode &amp; Sideloading\WalkAndUnGZ.bat" "%USERPROFILE%\AppData\Local\Temp\OnboardLogs"\RTDC4021\2017-06-08 &amp; 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</v>
      </c>
      <c r="AF80" s="77" t="str">
        <f t="shared" si="39"/>
        <v>"C:\Program Files (x86)\AstroGrep\AstroGrep.exe" /e /r /s /spath="%USERPROFILE%\AppData\Local\Temp\OnboardLogs" /stypes="app*4021*20170608*" /stext=" 19:.+((SYSTEM_STATE.+slice.+state.+changed )|(ment ac)|(multiple cpu faults)|(system.+state.+changed )|(\[timeout)|(PRM\|1\|D)|(kpr)|(kdp)|(train st.+moving)|(\|lc)|(penalty))"</v>
      </c>
      <c r="AG80" s="1" t="str">
        <f t="shared" si="40"/>
        <v>EC</v>
      </c>
      <c r="AH80" s="81" t="str">
        <f t="shared" si="41"/>
        <v>"%USERPROFILE%\Documents\GitHub\eaglep3\Utilities\RefineRTDCRunTimes.py" --tripid 168-08 --locoid 4021 --swversion DE.1.0.9.0 --startMP 204:233093 --initTime 2017-06-08T12:50:32 --startdatetime 2017-06-08T12:57:14 --delay 1 --endMP 204:145 --enddatetime 2017-06-08T13:34:08 --enforcementcount 0 &gt;&gt;C:\Users\stu\Documents\GitHub\eaglep3-reporting\EC\2017-06-08-refined-times.txt</v>
      </c>
      <c r="AI80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{"issue":{"subject":"","project_id":79,"tracker_id":40,"status_id":1,"priority_id":2,"assigned_to_id":23,"start_date":"2017-06-08","description":"","custom_fields":[{"id":1,"name":"Subdivision","value":"EC"},{"id":4,"name":"Milepost","value":"0.0145"},{"id":17,"name":"Train ID","value":"168-08"},{"id":16,"name":"Locomotive ID","value":"4021"},{"id":130,"name":"Impact","value":""},{"id":150,"name":"Time of Event (Mountain Time)","value":"13:34:08"},{"id":151,"name":"Denver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3"/>
        <v>start /low /b %USERPROFILE%\Documents\GitHub\eaglep3\Utilities\DownloadLogsFromS3.py --loco 4021 --day 2017-06-08</v>
      </c>
      <c r="AN80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19:34:08"},{"id":29,"name":"Sharepoint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742</v>
      </c>
      <c r="B81" s="7">
        <v>4044</v>
      </c>
      <c r="C81" s="21" t="s">
        <v>204</v>
      </c>
      <c r="D81" s="21" t="s">
        <v>368</v>
      </c>
      <c r="E81" s="13">
        <v>42894.507372685184</v>
      </c>
      <c r="F81" s="13">
        <v>42894.510706018518</v>
      </c>
      <c r="G81" s="7">
        <v>1</v>
      </c>
      <c r="H81" s="21" t="s">
        <v>864</v>
      </c>
      <c r="I81" s="13">
        <v>42894.535428240742</v>
      </c>
      <c r="J81" s="7">
        <v>0</v>
      </c>
      <c r="K81" s="92" t="str">
        <f t="shared" si="26"/>
        <v>4043/4044</v>
      </c>
      <c r="L81" s="21" t="str">
        <f>VLOOKUP(A81,'Trips&amp;Operators'!$C$1:$G$99999,5,FALSE)</f>
        <v>BERLING GARY</v>
      </c>
      <c r="M81" s="6">
        <f t="shared" si="27"/>
        <v>2.4722222224227153E-2</v>
      </c>
      <c r="N81" s="7">
        <f t="shared" si="28"/>
        <v>35.6000000028871</v>
      </c>
      <c r="O81" s="7"/>
      <c r="P81" s="7"/>
      <c r="Q81" s="22"/>
      <c r="R81" s="173"/>
      <c r="S81" s="176">
        <f t="shared" si="29"/>
        <v>1</v>
      </c>
      <c r="T81" s="202" t="str">
        <f t="shared" si="30"/>
        <v>NorthBound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 t="shared" si="31"/>
        <v>https://d0f6bd738d7f1b3e5a7ca70fe4ff75f0.us-east-1.aws.found.io/app/kibana#/discover/Steve-Slow-Train-Analysis-(2080s-and-2083s)?_g=(refreshInterval:(display:Off,pause:!f,section:0,value:0),time:(from:'2017-06-08T11:10:37-0600',mode:absolute,to:'2017-06-08T13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1" s="204" t="str">
        <f t="shared" si="32"/>
        <v>N</v>
      </c>
      <c r="X81" s="204">
        <f t="shared" si="33"/>
        <v>1</v>
      </c>
      <c r="Y81" s="204">
        <f t="shared" si="34"/>
        <v>4.5499999999999999E-2</v>
      </c>
      <c r="Z81" s="204">
        <f t="shared" si="35"/>
        <v>23.3339</v>
      </c>
      <c r="AA81" s="204">
        <f t="shared" si="36"/>
        <v>23.288399999999999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7"/>
        <v>0169-08</v>
      </c>
      <c r="AE81" s="80" t="str">
        <f t="shared" si="38"/>
        <v>aws s3 cp s3://rtdc.mdm.uploadarchive.raw/RTDC4044/ "%USERPROFILE%\AppData\Local\Temp\OnboardLogs"\RTDC4044\2017-06-08 --exclude "*" --recursive --include "*20170608*" &amp; "%USERPROFILE%\Documents\GitHub\mrs-test-scripts\Headless Mode &amp; Sideloading\WalkAndUnGZ.bat" "%USERPROFILE%\AppData\Local\Temp\OnboardLogs"\RTDC4044\2017-06-08 &amp; aws s3 cp s3://rtdc.mdm.uploadarchive.raw/RTDC4044/ "%USERPROFILE%\AppData\Local\Temp\OnboardLogs"\RTDC4044\2017-06-09 --exclude "*" --recursive --include "*20170609*" &amp; "%USERPROFILE%\Documents\GitHub\mrs-test-scripts\Headless Mode &amp; Sideloading\WalkAndUnGZ.bat" "%USERPROFILE%\AppData\Local\Temp\OnboardLogs"\RTDC4044\2017-06-09</v>
      </c>
      <c r="AF81" s="77" t="str">
        <f t="shared" si="39"/>
        <v>"C:\Program Files (x86)\AstroGrep\AstroGrep.exe" /e /r /s /spath="%USERPROFILE%\AppData\Local\Temp\OnboardLogs" /stypes="app*4044*20170608*" /stext=" 18:.+((SYSTEM_STATE.+slice.+state.+changed )|(ment ac)|(multiple cpu faults)|(system.+state.+changed )|(\[timeout)|(PRM\|1\|D)|(kpr)|(kdp)|(train st.+moving)|(\|lc)|(penalty))"</v>
      </c>
      <c r="AG81" s="1" t="str">
        <f t="shared" si="40"/>
        <v>EC</v>
      </c>
      <c r="AH81" s="81" t="str">
        <f t="shared" si="41"/>
        <v>"%USERPROFILE%\Documents\GitHub\eaglep3\Utilities\RefineRTDCRunTimes.py" --tripid 169-08 --locoid 4044 --swversion DE.1.0.9.0 --startMP 204:455 --initTime 2017-06-08T12:10:37 --startdatetime 2017-06-08T12:15:25 --delay 1 --endMP 204:233339 --enddatetime 2017-06-08T12:51:01 --enforcementcount 0 &gt;&gt;C:\Users\stu\Documents\GitHub\eaglep3-reporting\EC\2017-06-08-refined-times.txt</v>
      </c>
      <c r="AI81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{"issue":{"subject":"","project_id":79,"tracker_id":40,"status_id":1,"priority_id":2,"assigned_to_id":23,"start_date":"2017-06-08","description":"","custom_fields":[{"id":1,"name":"Subdivision","value":"EC"},{"id":4,"name":"Milepost","value":"23.3339"},{"id":17,"name":"Train ID","value":"169-08"},{"id":16,"name":"Locomotive ID","value":"4044"},{"id":130,"name":"Impact","value":""},{"id":150,"name":"Time of Event (Mountain Time)","value":"12:51:01"},{"id":151,"name":"Denver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3"/>
        <v>start /low /b %USERPROFILE%\Documents\GitHub\eaglep3\Utilities\DownloadLogsFromS3.py --loco 4044 --day 2017-06-08</v>
      </c>
      <c r="AN81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18:51:01"},{"id":29,"name":"Sharepoint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626</v>
      </c>
      <c r="B82" s="7">
        <v>4043</v>
      </c>
      <c r="C82" s="21" t="s">
        <v>204</v>
      </c>
      <c r="D82" s="21" t="s">
        <v>590</v>
      </c>
      <c r="E82" s="13">
        <v>42894.542071759257</v>
      </c>
      <c r="F82" s="13">
        <v>42894.550162037034</v>
      </c>
      <c r="G82" s="7">
        <v>1</v>
      </c>
      <c r="H82" s="21" t="s">
        <v>851</v>
      </c>
      <c r="I82" s="13">
        <v>42894.578206018516</v>
      </c>
      <c r="J82" s="7">
        <v>0</v>
      </c>
      <c r="K82" s="92" t="str">
        <f t="shared" si="26"/>
        <v>4043/4044</v>
      </c>
      <c r="L82" s="21" t="str">
        <f>VLOOKUP(A82,'Trips&amp;Operators'!$C$1:$G$99999,5,FALSE)</f>
        <v>BERLING GARY</v>
      </c>
      <c r="M82" s="6">
        <f t="shared" si="27"/>
        <v>2.8043981481459923E-2</v>
      </c>
      <c r="N82" s="7">
        <f t="shared" si="28"/>
        <v>40.383333333302289</v>
      </c>
      <c r="O82" s="7"/>
      <c r="P82" s="7"/>
      <c r="Q82" s="22"/>
      <c r="R82" s="173"/>
      <c r="S82" s="176">
        <f t="shared" si="29"/>
        <v>1</v>
      </c>
      <c r="T82" s="202" t="str">
        <f t="shared" si="30"/>
        <v>Southbound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31"/>
        <v>https://d0f6bd738d7f1b3e5a7ca70fe4ff75f0.us-east-1.aws.found.io/app/kibana#/discover/Steve-Slow-Train-Analysis-(2080s-and-2083s)?_g=(refreshInterval:(display:Off,pause:!f,section:0,value:0),time:(from:'2017-06-08T12:00:35-0600',mode:absolute,to:'2017-06-08T14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2" s="204" t="str">
        <f t="shared" si="32"/>
        <v>N</v>
      </c>
      <c r="X82" s="204">
        <f t="shared" si="33"/>
        <v>1</v>
      </c>
      <c r="Y82" s="204">
        <f t="shared" si="34"/>
        <v>23.3005</v>
      </c>
      <c r="Z82" s="204">
        <f t="shared" si="35"/>
        <v>1.34E-2</v>
      </c>
      <c r="AA82" s="204">
        <f t="shared" si="36"/>
        <v>23.287099999999999</v>
      </c>
      <c r="AB82" s="57" t="str">
        <f>VLOOKUP(A82,Enforcements!$C$7:$K$13,8,0)</f>
        <v>Bulletin (2)</v>
      </c>
      <c r="AC82" s="53" t="str">
        <f>VLOOKUP(A82,Enforcements!$C$7:$E$13,3,0)</f>
        <v>GRADE CROSSING</v>
      </c>
      <c r="AD82" s="54" t="str">
        <f t="shared" si="37"/>
        <v>0170-08</v>
      </c>
      <c r="AE82" s="80" t="str">
        <f t="shared" si="38"/>
        <v>aws s3 cp s3://rtdc.mdm.uploadarchive.raw/RTDC4043/ "%USERPROFILE%\AppData\Local\Temp\OnboardLogs"\RTDC4043\2017-06-08 --exclude "*" --recursive --include "*20170608*" &amp; "%USERPROFILE%\Documents\GitHub\mrs-test-scripts\Headless Mode &amp; Sideloading\WalkAndUnGZ.bat" "%USERPROFILE%\AppData\Local\Temp\OnboardLogs"\RTDC4043\2017-06-08 &amp; aws s3 cp s3://rtdc.mdm.uploadarchive.raw/RTDC4043/ "%USERPROFILE%\AppData\Local\Temp\OnboardLogs"\RTDC4043\2017-06-09 --exclude "*" --recursive --include "*20170609*" &amp; "%USERPROFILE%\Documents\GitHub\mrs-test-scripts\Headless Mode &amp; Sideloading\WalkAndUnGZ.bat" "%USERPROFILE%\AppData\Local\Temp\OnboardLogs"\RTDC4043\2017-06-09</v>
      </c>
      <c r="AF82" s="77" t="str">
        <f t="shared" si="39"/>
        <v>"C:\Program Files (x86)\AstroGrep\AstroGrep.exe" /e /r /s /spath="%USERPROFILE%\AppData\Local\Temp\OnboardLogs" /stypes="app*4043*20170608*" /stext=" 19:.+((SYSTEM_STATE.+slice.+state.+changed )|(ment ac)|(multiple cpu faults)|(system.+state.+changed )|(\[timeout)|(PRM\|1\|D)|(kpr)|(kdp)|(train st.+moving)|(\|lc)|(penalty))"</v>
      </c>
      <c r="AG82" s="1" t="str">
        <f t="shared" si="40"/>
        <v>EC</v>
      </c>
      <c r="AH82" s="81" t="str">
        <f t="shared" si="41"/>
        <v>"%USERPROFILE%\Documents\GitHub\eaglep3\Utilities\RefineRTDCRunTimes.py" --tripid 170-08 --locoid 4043 --swversion DE.1.0.9.0 --startMP 204:233005 --initTime 2017-06-08T13:00:35 --startdatetime 2017-06-08T13:12:14 --delay 1 --endMP 204:134 --enddatetime 2017-06-08T13:52:37 --enforcementcount 0 &gt;&gt;C:\Users\stu\Documents\GitHub\eaglep3-reporting\EC\2017-06-08-refined-times.txt</v>
      </c>
      <c r="AI82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{"issue":{"subject":"","project_id":79,"tracker_id":40,"status_id":1,"priority_id":2,"assigned_to_id":23,"start_date":"2017-06-08","description":"","custom_fields":[{"id":1,"name":"Subdivision","value":"EC"},{"id":4,"name":"Milepost","value":"0.0134"},{"id":17,"name":"Train ID","value":"170-08"},{"id":16,"name":"Locomotive ID","value":"4043"},{"id":130,"name":"Impact","value":""},{"id":150,"name":"Time of Event (Mountain Time)","value":"13:52:37"},{"id":151,"name":"Denver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3"/>
        <v>start /low /b %USERPROFILE%\Documents\GitHub\eaglep3\Utilities\DownloadLogsFromS3.py --loco 4043 --day 2017-06-08</v>
      </c>
      <c r="AN82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19:52:37"},{"id":29,"name":"Sharepoint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743</v>
      </c>
      <c r="B83" s="7">
        <v>4056</v>
      </c>
      <c r="C83" s="21" t="s">
        <v>204</v>
      </c>
      <c r="D83" s="21" t="s">
        <v>351</v>
      </c>
      <c r="E83" s="13">
        <v>42894.515949074077</v>
      </c>
      <c r="F83" s="13">
        <v>42894.521018518521</v>
      </c>
      <c r="G83" s="7">
        <v>1</v>
      </c>
      <c r="H83" s="21" t="s">
        <v>865</v>
      </c>
      <c r="I83" s="13">
        <v>42894.54650462963</v>
      </c>
      <c r="J83" s="7">
        <v>0</v>
      </c>
      <c r="K83" s="92" t="str">
        <f t="shared" si="26"/>
        <v>4055/4056</v>
      </c>
      <c r="L83" s="21" t="str">
        <f>VLOOKUP(A83,'Trips&amp;Operators'!$C$1:$G$99999,5,FALSE)</f>
        <v>MOSES BRADLEY</v>
      </c>
      <c r="M83" s="6">
        <f t="shared" si="27"/>
        <v>2.548611110978527E-2</v>
      </c>
      <c r="N83" s="7">
        <f t="shared" si="28"/>
        <v>36.699999998090789</v>
      </c>
      <c r="O83" s="7"/>
      <c r="P83" s="7"/>
      <c r="Q83" s="22"/>
      <c r="R83" s="173"/>
      <c r="S83" s="176">
        <f t="shared" si="29"/>
        <v>1</v>
      </c>
      <c r="T83" s="202" t="str">
        <f t="shared" si="30"/>
        <v>NorthBound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 t="shared" si="31"/>
        <v>https://d0f6bd738d7f1b3e5a7ca70fe4ff75f0.us-east-1.aws.found.io/app/kibana#/discover/Steve-Slow-Train-Analysis-(2080s-and-2083s)?_g=(refreshInterval:(display:Off,pause:!f,section:0,value:0),time:(from:'2017-06-08T11:22:58-0600',mode:absolute,to:'2017-06-08T14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3" s="204" t="str">
        <f t="shared" si="32"/>
        <v>N</v>
      </c>
      <c r="X83" s="204">
        <f t="shared" si="33"/>
        <v>1</v>
      </c>
      <c r="Y83" s="204">
        <f t="shared" si="34"/>
        <v>4.58E-2</v>
      </c>
      <c r="Z83" s="204">
        <f t="shared" si="35"/>
        <v>23.333600000000001</v>
      </c>
      <c r="AA83" s="204">
        <f t="shared" si="36"/>
        <v>23.287800000000001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7"/>
        <v>0171-08</v>
      </c>
      <c r="AE83" s="80" t="str">
        <f t="shared" si="38"/>
        <v>aws s3 cp s3://rtdc.mdm.uploadarchive.raw/RTDC4056/ "%USERPROFILE%\AppData\Local\Temp\OnboardLogs"\RTDC4056\2017-06-08 --exclude "*" --recursive --include "*20170608*" &amp; "%USERPROFILE%\Documents\GitHub\mrs-test-scripts\Headless Mode &amp; Sideloading\WalkAndUnGZ.bat" "%USERPROFILE%\AppData\Local\Temp\OnboardLogs"\RTDC4056\2017-06-08 &amp; aws s3 cp s3://rtdc.mdm.uploadarchive.raw/RTDC4056/ "%USERPROFILE%\AppData\Local\Temp\OnboardLogs"\RTDC4056\2017-06-09 --exclude "*" --recursive --include "*20170609*" &amp; "%USERPROFILE%\Documents\GitHub\mrs-test-scripts\Headless Mode &amp; Sideloading\WalkAndUnGZ.bat" "%USERPROFILE%\AppData\Local\Temp\OnboardLogs"\RTDC4056\2017-06-09</v>
      </c>
      <c r="AF83" s="77" t="str">
        <f t="shared" si="39"/>
        <v>"C:\Program Files (x86)\AstroGrep\AstroGrep.exe" /e /r /s /spath="%USERPROFILE%\AppData\Local\Temp\OnboardLogs" /stypes="app*4056*20170608*" /stext=" 19:.+((SYSTEM_STATE.+slice.+state.+changed )|(ment ac)|(multiple cpu faults)|(system.+state.+changed )|(\[timeout)|(PRM\|1\|D)|(kpr)|(kdp)|(train st.+moving)|(\|lc)|(penalty))"</v>
      </c>
      <c r="AG83" s="1" t="str">
        <f t="shared" si="40"/>
        <v>EC</v>
      </c>
      <c r="AH83" s="81" t="str">
        <f t="shared" si="41"/>
        <v>"%USERPROFILE%\Documents\GitHub\eaglep3\Utilities\RefineRTDCRunTimes.py" --tripid 171-08 --locoid 4056 --swversion DE.1.0.9.0 --startMP 204:458 --initTime 2017-06-08T12:22:58 --startdatetime 2017-06-08T12:30:16 --delay 1 --endMP 204:233336 --enddatetime 2017-06-08T13:06:58 --enforcementcount 0 &gt;&gt;C:\Users\stu\Documents\GitHub\eaglep3-reporting\EC\2017-06-08-refined-times.txt</v>
      </c>
      <c r="AI83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{"issue":{"subject":"","project_id":79,"tracker_id":40,"status_id":1,"priority_id":2,"assigned_to_id":23,"start_date":"2017-06-08","description":"","custom_fields":[{"id":1,"name":"Subdivision","value":"EC"},{"id":4,"name":"Milepost","value":"23.3336"},{"id":17,"name":"Train ID","value":"171-08"},{"id":16,"name":"Locomotive ID","value":"4056"},{"id":130,"name":"Impact","value":""},{"id":150,"name":"Time of Event (Mountain Time)","value":"13:06:58"},{"id":151,"name":"Denver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3"/>
        <v>start /low /b %USERPROFILE%\Documents\GitHub\eaglep3\Utilities\DownloadLogsFromS3.py --loco 4056 --day 2017-06-08</v>
      </c>
      <c r="AN83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19:06:58"},{"id":29,"name":"Sharepoint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628</v>
      </c>
      <c r="B84" s="7">
        <v>4055</v>
      </c>
      <c r="C84" s="21" t="s">
        <v>204</v>
      </c>
      <c r="D84" s="21" t="s">
        <v>866</v>
      </c>
      <c r="E84" s="13">
        <v>42894.556273148148</v>
      </c>
      <c r="F84" s="13">
        <v>42894.560601851852</v>
      </c>
      <c r="G84" s="7">
        <v>2</v>
      </c>
      <c r="H84" s="21" t="s">
        <v>867</v>
      </c>
      <c r="I84" s="13">
        <v>42894.586793981478</v>
      </c>
      <c r="J84" s="7">
        <v>0</v>
      </c>
      <c r="K84" s="92" t="str">
        <f t="shared" si="26"/>
        <v>4055/4056</v>
      </c>
      <c r="L84" s="21" t="str">
        <f>VLOOKUP(A84,'Trips&amp;Operators'!$C$1:$G$99999,5,FALSE)</f>
        <v>MOSES BRADLEY</v>
      </c>
      <c r="M84" s="6">
        <f t="shared" si="27"/>
        <v>2.619212962599704E-2</v>
      </c>
      <c r="N84" s="7">
        <f t="shared" si="28"/>
        <v>37.716666661435738</v>
      </c>
      <c r="O84" s="7"/>
      <c r="P84" s="7"/>
      <c r="Q84" s="22"/>
      <c r="R84" s="173"/>
      <c r="S84" s="176">
        <f t="shared" si="29"/>
        <v>1</v>
      </c>
      <c r="T84" s="202" t="str">
        <f t="shared" si="30"/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 t="shared" si="31"/>
        <v>https://d0f6bd738d7f1b3e5a7ca70fe4ff75f0.us-east-1.aws.found.io/app/kibana#/discover/Steve-Slow-Train-Analysis-(2080s-and-2083s)?_g=(refreshInterval:(display:Off,pause:!f,section:0,value:0),time:(from:'2017-06-08T12:21:02-0600',mode:absolute,to:'2017-06-08T15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4" s="204" t="str">
        <f t="shared" si="32"/>
        <v>N</v>
      </c>
      <c r="X84" s="204">
        <f t="shared" si="33"/>
        <v>1</v>
      </c>
      <c r="Y84" s="204">
        <f t="shared" si="34"/>
        <v>23.302499999999998</v>
      </c>
      <c r="Z84" s="204">
        <f t="shared" si="35"/>
        <v>0.2276</v>
      </c>
      <c r="AA84" s="204">
        <f t="shared" si="36"/>
        <v>23.0749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7"/>
        <v>0172-08</v>
      </c>
      <c r="AE84" s="80" t="str">
        <f t="shared" si="38"/>
        <v>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 &amp; aws s3 cp s3://rtdc.mdm.uploadarchive.raw/RTDC4055/ "%USERPROFILE%\AppData\Local\Temp\OnboardLogs"\RTDC4055\2017-06-09 --exclude "*" --recursive --include "*20170609*" &amp; "%USERPROFILE%\Documents\GitHub\mrs-test-scripts\Headless Mode &amp; Sideloading\WalkAndUnGZ.bat" "%USERPROFILE%\AppData\Local\Temp\OnboardLogs"\RTDC4055\2017-06-09</v>
      </c>
      <c r="AF84" s="77" t="str">
        <f t="shared" si="39"/>
        <v>"C:\Program Files (x86)\AstroGrep\AstroGrep.exe" /e /r /s /spath="%USERPROFILE%\AppData\Local\Temp\OnboardLogs" /stypes="app*4055*20170608*" /stext=" 20:.+((SYSTEM_STATE.+slice.+state.+changed )|(ment ac)|(multiple cpu faults)|(system.+state.+changed )|(\[timeout)|(PRM\|1\|D)|(kpr)|(kdp)|(train st.+moving)|(\|lc)|(penalty))"</v>
      </c>
      <c r="AG84" s="1" t="str">
        <f t="shared" si="40"/>
        <v>EC</v>
      </c>
      <c r="AH84" s="81" t="str">
        <f t="shared" si="41"/>
        <v>"%USERPROFILE%\Documents\GitHub\eaglep3\Utilities\RefineRTDCRunTimes.py" --tripid 172-08 --locoid 4055 --swversion DE.1.0.9.0 --startMP 204:233025 --initTime 2017-06-08T13:21:02 --startdatetime 2017-06-08T13:27:16 --delay 2 --endMP 204:2276 --enddatetime 2017-06-08T14:04:59 --enforcementcount 0 &gt;&gt;C:\Users\stu\Documents\GitHub\eaglep3-reporting\EC\2017-06-08-refined-times.txt</v>
      </c>
      <c r="AI84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{"issue":{"subject":"","project_id":79,"tracker_id":40,"status_id":1,"priority_id":2,"assigned_to_id":23,"start_date":"2017-06-08","description":"","custom_fields":[{"id":1,"name":"Subdivision","value":"EC"},{"id":4,"name":"Milepost","value":"0.2276"},{"id":17,"name":"Train ID","value":"172-08"},{"id":16,"name":"Locomotive ID","value":"4055"},{"id":130,"name":"Impact","value":""},{"id":150,"name":"Time of Event (Mountain Time)","value":"14:04:59"},{"id":151,"name":"Denver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3"/>
        <v>start /low /b %USERPROFILE%\Documents\GitHub\eaglep3\Utilities\DownloadLogsFromS3.py --loco 4055 --day 2017-06-08</v>
      </c>
      <c r="AN84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20:04:59"},{"id":29,"name":"Sharepoint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625</v>
      </c>
      <c r="B85" s="7">
        <v>4026</v>
      </c>
      <c r="C85" s="21" t="s">
        <v>204</v>
      </c>
      <c r="D85" s="21" t="s">
        <v>868</v>
      </c>
      <c r="E85" s="13">
        <v>42894.527731481481</v>
      </c>
      <c r="F85" s="13">
        <v>42894.5315162037</v>
      </c>
      <c r="G85" s="7">
        <v>1</v>
      </c>
      <c r="H85" s="21" t="s">
        <v>581</v>
      </c>
      <c r="I85" s="13">
        <v>42894.557870370372</v>
      </c>
      <c r="J85" s="7">
        <v>0</v>
      </c>
      <c r="K85" s="92" t="str">
        <f t="shared" si="26"/>
        <v>4025/4026</v>
      </c>
      <c r="L85" s="21" t="str">
        <f>VLOOKUP(A85,'Trips&amp;Operators'!$C$1:$G$99999,5,FALSE)</f>
        <v>HOLCOMB KAMDEN</v>
      </c>
      <c r="M85" s="6">
        <f t="shared" si="27"/>
        <v>2.6354166671808343E-2</v>
      </c>
      <c r="N85" s="7">
        <f t="shared" si="28"/>
        <v>37.950000007404014</v>
      </c>
      <c r="O85" s="7"/>
      <c r="P85" s="7"/>
      <c r="Q85" s="22"/>
      <c r="R85" s="173"/>
      <c r="S85" s="176">
        <f t="shared" si="29"/>
        <v>1</v>
      </c>
      <c r="T85" s="202" t="str">
        <f t="shared" si="30"/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31"/>
        <v>https://d0f6bd738d7f1b3e5a7ca70fe4ff75f0.us-east-1.aws.found.io/app/kibana#/discover/Steve-Slow-Train-Analysis-(2080s-and-2083s)?_g=(refreshInterval:(display:Off,pause:!f,section:0,value:0),time:(from:'2017-06-08T11:39:56-0600',mode:absolute,to:'2017-06-08T14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5" s="204" t="str">
        <f t="shared" si="32"/>
        <v>N</v>
      </c>
      <c r="X85" s="204">
        <f t="shared" si="33"/>
        <v>1</v>
      </c>
      <c r="Y85" s="204">
        <f t="shared" si="34"/>
        <v>4.7300000000000002E-2</v>
      </c>
      <c r="Z85" s="204">
        <f t="shared" si="35"/>
        <v>23.331800000000001</v>
      </c>
      <c r="AA85" s="204">
        <f t="shared" si="36"/>
        <v>23.284500000000001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7"/>
        <v>0173-08</v>
      </c>
      <c r="AE85" s="80" t="str">
        <f t="shared" si="38"/>
        <v>aws s3 cp s3://rtdc.mdm.uploadarchive.raw/RTDC4026/ "%USERPROFILE%\AppData\Local\Temp\OnboardLogs"\RTDC4026\2017-06-08 --exclude "*" --recursive --include "*20170608*" &amp; "%USERPROFILE%\Documents\GitHub\mrs-test-scripts\Headless Mode &amp; Sideloading\WalkAndUnGZ.bat" "%USERPROFILE%\AppData\Local\Temp\OnboardLogs"\RTDC4026\2017-06-08 &amp; aws s3 cp s3://rtdc.mdm.uploadarchive.raw/RTDC4026/ "%USERPROFILE%\AppData\Local\Temp\OnboardLogs"\RTDC4026\2017-06-09 --exclude "*" --recursive --include "*20170609*" &amp; "%USERPROFILE%\Documents\GitHub\mrs-test-scripts\Headless Mode &amp; Sideloading\WalkAndUnGZ.bat" "%USERPROFILE%\AppData\Local\Temp\OnboardLogs"\RTDC4026\2017-06-09</v>
      </c>
      <c r="AF85" s="77" t="str">
        <f t="shared" si="39"/>
        <v>"C:\Program Files (x86)\AstroGrep\AstroGrep.exe" /e /r /s /spath="%USERPROFILE%\AppData\Local\Temp\OnboardLogs" /stypes="app*4026*20170608*" /stext=" 19:.+((SYSTEM_STATE.+slice.+state.+changed )|(ment ac)|(multiple cpu faults)|(system.+state.+changed )|(\[timeout)|(PRM\|1\|D)|(kpr)|(kdp)|(train st.+moving)|(\|lc)|(penalty))"</v>
      </c>
      <c r="AG85" s="1" t="str">
        <f t="shared" si="40"/>
        <v>EC</v>
      </c>
      <c r="AH85" s="81" t="str">
        <f t="shared" si="41"/>
        <v>"%USERPROFILE%\Documents\GitHub\eaglep3\Utilities\RefineRTDCRunTimes.py" --tripid 173-08 --locoid 4026 --swversion DE.1.0.9.0 --startMP 204:473 --initTime 2017-06-08T12:39:56 --startdatetime 2017-06-08T12:45:23 --delay 1 --endMP 204:233318 --enddatetime 2017-06-08T13:23:20 --enforcementcount 0 &gt;&gt;C:\Users\stu\Documents\GitHub\eaglep3-reporting\EC\2017-06-08-refined-times.txt</v>
      </c>
      <c r="AI85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{"issue":{"subject":"","project_id":79,"tracker_id":40,"status_id":1,"priority_id":2,"assigned_to_id":23,"start_date":"2017-06-08","description":"","custom_fields":[{"id":1,"name":"Subdivision","value":"EC"},{"id":4,"name":"Milepost","value":"23.3318"},{"id":17,"name":"Train ID","value":"173-08"},{"id":16,"name":"Locomotive ID","value":"4026"},{"id":130,"name":"Impact","value":""},{"id":150,"name":"Time of Event (Mountain Time)","value":"13:23:20"},{"id":151,"name":"Denver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43"/>
        <v>start /low /b %USERPROFILE%\Documents\GitHub\eaglep3\Utilities\DownloadLogsFromS3.py --loco 4026 --day 2017-06-08</v>
      </c>
      <c r="AN85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19:23:20"},{"id":29,"name":"Sharepoint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751</v>
      </c>
      <c r="B86" s="7">
        <v>4025</v>
      </c>
      <c r="C86" s="21" t="s">
        <v>204</v>
      </c>
      <c r="D86" s="21" t="s">
        <v>590</v>
      </c>
      <c r="E86" s="13">
        <v>42894.567245370374</v>
      </c>
      <c r="F86" s="13">
        <v>42894.571250000001</v>
      </c>
      <c r="G86" s="7">
        <v>1</v>
      </c>
      <c r="H86" s="21" t="s">
        <v>458</v>
      </c>
      <c r="I86" s="13">
        <v>42894.598449074074</v>
      </c>
      <c r="J86" s="7">
        <v>0</v>
      </c>
      <c r="K86" s="92" t="str">
        <f t="shared" si="26"/>
        <v>4025/4026</v>
      </c>
      <c r="L86" s="21" t="str">
        <f>VLOOKUP(A86,'Trips&amp;Operators'!$C$1:$G$99999,5,FALSE)</f>
        <v>HOLCOMB KAMDEN</v>
      </c>
      <c r="M86" s="6">
        <f t="shared" si="27"/>
        <v>2.7199074072996154E-2</v>
      </c>
      <c r="N86" s="7">
        <f t="shared" si="28"/>
        <v>39.166666665114462</v>
      </c>
      <c r="O86" s="7"/>
      <c r="P86" s="7"/>
      <c r="Q86" s="22"/>
      <c r="R86" s="173"/>
      <c r="S86" s="176">
        <f t="shared" si="29"/>
        <v>1</v>
      </c>
      <c r="T86" s="202" t="str">
        <f t="shared" si="30"/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 t="shared" si="31"/>
        <v>https://d0f6bd738d7f1b3e5a7ca70fe4ff75f0.us-east-1.aws.found.io/app/kibana#/discover/Steve-Slow-Train-Analysis-(2080s-and-2083s)?_g=(refreshInterval:(display:Off,pause:!f,section:0,value:0),time:(from:'2017-06-08T12:36:50-0600',mode:absolute,to:'2017-06-08T15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6" s="204" t="str">
        <f t="shared" si="32"/>
        <v>N</v>
      </c>
      <c r="X86" s="204">
        <f t="shared" si="33"/>
        <v>1</v>
      </c>
      <c r="Y86" s="204">
        <f t="shared" si="34"/>
        <v>23.3005</v>
      </c>
      <c r="Z86" s="204">
        <f t="shared" si="35"/>
        <v>1.38E-2</v>
      </c>
      <c r="AA86" s="204">
        <f t="shared" si="36"/>
        <v>23.2867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7"/>
        <v>0174-08</v>
      </c>
      <c r="AE86" s="80" t="str">
        <f t="shared" si="38"/>
        <v>aws s3 cp s3://rtdc.mdm.uploadarchive.raw/RTDC4025/ "%USERPROFILE%\AppData\Local\Temp\OnboardLogs"\RTDC4025\2017-06-08 --exclude "*" --recursive --include "*20170608*" &amp; "%USERPROFILE%\Documents\GitHub\mrs-test-scripts\Headless Mode &amp; Sideloading\WalkAndUnGZ.bat" "%USERPROFILE%\AppData\Local\Temp\OnboardLogs"\RTDC4025\2017-06-08 &amp; aws s3 cp s3://rtdc.mdm.uploadarchive.raw/RTDC4025/ "%USERPROFILE%\AppData\Local\Temp\OnboardLogs"\RTDC4025\2017-06-09 --exclude "*" --recursive --include "*20170609*" &amp; "%USERPROFILE%\Documents\GitHub\mrs-test-scripts\Headless Mode &amp; Sideloading\WalkAndUnGZ.bat" "%USERPROFILE%\AppData\Local\Temp\OnboardLogs"\RTDC4025\2017-06-09</v>
      </c>
      <c r="AF86" s="77" t="str">
        <f t="shared" si="39"/>
        <v>"C:\Program Files (x86)\AstroGrep\AstroGrep.exe" /e /r /s /spath="%USERPROFILE%\AppData\Local\Temp\OnboardLogs" /stypes="app*4025*20170608*" /stext=" 20:.+((SYSTEM_STATE.+slice.+state.+changed )|(ment ac)|(multiple cpu faults)|(system.+state.+changed )|(\[timeout)|(PRM\|1\|D)|(kpr)|(kdp)|(train st.+moving)|(\|lc)|(penalty))"</v>
      </c>
      <c r="AG86" s="1" t="str">
        <f t="shared" si="40"/>
        <v>EC</v>
      </c>
      <c r="AH86" s="81" t="str">
        <f t="shared" si="41"/>
        <v>"%USERPROFILE%\Documents\GitHub\eaglep3\Utilities\RefineRTDCRunTimes.py" --tripid 174-08 --locoid 4025 --swversion DE.1.0.9.0 --startMP 204:233005 --initTime 2017-06-08T13:36:50 --startdatetime 2017-06-08T13:42:36 --delay 1 --endMP 204:138 --enddatetime 2017-06-08T14:21:46 --enforcementcount 0 &gt;&gt;C:\Users\stu\Documents\GitHub\eaglep3-reporting\EC\2017-06-08-refined-times.txt</v>
      </c>
      <c r="AI86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{"issue":{"subject":"","project_id":79,"tracker_id":40,"status_id":1,"priority_id":2,"assigned_to_id":23,"start_date":"2017-06-08","description":"","custom_fields":[{"id":1,"name":"Subdivision","value":"EC"},{"id":4,"name":"Milepost","value":"0.0138"},{"id":17,"name":"Train ID","value":"174-08"},{"id":16,"name":"Locomotive ID","value":"4025"},{"id":130,"name":"Impact","value":""},{"id":150,"name":"Time of Event (Mountain Time)","value":"14:21:46"},{"id":151,"name":"Denver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43"/>
        <v>start /low /b %USERPROFILE%\Documents\GitHub\eaglep3\Utilities\DownloadLogsFromS3.py --loco 4025 --day 2017-06-08</v>
      </c>
      <c r="AN86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20:21:46"},{"id":29,"name":"Sharepoint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747</v>
      </c>
      <c r="B87" s="7">
        <v>4004</v>
      </c>
      <c r="C87" s="21" t="s">
        <v>204</v>
      </c>
      <c r="D87" s="21" t="s">
        <v>510</v>
      </c>
      <c r="E87" s="13">
        <v>42894.53833333333</v>
      </c>
      <c r="F87" s="13">
        <v>42894.541990740741</v>
      </c>
      <c r="G87" s="7">
        <v>1</v>
      </c>
      <c r="H87" s="21" t="s">
        <v>595</v>
      </c>
      <c r="I87" s="13">
        <v>42894.567395833335</v>
      </c>
      <c r="J87" s="7">
        <v>0</v>
      </c>
      <c r="K87" s="92" t="str">
        <f t="shared" si="26"/>
        <v>4003/4004</v>
      </c>
      <c r="L87" s="21" t="str">
        <f>VLOOKUP(A87,'Trips&amp;Operators'!$C$1:$G$99999,5,FALSE)</f>
        <v>STEWART MICHAEL</v>
      </c>
      <c r="M87" s="6">
        <f t="shared" si="27"/>
        <v>2.5405092594155576E-2</v>
      </c>
      <c r="N87" s="7">
        <f t="shared" si="28"/>
        <v>36.58333333558403</v>
      </c>
      <c r="O87" s="7"/>
      <c r="P87" s="7"/>
      <c r="Q87" s="22"/>
      <c r="R87" s="173"/>
      <c r="S87" s="176">
        <f t="shared" si="29"/>
        <v>1</v>
      </c>
      <c r="T87" s="202" t="str">
        <f t="shared" si="30"/>
        <v>NorthBound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 t="shared" si="31"/>
        <v>https://d0f6bd738d7f1b3e5a7ca70fe4ff75f0.us-east-1.aws.found.io/app/kibana#/discover/Steve-Slow-Train-Analysis-(2080s-and-2083s)?_g=(refreshInterval:(display:Off,pause:!f,section:0,value:0),time:(from:'2017-06-08T11:55:12-0600',mode:absolute,to:'2017-06-08T14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7" s="204" t="str">
        <f t="shared" si="32"/>
        <v>N</v>
      </c>
      <c r="X87" s="204">
        <f t="shared" si="33"/>
        <v>1</v>
      </c>
      <c r="Y87" s="204">
        <f t="shared" si="34"/>
        <v>4.7100000000000003E-2</v>
      </c>
      <c r="Z87" s="204">
        <f t="shared" si="35"/>
        <v>23.33</v>
      </c>
      <c r="AA87" s="204">
        <f t="shared" si="36"/>
        <v>23.282899999999998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7"/>
        <v>0175-08</v>
      </c>
      <c r="AE87" s="80" t="str">
        <f t="shared" si="38"/>
        <v>aws s3 cp s3://rtdc.mdm.uploadarchive.raw/RTDC4004/ "%USERPROFILE%\AppData\Local\Temp\OnboardLogs"\RTDC4004\2017-06-08 --exclude "*" --recursive --include "*20170608*" &amp; "%USERPROFILE%\Documents\GitHub\mrs-test-scripts\Headless Mode &amp; Sideloading\WalkAndUnGZ.bat" "%USERPROFILE%\AppData\Local\Temp\OnboardLogs"\RTDC4004\2017-06-08 &amp; aws s3 cp s3://rtdc.mdm.uploadarchive.raw/RTDC4004/ "%USERPROFILE%\AppData\Local\Temp\OnboardLogs"\RTDC4004\2017-06-09 --exclude "*" --recursive --include "*20170609*" &amp; "%USERPROFILE%\Documents\GitHub\mrs-test-scripts\Headless Mode &amp; Sideloading\WalkAndUnGZ.bat" "%USERPROFILE%\AppData\Local\Temp\OnboardLogs"\RTDC4004\2017-06-09</v>
      </c>
      <c r="AF87" s="77" t="str">
        <f t="shared" si="39"/>
        <v>"C:\Program Files (x86)\AstroGrep\AstroGrep.exe" /e /r /s /spath="%USERPROFILE%\AppData\Local\Temp\OnboardLogs" /stypes="app*4004*20170608*" /stext=" 19:.+((SYSTEM_STATE.+slice.+state.+changed )|(ment ac)|(multiple cpu faults)|(system.+state.+changed )|(\[timeout)|(PRM\|1\|D)|(kpr)|(kdp)|(train st.+moving)|(\|lc)|(penalty))"</v>
      </c>
      <c r="AG87" s="1" t="str">
        <f t="shared" si="40"/>
        <v>EC</v>
      </c>
      <c r="AH87" s="81" t="str">
        <f t="shared" si="41"/>
        <v>"%USERPROFILE%\Documents\GitHub\eaglep3\Utilities\RefineRTDCRunTimes.py" --tripid 175-08 --locoid 4004 --swversion DE.1.0.9.0 --startMP 204:471 --initTime 2017-06-08T12:55:12 --startdatetime 2017-06-08T13:00:28 --delay 1 --endMP 204:233300 --enddatetime 2017-06-08T13:37:03 --enforcementcount 0 &gt;&gt;C:\Users\stu\Documents\GitHub\eaglep3-reporting\EC\2017-06-08-refined-times.txt</v>
      </c>
      <c r="AI87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{"issue":{"subject":"","project_id":79,"tracker_id":40,"status_id":1,"priority_id":2,"assigned_to_id":23,"start_date":"2017-06-08","description":"","custom_fields":[{"id":1,"name":"Subdivision","value":"EC"},{"id":4,"name":"Milepost","value":"23.33"},{"id":17,"name":"Train ID","value":"175-08"},{"id":16,"name":"Locomotive ID","value":"4004"},{"id":130,"name":"Impact","value":""},{"id":150,"name":"Time of Event (Mountain Time)","value":"13:37:03"},{"id":151,"name":"Denver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43"/>
        <v>start /low /b %USERPROFILE%\Documents\GitHub\eaglep3\Utilities\DownloadLogsFromS3.py --loco 4004 --day 2017-06-08</v>
      </c>
      <c r="AN87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19:37:03"},{"id":29,"name":"Sharepoint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753</v>
      </c>
      <c r="B88" s="7">
        <v>4003</v>
      </c>
      <c r="C88" s="21" t="s">
        <v>204</v>
      </c>
      <c r="D88" s="21" t="s">
        <v>869</v>
      </c>
      <c r="E88" s="13">
        <v>42894.578692129631</v>
      </c>
      <c r="F88" s="13">
        <v>42894.58153935185</v>
      </c>
      <c r="G88" s="7">
        <v>1</v>
      </c>
      <c r="H88" s="21" t="s">
        <v>465</v>
      </c>
      <c r="I88" s="13">
        <v>42894.608287037037</v>
      </c>
      <c r="J88" s="7">
        <v>0</v>
      </c>
      <c r="K88" s="92" t="str">
        <f t="shared" si="26"/>
        <v>4003/4004</v>
      </c>
      <c r="L88" s="21" t="str">
        <f>VLOOKUP(A88,'Trips&amp;Operators'!$C$1:$G$99999,5,FALSE)</f>
        <v>STEWART MICHAEL</v>
      </c>
      <c r="M88" s="6">
        <f t="shared" si="27"/>
        <v>2.6747685187729076E-2</v>
      </c>
      <c r="N88" s="7">
        <f t="shared" si="28"/>
        <v>38.516666670329869</v>
      </c>
      <c r="O88" s="7"/>
      <c r="P88" s="7"/>
      <c r="Q88" s="22"/>
      <c r="R88" s="173"/>
      <c r="S88" s="176">
        <f t="shared" si="29"/>
        <v>1</v>
      </c>
      <c r="T88" s="202" t="str">
        <f t="shared" si="30"/>
        <v>Southbound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31"/>
        <v>https://d0f6bd738d7f1b3e5a7ca70fe4ff75f0.us-east-1.aws.found.io/app/kibana#/discover/Steve-Slow-Train-Analysis-(2080s-and-2083s)?_g=(refreshInterval:(display:Off,pause:!f,section:0,value:0),time:(from:'2017-06-08T12:53:19-0600',mode:absolute,to:'2017-06-08T15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8" s="204" t="str">
        <f t="shared" si="32"/>
        <v>N</v>
      </c>
      <c r="X88" s="204">
        <f t="shared" si="33"/>
        <v>1</v>
      </c>
      <c r="Y88" s="204">
        <f t="shared" si="34"/>
        <v>23.2987</v>
      </c>
      <c r="Z88" s="204">
        <f t="shared" si="35"/>
        <v>1.6299999999999999E-2</v>
      </c>
      <c r="AA88" s="204">
        <f t="shared" si="36"/>
        <v>23.282399999999999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7"/>
        <v>0176-08</v>
      </c>
      <c r="AE88" s="80" t="str">
        <f t="shared" si="38"/>
        <v>aws s3 cp s3://rtdc.mdm.uploadarchive.raw/RTDC4003/ "%USERPROFILE%\AppData\Local\Temp\OnboardLogs"\RTDC4003\2017-06-08 --exclude "*" --recursive --include "*20170608*" &amp; "%USERPROFILE%\Documents\GitHub\mrs-test-scripts\Headless Mode &amp; Sideloading\WalkAndUnGZ.bat" "%USERPROFILE%\AppData\Local\Temp\OnboardLogs"\RTDC4003\2017-06-08 &amp; aws s3 cp s3://rtdc.mdm.uploadarchive.raw/RTDC4003/ "%USERPROFILE%\AppData\Local\Temp\OnboardLogs"\RTDC4003\2017-06-09 --exclude "*" --recursive --include "*20170609*" &amp; "%USERPROFILE%\Documents\GitHub\mrs-test-scripts\Headless Mode &amp; Sideloading\WalkAndUnGZ.bat" "%USERPROFILE%\AppData\Local\Temp\OnboardLogs"\RTDC4003\2017-06-09</v>
      </c>
      <c r="AF88" s="77" t="str">
        <f t="shared" si="39"/>
        <v>"C:\Program Files (x86)\AstroGrep\AstroGrep.exe" /e /r /s /spath="%USERPROFILE%\AppData\Local\Temp\OnboardLogs" /stypes="app*4003*20170608*" /stext=" 20:.+((SYSTEM_STATE.+slice.+state.+changed )|(ment ac)|(multiple cpu faults)|(system.+state.+changed )|(\[timeout)|(PRM\|1\|D)|(kpr)|(kdp)|(train st.+moving)|(\|lc)|(penalty))"</v>
      </c>
      <c r="AG88" s="1" t="str">
        <f t="shared" si="40"/>
        <v>EC</v>
      </c>
      <c r="AH88" s="81" t="str">
        <f t="shared" si="41"/>
        <v>"%USERPROFILE%\Documents\GitHub\eaglep3\Utilities\RefineRTDCRunTimes.py" --tripid 176-08 --locoid 4003 --swversion DE.1.0.9.0 --startMP 204:232987 --initTime 2017-06-08T13:53:19 --startdatetime 2017-06-08T13:57:25 --delay 1 --endMP 204:163 --enddatetime 2017-06-08T14:35:56 --enforcementcount 0 &gt;&gt;C:\Users\stu\Documents\GitHub\eaglep3-reporting\EC\2017-06-08-refined-times.txt</v>
      </c>
      <c r="AI88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{"issue":{"subject":"","project_id":79,"tracker_id":40,"status_id":1,"priority_id":2,"assigned_to_id":23,"start_date":"2017-06-08","description":"","custom_fields":[{"id":1,"name":"Subdivision","value":"EC"},{"id":4,"name":"Milepost","value":"0.0163"},{"id":17,"name":"Train ID","value":"176-08"},{"id":16,"name":"Locomotive ID","value":"4003"},{"id":130,"name":"Impact","value":""},{"id":150,"name":"Time of Event (Mountain Time)","value":"14:35:56"},{"id":151,"name":"Denver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43"/>
        <v>start /low /b %USERPROFILE%\Documents\GitHub\eaglep3\Utilities\DownloadLogsFromS3.py --loco 4003 --day 2017-06-08</v>
      </c>
      <c r="AN88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20:35:56"},{"id":29,"name":"Sharepoint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749</v>
      </c>
      <c r="B89" s="7">
        <v>4002</v>
      </c>
      <c r="C89" s="21" t="s">
        <v>204</v>
      </c>
      <c r="D89" s="21" t="s">
        <v>540</v>
      </c>
      <c r="E89" s="13">
        <v>42894.546238425923</v>
      </c>
      <c r="F89" s="13">
        <v>42894.552465277775</v>
      </c>
      <c r="G89" s="7">
        <v>1</v>
      </c>
      <c r="H89" s="21" t="s">
        <v>398</v>
      </c>
      <c r="I89" s="13">
        <v>42894.576435185183</v>
      </c>
      <c r="J89" s="7">
        <v>0</v>
      </c>
      <c r="K89" s="92" t="str">
        <f t="shared" si="26"/>
        <v>4001/4002</v>
      </c>
      <c r="L89" s="21" t="str">
        <f>VLOOKUP(A89,'Trips&amp;Operators'!$C$1:$G$99999,5,FALSE)</f>
        <v>YORK EDGAR</v>
      </c>
      <c r="M89" s="6">
        <f t="shared" si="27"/>
        <v>2.396990740817273E-2</v>
      </c>
      <c r="N89" s="7">
        <f t="shared" si="28"/>
        <v>34.516666667768732</v>
      </c>
      <c r="O89" s="7"/>
      <c r="P89" s="7"/>
      <c r="Q89" s="22"/>
      <c r="R89" s="173"/>
      <c r="S89" s="176">
        <f t="shared" si="29"/>
        <v>1</v>
      </c>
      <c r="T89" s="202" t="str">
        <f t="shared" si="30"/>
        <v>NorthBound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 t="shared" si="31"/>
        <v>https://d0f6bd738d7f1b3e5a7ca70fe4ff75f0.us-east-1.aws.found.io/app/kibana#/discover/Steve-Slow-Train-Analysis-(2080s-and-2083s)?_g=(refreshInterval:(display:Off,pause:!f,section:0,value:0),time:(from:'2017-06-08T12:06:35-0600',mode:absolute,to:'2017-06-08T14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9" s="204" t="str">
        <f t="shared" si="32"/>
        <v>N</v>
      </c>
      <c r="X89" s="204">
        <f t="shared" si="33"/>
        <v>1</v>
      </c>
      <c r="Y89" s="204">
        <f t="shared" si="34"/>
        <v>4.7500000000000001E-2</v>
      </c>
      <c r="Z89" s="204">
        <f t="shared" si="35"/>
        <v>23.3293</v>
      </c>
      <c r="AA89" s="204">
        <f t="shared" si="36"/>
        <v>23.2818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7"/>
        <v>0177-08</v>
      </c>
      <c r="AE89" s="80" t="str">
        <f t="shared" si="38"/>
        <v>aws s3 cp s3://rtdc.mdm.uploadarchive.raw/RTDC4002/ "%USERPROFILE%\AppData\Local\Temp\OnboardLogs"\RTDC4002\2017-06-08 --exclude "*" --recursive --include "*20170608*" &amp; "%USERPROFILE%\Documents\GitHub\mrs-test-scripts\Headless Mode &amp; Sideloading\WalkAndUnGZ.bat" "%USERPROFILE%\AppData\Local\Temp\OnboardLogs"\RTDC4002\2017-06-08 &amp; aws s3 cp s3://rtdc.mdm.uploadarchive.raw/RTDC4002/ "%USERPROFILE%\AppData\Local\Temp\OnboardLogs"\RTDC4002\2017-06-09 --exclude "*" --recursive --include "*20170609*" &amp; "%USERPROFILE%\Documents\GitHub\mrs-test-scripts\Headless Mode &amp; Sideloading\WalkAndUnGZ.bat" "%USERPROFILE%\AppData\Local\Temp\OnboardLogs"\RTDC4002\2017-06-09</v>
      </c>
      <c r="AF89" s="77" t="str">
        <f t="shared" si="39"/>
        <v>"C:\Program Files (x86)\AstroGrep\AstroGrep.exe" /e /r /s /spath="%USERPROFILE%\AppData\Local\Temp\OnboardLogs" /stypes="app*4002*20170608*" /stext=" 19:.+((SYSTEM_STATE.+slice.+state.+changed )|(ment ac)|(multiple cpu faults)|(system.+state.+changed )|(\[timeout)|(PRM\|1\|D)|(kpr)|(kdp)|(train st.+moving)|(\|lc)|(penalty))"</v>
      </c>
      <c r="AG89" s="1" t="str">
        <f t="shared" si="40"/>
        <v>EC</v>
      </c>
      <c r="AH89" s="81" t="str">
        <f t="shared" si="41"/>
        <v>"%USERPROFILE%\Documents\GitHub\eaglep3\Utilities\RefineRTDCRunTimes.py" --tripid 177-08 --locoid 4002 --swversion DE.1.0.9.0 --startMP 204:475 --initTime 2017-06-08T13:06:35 --startdatetime 2017-06-08T13:15:33 --delay 1 --endMP 204:233293 --enddatetime 2017-06-08T13:50:04 --enforcementcount 0 &gt;&gt;C:\Users\stu\Documents\GitHub\eaglep3-reporting\EC\2017-06-08-refined-times.txt</v>
      </c>
      <c r="AI89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{"issue":{"subject":"","project_id":79,"tracker_id":40,"status_id":1,"priority_id":2,"assigned_to_id":23,"start_date":"2017-06-08","description":"","custom_fields":[{"id":1,"name":"Subdivision","value":"EC"},{"id":4,"name":"Milepost","value":"23.3293"},{"id":17,"name":"Train ID","value":"177-08"},{"id":16,"name":"Locomotive ID","value":"4002"},{"id":130,"name":"Impact","value":""},{"id":150,"name":"Time of Event (Mountain Time)","value":"13:50:04"},{"id":151,"name":"Denver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43"/>
        <v>start /low /b %USERPROFILE%\Documents\GitHub\eaglep3\Utilities\DownloadLogsFromS3.py --loco 4002 --day 2017-06-08</v>
      </c>
      <c r="AN89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19:50:04"},{"id":29,"name":"Sharepoint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630</v>
      </c>
      <c r="B90" s="7">
        <v>4001</v>
      </c>
      <c r="C90" s="21" t="s">
        <v>204</v>
      </c>
      <c r="D90" s="21" t="s">
        <v>845</v>
      </c>
      <c r="E90" s="13">
        <v>42894.577326388891</v>
      </c>
      <c r="F90" s="13">
        <v>42894.592326388891</v>
      </c>
      <c r="G90" s="7">
        <v>1</v>
      </c>
      <c r="H90" s="21" t="s">
        <v>401</v>
      </c>
      <c r="I90" s="13">
        <v>42894.618217592593</v>
      </c>
      <c r="J90" s="7">
        <v>0</v>
      </c>
      <c r="K90" s="92" t="str">
        <f t="shared" si="26"/>
        <v>4001/4002</v>
      </c>
      <c r="L90" s="21" t="str">
        <f>VLOOKUP(A90,'Trips&amp;Operators'!$C$1:$G$99999,5,FALSE)</f>
        <v>YORK EDGAR</v>
      </c>
      <c r="M90" s="6">
        <f t="shared" si="27"/>
        <v>2.5891203702485655E-2</v>
      </c>
      <c r="N90" s="7">
        <f t="shared" si="28"/>
        <v>37.283333331579342</v>
      </c>
      <c r="O90" s="7"/>
      <c r="P90" s="7"/>
      <c r="Q90" s="22"/>
      <c r="R90" s="173"/>
      <c r="S90" s="176">
        <f t="shared" si="29"/>
        <v>1</v>
      </c>
      <c r="T90" s="202" t="str">
        <f t="shared" si="30"/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 t="shared" si="31"/>
        <v>https://d0f6bd738d7f1b3e5a7ca70fe4ff75f0.us-east-1.aws.found.io/app/kibana#/discover/Steve-Slow-Train-Analysis-(2080s-and-2083s)?_g=(refreshInterval:(display:Off,pause:!f,section:0,value:0),time:(from:'2017-06-08T12:51:21-0600',mode:absolute,to:'2017-06-08T15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0" s="204" t="str">
        <f t="shared" si="32"/>
        <v>N</v>
      </c>
      <c r="X90" s="204">
        <f t="shared" si="33"/>
        <v>1</v>
      </c>
      <c r="Y90" s="204">
        <f t="shared" si="34"/>
        <v>23.298400000000001</v>
      </c>
      <c r="Z90" s="204">
        <f t="shared" si="35"/>
        <v>1.54E-2</v>
      </c>
      <c r="AA90" s="204">
        <f t="shared" si="36"/>
        <v>23.283000000000001</v>
      </c>
      <c r="AB90" s="57" t="str">
        <f>VLOOKUP(A90,Enforcements!$C$7:$K$13,8,0)</f>
        <v>Bulletin (2)</v>
      </c>
      <c r="AC90" s="53" t="str">
        <f>VLOOKUP(A90,Enforcements!$C$7:$E$13,3,0)</f>
        <v>GRADE CROSSING</v>
      </c>
      <c r="AD90" s="54" t="str">
        <f t="shared" si="37"/>
        <v>0178-08</v>
      </c>
      <c r="AE90" s="80" t="str">
        <f t="shared" si="38"/>
        <v>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 &amp; aws s3 cp s3://rtdc.mdm.uploadarchive.raw/RTDC4001/ "%USERPROFILE%\AppData\Local\Temp\OnboardLogs"\RTDC4001\2017-06-09 --exclude "*" --recursive --include "*20170609*" &amp; "%USERPROFILE%\Documents\GitHub\mrs-test-scripts\Headless Mode &amp; Sideloading\WalkAndUnGZ.bat" "%USERPROFILE%\AppData\Local\Temp\OnboardLogs"\RTDC4001\2017-06-09</v>
      </c>
      <c r="AF90" s="77" t="str">
        <f t="shared" si="39"/>
        <v>"C:\Program Files (x86)\AstroGrep\AstroGrep.exe" /e /r /s /spath="%USERPROFILE%\AppData\Local\Temp\OnboardLogs" /stypes="app*4001*20170608*" /stext=" 20:.+((SYSTEM_STATE.+slice.+state.+changed )|(ment ac)|(multiple cpu faults)|(system.+state.+changed )|(\[timeout)|(PRM\|1\|D)|(kpr)|(kdp)|(train st.+moving)|(\|lc)|(penalty))"</v>
      </c>
      <c r="AG90" s="1" t="str">
        <f t="shared" si="40"/>
        <v>EC</v>
      </c>
      <c r="AH90" s="81" t="str">
        <f t="shared" si="41"/>
        <v>"%USERPROFILE%\Documents\GitHub\eaglep3\Utilities\RefineRTDCRunTimes.py" --tripid 178-08 --locoid 4001 --swversion DE.1.0.9.0 --startMP 204:232984 --initTime 2017-06-08T13:51:21 --startdatetime 2017-06-08T14:12:57 --delay 1 --endMP 204:154 --enddatetime 2017-06-08T14:50:14 --enforcementcount 0 &gt;&gt;C:\Users\stu\Documents\GitHub\eaglep3-reporting\EC\2017-06-08-refined-times.txt</v>
      </c>
      <c r="AI90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{"issue":{"subject":"","project_id":79,"tracker_id":40,"status_id":1,"priority_id":2,"assigned_to_id":23,"start_date":"2017-06-08","description":"","custom_fields":[{"id":1,"name":"Subdivision","value":"EC"},{"id":4,"name":"Milepost","value":"0.0154"},{"id":17,"name":"Train ID","value":"178-08"},{"id":16,"name":"Locomotive ID","value":"4001"},{"id":130,"name":"Impact","value":""},{"id":150,"name":"Time of Event (Mountain Time)","value":"14:50:14"},{"id":151,"name":"Denver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43"/>
        <v>start /low /b %USERPROFILE%\Documents\GitHub\eaglep3\Utilities\DownloadLogsFromS3.py --loco 4001 --day 2017-06-08</v>
      </c>
      <c r="AN90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20:50:14"},{"id":29,"name":"Sharepoint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750</v>
      </c>
      <c r="B91" s="7">
        <v>4030</v>
      </c>
      <c r="C91" s="21" t="s">
        <v>204</v>
      </c>
      <c r="D91" s="21" t="s">
        <v>356</v>
      </c>
      <c r="E91" s="13">
        <v>42894.559965277775</v>
      </c>
      <c r="F91" s="13">
        <v>42894.562662037039</v>
      </c>
      <c r="G91" s="7">
        <v>1</v>
      </c>
      <c r="H91" s="21" t="s">
        <v>870</v>
      </c>
      <c r="I91" s="13">
        <v>42894.587685185186</v>
      </c>
      <c r="J91" s="7">
        <v>0</v>
      </c>
      <c r="K91" s="92" t="str">
        <f t="shared" si="26"/>
        <v>4029/4030</v>
      </c>
      <c r="L91" s="21" t="str">
        <f>VLOOKUP(A91,'Trips&amp;Operators'!$C$1:$G$99999,5,FALSE)</f>
        <v>LEVIN SCOTT</v>
      </c>
      <c r="M91" s="6">
        <f t="shared" si="27"/>
        <v>2.5023148147738539E-2</v>
      </c>
      <c r="N91" s="7">
        <f t="shared" si="28"/>
        <v>36.033333332743496</v>
      </c>
      <c r="O91" s="7"/>
      <c r="P91" s="7"/>
      <c r="Q91" s="22"/>
      <c r="R91" s="173"/>
      <c r="S91" s="176">
        <f t="shared" si="29"/>
        <v>1</v>
      </c>
      <c r="T91" s="202" t="str">
        <f t="shared" si="30"/>
        <v>NorthBound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 t="shared" si="31"/>
        <v>https://d0f6bd738d7f1b3e5a7ca70fe4ff75f0.us-east-1.aws.found.io/app/kibana#/discover/Steve-Slow-Train-Analysis-(2080s-and-2083s)?_g=(refreshInterval:(display:Off,pause:!f,section:0,value:0),time:(from:'2017-06-08T12:26:21-0600',mode:absolute,to:'2017-06-08T15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1" s="204" t="str">
        <f t="shared" si="32"/>
        <v>N</v>
      </c>
      <c r="X91" s="204">
        <f t="shared" si="33"/>
        <v>1</v>
      </c>
      <c r="Y91" s="204">
        <f t="shared" si="34"/>
        <v>4.5100000000000001E-2</v>
      </c>
      <c r="Z91" s="204">
        <f t="shared" si="35"/>
        <v>23.340599999999998</v>
      </c>
      <c r="AA91" s="204">
        <f t="shared" si="36"/>
        <v>23.295499999999997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7"/>
        <v>0179-08</v>
      </c>
      <c r="AE91" s="80" t="str">
        <f t="shared" si="38"/>
        <v>aws s3 cp s3://rtdc.mdm.uploadarchive.raw/RTDC4030/ "%USERPROFILE%\AppData\Local\Temp\OnboardLogs"\RTDC4030\2017-06-08 --exclude "*" --recursive --include "*20170608*" &amp; "%USERPROFILE%\Documents\GitHub\mrs-test-scripts\Headless Mode &amp; Sideloading\WalkAndUnGZ.bat" "%USERPROFILE%\AppData\Local\Temp\OnboardLogs"\RTDC4030\2017-06-08 &amp; 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</v>
      </c>
      <c r="AF91" s="77" t="str">
        <f t="shared" si="39"/>
        <v>"C:\Program Files (x86)\AstroGrep\AstroGrep.exe" /e /r /s /spath="%USERPROFILE%\AppData\Local\Temp\OnboardLogs" /stypes="app*4030*20170608*" /stext=" 20:.+((SYSTEM_STATE.+slice.+state.+changed )|(ment ac)|(multiple cpu faults)|(system.+state.+changed )|(\[timeout)|(PRM\|1\|D)|(kpr)|(kdp)|(train st.+moving)|(\|lc)|(penalty))"</v>
      </c>
      <c r="AG91" s="1" t="str">
        <f t="shared" si="40"/>
        <v>EC</v>
      </c>
      <c r="AH91" s="81" t="str">
        <f t="shared" si="41"/>
        <v>"%USERPROFILE%\Documents\GitHub\eaglep3\Utilities\RefineRTDCRunTimes.py" --tripid 179-08 --locoid 4030 --swversion DE.1.0.9.0 --startMP 204:451 --initTime 2017-06-08T13:26:21 --startdatetime 2017-06-08T13:30:14 --delay 1 --endMP 204:233406 --enddatetime 2017-06-08T14:06:16 --enforcementcount 0 &gt;&gt;C:\Users\stu\Documents\GitHub\eaglep3-reporting\EC\2017-06-08-refined-times.txt</v>
      </c>
      <c r="AI91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{"issue":{"subject":"","project_id":79,"tracker_id":40,"status_id":1,"priority_id":2,"assigned_to_id":23,"start_date":"2017-06-08","description":"","custom_fields":[{"id":1,"name":"Subdivision","value":"EC"},{"id":4,"name":"Milepost","value":"23.3406"},{"id":17,"name":"Train ID","value":"179-08"},{"id":16,"name":"Locomotive ID","value":"4030"},{"id":130,"name":"Impact","value":""},{"id":150,"name":"Time of Event (Mountain Time)","value":"14:06:16"},{"id":151,"name":"Denver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43"/>
        <v>start /low /b %USERPROFILE%\Documents\GitHub\eaglep3\Utilities\DownloadLogsFromS3.py --loco 4030 --day 2017-06-08</v>
      </c>
      <c r="AN91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20:06:16"},{"id":29,"name":"Sharepoint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756</v>
      </c>
      <c r="B92" s="7">
        <v>4029</v>
      </c>
      <c r="C92" s="21" t="s">
        <v>204</v>
      </c>
      <c r="D92" s="21" t="s">
        <v>871</v>
      </c>
      <c r="E92" s="13">
        <v>42894.599085648151</v>
      </c>
      <c r="F92" s="13">
        <v>42894.602592592593</v>
      </c>
      <c r="G92" s="7">
        <v>1</v>
      </c>
      <c r="H92" s="21" t="s">
        <v>363</v>
      </c>
      <c r="I92" s="13">
        <v>42894.628611111111</v>
      </c>
      <c r="J92" s="7">
        <v>0</v>
      </c>
      <c r="K92" s="92" t="str">
        <f t="shared" si="26"/>
        <v>4029/4030</v>
      </c>
      <c r="L92" s="21" t="str">
        <f>VLOOKUP(A92,'Trips&amp;Operators'!$C$1:$G$99999,5,FALSE)</f>
        <v>LEVIN SCOTT</v>
      </c>
      <c r="M92" s="6">
        <f t="shared" si="27"/>
        <v>2.6018518517958E-2</v>
      </c>
      <c r="N92" s="7">
        <f t="shared" si="28"/>
        <v>37.46666666585952</v>
      </c>
      <c r="O92" s="7"/>
      <c r="P92" s="7"/>
      <c r="Q92" s="22"/>
      <c r="R92" s="173"/>
      <c r="S92" s="176">
        <f t="shared" si="29"/>
        <v>1</v>
      </c>
      <c r="T92" s="202" t="str">
        <f t="shared" si="30"/>
        <v>Southbound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 t="shared" si="31"/>
        <v>https://d0f6bd738d7f1b3e5a7ca70fe4ff75f0.us-east-1.aws.found.io/app/kibana#/discover/Steve-Slow-Train-Analysis-(2080s-and-2083s)?_g=(refreshInterval:(display:Off,pause:!f,section:0,value:0),time:(from:'2017-06-08T13:22:41-0600',mode:absolute,to:'2017-06-08T16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2" s="204" t="str">
        <f t="shared" si="32"/>
        <v>N</v>
      </c>
      <c r="X92" s="204">
        <f t="shared" si="33"/>
        <v>1</v>
      </c>
      <c r="Y92" s="204">
        <f t="shared" si="34"/>
        <v>23.307400000000001</v>
      </c>
      <c r="Z92" s="204">
        <f t="shared" si="35"/>
        <v>1.41E-2</v>
      </c>
      <c r="AA92" s="204">
        <f t="shared" si="36"/>
        <v>23.293300000000002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7"/>
        <v>0180-08</v>
      </c>
      <c r="AE92" s="80" t="str">
        <f t="shared" si="38"/>
        <v>aws s3 cp s3://rtdc.mdm.uploadarchive.raw/RTDC4029/ "%USERPROFILE%\AppData\Local\Temp\OnboardLogs"\RTDC4029\2017-06-08 --exclude "*" --recursive --include "*20170608*" &amp; "%USERPROFILE%\Documents\GitHub\mrs-test-scripts\Headless Mode &amp; Sideloading\WalkAndUnGZ.bat" "%USERPROFILE%\AppData\Local\Temp\OnboardLogs"\RTDC4029\2017-06-08 &amp; 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</v>
      </c>
      <c r="AF92" s="77" t="str">
        <f t="shared" si="39"/>
        <v>"C:\Program Files (x86)\AstroGrep\AstroGrep.exe" /e /r /s /spath="%USERPROFILE%\AppData\Local\Temp\OnboardLogs" /stypes="app*4029*20170608*" /stext=" 21:.+((SYSTEM_STATE.+slice.+state.+changed )|(ment ac)|(multiple cpu faults)|(system.+state.+changed )|(\[timeout)|(PRM\|1\|D)|(kpr)|(kdp)|(train st.+moving)|(\|lc)|(penalty))"</v>
      </c>
      <c r="AG92" s="1" t="str">
        <f t="shared" si="40"/>
        <v>EC</v>
      </c>
      <c r="AH92" s="81" t="str">
        <f t="shared" si="41"/>
        <v>"%USERPROFILE%\Documents\GitHub\eaglep3\Utilities\RefineRTDCRunTimes.py" --tripid 180-08 --locoid 4029 --swversion DE.1.0.9.0 --startMP 204:233074 --initTime 2017-06-08T14:22:41 --startdatetime 2017-06-08T14:27:44 --delay 1 --endMP 204:141 --enddatetime 2017-06-08T15:05:12 --enforcementcount 0 &gt;&gt;C:\Users\stu\Documents\GitHub\eaglep3-reporting\EC\2017-06-08-refined-times.txt</v>
      </c>
      <c r="AI92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{"issue":{"subject":"","project_id":79,"tracker_id":40,"status_id":1,"priority_id":2,"assigned_to_id":23,"start_date":"2017-06-08","description":"","custom_fields":[{"id":1,"name":"Subdivision","value":"EC"},{"id":4,"name":"Milepost","value":"0.0141"},{"id":17,"name":"Train ID","value":"180-08"},{"id":16,"name":"Locomotive ID","value":"4029"},{"id":130,"name":"Impact","value":""},{"id":150,"name":"Time of Event (Mountain Time)","value":"15:05:12"},{"id":151,"name":"Denver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3"/>
        <v>start /low /b %USERPROFILE%\Documents\GitHub\eaglep3\Utilities\DownloadLogsFromS3.py --loco 4029 --day 2017-06-08</v>
      </c>
      <c r="AN92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752</v>
      </c>
      <c r="B93" s="7">
        <v>4022</v>
      </c>
      <c r="C93" s="21" t="s">
        <v>204</v>
      </c>
      <c r="D93" s="21" t="s">
        <v>530</v>
      </c>
      <c r="E93" s="13">
        <v>42894.568506944444</v>
      </c>
      <c r="F93" s="13">
        <v>42894.57309027778</v>
      </c>
      <c r="G93" s="7">
        <v>1</v>
      </c>
      <c r="H93" s="21" t="s">
        <v>872</v>
      </c>
      <c r="I93" s="13">
        <v>42894.598124999997</v>
      </c>
      <c r="J93" s="7">
        <v>0</v>
      </c>
      <c r="K93" s="92" t="str">
        <f t="shared" si="26"/>
        <v>4021/4022</v>
      </c>
      <c r="L93" s="21" t="str">
        <f>VLOOKUP(A93,'Trips&amp;Operators'!$C$1:$G$99999,5,FALSE)</f>
        <v>DELGADO DIANAH</v>
      </c>
      <c r="M93" s="6">
        <f t="shared" si="27"/>
        <v>2.5034722217242233E-2</v>
      </c>
      <c r="N93" s="7">
        <f t="shared" si="28"/>
        <v>36.049999992828816</v>
      </c>
      <c r="O93" s="7"/>
      <c r="P93" s="7"/>
      <c r="Q93" s="22"/>
      <c r="R93" s="173"/>
      <c r="S93" s="176">
        <f t="shared" si="29"/>
        <v>1</v>
      </c>
      <c r="T93" s="202" t="str">
        <f t="shared" si="30"/>
        <v>NorthBound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 t="shared" si="31"/>
        <v>https://d0f6bd738d7f1b3e5a7ca70fe4ff75f0.us-east-1.aws.found.io/app/kibana#/discover/Steve-Slow-Train-Analysis-(2080s-and-2083s)?_g=(refreshInterval:(display:Off,pause:!f,section:0,value:0),time:(from:'2017-06-08T12:38:39-0600',mode:absolute,to:'2017-06-08T15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3" s="204" t="str">
        <f t="shared" si="32"/>
        <v>N</v>
      </c>
      <c r="X93" s="204">
        <f t="shared" si="33"/>
        <v>1</v>
      </c>
      <c r="Y93" s="204">
        <f t="shared" si="34"/>
        <v>4.3799999999999999E-2</v>
      </c>
      <c r="Z93" s="204">
        <f t="shared" si="35"/>
        <v>23.329899999999999</v>
      </c>
      <c r="AA93" s="204">
        <f t="shared" si="36"/>
        <v>23.286099999999998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7"/>
        <v>0181-08</v>
      </c>
      <c r="AE93" s="80" t="str">
        <f t="shared" si="38"/>
        <v>aws s3 cp s3://rtdc.mdm.uploadarchive.raw/RTDC4022/ "%USERPROFILE%\AppData\Local\Temp\OnboardLogs"\RTDC4022\2017-06-08 --exclude "*" --recursive --include "*20170608*" &amp; "%USERPROFILE%\Documents\GitHub\mrs-test-scripts\Headless Mode &amp; Sideloading\WalkAndUnGZ.bat" "%USERPROFILE%\AppData\Local\Temp\OnboardLogs"\RTDC4022\2017-06-08 &amp; 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</v>
      </c>
      <c r="AF93" s="77" t="str">
        <f t="shared" si="39"/>
        <v>"C:\Program Files (x86)\AstroGrep\AstroGrep.exe" /e /r /s /spath="%USERPROFILE%\AppData\Local\Temp\OnboardLogs" /stypes="app*4022*20170608*" /stext=" 20:.+((SYSTEM_STATE.+slice.+state.+changed )|(ment ac)|(multiple cpu faults)|(system.+state.+changed )|(\[timeout)|(PRM\|1\|D)|(kpr)|(kdp)|(train st.+moving)|(\|lc)|(penalty))"</v>
      </c>
      <c r="AG93" s="1" t="str">
        <f t="shared" si="40"/>
        <v>EC</v>
      </c>
      <c r="AH93" s="81" t="str">
        <f t="shared" si="41"/>
        <v>"%USERPROFILE%\Documents\GitHub\eaglep3\Utilities\RefineRTDCRunTimes.py" --tripid 181-08 --locoid 4022 --swversion DE.1.0.9.0 --startMP 204:438 --initTime 2017-06-08T13:38:39 --startdatetime 2017-06-08T13:45:15 --delay 1 --endMP 204:233299 --enddatetime 2017-06-08T14:21:18 --enforcementcount 0 &gt;&gt;C:\Users\stu\Documents\GitHub\eaglep3-reporting\EC\2017-06-08-refined-times.txt</v>
      </c>
      <c r="AI93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{"issue":{"subject":"","project_id":79,"tracker_id":40,"status_id":1,"priority_id":2,"assigned_to_id":23,"start_date":"2017-06-08","description":"","custom_fields":[{"id":1,"name":"Subdivision","value":"EC"},{"id":4,"name":"Milepost","value":"23.3299"},{"id":17,"name":"Train ID","value":"181-08"},{"id":16,"name":"Locomotive ID","value":"4022"},{"id":130,"name":"Impact","value":""},{"id":150,"name":"Time of Event (Mountain Time)","value":"14:21:18"},{"id":151,"name":"Denver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43"/>
        <v>start /low /b %USERPROFILE%\Documents\GitHub\eaglep3\Utilities\DownloadLogsFromS3.py --loco 4022 --day 2017-06-08</v>
      </c>
      <c r="AN93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20:21:18"},{"id":29,"name":"Sharepoint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2" t="s">
        <v>757</v>
      </c>
      <c r="B94" s="7">
        <v>4021</v>
      </c>
      <c r="C94" s="21" t="s">
        <v>204</v>
      </c>
      <c r="D94" s="21" t="s">
        <v>507</v>
      </c>
      <c r="E94" s="13">
        <v>42894.607025462959</v>
      </c>
      <c r="F94" s="13">
        <v>42894.612650462965</v>
      </c>
      <c r="G94" s="7">
        <v>1</v>
      </c>
      <c r="H94" s="21" t="s">
        <v>588</v>
      </c>
      <c r="I94" s="13">
        <v>42894.638506944444</v>
      </c>
      <c r="J94" s="7">
        <v>0</v>
      </c>
      <c r="K94" s="92" t="str">
        <f t="shared" si="26"/>
        <v>4021/4022</v>
      </c>
      <c r="L94" s="21" t="str">
        <f>VLOOKUP(A94,'Trips&amp;Operators'!$C$1:$G$99999,5,FALSE)</f>
        <v>DELGADO DIANAH</v>
      </c>
      <c r="M94" s="6">
        <f t="shared" si="27"/>
        <v>2.5856481479422655E-2</v>
      </c>
      <c r="N94" s="7">
        <f t="shared" si="28"/>
        <v>37.233333330368623</v>
      </c>
      <c r="O94" s="7"/>
      <c r="P94" s="7"/>
      <c r="Q94" s="22"/>
      <c r="R94" s="173"/>
      <c r="S94" s="176">
        <f t="shared" si="29"/>
        <v>1</v>
      </c>
      <c r="T94" s="202" t="str">
        <f t="shared" si="30"/>
        <v>Southbound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31"/>
        <v>https://d0f6bd738d7f1b3e5a7ca70fe4ff75f0.us-east-1.aws.found.io/app/kibana#/discover/Steve-Slow-Train-Analysis-(2080s-and-2083s)?_g=(refreshInterval:(display:Off,pause:!f,section:0,value:0),time:(from:'2017-06-08T13:34:07-0600',mode:absolute,to:'2017-06-08T16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4" s="204" t="str">
        <f t="shared" si="32"/>
        <v>N</v>
      </c>
      <c r="X94" s="204">
        <f t="shared" si="33"/>
        <v>1</v>
      </c>
      <c r="Y94" s="204">
        <f t="shared" si="34"/>
        <v>23.297499999999999</v>
      </c>
      <c r="Z94" s="204">
        <f t="shared" si="35"/>
        <v>1.2500000000000001E-2</v>
      </c>
      <c r="AA94" s="204">
        <f t="shared" si="36"/>
        <v>23.285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7"/>
        <v>0182-08</v>
      </c>
      <c r="AE94" s="80" t="str">
        <f t="shared" si="38"/>
        <v>aws s3 cp s3://rtdc.mdm.uploadarchive.raw/RTDC4021/ "%USERPROFILE%\AppData\Local\Temp\OnboardLogs"\RTDC4021\2017-06-08 --exclude "*" --recursive --include "*20170608*" &amp; "%USERPROFILE%\Documents\GitHub\mrs-test-scripts\Headless Mode &amp; Sideloading\WalkAndUnGZ.bat" "%USERPROFILE%\AppData\Local\Temp\OnboardLogs"\RTDC4021\2017-06-08 &amp; 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</v>
      </c>
      <c r="AF94" s="77" t="str">
        <f t="shared" si="39"/>
        <v>"C:\Program Files (x86)\AstroGrep\AstroGrep.exe" /e /r /s /spath="%USERPROFILE%\AppData\Local\Temp\OnboardLogs" /stypes="app*4021*20170608*" /stext=" 21:.+((SYSTEM_STATE.+slice.+state.+changed )|(ment ac)|(multiple cpu faults)|(system.+state.+changed )|(\[timeout)|(PRM\|1\|D)|(kpr)|(kdp)|(train st.+moving)|(\|lc)|(penalty))"</v>
      </c>
      <c r="AG94" s="1" t="str">
        <f t="shared" si="40"/>
        <v>EC</v>
      </c>
      <c r="AH94" s="81" t="str">
        <f t="shared" si="41"/>
        <v>"%USERPROFILE%\Documents\GitHub\eaglep3\Utilities\RefineRTDCRunTimes.py" --tripid 182-08 --locoid 4021 --swversion DE.1.0.9.0 --startMP 204:232975 --initTime 2017-06-08T14:34:07 --startdatetime 2017-06-08T14:42:13 --delay 1 --endMP 204:125 --enddatetime 2017-06-08T15:19:27 --enforcementcount 0 &gt;&gt;C:\Users\stu\Documents\GitHub\eaglep3-reporting\EC\2017-06-08-refined-times.txt</v>
      </c>
      <c r="AI94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{"issue":{"subject":"","project_id":79,"tracker_id":40,"status_id":1,"priority_id":2,"assigned_to_id":23,"start_date":"2017-06-08","description":"","custom_fields":[{"id":1,"name":"Subdivision","value":"EC"},{"id":4,"name":"Milepost","value":"0.0125"},{"id":17,"name":"Train ID","value":"182-08"},{"id":16,"name":"Locomotive ID","value":"4021"},{"id":130,"name":"Impact","value":""},{"id":150,"name":"Time of Event (Mountain Time)","value":"15:19:27"},{"id":151,"name":"Denver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43"/>
        <v>start /low /b %USERPROFILE%\Documents\GitHub\eaglep3\Utilities\DownloadLogsFromS3.py --loco 4021 --day 2017-06-08</v>
      </c>
      <c r="AN94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21:19:27"},{"id":29,"name":"Sharepoint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5" spans="1:91" s="20" customFormat="1" x14ac:dyDescent="0.25">
      <c r="A95" s="32" t="s">
        <v>754</v>
      </c>
      <c r="B95" s="7">
        <v>4044</v>
      </c>
      <c r="C95" s="21" t="s">
        <v>204</v>
      </c>
      <c r="D95" s="21" t="s">
        <v>479</v>
      </c>
      <c r="E95" s="13">
        <v>42894.579687500001</v>
      </c>
      <c r="F95" s="13">
        <v>42894.583495370367</v>
      </c>
      <c r="G95" s="7">
        <v>1</v>
      </c>
      <c r="H95" s="21" t="s">
        <v>848</v>
      </c>
      <c r="I95" s="13">
        <v>42894.609201388892</v>
      </c>
      <c r="J95" s="7">
        <v>0</v>
      </c>
      <c r="K95" s="92" t="str">
        <f t="shared" si="26"/>
        <v>4043/4044</v>
      </c>
      <c r="L95" s="21" t="str">
        <f>VLOOKUP(A95,'Trips&amp;Operators'!$C$1:$G$99999,5,FALSE)</f>
        <v>BERLING GARY</v>
      </c>
      <c r="M95" s="6">
        <f t="shared" si="27"/>
        <v>2.570601852494292E-2</v>
      </c>
      <c r="N95" s="7">
        <f t="shared" si="28"/>
        <v>37.016666675917804</v>
      </c>
      <c r="O95" s="7"/>
      <c r="P95" s="7"/>
      <c r="Q95" s="22"/>
      <c r="R95" s="173"/>
      <c r="S95" s="176">
        <f t="shared" si="29"/>
        <v>1</v>
      </c>
      <c r="T95" s="202" t="str">
        <f t="shared" si="30"/>
        <v>NorthBound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 t="shared" si="31"/>
        <v>https://d0f6bd738d7f1b3e5a7ca70fe4ff75f0.us-east-1.aws.found.io/app/kibana#/discover/Steve-Slow-Train-Analysis-(2080s-and-2083s)?_g=(refreshInterval:(display:Off,pause:!f,section:0,value:0),time:(from:'2017-06-08T12:54:45-0600',mode:absolute,to:'2017-06-08T15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5" s="204" t="str">
        <f t="shared" si="32"/>
        <v>N</v>
      </c>
      <c r="X95" s="204">
        <f t="shared" si="33"/>
        <v>1</v>
      </c>
      <c r="Y95" s="204">
        <f t="shared" si="34"/>
        <v>4.3700000000000003E-2</v>
      </c>
      <c r="Z95" s="204">
        <f t="shared" si="35"/>
        <v>23.331700000000001</v>
      </c>
      <c r="AA95" s="204">
        <f t="shared" si="36"/>
        <v>23.288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7"/>
        <v>0183-08</v>
      </c>
      <c r="AE95" s="80" t="str">
        <f t="shared" si="38"/>
        <v>aws s3 cp s3://rtdc.mdm.uploadarchive.raw/RTDC4044/ "%USERPROFILE%\AppData\Local\Temp\OnboardLogs"\RTDC4044\2017-06-08 --exclude "*" --recursive --include "*20170608*" &amp; "%USERPROFILE%\Documents\GitHub\mrs-test-scripts\Headless Mode &amp; Sideloading\WalkAndUnGZ.bat" "%USERPROFILE%\AppData\Local\Temp\OnboardLogs"\RTDC4044\2017-06-08 &amp; aws s3 cp s3://rtdc.mdm.uploadarchive.raw/RTDC4044/ "%USERPROFILE%\AppData\Local\Temp\OnboardLogs"\RTDC4044\2017-06-09 --exclude "*" --recursive --include "*20170609*" &amp; "%USERPROFILE%\Documents\GitHub\mrs-test-scripts\Headless Mode &amp; Sideloading\WalkAndUnGZ.bat" "%USERPROFILE%\AppData\Local\Temp\OnboardLogs"\RTDC4044\2017-06-09</v>
      </c>
      <c r="AF95" s="77" t="str">
        <f t="shared" si="39"/>
        <v>"C:\Program Files (x86)\AstroGrep\AstroGrep.exe" /e /r /s /spath="%USERPROFILE%\AppData\Local\Temp\OnboardLogs" /stypes="app*4044*20170608*" /stext=" 20:.+((SYSTEM_STATE.+slice.+state.+changed )|(ment ac)|(multiple cpu faults)|(system.+state.+changed )|(\[timeout)|(PRM\|1\|D)|(kpr)|(kdp)|(train st.+moving)|(\|lc)|(penalty))"</v>
      </c>
      <c r="AG95" s="1" t="str">
        <f t="shared" si="40"/>
        <v>EC</v>
      </c>
      <c r="AH95" s="81" t="str">
        <f t="shared" si="41"/>
        <v>"%USERPROFILE%\Documents\GitHub\eaglep3\Utilities\RefineRTDCRunTimes.py" --tripid 183-08 --locoid 4044 --swversion DE.1.0.9.0 --startMP 204:437 --initTime 2017-06-08T13:54:45 --startdatetime 2017-06-08T14:00:14 --delay 1 --endMP 204:233317 --enddatetime 2017-06-08T14:37:15 --enforcementcount 0 &gt;&gt;C:\Users\stu\Documents\GitHub\eaglep3-reporting\EC\2017-06-08-refined-times.txt</v>
      </c>
      <c r="AI95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{"issue":{"subject":"","project_id":79,"tracker_id":40,"status_id":1,"priority_id":2,"assigned_to_id":23,"start_date":"2017-06-08","description":"","custom_fields":[{"id":1,"name":"Subdivision","value":"EC"},{"id":4,"name":"Milepost","value":"23.3317"},{"id":17,"name":"Train ID","value":"183-08"},{"id":16,"name":"Locomotive ID","value":"4044"},{"id":130,"name":"Impact","value":""},{"id":150,"name":"Time of Event (Mountain Time)","value":"14:37:15"},{"id":151,"name":"Denver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3"/>
        <v>start /low /b %USERPROFILE%\Documents\GitHub\eaglep3\Utilities\DownloadLogsFromS3.py --loco 4044 --day 2017-06-08</v>
      </c>
      <c r="AN95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20:37:15"},{"id":29,"name":"Sharepoint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760</v>
      </c>
      <c r="B96" s="7">
        <v>4043</v>
      </c>
      <c r="C96" s="21" t="s">
        <v>204</v>
      </c>
      <c r="D96" s="21" t="s">
        <v>582</v>
      </c>
      <c r="E96" s="13">
        <v>42894.615451388891</v>
      </c>
      <c r="F96" s="13">
        <v>42894.623078703706</v>
      </c>
      <c r="G96" s="7">
        <v>1</v>
      </c>
      <c r="H96" s="21" t="s">
        <v>873</v>
      </c>
      <c r="I96" s="13">
        <v>42894.649699074071</v>
      </c>
      <c r="J96" s="7">
        <v>0</v>
      </c>
      <c r="K96" s="92" t="str">
        <f t="shared" si="26"/>
        <v>4043/4044</v>
      </c>
      <c r="L96" s="21" t="str">
        <f>VLOOKUP(A96,'Trips&amp;Operators'!$C$1:$G$99999,5,FALSE)</f>
        <v>BERLING GARY</v>
      </c>
      <c r="M96" s="6">
        <f t="shared" si="27"/>
        <v>2.6620370364980772E-2</v>
      </c>
      <c r="N96" s="7">
        <f t="shared" si="28"/>
        <v>38.333333325572312</v>
      </c>
      <c r="O96" s="7"/>
      <c r="P96" s="7"/>
      <c r="Q96" s="22"/>
      <c r="R96" s="173"/>
      <c r="S96" s="176">
        <f t="shared" si="29"/>
        <v>1</v>
      </c>
      <c r="T96" s="202" t="str">
        <f t="shared" si="30"/>
        <v>Southbound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31"/>
        <v>https://d0f6bd738d7f1b3e5a7ca70fe4ff75f0.us-east-1.aws.found.io/app/kibana#/discover/Steve-Slow-Train-Analysis-(2080s-and-2083s)?_g=(refreshInterval:(display:Off,pause:!f,section:0,value:0),time:(from:'2017-06-08T13:46:15-0600',mode:absolute,to:'2017-06-08T16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6" s="204" t="str">
        <f t="shared" si="32"/>
        <v>N</v>
      </c>
      <c r="X96" s="204">
        <f t="shared" si="33"/>
        <v>1</v>
      </c>
      <c r="Y96" s="204">
        <f t="shared" si="34"/>
        <v>23.298500000000001</v>
      </c>
      <c r="Z96" s="204">
        <f t="shared" si="35"/>
        <v>1.2999999999999999E-2</v>
      </c>
      <c r="AA96" s="204">
        <f t="shared" si="36"/>
        <v>23.285499999999999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7"/>
        <v>0184-08</v>
      </c>
      <c r="AE96" s="80" t="str">
        <f t="shared" si="38"/>
        <v>aws s3 cp s3://rtdc.mdm.uploadarchive.raw/RTDC4043/ "%USERPROFILE%\AppData\Local\Temp\OnboardLogs"\RTDC4043\2017-06-08 --exclude "*" --recursive --include "*20170608*" &amp; "%USERPROFILE%\Documents\GitHub\mrs-test-scripts\Headless Mode &amp; Sideloading\WalkAndUnGZ.bat" "%USERPROFILE%\AppData\Local\Temp\OnboardLogs"\RTDC4043\2017-06-08 &amp; aws s3 cp s3://rtdc.mdm.uploadarchive.raw/RTDC4043/ "%USERPROFILE%\AppData\Local\Temp\OnboardLogs"\RTDC4043\2017-06-09 --exclude "*" --recursive --include "*20170609*" &amp; "%USERPROFILE%\Documents\GitHub\mrs-test-scripts\Headless Mode &amp; Sideloading\WalkAndUnGZ.bat" "%USERPROFILE%\AppData\Local\Temp\OnboardLogs"\RTDC4043\2017-06-09</v>
      </c>
      <c r="AF96" s="77" t="str">
        <f t="shared" si="39"/>
        <v>"C:\Program Files (x86)\AstroGrep\AstroGrep.exe" /e /r /s /spath="%USERPROFILE%\AppData\Local\Temp\OnboardLogs" /stypes="app*4043*20170608*" /stext=" 21:.+((SYSTEM_STATE.+slice.+state.+changed )|(ment ac)|(multiple cpu faults)|(system.+state.+changed )|(\[timeout)|(PRM\|1\|D)|(kpr)|(kdp)|(train st.+moving)|(\|lc)|(penalty))"</v>
      </c>
      <c r="AG96" s="1" t="str">
        <f t="shared" si="40"/>
        <v>EC</v>
      </c>
      <c r="AH96" s="81" t="str">
        <f t="shared" si="41"/>
        <v>"%USERPROFILE%\Documents\GitHub\eaglep3\Utilities\RefineRTDCRunTimes.py" --tripid 184-08 --locoid 4043 --swversion DE.1.0.9.0 --startMP 204:232985 --initTime 2017-06-08T14:46:15 --startdatetime 2017-06-08T14:57:14 --delay 1 --endMP 204:130 --enddatetime 2017-06-08T15:35:34 --enforcementcount 0 &gt;&gt;C:\Users\stu\Documents\GitHub\eaglep3-reporting\EC\2017-06-08-refined-times.txt</v>
      </c>
      <c r="AI96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{"issue":{"subject":"","project_id":79,"tracker_id":40,"status_id":1,"priority_id":2,"assigned_to_id":23,"start_date":"2017-06-08","description":"","custom_fields":[{"id":1,"name":"Subdivision","value":"EC"},{"id":4,"name":"Milepost","value":"0.013"},{"id":17,"name":"Train ID","value":"184-08"},{"id":16,"name":"Locomotive ID","value":"4043"},{"id":130,"name":"Impact","value":""},{"id":150,"name":"Time of Event (Mountain Time)","value":"15:35:34"},{"id":151,"name":"Denver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3"/>
        <v>start /low /b %USERPROFILE%\Documents\GitHub\eaglep3\Utilities\DownloadLogsFromS3.py --loco 4043 --day 2017-06-08</v>
      </c>
      <c r="AN96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21:35:34"},{"id":29,"name":"Sharepoint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755</v>
      </c>
      <c r="B97" s="7">
        <v>4056</v>
      </c>
      <c r="C97" s="21" t="s">
        <v>204</v>
      </c>
      <c r="D97" s="21" t="s">
        <v>200</v>
      </c>
      <c r="E97" s="13">
        <v>42894.590497685182</v>
      </c>
      <c r="F97" s="13">
        <v>42894.593981481485</v>
      </c>
      <c r="G97" s="7">
        <v>1</v>
      </c>
      <c r="H97" s="21" t="s">
        <v>852</v>
      </c>
      <c r="I97" s="13">
        <v>42894.619189814817</v>
      </c>
      <c r="J97" s="7">
        <v>0</v>
      </c>
      <c r="K97" s="92" t="str">
        <f t="shared" si="26"/>
        <v>4055/4056</v>
      </c>
      <c r="L97" s="21" t="str">
        <f>VLOOKUP(A97,'Trips&amp;Operators'!$C$1:$G$99999,5,FALSE)</f>
        <v>COOLAHAN JOHN</v>
      </c>
      <c r="M97" s="6">
        <f t="shared" si="27"/>
        <v>2.5208333332557231E-2</v>
      </c>
      <c r="N97" s="7">
        <f t="shared" si="28"/>
        <v>36.299999998882413</v>
      </c>
      <c r="O97" s="7"/>
      <c r="P97" s="7"/>
      <c r="Q97" s="22"/>
      <c r="R97" s="173"/>
      <c r="S97" s="176">
        <f t="shared" si="29"/>
        <v>1</v>
      </c>
      <c r="T97" s="202" t="str">
        <f t="shared" si="30"/>
        <v>NorthBound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 t="shared" si="31"/>
        <v>https://d0f6bd738d7f1b3e5a7ca70fe4ff75f0.us-east-1.aws.found.io/app/kibana#/discover/Steve-Slow-Train-Analysis-(2080s-and-2083s)?_g=(refreshInterval:(display:Off,pause:!f,section:0,value:0),time:(from:'2017-06-08T13:10:19-0600',mode:absolute,to:'2017-06-08T15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7" s="204" t="str">
        <f t="shared" si="32"/>
        <v>N</v>
      </c>
      <c r="X97" s="204">
        <f t="shared" si="33"/>
        <v>1</v>
      </c>
      <c r="Y97" s="204">
        <f t="shared" si="34"/>
        <v>4.5699999999999998E-2</v>
      </c>
      <c r="Z97" s="204">
        <f t="shared" si="35"/>
        <v>23.328600000000002</v>
      </c>
      <c r="AA97" s="204">
        <f t="shared" si="36"/>
        <v>23.282900000000001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7"/>
        <v>0185-08</v>
      </c>
      <c r="AE97" s="80" t="str">
        <f t="shared" si="38"/>
        <v>aws s3 cp s3://rtdc.mdm.uploadarchive.raw/RTDC4056/ "%USERPROFILE%\AppData\Local\Temp\OnboardLogs"\RTDC4056\2017-06-08 --exclude "*" --recursive --include "*20170608*" &amp; "%USERPROFILE%\Documents\GitHub\mrs-test-scripts\Headless Mode &amp; Sideloading\WalkAndUnGZ.bat" "%USERPROFILE%\AppData\Local\Temp\OnboardLogs"\RTDC4056\2017-06-08 &amp; aws s3 cp s3://rtdc.mdm.uploadarchive.raw/RTDC4056/ "%USERPROFILE%\AppData\Local\Temp\OnboardLogs"\RTDC4056\2017-06-09 --exclude "*" --recursive --include "*20170609*" &amp; "%USERPROFILE%\Documents\GitHub\mrs-test-scripts\Headless Mode &amp; Sideloading\WalkAndUnGZ.bat" "%USERPROFILE%\AppData\Local\Temp\OnboardLogs"\RTDC4056\2017-06-09</v>
      </c>
      <c r="AF97" s="77" t="str">
        <f t="shared" si="39"/>
        <v>"C:\Program Files (x86)\AstroGrep\AstroGrep.exe" /e /r /s /spath="%USERPROFILE%\AppData\Local\Temp\OnboardLogs" /stypes="app*4056*20170608*" /stext=" 20:.+((SYSTEM_STATE.+slice.+state.+changed )|(ment ac)|(multiple cpu faults)|(system.+state.+changed )|(\[timeout)|(PRM\|1\|D)|(kpr)|(kdp)|(train st.+moving)|(\|lc)|(penalty))"</v>
      </c>
      <c r="AG97" s="1" t="str">
        <f t="shared" si="40"/>
        <v>EC</v>
      </c>
      <c r="AH97" s="81" t="str">
        <f t="shared" si="41"/>
        <v>"%USERPROFILE%\Documents\GitHub\eaglep3\Utilities\RefineRTDCRunTimes.py" --tripid 185-08 --locoid 4056 --swversion DE.1.0.9.0 --startMP 204:457 --initTime 2017-06-08T14:10:19 --startdatetime 2017-06-08T14:15:20 --delay 1 --endMP 204:233286 --enddatetime 2017-06-08T14:51:38 --enforcementcount 0 &gt;&gt;C:\Users\stu\Documents\GitHub\eaglep3-reporting\EC\2017-06-08-refined-times.txt</v>
      </c>
      <c r="AI97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{"issue":{"subject":"","project_id":79,"tracker_id":40,"status_id":1,"priority_id":2,"assigned_to_id":23,"start_date":"2017-06-08","description":"","custom_fields":[{"id":1,"name":"Subdivision","value":"EC"},{"id":4,"name":"Milepost","value":"23.3286"},{"id":17,"name":"Train ID","value":"185-08"},{"id":16,"name":"Locomotive ID","value":"4056"},{"id":130,"name":"Impact","value":""},{"id":150,"name":"Time of Event (Mountain Time)","value":"14:51:38"},{"id":151,"name":"Denver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3"/>
        <v>start /low /b %USERPROFILE%\Documents\GitHub\eaglep3\Utilities\DownloadLogsFromS3.py --loco 4056 --day 2017-06-08</v>
      </c>
      <c r="AN97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20:51:38"},{"id":29,"name":"Sharepoint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632</v>
      </c>
      <c r="B98" s="7">
        <v>4055</v>
      </c>
      <c r="C98" s="21" t="s">
        <v>204</v>
      </c>
      <c r="D98" s="21" t="s">
        <v>533</v>
      </c>
      <c r="E98" s="13">
        <v>42894.629976851851</v>
      </c>
      <c r="F98" s="13">
        <v>42894.63354166667</v>
      </c>
      <c r="G98" s="7">
        <v>1</v>
      </c>
      <c r="H98" s="21" t="s">
        <v>457</v>
      </c>
      <c r="I98" s="13">
        <v>42894.660057870373</v>
      </c>
      <c r="J98" s="7">
        <v>0</v>
      </c>
      <c r="K98" s="92" t="str">
        <f t="shared" si="26"/>
        <v>4055/4056</v>
      </c>
      <c r="L98" s="21" t="str">
        <f>VLOOKUP(A98,'Trips&amp;Operators'!$C$1:$G$99999,5,FALSE)</f>
        <v>COOLAHAN JOHN</v>
      </c>
      <c r="M98" s="6">
        <f t="shared" si="27"/>
        <v>2.6516203703067731E-2</v>
      </c>
      <c r="N98" s="7">
        <f t="shared" si="28"/>
        <v>38.183333332417533</v>
      </c>
      <c r="O98" s="7"/>
      <c r="P98" s="7"/>
      <c r="Q98" s="22"/>
      <c r="R98" s="173"/>
      <c r="S98" s="176">
        <f t="shared" si="29"/>
        <v>1</v>
      </c>
      <c r="T98" s="202" t="str">
        <f t="shared" si="30"/>
        <v>Southbound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 t="shared" si="31"/>
        <v>https://d0f6bd738d7f1b3e5a7ca70fe4ff75f0.us-east-1.aws.found.io/app/kibana#/discover/Steve-Slow-Train-Analysis-(2080s-and-2083s)?_g=(refreshInterval:(display:Off,pause:!f,section:0,value:0),time:(from:'2017-06-08T14:07:10-0600',mode:absolute,to:'2017-06-08T16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8" s="204" t="str">
        <f t="shared" si="32"/>
        <v>N</v>
      </c>
      <c r="X98" s="204">
        <f t="shared" si="33"/>
        <v>1</v>
      </c>
      <c r="Y98" s="204">
        <f t="shared" si="34"/>
        <v>23.2971</v>
      </c>
      <c r="Z98" s="204">
        <f t="shared" si="35"/>
        <v>1.5599999999999999E-2</v>
      </c>
      <c r="AA98" s="204">
        <f t="shared" si="36"/>
        <v>23.281500000000001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7"/>
        <v>0186-08</v>
      </c>
      <c r="AE98" s="80" t="str">
        <f t="shared" si="38"/>
        <v>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 &amp; aws s3 cp s3://rtdc.mdm.uploadarchive.raw/RTDC4055/ "%USERPROFILE%\AppData\Local\Temp\OnboardLogs"\RTDC4055\2017-06-09 --exclude "*" --recursive --include "*20170609*" &amp; "%USERPROFILE%\Documents\GitHub\mrs-test-scripts\Headless Mode &amp; Sideloading\WalkAndUnGZ.bat" "%USERPROFILE%\AppData\Local\Temp\OnboardLogs"\RTDC4055\2017-06-09</v>
      </c>
      <c r="AF98" s="77" t="str">
        <f t="shared" si="39"/>
        <v>"C:\Program Files (x86)\AstroGrep\AstroGrep.exe" /e /r /s /spath="%USERPROFILE%\AppData\Local\Temp\OnboardLogs" /stypes="app*4055*20170608*" /stext=" 21:.+((SYSTEM_STATE.+slice.+state.+changed )|(ment ac)|(multiple cpu faults)|(system.+state.+changed )|(\[timeout)|(PRM\|1\|D)|(kpr)|(kdp)|(train st.+moving)|(\|lc)|(penalty))"</v>
      </c>
      <c r="AG98" s="1" t="str">
        <f t="shared" si="40"/>
        <v>EC</v>
      </c>
      <c r="AH98" s="81" t="str">
        <f t="shared" si="41"/>
        <v>"%USERPROFILE%\Documents\GitHub\eaglep3\Utilities\RefineRTDCRunTimes.py" --tripid 186-08 --locoid 4055 --swversion DE.1.0.9.0 --startMP 204:232971 --initTime 2017-06-08T15:07:10 --startdatetime 2017-06-08T15:12:18 --delay 1 --endMP 204:156 --enddatetime 2017-06-08T15:50:29 --enforcementcount 0 &gt;&gt;C:\Users\stu\Documents\GitHub\eaglep3-reporting\EC\2017-06-08-refined-times.txt</v>
      </c>
      <c r="AI98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{"issue":{"subject":"","project_id":79,"tracker_id":40,"status_id":1,"priority_id":2,"assigned_to_id":23,"start_date":"2017-06-08","description":"","custom_fields":[{"id":1,"name":"Subdivision","value":"EC"},{"id":4,"name":"Milepost","value":"0.0156"},{"id":17,"name":"Train ID","value":"186-08"},{"id":16,"name":"Locomotive ID","value":"4055"},{"id":130,"name":"Impact","value":""},{"id":150,"name":"Time of Event (Mountain Time)","value":"15:50:29"},{"id":151,"name":"Denver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3"/>
        <v>start /low /b %USERPROFILE%\Documents\GitHub\eaglep3\Utilities\DownloadLogsFromS3.py --loco 4055 --day 2017-06-08</v>
      </c>
      <c r="AN98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21:50:29"},{"id":29,"name":"Sharepoint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631</v>
      </c>
      <c r="B99" s="7">
        <v>4026</v>
      </c>
      <c r="C99" s="21" t="s">
        <v>204</v>
      </c>
      <c r="D99" s="21" t="s">
        <v>356</v>
      </c>
      <c r="E99" s="13">
        <v>42894.599780092591</v>
      </c>
      <c r="F99" s="13">
        <v>42894.604351851849</v>
      </c>
      <c r="G99" s="7">
        <v>1</v>
      </c>
      <c r="H99" s="21" t="s">
        <v>874</v>
      </c>
      <c r="I99" s="13">
        <v>42894.62909722222</v>
      </c>
      <c r="J99" s="7">
        <v>0</v>
      </c>
      <c r="K99" s="92" t="str">
        <f t="shared" si="26"/>
        <v>4025/4026</v>
      </c>
      <c r="L99" s="21" t="str">
        <f>VLOOKUP(A99,'Trips&amp;Operators'!$C$1:$G$99999,5,FALSE)</f>
        <v>HOLCOMB KAMDEN</v>
      </c>
      <c r="M99" s="6">
        <f t="shared" si="27"/>
        <v>2.47453703705105E-2</v>
      </c>
      <c r="N99" s="7">
        <f t="shared" si="28"/>
        <v>35.63333333353512</v>
      </c>
      <c r="O99" s="7"/>
      <c r="P99" s="7"/>
      <c r="Q99" s="22"/>
      <c r="R99" s="173"/>
      <c r="S99" s="176">
        <f t="shared" si="29"/>
        <v>1</v>
      </c>
      <c r="T99" s="202" t="str">
        <f t="shared" si="30"/>
        <v>NorthBound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31"/>
        <v>https://d0f6bd738d7f1b3e5a7ca70fe4ff75f0.us-east-1.aws.found.io/app/kibana#/discover/Steve-Slow-Train-Analysis-(2080s-and-2083s)?_g=(refreshInterval:(display:Off,pause:!f,section:0,value:0),time:(from:'2017-06-08T13:23:41-0600',mode:absolute,to:'2017-06-08T16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9" s="204" t="str">
        <f t="shared" si="32"/>
        <v>N</v>
      </c>
      <c r="X99" s="204">
        <f t="shared" si="33"/>
        <v>1</v>
      </c>
      <c r="Y99" s="204">
        <f t="shared" si="34"/>
        <v>4.5100000000000001E-2</v>
      </c>
      <c r="Z99" s="204">
        <f t="shared" si="35"/>
        <v>23.3308</v>
      </c>
      <c r="AA99" s="204">
        <f t="shared" si="36"/>
        <v>23.285699999999999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7"/>
        <v>0187-08</v>
      </c>
      <c r="AE99" s="80" t="str">
        <f t="shared" si="38"/>
        <v>aws s3 cp s3://rtdc.mdm.uploadarchive.raw/RTDC4026/ "%USERPROFILE%\AppData\Local\Temp\OnboardLogs"\RTDC4026\2017-06-08 --exclude "*" --recursive --include "*20170608*" &amp; "%USERPROFILE%\Documents\GitHub\mrs-test-scripts\Headless Mode &amp; Sideloading\WalkAndUnGZ.bat" "%USERPROFILE%\AppData\Local\Temp\OnboardLogs"\RTDC4026\2017-06-08 &amp; aws s3 cp s3://rtdc.mdm.uploadarchive.raw/RTDC4026/ "%USERPROFILE%\AppData\Local\Temp\OnboardLogs"\RTDC4026\2017-06-09 --exclude "*" --recursive --include "*20170609*" &amp; "%USERPROFILE%\Documents\GitHub\mrs-test-scripts\Headless Mode &amp; Sideloading\WalkAndUnGZ.bat" "%USERPROFILE%\AppData\Local\Temp\OnboardLogs"\RTDC4026\2017-06-09</v>
      </c>
      <c r="AF99" s="77" t="str">
        <f t="shared" si="39"/>
        <v>"C:\Program Files (x86)\AstroGrep\AstroGrep.exe" /e /r /s /spath="%USERPROFILE%\AppData\Local\Temp\OnboardLogs" /stypes="app*4026*20170608*" /stext=" 21:.+((SYSTEM_STATE.+slice.+state.+changed )|(ment ac)|(multiple cpu faults)|(system.+state.+changed )|(\[timeout)|(PRM\|1\|D)|(kpr)|(kdp)|(train st.+moving)|(\|lc)|(penalty))"</v>
      </c>
      <c r="AG99" s="1" t="str">
        <f t="shared" si="40"/>
        <v>EC</v>
      </c>
      <c r="AH99" s="81" t="str">
        <f t="shared" si="41"/>
        <v>"%USERPROFILE%\Documents\GitHub\eaglep3\Utilities\RefineRTDCRunTimes.py" --tripid 187-08 --locoid 4026 --swversion DE.1.0.9.0 --startMP 204:451 --initTime 2017-06-08T14:23:41 --startdatetime 2017-06-08T14:30:16 --delay 1 --endMP 204:233308 --enddatetime 2017-06-08T15:05:54 --enforcementcount 0 &gt;&gt;C:\Users\stu\Documents\GitHub\eaglep3-reporting\EC\2017-06-08-refined-times.txt</v>
      </c>
      <c r="AI99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{"issue":{"subject":"","project_id":79,"tracker_id":40,"status_id":1,"priority_id":2,"assigned_to_id":23,"start_date":"2017-06-08","description":"","custom_fields":[{"id":1,"name":"Subdivision","value":"EC"},{"id":4,"name":"Milepost","value":"23.3308"},{"id":17,"name":"Train ID","value":"187-08"},{"id":16,"name":"Locomotive ID","value":"4026"},{"id":130,"name":"Impact","value":""},{"id":150,"name":"Time of Event (Mountain Time)","value":"15:05:54"},{"id":151,"name":"Denver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3"/>
        <v>start /low /b %USERPROFILE%\Documents\GitHub\eaglep3\Utilities\DownloadLogsFromS3.py --loco 4026 --day 2017-06-08</v>
      </c>
      <c r="AN99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21:05:54"},{"id":29,"name":"Sharepoint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764</v>
      </c>
      <c r="B100" s="7">
        <v>4025</v>
      </c>
      <c r="C100" s="21" t="s">
        <v>204</v>
      </c>
      <c r="D100" s="21" t="s">
        <v>875</v>
      </c>
      <c r="E100" s="13">
        <v>42894.637141203704</v>
      </c>
      <c r="F100" s="13">
        <v>42894.644074074073</v>
      </c>
      <c r="G100" s="7">
        <v>1</v>
      </c>
      <c r="H100" s="21" t="s">
        <v>364</v>
      </c>
      <c r="I100" s="13">
        <v>42894.670798611114</v>
      </c>
      <c r="J100" s="7">
        <v>0</v>
      </c>
      <c r="K100" s="92" t="str">
        <f t="shared" si="26"/>
        <v>4025/4026</v>
      </c>
      <c r="L100" s="21" t="str">
        <f>VLOOKUP(A100,'Trips&amp;Operators'!$C$1:$G$99999,5,FALSE)</f>
        <v>HOLCOMB KAMDEN</v>
      </c>
      <c r="M100" s="6">
        <f t="shared" si="27"/>
        <v>2.6724537041445728E-2</v>
      </c>
      <c r="N100" s="7">
        <f t="shared" si="28"/>
        <v>38.483333339681849</v>
      </c>
      <c r="O100" s="7"/>
      <c r="P100" s="7"/>
      <c r="Q100" s="22"/>
      <c r="R100" s="173"/>
      <c r="S100" s="176">
        <f t="shared" si="29"/>
        <v>1</v>
      </c>
      <c r="T100" s="202" t="str">
        <f t="shared" si="30"/>
        <v>Southbound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 t="shared" si="31"/>
        <v>https://d0f6bd738d7f1b3e5a7ca70fe4ff75f0.us-east-1.aws.found.io/app/kibana#/discover/Steve-Slow-Train-Analysis-(2080s-and-2083s)?_g=(refreshInterval:(display:Off,pause:!f,section:0,value:0),time:(from:'2017-06-08T14:17:29-0600',mode:absolute,to:'2017-06-08T17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0" s="204" t="str">
        <f t="shared" si="32"/>
        <v>N</v>
      </c>
      <c r="X100" s="204">
        <f t="shared" si="33"/>
        <v>1</v>
      </c>
      <c r="Y100" s="204">
        <f t="shared" si="34"/>
        <v>23.297599999999999</v>
      </c>
      <c r="Z100" s="204">
        <f t="shared" si="35"/>
        <v>1.47E-2</v>
      </c>
      <c r="AA100" s="204">
        <f t="shared" si="36"/>
        <v>23.282899999999998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7"/>
        <v>0188-08</v>
      </c>
      <c r="AE100" s="80" t="str">
        <f t="shared" si="38"/>
        <v>aws s3 cp s3://rtdc.mdm.uploadarchive.raw/RTDC4025/ "%USERPROFILE%\AppData\Local\Temp\OnboardLogs"\RTDC4025\2017-06-08 --exclude "*" --recursive --include "*20170608*" &amp; "%USERPROFILE%\Documents\GitHub\mrs-test-scripts\Headless Mode &amp; Sideloading\WalkAndUnGZ.bat" "%USERPROFILE%\AppData\Local\Temp\OnboardLogs"\RTDC4025\2017-06-08 &amp; aws s3 cp s3://rtdc.mdm.uploadarchive.raw/RTDC4025/ "%USERPROFILE%\AppData\Local\Temp\OnboardLogs"\RTDC4025\2017-06-09 --exclude "*" --recursive --include "*20170609*" &amp; "%USERPROFILE%\Documents\GitHub\mrs-test-scripts\Headless Mode &amp; Sideloading\WalkAndUnGZ.bat" "%USERPROFILE%\AppData\Local\Temp\OnboardLogs"\RTDC4025\2017-06-09</v>
      </c>
      <c r="AF100" s="77" t="str">
        <f t="shared" si="39"/>
        <v>"C:\Program Files (x86)\AstroGrep\AstroGrep.exe" /e /r /s /spath="%USERPROFILE%\AppData\Local\Temp\OnboardLogs" /stypes="app*4025*20170608*" /stext=" 22:.+((SYSTEM_STATE.+slice.+state.+changed )|(ment ac)|(multiple cpu faults)|(system.+state.+changed )|(\[timeout)|(PRM\|1\|D)|(kpr)|(kdp)|(train st.+moving)|(\|lc)|(penalty))"</v>
      </c>
      <c r="AG100" s="1" t="str">
        <f t="shared" si="40"/>
        <v>EC</v>
      </c>
      <c r="AH100" s="81" t="str">
        <f t="shared" si="41"/>
        <v>"%USERPROFILE%\Documents\GitHub\eaglep3\Utilities\RefineRTDCRunTimes.py" --tripid 188-08 --locoid 4025 --swversion DE.1.0.9.0 --startMP 204:232976 --initTime 2017-06-08T15:17:29 --startdatetime 2017-06-08T15:27:28 --delay 1 --endMP 204:147 --enddatetime 2017-06-08T16:05:57 --enforcementcount 0 &gt;&gt;C:\Users\stu\Documents\GitHub\eaglep3-reporting\EC\2017-06-08-refined-times.txt</v>
      </c>
      <c r="AI100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{"issue":{"subject":"","project_id":79,"tracker_id":40,"status_id":1,"priority_id":2,"assigned_to_id":23,"start_date":"2017-06-08","description":"","custom_fields":[{"id":1,"name":"Subdivision","value":"EC"},{"id":4,"name":"Milepost","value":"0.0147"},{"id":17,"name":"Train ID","value":"188-08"},{"id":16,"name":"Locomotive ID","value":"4025"},{"id":130,"name":"Impact","value":""},{"id":150,"name":"Time of Event (Mountain Time)","value":"16:05:57"},{"id":151,"name":"Denver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5" t="str">
        <f t="shared" si="43"/>
        <v>start /low /b %USERPROFILE%\Documents\GitHub\eaglep3\Utilities\DownloadLogsFromS3.py --loco 4025 --day 2017-06-08</v>
      </c>
      <c r="AN100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22:05:57"},{"id":29,"name":"Sharepoint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1" spans="1:91" s="20" customFormat="1" x14ac:dyDescent="0.25">
      <c r="A101" s="32" t="s">
        <v>758</v>
      </c>
      <c r="B101" s="7">
        <v>4004</v>
      </c>
      <c r="C101" s="21" t="s">
        <v>204</v>
      </c>
      <c r="D101" s="21" t="s">
        <v>433</v>
      </c>
      <c r="E101" s="13">
        <v>42894.611446759256</v>
      </c>
      <c r="F101" s="13">
        <v>42894.615057870367</v>
      </c>
      <c r="G101" s="7">
        <v>1</v>
      </c>
      <c r="H101" s="21" t="s">
        <v>453</v>
      </c>
      <c r="I101" s="13">
        <v>42894.640219907407</v>
      </c>
      <c r="J101" s="7">
        <v>0</v>
      </c>
      <c r="K101" s="92" t="str">
        <f t="shared" si="26"/>
        <v>4003/4004</v>
      </c>
      <c r="L101" s="21" t="str">
        <f>VLOOKUP(A101,'Trips&amp;Operators'!$C$1:$G$99999,5,FALSE)</f>
        <v>STEWART MICHAEL</v>
      </c>
      <c r="M101" s="6">
        <f t="shared" si="27"/>
        <v>2.5162037039990537E-2</v>
      </c>
      <c r="N101" s="7">
        <f t="shared" si="28"/>
        <v>36.233333337586373</v>
      </c>
      <c r="O101" s="7"/>
      <c r="P101" s="7"/>
      <c r="Q101" s="22"/>
      <c r="R101" s="173"/>
      <c r="S101" s="176">
        <f t="shared" si="29"/>
        <v>1</v>
      </c>
      <c r="T101" s="202" t="str">
        <f t="shared" si="30"/>
        <v>NorthBound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 t="shared" si="31"/>
        <v>https://d0f6bd738d7f1b3e5a7ca70fe4ff75f0.us-east-1.aws.found.io/app/kibana#/discover/Steve-Slow-Train-Analysis-(2080s-and-2083s)?_g=(refreshInterval:(display:Off,pause:!f,section:0,value:0),time:(from:'2017-06-08T13:40:29-0600',mode:absolute,to:'2017-06-08T16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1" s="204" t="str">
        <f t="shared" si="32"/>
        <v>N</v>
      </c>
      <c r="X101" s="204">
        <f t="shared" si="33"/>
        <v>1</v>
      </c>
      <c r="Y101" s="204">
        <f t="shared" si="34"/>
        <v>4.4200000000000003E-2</v>
      </c>
      <c r="Z101" s="204">
        <f t="shared" si="35"/>
        <v>23.329699999999999</v>
      </c>
      <c r="AA101" s="204">
        <f t="shared" si="36"/>
        <v>23.285499999999999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7"/>
        <v>0189-08</v>
      </c>
      <c r="AE101" s="80" t="str">
        <f t="shared" si="38"/>
        <v>aws s3 cp s3://rtdc.mdm.uploadarchive.raw/RTDC4004/ "%USERPROFILE%\AppData\Local\Temp\OnboardLogs"\RTDC4004\2017-06-08 --exclude "*" --recursive --include "*20170608*" &amp; "%USERPROFILE%\Documents\GitHub\mrs-test-scripts\Headless Mode &amp; Sideloading\WalkAndUnGZ.bat" "%USERPROFILE%\AppData\Local\Temp\OnboardLogs"\RTDC4004\2017-06-08 &amp; aws s3 cp s3://rtdc.mdm.uploadarchive.raw/RTDC4004/ "%USERPROFILE%\AppData\Local\Temp\OnboardLogs"\RTDC4004\2017-06-09 --exclude "*" --recursive --include "*20170609*" &amp; "%USERPROFILE%\Documents\GitHub\mrs-test-scripts\Headless Mode &amp; Sideloading\WalkAndUnGZ.bat" "%USERPROFILE%\AppData\Local\Temp\OnboardLogs"\RTDC4004\2017-06-09</v>
      </c>
      <c r="AF101" s="77" t="str">
        <f t="shared" si="39"/>
        <v>"C:\Program Files (x86)\AstroGrep\AstroGrep.exe" /e /r /s /spath="%USERPROFILE%\AppData\Local\Temp\OnboardLogs" /stypes="app*4004*20170608*" /stext=" 21:.+((SYSTEM_STATE.+slice.+state.+changed )|(ment ac)|(multiple cpu faults)|(system.+state.+changed )|(\[timeout)|(PRM\|1\|D)|(kpr)|(kdp)|(train st.+moving)|(\|lc)|(penalty))"</v>
      </c>
      <c r="AG101" s="1" t="str">
        <f t="shared" si="40"/>
        <v>EC</v>
      </c>
      <c r="AH101" s="81" t="str">
        <f t="shared" si="41"/>
        <v>"%USERPROFILE%\Documents\GitHub\eaglep3\Utilities\RefineRTDCRunTimes.py" --tripid 189-08 --locoid 4004 --swversion DE.1.0.9.0 --startMP 204:442 --initTime 2017-06-08T14:40:29 --startdatetime 2017-06-08T14:45:41 --delay 1 --endMP 204:233297 --enddatetime 2017-06-08T15:21:55 --enforcementcount 0 &gt;&gt;C:\Users\stu\Documents\GitHub\eaglep3-reporting\EC\2017-06-08-refined-times.txt</v>
      </c>
      <c r="AI101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{"issue":{"subject":"","project_id":79,"tracker_id":40,"status_id":1,"priority_id":2,"assigned_to_id":23,"start_date":"2017-06-08","description":"","custom_fields":[{"id":1,"name":"Subdivision","value":"EC"},{"id":4,"name":"Milepost","value":"23.3297"},{"id":17,"name":"Train ID","value":"189-08"},{"id":16,"name":"Locomotive ID","value":"4004"},{"id":130,"name":"Impact","value":""},{"id":150,"name":"Time of Event (Mountain Time)","value":"15:21:55"},{"id":151,"name":"Denver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3"/>
        <v>start /low /b %USERPROFILE%\Documents\GitHub\eaglep3\Utilities\DownloadLogsFromS3.py --loco 4004 --day 2017-06-08</v>
      </c>
      <c r="AN101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21:21:55"},{"id":29,"name":"Sharepoint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769</v>
      </c>
      <c r="B102" s="7">
        <v>4003</v>
      </c>
      <c r="C102" s="21" t="s">
        <v>204</v>
      </c>
      <c r="D102" s="21" t="s">
        <v>579</v>
      </c>
      <c r="E102" s="13">
        <v>42894.650439814817</v>
      </c>
      <c r="F102" s="13">
        <v>42894.654386574075</v>
      </c>
      <c r="G102" s="7">
        <v>1</v>
      </c>
      <c r="H102" s="21" t="s">
        <v>593</v>
      </c>
      <c r="I102" s="13">
        <v>42894.681585648148</v>
      </c>
      <c r="J102" s="7">
        <v>0</v>
      </c>
      <c r="K102" s="92" t="str">
        <f t="shared" si="26"/>
        <v>4003/4004</v>
      </c>
      <c r="L102" s="21" t="str">
        <f>VLOOKUP(A102,'Trips&amp;Operators'!$C$1:$G$99999,5,FALSE)</f>
        <v>STEWART MICHAEL</v>
      </c>
      <c r="M102" s="6">
        <f t="shared" si="27"/>
        <v>2.7199074072996154E-2</v>
      </c>
      <c r="N102" s="7">
        <f t="shared" si="28"/>
        <v>39.166666665114462</v>
      </c>
      <c r="O102" s="7"/>
      <c r="P102" s="7"/>
      <c r="Q102" s="22"/>
      <c r="R102" s="173"/>
      <c r="S102" s="176">
        <f t="shared" si="29"/>
        <v>1</v>
      </c>
      <c r="T102" s="202" t="str">
        <f t="shared" si="30"/>
        <v>Southbound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31"/>
        <v>https://d0f6bd738d7f1b3e5a7ca70fe4ff75f0.us-east-1.aws.found.io/app/kibana#/discover/Steve-Slow-Train-Analysis-(2080s-and-2083s)?_g=(refreshInterval:(display:Off,pause:!f,section:0,value:0),time:(from:'2017-06-08T14:36:38-0600',mode:absolute,to:'2017-06-08T17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2" s="204" t="str">
        <f t="shared" si="32"/>
        <v>N</v>
      </c>
      <c r="X102" s="204">
        <f t="shared" si="33"/>
        <v>1</v>
      </c>
      <c r="Y102" s="204">
        <f t="shared" si="34"/>
        <v>23.296900000000001</v>
      </c>
      <c r="Z102" s="204">
        <f t="shared" si="35"/>
        <v>1.6899999999999998E-2</v>
      </c>
      <c r="AA102" s="204">
        <f t="shared" si="36"/>
        <v>23.28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7"/>
        <v>0190-08</v>
      </c>
      <c r="AE102" s="80" t="str">
        <f t="shared" si="38"/>
        <v>aws s3 cp s3://rtdc.mdm.uploadarchive.raw/RTDC4003/ "%USERPROFILE%\AppData\Local\Temp\OnboardLogs"\RTDC4003\2017-06-08 --exclude "*" --recursive --include "*20170608*" &amp; "%USERPROFILE%\Documents\GitHub\mrs-test-scripts\Headless Mode &amp; Sideloading\WalkAndUnGZ.bat" "%USERPROFILE%\AppData\Local\Temp\OnboardLogs"\RTDC4003\2017-06-08 &amp; aws s3 cp s3://rtdc.mdm.uploadarchive.raw/RTDC4003/ "%USERPROFILE%\AppData\Local\Temp\OnboardLogs"\RTDC4003\2017-06-09 --exclude "*" --recursive --include "*20170609*" &amp; "%USERPROFILE%\Documents\GitHub\mrs-test-scripts\Headless Mode &amp; Sideloading\WalkAndUnGZ.bat" "%USERPROFILE%\AppData\Local\Temp\OnboardLogs"\RTDC4003\2017-06-09</v>
      </c>
      <c r="AF102" s="77" t="str">
        <f t="shared" si="39"/>
        <v>"C:\Program Files (x86)\AstroGrep\AstroGrep.exe" /e /r /s /spath="%USERPROFILE%\AppData\Local\Temp\OnboardLogs" /stypes="app*4003*20170608*" /stext=" 22:.+((SYSTEM_STATE.+slice.+state.+changed )|(ment ac)|(multiple cpu faults)|(system.+state.+changed )|(\[timeout)|(PRM\|1\|D)|(kpr)|(kdp)|(train st.+moving)|(\|lc)|(penalty))"</v>
      </c>
      <c r="AG102" s="1" t="str">
        <f t="shared" si="40"/>
        <v>EC</v>
      </c>
      <c r="AH102" s="81" t="str">
        <f t="shared" si="41"/>
        <v>"%USERPROFILE%\Documents\GitHub\eaglep3\Utilities\RefineRTDCRunTimes.py" --tripid 190-08 --locoid 4003 --swversion DE.1.0.9.0 --startMP 204:232969 --initTime 2017-06-08T15:36:38 --startdatetime 2017-06-08T15:42:19 --delay 1 --endMP 204:169 --enddatetime 2017-06-08T16:21:29 --enforcementcount 0 &gt;&gt;C:\Users\stu\Documents\GitHub\eaglep3-reporting\EC\2017-06-08-refined-times.txt</v>
      </c>
      <c r="AI102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{"issue":{"subject":"","project_id":79,"tracker_id":40,"status_id":1,"priority_id":2,"assigned_to_id":23,"start_date":"2017-06-08","description":"","custom_fields":[{"id":1,"name":"Subdivision","value":"EC"},{"id":4,"name":"Milepost","value":"0.0169"},{"id":17,"name":"Train ID","value":"190-08"},{"id":16,"name":"Locomotive ID","value":"4003"},{"id":130,"name":"Impact","value":""},{"id":150,"name":"Time of Event (Mountain Time)","value":"16:21:29"},{"id":151,"name":"Denver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3"/>
        <v>start /low /b %USERPROFILE%\Documents\GitHub\eaglep3\Utilities\DownloadLogsFromS3.py --loco 4003 --day 2017-06-08</v>
      </c>
      <c r="AN102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22:21:29"},{"id":29,"name":"Sharepoint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761</v>
      </c>
      <c r="B103" s="7">
        <v>4002</v>
      </c>
      <c r="C103" s="21" t="s">
        <v>204</v>
      </c>
      <c r="D103" s="21" t="s">
        <v>479</v>
      </c>
      <c r="E103" s="13">
        <v>42894.619375000002</v>
      </c>
      <c r="F103" s="13">
        <v>42894.625671296293</v>
      </c>
      <c r="G103" s="7">
        <v>1</v>
      </c>
      <c r="H103" s="21" t="s">
        <v>535</v>
      </c>
      <c r="I103" s="13">
        <v>42894.649884259263</v>
      </c>
      <c r="J103" s="7">
        <v>0</v>
      </c>
      <c r="K103" s="92" t="str">
        <f t="shared" si="26"/>
        <v>4001/4002</v>
      </c>
      <c r="L103" s="21" t="str">
        <f>VLOOKUP(A103,'Trips&amp;Operators'!$C$1:$G$99999,5,FALSE)</f>
        <v>YORK EDGAR</v>
      </c>
      <c r="M103" s="6">
        <f t="shared" si="27"/>
        <v>2.4212962969613727E-2</v>
      </c>
      <c r="N103" s="7">
        <f t="shared" si="28"/>
        <v>34.866666676243767</v>
      </c>
      <c r="O103" s="7"/>
      <c r="P103" s="7"/>
      <c r="Q103" s="22"/>
      <c r="R103" s="173"/>
      <c r="S103" s="176">
        <f t="shared" si="29"/>
        <v>1</v>
      </c>
      <c r="T103" s="202" t="str">
        <f t="shared" si="30"/>
        <v>NorthBound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31"/>
        <v>https://d0f6bd738d7f1b3e5a7ca70fe4ff75f0.us-east-1.aws.found.io/app/kibana#/discover/Steve-Slow-Train-Analysis-(2080s-and-2083s)?_g=(refreshInterval:(display:Off,pause:!f,section:0,value:0),time:(from:'2017-06-08T13:51:54-0600',mode:absolute,to:'2017-06-08T16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3" s="204" t="str">
        <f t="shared" si="32"/>
        <v>N</v>
      </c>
      <c r="X103" s="204">
        <f t="shared" si="33"/>
        <v>1</v>
      </c>
      <c r="Y103" s="204">
        <f t="shared" si="34"/>
        <v>4.3700000000000003E-2</v>
      </c>
      <c r="Z103" s="204">
        <f t="shared" si="35"/>
        <v>23.328700000000001</v>
      </c>
      <c r="AA103" s="204">
        <f t="shared" si="36"/>
        <v>23.285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7"/>
        <v>0191-08</v>
      </c>
      <c r="AE103" s="80" t="str">
        <f t="shared" si="38"/>
        <v>aws s3 cp s3://rtdc.mdm.uploadarchive.raw/RTDC4002/ "%USERPROFILE%\AppData\Local\Temp\OnboardLogs"\RTDC4002\2017-06-08 --exclude "*" --recursive --include "*20170608*" &amp; "%USERPROFILE%\Documents\GitHub\mrs-test-scripts\Headless Mode &amp; Sideloading\WalkAndUnGZ.bat" "%USERPROFILE%\AppData\Local\Temp\OnboardLogs"\RTDC4002\2017-06-08 &amp; aws s3 cp s3://rtdc.mdm.uploadarchive.raw/RTDC4002/ "%USERPROFILE%\AppData\Local\Temp\OnboardLogs"\RTDC4002\2017-06-09 --exclude "*" --recursive --include "*20170609*" &amp; "%USERPROFILE%\Documents\GitHub\mrs-test-scripts\Headless Mode &amp; Sideloading\WalkAndUnGZ.bat" "%USERPROFILE%\AppData\Local\Temp\OnboardLogs"\RTDC4002\2017-06-09</v>
      </c>
      <c r="AF103" s="77" t="str">
        <f t="shared" si="39"/>
        <v>"C:\Program Files (x86)\AstroGrep\AstroGrep.exe" /e /r /s /spath="%USERPROFILE%\AppData\Local\Temp\OnboardLogs" /stypes="app*4002*20170608*" /stext=" 21:.+((SYSTEM_STATE.+slice.+state.+changed )|(ment ac)|(multiple cpu faults)|(system.+state.+changed )|(\[timeout)|(PRM\|1\|D)|(kpr)|(kdp)|(train st.+moving)|(\|lc)|(penalty))"</v>
      </c>
      <c r="AG103" s="1" t="str">
        <f t="shared" si="40"/>
        <v>EC</v>
      </c>
      <c r="AH103" s="81" t="str">
        <f t="shared" si="41"/>
        <v>"%USERPROFILE%\Documents\GitHub\eaglep3\Utilities\RefineRTDCRunTimes.py" --tripid 191-08 --locoid 4002 --swversion DE.1.0.9.0 --startMP 204:437 --initTime 2017-06-08T14:51:54 --startdatetime 2017-06-08T15:00:58 --delay 1 --endMP 204:233287 --enddatetime 2017-06-08T15:35:50 --enforcementcount 0 &gt;&gt;C:\Users\stu\Documents\GitHub\eaglep3-reporting\EC\2017-06-08-refined-times.txt</v>
      </c>
      <c r="AI103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{"issue":{"subject":"","project_id":79,"tracker_id":40,"status_id":1,"priority_id":2,"assigned_to_id":23,"start_date":"2017-06-08","description":"","custom_fields":[{"id":1,"name":"Subdivision","value":"EC"},{"id":4,"name":"Milepost","value":"23.3287"},{"id":17,"name":"Train ID","value":"191-08"},{"id":16,"name":"Locomotive ID","value":"4002"},{"id":130,"name":"Impact","value":""},{"id":150,"name":"Time of Event (Mountain Time)","value":"15:35:50"},{"id":151,"name":"Denver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3"/>
        <v>start /low /b %USERPROFILE%\Documents\GitHub\eaglep3\Utilities\DownloadLogsFromS3.py --loco 4002 --day 2017-06-08</v>
      </c>
      <c r="AN103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21:35:50"},{"id":29,"name":"Sharepoint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768</v>
      </c>
      <c r="B104" s="7">
        <v>4001</v>
      </c>
      <c r="C104" s="21" t="s">
        <v>204</v>
      </c>
      <c r="D104" s="21" t="s">
        <v>430</v>
      </c>
      <c r="E104" s="13">
        <v>42894.650810185187</v>
      </c>
      <c r="F104" s="13">
        <v>42894.665289351855</v>
      </c>
      <c r="G104" s="7">
        <v>1</v>
      </c>
      <c r="H104" s="21" t="s">
        <v>361</v>
      </c>
      <c r="I104" s="13">
        <v>42894.690752314818</v>
      </c>
      <c r="J104" s="7">
        <v>0</v>
      </c>
      <c r="K104" s="92" t="str">
        <f t="shared" si="26"/>
        <v>4001/4002</v>
      </c>
      <c r="L104" s="21" t="str">
        <f>VLOOKUP(A104,'Trips&amp;Operators'!$C$1:$G$99999,5,FALSE)</f>
        <v>YORK EDGAR</v>
      </c>
      <c r="M104" s="6">
        <f t="shared" si="27"/>
        <v>2.5462962963501923E-2</v>
      </c>
      <c r="N104" s="7">
        <f t="shared" si="28"/>
        <v>36.666666667442769</v>
      </c>
      <c r="O104" s="7"/>
      <c r="P104" s="7"/>
      <c r="Q104" s="22"/>
      <c r="R104" s="173"/>
      <c r="S104" s="176">
        <f t="shared" si="29"/>
        <v>1</v>
      </c>
      <c r="T104" s="202" t="str">
        <f t="shared" si="30"/>
        <v>Southbound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 t="shared" si="31"/>
        <v>https://d0f6bd738d7f1b3e5a7ca70fe4ff75f0.us-east-1.aws.found.io/app/kibana#/discover/Steve-Slow-Train-Analysis-(2080s-and-2083s)?_g=(refreshInterval:(display:Off,pause:!f,section:0,value:0),time:(from:'2017-06-08T14:37:10-0600',mode:absolute,to:'2017-06-08T17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4" s="204" t="str">
        <f t="shared" si="32"/>
        <v>N</v>
      </c>
      <c r="X104" s="204">
        <f t="shared" si="33"/>
        <v>1</v>
      </c>
      <c r="Y104" s="204">
        <f t="shared" si="34"/>
        <v>23.297699999999999</v>
      </c>
      <c r="Z104" s="204">
        <f t="shared" si="35"/>
        <v>1.3899999999999999E-2</v>
      </c>
      <c r="AA104" s="204">
        <f t="shared" si="36"/>
        <v>23.283799999999999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7"/>
        <v>0192-08</v>
      </c>
      <c r="AE104" s="80" t="str">
        <f t="shared" si="38"/>
        <v>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 &amp; aws s3 cp s3://rtdc.mdm.uploadarchive.raw/RTDC4001/ "%USERPROFILE%\AppData\Local\Temp\OnboardLogs"\RTDC4001\2017-06-09 --exclude "*" --recursive --include "*20170609*" &amp; "%USERPROFILE%\Documents\GitHub\mrs-test-scripts\Headless Mode &amp; Sideloading\WalkAndUnGZ.bat" "%USERPROFILE%\AppData\Local\Temp\OnboardLogs"\RTDC4001\2017-06-09</v>
      </c>
      <c r="AF104" s="77" t="str">
        <f t="shared" si="39"/>
        <v>"C:\Program Files (x86)\AstroGrep\AstroGrep.exe" /e /r /s /spath="%USERPROFILE%\AppData\Local\Temp\OnboardLogs" /stypes="app*4001*20170608*" /stext=" 22:.+((SYSTEM_STATE.+slice.+state.+changed )|(ment ac)|(multiple cpu faults)|(system.+state.+changed )|(\[timeout)|(PRM\|1\|D)|(kpr)|(kdp)|(train st.+moving)|(\|lc)|(penalty))"</v>
      </c>
      <c r="AG104" s="1" t="str">
        <f t="shared" si="40"/>
        <v>EC</v>
      </c>
      <c r="AH104" s="81" t="str">
        <f t="shared" si="41"/>
        <v>"%USERPROFILE%\Documents\GitHub\eaglep3\Utilities\RefineRTDCRunTimes.py" --tripid 192-08 --locoid 4001 --swversion DE.1.0.9.0 --startMP 204:232977 --initTime 2017-06-08T15:37:10 --startdatetime 2017-06-08T15:58:01 --delay 1 --endMP 204:139 --enddatetime 2017-06-08T16:34:41 --enforcementcount 0 &gt;&gt;C:\Users\stu\Documents\GitHub\eaglep3-reporting\EC\2017-06-08-refined-times.txt</v>
      </c>
      <c r="AI104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{"issue":{"subject":"","project_id":79,"tracker_id":40,"status_id":1,"priority_id":2,"assigned_to_id":23,"start_date":"2017-06-08","description":"","custom_fields":[{"id":1,"name":"Subdivision","value":"EC"},{"id":4,"name":"Milepost","value":"0.0139"},{"id":17,"name":"Train ID","value":"192-08"},{"id":16,"name":"Locomotive ID","value":"4001"},{"id":130,"name":"Impact","value":""},{"id":150,"name":"Time of Event (Mountain Time)","value":"16:34:41"},{"id":151,"name":"Denver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3"/>
        <v>start /low /b %USERPROFILE%\Documents\GitHub\eaglep3\Utilities\DownloadLogsFromS3.py --loco 4001 --day 2017-06-08</v>
      </c>
      <c r="AN104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22:34:41"},{"id":29,"name":"Sharepoint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763</v>
      </c>
      <c r="B105" s="7">
        <v>4030</v>
      </c>
      <c r="C105" s="21" t="s">
        <v>204</v>
      </c>
      <c r="D105" s="21" t="s">
        <v>876</v>
      </c>
      <c r="E105" s="13">
        <v>42894.633229166669</v>
      </c>
      <c r="F105" s="13">
        <v>42894.635636574072</v>
      </c>
      <c r="G105" s="7">
        <v>1</v>
      </c>
      <c r="H105" s="21" t="s">
        <v>583</v>
      </c>
      <c r="I105" s="13">
        <v>42894.660717592589</v>
      </c>
      <c r="J105" s="7">
        <v>0</v>
      </c>
      <c r="K105" s="92" t="str">
        <f t="shared" si="26"/>
        <v>4029/4030</v>
      </c>
      <c r="L105" s="21" t="str">
        <f>VLOOKUP(A105,'Trips&amp;Operators'!$C$1:$G$99999,5,FALSE)</f>
        <v>LEVIN SCOTT</v>
      </c>
      <c r="M105" s="6">
        <f t="shared" si="27"/>
        <v>2.5081018517084885E-2</v>
      </c>
      <c r="N105" s="7">
        <f t="shared" si="28"/>
        <v>36.116666664602235</v>
      </c>
      <c r="O105" s="7"/>
      <c r="P105" s="7"/>
      <c r="Q105" s="22"/>
      <c r="R105" s="173"/>
      <c r="S105" s="176">
        <f t="shared" si="29"/>
        <v>1</v>
      </c>
      <c r="T105" s="202" t="str">
        <f t="shared" si="30"/>
        <v>NorthBound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 t="shared" si="31"/>
        <v>https://d0f6bd738d7f1b3e5a7ca70fe4ff75f0.us-east-1.aws.found.io/app/kibana#/discover/Steve-Slow-Train-Analysis-(2080s-and-2083s)?_g=(refreshInterval:(display:Off,pause:!f,section:0,value:0),time:(from:'2017-06-08T14:11:51-0600',mode:absolute,to:'2017-06-08T16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5" s="204" t="str">
        <f t="shared" si="32"/>
        <v>N</v>
      </c>
      <c r="X105" s="204">
        <f t="shared" si="33"/>
        <v>1</v>
      </c>
      <c r="Y105" s="204">
        <f t="shared" si="34"/>
        <v>4.24E-2</v>
      </c>
      <c r="Z105" s="204">
        <f t="shared" si="35"/>
        <v>23.338200000000001</v>
      </c>
      <c r="AA105" s="204">
        <f t="shared" si="36"/>
        <v>23.2958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7"/>
        <v>0193-08</v>
      </c>
      <c r="AE105" s="80" t="str">
        <f t="shared" si="38"/>
        <v>aws s3 cp s3://rtdc.mdm.uploadarchive.raw/RTDC4030/ "%USERPROFILE%\AppData\Local\Temp\OnboardLogs"\RTDC4030\2017-06-08 --exclude "*" --recursive --include "*20170608*" &amp; "%USERPROFILE%\Documents\GitHub\mrs-test-scripts\Headless Mode &amp; Sideloading\WalkAndUnGZ.bat" "%USERPROFILE%\AppData\Local\Temp\OnboardLogs"\RTDC4030\2017-06-08 &amp; 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</v>
      </c>
      <c r="AF105" s="77" t="str">
        <f t="shared" si="39"/>
        <v>"C:\Program Files (x86)\AstroGrep\AstroGrep.exe" /e /r /s /spath="%USERPROFILE%\AppData\Local\Temp\OnboardLogs" /stypes="app*4030*20170608*" /stext=" 21:.+((SYSTEM_STATE.+slice.+state.+changed )|(ment ac)|(multiple cpu faults)|(system.+state.+changed )|(\[timeout)|(PRM\|1\|D)|(kpr)|(kdp)|(train st.+moving)|(\|lc)|(penalty))"</v>
      </c>
      <c r="AG105" s="1" t="str">
        <f t="shared" si="40"/>
        <v>EC</v>
      </c>
      <c r="AH105" s="81" t="str">
        <f t="shared" si="41"/>
        <v>"%USERPROFILE%\Documents\GitHub\eaglep3\Utilities\RefineRTDCRunTimes.py" --tripid 193-08 --locoid 4030 --swversion DE.1.0.9.0 --startMP 204:424 --initTime 2017-06-08T15:11:51 --startdatetime 2017-06-08T15:15:19 --delay 1 --endMP 204:233382 --enddatetime 2017-06-08T15:51:26 --enforcementcount 0 &gt;&gt;C:\Users\stu\Documents\GitHub\eaglep3-reporting\EC\2017-06-08-refined-times.txt</v>
      </c>
      <c r="AI105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{"issue":{"subject":"","project_id":79,"tracker_id":40,"status_id":1,"priority_id":2,"assigned_to_id":23,"start_date":"2017-06-08","description":"","custom_fields":[{"id":1,"name":"Subdivision","value":"EC"},{"id":4,"name":"Milepost","value":"23.3382"},{"id":17,"name":"Train ID","value":"193-08"},{"id":16,"name":"Locomotive ID","value":"4030"},{"id":130,"name":"Impact","value":""},{"id":150,"name":"Time of Event (Mountain Time)","value":"15:51:26"},{"id":151,"name":"Denver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3"/>
        <v>start /low /b %USERPROFILE%\Documents\GitHub\eaglep3\Utilities\DownloadLogsFromS3.py --loco 4030 --day 2017-06-08</v>
      </c>
      <c r="AN105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21:51:26"},{"id":29,"name":"Sharepoint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2" t="s">
        <v>633</v>
      </c>
      <c r="B106" s="7">
        <v>4029</v>
      </c>
      <c r="C106" s="21" t="s">
        <v>204</v>
      </c>
      <c r="D106" s="21" t="s">
        <v>877</v>
      </c>
      <c r="E106" s="13">
        <v>42894.673159722224</v>
      </c>
      <c r="F106" s="13">
        <v>42894.67523148148</v>
      </c>
      <c r="G106" s="7">
        <v>1</v>
      </c>
      <c r="H106" s="21" t="s">
        <v>534</v>
      </c>
      <c r="I106" s="13">
        <v>42894.702164351853</v>
      </c>
      <c r="J106" s="7">
        <v>0</v>
      </c>
      <c r="K106" s="92" t="str">
        <f t="shared" si="26"/>
        <v>4029/4030</v>
      </c>
      <c r="L106" s="21" t="str">
        <f>VLOOKUP(A106,'Trips&amp;Operators'!$C$1:$G$99999,5,FALSE)</f>
        <v>LEVIN SCOTT</v>
      </c>
      <c r="M106" s="6">
        <f t="shared" si="27"/>
        <v>2.6932870372547768E-2</v>
      </c>
      <c r="N106" s="7">
        <f t="shared" si="28"/>
        <v>38.783333336468786</v>
      </c>
      <c r="O106" s="7"/>
      <c r="P106" s="7"/>
      <c r="Q106" s="22"/>
      <c r="R106" s="173"/>
      <c r="S106" s="176">
        <f t="shared" si="29"/>
        <v>1</v>
      </c>
      <c r="T106" s="202" t="str">
        <f t="shared" si="30"/>
        <v>Southbound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31"/>
        <v>https://d0f6bd738d7f1b3e5a7ca70fe4ff75f0.us-east-1.aws.found.io/app/kibana#/discover/Steve-Slow-Train-Analysis-(2080s-and-2083s)?_g=(refreshInterval:(display:Off,pause:!f,section:0,value:0),time:(from:'2017-06-08T15:09:21-0600',mode:absolute,to:'2017-06-08T17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6" s="204" t="str">
        <f t="shared" si="32"/>
        <v>N</v>
      </c>
      <c r="X106" s="204">
        <f t="shared" si="33"/>
        <v>1</v>
      </c>
      <c r="Y106" s="204">
        <f t="shared" si="34"/>
        <v>23.304400000000001</v>
      </c>
      <c r="Z106" s="204">
        <f t="shared" si="35"/>
        <v>1.3599999999999999E-2</v>
      </c>
      <c r="AA106" s="204">
        <f t="shared" si="36"/>
        <v>23.290800000000001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7"/>
        <v>0194-08</v>
      </c>
      <c r="AE106" s="80" t="str">
        <f t="shared" si="38"/>
        <v>aws s3 cp s3://rtdc.mdm.uploadarchive.raw/RTDC4029/ "%USERPROFILE%\AppData\Local\Temp\OnboardLogs"\RTDC4029\2017-06-08 --exclude "*" --recursive --include "*20170608*" &amp; "%USERPROFILE%\Documents\GitHub\mrs-test-scripts\Headless Mode &amp; Sideloading\WalkAndUnGZ.bat" "%USERPROFILE%\AppData\Local\Temp\OnboardLogs"\RTDC4029\2017-06-08 &amp; 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</v>
      </c>
      <c r="AF106" s="77" t="str">
        <f t="shared" si="39"/>
        <v>"C:\Program Files (x86)\AstroGrep\AstroGrep.exe" /e /r /s /spath="%USERPROFILE%\AppData\Local\Temp\OnboardLogs" /stypes="app*4029*20170608*" /stext=" 22:.+((SYSTEM_STATE.+slice.+state.+changed )|(ment ac)|(multiple cpu faults)|(system.+state.+changed )|(\[timeout)|(PRM\|1\|D)|(kpr)|(kdp)|(train st.+moving)|(\|lc)|(penalty))"</v>
      </c>
      <c r="AG106" s="1" t="str">
        <f t="shared" si="40"/>
        <v>EC</v>
      </c>
      <c r="AH106" s="81" t="str">
        <f t="shared" si="41"/>
        <v>"%USERPROFILE%\Documents\GitHub\eaglep3\Utilities\RefineRTDCRunTimes.py" --tripid 194-08 --locoid 4029 --swversion DE.1.0.9.0 --startMP 204:233044 --initTime 2017-06-08T16:09:21 --startdatetime 2017-06-08T16:12:20 --delay 1 --endMP 204:136 --enddatetime 2017-06-08T16:51:07 --enforcementcount 0 &gt;&gt;C:\Users\stu\Documents\GitHub\eaglep3-reporting\EC\2017-06-08-refined-times.txt</v>
      </c>
      <c r="AI106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{"issue":{"subject":"","project_id":79,"tracker_id":40,"status_id":1,"priority_id":2,"assigned_to_id":23,"start_date":"2017-06-08","description":"","custom_fields":[{"id":1,"name":"Subdivision","value":"EC"},{"id":4,"name":"Milepost","value":"0.0136"},{"id":17,"name":"Train ID","value":"194-08"},{"id":16,"name":"Locomotive ID","value":"4029"},{"id":130,"name":"Impact","value":""},{"id":150,"name":"Time of Event (Mountain Time)","value":"16:51:07"},{"id":151,"name":"Denver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20"/>
      <c r="AK106" s="47"/>
      <c r="AL106" s="47"/>
      <c r="AM106" s="145" t="str">
        <f t="shared" si="43"/>
        <v>start /low /b %USERPROFILE%\Documents\GitHub\eaglep3\Utilities\DownloadLogsFromS3.py --loco 4029 --day 2017-06-08</v>
      </c>
      <c r="AN106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22:51:07"},{"id":29,"name":"Sharepoint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7" spans="1:91" s="20" customFormat="1" x14ac:dyDescent="0.25">
      <c r="A107" s="32" t="s">
        <v>765</v>
      </c>
      <c r="B107" s="7">
        <v>4022</v>
      </c>
      <c r="C107" s="21" t="s">
        <v>204</v>
      </c>
      <c r="D107" s="21" t="s">
        <v>345</v>
      </c>
      <c r="E107" s="13">
        <v>42894.640949074077</v>
      </c>
      <c r="F107" s="13">
        <v>42894.64607638889</v>
      </c>
      <c r="G107" s="7">
        <v>1</v>
      </c>
      <c r="H107" s="21" t="s">
        <v>878</v>
      </c>
      <c r="I107" s="13">
        <v>42894.67082175926</v>
      </c>
      <c r="J107" s="7">
        <v>0</v>
      </c>
      <c r="K107" s="92" t="str">
        <f t="shared" si="26"/>
        <v>4021/4022</v>
      </c>
      <c r="L107" s="21" t="str">
        <f>VLOOKUP(A107,'Trips&amp;Operators'!$C$1:$G$99999,5,FALSE)</f>
        <v>DELGADO DIANAH</v>
      </c>
      <c r="M107" s="6">
        <f t="shared" si="27"/>
        <v>2.47453703705105E-2</v>
      </c>
      <c r="N107" s="7">
        <f t="shared" si="28"/>
        <v>35.63333333353512</v>
      </c>
      <c r="O107" s="7"/>
      <c r="P107" s="7"/>
      <c r="Q107" s="22"/>
      <c r="R107" s="173"/>
      <c r="S107" s="176">
        <f t="shared" si="29"/>
        <v>1</v>
      </c>
      <c r="T107" s="202" t="str">
        <f t="shared" si="30"/>
        <v>NorthBound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 t="shared" si="31"/>
        <v>https://d0f6bd738d7f1b3e5a7ca70fe4ff75f0.us-east-1.aws.found.io/app/kibana#/discover/Steve-Slow-Train-Analysis-(2080s-and-2083s)?_g=(refreshInterval:(display:Off,pause:!f,section:0,value:0),time:(from:'2017-06-08T14:22:58-0600',mode:absolute,to:'2017-06-08T17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7" s="204" t="str">
        <f t="shared" si="32"/>
        <v>N</v>
      </c>
      <c r="X107" s="204">
        <f t="shared" si="33"/>
        <v>1</v>
      </c>
      <c r="Y107" s="204">
        <f t="shared" si="34"/>
        <v>4.4900000000000002E-2</v>
      </c>
      <c r="Z107" s="204">
        <f t="shared" si="35"/>
        <v>23.3368</v>
      </c>
      <c r="AA107" s="204">
        <f t="shared" si="36"/>
        <v>23.291900000000002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7"/>
        <v>0195-08</v>
      </c>
      <c r="AE107" s="80" t="str">
        <f t="shared" si="38"/>
        <v>aws s3 cp s3://rtdc.mdm.uploadarchive.raw/RTDC4022/ "%USERPROFILE%\AppData\Local\Temp\OnboardLogs"\RTDC4022\2017-06-08 --exclude "*" --recursive --include "*20170608*" &amp; "%USERPROFILE%\Documents\GitHub\mrs-test-scripts\Headless Mode &amp; Sideloading\WalkAndUnGZ.bat" "%USERPROFILE%\AppData\Local\Temp\OnboardLogs"\RTDC4022\2017-06-08 &amp; 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</v>
      </c>
      <c r="AF107" s="77" t="str">
        <f t="shared" si="39"/>
        <v>"C:\Program Files (x86)\AstroGrep\AstroGrep.exe" /e /r /s /spath="%USERPROFILE%\AppData\Local\Temp\OnboardLogs" /stypes="app*4022*20170608*" /stext=" 22:.+((SYSTEM_STATE.+slice.+state.+changed )|(ment ac)|(multiple cpu faults)|(system.+state.+changed )|(\[timeout)|(PRM\|1\|D)|(kpr)|(kdp)|(train st.+moving)|(\|lc)|(penalty))"</v>
      </c>
      <c r="AG107" s="1" t="str">
        <f t="shared" si="40"/>
        <v>EC</v>
      </c>
      <c r="AH107" s="81" t="str">
        <f t="shared" si="41"/>
        <v>"%USERPROFILE%\Documents\GitHub\eaglep3\Utilities\RefineRTDCRunTimes.py" --tripid 195-08 --locoid 4022 --swversion DE.1.0.9.0 --startMP 204:449 --initTime 2017-06-08T15:22:58 --startdatetime 2017-06-08T15:30:21 --delay 1 --endMP 204:233368 --enddatetime 2017-06-08T16:05:59 --enforcementcount 0 &gt;&gt;C:\Users\stu\Documents\GitHub\eaglep3-reporting\EC\2017-06-08-refined-times.txt</v>
      </c>
      <c r="AI107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{"issue":{"subject":"","project_id":79,"tracker_id":40,"status_id":1,"priority_id":2,"assigned_to_id":23,"start_date":"2017-06-08","description":"","custom_fields":[{"id":1,"name":"Subdivision","value":"EC"},{"id":4,"name":"Milepost","value":"23.3368"},{"id":17,"name":"Train ID","value":"195-08"},{"id":16,"name":"Locomotive ID","value":"4022"},{"id":130,"name":"Impact","value":""},{"id":150,"name":"Time of Event (Mountain Time)","value":"16:05:59"},{"id":151,"name":"Denver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3"/>
        <v>start /low /b %USERPROFILE%\Documents\GitHub\eaglep3\Utilities\DownloadLogsFromS3.py --loco 4022 --day 2017-06-08</v>
      </c>
      <c r="AN107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22:05:59"},{"id":29,"name":"Sharepoint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634</v>
      </c>
      <c r="B108" s="7">
        <v>4021</v>
      </c>
      <c r="C108" s="21" t="s">
        <v>204</v>
      </c>
      <c r="D108" s="21" t="s">
        <v>879</v>
      </c>
      <c r="E108" s="13">
        <v>42894.680590277778</v>
      </c>
      <c r="F108" s="13">
        <v>42894.685567129629</v>
      </c>
      <c r="G108" s="7">
        <v>0</v>
      </c>
      <c r="H108" s="21" t="s">
        <v>534</v>
      </c>
      <c r="I108" s="13">
        <v>42894.711562500001</v>
      </c>
      <c r="J108" s="7">
        <v>0</v>
      </c>
      <c r="K108" s="92" t="str">
        <f t="shared" si="26"/>
        <v>4021/4022</v>
      </c>
      <c r="L108" s="21" t="str">
        <f>VLOOKUP(A108,'Trips&amp;Operators'!$C$1:$G$99999,5,FALSE)</f>
        <v>DELGADO DIANAH</v>
      </c>
      <c r="M108" s="6">
        <f t="shared" si="27"/>
        <v>2.5995370371674653E-2</v>
      </c>
      <c r="N108" s="7">
        <f t="shared" si="28"/>
        <v>37.433333335211501</v>
      </c>
      <c r="O108" s="7"/>
      <c r="P108" s="7"/>
      <c r="Q108" s="22"/>
      <c r="R108" s="173"/>
      <c r="S108" s="176">
        <f t="shared" si="29"/>
        <v>1</v>
      </c>
      <c r="T108" s="202" t="str">
        <f t="shared" si="30"/>
        <v>Southbound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 t="shared" si="31"/>
        <v>https://d0f6bd738d7f1b3e5a7ca70fe4ff75f0.us-east-1.aws.found.io/app/kibana#/discover/Steve-Slow-Train-Analysis-(2080s-and-2083s)?_g=(refreshInterval:(display:Off,pause:!f,section:0,value:0),time:(from:'2017-06-08T15:20:03-0600',mode:absolute,to:'2017-06-08T18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8" s="204" t="str">
        <f t="shared" si="32"/>
        <v>N</v>
      </c>
      <c r="X108" s="204">
        <f t="shared" si="33"/>
        <v>1</v>
      </c>
      <c r="Y108" s="204">
        <f t="shared" si="34"/>
        <v>23.308700000000002</v>
      </c>
      <c r="Z108" s="204">
        <f t="shared" si="35"/>
        <v>1.3599999999999999E-2</v>
      </c>
      <c r="AA108" s="204">
        <f t="shared" si="36"/>
        <v>23.295100000000001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7"/>
        <v>0196-08</v>
      </c>
      <c r="AE108" s="80" t="str">
        <f t="shared" si="38"/>
        <v>aws s3 cp s3://rtdc.mdm.uploadarchive.raw/RTDC4021/ "%USERPROFILE%\AppData\Local\Temp\OnboardLogs"\RTDC4021\2017-06-08 --exclude "*" --recursive --include "*20170608*" &amp; "%USERPROFILE%\Documents\GitHub\mrs-test-scripts\Headless Mode &amp; Sideloading\WalkAndUnGZ.bat" "%USERPROFILE%\AppData\Local\Temp\OnboardLogs"\RTDC4021\2017-06-08 &amp; 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</v>
      </c>
      <c r="AF108" s="77" t="str">
        <f t="shared" si="39"/>
        <v>"C:\Program Files (x86)\AstroGrep\AstroGrep.exe" /e /r /s /spath="%USERPROFILE%\AppData\Local\Temp\OnboardLogs" /stypes="app*4021*20170608*" /stext=" 23:.+((SYSTEM_STATE.+slice.+state.+changed )|(ment ac)|(multiple cpu faults)|(system.+state.+changed )|(\[timeout)|(PRM\|1\|D)|(kpr)|(kdp)|(train st.+moving)|(\|lc)|(penalty))"</v>
      </c>
      <c r="AG108" s="1" t="str">
        <f t="shared" si="40"/>
        <v>EC</v>
      </c>
      <c r="AH108" s="81" t="str">
        <f t="shared" si="41"/>
        <v>"%USERPROFILE%\Documents\GitHub\eaglep3\Utilities\RefineRTDCRunTimes.py" --tripid 196-08 --locoid 4021 --swversion DE.1.0.9.0 --startMP 204:233087 --initTime 2017-06-08T16:20:03 --startdatetime 2017-06-08T16:27:13 --delay 0 --endMP 204:136 --enddatetime 2017-06-08T17:04:39 --enforcementcount 0 &gt;&gt;C:\Users\stu\Documents\GitHub\eaglep3-reporting\EC\2017-06-08-refined-times.txt</v>
      </c>
      <c r="AI108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{"issue":{"subject":"","project_id":79,"tracker_id":40,"status_id":1,"priority_id":2,"assigned_to_id":23,"start_date":"2017-06-08","description":"","custom_fields":[{"id":1,"name":"Subdivision","value":"EC"},{"id":4,"name":"Milepost","value":"0.0136"},{"id":17,"name":"Train ID","value":"196-08"},{"id":16,"name":"Locomotive ID","value":"4021"},{"id":130,"name":"Impact","value":""},{"id":150,"name":"Time of Event (Mountain Time)","value":"17:04:39"},{"id":151,"name":"Denver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3"/>
        <v>start /low /b %USERPROFILE%\Documents\GitHub\eaglep3\Utilities\DownloadLogsFromS3.py --loco 4021 --day 2017-06-08</v>
      </c>
      <c r="AN108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23:04:39"},{"id":29,"name":"Sharepoint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771</v>
      </c>
      <c r="B109" s="7">
        <v>4044</v>
      </c>
      <c r="C109" s="21" t="s">
        <v>204</v>
      </c>
      <c r="D109" s="21" t="s">
        <v>880</v>
      </c>
      <c r="E109" s="13">
        <v>42894.653333333335</v>
      </c>
      <c r="F109" s="13">
        <v>42894.657962962963</v>
      </c>
      <c r="G109" s="7">
        <v>1</v>
      </c>
      <c r="H109" s="21" t="s">
        <v>881</v>
      </c>
      <c r="I109" s="13">
        <v>42894.68372685185</v>
      </c>
      <c r="J109" s="7">
        <v>0</v>
      </c>
      <c r="K109" s="92" t="str">
        <f t="shared" si="26"/>
        <v>4043/4044</v>
      </c>
      <c r="L109" s="21" t="str">
        <f>VLOOKUP(A109,'Trips&amp;Operators'!$C$1:$G$99999,5,FALSE)</f>
        <v>BERLING GARY</v>
      </c>
      <c r="M109" s="6">
        <f t="shared" si="27"/>
        <v>2.5763888887013309E-2</v>
      </c>
      <c r="N109" s="7">
        <f t="shared" ref="N109:N136" si="45">24*60*SUM($M109:$M109)</f>
        <v>37.099999997299165</v>
      </c>
      <c r="O109" s="7"/>
      <c r="P109" s="7"/>
      <c r="Q109" s="22"/>
      <c r="R109" s="173"/>
      <c r="S109" s="176">
        <f t="shared" ref="S109:S136" si="46">SUM(U109:U109)/IF(AG109="EC",12,1)</f>
        <v>1</v>
      </c>
      <c r="T109" s="202" t="str">
        <f t="shared" si="30"/>
        <v>NorthBound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 t="shared" si="31"/>
        <v>https://d0f6bd738d7f1b3e5a7ca70fe4ff75f0.us-east-1.aws.found.io/app/kibana#/discover/Steve-Slow-Train-Analysis-(2080s-and-2083s)?_g=(refreshInterval:(display:Off,pause:!f,section:0,value:0),time:(from:'2017-06-08T14:40:48-0600',mode:absolute,to:'2017-06-08T17:24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9" s="204" t="str">
        <f t="shared" si="32"/>
        <v>N</v>
      </c>
      <c r="X109" s="204">
        <f t="shared" ref="X109:X140" si="47">VALUE(LEFT(AD109,4))-VALUE(LEFT(AD108,4))</f>
        <v>1</v>
      </c>
      <c r="Y109" s="204">
        <f t="shared" si="34"/>
        <v>4.2599999999999999E-2</v>
      </c>
      <c r="Z109" s="204">
        <f t="shared" si="35"/>
        <v>23.335699999999999</v>
      </c>
      <c r="AA109" s="204">
        <f t="shared" si="36"/>
        <v>23.293099999999999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7"/>
        <v>0197-08</v>
      </c>
      <c r="AE109" s="80" t="str">
        <f t="shared" si="38"/>
        <v>aws s3 cp s3://rtdc.mdm.uploadarchive.raw/RTDC4044/ "%USERPROFILE%\AppData\Local\Temp\OnboardLogs"\RTDC4044\2017-06-08 --exclude "*" --recursive --include "*20170608*" &amp; "%USERPROFILE%\Documents\GitHub\mrs-test-scripts\Headless Mode &amp; Sideloading\WalkAndUnGZ.bat" "%USERPROFILE%\AppData\Local\Temp\OnboardLogs"\RTDC4044\2017-06-08 &amp; aws s3 cp s3://rtdc.mdm.uploadarchive.raw/RTDC4044/ "%USERPROFILE%\AppData\Local\Temp\OnboardLogs"\RTDC4044\2017-06-09 --exclude "*" --recursive --include "*20170609*" &amp; "%USERPROFILE%\Documents\GitHub\mrs-test-scripts\Headless Mode &amp; Sideloading\WalkAndUnGZ.bat" "%USERPROFILE%\AppData\Local\Temp\OnboardLogs"\RTDC4044\2017-06-09</v>
      </c>
      <c r="AF109" s="77" t="str">
        <f t="shared" si="39"/>
        <v>"C:\Program Files (x86)\AstroGrep\AstroGrep.exe" /e /r /s /spath="%USERPROFILE%\AppData\Local\Temp\OnboardLogs" /stypes="app*4044*20170608*" /stext=" 22:.+((SYSTEM_STATE.+slice.+state.+changed )|(ment ac)|(multiple cpu faults)|(system.+state.+changed )|(\[timeout)|(PRM\|1\|D)|(kpr)|(kdp)|(train st.+moving)|(\|lc)|(penalty))"</v>
      </c>
      <c r="AG109" s="1" t="str">
        <f t="shared" si="40"/>
        <v>EC</v>
      </c>
      <c r="AH109" s="81" t="str">
        <f t="shared" si="41"/>
        <v>"%USERPROFILE%\Documents\GitHub\eaglep3\Utilities\RefineRTDCRunTimes.py" --tripid 197-08 --locoid 4044 --swversion DE.1.0.9.0 --startMP 204:426 --initTime 2017-06-08T15:40:48 --startdatetime 2017-06-08T15:47:28 --delay 1 --endMP 204:233357 --enddatetime 2017-06-08T16:24:34 --enforcementcount 0 &gt;&gt;C:\Users\stu\Documents\GitHub\eaglep3-reporting\EC\2017-06-08-refined-times.txt</v>
      </c>
      <c r="AI109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{"issue":{"subject":"","project_id":79,"tracker_id":40,"status_id":1,"priority_id":2,"assigned_to_id":23,"start_date":"2017-06-08","description":"","custom_fields":[{"id":1,"name":"Subdivision","value":"EC"},{"id":4,"name":"Milepost","value":"23.3357"},{"id":17,"name":"Train ID","value":"197-08"},{"id":16,"name":"Locomotive ID","value":"4044"},{"id":130,"name":"Impact","value":""},{"id":150,"name":"Time of Event (Mountain Time)","value":"16:24:34"},{"id":151,"name":"Denver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3"/>
        <v>start /low /b %USERPROFILE%\Documents\GitHub\eaglep3\Utilities\DownloadLogsFromS3.py --loco 4044 --day 2017-06-08</v>
      </c>
      <c r="AN109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22:24:34"},{"id":29,"name":"Sharepoint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637</v>
      </c>
      <c r="B110" s="7">
        <v>4043</v>
      </c>
      <c r="C110" s="21" t="s">
        <v>204</v>
      </c>
      <c r="D110" s="21" t="s">
        <v>586</v>
      </c>
      <c r="E110" s="13">
        <v>42894.689780092594</v>
      </c>
      <c r="F110" s="13">
        <v>42894.69604166667</v>
      </c>
      <c r="G110" s="7">
        <v>1</v>
      </c>
      <c r="H110" s="21" t="s">
        <v>458</v>
      </c>
      <c r="I110" s="13">
        <v>42894.723993055559</v>
      </c>
      <c r="J110" s="7">
        <v>0</v>
      </c>
      <c r="K110" s="92" t="str">
        <f t="shared" si="26"/>
        <v>4043/4044</v>
      </c>
      <c r="L110" s="21" t="str">
        <f>VLOOKUP(A110,'Trips&amp;Operators'!$C$1:$G$99999,5,FALSE)</f>
        <v>BERLING GARY</v>
      </c>
      <c r="M110" s="6">
        <f t="shared" si="27"/>
        <v>2.7951388889050577E-2</v>
      </c>
      <c r="N110" s="7">
        <f t="shared" si="45"/>
        <v>40.250000000232831</v>
      </c>
      <c r="O110" s="7"/>
      <c r="P110" s="7"/>
      <c r="Q110" s="22"/>
      <c r="R110" s="173"/>
      <c r="S110" s="176">
        <f t="shared" si="46"/>
        <v>1</v>
      </c>
      <c r="T110" s="202" t="str">
        <f t="shared" si="30"/>
        <v>Southbound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 t="shared" si="31"/>
        <v>https://d0f6bd738d7f1b3e5a7ca70fe4ff75f0.us-east-1.aws.found.io/app/kibana#/discover/Steve-Slow-Train-Analysis-(2080s-and-2083s)?_g=(refreshInterval:(display:Off,pause:!f,section:0,value:0),time:(from:'2017-06-08T15:33:17-0600',mode:absolute,to:'2017-06-08T18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0" s="204" t="str">
        <f t="shared" si="32"/>
        <v>N</v>
      </c>
      <c r="X110" s="204">
        <f t="shared" si="47"/>
        <v>1</v>
      </c>
      <c r="Y110" s="204">
        <f t="shared" si="34"/>
        <v>23.305099999999999</v>
      </c>
      <c r="Z110" s="204">
        <f t="shared" si="35"/>
        <v>1.38E-2</v>
      </c>
      <c r="AA110" s="204">
        <f t="shared" si="36"/>
        <v>23.2913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7"/>
        <v>0198-08</v>
      </c>
      <c r="AE110" s="80" t="str">
        <f t="shared" si="38"/>
        <v>aws s3 cp s3://rtdc.mdm.uploadarchive.raw/RTDC4043/ "%USERPROFILE%\AppData\Local\Temp\OnboardLogs"\RTDC4043\2017-06-08 --exclude "*" --recursive --include "*20170608*" &amp; "%USERPROFILE%\Documents\GitHub\mrs-test-scripts\Headless Mode &amp; Sideloading\WalkAndUnGZ.bat" "%USERPROFILE%\AppData\Local\Temp\OnboardLogs"\RTDC4043\2017-06-08 &amp; aws s3 cp s3://rtdc.mdm.uploadarchive.raw/RTDC4043/ "%USERPROFILE%\AppData\Local\Temp\OnboardLogs"\RTDC4043\2017-06-09 --exclude "*" --recursive --include "*20170609*" &amp; "%USERPROFILE%\Documents\GitHub\mrs-test-scripts\Headless Mode &amp; Sideloading\WalkAndUnGZ.bat" "%USERPROFILE%\AppData\Local\Temp\OnboardLogs"\RTDC4043\2017-06-09</v>
      </c>
      <c r="AF110" s="77" t="str">
        <f t="shared" si="39"/>
        <v>"C:\Program Files (x86)\AstroGrep\AstroGrep.exe" /e /r /s /spath="%USERPROFILE%\AppData\Local\Temp\OnboardLogs" /stypes="app*4043*20170608*" /stext=" 23:.+((SYSTEM_STATE.+slice.+state.+changed )|(ment ac)|(multiple cpu faults)|(system.+state.+changed )|(\[timeout)|(PRM\|1\|D)|(kpr)|(kdp)|(train st.+moving)|(\|lc)|(penalty))"</v>
      </c>
      <c r="AG110" s="1" t="str">
        <f t="shared" si="40"/>
        <v>EC</v>
      </c>
      <c r="AH110" s="81" t="str">
        <f t="shared" si="41"/>
        <v>"%USERPROFILE%\Documents\GitHub\eaglep3\Utilities\RefineRTDCRunTimes.py" --tripid 198-08 --locoid 4043 --swversion DE.1.0.9.0 --startMP 204:233051 --initTime 2017-06-08T16:33:17 --startdatetime 2017-06-08T16:42:18 --delay 1 --endMP 204:138 --enddatetime 2017-06-08T17:22:33 --enforcementcount 0 &gt;&gt;C:\Users\stu\Documents\GitHub\eaglep3-reporting\EC\2017-06-08-refined-times.txt</v>
      </c>
      <c r="AI110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{"issue":{"subject":"","project_id":79,"tracker_id":40,"status_id":1,"priority_id":2,"assigned_to_id":23,"start_date":"2017-06-08","description":"","custom_fields":[{"id":1,"name":"Subdivision","value":"EC"},{"id":4,"name":"Milepost","value":"0.0138"},{"id":17,"name":"Train ID","value":"198-08"},{"id":16,"name":"Locomotive ID","value":"4043"},{"id":130,"name":"Impact","value":""},{"id":150,"name":"Time of Event (Mountain Time)","value":"17:22:33"},{"id":151,"name":"Denver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3"/>
        <v>start /low /b %USERPROFILE%\Documents\GitHub\eaglep3\Utilities\DownloadLogsFromS3.py --loco 4043 --day 2017-06-08</v>
      </c>
      <c r="AN110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23:22:33"},{"id":29,"name":"Sharepoint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772</v>
      </c>
      <c r="B111" s="7">
        <v>4056</v>
      </c>
      <c r="C111" s="21" t="s">
        <v>204</v>
      </c>
      <c r="D111" s="21" t="s">
        <v>540</v>
      </c>
      <c r="E111" s="13">
        <v>42894.662326388891</v>
      </c>
      <c r="F111" s="13">
        <v>42894.666886574072</v>
      </c>
      <c r="G111" s="7">
        <v>2</v>
      </c>
      <c r="H111" s="21" t="s">
        <v>843</v>
      </c>
      <c r="I111" s="13">
        <v>42894.691712962966</v>
      </c>
      <c r="J111" s="7">
        <v>0</v>
      </c>
      <c r="K111" s="92" t="str">
        <f t="shared" si="26"/>
        <v>4055/4056</v>
      </c>
      <c r="L111" s="21" t="str">
        <f>VLOOKUP(A111,'Trips&amp;Operators'!$C$1:$G$99999,5,FALSE)</f>
        <v>COOLAHAN JOHN</v>
      </c>
      <c r="M111" s="6">
        <f t="shared" si="27"/>
        <v>2.4826388893416151E-2</v>
      </c>
      <c r="N111" s="7">
        <f t="shared" si="45"/>
        <v>35.750000006519258</v>
      </c>
      <c r="O111" s="7"/>
      <c r="P111" s="7"/>
      <c r="Q111" s="22"/>
      <c r="R111" s="173"/>
      <c r="S111" s="176">
        <f t="shared" si="46"/>
        <v>1</v>
      </c>
      <c r="T111" s="202" t="str">
        <f t="shared" si="30"/>
        <v>NorthBound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 t="shared" si="31"/>
        <v>https://d0f6bd738d7f1b3e5a7ca70fe4ff75f0.us-east-1.aws.found.io/app/kibana#/discover/Steve-Slow-Train-Analysis-(2080s-and-2083s)?_g=(refreshInterval:(display:Off,pause:!f,section:0,value:0),time:(from:'2017-06-08T14:53:45-0600',mode:absolute,to:'2017-06-08T17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1" s="204" t="str">
        <f t="shared" si="32"/>
        <v>N</v>
      </c>
      <c r="X111" s="204">
        <f t="shared" si="47"/>
        <v>1</v>
      </c>
      <c r="Y111" s="204">
        <f t="shared" si="34"/>
        <v>4.7500000000000001E-2</v>
      </c>
      <c r="Z111" s="204">
        <f t="shared" si="35"/>
        <v>23.3323</v>
      </c>
      <c r="AA111" s="204">
        <f t="shared" si="36"/>
        <v>23.284800000000001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7"/>
        <v>0199-08</v>
      </c>
      <c r="AE111" s="80" t="str">
        <f t="shared" si="38"/>
        <v>aws s3 cp s3://rtdc.mdm.uploadarchive.raw/RTDC4056/ "%USERPROFILE%\AppData\Local\Temp\OnboardLogs"\RTDC4056\2017-06-08 --exclude "*" --recursive --include "*20170608*" &amp; "%USERPROFILE%\Documents\GitHub\mrs-test-scripts\Headless Mode &amp; Sideloading\WalkAndUnGZ.bat" "%USERPROFILE%\AppData\Local\Temp\OnboardLogs"\RTDC4056\2017-06-08 &amp; aws s3 cp s3://rtdc.mdm.uploadarchive.raw/RTDC4056/ "%USERPROFILE%\AppData\Local\Temp\OnboardLogs"\RTDC4056\2017-06-09 --exclude "*" --recursive --include "*20170609*" &amp; "%USERPROFILE%\Documents\GitHub\mrs-test-scripts\Headless Mode &amp; Sideloading\WalkAndUnGZ.bat" "%USERPROFILE%\AppData\Local\Temp\OnboardLogs"\RTDC4056\2017-06-09</v>
      </c>
      <c r="AF111" s="77" t="str">
        <f t="shared" si="39"/>
        <v>"C:\Program Files (x86)\AstroGrep\AstroGrep.exe" /e /r /s /spath="%USERPROFILE%\AppData\Local\Temp\OnboardLogs" /stypes="app*4056*20170608*" /stext=" 22:.+((SYSTEM_STATE.+slice.+state.+changed )|(ment ac)|(multiple cpu faults)|(system.+state.+changed )|(\[timeout)|(PRM\|1\|D)|(kpr)|(kdp)|(train st.+moving)|(\|lc)|(penalty))"</v>
      </c>
      <c r="AG111" s="1" t="str">
        <f t="shared" si="40"/>
        <v>EC</v>
      </c>
      <c r="AH111" s="81" t="str">
        <f t="shared" si="41"/>
        <v>"%USERPROFILE%\Documents\GitHub\eaglep3\Utilities\RefineRTDCRunTimes.py" --tripid 199-08 --locoid 4056 --swversion DE.1.0.9.0 --startMP 204:475 --initTime 2017-06-08T15:53:45 --startdatetime 2017-06-08T16:00:19 --delay 2 --endMP 204:233323 --enddatetime 2017-06-08T16:36:04 --enforcementcount 0 &gt;&gt;C:\Users\stu\Documents\GitHub\eaglep3-reporting\EC\2017-06-08-refined-times.txt</v>
      </c>
      <c r="AI111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{"issue":{"subject":"","project_id":79,"tracker_id":40,"status_id":1,"priority_id":2,"assigned_to_id":23,"start_date":"2017-06-08","description":"","custom_fields":[{"id":1,"name":"Subdivision","value":"EC"},{"id":4,"name":"Milepost","value":"23.3323"},{"id":17,"name":"Train ID","value":"199-08"},{"id":16,"name":"Locomotive ID","value":"4056"},{"id":130,"name":"Impact","value":""},{"id":150,"name":"Time of Event (Mountain Time)","value":"16:36:04"},{"id":151,"name":"Denver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3"/>
        <v>start /low /b %USERPROFILE%\Documents\GitHub\eaglep3\Utilities\DownloadLogsFromS3.py --loco 4056 --day 2017-06-08</v>
      </c>
      <c r="AN111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22:36:04"},{"id":29,"name":"Sharepoint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639</v>
      </c>
      <c r="B112" s="7">
        <v>4055</v>
      </c>
      <c r="C112" s="21" t="s">
        <v>204</v>
      </c>
      <c r="D112" s="21" t="s">
        <v>840</v>
      </c>
      <c r="E112" s="13">
        <v>42894.702581018515</v>
      </c>
      <c r="F112" s="13">
        <v>42894.70648148148</v>
      </c>
      <c r="G112" s="7">
        <v>2</v>
      </c>
      <c r="H112" s="21" t="s">
        <v>882</v>
      </c>
      <c r="I112" s="13">
        <v>42894.732881944445</v>
      </c>
      <c r="J112" s="7">
        <v>0</v>
      </c>
      <c r="K112" s="92" t="str">
        <f t="shared" si="26"/>
        <v>4055/4056</v>
      </c>
      <c r="L112" s="21" t="str">
        <f>VLOOKUP(A112,'Trips&amp;Operators'!$C$1:$G$99999,5,FALSE)</f>
        <v>COOLAHAN JOHN</v>
      </c>
      <c r="M112" s="6">
        <f t="shared" si="27"/>
        <v>2.6400462964375038E-2</v>
      </c>
      <c r="N112" s="7">
        <f t="shared" si="45"/>
        <v>38.016666668700054</v>
      </c>
      <c r="O112" s="7"/>
      <c r="P112" s="7"/>
      <c r="Q112" s="22"/>
      <c r="R112" s="173"/>
      <c r="S112" s="176">
        <f t="shared" si="46"/>
        <v>1</v>
      </c>
      <c r="T112" s="202" t="str">
        <f t="shared" si="30"/>
        <v>Southbound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31"/>
        <v>https://d0f6bd738d7f1b3e5a7ca70fe4ff75f0.us-east-1.aws.found.io/app/kibana#/discover/Steve-Slow-Train-Analysis-(2080s-and-2083s)?_g=(refreshInterval:(display:Off,pause:!f,section:0,value:0),time:(from:'2017-06-08T15:51:43-0600',mode:absolute,to:'2017-06-08T18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2" s="204" t="str">
        <f t="shared" si="32"/>
        <v>N</v>
      </c>
      <c r="X112" s="204">
        <f t="shared" si="47"/>
        <v>1</v>
      </c>
      <c r="Y112" s="204">
        <f t="shared" si="34"/>
        <v>23.299800000000001</v>
      </c>
      <c r="Z112" s="204">
        <f t="shared" si="35"/>
        <v>1.89E-2</v>
      </c>
      <c r="AA112" s="204">
        <f t="shared" si="36"/>
        <v>23.280900000000003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7"/>
        <v>0200-08</v>
      </c>
      <c r="AE112" s="80" t="str">
        <f t="shared" si="38"/>
        <v>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 &amp; aws s3 cp s3://rtdc.mdm.uploadarchive.raw/RTDC4055/ "%USERPROFILE%\AppData\Local\Temp\OnboardLogs"\RTDC4055\2017-06-09 --exclude "*" --recursive --include "*20170609*" &amp; "%USERPROFILE%\Documents\GitHub\mrs-test-scripts\Headless Mode &amp; Sideloading\WalkAndUnGZ.bat" "%USERPROFILE%\AppData\Local\Temp\OnboardLogs"\RTDC4055\2017-06-09</v>
      </c>
      <c r="AF112" s="77" t="str">
        <f t="shared" si="39"/>
        <v>"C:\Program Files (x86)\AstroGrep\AstroGrep.exe" /e /r /s /spath="%USERPROFILE%\AppData\Local\Temp\OnboardLogs" /stypes="app*4055*20170608*" /stext=" 23:.+((SYSTEM_STATE.+slice.+state.+changed )|(ment ac)|(multiple cpu faults)|(system.+state.+changed )|(\[timeout)|(PRM\|1\|D)|(kpr)|(kdp)|(train st.+moving)|(\|lc)|(penalty))"</v>
      </c>
      <c r="AG112" s="1" t="str">
        <f t="shared" si="40"/>
        <v>EC</v>
      </c>
      <c r="AH112" s="81" t="str">
        <f t="shared" si="41"/>
        <v>"%USERPROFILE%\Documents\GitHub\eaglep3\Utilities\RefineRTDCRunTimes.py" --tripid 200-08 --locoid 4055 --swversion DE.1.0.9.0 --startMP 204:232998 --initTime 2017-06-08T16:51:43 --startdatetime 2017-06-08T16:57:20 --delay 2 --endMP 204:189 --enddatetime 2017-06-08T17:35:21 --enforcementcount 0 &gt;&gt;C:\Users\stu\Documents\GitHub\eaglep3-reporting\EC\2017-06-08-refined-times.txt</v>
      </c>
      <c r="AI112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{"issue":{"subject":"","project_id":79,"tracker_id":40,"status_id":1,"priority_id":2,"assigned_to_id":23,"start_date":"2017-06-08","description":"","custom_fields":[{"id":1,"name":"Subdivision","value":"EC"},{"id":4,"name":"Milepost","value":"0.0189"},{"id":17,"name":"Train ID","value":"200-08"},{"id":16,"name":"Locomotive ID","value":"4055"},{"id":130,"name":"Impact","value":""},{"id":150,"name":"Time of Event (Mountain Time)","value":"17:35:21"},{"id":151,"name":"Denver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3"/>
        <v>start /low /b %USERPROFILE%\Documents\GitHub\eaglep3\Utilities\DownloadLogsFromS3.py --loco 4055 --day 2017-06-08</v>
      </c>
      <c r="AN112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23:35:21"},{"id":29,"name":"Sharepoint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775</v>
      </c>
      <c r="B113" s="7">
        <v>4026</v>
      </c>
      <c r="C113" s="21" t="s">
        <v>204</v>
      </c>
      <c r="D113" s="21" t="s">
        <v>358</v>
      </c>
      <c r="E113" s="13">
        <v>42894.673067129632</v>
      </c>
      <c r="F113" s="13">
        <v>42894.677835648145</v>
      </c>
      <c r="G113" s="7">
        <v>1</v>
      </c>
      <c r="H113" s="21" t="s">
        <v>883</v>
      </c>
      <c r="I113" s="13">
        <v>42894.703923611109</v>
      </c>
      <c r="J113" s="7">
        <v>0</v>
      </c>
      <c r="K113" s="92" t="str">
        <f t="shared" si="26"/>
        <v>4025/4026</v>
      </c>
      <c r="L113" s="21" t="str">
        <f>VLOOKUP(A113,'Trips&amp;Operators'!$C$1:$G$99999,5,FALSE)</f>
        <v>HOLCOMB KAMDEN</v>
      </c>
      <c r="M113" s="6">
        <f t="shared" si="27"/>
        <v>2.6087962964083999E-2</v>
      </c>
      <c r="N113" s="7">
        <f t="shared" si="45"/>
        <v>37.566666668280959</v>
      </c>
      <c r="O113" s="7"/>
      <c r="P113" s="7"/>
      <c r="Q113" s="22"/>
      <c r="R113" s="173" t="s">
        <v>1026</v>
      </c>
      <c r="S113" s="176">
        <f t="shared" si="46"/>
        <v>1</v>
      </c>
      <c r="T113" s="202" t="str">
        <f t="shared" si="30"/>
        <v>NorthBound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31"/>
        <v>https://d0f6bd738d7f1b3e5a7ca70fe4ff75f0.us-east-1.aws.found.io/app/kibana#/discover/Steve-Slow-Train-Analysis-(2080s-and-2083s)?_g=(refreshInterval:(display:Off,pause:!f,section:0,value:0),time:(from:'2017-06-08T15:09:13-0600',mode:absolute,to:'2017-06-08T17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3" s="204" t="str">
        <f t="shared" si="32"/>
        <v>Y</v>
      </c>
      <c r="X113" s="204">
        <f t="shared" si="47"/>
        <v>1</v>
      </c>
      <c r="Y113" s="204">
        <f t="shared" si="34"/>
        <v>4.6399999999999997E-2</v>
      </c>
      <c r="Z113" s="204">
        <f t="shared" si="35"/>
        <v>22.812000000000001</v>
      </c>
      <c r="AA113" s="204">
        <f t="shared" si="36"/>
        <v>22.765600000000003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7"/>
        <v>0201-08</v>
      </c>
      <c r="AE113" s="80" t="str">
        <f t="shared" si="38"/>
        <v>aws s3 cp s3://rtdc.mdm.uploadarchive.raw/RTDC4026/ "%USERPROFILE%\AppData\Local\Temp\OnboardLogs"\RTDC4026\2017-06-08 --exclude "*" --recursive --include "*20170608*" &amp; "%USERPROFILE%\Documents\GitHub\mrs-test-scripts\Headless Mode &amp; Sideloading\WalkAndUnGZ.bat" "%USERPROFILE%\AppData\Local\Temp\OnboardLogs"\RTDC4026\2017-06-08 &amp; aws s3 cp s3://rtdc.mdm.uploadarchive.raw/RTDC4026/ "%USERPROFILE%\AppData\Local\Temp\OnboardLogs"\RTDC4026\2017-06-09 --exclude "*" --recursive --include "*20170609*" &amp; "%USERPROFILE%\Documents\GitHub\mrs-test-scripts\Headless Mode &amp; Sideloading\WalkAndUnGZ.bat" "%USERPROFILE%\AppData\Local\Temp\OnboardLogs"\RTDC4026\2017-06-09</v>
      </c>
      <c r="AF113" s="77" t="str">
        <f t="shared" si="39"/>
        <v>"C:\Program Files (x86)\AstroGrep\AstroGrep.exe" /e /r /s /spath="%USERPROFILE%\AppData\Local\Temp\OnboardLogs" /stypes="app*4026*20170608*" /stext=" 22:.+((SYSTEM_STATE.+slice.+state.+changed )|(ment ac)|(multiple cpu faults)|(system.+state.+changed )|(\[timeout)|(PRM\|1\|D)|(kpr)|(kdp)|(train st.+moving)|(\|lc)|(penalty))"</v>
      </c>
      <c r="AG113" s="1" t="str">
        <f t="shared" si="40"/>
        <v>EC</v>
      </c>
      <c r="AH113" s="81" t="str">
        <f t="shared" si="41"/>
        <v>"%USERPROFILE%\Documents\GitHub\eaglep3\Utilities\RefineRTDCRunTimes.py" --tripid 201-08 --locoid 4026 --swversion DE.1.0.9.0 --startMP 204:464 --initTime 2017-06-08T16:09:13 --startdatetime 2017-06-08T16:16:05 --delay 1 --endMP 204:228120 --enddatetime 2017-06-08T16:53:39 --enforcementcount 0 &gt;&gt;C:\Users\stu\Documents\GitHub\eaglep3-reporting\EC\2017-06-08-refined-times.txt</v>
      </c>
      <c r="AI113" s="99" t="str">
        <f t="shared" si="42"/>
        <v>echo {"issue":{"subject":"Barricade test","project_id":79,"tracker_id":40,"status_id":1,"priority_id":2,"assigned_to_id":23,"start_date":"2017-06-08","description":"","custom_fields":[{"id":1,"name":"Subdivision","value":"EC"},{"id":4,"name":"Milepost","value":"22.812"},{"id":17,"name":"Train ID","value":"201-08"},{"id":16,"name":"Locomotive ID","value":"4026"},{"id":130,"name":"Impact","value":""},{"id":150,"name":"Time of Event (Mountain Time)","value":"16:53:39"},{"id":151,"name":"Denver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3"/>
        <v>start /low /b %USERPROFILE%\Documents\GitHub\eaglep3\Utilities\DownloadLogsFromS3.py --loco 4026 --day 2017-06-08</v>
      </c>
      <c r="AN113" s="154" t="str">
        <f t="shared" si="44"/>
        <v>echo {"issue":{"subject":"Barricade test","project_id":30,"tracker_id":4,"status_id":1,"priority_id":1,"assigned_to_id":10,"start_date":"2017-06-08","description":"","custom_fields":[{"id":30,"name":"Category","value":"Issue"},{"id":3,"name":"Functional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22:53:39"},{"id":29,"name":"Sharepoint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641</v>
      </c>
      <c r="B114" s="7">
        <v>4025</v>
      </c>
      <c r="C114" s="21" t="s">
        <v>204</v>
      </c>
      <c r="D114" s="21" t="s">
        <v>507</v>
      </c>
      <c r="E114" s="13">
        <v>42894.714571759258</v>
      </c>
      <c r="F114" s="13">
        <v>42894.716874999998</v>
      </c>
      <c r="G114" s="7">
        <v>1</v>
      </c>
      <c r="H114" s="21" t="s">
        <v>882</v>
      </c>
      <c r="I114" s="13">
        <v>42894.743275462963</v>
      </c>
      <c r="J114" s="7">
        <v>0</v>
      </c>
      <c r="K114" s="92" t="str">
        <f t="shared" si="26"/>
        <v>4025/4026</v>
      </c>
      <c r="L114" s="21" t="str">
        <f>VLOOKUP(A114,'Trips&amp;Operators'!$C$1:$G$99999,5,FALSE)</f>
        <v>HOLCOMB KAMDEN</v>
      </c>
      <c r="M114" s="6">
        <f t="shared" si="27"/>
        <v>2.6400462964375038E-2</v>
      </c>
      <c r="N114" s="7">
        <f t="shared" si="45"/>
        <v>38.016666668700054</v>
      </c>
      <c r="O114" s="7"/>
      <c r="P114" s="7"/>
      <c r="Q114" s="22"/>
      <c r="R114" s="173"/>
      <c r="S114" s="176">
        <f t="shared" si="46"/>
        <v>1</v>
      </c>
      <c r="T114" s="202" t="str">
        <f t="shared" si="30"/>
        <v>Southbound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31"/>
        <v>https://d0f6bd738d7f1b3e5a7ca70fe4ff75f0.us-east-1.aws.found.io/app/kibana#/discover/Steve-Slow-Train-Analysis-(2080s-and-2083s)?_g=(refreshInterval:(display:Off,pause:!f,section:0,value:0),time:(from:'2017-06-08T16:08:59-0600',mode:absolute,to:'2017-06-08T18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4" s="204" t="str">
        <f t="shared" si="32"/>
        <v>N</v>
      </c>
      <c r="X114" s="204">
        <f t="shared" si="47"/>
        <v>1</v>
      </c>
      <c r="Y114" s="204">
        <f t="shared" si="34"/>
        <v>23.297499999999999</v>
      </c>
      <c r="Z114" s="204">
        <f t="shared" si="35"/>
        <v>1.89E-2</v>
      </c>
      <c r="AA114" s="204">
        <f t="shared" si="36"/>
        <v>23.278600000000001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7"/>
        <v>0202-08</v>
      </c>
      <c r="AE114" s="80" t="str">
        <f t="shared" si="38"/>
        <v>aws s3 cp s3://rtdc.mdm.uploadarchive.raw/RTDC4025/ "%USERPROFILE%\AppData\Local\Temp\OnboardLogs"\RTDC4025\2017-06-08 --exclude "*" --recursive --include "*20170608*" &amp; "%USERPROFILE%\Documents\GitHub\mrs-test-scripts\Headless Mode &amp; Sideloading\WalkAndUnGZ.bat" "%USERPROFILE%\AppData\Local\Temp\OnboardLogs"\RTDC4025\2017-06-08 &amp; aws s3 cp s3://rtdc.mdm.uploadarchive.raw/RTDC4025/ "%USERPROFILE%\AppData\Local\Temp\OnboardLogs"\RTDC4025\2017-06-09 --exclude "*" --recursive --include "*20170609*" &amp; "%USERPROFILE%\Documents\GitHub\mrs-test-scripts\Headless Mode &amp; Sideloading\WalkAndUnGZ.bat" "%USERPROFILE%\AppData\Local\Temp\OnboardLogs"\RTDC4025\2017-06-09</v>
      </c>
      <c r="AF114" s="77" t="str">
        <f t="shared" si="39"/>
        <v>"C:\Program Files (x86)\AstroGrep\AstroGrep.exe" /e /r /s /spath="%USERPROFILE%\AppData\Local\Temp\OnboardLogs" /stypes="app*4025*20170608*" /stext=" 23:.+((SYSTEM_STATE.+slice.+state.+changed )|(ment ac)|(multiple cpu faults)|(system.+state.+changed )|(\[timeout)|(PRM\|1\|D)|(kpr)|(kdp)|(train st.+moving)|(\|lc)|(penalty))"</v>
      </c>
      <c r="AG114" s="1" t="str">
        <f t="shared" si="40"/>
        <v>EC</v>
      </c>
      <c r="AH114" s="81" t="str">
        <f t="shared" si="41"/>
        <v>"%USERPROFILE%\Documents\GitHub\eaglep3\Utilities\RefineRTDCRunTimes.py" --tripid 202-08 --locoid 4025 --swversion DE.1.0.9.0 --startMP 204:232975 --initTime 2017-06-08T17:08:59 --startdatetime 2017-06-08T17:12:18 --delay 1 --endMP 204:189 --enddatetime 2017-06-08T17:50:19 --enforcementcount 0 &gt;&gt;C:\Users\stu\Documents\GitHub\eaglep3-reporting\EC\2017-06-08-refined-times.txt</v>
      </c>
      <c r="AI114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{"issue":{"subject":"","project_id":79,"tracker_id":40,"status_id":1,"priority_id":2,"assigned_to_id":23,"start_date":"2017-06-08","description":"","custom_fields":[{"id":1,"name":"Subdivision","value":"EC"},{"id":4,"name":"Milepost","value":"0.0189"},{"id":17,"name":"Train ID","value":"202-08"},{"id":16,"name":"Locomotive ID","value":"4025"},{"id":130,"name":"Impact","value":""},{"id":150,"name":"Time of Event (Mountain Time)","value":"17:50:19"},{"id":151,"name":"Denver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3"/>
        <v>start /low /b %USERPROFILE%\Documents\GitHub\eaglep3\Utilities\DownloadLogsFromS3.py --loco 4025 --day 2017-06-08</v>
      </c>
      <c r="AN114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23:50:19"},{"id":29,"name":"Sharepoint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776</v>
      </c>
      <c r="B115" s="7">
        <v>4004</v>
      </c>
      <c r="C115" s="21" t="s">
        <v>204</v>
      </c>
      <c r="D115" s="21" t="s">
        <v>488</v>
      </c>
      <c r="E115" s="13">
        <v>42894.683749999997</v>
      </c>
      <c r="F115" s="13">
        <v>42894.687743055554</v>
      </c>
      <c r="G115" s="7">
        <v>2</v>
      </c>
      <c r="H115" s="21" t="s">
        <v>535</v>
      </c>
      <c r="I115" s="13">
        <v>42894.712870370371</v>
      </c>
      <c r="J115" s="7">
        <v>0</v>
      </c>
      <c r="K115" s="92" t="str">
        <f t="shared" si="26"/>
        <v>4003/4004</v>
      </c>
      <c r="L115" s="21" t="str">
        <f>VLOOKUP(A115,'Trips&amp;Operators'!$C$1:$G$99999,5,FALSE)</f>
        <v>STEWART MICHAEL</v>
      </c>
      <c r="M115" s="6">
        <f t="shared" si="27"/>
        <v>2.5127314816927537E-2</v>
      </c>
      <c r="N115" s="7">
        <f t="shared" si="45"/>
        <v>36.183333336375654</v>
      </c>
      <c r="O115" s="7"/>
      <c r="P115" s="7"/>
      <c r="Q115" s="22"/>
      <c r="R115" s="173"/>
      <c r="S115" s="176">
        <f t="shared" si="46"/>
        <v>1</v>
      </c>
      <c r="T115" s="202" t="str">
        <f t="shared" si="30"/>
        <v>NorthBound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31"/>
        <v>https://d0f6bd738d7f1b3e5a7ca70fe4ff75f0.us-east-1.aws.found.io/app/kibana#/discover/Steve-Slow-Train-Analysis-(2080s-and-2083s)?_g=(refreshInterval:(display:Off,pause:!f,section:0,value:0),time:(from:'2017-06-08T15:24:36-0600',mode:absolute,to:'2017-06-08T18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5" s="204" t="str">
        <f t="shared" si="32"/>
        <v>N</v>
      </c>
      <c r="X115" s="204">
        <f t="shared" si="47"/>
        <v>1</v>
      </c>
      <c r="Y115" s="204">
        <f t="shared" si="34"/>
        <v>4.7699999999999999E-2</v>
      </c>
      <c r="Z115" s="204">
        <f t="shared" si="35"/>
        <v>23.328700000000001</v>
      </c>
      <c r="AA115" s="204">
        <f t="shared" si="36"/>
        <v>23.281000000000002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7"/>
        <v>0203-08</v>
      </c>
      <c r="AE115" s="80" t="str">
        <f t="shared" si="38"/>
        <v>aws s3 cp s3://rtdc.mdm.uploadarchive.raw/RTDC4004/ "%USERPROFILE%\AppData\Local\Temp\OnboardLogs"\RTDC4004\2017-06-08 --exclude "*" --recursive --include "*20170608*" &amp; "%USERPROFILE%\Documents\GitHub\mrs-test-scripts\Headless Mode &amp; Sideloading\WalkAndUnGZ.bat" "%USERPROFILE%\AppData\Local\Temp\OnboardLogs"\RTDC4004\2017-06-08 &amp; aws s3 cp s3://rtdc.mdm.uploadarchive.raw/RTDC4004/ "%USERPROFILE%\AppData\Local\Temp\OnboardLogs"\RTDC4004\2017-06-09 --exclude "*" --recursive --include "*20170609*" &amp; "%USERPROFILE%\Documents\GitHub\mrs-test-scripts\Headless Mode &amp; Sideloading\WalkAndUnGZ.bat" "%USERPROFILE%\AppData\Local\Temp\OnboardLogs"\RTDC4004\2017-06-09</v>
      </c>
      <c r="AF115" s="77" t="str">
        <f t="shared" si="39"/>
        <v>"C:\Program Files (x86)\AstroGrep\AstroGrep.exe" /e /r /s /spath="%USERPROFILE%\AppData\Local\Temp\OnboardLogs" /stypes="app*4004*20170608*" /stext=" 23:.+((SYSTEM_STATE.+slice.+state.+changed )|(ment ac)|(multiple cpu faults)|(system.+state.+changed )|(\[timeout)|(PRM\|1\|D)|(kpr)|(kdp)|(train st.+moving)|(\|lc)|(penalty))"</v>
      </c>
      <c r="AG115" s="1" t="str">
        <f t="shared" si="40"/>
        <v>EC</v>
      </c>
      <c r="AH115" s="81" t="str">
        <f t="shared" si="41"/>
        <v>"%USERPROFILE%\Documents\GitHub\eaglep3\Utilities\RefineRTDCRunTimes.py" --tripid 203-08 --locoid 4004 --swversion DE.1.0.9.0 --startMP 204:477 --initTime 2017-06-08T16:24:36 --startdatetime 2017-06-08T16:30:21 --delay 2 --endMP 204:233287 --enddatetime 2017-06-08T17:06:32 --enforcementcount 0 &gt;&gt;C:\Users\stu\Documents\GitHub\eaglep3-reporting\EC\2017-06-08-refined-times.txt</v>
      </c>
      <c r="AI115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{"issue":{"subject":"","project_id":79,"tracker_id":40,"status_id":1,"priority_id":2,"assigned_to_id":23,"start_date":"2017-06-08","description":"","custom_fields":[{"id":1,"name":"Subdivision","value":"EC"},{"id":4,"name":"Milepost","value":"23.3287"},{"id":17,"name":"Train ID","value":"203-08"},{"id":16,"name":"Locomotive ID","value":"4004"},{"id":130,"name":"Impact","value":""},{"id":150,"name":"Time of Event (Mountain Time)","value":"17:06:32"},{"id":151,"name":"Denver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3"/>
        <v>start /low /b %USERPROFILE%\Documents\GitHub\eaglep3\Utilities\DownloadLogsFromS3.py --loco 4004 --day 2017-06-08</v>
      </c>
      <c r="AN115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23:06:32"},{"id":29,"name":"Sharepoint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784</v>
      </c>
      <c r="B116" s="7">
        <v>4003</v>
      </c>
      <c r="C116" s="21" t="s">
        <v>204</v>
      </c>
      <c r="D116" s="21" t="s">
        <v>430</v>
      </c>
      <c r="E116" s="13">
        <v>42894.723657407405</v>
      </c>
      <c r="F116" s="13">
        <v>42894.727384259262</v>
      </c>
      <c r="G116" s="7">
        <v>1</v>
      </c>
      <c r="H116" s="21" t="s">
        <v>470</v>
      </c>
      <c r="I116" s="13">
        <v>42894.754756944443</v>
      </c>
      <c r="J116" s="7">
        <v>0</v>
      </c>
      <c r="K116" s="92" t="str">
        <f t="shared" si="26"/>
        <v>4003/4004</v>
      </c>
      <c r="L116" s="21" t="str">
        <f>VLOOKUP(A116,'Trips&amp;Operators'!$C$1:$G$99999,5,FALSE)</f>
        <v>STEWART MICHAEL</v>
      </c>
      <c r="M116" s="6">
        <f t="shared" si="27"/>
        <v>2.7372685181035195E-2</v>
      </c>
      <c r="N116" s="7">
        <f t="shared" si="45"/>
        <v>39.41666666069068</v>
      </c>
      <c r="O116" s="7"/>
      <c r="P116" s="7"/>
      <c r="Q116" s="22"/>
      <c r="R116" s="173"/>
      <c r="S116" s="176">
        <f t="shared" si="46"/>
        <v>1</v>
      </c>
      <c r="T116" s="202" t="str">
        <f t="shared" si="30"/>
        <v>Southbound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31"/>
        <v>https://d0f6bd738d7f1b3e5a7ca70fe4ff75f0.us-east-1.aws.found.io/app/kibana#/discover/Steve-Slow-Train-Analysis-(2080s-and-2083s)?_g=(refreshInterval:(display:Off,pause:!f,section:0,value:0),time:(from:'2017-06-08T16:22:04-0600',mode:absolute,to:'2017-06-08T19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6" s="204" t="str">
        <f t="shared" si="32"/>
        <v>N</v>
      </c>
      <c r="X116" s="204">
        <f t="shared" si="47"/>
        <v>1</v>
      </c>
      <c r="Y116" s="204">
        <f t="shared" si="34"/>
        <v>23.297699999999999</v>
      </c>
      <c r="Z116" s="204">
        <f t="shared" si="35"/>
        <v>1.6500000000000001E-2</v>
      </c>
      <c r="AA116" s="204">
        <f t="shared" si="36"/>
        <v>23.281199999999998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7"/>
        <v>0204-08</v>
      </c>
      <c r="AE116" s="80" t="str">
        <f t="shared" si="38"/>
        <v>aws s3 cp s3://rtdc.mdm.uploadarchive.raw/RTDC4003/ "%USERPROFILE%\AppData\Local\Temp\OnboardLogs"\RTDC4003\2017-06-08 --exclude "*" --recursive --include "*20170608*" &amp; "%USERPROFILE%\Documents\GitHub\mrs-test-scripts\Headless Mode &amp; Sideloading\WalkAndUnGZ.bat" "%USERPROFILE%\AppData\Local\Temp\OnboardLogs"\RTDC4003\2017-06-08 &amp; aws s3 cp s3://rtdc.mdm.uploadarchive.raw/RTDC4003/ "%USERPROFILE%\AppData\Local\Temp\OnboardLogs"\RTDC4003\2017-06-09 --exclude "*" --recursive --include "*20170609*" &amp; "%USERPROFILE%\Documents\GitHub\mrs-test-scripts\Headless Mode &amp; Sideloading\WalkAndUnGZ.bat" "%USERPROFILE%\AppData\Local\Temp\OnboardLogs"\RTDC4003\2017-06-09</v>
      </c>
      <c r="AF116" s="77" t="str">
        <f t="shared" si="39"/>
        <v>"C:\Program Files (x86)\AstroGrep\AstroGrep.exe" /e /r /s /spath="%USERPROFILE%\AppData\Local\Temp\OnboardLogs" /stypes="app*4003*20170609*" /stext=" 00:.+((SYSTEM_STATE.+slice.+state.+changed )|(ment ac)|(multiple cpu faults)|(system.+state.+changed )|(\[timeout)|(PRM\|1\|D)|(kpr)|(kdp)|(train st.+moving)|(\|lc)|(penalty))"</v>
      </c>
      <c r="AG116" s="1" t="str">
        <f t="shared" si="40"/>
        <v>EC</v>
      </c>
      <c r="AH116" s="81" t="str">
        <f t="shared" si="41"/>
        <v>"%USERPROFILE%\Documents\GitHub\eaglep3\Utilities\RefineRTDCRunTimes.py" --tripid 204-08 --locoid 4003 --swversion DE.1.0.9.0 --startMP 204:232977 --initTime 2017-06-08T17:22:04 --startdatetime 2017-06-08T17:27:26 --delay 1 --endMP 204:165 --enddatetime 2017-06-08T18:06:51 --enforcementcount 0 &gt;&gt;C:\Users\stu\Documents\GitHub\eaglep3-reporting\EC\2017-06-08-refined-times.txt</v>
      </c>
      <c r="AI116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{"issue":{"subject":"","project_id":79,"tracker_id":40,"status_id":1,"priority_id":2,"assigned_to_id":23,"start_date":"2017-06-08","description":"","custom_fields":[{"id":1,"name":"Subdivision","value":"EC"},{"id":4,"name":"Milepost","value":"0.0165"},{"id":17,"name":"Train ID","value":"204-08"},{"id":16,"name":"Locomotive ID","value":"4003"},{"id":130,"name":"Impact","value":""},{"id":150,"name":"Time of Event (Mountain Time)","value":"18:06:51"},{"id":151,"name":"Denver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3"/>
        <v>start /low /b %USERPROFILE%\Documents\GitHub\eaglep3\Utilities\DownloadLogsFromS3.py --loco 4003 --day 2017-06-08</v>
      </c>
      <c r="AN116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00:06:51"},{"id":29,"name":"Sharepoint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777</v>
      </c>
      <c r="B117" s="7">
        <v>4002</v>
      </c>
      <c r="C117" s="21" t="s">
        <v>204</v>
      </c>
      <c r="D117" s="21" t="s">
        <v>368</v>
      </c>
      <c r="E117" s="13">
        <v>42894.69190972222</v>
      </c>
      <c r="F117" s="13">
        <v>42894.698148148149</v>
      </c>
      <c r="G117" s="7">
        <v>1</v>
      </c>
      <c r="H117" s="21" t="s">
        <v>596</v>
      </c>
      <c r="I117" s="13">
        <v>42894.723321759258</v>
      </c>
      <c r="J117" s="7">
        <v>0</v>
      </c>
      <c r="K117" s="92" t="str">
        <f t="shared" si="26"/>
        <v>4001/4002</v>
      </c>
      <c r="L117" s="21" t="str">
        <f>VLOOKUP(A117,'Trips&amp;Operators'!$C$1:$G$99999,5,FALSE)</f>
        <v>YORK EDGAR</v>
      </c>
      <c r="M117" s="6">
        <f t="shared" si="27"/>
        <v>2.5173611109494232E-2</v>
      </c>
      <c r="N117" s="7">
        <f t="shared" si="45"/>
        <v>36.249999997671694</v>
      </c>
      <c r="O117" s="7"/>
      <c r="P117" s="7"/>
      <c r="Q117" s="22"/>
      <c r="R117" s="173"/>
      <c r="S117" s="176">
        <f t="shared" si="46"/>
        <v>1</v>
      </c>
      <c r="T117" s="202" t="str">
        <f t="shared" si="30"/>
        <v>NorthBound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31"/>
        <v>https://d0f6bd738d7f1b3e5a7ca70fe4ff75f0.us-east-1.aws.found.io/app/kibana#/discover/Steve-Slow-Train-Analysis-(2080s-and-2083s)?_g=(refreshInterval:(display:Off,pause:!f,section:0,value:0),time:(from:'2017-06-08T15:36:21-0600',mode:absolute,to:'2017-06-08T18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7" s="204" t="str">
        <f t="shared" si="32"/>
        <v>N</v>
      </c>
      <c r="X117" s="204">
        <f t="shared" si="47"/>
        <v>1</v>
      </c>
      <c r="Y117" s="204">
        <f t="shared" si="34"/>
        <v>4.5499999999999999E-2</v>
      </c>
      <c r="Z117" s="204">
        <f t="shared" si="35"/>
        <v>23.3291</v>
      </c>
      <c r="AA117" s="204">
        <f t="shared" si="36"/>
        <v>23.2836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7"/>
        <v>0205-08</v>
      </c>
      <c r="AE117" s="80" t="str">
        <f t="shared" si="38"/>
        <v>aws s3 cp s3://rtdc.mdm.uploadarchive.raw/RTDC4002/ "%USERPROFILE%\AppData\Local\Temp\OnboardLogs"\RTDC4002\2017-06-08 --exclude "*" --recursive --include "*20170608*" &amp; "%USERPROFILE%\Documents\GitHub\mrs-test-scripts\Headless Mode &amp; Sideloading\WalkAndUnGZ.bat" "%USERPROFILE%\AppData\Local\Temp\OnboardLogs"\RTDC4002\2017-06-08 &amp; aws s3 cp s3://rtdc.mdm.uploadarchive.raw/RTDC4002/ "%USERPROFILE%\AppData\Local\Temp\OnboardLogs"\RTDC4002\2017-06-09 --exclude "*" --recursive --include "*20170609*" &amp; "%USERPROFILE%\Documents\GitHub\mrs-test-scripts\Headless Mode &amp; Sideloading\WalkAndUnGZ.bat" "%USERPROFILE%\AppData\Local\Temp\OnboardLogs"\RTDC4002\2017-06-09</v>
      </c>
      <c r="AF117" s="77" t="str">
        <f t="shared" si="39"/>
        <v>"C:\Program Files (x86)\AstroGrep\AstroGrep.exe" /e /r /s /spath="%USERPROFILE%\AppData\Local\Temp\OnboardLogs" /stypes="app*4002*20170608*" /stext=" 23:.+((SYSTEM_STATE.+slice.+state.+changed )|(ment ac)|(multiple cpu faults)|(system.+state.+changed )|(\[timeout)|(PRM\|1\|D)|(kpr)|(kdp)|(train st.+moving)|(\|lc)|(penalty))"</v>
      </c>
      <c r="AG117" s="1" t="str">
        <f t="shared" si="40"/>
        <v>EC</v>
      </c>
      <c r="AH117" s="81" t="str">
        <f t="shared" si="41"/>
        <v>"%USERPROFILE%\Documents\GitHub\eaglep3\Utilities\RefineRTDCRunTimes.py" --tripid 205-08 --locoid 4002 --swversion DE.1.0.9.0 --startMP 204:455 --initTime 2017-06-08T16:36:21 --startdatetime 2017-06-08T16:45:20 --delay 1 --endMP 204:233291 --enddatetime 2017-06-08T17:21:35 --enforcementcount 0 &gt;&gt;C:\Users\stu\Documents\GitHub\eaglep3-reporting\EC\2017-06-08-refined-times.txt</v>
      </c>
      <c r="AI117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{"issue":{"subject":"","project_id":79,"tracker_id":40,"status_id":1,"priority_id":2,"assigned_to_id":23,"start_date":"2017-06-08","description":"","custom_fields":[{"id":1,"name":"Subdivision","value":"EC"},{"id":4,"name":"Milepost","value":"23.3291"},{"id":17,"name":"Train ID","value":"205-08"},{"id":16,"name":"Locomotive ID","value":"4002"},{"id":130,"name":"Impact","value":""},{"id":150,"name":"Time of Event (Mountain Time)","value":"17:21:35"},{"id":151,"name":"Denver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3"/>
        <v>start /low /b %USERPROFILE%\Documents\GitHub\eaglep3\Utilities\DownloadLogsFromS3.py --loco 4002 --day 2017-06-08</v>
      </c>
      <c r="AN117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23:21:35"},{"id":29,"name":"Sharepoint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788</v>
      </c>
      <c r="B118" s="7">
        <v>4001</v>
      </c>
      <c r="C118" s="21" t="s">
        <v>204</v>
      </c>
      <c r="D118" s="21" t="s">
        <v>587</v>
      </c>
      <c r="E118" s="13">
        <v>42894.733796296299</v>
      </c>
      <c r="F118" s="13">
        <v>42894.73778935185</v>
      </c>
      <c r="G118" s="7">
        <v>1</v>
      </c>
      <c r="H118" s="21" t="s">
        <v>458</v>
      </c>
      <c r="I118" s="13">
        <v>42894.763599537036</v>
      </c>
      <c r="J118" s="7">
        <v>0</v>
      </c>
      <c r="K118" s="92" t="str">
        <f t="shared" si="26"/>
        <v>4001/4002</v>
      </c>
      <c r="L118" s="21" t="str">
        <f>VLOOKUP(A118,'Trips&amp;Operators'!$C$1:$G$99999,5,FALSE)</f>
        <v>YORK EDGAR</v>
      </c>
      <c r="M118" s="6">
        <f t="shared" si="27"/>
        <v>2.5810185186855961E-2</v>
      </c>
      <c r="N118" s="7">
        <f t="shared" si="45"/>
        <v>37.166666669072583</v>
      </c>
      <c r="O118" s="7"/>
      <c r="P118" s="7"/>
      <c r="Q118" s="22"/>
      <c r="R118" s="173"/>
      <c r="S118" s="176">
        <f t="shared" si="46"/>
        <v>1</v>
      </c>
      <c r="T118" s="202" t="str">
        <f t="shared" si="30"/>
        <v>Southbound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 t="shared" si="31"/>
        <v>https://d0f6bd738d7f1b3e5a7ca70fe4ff75f0.us-east-1.aws.found.io/app/kibana#/discover/Steve-Slow-Train-Analysis-(2080s-and-2083s)?_g=(refreshInterval:(display:Off,pause:!f,section:0,value:0),time:(from:'2017-06-08T16:36:40-0600',mode:absolute,to:'2017-06-08T19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8" s="204" t="str">
        <f t="shared" si="32"/>
        <v>N</v>
      </c>
      <c r="X118" s="204">
        <f t="shared" si="47"/>
        <v>1</v>
      </c>
      <c r="Y118" s="204">
        <f t="shared" si="34"/>
        <v>23.296500000000002</v>
      </c>
      <c r="Z118" s="204">
        <f t="shared" si="35"/>
        <v>1.38E-2</v>
      </c>
      <c r="AA118" s="204">
        <f t="shared" si="36"/>
        <v>23.282700000000002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7"/>
        <v>0206-08</v>
      </c>
      <c r="AE118" s="80" t="str">
        <f t="shared" si="38"/>
        <v>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 &amp; aws s3 cp s3://rtdc.mdm.uploadarchive.raw/RTDC4001/ "%USERPROFILE%\AppData\Local\Temp\OnboardLogs"\RTDC4001\2017-06-09 --exclude "*" --recursive --include "*20170609*" &amp; "%USERPROFILE%\Documents\GitHub\mrs-test-scripts\Headless Mode &amp; Sideloading\WalkAndUnGZ.bat" "%USERPROFILE%\AppData\Local\Temp\OnboardLogs"\RTDC4001\2017-06-09</v>
      </c>
      <c r="AF118" s="77" t="str">
        <f t="shared" si="39"/>
        <v>"C:\Program Files (x86)\AstroGrep\AstroGrep.exe" /e /r /s /spath="%USERPROFILE%\AppData\Local\Temp\OnboardLogs" /stypes="app*4001*20170609*" /stext=" 00:.+((SYSTEM_STATE.+slice.+state.+changed )|(ment ac)|(multiple cpu faults)|(system.+state.+changed )|(\[timeout)|(PRM\|1\|D)|(kpr)|(kdp)|(train st.+moving)|(\|lc)|(penalty))"</v>
      </c>
      <c r="AG118" s="1" t="str">
        <f t="shared" si="40"/>
        <v>EC</v>
      </c>
      <c r="AH118" s="81" t="str">
        <f t="shared" si="41"/>
        <v>"%USERPROFILE%\Documents\GitHub\eaglep3\Utilities\RefineRTDCRunTimes.py" --tripid 206-08 --locoid 4001 --swversion DE.1.0.9.0 --startMP 204:232965 --initTime 2017-06-08T17:36:40 --startdatetime 2017-06-08T17:42:25 --delay 1 --endMP 204:138 --enddatetime 2017-06-08T18:19:35 --enforcementcount 0 &gt;&gt;C:\Users\stu\Documents\GitHub\eaglep3-reporting\EC\2017-06-08-refined-times.txt</v>
      </c>
      <c r="AI118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{"issue":{"subject":"","project_id":79,"tracker_id":40,"status_id":1,"priority_id":2,"assigned_to_id":23,"start_date":"2017-06-08","description":"","custom_fields":[{"id":1,"name":"Subdivision","value":"EC"},{"id":4,"name":"Milepost","value":"0.0138"},{"id":17,"name":"Train ID","value":"206-08"},{"id":16,"name":"Locomotive ID","value":"4001"},{"id":130,"name":"Impact","value":""},{"id":150,"name":"Time of Event (Mountain Time)","value":"18:19:35"},{"id":151,"name":"Denver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3"/>
        <v>start /low /b %USERPROFILE%\Documents\GitHub\eaglep3\Utilities\DownloadLogsFromS3.py --loco 4001 --day 2017-06-08</v>
      </c>
      <c r="AN118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00:19:35"},{"id":29,"name":"Sharepoint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781</v>
      </c>
      <c r="B119" s="7">
        <v>4030</v>
      </c>
      <c r="C119" s="21" t="s">
        <v>204</v>
      </c>
      <c r="D119" s="21" t="s">
        <v>368</v>
      </c>
      <c r="E119" s="13">
        <v>42894.705185185187</v>
      </c>
      <c r="F119" s="13">
        <v>42894.708749999998</v>
      </c>
      <c r="G119" s="7">
        <v>1</v>
      </c>
      <c r="H119" s="21" t="s">
        <v>884</v>
      </c>
      <c r="I119" s="13">
        <v>42894.733576388891</v>
      </c>
      <c r="J119" s="7">
        <v>0</v>
      </c>
      <c r="K119" s="92" t="str">
        <f t="shared" si="26"/>
        <v>4029/4030</v>
      </c>
      <c r="L119" s="21" t="str">
        <f>VLOOKUP(A119,'Trips&amp;Operators'!$C$1:$G$99999,5,FALSE)</f>
        <v>LEVIN SCOTT</v>
      </c>
      <c r="M119" s="6">
        <f t="shared" si="27"/>
        <v>2.4826388893416151E-2</v>
      </c>
      <c r="N119" s="7">
        <f t="shared" si="45"/>
        <v>35.750000006519258</v>
      </c>
      <c r="O119" s="7"/>
      <c r="P119" s="7"/>
      <c r="Q119" s="22"/>
      <c r="R119" s="173"/>
      <c r="S119" s="176">
        <f t="shared" si="46"/>
        <v>1</v>
      </c>
      <c r="T119" s="202" t="str">
        <f t="shared" si="30"/>
        <v>NorthBound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31"/>
        <v>https://d0f6bd738d7f1b3e5a7ca70fe4ff75f0.us-east-1.aws.found.io/app/kibana#/discover/Steve-Slow-Train-Analysis-(2080s-and-2083s)?_g=(refreshInterval:(display:Off,pause:!f,section:0,value:0),time:(from:'2017-06-08T15:55:28-0600',mode:absolute,to:'2017-06-08T18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9" s="204" t="str">
        <f t="shared" si="32"/>
        <v>N</v>
      </c>
      <c r="X119" s="204">
        <f t="shared" si="47"/>
        <v>1</v>
      </c>
      <c r="Y119" s="204">
        <f t="shared" si="34"/>
        <v>4.5499999999999999E-2</v>
      </c>
      <c r="Z119" s="204">
        <f t="shared" si="35"/>
        <v>23.341699999999999</v>
      </c>
      <c r="AA119" s="204">
        <f t="shared" si="36"/>
        <v>23.296199999999999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7"/>
        <v>0207-08</v>
      </c>
      <c r="AE119" s="80" t="str">
        <f t="shared" si="38"/>
        <v>aws s3 cp s3://rtdc.mdm.uploadarchive.raw/RTDC4030/ "%USERPROFILE%\AppData\Local\Temp\OnboardLogs"\RTDC4030\2017-06-08 --exclude "*" --recursive --include "*20170608*" &amp; "%USERPROFILE%\Documents\GitHub\mrs-test-scripts\Headless Mode &amp; Sideloading\WalkAndUnGZ.bat" "%USERPROFILE%\AppData\Local\Temp\OnboardLogs"\RTDC4030\2017-06-08 &amp; 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</v>
      </c>
      <c r="AF119" s="77" t="str">
        <f t="shared" si="39"/>
        <v>"C:\Program Files (x86)\AstroGrep\AstroGrep.exe" /e /r /s /spath="%USERPROFILE%\AppData\Local\Temp\OnboardLogs" /stypes="app*4030*20170608*" /stext=" 23:.+((SYSTEM_STATE.+slice.+state.+changed )|(ment ac)|(multiple cpu faults)|(system.+state.+changed )|(\[timeout)|(PRM\|1\|D)|(kpr)|(kdp)|(train st.+moving)|(\|lc)|(penalty))"</v>
      </c>
      <c r="AG119" s="1" t="str">
        <f t="shared" si="40"/>
        <v>EC</v>
      </c>
      <c r="AH119" s="81" t="str">
        <f t="shared" si="41"/>
        <v>"%USERPROFILE%\Documents\GitHub\eaglep3\Utilities\RefineRTDCRunTimes.py" --tripid 207-08 --locoid 4030 --swversion DE.1.0.9.0 --startMP 204:455 --initTime 2017-06-08T16:55:28 --startdatetime 2017-06-08T17:00:36 --delay 1 --endMP 204:233417 --enddatetime 2017-06-08T17:36:21 --enforcementcount 0 &gt;&gt;C:\Users\stu\Documents\GitHub\eaglep3-reporting\EC\2017-06-08-refined-times.txt</v>
      </c>
      <c r="AI119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{"issue":{"subject":"","project_id":79,"tracker_id":40,"status_id":1,"priority_id":2,"assigned_to_id":23,"start_date":"2017-06-08","description":"","custom_fields":[{"id":1,"name":"Subdivision","value":"EC"},{"id":4,"name":"Milepost","value":"23.3417"},{"id":17,"name":"Train ID","value":"207-08"},{"id":16,"name":"Locomotive ID","value":"4030"},{"id":130,"name":"Impact","value":""},{"id":150,"name":"Time of Event (Mountain Time)","value":"17:36:21"},{"id":151,"name":"Denver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3"/>
        <v>start /low /b %USERPROFILE%\Documents\GitHub\eaglep3\Utilities\DownloadLogsFromS3.py --loco 4030 --day 2017-06-08</v>
      </c>
      <c r="AN119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23:36:21"},{"id":29,"name":"Sharepoint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792</v>
      </c>
      <c r="B120" s="7">
        <v>4029</v>
      </c>
      <c r="C120" s="21" t="s">
        <v>204</v>
      </c>
      <c r="D120" s="21" t="s">
        <v>885</v>
      </c>
      <c r="E120" s="13">
        <v>42894.746018518519</v>
      </c>
      <c r="F120" s="13">
        <v>42894.748078703706</v>
      </c>
      <c r="G120" s="7">
        <v>1</v>
      </c>
      <c r="H120" s="21" t="s">
        <v>886</v>
      </c>
      <c r="I120" s="13">
        <v>42894.774085648147</v>
      </c>
      <c r="J120" s="7">
        <v>0</v>
      </c>
      <c r="K120" s="92" t="str">
        <f t="shared" si="26"/>
        <v>4029/4030</v>
      </c>
      <c r="L120" s="21" t="str">
        <f>VLOOKUP(A120,'Trips&amp;Operators'!$C$1:$G$99999,5,FALSE)</f>
        <v>LEVIN SCOTT</v>
      </c>
      <c r="M120" s="6">
        <f t="shared" si="27"/>
        <v>2.6006944441178348E-2</v>
      </c>
      <c r="N120" s="7">
        <f t="shared" si="45"/>
        <v>37.449999995296821</v>
      </c>
      <c r="O120" s="7"/>
      <c r="P120" s="7"/>
      <c r="Q120" s="22"/>
      <c r="R120" s="173"/>
      <c r="S120" s="176">
        <f t="shared" si="46"/>
        <v>1</v>
      </c>
      <c r="T120" s="202" t="str">
        <f t="shared" si="30"/>
        <v>Southbound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31"/>
        <v>https://d0f6bd738d7f1b3e5a7ca70fe4ff75f0.us-east-1.aws.found.io/app/kibana#/discover/Steve-Slow-Train-Analysis-(2080s-and-2083s)?_g=(refreshInterval:(display:Off,pause:!f,section:0,value:0),time:(from:'2017-06-08T16:54:16-0600',mode:absolute,to:'2017-06-08T19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0" s="204" t="str">
        <f t="shared" si="32"/>
        <v>N</v>
      </c>
      <c r="X120" s="204">
        <f t="shared" si="47"/>
        <v>1</v>
      </c>
      <c r="Y120" s="204">
        <f t="shared" si="34"/>
        <v>23.311900000000001</v>
      </c>
      <c r="Z120" s="204">
        <f t="shared" si="35"/>
        <v>7.9000000000000008E-3</v>
      </c>
      <c r="AA120" s="204">
        <f t="shared" si="36"/>
        <v>23.304000000000002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7"/>
        <v>0208-08</v>
      </c>
      <c r="AE120" s="80" t="str">
        <f t="shared" si="38"/>
        <v>aws s3 cp s3://rtdc.mdm.uploadarchive.raw/RTDC4029/ "%USERPROFILE%\AppData\Local\Temp\OnboardLogs"\RTDC4029\2017-06-08 --exclude "*" --recursive --include "*20170608*" &amp; "%USERPROFILE%\Documents\GitHub\mrs-test-scripts\Headless Mode &amp; Sideloading\WalkAndUnGZ.bat" "%USERPROFILE%\AppData\Local\Temp\OnboardLogs"\RTDC4029\2017-06-08 &amp; 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</v>
      </c>
      <c r="AF120" s="77" t="str">
        <f t="shared" si="39"/>
        <v>"C:\Program Files (x86)\AstroGrep\AstroGrep.exe" /e /r /s /spath="%USERPROFILE%\AppData\Local\Temp\OnboardLogs" /stypes="app*4029*20170609*" /stext=" 00:.+((SYSTEM_STATE.+slice.+state.+changed )|(ment ac)|(multiple cpu faults)|(system.+state.+changed )|(\[timeout)|(PRM\|1\|D)|(kpr)|(kdp)|(train st.+moving)|(\|lc)|(penalty))"</v>
      </c>
      <c r="AG120" s="1" t="str">
        <f t="shared" si="40"/>
        <v>EC</v>
      </c>
      <c r="AH120" s="81" t="str">
        <f t="shared" si="41"/>
        <v>"%USERPROFILE%\Documents\GitHub\eaglep3\Utilities\RefineRTDCRunTimes.py" --tripid 208-08 --locoid 4029 --swversion DE.1.0.9.0 --startMP 204:233119 --initTime 2017-06-08T17:54:16 --startdatetime 2017-06-08T17:57:14 --delay 1 --endMP 204:79 --enddatetime 2017-06-08T18:34:41 --enforcementcount 0 &gt;&gt;C:\Users\stu\Documents\GitHub\eaglep3-reporting\EC\2017-06-08-refined-times.txt</v>
      </c>
      <c r="AI120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{"issue":{"subject":"","project_id":79,"tracker_id":40,"status_id":1,"priority_id":2,"assigned_to_id":23,"start_date":"2017-06-08","description":"","custom_fields":[{"id":1,"name":"Subdivision","value":"EC"},{"id":4,"name":"Milepost","value":"0.0079"},{"id":17,"name":"Train ID","value":"208-08"},{"id":16,"name":"Locomotive ID","value":"4029"},{"id":130,"name":"Impact","value":""},{"id":150,"name":"Time of Event (Mountain Time)","value":"18:34:41"},{"id":151,"name":"Denver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3"/>
        <v>start /low /b %USERPROFILE%\Documents\GitHub\eaglep3\Utilities\DownloadLogsFromS3.py --loco 4029 --day 2017-06-08</v>
      </c>
      <c r="AN120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00:34:41"},{"id":29,"name":"Sharepoint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783</v>
      </c>
      <c r="B121" s="7">
        <v>4022</v>
      </c>
      <c r="C121" s="21" t="s">
        <v>204</v>
      </c>
      <c r="D121" s="21" t="s">
        <v>887</v>
      </c>
      <c r="E121" s="13">
        <v>42894.71502314815</v>
      </c>
      <c r="F121" s="13">
        <v>42894.718912037039</v>
      </c>
      <c r="G121" s="7">
        <v>1</v>
      </c>
      <c r="H121" s="21" t="s">
        <v>888</v>
      </c>
      <c r="I121" s="13">
        <v>42894.744027777779</v>
      </c>
      <c r="J121" s="7">
        <v>0</v>
      </c>
      <c r="K121" s="92" t="str">
        <f t="shared" si="26"/>
        <v>4021/4022</v>
      </c>
      <c r="L121" s="21" t="str">
        <f>VLOOKUP(A121,'Trips&amp;Operators'!$C$1:$G$99999,5,FALSE)</f>
        <v>DELGADO DIANAH</v>
      </c>
      <c r="M121" s="6">
        <f t="shared" si="27"/>
        <v>2.5115740740147885E-2</v>
      </c>
      <c r="N121" s="7">
        <f t="shared" si="45"/>
        <v>36.166666665812954</v>
      </c>
      <c r="O121" s="7"/>
      <c r="P121" s="7"/>
      <c r="Q121" s="22"/>
      <c r="R121" s="173"/>
      <c r="S121" s="176">
        <f t="shared" si="46"/>
        <v>1</v>
      </c>
      <c r="T121" s="202" t="str">
        <f t="shared" si="30"/>
        <v>NorthBound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31"/>
        <v>https://d0f6bd738d7f1b3e5a7ca70fe4ff75f0.us-east-1.aws.found.io/app/kibana#/discover/Steve-Slow-Train-Analysis-(2080s-and-2083s)?_g=(refreshInterval:(display:Off,pause:!f,section:0,value:0),time:(from:'2017-06-08T16:09:38-0600',mode:absolute,to:'2017-06-08T18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1" s="204" t="str">
        <f t="shared" si="32"/>
        <v>N</v>
      </c>
      <c r="X121" s="204">
        <f t="shared" si="47"/>
        <v>1</v>
      </c>
      <c r="Y121" s="204">
        <f t="shared" si="34"/>
        <v>4.3099999999999999E-2</v>
      </c>
      <c r="Z121" s="204">
        <f t="shared" si="35"/>
        <v>23.338000000000001</v>
      </c>
      <c r="AA121" s="204">
        <f t="shared" si="36"/>
        <v>23.294900000000002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7"/>
        <v>0209-08</v>
      </c>
      <c r="AE121" s="80" t="str">
        <f t="shared" si="38"/>
        <v>aws s3 cp s3://rtdc.mdm.uploadarchive.raw/RTDC4022/ "%USERPROFILE%\AppData\Local\Temp\OnboardLogs"\RTDC4022\2017-06-08 --exclude "*" --recursive --include "*20170608*" &amp; "%USERPROFILE%\Documents\GitHub\mrs-test-scripts\Headless Mode &amp; Sideloading\WalkAndUnGZ.bat" "%USERPROFILE%\AppData\Local\Temp\OnboardLogs"\RTDC4022\2017-06-08 &amp; 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</v>
      </c>
      <c r="AF121" s="77" t="str">
        <f t="shared" si="39"/>
        <v>"C:\Program Files (x86)\AstroGrep\AstroGrep.exe" /e /r /s /spath="%USERPROFILE%\AppData\Local\Temp\OnboardLogs" /stypes="app*4022*20170608*" /stext=" 23:.+((SYSTEM_STATE.+slice.+state.+changed )|(ment ac)|(multiple cpu faults)|(system.+state.+changed )|(\[timeout)|(PRM\|1\|D)|(kpr)|(kdp)|(train st.+moving)|(\|lc)|(penalty))"</v>
      </c>
      <c r="AG121" s="1" t="str">
        <f t="shared" si="40"/>
        <v>EC</v>
      </c>
      <c r="AH121" s="81" t="str">
        <f t="shared" si="41"/>
        <v>"%USERPROFILE%\Documents\GitHub\eaglep3\Utilities\RefineRTDCRunTimes.py" --tripid 209-08 --locoid 4022 --swversion DE.1.0.9.0 --startMP 204:431 --initTime 2017-06-08T17:09:38 --startdatetime 2017-06-08T17:15:14 --delay 1 --endMP 204:233380 --enddatetime 2017-06-08T17:51:24 --enforcementcount 0 &gt;&gt;C:\Users\stu\Documents\GitHub\eaglep3-reporting\EC\2017-06-08-refined-times.txt</v>
      </c>
      <c r="AI121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{"issue":{"subject":"","project_id":79,"tracker_id":40,"status_id":1,"priority_id":2,"assigned_to_id":23,"start_date":"2017-06-08","description":"","custom_fields":[{"id":1,"name":"Subdivision","value":"EC"},{"id":4,"name":"Milepost","value":"23.338"},{"id":17,"name":"Train ID","value":"209-08"},{"id":16,"name":"Locomotive ID","value":"4022"},{"id":130,"name":"Impact","value":""},{"id":150,"name":"Time of Event (Mountain Time)","value":"17:51:24"},{"id":151,"name":"Denver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3"/>
        <v>start /low /b %USERPROFILE%\Documents\GitHub\eaglep3\Utilities\DownloadLogsFromS3.py --loco 4022 --day 2017-06-08</v>
      </c>
      <c r="AN121" s="154" t="str">
        <f t="shared" si="44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23:51:24"},{"id":29,"name":"Sharepoint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794</v>
      </c>
      <c r="B122" s="7">
        <v>4021</v>
      </c>
      <c r="C122" s="21" t="s">
        <v>204</v>
      </c>
      <c r="D122" s="21" t="s">
        <v>889</v>
      </c>
      <c r="E122" s="13">
        <v>42894.753645833334</v>
      </c>
      <c r="F122" s="13">
        <v>42894.758483796293</v>
      </c>
      <c r="G122" s="7">
        <v>1</v>
      </c>
      <c r="H122" s="21" t="s">
        <v>196</v>
      </c>
      <c r="I122" s="13">
        <v>42894.784270833334</v>
      </c>
      <c r="J122" s="7">
        <v>0</v>
      </c>
      <c r="K122" s="92" t="str">
        <f t="shared" si="26"/>
        <v>4021/4022</v>
      </c>
      <c r="L122" s="21" t="str">
        <f>VLOOKUP(A122,'Trips&amp;Operators'!$C$1:$G$99999,5,FALSE)</f>
        <v>DELGADO DIANAH</v>
      </c>
      <c r="M122" s="6">
        <f t="shared" si="27"/>
        <v>2.5787037040572613E-2</v>
      </c>
      <c r="N122" s="7">
        <f t="shared" si="45"/>
        <v>37.133333338424563</v>
      </c>
      <c r="O122" s="7"/>
      <c r="P122" s="7"/>
      <c r="Q122" s="22"/>
      <c r="R122" s="173"/>
      <c r="S122" s="176">
        <f t="shared" si="46"/>
        <v>1</v>
      </c>
      <c r="T122" s="202" t="str">
        <f t="shared" si="30"/>
        <v>Southbound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 t="shared" si="31"/>
        <v>https://d0f6bd738d7f1b3e5a7ca70fe4ff75f0.us-east-1.aws.found.io/app/kibana#/discover/Steve-Slow-Train-Analysis-(2080s-and-2083s)?_g=(refreshInterval:(display:Off,pause:!f,section:0,value:0),time:(from:'2017-06-08T17:05:15-0600',mode:absolute,to:'2017-06-08T19:49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2" s="204" t="str">
        <f t="shared" si="32"/>
        <v>N</v>
      </c>
      <c r="X122" s="204">
        <f t="shared" si="47"/>
        <v>1</v>
      </c>
      <c r="Y122" s="204">
        <f t="shared" si="34"/>
        <v>23.306699999999999</v>
      </c>
      <c r="Z122" s="204">
        <f t="shared" si="35"/>
        <v>1.5800000000000002E-2</v>
      </c>
      <c r="AA122" s="204">
        <f t="shared" si="36"/>
        <v>23.290900000000001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7"/>
        <v>0210-08</v>
      </c>
      <c r="AE122" s="80" t="str">
        <f t="shared" si="38"/>
        <v>aws s3 cp s3://rtdc.mdm.uploadarchive.raw/RTDC4021/ "%USERPROFILE%\AppData\Local\Temp\OnboardLogs"\RTDC4021\2017-06-08 --exclude "*" --recursive --include "*20170608*" &amp; "%USERPROFILE%\Documents\GitHub\mrs-test-scripts\Headless Mode &amp; Sideloading\WalkAndUnGZ.bat" "%USERPROFILE%\AppData\Local\Temp\OnboardLogs"\RTDC4021\2017-06-08 &amp; 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</v>
      </c>
      <c r="AF122" s="77" t="str">
        <f t="shared" si="39"/>
        <v>"C:\Program Files (x86)\AstroGrep\AstroGrep.exe" /e /r /s /spath="%USERPROFILE%\AppData\Local\Temp\OnboardLogs" /stypes="app*4021*20170609*" /stext=" 00:.+((SYSTEM_STATE.+slice.+state.+changed )|(ment ac)|(multiple cpu faults)|(system.+state.+changed )|(\[timeout)|(PRM\|1\|D)|(kpr)|(kdp)|(train st.+moving)|(\|lc)|(penalty))"</v>
      </c>
      <c r="AG122" s="1" t="str">
        <f t="shared" si="40"/>
        <v>EC</v>
      </c>
      <c r="AH122" s="81" t="str">
        <f t="shared" si="41"/>
        <v>"%USERPROFILE%\Documents\GitHub\eaglep3\Utilities\RefineRTDCRunTimes.py" --tripid 210-08 --locoid 4021 --swversion DE.1.0.9.0 --startMP 204:233067 --initTime 2017-06-08T18:05:15 --startdatetime 2017-06-08T18:12:13 --delay 1 --endMP 204:158 --enddatetime 2017-06-08T18:49:21 --enforcementcount 0 &gt;&gt;C:\Users\stu\Documents\GitHub\eaglep3-reporting\EC\2017-06-08-refined-times.txt</v>
      </c>
      <c r="AI122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{"issue":{"subject":"","project_id":79,"tracker_id":40,"status_id":1,"priority_id":2,"assigned_to_id":23,"start_date":"2017-06-08","description":"","custom_fields":[{"id":1,"name":"Subdivision","value":"EC"},{"id":4,"name":"Milepost","value":"0.0158"},{"id":17,"name":"Train ID","value":"210-08"},{"id":16,"name":"Locomotive ID","value":"4021"},{"id":130,"name":"Impact","value":""},{"id":150,"name":"Time of Event (Mountain Time)","value":"18:49:21"},{"id":151,"name":"Denver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3"/>
        <v>start /low /b %USERPROFILE%\Documents\GitHub\eaglep3\Utilities\DownloadLogsFromS3.py --loco 4021 --day 2017-06-08</v>
      </c>
      <c r="AN122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00:49:21"},{"id":29,"name":"Sharepoint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785</v>
      </c>
      <c r="B123" s="7">
        <v>4044</v>
      </c>
      <c r="C123" s="21" t="s">
        <v>204</v>
      </c>
      <c r="D123" s="21" t="s">
        <v>368</v>
      </c>
      <c r="E123" s="13">
        <v>42894.725902777776</v>
      </c>
      <c r="F123" s="13">
        <v>42894.729432870372</v>
      </c>
      <c r="G123" s="7">
        <v>1</v>
      </c>
      <c r="H123" s="21" t="s">
        <v>890</v>
      </c>
      <c r="I123" s="13">
        <v>42894.755462962959</v>
      </c>
      <c r="J123" s="7">
        <v>0</v>
      </c>
      <c r="K123" s="92" t="str">
        <f t="shared" si="26"/>
        <v>4043/4044</v>
      </c>
      <c r="L123" s="21" t="str">
        <f>VLOOKUP(A123,'Trips&amp;Operators'!$C$1:$G$99999,5,FALSE)</f>
        <v>BERLING GARY</v>
      </c>
      <c r="M123" s="6">
        <f t="shared" si="27"/>
        <v>2.6030092587461695E-2</v>
      </c>
      <c r="N123" s="7">
        <f t="shared" si="45"/>
        <v>37.483333325944841</v>
      </c>
      <c r="O123" s="7"/>
      <c r="P123" s="7"/>
      <c r="Q123" s="22"/>
      <c r="R123" s="173"/>
      <c r="S123" s="176">
        <f t="shared" si="46"/>
        <v>1</v>
      </c>
      <c r="T123" s="202" t="str">
        <f t="shared" si="30"/>
        <v>NorthBound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 t="shared" si="31"/>
        <v>https://d0f6bd738d7f1b3e5a7ca70fe4ff75f0.us-east-1.aws.found.io/app/kibana#/discover/Steve-Slow-Train-Analysis-(2080s-and-2083s)?_g=(refreshInterval:(display:Off,pause:!f,section:0,value:0),time:(from:'2017-06-08T16:25:18-0600',mode:absolute,to:'2017-06-08T19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3" s="204" t="str">
        <f t="shared" si="32"/>
        <v>N</v>
      </c>
      <c r="X123" s="204">
        <f t="shared" si="47"/>
        <v>1</v>
      </c>
      <c r="Y123" s="204">
        <f t="shared" si="34"/>
        <v>4.5499999999999999E-2</v>
      </c>
      <c r="Z123" s="204">
        <f t="shared" si="35"/>
        <v>23.336600000000001</v>
      </c>
      <c r="AA123" s="204">
        <f t="shared" si="36"/>
        <v>23.2911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7"/>
        <v>0211-08</v>
      </c>
      <c r="AE123" s="80" t="str">
        <f t="shared" si="38"/>
        <v>aws s3 cp s3://rtdc.mdm.uploadarchive.raw/RTDC4044/ "%USERPROFILE%\AppData\Local\Temp\OnboardLogs"\RTDC4044\2017-06-08 --exclude "*" --recursive --include "*20170608*" &amp; "%USERPROFILE%\Documents\GitHub\mrs-test-scripts\Headless Mode &amp; Sideloading\WalkAndUnGZ.bat" "%USERPROFILE%\AppData\Local\Temp\OnboardLogs"\RTDC4044\2017-06-08 &amp; aws s3 cp s3://rtdc.mdm.uploadarchive.raw/RTDC4044/ "%USERPROFILE%\AppData\Local\Temp\OnboardLogs"\RTDC4044\2017-06-09 --exclude "*" --recursive --include "*20170609*" &amp; "%USERPROFILE%\Documents\GitHub\mrs-test-scripts\Headless Mode &amp; Sideloading\WalkAndUnGZ.bat" "%USERPROFILE%\AppData\Local\Temp\OnboardLogs"\RTDC4044\2017-06-09</v>
      </c>
      <c r="AF123" s="77" t="str">
        <f t="shared" si="39"/>
        <v>"C:\Program Files (x86)\AstroGrep\AstroGrep.exe" /e /r /s /spath="%USERPROFILE%\AppData\Local\Temp\OnboardLogs" /stypes="app*4044*20170609*" /stext=" 00:.+((SYSTEM_STATE.+slice.+state.+changed )|(ment ac)|(multiple cpu faults)|(system.+state.+changed )|(\[timeout)|(PRM\|1\|D)|(kpr)|(kdp)|(train st.+moving)|(\|lc)|(penalty))"</v>
      </c>
      <c r="AG123" s="1" t="str">
        <f t="shared" si="40"/>
        <v>EC</v>
      </c>
      <c r="AH123" s="81" t="str">
        <f t="shared" si="41"/>
        <v>"%USERPROFILE%\Documents\GitHub\eaglep3\Utilities\RefineRTDCRunTimes.py" --tripid 211-08 --locoid 4044 --swversion DE.1.0.9.0 --startMP 204:455 --initTime 2017-06-08T17:25:18 --startdatetime 2017-06-08T17:30:23 --delay 1 --endMP 204:233366 --enddatetime 2017-06-08T18:07:52 --enforcementcount 0 &gt;&gt;C:\Users\stu\Documents\GitHub\eaglep3-reporting\EC\2017-06-08-refined-times.txt</v>
      </c>
      <c r="AI123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{"issue":{"subject":"","project_id":79,"tracker_id":40,"status_id":1,"priority_id":2,"assigned_to_id":23,"start_date":"2017-06-08","description":"","custom_fields":[{"id":1,"name":"Subdivision","value":"EC"},{"id":4,"name":"Milepost","value":"23.3366"},{"id":17,"name":"Train ID","value":"211-08"},{"id":16,"name":"Locomotive ID","value":"4044"},{"id":130,"name":"Impact","value":""},{"id":150,"name":"Time of Event (Mountain Time)","value":"18:07:52"},{"id":151,"name":"Denver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3"/>
        <v>start /low /b %USERPROFILE%\Documents\GitHub\eaglep3\Utilities\DownloadLogsFromS3.py --loco 4044 --day 2017-06-08</v>
      </c>
      <c r="AN123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00:07:52"},{"id":29,"name":"Sharepoint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643</v>
      </c>
      <c r="B124" s="7">
        <v>4043</v>
      </c>
      <c r="C124" s="21" t="s">
        <v>204</v>
      </c>
      <c r="D124" s="21" t="s">
        <v>891</v>
      </c>
      <c r="E124" s="13">
        <v>42894.763333333336</v>
      </c>
      <c r="F124" s="13">
        <v>42894.768935185188</v>
      </c>
      <c r="G124" s="7">
        <v>1</v>
      </c>
      <c r="H124" s="21" t="s">
        <v>892</v>
      </c>
      <c r="I124" s="13">
        <v>42894.795925925922</v>
      </c>
      <c r="J124" s="7">
        <v>0</v>
      </c>
      <c r="K124" s="92" t="str">
        <f t="shared" si="26"/>
        <v>4043/4044</v>
      </c>
      <c r="L124" s="21" t="str">
        <f>VLOOKUP(A124,'Trips&amp;Operators'!$C$1:$G$99999,5,FALSE)</f>
        <v>BERLING GARY</v>
      </c>
      <c r="M124" s="6">
        <f t="shared" si="27"/>
        <v>2.6990740734618157E-2</v>
      </c>
      <c r="N124" s="7">
        <f t="shared" si="45"/>
        <v>38.866666657850146</v>
      </c>
      <c r="O124" s="7"/>
      <c r="P124" s="7"/>
      <c r="Q124" s="22"/>
      <c r="R124" s="173"/>
      <c r="S124" s="176">
        <f t="shared" si="46"/>
        <v>1</v>
      </c>
      <c r="T124" s="202" t="str">
        <f t="shared" si="30"/>
        <v>Southbound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31"/>
        <v>https://d0f6bd738d7f1b3e5a7ca70fe4ff75f0.us-east-1.aws.found.io/app/kibana#/discover/Steve-Slow-Train-Analysis-(2080s-and-2083s)?_g=(refreshInterval:(display:Off,pause:!f,section:0,value:0),time:(from:'2017-06-08T17:19:12-0600',mode:absolute,to:'2017-06-08T20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4" s="204" t="str">
        <f t="shared" si="32"/>
        <v>N</v>
      </c>
      <c r="X124" s="204">
        <f t="shared" si="47"/>
        <v>1</v>
      </c>
      <c r="Y124" s="204">
        <f t="shared" si="34"/>
        <v>23.305700000000002</v>
      </c>
      <c r="Z124" s="204">
        <f t="shared" si="35"/>
        <v>1.7100000000000001E-2</v>
      </c>
      <c r="AA124" s="204">
        <f t="shared" si="36"/>
        <v>23.288600000000002</v>
      </c>
      <c r="AB124" s="57" t="str">
        <f>VLOOKUP(A124,Enforcements!$C$7:$K$13,8,0)</f>
        <v>Bulletin (2)</v>
      </c>
      <c r="AC124" s="53" t="str">
        <f>VLOOKUP(A124,Enforcements!$C$7:$E$13,3,0)</f>
        <v>GRADE CROSSING</v>
      </c>
      <c r="AD124" s="54" t="str">
        <f t="shared" si="37"/>
        <v>0212-08</v>
      </c>
      <c r="AE124" s="80" t="str">
        <f t="shared" si="38"/>
        <v>aws s3 cp s3://rtdc.mdm.uploadarchive.raw/RTDC4043/ "%USERPROFILE%\AppData\Local\Temp\OnboardLogs"\RTDC4043\2017-06-08 --exclude "*" --recursive --include "*20170608*" &amp; "%USERPROFILE%\Documents\GitHub\mrs-test-scripts\Headless Mode &amp; Sideloading\WalkAndUnGZ.bat" "%USERPROFILE%\AppData\Local\Temp\OnboardLogs"\RTDC4043\2017-06-08 &amp; aws s3 cp s3://rtdc.mdm.uploadarchive.raw/RTDC4043/ "%USERPROFILE%\AppData\Local\Temp\OnboardLogs"\RTDC4043\2017-06-09 --exclude "*" --recursive --include "*20170609*" &amp; "%USERPROFILE%\Documents\GitHub\mrs-test-scripts\Headless Mode &amp; Sideloading\WalkAndUnGZ.bat" "%USERPROFILE%\AppData\Local\Temp\OnboardLogs"\RTDC4043\2017-06-09</v>
      </c>
      <c r="AF124" s="77" t="str">
        <f t="shared" si="39"/>
        <v>"C:\Program Files (x86)\AstroGrep\AstroGrep.exe" /e /r /s /spath="%USERPROFILE%\AppData\Local\Temp\OnboardLogs" /stypes="app*4043*20170609*" /stext=" 01:.+((SYSTEM_STATE.+slice.+state.+changed )|(ment ac)|(multiple cpu faults)|(system.+state.+changed )|(\[timeout)|(PRM\|1\|D)|(kpr)|(kdp)|(train st.+moving)|(\|lc)|(penalty))"</v>
      </c>
      <c r="AG124" s="1" t="str">
        <f t="shared" si="40"/>
        <v>EC</v>
      </c>
      <c r="AH124" s="81" t="str">
        <f t="shared" si="41"/>
        <v>"%USERPROFILE%\Documents\GitHub\eaglep3\Utilities\RefineRTDCRunTimes.py" --tripid 212-08 --locoid 4043 --swversion DE.1.0.9.0 --startMP 204:233057 --initTime 2017-06-08T18:19:12 --startdatetime 2017-06-08T18:27:16 --delay 1 --endMP 204:171 --enddatetime 2017-06-08T19:06:08 --enforcementcount 0 &gt;&gt;C:\Users\stu\Documents\GitHub\eaglep3-reporting\EC\2017-06-08-refined-times.txt</v>
      </c>
      <c r="AI124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{"issue":{"subject":"","project_id":79,"tracker_id":40,"status_id":1,"priority_id":2,"assigned_to_id":23,"start_date":"2017-06-08","description":"","custom_fields":[{"id":1,"name":"Subdivision","value":"EC"},{"id":4,"name":"Milepost","value":"0.0171"},{"id":17,"name":"Train ID","value":"212-08"},{"id":16,"name":"Locomotive ID","value":"4043"},{"id":130,"name":"Impact","value":""},{"id":150,"name":"Time of Event (Mountain Time)","value":"19:06:08"},{"id":151,"name":"Denver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3"/>
        <v>start /low /b %USERPROFILE%\Documents\GitHub\eaglep3\Utilities\DownloadLogsFromS3.py --loco 4043 --day 2017-06-08</v>
      </c>
      <c r="AN124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01:06:08"},{"id":29,"name":"Sharepoint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790</v>
      </c>
      <c r="B125" s="7">
        <v>4056</v>
      </c>
      <c r="C125" s="21" t="s">
        <v>204</v>
      </c>
      <c r="D125" s="21" t="s">
        <v>893</v>
      </c>
      <c r="E125" s="13">
        <v>42894.73642361111</v>
      </c>
      <c r="F125" s="13">
        <v>42894.739907407406</v>
      </c>
      <c r="G125" s="7">
        <v>1</v>
      </c>
      <c r="H125" s="21" t="s">
        <v>589</v>
      </c>
      <c r="I125" s="13">
        <v>42894.766087962962</v>
      </c>
      <c r="J125" s="7">
        <v>0</v>
      </c>
      <c r="K125" s="92" t="str">
        <f t="shared" si="26"/>
        <v>4055/4056</v>
      </c>
      <c r="L125" s="21" t="str">
        <f>VLOOKUP(A125,'Trips&amp;Operators'!$C$1:$G$99999,5,FALSE)</f>
        <v>SMITH MICHAEL</v>
      </c>
      <c r="M125" s="6">
        <f t="shared" si="27"/>
        <v>2.6180555556493346E-2</v>
      </c>
      <c r="N125" s="7">
        <f t="shared" si="45"/>
        <v>37.700000001350418</v>
      </c>
      <c r="O125" s="7"/>
      <c r="P125" s="7"/>
      <c r="Q125" s="22"/>
      <c r="R125" s="173"/>
      <c r="S125" s="176">
        <f t="shared" si="46"/>
        <v>1</v>
      </c>
      <c r="T125" s="202" t="str">
        <f t="shared" si="30"/>
        <v>NorthBound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 t="shared" si="31"/>
        <v>https://d0f6bd738d7f1b3e5a7ca70fe4ff75f0.us-east-1.aws.found.io/app/kibana#/discover/Steve-Slow-Train-Analysis-(2080s-and-2083s)?_g=(refreshInterval:(display:Off,pause:!f,section:0,value:0),time:(from:'2017-06-08T16:40:27-0600',mode:absolute,to:'2017-06-08T19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5" s="204" t="str">
        <f t="shared" si="32"/>
        <v>N</v>
      </c>
      <c r="X125" s="204">
        <f t="shared" si="47"/>
        <v>1</v>
      </c>
      <c r="Y125" s="204">
        <f t="shared" si="34"/>
        <v>4.9700000000000001E-2</v>
      </c>
      <c r="Z125" s="204">
        <f t="shared" si="35"/>
        <v>23.327200000000001</v>
      </c>
      <c r="AA125" s="204">
        <f t="shared" si="36"/>
        <v>23.2775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7"/>
        <v>0213-08</v>
      </c>
      <c r="AE125" s="80" t="str">
        <f t="shared" si="38"/>
        <v>aws s3 cp s3://rtdc.mdm.uploadarchive.raw/RTDC4056/ "%USERPROFILE%\AppData\Local\Temp\OnboardLogs"\RTDC4056\2017-06-08 --exclude "*" --recursive --include "*20170608*" &amp; "%USERPROFILE%\Documents\GitHub\mrs-test-scripts\Headless Mode &amp; Sideloading\WalkAndUnGZ.bat" "%USERPROFILE%\AppData\Local\Temp\OnboardLogs"\RTDC4056\2017-06-08 &amp; aws s3 cp s3://rtdc.mdm.uploadarchive.raw/RTDC4056/ "%USERPROFILE%\AppData\Local\Temp\OnboardLogs"\RTDC4056\2017-06-09 --exclude "*" --recursive --include "*20170609*" &amp; "%USERPROFILE%\Documents\GitHub\mrs-test-scripts\Headless Mode &amp; Sideloading\WalkAndUnGZ.bat" "%USERPROFILE%\AppData\Local\Temp\OnboardLogs"\RTDC4056\2017-06-09</v>
      </c>
      <c r="AF125" s="77" t="str">
        <f t="shared" si="39"/>
        <v>"C:\Program Files (x86)\AstroGrep\AstroGrep.exe" /e /r /s /spath="%USERPROFILE%\AppData\Local\Temp\OnboardLogs" /stypes="app*4056*20170609*" /stext=" 00:.+((SYSTEM_STATE.+slice.+state.+changed )|(ment ac)|(multiple cpu faults)|(system.+state.+changed )|(\[timeout)|(PRM\|1\|D)|(kpr)|(kdp)|(train st.+moving)|(\|lc)|(penalty))"</v>
      </c>
      <c r="AG125" s="1" t="str">
        <f t="shared" si="40"/>
        <v>EC</v>
      </c>
      <c r="AH125" s="81" t="str">
        <f t="shared" si="41"/>
        <v>"%USERPROFILE%\Documents\GitHub\eaglep3\Utilities\RefineRTDCRunTimes.py" --tripid 213-08 --locoid 4056 --swversion DE.1.0.9.0 --startMP 204:497 --initTime 2017-06-08T17:40:27 --startdatetime 2017-06-08T17:45:28 --delay 1 --endMP 204:233272 --enddatetime 2017-06-08T18:23:10 --enforcementcount 0 &gt;&gt;C:\Users\stu\Documents\GitHub\eaglep3-reporting\EC\2017-06-08-refined-times.txt</v>
      </c>
      <c r="AI125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{"issue":{"subject":"","project_id":79,"tracker_id":40,"status_id":1,"priority_id":2,"assigned_to_id":23,"start_date":"2017-06-08","description":"","custom_fields":[{"id":1,"name":"Subdivision","value":"EC"},{"id":4,"name":"Milepost","value":"23.3272"},{"id":17,"name":"Train ID","value":"213-08"},{"id":16,"name":"Locomotive ID","value":"4056"},{"id":130,"name":"Impact","value":""},{"id":150,"name":"Time of Event (Mountain Time)","value":"18:23:10"},{"id":151,"name":"Denver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3"/>
        <v>start /low /b %USERPROFILE%\Documents\GitHub\eaglep3\Utilities\DownloadLogsFromS3.py --loco 4056 --day 2017-06-08</v>
      </c>
      <c r="AN125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00:23:10"},{"id":29,"name":"Sharepoint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801</v>
      </c>
      <c r="B126" s="7">
        <v>4055</v>
      </c>
      <c r="C126" s="21" t="s">
        <v>204</v>
      </c>
      <c r="D126" s="21" t="s">
        <v>894</v>
      </c>
      <c r="E126" s="13">
        <v>42894.77239583333</v>
      </c>
      <c r="F126" s="13">
        <v>42894.779456018521</v>
      </c>
      <c r="G126" s="7">
        <v>1</v>
      </c>
      <c r="H126" s="21" t="s">
        <v>195</v>
      </c>
      <c r="I126" s="13">
        <v>42894.806331018517</v>
      </c>
      <c r="J126" s="7">
        <v>0</v>
      </c>
      <c r="K126" s="92" t="str">
        <f t="shared" si="26"/>
        <v>4055/4056</v>
      </c>
      <c r="L126" s="21" t="str">
        <f>VLOOKUP(A126,'Trips&amp;Operators'!$C$1:$G$99999,5,FALSE)</f>
        <v>SMITH MICHAEL</v>
      </c>
      <c r="M126" s="6">
        <f t="shared" si="27"/>
        <v>2.6874999995925464E-2</v>
      </c>
      <c r="N126" s="7">
        <f t="shared" si="45"/>
        <v>38.699999994132668</v>
      </c>
      <c r="O126" s="7"/>
      <c r="P126" s="7"/>
      <c r="Q126" s="22"/>
      <c r="R126" s="173"/>
      <c r="S126" s="176">
        <f t="shared" si="46"/>
        <v>1</v>
      </c>
      <c r="T126" s="202" t="str">
        <f t="shared" si="30"/>
        <v>Southbound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 t="shared" si="31"/>
        <v>https://d0f6bd738d7f1b3e5a7ca70fe4ff75f0.us-east-1.aws.found.io/app/kibana#/discover/Steve-Slow-Train-Analysis-(2080s-and-2083s)?_g=(refreshInterval:(display:Off,pause:!f,section:0,value:0),time:(from:'2017-06-08T17:32:15-0600',mode:absolute,to:'2017-06-08T20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6" s="204" t="str">
        <f t="shared" si="32"/>
        <v>N</v>
      </c>
      <c r="X126" s="204">
        <f t="shared" si="47"/>
        <v>1</v>
      </c>
      <c r="Y126" s="204">
        <f t="shared" si="34"/>
        <v>23.295300000000001</v>
      </c>
      <c r="Z126" s="204">
        <f t="shared" si="35"/>
        <v>1.52E-2</v>
      </c>
      <c r="AA126" s="204">
        <f t="shared" si="36"/>
        <v>23.280100000000001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7"/>
        <v>0214-08</v>
      </c>
      <c r="AE126" s="80" t="str">
        <f t="shared" si="38"/>
        <v>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 &amp; aws s3 cp s3://rtdc.mdm.uploadarchive.raw/RTDC4055/ "%USERPROFILE%\AppData\Local\Temp\OnboardLogs"\RTDC4055\2017-06-09 --exclude "*" --recursive --include "*20170609*" &amp; "%USERPROFILE%\Documents\GitHub\mrs-test-scripts\Headless Mode &amp; Sideloading\WalkAndUnGZ.bat" "%USERPROFILE%\AppData\Local\Temp\OnboardLogs"\RTDC4055\2017-06-09</v>
      </c>
      <c r="AF126" s="77" t="str">
        <f t="shared" si="39"/>
        <v>"C:\Program Files (x86)\AstroGrep\AstroGrep.exe" /e /r /s /spath="%USERPROFILE%\AppData\Local\Temp\OnboardLogs" /stypes="app*4055*20170609*" /stext=" 01:.+((SYSTEM_STATE.+slice.+state.+changed )|(ment ac)|(multiple cpu faults)|(system.+state.+changed )|(\[timeout)|(PRM\|1\|D)|(kpr)|(kdp)|(train st.+moving)|(\|lc)|(penalty))"</v>
      </c>
      <c r="AG126" s="1" t="str">
        <f t="shared" si="40"/>
        <v>EC</v>
      </c>
      <c r="AH126" s="81" t="str">
        <f t="shared" si="41"/>
        <v>"%USERPROFILE%\Documents\GitHub\eaglep3\Utilities\RefineRTDCRunTimes.py" --tripid 214-08 --locoid 4055 --swversion DE.1.0.9.0 --startMP 204:232953 --initTime 2017-06-08T18:32:15 --startdatetime 2017-06-08T18:42:25 --delay 1 --endMP 204:152 --enddatetime 2017-06-08T19:21:07 --enforcementcount 0 &gt;&gt;C:\Users\stu\Documents\GitHub\eaglep3-reporting\EC\2017-06-08-refined-times.txt</v>
      </c>
      <c r="AI126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{"issue":{"subject":"","project_id":79,"tracker_id":40,"status_id":1,"priority_id":2,"assigned_to_id":23,"start_date":"2017-06-08","description":"","custom_fields":[{"id":1,"name":"Subdivision","value":"EC"},{"id":4,"name":"Milepost","value":"0.0152"},{"id":17,"name":"Train ID","value":"214-08"},{"id":16,"name":"Locomotive ID","value":"4055"},{"id":130,"name":"Impact","value":""},{"id":150,"name":"Time of Event (Mountain Time)","value":"19:21:07"},{"id":151,"name":"Denver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3"/>
        <v>start /low /b %USERPROFILE%\Documents\GitHub\eaglep3\Utilities\DownloadLogsFromS3.py --loco 4055 --day 2017-06-08</v>
      </c>
      <c r="AN126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01:21:07"},{"id":29,"name":"Sharepoint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791</v>
      </c>
      <c r="B127" s="7">
        <v>4026</v>
      </c>
      <c r="C127" s="21" t="s">
        <v>204</v>
      </c>
      <c r="D127" s="21" t="s">
        <v>895</v>
      </c>
      <c r="E127" s="13">
        <v>42894.744988425926</v>
      </c>
      <c r="F127" s="13">
        <v>42894.750162037039</v>
      </c>
      <c r="G127" s="7">
        <v>1</v>
      </c>
      <c r="H127" s="21" t="s">
        <v>453</v>
      </c>
      <c r="I127" s="13">
        <v>42894.775752314818</v>
      </c>
      <c r="J127" s="7">
        <v>0</v>
      </c>
      <c r="K127" s="92" t="str">
        <f t="shared" si="26"/>
        <v>4025/4026</v>
      </c>
      <c r="L127" s="21" t="str">
        <f>VLOOKUP(A127,'Trips&amp;Operators'!$C$1:$G$99999,5,FALSE)</f>
        <v>HOLCOMB KAMDEN</v>
      </c>
      <c r="M127" s="6">
        <f t="shared" si="27"/>
        <v>2.5590277778974269E-2</v>
      </c>
      <c r="N127" s="7">
        <f t="shared" si="45"/>
        <v>36.850000001722947</v>
      </c>
      <c r="O127" s="7"/>
      <c r="P127" s="7"/>
      <c r="Q127" s="22"/>
      <c r="R127" s="173"/>
      <c r="S127" s="176">
        <f t="shared" si="46"/>
        <v>1</v>
      </c>
      <c r="T127" s="202" t="str">
        <f t="shared" si="30"/>
        <v>NorthBound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 t="shared" si="31"/>
        <v>https://d0f6bd738d7f1b3e5a7ca70fe4ff75f0.us-east-1.aws.found.io/app/kibana#/discover/Steve-Slow-Train-Analysis-(2080s-and-2083s)?_g=(refreshInterval:(display:Off,pause:!f,section:0,value:0),time:(from:'2017-06-08T16:52:47-0600',mode:absolute,to:'2017-06-08T19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7" s="204" t="str">
        <f t="shared" si="32"/>
        <v>N</v>
      </c>
      <c r="X127" s="204">
        <f t="shared" si="47"/>
        <v>1</v>
      </c>
      <c r="Y127" s="204">
        <f t="shared" si="34"/>
        <v>4.8800000000000003E-2</v>
      </c>
      <c r="Z127" s="204">
        <f t="shared" si="35"/>
        <v>23.329699999999999</v>
      </c>
      <c r="AA127" s="204">
        <f t="shared" si="36"/>
        <v>23.280899999999999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7"/>
        <v>0215-08</v>
      </c>
      <c r="AE127" s="80" t="str">
        <f t="shared" si="38"/>
        <v>aws s3 cp s3://rtdc.mdm.uploadarchive.raw/RTDC4026/ "%USERPROFILE%\AppData\Local\Temp\OnboardLogs"\RTDC4026\2017-06-08 --exclude "*" --recursive --include "*20170608*" &amp; "%USERPROFILE%\Documents\GitHub\mrs-test-scripts\Headless Mode &amp; Sideloading\WalkAndUnGZ.bat" "%USERPROFILE%\AppData\Local\Temp\OnboardLogs"\RTDC4026\2017-06-08 &amp; aws s3 cp s3://rtdc.mdm.uploadarchive.raw/RTDC4026/ "%USERPROFILE%\AppData\Local\Temp\OnboardLogs"\RTDC4026\2017-06-09 --exclude "*" --recursive --include "*20170609*" &amp; "%USERPROFILE%\Documents\GitHub\mrs-test-scripts\Headless Mode &amp; Sideloading\WalkAndUnGZ.bat" "%USERPROFILE%\AppData\Local\Temp\OnboardLogs"\RTDC4026\2017-06-09</v>
      </c>
      <c r="AF127" s="77" t="str">
        <f t="shared" si="39"/>
        <v>"C:\Program Files (x86)\AstroGrep\AstroGrep.exe" /e /r /s /spath="%USERPROFILE%\AppData\Local\Temp\OnboardLogs" /stypes="app*4026*20170609*" /stext=" 00:.+((SYSTEM_STATE.+slice.+state.+changed )|(ment ac)|(multiple cpu faults)|(system.+state.+changed )|(\[timeout)|(PRM\|1\|D)|(kpr)|(kdp)|(train st.+moving)|(\|lc)|(penalty))"</v>
      </c>
      <c r="AG127" s="1" t="str">
        <f t="shared" si="40"/>
        <v>EC</v>
      </c>
      <c r="AH127" s="81" t="str">
        <f t="shared" si="41"/>
        <v>"%USERPROFILE%\Documents\GitHub\eaglep3\Utilities\RefineRTDCRunTimes.py" --tripid 215-08 --locoid 4026 --swversion DE.1.0.9.0 --startMP 204:488 --initTime 2017-06-08T17:52:47 --startdatetime 2017-06-08T18:00:14 --delay 1 --endMP 204:233297 --enddatetime 2017-06-08T18:37:05 --enforcementcount 0 &gt;&gt;C:\Users\stu\Documents\GitHub\eaglep3-reporting\EC\2017-06-08-refined-times.txt</v>
      </c>
      <c r="AI127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{"issue":{"subject":"","project_id":79,"tracker_id":40,"status_id":1,"priority_id":2,"assigned_to_id":23,"start_date":"2017-06-08","description":"","custom_fields":[{"id":1,"name":"Subdivision","value":"EC"},{"id":4,"name":"Milepost","value":"23.3297"},{"id":17,"name":"Train ID","value":"215-08"},{"id":16,"name":"Locomotive ID","value":"4026"},{"id":130,"name":"Impact","value":""},{"id":150,"name":"Time of Event (Mountain Time)","value":"18:37:05"},{"id":151,"name":"Denver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3"/>
        <v>start /low /b %USERPROFILE%\Documents\GitHub\eaglep3\Utilities\DownloadLogsFromS3.py --loco 4026 --day 2017-06-08</v>
      </c>
      <c r="AN127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00:37:05"},{"id":29,"name":"Sharepoint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804</v>
      </c>
      <c r="B128" s="7">
        <v>4025</v>
      </c>
      <c r="C128" s="21" t="s">
        <v>204</v>
      </c>
      <c r="D128" s="21" t="s">
        <v>582</v>
      </c>
      <c r="E128" s="13">
        <v>42894.785277777781</v>
      </c>
      <c r="F128" s="13">
        <v>42894.789780092593</v>
      </c>
      <c r="G128" s="7">
        <v>1</v>
      </c>
      <c r="H128" s="21" t="s">
        <v>896</v>
      </c>
      <c r="I128" s="13">
        <v>42894.816562499997</v>
      </c>
      <c r="J128" s="7">
        <v>0</v>
      </c>
      <c r="K128" s="92" t="str">
        <f t="shared" si="26"/>
        <v>4025/4026</v>
      </c>
      <c r="L128" s="21" t="str">
        <f>VLOOKUP(A128,'Trips&amp;Operators'!$C$1:$G$99999,5,FALSE)</f>
        <v>HOLCOMB KAMDEN</v>
      </c>
      <c r="M128" s="6">
        <f t="shared" si="27"/>
        <v>2.6782407403516117E-2</v>
      </c>
      <c r="N128" s="7">
        <f t="shared" si="45"/>
        <v>38.566666661063209</v>
      </c>
      <c r="O128" s="7"/>
      <c r="P128" s="7"/>
      <c r="Q128" s="22"/>
      <c r="R128" s="173"/>
      <c r="S128" s="176">
        <f t="shared" si="46"/>
        <v>1</v>
      </c>
      <c r="T128" s="202" t="str">
        <f t="shared" si="30"/>
        <v>Southbound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31"/>
        <v>https://d0f6bd738d7f1b3e5a7ca70fe4ff75f0.us-east-1.aws.found.io/app/kibana#/discover/Steve-Slow-Train-Analysis-(2080s-and-2083s)?_g=(refreshInterval:(display:Off,pause:!f,section:0,value:0),time:(from:'2017-06-08T17:50:48-0600',mode:absolute,to:'2017-06-08T20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8" s="204" t="str">
        <f t="shared" si="32"/>
        <v>N</v>
      </c>
      <c r="X128" s="204">
        <f t="shared" si="47"/>
        <v>1</v>
      </c>
      <c r="Y128" s="204">
        <f t="shared" si="34"/>
        <v>23.298500000000001</v>
      </c>
      <c r="Z128" s="204">
        <f t="shared" si="35"/>
        <v>3.0700000000000002E-2</v>
      </c>
      <c r="AA128" s="204">
        <f t="shared" si="36"/>
        <v>23.267800000000001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7"/>
        <v>0216-08</v>
      </c>
      <c r="AE128" s="80" t="str">
        <f t="shared" si="38"/>
        <v>aws s3 cp s3://rtdc.mdm.uploadarchive.raw/RTDC4025/ "%USERPROFILE%\AppData\Local\Temp\OnboardLogs"\RTDC4025\2017-06-08 --exclude "*" --recursive --include "*20170608*" &amp; "%USERPROFILE%\Documents\GitHub\mrs-test-scripts\Headless Mode &amp; Sideloading\WalkAndUnGZ.bat" "%USERPROFILE%\AppData\Local\Temp\OnboardLogs"\RTDC4025\2017-06-08 &amp; aws s3 cp s3://rtdc.mdm.uploadarchive.raw/RTDC4025/ "%USERPROFILE%\AppData\Local\Temp\OnboardLogs"\RTDC4025\2017-06-09 --exclude "*" --recursive --include "*20170609*" &amp; "%USERPROFILE%\Documents\GitHub\mrs-test-scripts\Headless Mode &amp; Sideloading\WalkAndUnGZ.bat" "%USERPROFILE%\AppData\Local\Temp\OnboardLogs"\RTDC4025\2017-06-09</v>
      </c>
      <c r="AF128" s="77" t="str">
        <f t="shared" si="39"/>
        <v>"C:\Program Files (x86)\AstroGrep\AstroGrep.exe" /e /r /s /spath="%USERPROFILE%\AppData\Local\Temp\OnboardLogs" /stypes="app*4025*20170609*" /stext=" 01:.+((SYSTEM_STATE.+slice.+state.+changed )|(ment ac)|(multiple cpu faults)|(system.+state.+changed )|(\[timeout)|(PRM\|1\|D)|(kpr)|(kdp)|(train st.+moving)|(\|lc)|(penalty))"</v>
      </c>
      <c r="AG128" s="1" t="str">
        <f t="shared" si="40"/>
        <v>EC</v>
      </c>
      <c r="AH128" s="81" t="str">
        <f t="shared" si="41"/>
        <v>"%USERPROFILE%\Documents\GitHub\eaglep3\Utilities\RefineRTDCRunTimes.py" --tripid 216-08 --locoid 4025 --swversion DE.1.0.9.0 --startMP 204:232985 --initTime 2017-06-08T18:50:48 --startdatetime 2017-06-08T18:57:17 --delay 1 --endMP 204:307 --enddatetime 2017-06-08T19:35:51 --enforcementcount 0 &gt;&gt;C:\Users\stu\Documents\GitHub\eaglep3-reporting\EC\2017-06-08-refined-times.txt</v>
      </c>
      <c r="AI128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{"issue":{"subject":"","project_id":79,"tracker_id":40,"status_id":1,"priority_id":2,"assigned_to_id":23,"start_date":"2017-06-08","description":"","custom_fields":[{"id":1,"name":"Subdivision","value":"EC"},{"id":4,"name":"Milepost","value":"0.0307"},{"id":17,"name":"Train ID","value":"216-08"},{"id":16,"name":"Locomotive ID","value":"4025"},{"id":130,"name":"Impact","value":""},{"id":150,"name":"Time of Event (Mountain Time)","value":"19:35:51"},{"id":151,"name":"Denver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3"/>
        <v>start /low /b %USERPROFILE%\Documents\GitHub\eaglep3\Utilities\DownloadLogsFromS3.py --loco 4025 --day 2017-06-08</v>
      </c>
      <c r="AN128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01:35:51"},{"id":29,"name":"Sharepoint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796</v>
      </c>
      <c r="B129" s="7">
        <v>4004</v>
      </c>
      <c r="C129" s="21" t="s">
        <v>204</v>
      </c>
      <c r="D129" s="21" t="s">
        <v>351</v>
      </c>
      <c r="E129" s="13">
        <v>42894.756921296299</v>
      </c>
      <c r="F129" s="13">
        <v>42894.760983796295</v>
      </c>
      <c r="G129" s="7">
        <v>1</v>
      </c>
      <c r="H129" s="21" t="s">
        <v>897</v>
      </c>
      <c r="I129" s="13">
        <v>42894.786145833335</v>
      </c>
      <c r="J129" s="7">
        <v>0</v>
      </c>
      <c r="K129" s="92" t="str">
        <f t="shared" si="26"/>
        <v>4003/4004</v>
      </c>
      <c r="L129" s="21" t="str">
        <f>VLOOKUP(A129,'Trips&amp;Operators'!$C$1:$G$99999,5,FALSE)</f>
        <v>PERKINS DARREN</v>
      </c>
      <c r="M129" s="6">
        <f t="shared" si="27"/>
        <v>2.5162037039990537E-2</v>
      </c>
      <c r="N129" s="7">
        <f t="shared" si="45"/>
        <v>36.233333337586373</v>
      </c>
      <c r="O129" s="7"/>
      <c r="P129" s="7"/>
      <c r="Q129" s="22"/>
      <c r="R129" s="173"/>
      <c r="S129" s="176">
        <f t="shared" si="46"/>
        <v>1</v>
      </c>
      <c r="T129" s="202" t="str">
        <f t="shared" si="30"/>
        <v>NorthBound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31"/>
        <v>https://d0f6bd738d7f1b3e5a7ca70fe4ff75f0.us-east-1.aws.found.io/app/kibana#/discover/Steve-Slow-Train-Analysis-(2080s-and-2083s)?_g=(refreshInterval:(display:Off,pause:!f,section:0,value:0),time:(from:'2017-06-08T17:09:58-0600',mode:absolute,to:'2017-06-08T19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9" s="204" t="str">
        <f t="shared" si="32"/>
        <v>N</v>
      </c>
      <c r="X129" s="204">
        <f t="shared" si="47"/>
        <v>1</v>
      </c>
      <c r="Y129" s="204">
        <f t="shared" si="34"/>
        <v>4.58E-2</v>
      </c>
      <c r="Z129" s="204">
        <f t="shared" si="35"/>
        <v>23.3337</v>
      </c>
      <c r="AA129" s="204">
        <f t="shared" si="36"/>
        <v>23.2879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7"/>
        <v>0217-08</v>
      </c>
      <c r="AE129" s="80" t="str">
        <f t="shared" si="38"/>
        <v>aws s3 cp s3://rtdc.mdm.uploadarchive.raw/RTDC4004/ "%USERPROFILE%\AppData\Local\Temp\OnboardLogs"\RTDC4004\2017-06-08 --exclude "*" --recursive --include "*20170608*" &amp; "%USERPROFILE%\Documents\GitHub\mrs-test-scripts\Headless Mode &amp; Sideloading\WalkAndUnGZ.bat" "%USERPROFILE%\AppData\Local\Temp\OnboardLogs"\RTDC4004\2017-06-08 &amp; aws s3 cp s3://rtdc.mdm.uploadarchive.raw/RTDC4004/ "%USERPROFILE%\AppData\Local\Temp\OnboardLogs"\RTDC4004\2017-06-09 --exclude "*" --recursive --include "*20170609*" &amp; "%USERPROFILE%\Documents\GitHub\mrs-test-scripts\Headless Mode &amp; Sideloading\WalkAndUnGZ.bat" "%USERPROFILE%\AppData\Local\Temp\OnboardLogs"\RTDC4004\2017-06-09</v>
      </c>
      <c r="AF129" s="77" t="str">
        <f t="shared" si="39"/>
        <v>"C:\Program Files (x86)\AstroGrep\AstroGrep.exe" /e /r /s /spath="%USERPROFILE%\AppData\Local\Temp\OnboardLogs" /stypes="app*4004*20170609*" /stext=" 00:.+((SYSTEM_STATE.+slice.+state.+changed )|(ment ac)|(multiple cpu faults)|(system.+state.+changed )|(\[timeout)|(PRM\|1\|D)|(kpr)|(kdp)|(train st.+moving)|(\|lc)|(penalty))"</v>
      </c>
      <c r="AG129" s="1" t="str">
        <f t="shared" si="40"/>
        <v>EC</v>
      </c>
      <c r="AH129" s="81" t="str">
        <f t="shared" si="41"/>
        <v>"%USERPROFILE%\Documents\GitHub\eaglep3\Utilities\RefineRTDCRunTimes.py" --tripid 217-08 --locoid 4004 --swversion DE.1.0.9.0 --startMP 204:458 --initTime 2017-06-08T18:09:58 --startdatetime 2017-06-08T18:15:49 --delay 1 --endMP 204:233337 --enddatetime 2017-06-08T18:52:03 --enforcementcount 0 &gt;&gt;C:\Users\stu\Documents\GitHub\eaglep3-reporting\EC\2017-06-08-refined-times.txt</v>
      </c>
      <c r="AI129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{"issue":{"subject":"","project_id":79,"tracker_id":40,"status_id":1,"priority_id":2,"assigned_to_id":23,"start_date":"2017-06-08","description":"","custom_fields":[{"id":1,"name":"Subdivision","value":"EC"},{"id":4,"name":"Milepost","value":"23.3337"},{"id":17,"name":"Train ID","value":"217-08"},{"id":16,"name":"Locomotive ID","value":"4004"},{"id":130,"name":"Impact","value":""},{"id":150,"name":"Time of Event (Mountain Time)","value":"18:52:03"},{"id":151,"name":"Denver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3"/>
        <v>start /low /b %USERPROFILE%\Documents\GitHub\eaglep3\Utilities\DownloadLogsFromS3.py --loco 4004 --day 2017-06-08</v>
      </c>
      <c r="AN129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00:52:03"},{"id":29,"name":"Sharepoint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645</v>
      </c>
      <c r="B130" s="7">
        <v>4003</v>
      </c>
      <c r="C130" s="21" t="s">
        <v>204</v>
      </c>
      <c r="D130" s="21" t="s">
        <v>898</v>
      </c>
      <c r="E130" s="13">
        <v>42894.791585648149</v>
      </c>
      <c r="F130" s="13">
        <v>42894.800173611111</v>
      </c>
      <c r="G130" s="7">
        <v>1</v>
      </c>
      <c r="H130" s="21" t="s">
        <v>873</v>
      </c>
      <c r="I130" s="13">
        <v>42894.827349537038</v>
      </c>
      <c r="J130" s="7">
        <v>0</v>
      </c>
      <c r="K130" s="92" t="str">
        <f t="shared" si="26"/>
        <v>4003/4004</v>
      </c>
      <c r="L130" s="21" t="str">
        <f>VLOOKUP(A130,'Trips&amp;Operators'!$C$1:$G$99999,5,FALSE)</f>
        <v>PERKINS DARREN</v>
      </c>
      <c r="M130" s="6">
        <f t="shared" si="27"/>
        <v>2.7175925926712807E-2</v>
      </c>
      <c r="N130" s="7">
        <f t="shared" si="45"/>
        <v>39.133333334466442</v>
      </c>
      <c r="O130" s="7"/>
      <c r="P130" s="7"/>
      <c r="Q130" s="22"/>
      <c r="R130" s="173"/>
      <c r="S130" s="176">
        <f t="shared" si="46"/>
        <v>1</v>
      </c>
      <c r="T130" s="202" t="str">
        <f t="shared" si="30"/>
        <v>Southbound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31"/>
        <v>https://d0f6bd738d7f1b3e5a7ca70fe4ff75f0.us-east-1.aws.found.io/app/kibana#/discover/Steve-Slow-Train-Analysis-(2080s-and-2083s)?_g=(refreshInterval:(display:Off,pause:!f,section:0,value:0),time:(from:'2017-06-08T17:59:53-0600',mode:absolute,to:'2017-06-08T20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0" s="204" t="str">
        <f t="shared" si="32"/>
        <v>N</v>
      </c>
      <c r="X130" s="204">
        <f t="shared" si="47"/>
        <v>1</v>
      </c>
      <c r="Y130" s="204">
        <f t="shared" si="34"/>
        <v>23.300699999999999</v>
      </c>
      <c r="Z130" s="204">
        <f t="shared" si="35"/>
        <v>1.2999999999999999E-2</v>
      </c>
      <c r="AA130" s="204">
        <f t="shared" si="36"/>
        <v>23.287699999999997</v>
      </c>
      <c r="AB130" s="57" t="str">
        <f>VLOOKUP(A130,Enforcements!$C$7:$K$13,8,0)</f>
        <v>Bulletin (2)</v>
      </c>
      <c r="AC130" s="53" t="str">
        <f>VLOOKUP(A130,Enforcements!$C$7:$E$13,3,0)</f>
        <v>GRADE CROSSING</v>
      </c>
      <c r="AD130" s="54" t="str">
        <f t="shared" si="37"/>
        <v>0218-08</v>
      </c>
      <c r="AE130" s="80" t="str">
        <f t="shared" si="38"/>
        <v>aws s3 cp s3://rtdc.mdm.uploadarchive.raw/RTDC4003/ "%USERPROFILE%\AppData\Local\Temp\OnboardLogs"\RTDC4003\2017-06-08 --exclude "*" --recursive --include "*20170608*" &amp; "%USERPROFILE%\Documents\GitHub\mrs-test-scripts\Headless Mode &amp; Sideloading\WalkAndUnGZ.bat" "%USERPROFILE%\AppData\Local\Temp\OnboardLogs"\RTDC4003\2017-06-08 &amp; aws s3 cp s3://rtdc.mdm.uploadarchive.raw/RTDC4003/ "%USERPROFILE%\AppData\Local\Temp\OnboardLogs"\RTDC4003\2017-06-09 --exclude "*" --recursive --include "*20170609*" &amp; "%USERPROFILE%\Documents\GitHub\mrs-test-scripts\Headless Mode &amp; Sideloading\WalkAndUnGZ.bat" "%USERPROFILE%\AppData\Local\Temp\OnboardLogs"\RTDC4003\2017-06-09</v>
      </c>
      <c r="AF130" s="77" t="str">
        <f t="shared" si="39"/>
        <v>"C:\Program Files (x86)\AstroGrep\AstroGrep.exe" /e /r /s /spath="%USERPROFILE%\AppData\Local\Temp\OnboardLogs" /stypes="app*4003*20170609*" /stext=" 01:.+((SYSTEM_STATE.+slice.+state.+changed )|(ment ac)|(multiple cpu faults)|(system.+state.+changed )|(\[timeout)|(PRM\|1\|D)|(kpr)|(kdp)|(train st.+moving)|(\|lc)|(penalty))"</v>
      </c>
      <c r="AG130" s="1" t="str">
        <f t="shared" si="40"/>
        <v>EC</v>
      </c>
      <c r="AH130" s="81" t="str">
        <f t="shared" si="41"/>
        <v>"%USERPROFILE%\Documents\GitHub\eaglep3\Utilities\RefineRTDCRunTimes.py" --tripid 218-08 --locoid 4003 --swversion DE.1.0.9.0 --startMP 204:233007 --initTime 2017-06-08T18:59:53 --startdatetime 2017-06-08T19:12:15 --delay 1 --endMP 204:130 --enddatetime 2017-06-08T19:51:23 --enforcementcount 0 &gt;&gt;C:\Users\stu\Documents\GitHub\eaglep3-reporting\EC\2017-06-08-refined-times.txt</v>
      </c>
      <c r="AI130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{"issue":{"subject":"","project_id":79,"tracker_id":40,"status_id":1,"priority_id":2,"assigned_to_id":23,"start_date":"2017-06-08","description":"","custom_fields":[{"id":1,"name":"Subdivision","value":"EC"},{"id":4,"name":"Milepost","value":"0.013"},{"id":17,"name":"Train ID","value":"218-08"},{"id":16,"name":"Locomotive ID","value":"4003"},{"id":130,"name":"Impact","value":""},{"id":150,"name":"Time of Event (Mountain Time)","value":"19:51:23"},{"id":151,"name":"Denver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3"/>
        <v>start /low /b %USERPROFILE%\Documents\GitHub\eaglep3\Utilities\DownloadLogsFromS3.py --loco 4003 --day 2017-06-08</v>
      </c>
      <c r="AN130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01:51:23"},{"id":29,"name":"Sharepoint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799</v>
      </c>
      <c r="B131" s="7">
        <v>4002</v>
      </c>
      <c r="C131" s="21" t="s">
        <v>204</v>
      </c>
      <c r="D131" s="21" t="s">
        <v>351</v>
      </c>
      <c r="E131" s="13">
        <v>42894.765567129631</v>
      </c>
      <c r="F131" s="13">
        <v>42894.771064814813</v>
      </c>
      <c r="G131" s="7">
        <v>2</v>
      </c>
      <c r="H131" s="21" t="s">
        <v>899</v>
      </c>
      <c r="I131" s="13">
        <v>42894.796400462961</v>
      </c>
      <c r="J131" s="7">
        <v>0</v>
      </c>
      <c r="K131" s="92" t="str">
        <f t="shared" si="26"/>
        <v>4001/4002</v>
      </c>
      <c r="L131" s="21" t="str">
        <f>VLOOKUP(A131,'Trips&amp;Operators'!$C$1:$G$99999,5,FALSE)</f>
        <v>FORTUNATO FRANK</v>
      </c>
      <c r="M131" s="6">
        <f t="shared" si="27"/>
        <v>2.5335648148029577E-2</v>
      </c>
      <c r="N131" s="7">
        <f t="shared" si="45"/>
        <v>36.483333333162591</v>
      </c>
      <c r="O131" s="7"/>
      <c r="P131" s="7"/>
      <c r="Q131" s="22"/>
      <c r="R131" s="173"/>
      <c r="S131" s="176">
        <f t="shared" si="46"/>
        <v>1</v>
      </c>
      <c r="T131" s="202" t="str">
        <f t="shared" si="30"/>
        <v>NorthBound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31"/>
        <v>https://d0f6bd738d7f1b3e5a7ca70fe4ff75f0.us-east-1.aws.found.io/app/kibana#/discover/Steve-Slow-Train-Analysis-(2080s-and-2083s)?_g=(refreshInterval:(display:Off,pause:!f,section:0,value:0),time:(from:'2017-06-08T17:22:25-0600',mode:absolute,to:'2017-06-08T20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1" s="204" t="str">
        <f t="shared" si="32"/>
        <v>N</v>
      </c>
      <c r="X131" s="204">
        <f t="shared" si="47"/>
        <v>1</v>
      </c>
      <c r="Y131" s="204">
        <f t="shared" si="34"/>
        <v>4.58E-2</v>
      </c>
      <c r="Z131" s="204">
        <f t="shared" si="35"/>
        <v>23.333100000000002</v>
      </c>
      <c r="AA131" s="204">
        <f t="shared" si="36"/>
        <v>23.287300000000002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7"/>
        <v>0219-08</v>
      </c>
      <c r="AE131" s="80" t="str">
        <f t="shared" si="38"/>
        <v>aws s3 cp s3://rtdc.mdm.uploadarchive.raw/RTDC4002/ "%USERPROFILE%\AppData\Local\Temp\OnboardLogs"\RTDC4002\2017-06-08 --exclude "*" --recursive --include "*20170608*" &amp; "%USERPROFILE%\Documents\GitHub\mrs-test-scripts\Headless Mode &amp; Sideloading\WalkAndUnGZ.bat" "%USERPROFILE%\AppData\Local\Temp\OnboardLogs"\RTDC4002\2017-06-08 &amp; aws s3 cp s3://rtdc.mdm.uploadarchive.raw/RTDC4002/ "%USERPROFILE%\AppData\Local\Temp\OnboardLogs"\RTDC4002\2017-06-09 --exclude "*" --recursive --include "*20170609*" &amp; "%USERPROFILE%\Documents\GitHub\mrs-test-scripts\Headless Mode &amp; Sideloading\WalkAndUnGZ.bat" "%USERPROFILE%\AppData\Local\Temp\OnboardLogs"\RTDC4002\2017-06-09</v>
      </c>
      <c r="AF131" s="77" t="str">
        <f t="shared" si="39"/>
        <v>"C:\Program Files (x86)\AstroGrep\AstroGrep.exe" /e /r /s /spath="%USERPROFILE%\AppData\Local\Temp\OnboardLogs" /stypes="app*4002*20170609*" /stext=" 01:.+((SYSTEM_STATE.+slice.+state.+changed )|(ment ac)|(multiple cpu faults)|(system.+state.+changed )|(\[timeout)|(PRM\|1\|D)|(kpr)|(kdp)|(train st.+moving)|(\|lc)|(penalty))"</v>
      </c>
      <c r="AG131" s="1" t="str">
        <f t="shared" si="40"/>
        <v>EC</v>
      </c>
      <c r="AH131" s="81" t="str">
        <f t="shared" si="41"/>
        <v>"%USERPROFILE%\Documents\GitHub\eaglep3\Utilities\RefineRTDCRunTimes.py" --tripid 219-08 --locoid 4002 --swversion DE.1.0.9.0 --startMP 204:458 --initTime 2017-06-08T18:22:25 --startdatetime 2017-06-08T18:30:20 --delay 2 --endMP 204:233331 --enddatetime 2017-06-08T19:06:49 --enforcementcount 0 &gt;&gt;C:\Users\stu\Documents\GitHub\eaglep3-reporting\EC\2017-06-08-refined-times.txt</v>
      </c>
      <c r="AI131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{"issue":{"subject":"","project_id":79,"tracker_id":40,"status_id":1,"priority_id":2,"assigned_to_id":23,"start_date":"2017-06-08","description":"","custom_fields":[{"id":1,"name":"Subdivision","value":"EC"},{"id":4,"name":"Milepost","value":"23.3331"},{"id":17,"name":"Train ID","value":"219-08"},{"id":16,"name":"Locomotive ID","value":"4002"},{"id":130,"name":"Impact","value":""},{"id":150,"name":"Time of Event (Mountain Time)","value":"19:06:49"},{"id":151,"name":"Denver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3"/>
        <v>start /low /b %USERPROFILE%\Documents\GitHub\eaglep3\Utilities\DownloadLogsFromS3.py --loco 4002 --day 2017-06-08</v>
      </c>
      <c r="AN131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01:06:49"},{"id":29,"name":"Sharepoint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809</v>
      </c>
      <c r="B132" s="7">
        <v>4001</v>
      </c>
      <c r="C132" s="21" t="s">
        <v>204</v>
      </c>
      <c r="D132" s="21" t="s">
        <v>839</v>
      </c>
      <c r="E132" s="13">
        <v>42894.801990740743</v>
      </c>
      <c r="F132" s="13">
        <v>42894.810960648145</v>
      </c>
      <c r="G132" s="7">
        <v>1</v>
      </c>
      <c r="H132" s="21" t="s">
        <v>364</v>
      </c>
      <c r="I132" s="13">
        <v>42894.837384259263</v>
      </c>
      <c r="J132" s="7">
        <v>0</v>
      </c>
      <c r="K132" s="92" t="str">
        <f t="shared" si="26"/>
        <v>4001/4002</v>
      </c>
      <c r="L132" s="21" t="str">
        <f>VLOOKUP(A132,'Trips&amp;Operators'!$C$1:$G$99999,5,FALSE)</f>
        <v>FORTUNATO FRANK</v>
      </c>
      <c r="M132" s="6">
        <f t="shared" si="27"/>
        <v>2.6423611117934342E-2</v>
      </c>
      <c r="N132" s="7">
        <f t="shared" si="45"/>
        <v>38.050000009825453</v>
      </c>
      <c r="O132" s="7"/>
      <c r="P132" s="7"/>
      <c r="Q132" s="22"/>
      <c r="R132" s="173"/>
      <c r="S132" s="176">
        <f t="shared" si="46"/>
        <v>1</v>
      </c>
      <c r="T132" s="202" t="str">
        <f t="shared" si="30"/>
        <v>Southbound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31"/>
        <v>https://d0f6bd738d7f1b3e5a7ca70fe4ff75f0.us-east-1.aws.found.io/app/kibana#/discover/Steve-Slow-Train-Analysis-(2080s-and-2083s)?_g=(refreshInterval:(display:Off,pause:!f,section:0,value:0),time:(from:'2017-06-08T18:14:52-0600',mode:absolute,to:'2017-06-08T21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2" s="204" t="str">
        <f t="shared" si="32"/>
        <v>N</v>
      </c>
      <c r="X132" s="204">
        <f t="shared" si="47"/>
        <v>1</v>
      </c>
      <c r="Y132" s="204">
        <f t="shared" si="34"/>
        <v>23.3017</v>
      </c>
      <c r="Z132" s="204">
        <f t="shared" si="35"/>
        <v>1.47E-2</v>
      </c>
      <c r="AA132" s="204">
        <f t="shared" si="36"/>
        <v>23.286999999999999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7"/>
        <v>0220-08</v>
      </c>
      <c r="AE132" s="80" t="str">
        <f t="shared" si="38"/>
        <v>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 &amp; aws s3 cp s3://rtdc.mdm.uploadarchive.raw/RTDC4001/ "%USERPROFILE%\AppData\Local\Temp\OnboardLogs"\RTDC4001\2017-06-09 --exclude "*" --recursive --include "*20170609*" &amp; "%USERPROFILE%\Documents\GitHub\mrs-test-scripts\Headless Mode &amp; Sideloading\WalkAndUnGZ.bat" "%USERPROFILE%\AppData\Local\Temp\OnboardLogs"\RTDC4001\2017-06-09</v>
      </c>
      <c r="AF132" s="77" t="str">
        <f t="shared" si="39"/>
        <v>"C:\Program Files (x86)\AstroGrep\AstroGrep.exe" /e /r /s /spath="%USERPROFILE%\AppData\Local\Temp\OnboardLogs" /stypes="app*4001*20170609*" /stext=" 02:.+((SYSTEM_STATE.+slice.+state.+changed )|(ment ac)|(multiple cpu faults)|(system.+state.+changed )|(\[timeout)|(PRM\|1\|D)|(kpr)|(kdp)|(train st.+moving)|(\|lc)|(penalty))"</v>
      </c>
      <c r="AG132" s="1" t="str">
        <f t="shared" si="40"/>
        <v>EC</v>
      </c>
      <c r="AH132" s="81" t="str">
        <f t="shared" si="41"/>
        <v>"%USERPROFILE%\Documents\GitHub\eaglep3\Utilities\RefineRTDCRunTimes.py" --tripid 220-08 --locoid 4001 --swversion DE.1.0.9.0 --startMP 204:233017 --initTime 2017-06-08T19:14:52 --startdatetime 2017-06-08T19:27:47 --delay 1 --endMP 204:147 --enddatetime 2017-06-08T20:05:50 --enforcementcount 0 &gt;&gt;C:\Users\stu\Documents\GitHub\eaglep3-reporting\EC\2017-06-08-refined-times.txt</v>
      </c>
      <c r="AI132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{"issue":{"subject":"","project_id":79,"tracker_id":40,"status_id":1,"priority_id":2,"assigned_to_id":23,"start_date":"2017-06-08","description":"","custom_fields":[{"id":1,"name":"Subdivision","value":"EC"},{"id":4,"name":"Milepost","value":"0.0147"},{"id":17,"name":"Train ID","value":"220-08"},{"id":16,"name":"Locomotive ID","value":"4001"},{"id":130,"name":"Impact","value":""},{"id":150,"name":"Time of Event (Mountain Time)","value":"20:05:50"},{"id":151,"name":"Denver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3"/>
        <v>start /low /b %USERPROFILE%\Documents\GitHub\eaglep3\Utilities\DownloadLogsFromS3.py --loco 4001 --day 2017-06-08</v>
      </c>
      <c r="AN132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02:05:50"},{"id":29,"name":"Sharepoint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805</v>
      </c>
      <c r="B133" s="7">
        <v>4022</v>
      </c>
      <c r="C133" s="21" t="s">
        <v>204</v>
      </c>
      <c r="D133" s="21" t="s">
        <v>360</v>
      </c>
      <c r="E133" s="13">
        <v>42894.786516203705</v>
      </c>
      <c r="F133" s="13">
        <v>42894.791944444441</v>
      </c>
      <c r="G133" s="7">
        <v>1</v>
      </c>
      <c r="H133" s="21" t="s">
        <v>872</v>
      </c>
      <c r="I133" s="13">
        <v>42894.816319444442</v>
      </c>
      <c r="J133" s="7">
        <v>0</v>
      </c>
      <c r="K133" s="92" t="str">
        <f t="shared" si="26"/>
        <v>4021/4022</v>
      </c>
      <c r="L133" s="21" t="str">
        <f>VLOOKUP(A133,'Trips&amp;Operators'!$C$1:$G$99999,5,FALSE)</f>
        <v>BIRENBAUM THOMAS</v>
      </c>
      <c r="M133" s="6">
        <f t="shared" si="27"/>
        <v>2.4375000000873115E-2</v>
      </c>
      <c r="N133" s="7">
        <f t="shared" si="45"/>
        <v>35.100000001257285</v>
      </c>
      <c r="O133" s="7"/>
      <c r="P133" s="7"/>
      <c r="Q133" s="22"/>
      <c r="R133" s="173"/>
      <c r="S133" s="176">
        <f t="shared" si="46"/>
        <v>1</v>
      </c>
      <c r="T133" s="202" t="str">
        <f t="shared" si="30"/>
        <v>NorthBound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31"/>
        <v>https://d0f6bd738d7f1b3e5a7ca70fe4ff75f0.us-east-1.aws.found.io/app/kibana#/discover/Steve-Slow-Train-Analysis-(2080s-and-2083s)?_g=(refreshInterval:(display:Off,pause:!f,section:0,value:0),time:(from:'2017-06-08T17:52:35-0600',mode:absolute,to:'2017-06-08T20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3" s="204" t="str">
        <f t="shared" si="32"/>
        <v>N</v>
      </c>
      <c r="X133" s="204">
        <f t="shared" si="47"/>
        <v>1</v>
      </c>
      <c r="Y133" s="204">
        <f t="shared" si="34"/>
        <v>4.4699999999999997E-2</v>
      </c>
      <c r="Z133" s="204">
        <f t="shared" si="35"/>
        <v>23.329899999999999</v>
      </c>
      <c r="AA133" s="204">
        <f t="shared" si="36"/>
        <v>23.2852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7"/>
        <v>0221-08</v>
      </c>
      <c r="AE133" s="80" t="str">
        <f t="shared" si="38"/>
        <v>aws s3 cp s3://rtdc.mdm.uploadarchive.raw/RTDC4022/ "%USERPROFILE%\AppData\Local\Temp\OnboardLogs"\RTDC4022\2017-06-08 --exclude "*" --recursive --include "*20170608*" &amp; "%USERPROFILE%\Documents\GitHub\mrs-test-scripts\Headless Mode &amp; Sideloading\WalkAndUnGZ.bat" "%USERPROFILE%\AppData\Local\Temp\OnboardLogs"\RTDC4022\2017-06-08 &amp; 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</v>
      </c>
      <c r="AF133" s="77" t="str">
        <f t="shared" si="39"/>
        <v>"C:\Program Files (x86)\AstroGrep\AstroGrep.exe" /e /r /s /spath="%USERPROFILE%\AppData\Local\Temp\OnboardLogs" /stypes="app*4022*20170609*" /stext=" 01:.+((SYSTEM_STATE.+slice.+state.+changed )|(ment ac)|(multiple cpu faults)|(system.+state.+changed )|(\[timeout)|(PRM\|1\|D)|(kpr)|(kdp)|(train st.+moving)|(\|lc)|(penalty))"</v>
      </c>
      <c r="AG133" s="1" t="str">
        <f t="shared" si="40"/>
        <v>EC</v>
      </c>
      <c r="AH133" s="81" t="str">
        <f t="shared" si="41"/>
        <v>"%USERPROFILE%\Documents\GitHub\eaglep3\Utilities\RefineRTDCRunTimes.py" --tripid 221-08 --locoid 4022 --swversion DE.1.0.9.0 --startMP 204:447 --initTime 2017-06-08T18:52:35 --startdatetime 2017-06-08T19:00:24 --delay 1 --endMP 204:233299 --enddatetime 2017-06-08T19:35:30 --enforcementcount 0 &gt;&gt;C:\Users\stu\Documents\GitHub\eaglep3-reporting\EC\2017-06-08-refined-times.txt</v>
      </c>
      <c r="AI133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{"issue":{"subject":"","project_id":79,"tracker_id":40,"status_id":1,"priority_id":2,"assigned_to_id":23,"start_date":"2017-06-08","description":"","custom_fields":[{"id":1,"name":"Subdivision","value":"EC"},{"id":4,"name":"Milepost","value":"23.3299"},{"id":17,"name":"Train ID","value":"221-08"},{"id":16,"name":"Locomotive ID","value":"4022"},{"id":130,"name":"Impact","value":""},{"id":150,"name":"Time of Event (Mountain Time)","value":"19:35:30"},{"id":151,"name":"Denver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3"/>
        <v>start /low /b %USERPROFILE%\Documents\GitHub\eaglep3\Utilities\DownloadLogsFromS3.py --loco 4022 --day 2017-06-08</v>
      </c>
      <c r="AN133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01:35:30"},{"id":29,"name":"Sharepoint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812</v>
      </c>
      <c r="B134" s="7">
        <v>4021</v>
      </c>
      <c r="C134" s="21" t="s">
        <v>204</v>
      </c>
      <c r="D134" s="21" t="s">
        <v>507</v>
      </c>
      <c r="E134" s="13">
        <v>42894.821793981479</v>
      </c>
      <c r="F134" s="13">
        <v>42894.831388888888</v>
      </c>
      <c r="G134" s="7">
        <v>1</v>
      </c>
      <c r="H134" s="21" t="s">
        <v>353</v>
      </c>
      <c r="I134" s="13">
        <v>42894.85738425926</v>
      </c>
      <c r="J134" s="7">
        <v>0</v>
      </c>
      <c r="K134" s="92" t="str">
        <f t="shared" si="26"/>
        <v>4021/4022</v>
      </c>
      <c r="L134" s="21" t="str">
        <f>VLOOKUP(A134,'Trips&amp;Operators'!$C$1:$G$99999,5,FALSE)</f>
        <v>BIRENBAUM THOMAS</v>
      </c>
      <c r="M134" s="6">
        <f t="shared" si="27"/>
        <v>2.5995370371674653E-2</v>
      </c>
      <c r="N134" s="7">
        <f t="shared" si="45"/>
        <v>37.433333335211501</v>
      </c>
      <c r="O134" s="7"/>
      <c r="P134" s="7"/>
      <c r="Q134" s="22"/>
      <c r="R134" s="173"/>
      <c r="S134" s="176">
        <f t="shared" si="46"/>
        <v>1</v>
      </c>
      <c r="T134" s="202" t="str">
        <f t="shared" si="30"/>
        <v>Southbound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31"/>
        <v>https://d0f6bd738d7f1b3e5a7ca70fe4ff75f0.us-east-1.aws.found.io/app/kibana#/discover/Steve-Slow-Train-Analysis-(2080s-and-2083s)?_g=(refreshInterval:(display:Off,pause:!f,section:0,value:0),time:(from:'2017-06-08T18:43:23-0600',mode:absolute,to:'2017-06-08T21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4" s="204" t="str">
        <f t="shared" si="32"/>
        <v>N</v>
      </c>
      <c r="X134" s="204">
        <f t="shared" si="47"/>
        <v>1</v>
      </c>
      <c r="Y134" s="204">
        <f t="shared" si="34"/>
        <v>23.297499999999999</v>
      </c>
      <c r="Z134" s="204">
        <f t="shared" si="35"/>
        <v>1.49E-2</v>
      </c>
      <c r="AA134" s="204">
        <f t="shared" si="36"/>
        <v>23.282599999999999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7"/>
        <v>0222-08</v>
      </c>
      <c r="AE134" s="80" t="str">
        <f t="shared" si="38"/>
        <v>aws s3 cp s3://rtdc.mdm.uploadarchive.raw/RTDC4021/ "%USERPROFILE%\AppData\Local\Temp\OnboardLogs"\RTDC4021\2017-06-08 --exclude "*" --recursive --include "*20170608*" &amp; "%USERPROFILE%\Documents\GitHub\mrs-test-scripts\Headless Mode &amp; Sideloading\WalkAndUnGZ.bat" "%USERPROFILE%\AppData\Local\Temp\OnboardLogs"\RTDC4021\2017-06-08 &amp; 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</v>
      </c>
      <c r="AF134" s="77" t="str">
        <f t="shared" si="39"/>
        <v>"C:\Program Files (x86)\AstroGrep\AstroGrep.exe" /e /r /s /spath="%USERPROFILE%\AppData\Local\Temp\OnboardLogs" /stypes="app*4021*20170609*" /stext=" 02:.+((SYSTEM_STATE.+slice.+state.+changed )|(ment ac)|(multiple cpu faults)|(system.+state.+changed )|(\[timeout)|(PRM\|1\|D)|(kpr)|(kdp)|(train st.+moving)|(\|lc)|(penalty))"</v>
      </c>
      <c r="AG134" s="1" t="str">
        <f t="shared" si="40"/>
        <v>EC</v>
      </c>
      <c r="AH134" s="81" t="str">
        <f t="shared" si="41"/>
        <v>"%USERPROFILE%\Documents\GitHub\eaglep3\Utilities\RefineRTDCRunTimes.py" --tripid 222-08 --locoid 4021 --swversion DE.1.0.9.0 --startMP 204:232975 --initTime 2017-06-08T19:43:23 --startdatetime 2017-06-08T19:57:12 --delay 1 --endMP 204:149 --enddatetime 2017-06-08T20:34:38 --enforcementcount 0 &gt;&gt;C:\Users\stu\Documents\GitHub\eaglep3-reporting\EC\2017-06-08-refined-times.txt</v>
      </c>
      <c r="AI134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{"issue":{"subject":"","project_id":79,"tracker_id":40,"status_id":1,"priority_id":2,"assigned_to_id":23,"start_date":"2017-06-08","description":"","custom_fields":[{"id":1,"name":"Subdivision","value":"EC"},{"id":4,"name":"Milepost","value":"0.0149"},{"id":17,"name":"Train ID","value":"222-08"},{"id":16,"name":"Locomotive ID","value":"4021"},{"id":130,"name":"Impact","value":""},{"id":150,"name":"Time of Event (Mountain Time)","value":"20:34:38"},{"id":151,"name":"Denver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3"/>
        <v>start /low /b %USERPROFILE%\Documents\GitHub\eaglep3\Utilities\DownloadLogsFromS3.py --loco 4021 --day 2017-06-08</v>
      </c>
      <c r="AN134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02:34:38"},{"id":29,"name":"Sharepoint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810</v>
      </c>
      <c r="B135" s="7">
        <v>4056</v>
      </c>
      <c r="C135" s="21" t="s">
        <v>204</v>
      </c>
      <c r="D135" s="21" t="s">
        <v>476</v>
      </c>
      <c r="E135" s="13">
        <v>42894.809583333335</v>
      </c>
      <c r="F135" s="13">
        <v>42894.812824074077</v>
      </c>
      <c r="G135" s="7">
        <v>1</v>
      </c>
      <c r="H135" s="21" t="s">
        <v>848</v>
      </c>
      <c r="I135" s="13">
        <v>42894.837650462963</v>
      </c>
      <c r="J135" s="7">
        <v>0</v>
      </c>
      <c r="K135" s="92" t="str">
        <f t="shared" si="26"/>
        <v>4055/4056</v>
      </c>
      <c r="L135" s="21" t="str">
        <f>VLOOKUP(A135,'Trips&amp;Operators'!$C$1:$G$99999,5,FALSE)</f>
        <v>ZEWDU DEREJE</v>
      </c>
      <c r="M135" s="6">
        <f t="shared" si="27"/>
        <v>2.4826388886140194E-2</v>
      </c>
      <c r="N135" s="7">
        <f t="shared" si="45"/>
        <v>35.749999996041879</v>
      </c>
      <c r="O135" s="7"/>
      <c r="P135" s="7"/>
      <c r="Q135" s="22"/>
      <c r="R135" s="173"/>
      <c r="S135" s="176">
        <f t="shared" si="46"/>
        <v>1</v>
      </c>
      <c r="T135" s="202" t="str">
        <f t="shared" si="30"/>
        <v>NorthBound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31"/>
        <v>https://d0f6bd738d7f1b3e5a7ca70fe4ff75f0.us-east-1.aws.found.io/app/kibana#/discover/Steve-Slow-Train-Analysis-(2080s-and-2083s)?_g=(refreshInterval:(display:Off,pause:!f,section:0,value:0),time:(from:'2017-06-08T18:25:48-0600',mode:absolute,to:'2017-06-08T21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5" s="204" t="str">
        <f t="shared" si="32"/>
        <v>N</v>
      </c>
      <c r="X135" s="204">
        <f t="shared" si="47"/>
        <v>1</v>
      </c>
      <c r="Y135" s="204">
        <f t="shared" si="34"/>
        <v>4.4400000000000002E-2</v>
      </c>
      <c r="Z135" s="204">
        <f t="shared" si="35"/>
        <v>23.331700000000001</v>
      </c>
      <c r="AA135" s="204">
        <f t="shared" si="36"/>
        <v>23.287300000000002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7"/>
        <v>0223-08</v>
      </c>
      <c r="AE135" s="80" t="str">
        <f t="shared" si="38"/>
        <v>aws s3 cp s3://rtdc.mdm.uploadarchive.raw/RTDC4056/ "%USERPROFILE%\AppData\Local\Temp\OnboardLogs"\RTDC4056\2017-06-08 --exclude "*" --recursive --include "*20170608*" &amp; "%USERPROFILE%\Documents\GitHub\mrs-test-scripts\Headless Mode &amp; Sideloading\WalkAndUnGZ.bat" "%USERPROFILE%\AppData\Local\Temp\OnboardLogs"\RTDC4056\2017-06-08 &amp; aws s3 cp s3://rtdc.mdm.uploadarchive.raw/RTDC4056/ "%USERPROFILE%\AppData\Local\Temp\OnboardLogs"\RTDC4056\2017-06-09 --exclude "*" --recursive --include "*20170609*" &amp; "%USERPROFILE%\Documents\GitHub\mrs-test-scripts\Headless Mode &amp; Sideloading\WalkAndUnGZ.bat" "%USERPROFILE%\AppData\Local\Temp\OnboardLogs"\RTDC4056\2017-06-09</v>
      </c>
      <c r="AF135" s="77" t="str">
        <f t="shared" si="39"/>
        <v>"C:\Program Files (x86)\AstroGrep\AstroGrep.exe" /e /r /s /spath="%USERPROFILE%\AppData\Local\Temp\OnboardLogs" /stypes="app*4056*20170609*" /stext=" 02:.+((SYSTEM_STATE.+slice.+state.+changed )|(ment ac)|(multiple cpu faults)|(system.+state.+changed )|(\[timeout)|(PRM\|1\|D)|(kpr)|(kdp)|(train st.+moving)|(\|lc)|(penalty))"</v>
      </c>
      <c r="AG135" s="1" t="str">
        <f t="shared" si="40"/>
        <v>EC</v>
      </c>
      <c r="AH135" s="81" t="str">
        <f t="shared" si="41"/>
        <v>"%USERPROFILE%\Documents\GitHub\eaglep3\Utilities\RefineRTDCRunTimes.py" --tripid 223-08 --locoid 4056 --swversion DE.1.0.9.0 --startMP 204:444 --initTime 2017-06-08T19:25:48 --startdatetime 2017-06-08T19:30:28 --delay 1 --endMP 204:233317 --enddatetime 2017-06-08T20:06:13 --enforcementcount 0 &gt;&gt;C:\Users\stu\Documents\GitHub\eaglep3-reporting\EC\2017-06-08-refined-times.txt</v>
      </c>
      <c r="AI135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{"issue":{"subject":"","project_id":79,"tracker_id":40,"status_id":1,"priority_id":2,"assigned_to_id":23,"start_date":"2017-06-08","description":"","custom_fields":[{"id":1,"name":"Subdivision","value":"EC"},{"id":4,"name":"Milepost","value":"23.3317"},{"id":17,"name":"Train ID","value":"223-08"},{"id":16,"name":"Locomotive ID","value":"4056"},{"id":130,"name":"Impact","value":""},{"id":150,"name":"Time of Event (Mountain Time)","value":"20:06:13"},{"id":151,"name":"Denver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3"/>
        <v>start /low /b %USERPROFILE%\Documents\GitHub\eaglep3\Utilities\DownloadLogsFromS3.py --loco 4056 --day 2017-06-08</v>
      </c>
      <c r="AN135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02:06:13"},{"id":29,"name":"Sharepoint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813</v>
      </c>
      <c r="B136" s="7">
        <v>4055</v>
      </c>
      <c r="C136" s="21" t="s">
        <v>204</v>
      </c>
      <c r="D136" s="21" t="s">
        <v>840</v>
      </c>
      <c r="E136" s="13">
        <v>42894.839583333334</v>
      </c>
      <c r="F136" s="13">
        <v>42894.85255787037</v>
      </c>
      <c r="G136" s="7">
        <v>1</v>
      </c>
      <c r="H136" s="21" t="s">
        <v>465</v>
      </c>
      <c r="I136" s="13">
        <v>42894.879606481481</v>
      </c>
      <c r="J136" s="7">
        <v>0</v>
      </c>
      <c r="K136" s="92" t="str">
        <f t="shared" si="26"/>
        <v>4055/4056</v>
      </c>
      <c r="L136" s="21" t="str">
        <f>VLOOKUP(A136,'Trips&amp;Operators'!$C$1:$G$99999,5,FALSE)</f>
        <v>ZEWDU DEREJE</v>
      </c>
      <c r="M136" s="6">
        <f t="shared" si="27"/>
        <v>2.7048611111240461E-2</v>
      </c>
      <c r="N136" s="7">
        <f t="shared" si="45"/>
        <v>38.950000000186265</v>
      </c>
      <c r="O136" s="7"/>
      <c r="P136" s="7"/>
      <c r="Q136" s="22"/>
      <c r="R136" s="173"/>
      <c r="S136" s="176">
        <f t="shared" si="46"/>
        <v>1</v>
      </c>
      <c r="T136" s="202" t="str">
        <f t="shared" si="30"/>
        <v>Southbound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31"/>
        <v>https://d0f6bd738d7f1b3e5a7ca70fe4ff75f0.us-east-1.aws.found.io/app/kibana#/discover/Steve-Slow-Train-Analysis-(2080s-and-2083s)?_g=(refreshInterval:(display:Off,pause:!f,section:0,value:0),time:(from:'2017-06-08T19:09:00-0600',mode:absolute,to:'2017-06-08T22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6" s="204" t="str">
        <f t="shared" si="32"/>
        <v>N</v>
      </c>
      <c r="X136" s="204">
        <f t="shared" si="47"/>
        <v>1</v>
      </c>
      <c r="Y136" s="204">
        <f t="shared" si="34"/>
        <v>23.299800000000001</v>
      </c>
      <c r="Z136" s="204">
        <f t="shared" si="35"/>
        <v>1.6299999999999999E-2</v>
      </c>
      <c r="AA136" s="204">
        <f t="shared" si="36"/>
        <v>23.2835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7"/>
        <v>0224-08</v>
      </c>
      <c r="AE136" s="80" t="str">
        <f t="shared" si="38"/>
        <v>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 &amp; aws s3 cp s3://rtdc.mdm.uploadarchive.raw/RTDC4055/ "%USERPROFILE%\AppData\Local\Temp\OnboardLogs"\RTDC4055\2017-06-09 --exclude "*" --recursive --include "*20170609*" &amp; "%USERPROFILE%\Documents\GitHub\mrs-test-scripts\Headless Mode &amp; Sideloading\WalkAndUnGZ.bat" "%USERPROFILE%\AppData\Local\Temp\OnboardLogs"\RTDC4055\2017-06-09</v>
      </c>
      <c r="AF136" s="77" t="str">
        <f t="shared" si="39"/>
        <v>"C:\Program Files (x86)\AstroGrep\AstroGrep.exe" /e /r /s /spath="%USERPROFILE%\AppData\Local\Temp\OnboardLogs" /stypes="app*4055*20170609*" /stext=" 03:.+((SYSTEM_STATE.+slice.+state.+changed )|(ment ac)|(multiple cpu faults)|(system.+state.+changed )|(\[timeout)|(PRM\|1\|D)|(kpr)|(kdp)|(train st.+moving)|(\|lc)|(penalty))"</v>
      </c>
      <c r="AG136" s="1" t="str">
        <f t="shared" si="40"/>
        <v>EC</v>
      </c>
      <c r="AH136" s="81" t="str">
        <f t="shared" si="41"/>
        <v>"%USERPROFILE%\Documents\GitHub\eaglep3\Utilities\RefineRTDCRunTimes.py" --tripid 224-08 --locoid 4055 --swversion DE.1.0.9.0 --startMP 204:232998 --initTime 2017-06-08T20:09:00 --startdatetime 2017-06-08T20:27:41 --delay 1 --endMP 204:163 --enddatetime 2017-06-08T21:06:38 --enforcementcount 0 &gt;&gt;C:\Users\stu\Documents\GitHub\eaglep3-reporting\EC\2017-06-08-refined-times.txt</v>
      </c>
      <c r="AI136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{"issue":{"subject":"","project_id":79,"tracker_id":40,"status_id":1,"priority_id":2,"assigned_to_id":23,"start_date":"2017-06-08","description":"","custom_fields":[{"id":1,"name":"Subdivision","value":"EC"},{"id":4,"name":"Milepost","value":"0.0163"},{"id":17,"name":"Train ID","value":"224-08"},{"id":16,"name":"Locomotive ID","value":"4055"},{"id":130,"name":"Impact","value":""},{"id":150,"name":"Time of Event (Mountain Time)","value":"21:06:38"},{"id":151,"name":"Denver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3"/>
        <v>start /low /b %USERPROFILE%\Documents\GitHub\eaglep3\Utilities\DownloadLogsFromS3.py --loco 4055 --day 2017-06-08</v>
      </c>
      <c r="AN136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03:06:38"},{"id":29,"name":"Sharepoint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647</v>
      </c>
      <c r="B137" s="7">
        <v>4004</v>
      </c>
      <c r="C137" s="21" t="s">
        <v>204</v>
      </c>
      <c r="D137" s="21" t="s">
        <v>900</v>
      </c>
      <c r="E137" s="13">
        <v>42894.853125000001</v>
      </c>
      <c r="F137" s="13">
        <v>42894.853692129633</v>
      </c>
      <c r="G137" s="7">
        <v>0</v>
      </c>
      <c r="H137" s="21" t="s">
        <v>453</v>
      </c>
      <c r="I137" s="13">
        <v>42894.866631944446</v>
      </c>
      <c r="J137" s="7">
        <v>1</v>
      </c>
      <c r="K137" s="92" t="str">
        <f t="shared" si="26"/>
        <v>4003/4004</v>
      </c>
      <c r="L137" s="21" t="str">
        <f>VLOOKUP(A137,'Trips&amp;Operators'!$C$1:$G$99999,5,FALSE)</f>
        <v>PERKINS DARREN</v>
      </c>
      <c r="M137" s="6">
        <f t="shared" si="27"/>
        <v>1.2939814812853001E-2</v>
      </c>
      <c r="N137" s="7"/>
      <c r="O137" s="7"/>
      <c r="P137" s="7">
        <f>24*60*SUM($M137:$M138)</f>
        <v>45.283333326224238</v>
      </c>
      <c r="Q137" s="22"/>
      <c r="R137" s="173" t="s">
        <v>1027</v>
      </c>
      <c r="S137" s="176">
        <f>SUM(U137:U138)/IF(AG137="EC",12,1)</f>
        <v>0.83333333333333337</v>
      </c>
      <c r="T137" s="202" t="str">
        <f t="shared" si="30"/>
        <v>NorthBound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0</v>
      </c>
      <c r="V137" s="203" t="str">
        <f t="shared" si="31"/>
        <v>https://d0f6bd738d7f1b3e5a7ca70fe4ff75f0.us-east-1.aws.found.io/app/kibana#/discover/Steve-Slow-Train-Analysis-(2080s-and-2083s)?_g=(refreshInterval:(display:Off,pause:!f,section:0,value:0),time:(from:'2017-06-08T19:28:30-0600',mode:absolute,to:'2017-06-08T21:47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7" s="204" t="str">
        <f t="shared" si="32"/>
        <v>Y</v>
      </c>
      <c r="X137" s="204">
        <f t="shared" si="47"/>
        <v>1</v>
      </c>
      <c r="Y137" s="204">
        <f t="shared" si="34"/>
        <v>12.8264</v>
      </c>
      <c r="Z137" s="204">
        <f t="shared" si="35"/>
        <v>23.329699999999999</v>
      </c>
      <c r="AA137" s="204">
        <f t="shared" si="36"/>
        <v>10.503299999999999</v>
      </c>
      <c r="AB137" s="57" t="str">
        <f>VLOOKUP(A137,Enforcements!$C$7:$K$13,8,0)</f>
        <v>Bulletin (2)</v>
      </c>
      <c r="AC137" s="53" t="str">
        <f>VLOOKUP(A137,Enforcements!$C$7:$E$13,3,0)</f>
        <v>GRADE CROSSING</v>
      </c>
      <c r="AD137" s="54" t="str">
        <f t="shared" si="37"/>
        <v>0225-08</v>
      </c>
      <c r="AE137" s="80" t="str">
        <f t="shared" si="38"/>
        <v>aws s3 cp s3://rtdc.mdm.uploadarchive.raw/RTDC4004/ "%USERPROFILE%\AppData\Local\Temp\OnboardLogs"\RTDC4004\2017-06-08 --exclude "*" --recursive --include "*20170608*" &amp; "%USERPROFILE%\Documents\GitHub\mrs-test-scripts\Headless Mode &amp; Sideloading\WalkAndUnGZ.bat" "%USERPROFILE%\AppData\Local\Temp\OnboardLogs"\RTDC4004\2017-06-08 &amp; aws s3 cp s3://rtdc.mdm.uploadarchive.raw/RTDC4004/ "%USERPROFILE%\AppData\Local\Temp\OnboardLogs"\RTDC4004\2017-06-09 --exclude "*" --recursive --include "*20170609*" &amp; "%USERPROFILE%\Documents\GitHub\mrs-test-scripts\Headless Mode &amp; Sideloading\WalkAndUnGZ.bat" "%USERPROFILE%\AppData\Local\Temp\OnboardLogs"\RTDC4004\2017-06-09</v>
      </c>
      <c r="AF137" s="77" t="str">
        <f t="shared" si="39"/>
        <v>"C:\Program Files (x86)\AstroGrep\AstroGrep.exe" /e /r /s /spath="%USERPROFILE%\AppData\Local\Temp\OnboardLogs" /stypes="app*4004*20170609*" /stext=" 02:.+((SYSTEM_STATE.+slice.+state.+changed )|(ment ac)|(multiple cpu faults)|(system.+state.+changed )|(\[timeout)|(PRM\|1\|D)|(kpr)|(kdp)|(train st.+moving)|(\|lc)|(penalty))"</v>
      </c>
      <c r="AG137" s="1" t="str">
        <f t="shared" si="40"/>
        <v>EC</v>
      </c>
      <c r="AH137" s="81" t="str">
        <f t="shared" si="41"/>
        <v>"%USERPROFILE%\Documents\GitHub\eaglep3\Utilities\RefineRTDCRunTimes.py" --tripid 225-08 --locoid 4004 --swversion DE.1.0.9.0 --startMP 204:128264 --initTime 2017-06-08T20:28:30 --startdatetime 2017-06-08T20:29:19 --delay 0 --endMP 204:233297 --enddatetime 2017-06-08T20:47:57 --enforcementcount 1 &gt;&gt;C:\Users\stu\Documents\GitHub\eaglep3-reporting\EC\2017-06-08-refined-times.txt</v>
      </c>
      <c r="AI137" s="99" t="str">
        <f t="shared" si="42"/>
        <v>echo {"issue":{"subject":"Onboard in-route failure","project_id":79,"tracker_id":40,"status_id":1,"priority_id":2,"assigned_to_id":23,"start_date":"2017-06-08","description":"","custom_fields":[{"id":1,"name":"Subdivision","value":"EC"},{"id":4,"name":"Milepost","value":"23.3297"},{"id":17,"name":"Train ID","value":"225-08"},{"id":16,"name":"Locomotive ID","value":"4004"},{"id":130,"name":"Impact","value":""},{"id":150,"name":"Time of Event (Mountain Time)","value":"20:47:57"},{"id":151,"name":"Denver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3"/>
        <v>start /low /b %USERPROFILE%\Documents\GitHub\eaglep3\Utilities\DownloadLogsFromS3.py --loco 4004 --day 2017-06-08</v>
      </c>
      <c r="AN137" s="154" t="str">
        <f t="shared" si="44"/>
        <v>echo {"issue":{"subject":"Onboard in-route failure","project_id":30,"tracker_id":4,"status_id":1,"priority_id":1,"assigned_to_id":10,"start_date":"2017-06-09","description":"","custom_fields":[{"id":30,"name":"Category","value":"Issue"},{"id":3,"name":"Functional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02:47:57"},{"id":29,"name":"Sharepoint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647</v>
      </c>
      <c r="B138" s="7">
        <v>4004</v>
      </c>
      <c r="C138" s="21" t="s">
        <v>204</v>
      </c>
      <c r="D138" s="21" t="s">
        <v>901</v>
      </c>
      <c r="E138" s="13">
        <v>42894.829259259262</v>
      </c>
      <c r="F138" s="13">
        <v>42894.830277777779</v>
      </c>
      <c r="G138" s="7">
        <v>1</v>
      </c>
      <c r="H138" s="21" t="s">
        <v>902</v>
      </c>
      <c r="I138" s="13">
        <v>42894.84878472222</v>
      </c>
      <c r="J138" s="7">
        <v>2</v>
      </c>
      <c r="K138" s="92" t="str">
        <f t="shared" si="26"/>
        <v>4003/4004</v>
      </c>
      <c r="L138" s="21" t="str">
        <f>VLOOKUP(A138,'Trips&amp;Operators'!$C$1:$G$99999,5,FALSE)</f>
        <v>PERKINS DARREN</v>
      </c>
      <c r="M138" s="6">
        <f t="shared" si="27"/>
        <v>1.8506944441469386E-2</v>
      </c>
      <c r="N138" s="7"/>
      <c r="O138" s="7"/>
      <c r="P138" s="7"/>
      <c r="Q138" s="22"/>
      <c r="R138" s="173"/>
      <c r="S138" s="176"/>
      <c r="T138" s="202" t="str">
        <f t="shared" si="30"/>
        <v>NorthBound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10</v>
      </c>
      <c r="V138" s="203" t="str">
        <f t="shared" si="31"/>
        <v>https://d0f6bd738d7f1b3e5a7ca70fe4ff75f0.us-east-1.aws.found.io/app/kibana#/discover/Steve-Slow-Train-Analysis-(2080s-and-2083s)?_g=(refreshInterval:(display:Off,pause:!f,section:0,value:0),time:(from:'2017-06-08T18:54:08-0600',mode:absolute,to:'2017-06-08T21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8" s="204" t="str">
        <f t="shared" si="32"/>
        <v>Y</v>
      </c>
      <c r="X138" s="204">
        <f t="shared" si="47"/>
        <v>0</v>
      </c>
      <c r="Y138" s="204">
        <f t="shared" si="34"/>
        <v>4.1300000000000003E-2</v>
      </c>
      <c r="Z138" s="204">
        <f t="shared" si="35"/>
        <v>10.180899999999999</v>
      </c>
      <c r="AA138" s="204">
        <f t="shared" si="36"/>
        <v>10.1396</v>
      </c>
      <c r="AB138" s="57" t="str">
        <f>VLOOKUP(A138,Enforcements!$C$7:$K$13,8,0)</f>
        <v>Bulletin (2)</v>
      </c>
      <c r="AC138" s="53" t="str">
        <f>VLOOKUP(A138,Enforcements!$C$7:$E$13,3,0)</f>
        <v>GRADE CROSSING</v>
      </c>
      <c r="AD138" s="54" t="str">
        <f t="shared" si="37"/>
        <v>0225-08</v>
      </c>
      <c r="AE138" s="80" t="str">
        <f t="shared" si="38"/>
        <v>aws s3 cp s3://rtdc.mdm.uploadarchive.raw/RTDC4004/ "%USERPROFILE%\AppData\Local\Temp\OnboardLogs"\RTDC4004\2017-06-08 --exclude "*" --recursive --include "*20170608*" &amp; "%USERPROFILE%\Documents\GitHub\mrs-test-scripts\Headless Mode &amp; Sideloading\WalkAndUnGZ.bat" "%USERPROFILE%\AppData\Local\Temp\OnboardLogs"\RTDC4004\2017-06-08 &amp; aws s3 cp s3://rtdc.mdm.uploadarchive.raw/RTDC4004/ "%USERPROFILE%\AppData\Local\Temp\OnboardLogs"\RTDC4004\2017-06-09 --exclude "*" --recursive --include "*20170609*" &amp; "%USERPROFILE%\Documents\GitHub\mrs-test-scripts\Headless Mode &amp; Sideloading\WalkAndUnGZ.bat" "%USERPROFILE%\AppData\Local\Temp\OnboardLogs"\RTDC4004\2017-06-09</v>
      </c>
      <c r="AF138" s="77" t="str">
        <f t="shared" si="39"/>
        <v>"C:\Program Files (x86)\AstroGrep\AstroGrep.exe" /e /r /s /spath="%USERPROFILE%\AppData\Local\Temp\OnboardLogs" /stypes="app*4004*20170609*" /stext=" 02:.+((SYSTEM_STATE.+slice.+state.+changed )|(ment ac)|(multiple cpu faults)|(system.+state.+changed )|(\[timeout)|(PRM\|1\|D)|(kpr)|(kdp)|(train st.+moving)|(\|lc)|(penalty))"</v>
      </c>
      <c r="AG138" s="1" t="str">
        <f t="shared" si="40"/>
        <v>EC</v>
      </c>
      <c r="AH138" s="81" t="str">
        <f t="shared" si="41"/>
        <v>"%USERPROFILE%\Documents\GitHub\eaglep3\Utilities\RefineRTDCRunTimes.py" --tripid 225-08 --locoid 4004 --swversion DE.1.0.9.0 --startMP 204:413 --initTime 2017-06-08T19:54:08 --startdatetime 2017-06-08T19:55:36 --delay 1 --endMP 204:101809 --enddatetime 2017-06-08T20:22:15 --enforcementcount 2 &gt;&gt;C:\Users\stu\Documents\GitHub\eaglep3-reporting\EC\2017-06-08-refined-times.txt</v>
      </c>
      <c r="AI138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{"issue":{"subject":"","project_id":79,"tracker_id":40,"status_id":1,"priority_id":2,"assigned_to_id":23,"start_date":"2017-06-08","description":"","custom_fields":[{"id":1,"name":"Subdivision","value":"EC"},{"id":4,"name":"Milepost","value":"10.1809"},{"id":17,"name":"Train ID","value":"225-08"},{"id":16,"name":"Locomotive ID","value":"4004"},{"id":130,"name":"Impact","value":""},{"id":150,"name":"Time of Event (Mountain Time)","value":"20:22:15"},{"id":151,"name":"Denver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3"/>
        <v>start /low /b %USERPROFILE%\Documents\GitHub\eaglep3\Utilities\DownloadLogsFromS3.py --loco 4004 --day 2017-06-08</v>
      </c>
      <c r="AN138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02:22:15"},{"id":29,"name":"Sharepoint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819</v>
      </c>
      <c r="B139" s="7">
        <v>4003</v>
      </c>
      <c r="C139" s="21" t="s">
        <v>204</v>
      </c>
      <c r="D139" s="21" t="s">
        <v>468</v>
      </c>
      <c r="E139" s="13">
        <v>42894.882777777777</v>
      </c>
      <c r="F139" s="13">
        <v>42894.889525462961</v>
      </c>
      <c r="G139" s="7">
        <v>1</v>
      </c>
      <c r="H139" s="21" t="s">
        <v>903</v>
      </c>
      <c r="I139" s="13">
        <v>42894.916712962964</v>
      </c>
      <c r="J139" s="7">
        <v>0</v>
      </c>
      <c r="K139" s="92" t="str">
        <f t="shared" si="26"/>
        <v>4003/4004</v>
      </c>
      <c r="L139" s="21" t="str">
        <f>VLOOKUP(A139,'Trips&amp;Operators'!$C$1:$G$99999,5,FALSE)</f>
        <v>SAFIEF AEIMEN</v>
      </c>
      <c r="M139" s="6">
        <f t="shared" si="27"/>
        <v>2.718750000349246E-2</v>
      </c>
      <c r="N139" s="7">
        <f>24*60*SUM($M139:$M139)</f>
        <v>39.150000005029142</v>
      </c>
      <c r="O139" s="7"/>
      <c r="P139" s="7"/>
      <c r="Q139" s="22"/>
      <c r="R139" s="173"/>
      <c r="S139" s="176">
        <f>SUM(U139:U139)/IF(AG139="EC",12,1)</f>
        <v>1</v>
      </c>
      <c r="T139" s="202" t="str">
        <f t="shared" si="30"/>
        <v>Southbound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 t="shared" si="31"/>
        <v>https://d0f6bd738d7f1b3e5a7ca70fe4ff75f0.us-east-1.aws.found.io/app/kibana#/discover/Steve-Slow-Train-Analysis-(2080s-and-2083s)?_g=(refreshInterval:(display:Off,pause:!f,section:0,value:0),time:(from:'2017-06-08T20:11:12-0600',mode:absolute,to:'2017-06-08T23:00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9" s="204" t="str">
        <f t="shared" si="32"/>
        <v>N</v>
      </c>
      <c r="X139" s="204">
        <f t="shared" si="47"/>
        <v>1</v>
      </c>
      <c r="Y139" s="204">
        <f t="shared" si="34"/>
        <v>23.2988</v>
      </c>
      <c r="Z139" s="204">
        <f t="shared" si="35"/>
        <v>9.5600000000000004E-2</v>
      </c>
      <c r="AA139" s="204">
        <f t="shared" si="36"/>
        <v>23.203199999999999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7"/>
        <v>0226-08</v>
      </c>
      <c r="AE139" s="80" t="str">
        <f t="shared" si="38"/>
        <v>aws s3 cp s3://rtdc.mdm.uploadarchive.raw/RTDC4003/ "%USERPROFILE%\AppData\Local\Temp\OnboardLogs"\RTDC4003\2017-06-08 --exclude "*" --recursive --include "*20170608*" &amp; "%USERPROFILE%\Documents\GitHub\mrs-test-scripts\Headless Mode &amp; Sideloading\WalkAndUnGZ.bat" "%USERPROFILE%\AppData\Local\Temp\OnboardLogs"\RTDC4003\2017-06-08 &amp; aws s3 cp s3://rtdc.mdm.uploadarchive.raw/RTDC4003/ "%USERPROFILE%\AppData\Local\Temp\OnboardLogs"\RTDC4003\2017-06-09 --exclude "*" --recursive --include "*20170609*" &amp; "%USERPROFILE%\Documents\GitHub\mrs-test-scripts\Headless Mode &amp; Sideloading\WalkAndUnGZ.bat" "%USERPROFILE%\AppData\Local\Temp\OnboardLogs"\RTDC4003\2017-06-09</v>
      </c>
      <c r="AF139" s="77" t="str">
        <f t="shared" si="39"/>
        <v>"C:\Program Files (x86)\AstroGrep\AstroGrep.exe" /e /r /s /spath="%USERPROFILE%\AppData\Local\Temp\OnboardLogs" /stypes="app*4003*20170609*" /stext=" 04:.+((SYSTEM_STATE.+slice.+state.+changed )|(ment ac)|(multiple cpu faults)|(system.+state.+changed )|(\[timeout)|(PRM\|1\|D)|(kpr)|(kdp)|(train st.+moving)|(\|lc)|(penalty))"</v>
      </c>
      <c r="AG139" s="1" t="str">
        <f t="shared" si="40"/>
        <v>EC</v>
      </c>
      <c r="AH139" s="81" t="str">
        <f t="shared" si="41"/>
        <v>"%USERPROFILE%\Documents\GitHub\eaglep3\Utilities\RefineRTDCRunTimes.py" --tripid 226-08 --locoid 4003 --swversion DE.1.0.9.0 --startMP 204:232988 --initTime 2017-06-08T21:11:12 --startdatetime 2017-06-08T21:20:55 --delay 1 --endMP 204:956 --enddatetime 2017-06-08T22:00:04 --enforcementcount 0 &gt;&gt;C:\Users\stu\Documents\GitHub\eaglep3-reporting\EC\2017-06-08-refined-times.txt</v>
      </c>
      <c r="AI139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{"issue":{"subject":"","project_id":79,"tracker_id":40,"status_id":1,"priority_id":2,"assigned_to_id":23,"start_date":"2017-06-08","description":"","custom_fields":[{"id":1,"name":"Subdivision","value":"EC"},{"id":4,"name":"Milepost","value":"0.0956"},{"id":17,"name":"Train ID","value":"226-08"},{"id":16,"name":"Locomotive ID","value":"4003"},{"id":130,"name":"Impact","value":""},{"id":150,"name":"Time of Event (Mountain Time)","value":"22:00:04"},{"id":151,"name":"Denver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3"/>
        <v>start /low /b %USERPROFILE%\Documents\GitHub\eaglep3\Utilities\DownloadLogsFromS3.py --loco 4003 --day 2017-06-08</v>
      </c>
      <c r="AN139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04:00:04"},{"id":29,"name":"Sharepoint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814</v>
      </c>
      <c r="B140" s="7">
        <v>4002</v>
      </c>
      <c r="C140" s="21" t="s">
        <v>204</v>
      </c>
      <c r="D140" s="21" t="s">
        <v>904</v>
      </c>
      <c r="E140" s="13">
        <v>42894.874837962961</v>
      </c>
      <c r="F140" s="13">
        <v>42894.875520833331</v>
      </c>
      <c r="G140" s="7">
        <v>0</v>
      </c>
      <c r="H140" s="21" t="s">
        <v>874</v>
      </c>
      <c r="I140" s="13">
        <v>42894.886157407411</v>
      </c>
      <c r="J140" s="7">
        <v>0</v>
      </c>
      <c r="K140" s="92" t="str">
        <f t="shared" si="26"/>
        <v>4001/4002</v>
      </c>
      <c r="L140" s="21" t="str">
        <f>VLOOKUP(A140,'Trips&amp;Operators'!$C$1:$G$99999,5,FALSE)</f>
        <v>FORTUNATO FRANK</v>
      </c>
      <c r="M140" s="6">
        <f t="shared" si="27"/>
        <v>1.0636574079398997E-2</v>
      </c>
      <c r="N140" s="7"/>
      <c r="O140" s="7"/>
      <c r="P140" s="7">
        <f>24*60*SUM($M140:$M141)</f>
        <v>52.983333345036954</v>
      </c>
      <c r="Q140" s="22"/>
      <c r="R140" s="173" t="s">
        <v>1028</v>
      </c>
      <c r="S140" s="176">
        <f>SUM(U140:U141)/IF(AG140="EC",12,1)</f>
        <v>0.83333333333333337</v>
      </c>
      <c r="T140" s="202" t="str">
        <f t="shared" si="30"/>
        <v>NorthBound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0</v>
      </c>
      <c r="V140" s="203" t="str">
        <f t="shared" si="31"/>
        <v>https://d0f6bd738d7f1b3e5a7ca70fe4ff75f0.us-east-1.aws.found.io/app/kibana#/discover/Steve-Slow-Train-Analysis-(2080s-and-2083s)?_g=(refreshInterval:(display:Off,pause:!f,section:0,value:0),time:(from:'2017-06-08T19:59:46-0600',mode:absolute,to:'2017-06-08T22:16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0" s="204" t="str">
        <f t="shared" si="32"/>
        <v>Y</v>
      </c>
      <c r="X140" s="204">
        <f t="shared" si="47"/>
        <v>1</v>
      </c>
      <c r="Y140" s="204">
        <f t="shared" si="34"/>
        <v>12.825200000000001</v>
      </c>
      <c r="Z140" s="204">
        <f t="shared" si="35"/>
        <v>23.3308</v>
      </c>
      <c r="AA140" s="204">
        <f t="shared" si="36"/>
        <v>10.505599999999999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7"/>
        <v>0227-08</v>
      </c>
      <c r="AE140" s="80" t="str">
        <f t="shared" si="38"/>
        <v>aws s3 cp s3://rtdc.mdm.uploadarchive.raw/RTDC4002/ "%USERPROFILE%\AppData\Local\Temp\OnboardLogs"\RTDC4002\2017-06-08 --exclude "*" --recursive --include "*20170608*" &amp; "%USERPROFILE%\Documents\GitHub\mrs-test-scripts\Headless Mode &amp; Sideloading\WalkAndUnGZ.bat" "%USERPROFILE%\AppData\Local\Temp\OnboardLogs"\RTDC4002\2017-06-08 &amp; aws s3 cp s3://rtdc.mdm.uploadarchive.raw/RTDC4002/ "%USERPROFILE%\AppData\Local\Temp\OnboardLogs"\RTDC4002\2017-06-09 --exclude "*" --recursive --include "*20170609*" &amp; "%USERPROFILE%\Documents\GitHub\mrs-test-scripts\Headless Mode &amp; Sideloading\WalkAndUnGZ.bat" "%USERPROFILE%\AppData\Local\Temp\OnboardLogs"\RTDC4002\2017-06-09</v>
      </c>
      <c r="AF140" s="77" t="str">
        <f t="shared" si="39"/>
        <v>"C:\Program Files (x86)\AstroGrep\AstroGrep.exe" /e /r /s /spath="%USERPROFILE%\AppData\Local\Temp\OnboardLogs" /stypes="app*4002*20170609*" /stext=" 03:.+((SYSTEM_STATE.+slice.+state.+changed )|(ment ac)|(multiple cpu faults)|(system.+state.+changed )|(\[timeout)|(PRM\|1\|D)|(kpr)|(kdp)|(train st.+moving)|(\|lc)|(penalty))"</v>
      </c>
      <c r="AG140" s="1" t="str">
        <f t="shared" si="40"/>
        <v>EC</v>
      </c>
      <c r="AH140" s="81" t="str">
        <f t="shared" si="41"/>
        <v>"%USERPROFILE%\Documents\GitHub\eaglep3\Utilities\RefineRTDCRunTimes.py" --tripid 227-08 --locoid 4002 --swversion DE.1.0.9.0 --startMP 204:128252 --initTime 2017-06-08T20:59:46 --startdatetime 2017-06-08T21:00:45 --delay 0 --endMP 204:233308 --enddatetime 2017-06-08T21:16:04 --enforcementcount 0 &gt;&gt;C:\Users\stu\Documents\GitHub\eaglep3-reporting\EC\2017-06-08-refined-times.txt</v>
      </c>
      <c r="AI140" s="99" t="str">
        <f t="shared" si="42"/>
        <v>echo {"issue":{"subject":"Sable switch maintenance","project_id":79,"tracker_id":40,"status_id":1,"priority_id":2,"assigned_to_id":23,"start_date":"2017-06-08","description":"","custom_fields":[{"id":1,"name":"Subdivision","value":"EC"},{"id":4,"name":"Milepost","value":"23.3308"},{"id":17,"name":"Train ID","value":"227-08"},{"id":16,"name":"Locomotive ID","value":"4002"},{"id":130,"name":"Impact","value":""},{"id":150,"name":"Time of Event (Mountain Time)","value":"21:16:04"},{"id":151,"name":"Denver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3"/>
        <v>start /low /b %USERPROFILE%\Documents\GitHub\eaglep3\Utilities\DownloadLogsFromS3.py --loco 4002 --day 2017-06-08</v>
      </c>
      <c r="AN140" s="154" t="str">
        <f t="shared" si="44"/>
        <v>echo {"issue":{"subject":"Sable switch maintenance","project_id":30,"tracker_id":4,"status_id":1,"priority_id":1,"assigned_to_id":10,"start_date":"2017-06-09","description":"","custom_fields":[{"id":30,"name":"Category","value":"Issue"},{"id":3,"name":"Functional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03:16:04"},{"id":29,"name":"Sharepoint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814</v>
      </c>
      <c r="B141" s="7">
        <v>4002</v>
      </c>
      <c r="C141" s="21" t="s">
        <v>204</v>
      </c>
      <c r="D141" s="21" t="s">
        <v>397</v>
      </c>
      <c r="E141" s="13">
        <v>42894.84171296296</v>
      </c>
      <c r="F141" s="13">
        <v>42894.842592592591</v>
      </c>
      <c r="G141" s="7">
        <v>1</v>
      </c>
      <c r="H141" s="21" t="s">
        <v>905</v>
      </c>
      <c r="I141" s="13">
        <v>42894.868750000001</v>
      </c>
      <c r="J141" s="7">
        <v>0</v>
      </c>
      <c r="K141" s="92" t="str">
        <f t="shared" ref="K141:K204" si="48">IF(ISEVEN(B141),(B141-1)&amp;"/"&amp;B141,B141&amp;"/"&amp;(B141+1))</f>
        <v>4001/4002</v>
      </c>
      <c r="L141" s="21" t="str">
        <f>VLOOKUP(A141,'Trips&amp;Operators'!$C$1:$G$99999,5,FALSE)</f>
        <v>FORTUNATO FRANK</v>
      </c>
      <c r="M141" s="6">
        <f t="shared" ref="M141:M204" si="49">I141-F141</f>
        <v>2.6157407410209998E-2</v>
      </c>
      <c r="N141" s="7"/>
      <c r="O141" s="7"/>
      <c r="P141" s="7"/>
      <c r="Q141" s="22"/>
      <c r="R141" s="173"/>
      <c r="S141" s="176"/>
      <c r="T141" s="202" t="str">
        <f t="shared" ref="T141:T204" si="50">IF(ISEVEN(LEFT(AD141,4)),"Southbound","NorthBound")</f>
        <v>NorthBound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10</v>
      </c>
      <c r="V141" s="203" t="str">
        <f t="shared" ref="V141:V204" si="5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-08T19:12:04-0600',mode:absolute,to:'2017-06-08T21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1" s="204" t="str">
        <f t="shared" ref="W141:W204" si="52">IF(AA141&lt;IF(AG141="EC",23,5.65),"Y","N")</f>
        <v>Y</v>
      </c>
      <c r="X141" s="204">
        <f t="shared" ref="X141:X158" si="53">VALUE(LEFT(AD141,4))-VALUE(LEFT(AD140,4))</f>
        <v>0</v>
      </c>
      <c r="Y141" s="204">
        <f t="shared" ref="Y141:Y204" si="54">RIGHT(D141,LEN(D141)-4)/10000</f>
        <v>4.6199999999999998E-2</v>
      </c>
      <c r="Z141" s="204">
        <f t="shared" ref="Z141:Z204" si="55">RIGHT(H141,LEN(H141)-4)/10000</f>
        <v>10.0899</v>
      </c>
      <c r="AA141" s="204">
        <f t="shared" ref="AA141:AA204" si="56">ABS(Z141-Y141)</f>
        <v>10.043699999999999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57">IF(LEN(A141)=6,"0"&amp;A141,A141)</f>
        <v>0227-08</v>
      </c>
      <c r="AE141" s="80" t="str">
        <f t="shared" ref="AE141:AE204" si="5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s3://rtdc.mdm.uploadarchive.raw/RTDC4002/ "%USERPROFILE%\AppData\Local\Temp\OnboardLogs"\RTDC4002\2017-06-08 --exclude "*" --recursive --include "*20170608*" &amp; "%USERPROFILE%\Documents\GitHub\mrs-test-scripts\Headless Mode &amp; Sideloading\WalkAndUnGZ.bat" "%USERPROFILE%\AppData\Local\Temp\OnboardLogs"\RTDC4002\2017-06-08 &amp; aws s3 cp s3://rtdc.mdm.uploadarchive.raw/RTDC4002/ "%USERPROFILE%\AppData\Local\Temp\OnboardLogs"\RTDC4002\2017-06-09 --exclude "*" --recursive --include "*20170609*" &amp; "%USERPROFILE%\Documents\GitHub\mrs-test-scripts\Headless Mode &amp; Sideloading\WalkAndUnGZ.bat" "%USERPROFILE%\AppData\Local\Temp\OnboardLogs"\RTDC4002\2017-06-09</v>
      </c>
      <c r="AF141" s="77" t="str">
        <f t="shared" ref="AF141:AF204" si="5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/stypes="app*4002*20170609*" /stext=" 02:.+((SYSTEM_STATE.+slice.+state.+changed )|(ment ac)|(multiple cpu faults)|(system.+state.+changed )|(\[timeout)|(PRM\|1\|D)|(kpr)|(kdp)|(train st.+moving)|(\|lc)|(penalty))"</v>
      </c>
      <c r="AG141" s="1" t="str">
        <f t="shared" ref="AG141:AG204" si="60">IFERROR(IF(VALUE(LEFT(AD141,2))&lt;=2,"EC",IF(OR(VALUE(LEFT(AD141,2))=8,VALUE(LEFT(AD141,2))=18),"NW","Other")),"Other")</f>
        <v>EC</v>
      </c>
      <c r="AH141" s="81" t="str">
        <f t="shared" si="41"/>
        <v>"%USERPROFILE%\Documents\GitHub\eaglep3\Utilities\RefineRTDCRunTimes.py" --tripid 227-08 --locoid 4002 --swversion DE.1.0.9.0 --startMP 204:462 --initTime 2017-06-08T20:12:04 --startdatetime 2017-06-08T20:13:20 --delay 1 --endMP 204:100899 --enddatetime 2017-06-08T20:51:00 --enforcementcount 0 &gt;&gt;C:\Users\stu\Documents\GitHub\eaglep3-reporting\EC\2017-06-08-refined-times.txt</v>
      </c>
      <c r="AI141" s="99" t="str">
        <f t="shared" si="42"/>
        <v>echo {"issue":{"subject":"","project_id":79,"tracker_id":40,"status_id":1,"priority_id":2,"assigned_to_id":23,"start_date":"2017-06-08","description":"","custom_fields":[{"id":1,"name":"Subdivision","value":"EC"},{"id":4,"name":"Milepost","value":"10.0899"},{"id":17,"name":"Train ID","value":"227-08"},{"id":16,"name":"Locomotive ID","value":"4002"},{"id":130,"name":"Impact","value":""},{"id":150,"name":"Time of Event (Mountain Time)","value":"20:51:00"},{"id":151,"name":"Denver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43"/>
        <v>start /low /b %USERPROFILE%\Documents\GitHub\eaglep3\Utilities\DownloadLogsFromS3.py --loco 4002 --day 2017-06-08</v>
      </c>
      <c r="AN141" s="154" t="str">
        <f t="shared" si="44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02:51:00"},{"id":29,"name":"Sharepoint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820</v>
      </c>
      <c r="B142" s="7">
        <v>4001</v>
      </c>
      <c r="C142" s="21" t="s">
        <v>204</v>
      </c>
      <c r="D142" s="21" t="s">
        <v>538</v>
      </c>
      <c r="E142" s="13">
        <v>42894.888287037036</v>
      </c>
      <c r="F142" s="13">
        <v>42894.893923611111</v>
      </c>
      <c r="G142" s="7">
        <v>1</v>
      </c>
      <c r="H142" s="21" t="s">
        <v>352</v>
      </c>
      <c r="I142" s="13">
        <v>42894.922812500001</v>
      </c>
      <c r="J142" s="7">
        <v>0</v>
      </c>
      <c r="K142" s="92" t="str">
        <f t="shared" si="48"/>
        <v>4001/4002</v>
      </c>
      <c r="L142" s="21" t="str">
        <f>VLOOKUP(A142,'Trips&amp;Operators'!$C$1:$G$99999,5,FALSE)</f>
        <v>FORTUNATO FRANK</v>
      </c>
      <c r="M142" s="6">
        <f t="shared" si="49"/>
        <v>2.8888888889923692E-2</v>
      </c>
      <c r="N142" s="7">
        <f t="shared" ref="N142:N173" si="61">24*60*SUM($M142:$M142)</f>
        <v>41.600000001490116</v>
      </c>
      <c r="O142" s="7"/>
      <c r="P142" s="7"/>
      <c r="Q142" s="22"/>
      <c r="R142" s="173"/>
      <c r="S142" s="176">
        <f t="shared" ref="S142:S173" si="62">SUM(U142:U142)/IF(AG142="EC",12,1)</f>
        <v>1</v>
      </c>
      <c r="T142" s="202" t="str">
        <f t="shared" si="50"/>
        <v>Southbound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si="51"/>
        <v>https://d0f6bd738d7f1b3e5a7ca70fe4ff75f0.us-east-1.aws.found.io/app/kibana#/discover/Steve-Slow-Train-Analysis-(2080s-and-2083s)?_g=(refreshInterval:(display:Off,pause:!f,section:0,value:0),time:(from:'2017-06-08T20:19:08-0600',mode:absolute,to:'2017-06-08T23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2" s="204" t="str">
        <f t="shared" si="52"/>
        <v>N</v>
      </c>
      <c r="X142" s="204">
        <f t="shared" si="53"/>
        <v>1</v>
      </c>
      <c r="Y142" s="204">
        <f t="shared" si="54"/>
        <v>23.299600000000002</v>
      </c>
      <c r="Z142" s="204">
        <f t="shared" si="55"/>
        <v>1.4999999999999999E-2</v>
      </c>
      <c r="AA142" s="204">
        <f t="shared" si="56"/>
        <v>23.284600000000001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57"/>
        <v>0228-08</v>
      </c>
      <c r="AE142" s="80" t="str">
        <f t="shared" si="58"/>
        <v>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 &amp; aws s3 cp s3://rtdc.mdm.uploadarchive.raw/RTDC4001/ "%USERPROFILE%\AppData\Local\Temp\OnboardLogs"\RTDC4001\2017-06-09 --exclude "*" --recursive --include "*20170609*" &amp; "%USERPROFILE%\Documents\GitHub\mrs-test-scripts\Headless Mode &amp; Sideloading\WalkAndUnGZ.bat" "%USERPROFILE%\AppData\Local\Temp\OnboardLogs"\RTDC4001\2017-06-09</v>
      </c>
      <c r="AF142" s="77" t="str">
        <f t="shared" si="59"/>
        <v>"C:\Program Files (x86)\AstroGrep\AstroGrep.exe" /e /r /s /spath="%USERPROFILE%\AppData\Local\Temp\OnboardLogs" /stypes="app*4001*20170609*" /stext=" 04:.+((SYSTEM_STATE.+slice.+state.+changed )|(ment ac)|(multiple cpu faults)|(system.+state.+changed )|(\[timeout)|(PRM\|1\|D)|(kpr)|(kdp)|(train st.+moving)|(\|lc)|(penalty))"</v>
      </c>
      <c r="AG142" s="1" t="str">
        <f t="shared" si="60"/>
        <v>EC</v>
      </c>
      <c r="AH142" s="81" t="str">
        <f t="shared" ref="AH142:AH206" si="63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228-08 --locoid 4001 --swversion DE.1.0.9.0 --startMP 204:232996 --initTime 2017-06-08T21:19:08 --startdatetime 2017-06-08T21:27:15 --delay 1 --endMP 204:150 --enddatetime 2017-06-08T22:08:51 --enforcementcount 0 &gt;&gt;C:\Users\stu\Documents\GitHub\eaglep3-reporting\EC\2017-06-08-refined-times.txt</v>
      </c>
      <c r="AI142" s="99" t="str">
        <f t="shared" ref="AI142:AI206" si="64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{"issue":{"subject":"","project_id":79,"tracker_id":40,"status_id":1,"priority_id":2,"assigned_to_id":23,"start_date":"2017-06-08","description":"","custom_fields":[{"id":1,"name":"Subdivision","value":"EC"},{"id":4,"name":"Milepost","value":"0.015"},{"id":17,"name":"Train ID","value":"228-08"},{"id":16,"name":"Locomotive ID","value":"4001"},{"id":130,"name":"Impact","value":""},{"id":150,"name":"Time of Event (Mountain Time)","value":"22:08:51"},{"id":151,"name":"Denver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06" si="65">"start /low /b "&amp;dls3logs&amp;" --loco "&amp;B142&amp;" --day "&amp;TEXT(F142,"YYYY-MM-DD")</f>
        <v>start /low /b %USERPROFILE%\Documents\GitHub\eaglep3\Utilities\DownloadLogsFromS3.py --loco 4001 --day 2017-06-08</v>
      </c>
      <c r="AN142" s="154" t="str">
        <f t="shared" ref="AN142:AN206" si="66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04:08:51"},{"id":29,"name":"Sharepoint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648</v>
      </c>
      <c r="B143" s="7">
        <v>4022</v>
      </c>
      <c r="C143" s="21" t="s">
        <v>204</v>
      </c>
      <c r="D143" s="21" t="s">
        <v>540</v>
      </c>
      <c r="E143" s="13">
        <v>42894.86109953704</v>
      </c>
      <c r="F143" s="13">
        <v>42894.875243055554</v>
      </c>
      <c r="G143" s="7">
        <v>1</v>
      </c>
      <c r="H143" s="21" t="s">
        <v>906</v>
      </c>
      <c r="I143" s="13">
        <v>42894.902777777781</v>
      </c>
      <c r="J143" s="7">
        <v>0</v>
      </c>
      <c r="K143" s="92" t="str">
        <f t="shared" si="48"/>
        <v>4021/4022</v>
      </c>
      <c r="L143" s="21" t="str">
        <f>VLOOKUP(A143,'Trips&amp;Operators'!$C$1:$G$99999,5,FALSE)</f>
        <v>LAMAR NEKESHA</v>
      </c>
      <c r="M143" s="6">
        <f t="shared" si="49"/>
        <v>2.7534722226846498E-2</v>
      </c>
      <c r="N143" s="7">
        <f t="shared" si="61"/>
        <v>39.650000006658956</v>
      </c>
      <c r="O143" s="7"/>
      <c r="P143" s="7"/>
      <c r="Q143" s="22"/>
      <c r="R143" s="173"/>
      <c r="S143" s="176">
        <f t="shared" si="62"/>
        <v>1</v>
      </c>
      <c r="T143" s="202" t="str">
        <f t="shared" si="50"/>
        <v>NorthBound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51"/>
        <v>https://d0f6bd738d7f1b3e5a7ca70fe4ff75f0.us-east-1.aws.found.io/app/kibana#/discover/Steve-Slow-Train-Analysis-(2080s-and-2083s)?_g=(refreshInterval:(display:Off,pause:!f,section:0,value:0),time:(from:'2017-06-08T19:39:59-0600',mode:absolute,to:'2017-06-08T22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3" s="204" t="str">
        <f t="shared" si="52"/>
        <v>N</v>
      </c>
      <c r="X143" s="204">
        <f t="shared" si="53"/>
        <v>1</v>
      </c>
      <c r="Y143" s="204">
        <f t="shared" si="54"/>
        <v>4.7500000000000001E-2</v>
      </c>
      <c r="Z143" s="204">
        <f t="shared" si="55"/>
        <v>23.3249</v>
      </c>
      <c r="AA143" s="204">
        <f t="shared" si="56"/>
        <v>23.2774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57"/>
        <v>0229-08</v>
      </c>
      <c r="AE143" s="80" t="str">
        <f t="shared" si="58"/>
        <v>aws s3 cp s3://rtdc.mdm.uploadarchive.raw/RTDC4022/ "%USERPROFILE%\AppData\Local\Temp\OnboardLogs"\RTDC4022\2017-06-08 --exclude "*" --recursive --include "*20170608*" &amp; "%USERPROFILE%\Documents\GitHub\mrs-test-scripts\Headless Mode &amp; Sideloading\WalkAndUnGZ.bat" "%USERPROFILE%\AppData\Local\Temp\OnboardLogs"\RTDC4022\2017-06-08 &amp; 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</v>
      </c>
      <c r="AF143" s="77" t="str">
        <f t="shared" si="59"/>
        <v>"C:\Program Files (x86)\AstroGrep\AstroGrep.exe" /e /r /s /spath="%USERPROFILE%\AppData\Local\Temp\OnboardLogs" /stypes="app*4022*20170609*" /stext=" 03:.+((SYSTEM_STATE.+slice.+state.+changed )|(ment ac)|(multiple cpu faults)|(system.+state.+changed )|(\[timeout)|(PRM\|1\|D)|(kpr)|(kdp)|(train st.+moving)|(\|lc)|(penalty))"</v>
      </c>
      <c r="AG143" s="1" t="str">
        <f t="shared" si="60"/>
        <v>EC</v>
      </c>
      <c r="AH143" s="81" t="str">
        <f t="shared" si="63"/>
        <v>"%USERPROFILE%\Documents\GitHub\eaglep3\Utilities\RefineRTDCRunTimes.py" --tripid 229-08 --locoid 4022 --swversion DE.1.0.9.0 --startMP 204:475 --initTime 2017-06-08T20:39:59 --startdatetime 2017-06-08T21:00:21 --delay 1 --endMP 204:233249 --enddatetime 2017-06-08T21:40:00 --enforcementcount 0 &gt;&gt;C:\Users\stu\Documents\GitHub\eaglep3-reporting\EC\2017-06-08-refined-times.txt</v>
      </c>
      <c r="AI143" s="99" t="str">
        <f t="shared" si="64"/>
        <v>echo {"issue":{"subject":"","project_id":79,"tracker_id":40,"status_id":1,"priority_id":2,"assigned_to_id":23,"start_date":"2017-06-08","description":"","custom_fields":[{"id":1,"name":"Subdivision","value":"EC"},{"id":4,"name":"Milepost","value":"23.3249"},{"id":17,"name":"Train ID","value":"229-08"},{"id":16,"name":"Locomotive ID","value":"4022"},{"id":130,"name":"Impact","value":""},{"id":150,"name":"Time of Event (Mountain Time)","value":"21:40:00"},{"id":151,"name":"Denver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5"/>
        <v>start /low /b %USERPROFILE%\Documents\GitHub\eaglep3\Utilities\DownloadLogsFromS3.py --loco 4022 --day 2017-06-08</v>
      </c>
      <c r="AN143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03:40:00"},{"id":29,"name":"Sharepoint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824</v>
      </c>
      <c r="B144" s="7">
        <v>4021</v>
      </c>
      <c r="C144" s="21" t="s">
        <v>204</v>
      </c>
      <c r="D144" s="21" t="s">
        <v>907</v>
      </c>
      <c r="E144" s="13">
        <v>42894.910358796296</v>
      </c>
      <c r="F144" s="13">
        <v>42894.914837962962</v>
      </c>
      <c r="G144" s="7">
        <v>2</v>
      </c>
      <c r="H144" s="21" t="s">
        <v>354</v>
      </c>
      <c r="I144" s="13">
        <v>42894.941736111112</v>
      </c>
      <c r="J144" s="7">
        <v>0</v>
      </c>
      <c r="K144" s="92" t="str">
        <f t="shared" si="48"/>
        <v>4021/4022</v>
      </c>
      <c r="L144" s="21" t="str">
        <f>VLOOKUP(A144,'Trips&amp;Operators'!$C$1:$G$99999,5,FALSE)</f>
        <v>LAMAR NEKESHA</v>
      </c>
      <c r="M144" s="6">
        <f t="shared" si="49"/>
        <v>2.6898148149484769E-2</v>
      </c>
      <c r="N144" s="7">
        <f t="shared" si="61"/>
        <v>38.733333335258067</v>
      </c>
      <c r="O144" s="7"/>
      <c r="P144" s="7"/>
      <c r="Q144" s="22"/>
      <c r="R144" s="173"/>
      <c r="S144" s="176">
        <f t="shared" si="62"/>
        <v>1</v>
      </c>
      <c r="T144" s="202" t="str">
        <f t="shared" si="50"/>
        <v>Southbound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51"/>
        <v>https://d0f6bd738d7f1b3e5a7ca70fe4ff75f0.us-east-1.aws.found.io/app/kibana#/discover/Steve-Slow-Train-Analysis-(2080s-and-2083s)?_g=(refreshInterval:(display:Off,pause:!f,section:0,value:0),time:(from:'2017-06-08T20:50:55-0600',mode:absolute,to:'2017-06-08T23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4" s="204" t="str">
        <f t="shared" si="52"/>
        <v>N</v>
      </c>
      <c r="X144" s="204">
        <f t="shared" si="53"/>
        <v>1</v>
      </c>
      <c r="Y144" s="204">
        <f t="shared" si="54"/>
        <v>23.289400000000001</v>
      </c>
      <c r="Z144" s="204">
        <f t="shared" si="55"/>
        <v>1.43E-2</v>
      </c>
      <c r="AA144" s="204">
        <f t="shared" si="56"/>
        <v>23.275100000000002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57"/>
        <v>0230-08</v>
      </c>
      <c r="AE144" s="80" t="str">
        <f t="shared" si="58"/>
        <v>aws s3 cp s3://rtdc.mdm.uploadarchive.raw/RTDC4021/ "%USERPROFILE%\AppData\Local\Temp\OnboardLogs"\RTDC4021\2017-06-08 --exclude "*" --recursive --include "*20170608*" &amp; "%USERPROFILE%\Documents\GitHub\mrs-test-scripts\Headless Mode &amp; Sideloading\WalkAndUnGZ.bat" "%USERPROFILE%\AppData\Local\Temp\OnboardLogs"\RTDC4021\2017-06-08 &amp; 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</v>
      </c>
      <c r="AF144" s="77" t="str">
        <f t="shared" si="59"/>
        <v>"C:\Program Files (x86)\AstroGrep\AstroGrep.exe" /e /r /s /spath="%USERPROFILE%\AppData\Local\Temp\OnboardLogs" /stypes="app*4021*20170609*" /stext=" 04:.+((SYSTEM_STATE.+slice.+state.+changed )|(ment ac)|(multiple cpu faults)|(system.+state.+changed )|(\[timeout)|(PRM\|1\|D)|(kpr)|(kdp)|(train st.+moving)|(\|lc)|(penalty))"</v>
      </c>
      <c r="AG144" s="1" t="str">
        <f t="shared" si="60"/>
        <v>EC</v>
      </c>
      <c r="AH144" s="81" t="str">
        <f t="shared" si="63"/>
        <v>"%USERPROFILE%\Documents\GitHub\eaglep3\Utilities\RefineRTDCRunTimes.py" --tripid 230-08 --locoid 4021 --swversion DE.1.0.9.0 --startMP 204:232894 --initTime 2017-06-08T21:50:55 --startdatetime 2017-06-08T21:57:22 --delay 2 --endMP 204:143 --enddatetime 2017-06-08T22:36:06 --enforcementcount 0 &gt;&gt;C:\Users\stu\Documents\GitHub\eaglep3-reporting\EC\2017-06-08-refined-times.txt</v>
      </c>
      <c r="AI144" s="99" t="str">
        <f t="shared" si="64"/>
        <v>echo {"issue":{"subject":"","project_id":79,"tracker_id":40,"status_id":1,"priority_id":2,"assigned_to_id":23,"start_date":"2017-06-08","description":"","custom_fields":[{"id":1,"name":"Subdivision","value":"EC"},{"id":4,"name":"Milepost","value":"0.0143"},{"id":17,"name":"Train ID","value":"230-08"},{"id":16,"name":"Locomotive ID","value":"4021"},{"id":130,"name":"Impact","value":""},{"id":150,"name":"Time of Event (Mountain Time)","value":"22:36:06"},{"id":151,"name":"Denver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65"/>
        <v>start /low /b %USERPROFILE%\Documents\GitHub\eaglep3\Utilities\DownloadLogsFromS3.py --loco 4021 --day 2017-06-08</v>
      </c>
      <c r="AN144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04:36:06"},{"id":29,"name":"Sharepoint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818</v>
      </c>
      <c r="B145" s="7">
        <v>4056</v>
      </c>
      <c r="C145" s="21" t="s">
        <v>204</v>
      </c>
      <c r="D145" s="21" t="s">
        <v>201</v>
      </c>
      <c r="E145" s="13">
        <v>42894.881284722222</v>
      </c>
      <c r="F145" s="13">
        <v>42894.89634259259</v>
      </c>
      <c r="G145" s="7">
        <v>1</v>
      </c>
      <c r="H145" s="21" t="s">
        <v>453</v>
      </c>
      <c r="I145" s="13">
        <v>42894.9215625</v>
      </c>
      <c r="J145" s="7">
        <v>0</v>
      </c>
      <c r="K145" s="92" t="str">
        <f t="shared" si="48"/>
        <v>4055/4056</v>
      </c>
      <c r="L145" s="21" t="str">
        <f>VLOOKUP(A145,'Trips&amp;Operators'!$C$1:$G$99999,5,FALSE)</f>
        <v>SMITH MICHAEL</v>
      </c>
      <c r="M145" s="6">
        <f t="shared" si="49"/>
        <v>2.5219907409336884E-2</v>
      </c>
      <c r="N145" s="7">
        <f t="shared" si="61"/>
        <v>36.316666669445112</v>
      </c>
      <c r="O145" s="7"/>
      <c r="P145" s="7"/>
      <c r="Q145" s="22"/>
      <c r="R145" s="173"/>
      <c r="S145" s="176">
        <f t="shared" si="62"/>
        <v>1</v>
      </c>
      <c r="T145" s="202" t="str">
        <f t="shared" si="50"/>
        <v>NorthBound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51"/>
        <v>https://d0f6bd738d7f1b3e5a7ca70fe4ff75f0.us-east-1.aws.found.io/app/kibana#/discover/Steve-Slow-Train-Analysis-(2080s-and-2083s)?_g=(refreshInterval:(display:Off,pause:!f,section:0,value:0),time:(from:'2017-06-08T20:09:03-0600',mode:absolute,to:'2017-06-08T23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5" s="204" t="str">
        <f t="shared" si="52"/>
        <v>N</v>
      </c>
      <c r="X145" s="204">
        <f t="shared" si="53"/>
        <v>1</v>
      </c>
      <c r="Y145" s="204">
        <f t="shared" si="54"/>
        <v>4.5999999999999999E-2</v>
      </c>
      <c r="Z145" s="204">
        <f t="shared" si="55"/>
        <v>23.329699999999999</v>
      </c>
      <c r="AA145" s="204">
        <f t="shared" si="56"/>
        <v>23.2837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57"/>
        <v>0231-08</v>
      </c>
      <c r="AE145" s="80" t="str">
        <f t="shared" si="58"/>
        <v>aws s3 cp s3://rtdc.mdm.uploadarchive.raw/RTDC4056/ "%USERPROFILE%\AppData\Local\Temp\OnboardLogs"\RTDC4056\2017-06-08 --exclude "*" --recursive --include "*20170608*" &amp; "%USERPROFILE%\Documents\GitHub\mrs-test-scripts\Headless Mode &amp; Sideloading\WalkAndUnGZ.bat" "%USERPROFILE%\AppData\Local\Temp\OnboardLogs"\RTDC4056\2017-06-08 &amp; aws s3 cp s3://rtdc.mdm.uploadarchive.raw/RTDC4056/ "%USERPROFILE%\AppData\Local\Temp\OnboardLogs"\RTDC4056\2017-06-09 --exclude "*" --recursive --include "*20170609*" &amp; "%USERPROFILE%\Documents\GitHub\mrs-test-scripts\Headless Mode &amp; Sideloading\WalkAndUnGZ.bat" "%USERPROFILE%\AppData\Local\Temp\OnboardLogs"\RTDC4056\2017-06-09</v>
      </c>
      <c r="AF145" s="77" t="str">
        <f t="shared" si="59"/>
        <v>"C:\Program Files (x86)\AstroGrep\AstroGrep.exe" /e /r /s /spath="%USERPROFILE%\AppData\Local\Temp\OnboardLogs" /stypes="app*4056*20170609*" /stext=" 04:.+((SYSTEM_STATE.+slice.+state.+changed )|(ment ac)|(multiple cpu faults)|(system.+state.+changed )|(\[timeout)|(PRM\|1\|D)|(kpr)|(kdp)|(train st.+moving)|(\|lc)|(penalty))"</v>
      </c>
      <c r="AG145" s="1" t="str">
        <f t="shared" si="60"/>
        <v>EC</v>
      </c>
      <c r="AH145" s="81" t="str">
        <f t="shared" si="63"/>
        <v>"%USERPROFILE%\Documents\GitHub\eaglep3\Utilities\RefineRTDCRunTimes.py" --tripid 231-08 --locoid 4056 --swversion DE.1.0.9.0 --startMP 204:460 --initTime 2017-06-08T21:09:03 --startdatetime 2017-06-08T21:30:44 --delay 1 --endMP 204:233297 --enddatetime 2017-06-08T22:07:03 --enforcementcount 0 &gt;&gt;C:\Users\stu\Documents\GitHub\eaglep3-reporting\EC\2017-06-08-refined-times.txt</v>
      </c>
      <c r="AI145" s="99" t="str">
        <f t="shared" si="64"/>
        <v>echo {"issue":{"subject":"","project_id":79,"tracker_id":40,"status_id":1,"priority_id":2,"assigned_to_id":23,"start_date":"2017-06-08","description":"","custom_fields":[{"id":1,"name":"Subdivision","value":"EC"},{"id":4,"name":"Milepost","value":"23.3297"},{"id":17,"name":"Train ID","value":"231-08"},{"id":16,"name":"Locomotive ID","value":"4056"},{"id":130,"name":"Impact","value":""},{"id":150,"name":"Time of Event (Mountain Time)","value":"22:07:03"},{"id":151,"name":"Denver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65"/>
        <v>start /low /b %USERPROFILE%\Documents\GitHub\eaglep3\Utilities\DownloadLogsFromS3.py --loco 4056 --day 2017-06-08</v>
      </c>
      <c r="AN145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04:07:03"},{"id":29,"name":"Sharepoint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827</v>
      </c>
      <c r="B146" s="7">
        <v>4055</v>
      </c>
      <c r="C146" s="21" t="s">
        <v>204</v>
      </c>
      <c r="D146" s="21" t="s">
        <v>869</v>
      </c>
      <c r="E146" s="13">
        <v>42894.928032407406</v>
      </c>
      <c r="F146" s="13">
        <v>42894.935763888891</v>
      </c>
      <c r="G146" s="7">
        <v>1</v>
      </c>
      <c r="H146" s="21" t="s">
        <v>431</v>
      </c>
      <c r="I146" s="13">
        <v>42894.963263888887</v>
      </c>
      <c r="J146" s="7">
        <v>0</v>
      </c>
      <c r="K146" s="92" t="str">
        <f t="shared" si="48"/>
        <v>4055/4056</v>
      </c>
      <c r="L146" s="21" t="str">
        <f>VLOOKUP(A146,'Trips&amp;Operators'!$C$1:$G$99999,5,FALSE)</f>
        <v>SMITH MICHAEL</v>
      </c>
      <c r="M146" s="6">
        <f t="shared" si="49"/>
        <v>2.749999999650754E-2</v>
      </c>
      <c r="N146" s="7">
        <f t="shared" si="61"/>
        <v>39.599999994970858</v>
      </c>
      <c r="O146" s="7"/>
      <c r="P146" s="7"/>
      <c r="Q146" s="22"/>
      <c r="R146" s="173"/>
      <c r="S146" s="176">
        <f t="shared" si="62"/>
        <v>1</v>
      </c>
      <c r="T146" s="202" t="str">
        <f t="shared" si="50"/>
        <v>Southbound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51"/>
        <v>https://d0f6bd738d7f1b3e5a7ca70fe4ff75f0.us-east-1.aws.found.io/app/kibana#/discover/Steve-Slow-Train-Analysis-(2080s-and-2083s)?_g=(refreshInterval:(display:Off,pause:!f,section:0,value:0),time:(from:'2017-06-08T21:16:22-0600',mode:absolute,to:'2017-06-09T00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6" s="204" t="str">
        <f t="shared" si="52"/>
        <v>N</v>
      </c>
      <c r="X146" s="204">
        <f t="shared" si="53"/>
        <v>1</v>
      </c>
      <c r="Y146" s="204">
        <f t="shared" si="54"/>
        <v>23.2987</v>
      </c>
      <c r="Z146" s="204">
        <f t="shared" si="55"/>
        <v>1.4500000000000001E-2</v>
      </c>
      <c r="AA146" s="204">
        <f t="shared" si="56"/>
        <v>23.284199999999998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57"/>
        <v>0232-08</v>
      </c>
      <c r="AE146" s="80" t="str">
        <f t="shared" si="58"/>
        <v>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 &amp; aws s3 cp s3://rtdc.mdm.uploadarchive.raw/RTDC4055/ "%USERPROFILE%\AppData\Local\Temp\OnboardLogs"\RTDC4055\2017-06-09 --exclude "*" --recursive --include "*20170609*" &amp; "%USERPROFILE%\Documents\GitHub\mrs-test-scripts\Headless Mode &amp; Sideloading\WalkAndUnGZ.bat" "%USERPROFILE%\AppData\Local\Temp\OnboardLogs"\RTDC4055\2017-06-09</v>
      </c>
      <c r="AF146" s="77" t="str">
        <f t="shared" si="59"/>
        <v>"C:\Program Files (x86)\AstroGrep\AstroGrep.exe" /e /r /s /spath="%USERPROFILE%\AppData\Local\Temp\OnboardLogs" /stypes="app*4055*20170609*" /stext=" 05:.+((SYSTEM_STATE.+slice.+state.+changed )|(ment ac)|(multiple cpu faults)|(system.+state.+changed )|(\[timeout)|(PRM\|1\|D)|(kpr)|(kdp)|(train st.+moving)|(\|lc)|(penalty))"</v>
      </c>
      <c r="AG146" s="1" t="str">
        <f t="shared" si="60"/>
        <v>EC</v>
      </c>
      <c r="AH146" s="81" t="str">
        <f t="shared" si="63"/>
        <v>"%USERPROFILE%\Documents\GitHub\eaglep3\Utilities\RefineRTDCRunTimes.py" --tripid 232-08 --locoid 4055 --swversion DE.1.0.9.0 --startMP 204:232987 --initTime 2017-06-08T22:16:22 --startdatetime 2017-06-08T22:27:30 --delay 1 --endMP 204:145 --enddatetime 2017-06-08T23:07:06 --enforcementcount 0 &gt;&gt;C:\Users\stu\Documents\GitHub\eaglep3-reporting\EC\2017-06-08-refined-times.txt</v>
      </c>
      <c r="AI146" s="99" t="str">
        <f t="shared" si="64"/>
        <v>echo {"issue":{"subject":"","project_id":79,"tracker_id":40,"status_id":1,"priority_id":2,"assigned_to_id":23,"start_date":"2017-06-08","description":"","custom_fields":[{"id":1,"name":"Subdivision","value":"EC"},{"id":4,"name":"Milepost","value":"0.0145"},{"id":17,"name":"Train ID","value":"232-08"},{"id":16,"name":"Locomotive ID","value":"4055"},{"id":130,"name":"Impact","value":""},{"id":150,"name":"Time of Event (Mountain Time)","value":"23:07:06"},{"id":151,"name":"Denver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65"/>
        <v>start /low /b %USERPROFILE%\Documents\GitHub\eaglep3\Utilities\DownloadLogsFromS3.py --loco 4055 --day 2017-06-08</v>
      </c>
      <c r="AN146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05:07:06"},{"id":29,"name":"Sharepoint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823</v>
      </c>
      <c r="B147" s="7">
        <v>4042</v>
      </c>
      <c r="C147" s="21" t="s">
        <v>204</v>
      </c>
      <c r="D147" s="21" t="s">
        <v>351</v>
      </c>
      <c r="E147" s="13">
        <v>42894.90828703704</v>
      </c>
      <c r="F147" s="13">
        <v>42894.917002314818</v>
      </c>
      <c r="G147" s="7">
        <v>1</v>
      </c>
      <c r="H147" s="21" t="s">
        <v>594</v>
      </c>
      <c r="I147" s="13">
        <v>42894.941782407404</v>
      </c>
      <c r="J147" s="7">
        <v>0</v>
      </c>
      <c r="K147" s="92" t="str">
        <f t="shared" si="48"/>
        <v>4041/4042</v>
      </c>
      <c r="L147" s="21" t="str">
        <f>VLOOKUP(A147,'Trips&amp;Operators'!$C$1:$G$99999,5,FALSE)</f>
        <v>BIRENBAUM THOMAS</v>
      </c>
      <c r="M147" s="6">
        <f t="shared" si="49"/>
        <v>2.4780092586297542E-2</v>
      </c>
      <c r="N147" s="7">
        <f t="shared" si="61"/>
        <v>35.68333332426846</v>
      </c>
      <c r="O147" s="7"/>
      <c r="P147" s="7"/>
      <c r="Q147" s="22"/>
      <c r="R147" s="173"/>
      <c r="S147" s="176">
        <f t="shared" si="62"/>
        <v>1</v>
      </c>
      <c r="T147" s="202" t="str">
        <f t="shared" si="50"/>
        <v>NorthBound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51"/>
        <v>https://d0f6bd738d7f1b3e5a7ca70fe4ff75f0.us-east-1.aws.found.io/app/kibana#/discover/Steve-Slow-Train-Analysis-(2080s-and-2083s)?_g=(refreshInterval:(display:Off,pause:!f,section:0,value:0),time:(from:'2017-06-08T20:47:56-0600',mode:absolute,to:'2017-06-08T23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7" s="204" t="str">
        <f t="shared" si="52"/>
        <v>N</v>
      </c>
      <c r="X147" s="204">
        <f t="shared" si="53"/>
        <v>1</v>
      </c>
      <c r="Y147" s="204">
        <f t="shared" si="54"/>
        <v>4.58E-2</v>
      </c>
      <c r="Z147" s="204">
        <f t="shared" si="55"/>
        <v>23.331499999999998</v>
      </c>
      <c r="AA147" s="204">
        <f t="shared" si="56"/>
        <v>23.285699999999999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57"/>
        <v>0233-08</v>
      </c>
      <c r="AE147" s="80" t="str">
        <f t="shared" si="58"/>
        <v>aws s3 cp s3://rtdc.mdm.uploadarchive.raw/RTDC4042/ "%USERPROFILE%\AppData\Local\Temp\OnboardLogs"\RTDC4042\2017-06-08 --exclude "*" --recursive --include "*20170608*" &amp; "%USERPROFILE%\Documents\GitHub\mrs-test-scripts\Headless Mode &amp; Sideloading\WalkAndUnGZ.bat" "%USERPROFILE%\AppData\Local\Temp\OnboardLogs"\RTDC4042\2017-06-08 &amp; aws s3 cp s3://rtdc.mdm.uploadarchive.raw/RTDC4042/ "%USERPROFILE%\AppData\Local\Temp\OnboardLogs"\RTDC4042\2017-06-09 --exclude "*" --recursive --include "*20170609*" &amp; "%USERPROFILE%\Documents\GitHub\mrs-test-scripts\Headless Mode &amp; Sideloading\WalkAndUnGZ.bat" "%USERPROFILE%\AppData\Local\Temp\OnboardLogs"\RTDC4042\2017-06-09</v>
      </c>
      <c r="AF147" s="77" t="str">
        <f t="shared" si="59"/>
        <v>"C:\Program Files (x86)\AstroGrep\AstroGrep.exe" /e /r /s /spath="%USERPROFILE%\AppData\Local\Temp\OnboardLogs" /stypes="app*4042*20170609*" /stext=" 04:.+((SYSTEM_STATE.+slice.+state.+changed )|(ment ac)|(multiple cpu faults)|(system.+state.+changed )|(\[timeout)|(PRM\|1\|D)|(kpr)|(kdp)|(train st.+moving)|(\|lc)|(penalty))"</v>
      </c>
      <c r="AG147" s="1" t="str">
        <f t="shared" si="60"/>
        <v>EC</v>
      </c>
      <c r="AH147" s="81" t="str">
        <f t="shared" si="63"/>
        <v>"%USERPROFILE%\Documents\GitHub\eaglep3\Utilities\RefineRTDCRunTimes.py" --tripid 233-08 --locoid 4042 --swversion DE.1.0.9.0 --startMP 204:458 --initTime 2017-06-08T21:47:56 --startdatetime 2017-06-08T22:00:29 --delay 1 --endMP 204:233315 --enddatetime 2017-06-08T22:36:10 --enforcementcount 0 &gt;&gt;C:\Users\stu\Documents\GitHub\eaglep3-reporting\EC\2017-06-08-refined-times.txt</v>
      </c>
      <c r="AI147" s="99" t="str">
        <f t="shared" si="64"/>
        <v>echo {"issue":{"subject":"","project_id":79,"tracker_id":40,"status_id":1,"priority_id":2,"assigned_to_id":23,"start_date":"2017-06-08","description":"","custom_fields":[{"id":1,"name":"Subdivision","value":"EC"},{"id":4,"name":"Milepost","value":"23.3315"},{"id":17,"name":"Train ID","value":"233-08"},{"id":16,"name":"Locomotive ID","value":"4042"},{"id":130,"name":"Impact","value":""},{"id":150,"name":"Time of Event (Mountain Time)","value":"22:36:10"},{"id":151,"name":"Denver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65"/>
        <v>start /low /b %USERPROFILE%\Documents\GitHub\eaglep3\Utilities\DownloadLogsFromS3.py --loco 4042 --day 2017-06-08</v>
      </c>
      <c r="AN147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04:36:10"},{"id":29,"name":"Sharepoint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828</v>
      </c>
      <c r="B148" s="7">
        <v>4041</v>
      </c>
      <c r="C148" s="21" t="s">
        <v>204</v>
      </c>
      <c r="D148" s="21" t="s">
        <v>485</v>
      </c>
      <c r="E148" s="13">
        <v>42894.949317129627</v>
      </c>
      <c r="F148" s="13">
        <v>42894.956400462965</v>
      </c>
      <c r="G148" s="7">
        <v>1</v>
      </c>
      <c r="H148" s="21" t="s">
        <v>908</v>
      </c>
      <c r="I148" s="13">
        <v>42894.982314814813</v>
      </c>
      <c r="J148" s="7">
        <v>0</v>
      </c>
      <c r="K148" s="92" t="str">
        <f t="shared" si="48"/>
        <v>4041/4042</v>
      </c>
      <c r="L148" s="21" t="str">
        <f>VLOOKUP(A148,'Trips&amp;Operators'!$C$1:$G$99999,5,FALSE)</f>
        <v>BIRENBAUM THOMAS</v>
      </c>
      <c r="M148" s="6">
        <f t="shared" si="49"/>
        <v>2.5914351848769002E-2</v>
      </c>
      <c r="N148" s="7">
        <f t="shared" si="61"/>
        <v>37.316666662227362</v>
      </c>
      <c r="O148" s="7"/>
      <c r="P148" s="7"/>
      <c r="Q148" s="22"/>
      <c r="R148" s="173"/>
      <c r="S148" s="176">
        <f t="shared" si="62"/>
        <v>1</v>
      </c>
      <c r="T148" s="202" t="str">
        <f t="shared" si="50"/>
        <v>Southbound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51"/>
        <v>https://d0f6bd738d7f1b3e5a7ca70fe4ff75f0.us-east-1.aws.found.io/app/kibana#/discover/Steve-Slow-Train-Analysis-(2080s-and-2083s)?_g=(refreshInterval:(display:Off,pause:!f,section:0,value:0),time:(from:'2017-06-08T21:47:01-0600',mode:absolute,to:'2017-06-09T00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8" s="204" t="str">
        <f t="shared" si="52"/>
        <v>N</v>
      </c>
      <c r="X148" s="204">
        <f t="shared" si="53"/>
        <v>1</v>
      </c>
      <c r="Y148" s="204">
        <f t="shared" si="54"/>
        <v>23.2989</v>
      </c>
      <c r="Z148" s="204">
        <f t="shared" si="55"/>
        <v>0.10920000000000001</v>
      </c>
      <c r="AA148" s="204">
        <f t="shared" si="56"/>
        <v>23.189699999999998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57"/>
        <v>0234-08</v>
      </c>
      <c r="AE148" s="80" t="str">
        <f t="shared" si="58"/>
        <v>aws s3 cp s3://rtdc.mdm.uploadarchive.raw/RTDC4041/ "%USERPROFILE%\AppData\Local\Temp\OnboardLogs"\RTDC4041\2017-06-08 --exclude "*" --recursive --include "*20170608*" &amp; "%USERPROFILE%\Documents\GitHub\mrs-test-scripts\Headless Mode &amp; Sideloading\WalkAndUnGZ.bat" "%USERPROFILE%\AppData\Local\Temp\OnboardLogs"\RTDC4041\2017-06-08 &amp; aws s3 cp s3://rtdc.mdm.uploadarchive.raw/RTDC4041/ "%USERPROFILE%\AppData\Local\Temp\OnboardLogs"\RTDC4041\2017-06-09 --exclude "*" --recursive --include "*20170609*" &amp; "%USERPROFILE%\Documents\GitHub\mrs-test-scripts\Headless Mode &amp; Sideloading\WalkAndUnGZ.bat" "%USERPROFILE%\AppData\Local\Temp\OnboardLogs"\RTDC4041\2017-06-09</v>
      </c>
      <c r="AF148" s="77" t="str">
        <f t="shared" si="59"/>
        <v>"C:\Program Files (x86)\AstroGrep\AstroGrep.exe" /e /r /s /spath="%USERPROFILE%\AppData\Local\Temp\OnboardLogs" /stypes="app*4041*20170609*" /stext=" 05:.+((SYSTEM_STATE.+slice.+state.+changed )|(ment ac)|(multiple cpu faults)|(system.+state.+changed )|(\[timeout)|(PRM\|1\|D)|(kpr)|(kdp)|(train st.+moving)|(\|lc)|(penalty))"</v>
      </c>
      <c r="AG148" s="1" t="str">
        <f t="shared" si="60"/>
        <v>EC</v>
      </c>
      <c r="AH148" s="81" t="str">
        <f t="shared" si="63"/>
        <v>"%USERPROFILE%\Documents\GitHub\eaglep3\Utilities\RefineRTDCRunTimes.py" --tripid 234-08 --locoid 4041 --swversion DE.1.0.9.0 --startMP 204:232989 --initTime 2017-06-08T22:47:01 --startdatetime 2017-06-08T22:57:13 --delay 1 --endMP 204:1092 --enddatetime 2017-06-08T23:34:32 --enforcementcount 0 &gt;&gt;C:\Users\stu\Documents\GitHub\eaglep3-reporting\EC\2017-06-08-refined-times.txt</v>
      </c>
      <c r="AI148" s="99" t="str">
        <f t="shared" si="64"/>
        <v>echo {"issue":{"subject":"","project_id":79,"tracker_id":40,"status_id":1,"priority_id":2,"assigned_to_id":23,"start_date":"2017-06-08","description":"","custom_fields":[{"id":1,"name":"Subdivision","value":"EC"},{"id":4,"name":"Milepost","value":"0.1092"},{"id":17,"name":"Train ID","value":"234-08"},{"id":16,"name":"Locomotive ID","value":"4041"},{"id":130,"name":"Impact","value":""},{"id":150,"name":"Time of Event (Mountain Time)","value":"23:34:32"},{"id":151,"name":"Denver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65"/>
        <v>start /low /b %USERPROFILE%\Documents\GitHub\eaglep3\Utilities\DownloadLogsFromS3.py --loco 4041 --day 2017-06-08</v>
      </c>
      <c r="AN148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05:34:32"},{"id":29,"name":"Sharepoint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826</v>
      </c>
      <c r="B149" s="7">
        <v>4002</v>
      </c>
      <c r="C149" s="21" t="s">
        <v>204</v>
      </c>
      <c r="D149" s="21" t="s">
        <v>360</v>
      </c>
      <c r="E149" s="13">
        <v>42894.924571759257</v>
      </c>
      <c r="F149" s="13">
        <v>42894.937673611108</v>
      </c>
      <c r="G149" s="7">
        <v>1</v>
      </c>
      <c r="H149" s="21" t="s">
        <v>508</v>
      </c>
      <c r="I149" s="13">
        <v>42894.96365740741</v>
      </c>
      <c r="J149" s="7">
        <v>0</v>
      </c>
      <c r="K149" s="92" t="str">
        <f t="shared" si="48"/>
        <v>4001/4002</v>
      </c>
      <c r="L149" s="21" t="str">
        <f>VLOOKUP(A149,'Trips&amp;Operators'!$C$1:$G$99999,5,FALSE)</f>
        <v>FORTUNATO FRANK</v>
      </c>
      <c r="M149" s="6">
        <f t="shared" si="49"/>
        <v>2.5983796302170958E-2</v>
      </c>
      <c r="N149" s="7">
        <f t="shared" si="61"/>
        <v>37.41666667512618</v>
      </c>
      <c r="O149" s="7"/>
      <c r="P149" s="7"/>
      <c r="Q149" s="22"/>
      <c r="R149" s="173"/>
      <c r="S149" s="176">
        <f t="shared" si="62"/>
        <v>1</v>
      </c>
      <c r="T149" s="202" t="str">
        <f t="shared" si="50"/>
        <v>NorthBound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51"/>
        <v>https://d0f6bd738d7f1b3e5a7ca70fe4ff75f0.us-east-1.aws.found.io/app/kibana#/discover/Steve-Slow-Train-Analysis-(2080s-and-2083s)?_g=(refreshInterval:(display:Off,pause:!f,section:0,value:0),time:(from:'2017-06-08T21:11:23-0600',mode:absolute,to:'2017-06-09T00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9" s="204" t="str">
        <f t="shared" si="52"/>
        <v>N</v>
      </c>
      <c r="X149" s="204">
        <f t="shared" si="53"/>
        <v>1</v>
      </c>
      <c r="Y149" s="204">
        <f t="shared" si="54"/>
        <v>4.4699999999999997E-2</v>
      </c>
      <c r="Z149" s="204">
        <f t="shared" si="55"/>
        <v>23.329799999999999</v>
      </c>
      <c r="AA149" s="204">
        <f t="shared" si="56"/>
        <v>23.2851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57"/>
        <v>0235-08</v>
      </c>
      <c r="AE149" s="80" t="str">
        <f t="shared" si="58"/>
        <v>aws s3 cp s3://rtdc.mdm.uploadarchive.raw/RTDC4002/ "%USERPROFILE%\AppData\Local\Temp\OnboardLogs"\RTDC4002\2017-06-08 --exclude "*" --recursive --include "*20170608*" &amp; "%USERPROFILE%\Documents\GitHub\mrs-test-scripts\Headless Mode &amp; Sideloading\WalkAndUnGZ.bat" "%USERPROFILE%\AppData\Local\Temp\OnboardLogs"\RTDC4002\2017-06-08 &amp; aws s3 cp s3://rtdc.mdm.uploadarchive.raw/RTDC4002/ "%USERPROFILE%\AppData\Local\Temp\OnboardLogs"\RTDC4002\2017-06-09 --exclude "*" --recursive --include "*20170609*" &amp; "%USERPROFILE%\Documents\GitHub\mrs-test-scripts\Headless Mode &amp; Sideloading\WalkAndUnGZ.bat" "%USERPROFILE%\AppData\Local\Temp\OnboardLogs"\RTDC4002\2017-06-09</v>
      </c>
      <c r="AF149" s="77" t="str">
        <f t="shared" si="59"/>
        <v>"C:\Program Files (x86)\AstroGrep\AstroGrep.exe" /e /r /s /spath="%USERPROFILE%\AppData\Local\Temp\OnboardLogs" /stypes="app*4002*20170609*" /stext=" 05:.+((SYSTEM_STATE.+slice.+state.+changed )|(ment ac)|(multiple cpu faults)|(system.+state.+changed )|(\[timeout)|(PRM\|1\|D)|(kpr)|(kdp)|(train st.+moving)|(\|lc)|(penalty))"</v>
      </c>
      <c r="AG149" s="1" t="str">
        <f t="shared" si="60"/>
        <v>EC</v>
      </c>
      <c r="AH149" s="81" t="str">
        <f t="shared" si="63"/>
        <v>"%USERPROFILE%\Documents\GitHub\eaglep3\Utilities\RefineRTDCRunTimes.py" --tripid 235-08 --locoid 4002 --swversion DE.1.0.9.0 --startMP 204:447 --initTime 2017-06-08T22:11:23 --startdatetime 2017-06-08T22:30:15 --delay 1 --endMP 204:233298 --enddatetime 2017-06-08T23:07:40 --enforcementcount 0 &gt;&gt;C:\Users\stu\Documents\GitHub\eaglep3-reporting\EC\2017-06-08-refined-times.txt</v>
      </c>
      <c r="AI149" s="99" t="str">
        <f t="shared" si="64"/>
        <v>echo {"issue":{"subject":"","project_id":79,"tracker_id":40,"status_id":1,"priority_id":2,"assigned_to_id":23,"start_date":"2017-06-08","description":"","custom_fields":[{"id":1,"name":"Subdivision","value":"EC"},{"id":4,"name":"Milepost","value":"23.3298"},{"id":17,"name":"Train ID","value":"235-08"},{"id":16,"name":"Locomotive ID","value":"4002"},{"id":130,"name":"Impact","value":""},{"id":150,"name":"Time of Event (Mountain Time)","value":"23:07:40"},{"id":151,"name":"Denver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65"/>
        <v>start /low /b %USERPROFILE%\Documents\GitHub\eaglep3\Utilities\DownloadLogsFromS3.py --loco 4002 --day 2017-06-08</v>
      </c>
      <c r="AN149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05:07:40"},{"id":29,"name":"Sharepoint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832</v>
      </c>
      <c r="B150" s="7">
        <v>4001</v>
      </c>
      <c r="C150" s="21" t="s">
        <v>204</v>
      </c>
      <c r="D150" s="21" t="s">
        <v>844</v>
      </c>
      <c r="E150" s="13">
        <v>42894.965833333335</v>
      </c>
      <c r="F150" s="13">
        <v>42894.977418981478</v>
      </c>
      <c r="G150" s="7">
        <v>1</v>
      </c>
      <c r="H150" s="21" t="s">
        <v>363</v>
      </c>
      <c r="I150" s="13">
        <v>42895.004849537036</v>
      </c>
      <c r="J150" s="7">
        <v>0</v>
      </c>
      <c r="K150" s="92" t="str">
        <f t="shared" si="48"/>
        <v>4001/4002</v>
      </c>
      <c r="L150" s="21" t="str">
        <f>VLOOKUP(A150,'Trips&amp;Operators'!$C$1:$G$99999,5,FALSE)</f>
        <v>FORTUNATO FRANK</v>
      </c>
      <c r="M150" s="6">
        <f t="shared" si="49"/>
        <v>2.7430555557657499E-2</v>
      </c>
      <c r="N150" s="7">
        <f t="shared" si="61"/>
        <v>39.500000003026798</v>
      </c>
      <c r="O150" s="7"/>
      <c r="P150" s="7"/>
      <c r="Q150" s="22"/>
      <c r="R150" s="173"/>
      <c r="S150" s="176">
        <f t="shared" si="62"/>
        <v>1</v>
      </c>
      <c r="T150" s="202" t="str">
        <f t="shared" si="50"/>
        <v>Southbound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51"/>
        <v>https://d0f6bd738d7f1b3e5a7ca70fe4ff75f0.us-east-1.aws.found.io/app/kibana#/discover/Steve-Slow-Train-Analysis-(2080s-and-2083s)?_g=(refreshInterval:(display:Off,pause:!f,section:0,value:0),time:(from:'2017-06-08T22:10:48-0600',mode:absolute,to:'2017-06-09T01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0" s="204" t="str">
        <f t="shared" si="52"/>
        <v>N</v>
      </c>
      <c r="X150" s="204">
        <f t="shared" si="53"/>
        <v>1</v>
      </c>
      <c r="Y150" s="204">
        <f t="shared" si="54"/>
        <v>23.3002</v>
      </c>
      <c r="Z150" s="204">
        <f t="shared" si="55"/>
        <v>1.41E-2</v>
      </c>
      <c r="AA150" s="204">
        <f t="shared" si="56"/>
        <v>23.286100000000001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57"/>
        <v>0236-08</v>
      </c>
      <c r="AE150" s="80" t="str">
        <f t="shared" si="58"/>
        <v>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 &amp; aws s3 cp s3://rtdc.mdm.uploadarchive.raw/RTDC4001/ "%USERPROFILE%\AppData\Local\Temp\OnboardLogs"\RTDC4001\2017-06-09 --exclude "*" --recursive --include "*20170609*" &amp; "%USERPROFILE%\Documents\GitHub\mrs-test-scripts\Headless Mode &amp; Sideloading\WalkAndUnGZ.bat" "%USERPROFILE%\AppData\Local\Temp\OnboardLogs"\RTDC4001\2017-06-09</v>
      </c>
      <c r="AF150" s="77" t="str">
        <f t="shared" si="59"/>
        <v>"C:\Program Files (x86)\AstroGrep\AstroGrep.exe" /e /r /s /spath="%USERPROFILE%\AppData\Local\Temp\OnboardLogs" /stypes="app*4001*20170609*" /stext=" 06:.+((SYSTEM_STATE.+slice.+state.+changed )|(ment ac)|(multiple cpu faults)|(system.+state.+changed )|(\[timeout)|(PRM\|1\|D)|(kpr)|(kdp)|(train st.+moving)|(\|lc)|(penalty))"</v>
      </c>
      <c r="AG150" s="1" t="str">
        <f t="shared" si="60"/>
        <v>EC</v>
      </c>
      <c r="AH150" s="81" t="str">
        <f t="shared" si="63"/>
        <v>"%USERPROFILE%\Documents\GitHub\eaglep3\Utilities\RefineRTDCRunTimes.py" --tripid 236-08 --locoid 4001 --swversion DE.1.0.9.0 --startMP 204:233002 --initTime 2017-06-08T23:10:48 --startdatetime 2017-06-08T23:27:29 --delay 1 --endMP 204:141 --enddatetime 2017-06-09T00:06:59 --enforcementcount 0 &gt;&gt;C:\Users\stu\Documents\GitHub\eaglep3-reporting\EC\2017-06-08-refined-times.txt</v>
      </c>
      <c r="AI150" s="99" t="str">
        <f t="shared" si="64"/>
        <v>echo {"issue":{"subject":"","project_id":79,"tracker_id":40,"status_id":1,"priority_id":2,"assigned_to_id":23,"start_date":"2017-06-09","description":"","custom_fields":[{"id":1,"name":"Subdivision","value":"EC"},{"id":4,"name":"Milepost","value":"0.0141"},{"id":17,"name":"Train ID","value":"236-08"},{"id":16,"name":"Locomotive ID","value":"4001"},{"id":130,"name":"Impact","value":""},{"id":150,"name":"Time of Event (Mountain Time)","value":"00:06:59"},{"id":151,"name":"Denver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65"/>
        <v>start /low /b %USERPROFILE%\Documents\GitHub\eaglep3\Utilities\DownloadLogsFromS3.py --loco 4001 --day 2017-06-08</v>
      </c>
      <c r="AN150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06:06:59"},{"id":29,"name":"Sharepoint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829</v>
      </c>
      <c r="B151" s="7">
        <v>4022</v>
      </c>
      <c r="C151" s="21" t="s">
        <v>204</v>
      </c>
      <c r="D151" s="21" t="s">
        <v>510</v>
      </c>
      <c r="E151" s="13">
        <v>42894.951747685183</v>
      </c>
      <c r="F151" s="13">
        <v>42894.958553240744</v>
      </c>
      <c r="G151" s="7">
        <v>1</v>
      </c>
      <c r="H151" s="21" t="s">
        <v>531</v>
      </c>
      <c r="I151" s="13">
        <v>42894.984467592592</v>
      </c>
      <c r="J151" s="7">
        <v>0</v>
      </c>
      <c r="K151" s="92" t="str">
        <f t="shared" si="48"/>
        <v>4021/4022</v>
      </c>
      <c r="L151" s="21" t="str">
        <f>VLOOKUP(A151,'Trips&amp;Operators'!$C$1:$G$99999,5,FALSE)</f>
        <v>LAMAR NEKESHA</v>
      </c>
      <c r="M151" s="6">
        <f t="shared" si="49"/>
        <v>2.5914351848769002E-2</v>
      </c>
      <c r="N151" s="7">
        <f t="shared" si="61"/>
        <v>37.316666662227362</v>
      </c>
      <c r="O151" s="7"/>
      <c r="P151" s="7"/>
      <c r="Q151" s="22"/>
      <c r="R151" s="173"/>
      <c r="S151" s="176">
        <f t="shared" si="62"/>
        <v>1</v>
      </c>
      <c r="T151" s="202" t="str">
        <f t="shared" si="50"/>
        <v>NorthBound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51"/>
        <v>https://d0f6bd738d7f1b3e5a7ca70fe4ff75f0.us-east-1.aws.found.io/app/kibana#/discover/Steve-Slow-Train-Analysis-(2080s-and-2083s)?_g=(refreshInterval:(display:Off,pause:!f,section:0,value:0),time:(from:'2017-06-08T21:50:31-0600',mode:absolute,to:'2017-06-09T00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1" s="204" t="str">
        <f t="shared" si="52"/>
        <v>N</v>
      </c>
      <c r="X151" s="204">
        <f t="shared" si="53"/>
        <v>1</v>
      </c>
      <c r="Y151" s="204">
        <f t="shared" si="54"/>
        <v>4.7100000000000003E-2</v>
      </c>
      <c r="Z151" s="204">
        <f t="shared" si="55"/>
        <v>23.334199999999999</v>
      </c>
      <c r="AA151" s="204">
        <f t="shared" si="56"/>
        <v>23.287099999999999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57"/>
        <v>0237-08</v>
      </c>
      <c r="AE151" s="80" t="str">
        <f t="shared" si="58"/>
        <v>aws s3 cp s3://rtdc.mdm.uploadarchive.raw/RTDC4022/ "%USERPROFILE%\AppData\Local\Temp\OnboardLogs"\RTDC4022\2017-06-08 --exclude "*" --recursive --include "*20170608*" &amp; "%USERPROFILE%\Documents\GitHub\mrs-test-scripts\Headless Mode &amp; Sideloading\WalkAndUnGZ.bat" "%USERPROFILE%\AppData\Local\Temp\OnboardLogs"\RTDC4022\2017-06-08 &amp; 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</v>
      </c>
      <c r="AF151" s="77" t="str">
        <f t="shared" si="59"/>
        <v>"C:\Program Files (x86)\AstroGrep\AstroGrep.exe" /e /r /s /spath="%USERPROFILE%\AppData\Local\Temp\OnboardLogs" /stypes="app*4022*20170609*" /stext=" 05:.+((SYSTEM_STATE.+slice.+state.+changed )|(ment ac)|(multiple cpu faults)|(system.+state.+changed )|(\[timeout)|(PRM\|1\|D)|(kpr)|(kdp)|(train st.+moving)|(\|lc)|(penalty))"</v>
      </c>
      <c r="AG151" s="1" t="str">
        <f t="shared" si="60"/>
        <v>EC</v>
      </c>
      <c r="AH151" s="81" t="str">
        <f t="shared" si="63"/>
        <v>"%USERPROFILE%\Documents\GitHub\eaglep3\Utilities\RefineRTDCRunTimes.py" --tripid 237-08 --locoid 4022 --swversion DE.1.0.9.0 --startMP 204:471 --initTime 2017-06-08T22:50:31 --startdatetime 2017-06-08T23:00:19 --delay 1 --endMP 204:233342 --enddatetime 2017-06-08T23:37:38 --enforcementcount 0 &gt;&gt;C:\Users\stu\Documents\GitHub\eaglep3-reporting\EC\2017-06-08-refined-times.txt</v>
      </c>
      <c r="AI151" s="99" t="str">
        <f t="shared" si="64"/>
        <v>echo {"issue":{"subject":"","project_id":79,"tracker_id":40,"status_id":1,"priority_id":2,"assigned_to_id":23,"start_date":"2017-06-08","description":"","custom_fields":[{"id":1,"name":"Subdivision","value":"EC"},{"id":4,"name":"Milepost","value":"23.3342"},{"id":17,"name":"Train ID","value":"237-08"},{"id":16,"name":"Locomotive ID","value":"4022"},{"id":130,"name":"Impact","value":""},{"id":150,"name":"Time of Event (Mountain Time)","value":"23:37:38"},{"id":151,"name":"Denver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65"/>
        <v>start /low /b %USERPROFILE%\Documents\GitHub\eaglep3\Utilities\DownloadLogsFromS3.py --loco 4022 --day 2017-06-08</v>
      </c>
      <c r="AN151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05:37:38"},{"id":29,"name":"Sharepoint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835</v>
      </c>
      <c r="B152" s="7">
        <v>4021</v>
      </c>
      <c r="C152" s="21" t="s">
        <v>204</v>
      </c>
      <c r="D152" s="21" t="s">
        <v>584</v>
      </c>
      <c r="E152" s="13">
        <v>42894.991249999999</v>
      </c>
      <c r="F152" s="13">
        <v>42894.998067129629</v>
      </c>
      <c r="G152" s="7">
        <v>1</v>
      </c>
      <c r="H152" s="21" t="s">
        <v>350</v>
      </c>
      <c r="I152" s="13">
        <v>42895.025185185186</v>
      </c>
      <c r="J152" s="7">
        <v>0</v>
      </c>
      <c r="K152" s="92" t="str">
        <f t="shared" si="48"/>
        <v>4021/4022</v>
      </c>
      <c r="L152" s="21" t="str">
        <f>VLOOKUP(A152,'Trips&amp;Operators'!$C$1:$G$99999,5,FALSE)</f>
        <v>LAMAR NEKESHA</v>
      </c>
      <c r="M152" s="6">
        <f t="shared" si="49"/>
        <v>2.7118055557366461E-2</v>
      </c>
      <c r="N152" s="7">
        <f t="shared" si="61"/>
        <v>39.050000002607703</v>
      </c>
      <c r="O152" s="7"/>
      <c r="P152" s="7"/>
      <c r="Q152" s="22"/>
      <c r="R152" s="173"/>
      <c r="S152" s="176">
        <f t="shared" si="62"/>
        <v>1</v>
      </c>
      <c r="T152" s="202" t="str">
        <f t="shared" si="50"/>
        <v>Southbound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51"/>
        <v>https://d0f6bd738d7f1b3e5a7ca70fe4ff75f0.us-east-1.aws.found.io/app/kibana#/discover/Steve-Slow-Train-Analysis-(2080s-and-2083s)?_g=(refreshInterval:(display:Off,pause:!f,section:0,value:0),time:(from:'2017-06-08T22:47:24-0600',mode:absolute,to:'2017-06-09T01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2" s="204" t="str">
        <f t="shared" si="52"/>
        <v>N</v>
      </c>
      <c r="X152" s="204">
        <f t="shared" si="53"/>
        <v>1</v>
      </c>
      <c r="Y152" s="204">
        <f t="shared" si="54"/>
        <v>23.300599999999999</v>
      </c>
      <c r="Z152" s="204">
        <f t="shared" si="55"/>
        <v>1.6E-2</v>
      </c>
      <c r="AA152" s="204">
        <f t="shared" si="56"/>
        <v>23.284600000000001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57"/>
        <v>0238-08</v>
      </c>
      <c r="AE152" s="80" t="str">
        <f t="shared" si="58"/>
        <v>aws s3 cp s3://rtdc.mdm.uploadarchive.raw/RTDC4021/ "%USERPROFILE%\AppData\Local\Temp\OnboardLogs"\RTDC4021\2017-06-08 --exclude "*" --recursive --include "*20170608*" &amp; "%USERPROFILE%\Documents\GitHub\mrs-test-scripts\Headless Mode &amp; Sideloading\WalkAndUnGZ.bat" "%USERPROFILE%\AppData\Local\Temp\OnboardLogs"\RTDC4021\2017-06-08 &amp; 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</v>
      </c>
      <c r="AF152" s="77" t="str">
        <f t="shared" si="59"/>
        <v>"C:\Program Files (x86)\AstroGrep\AstroGrep.exe" /e /r /s /spath="%USERPROFILE%\AppData\Local\Temp\OnboardLogs" /stypes="app*4021*20170609*" /stext=" 06:.+((SYSTEM_STATE.+slice.+state.+changed )|(ment ac)|(multiple cpu faults)|(system.+state.+changed )|(\[timeout)|(PRM\|1\|D)|(kpr)|(kdp)|(train st.+moving)|(\|lc)|(penalty))"</v>
      </c>
      <c r="AG152" s="1" t="str">
        <f t="shared" si="60"/>
        <v>EC</v>
      </c>
      <c r="AH152" s="81" t="str">
        <f t="shared" si="63"/>
        <v>"%USERPROFILE%\Documents\GitHub\eaglep3\Utilities\RefineRTDCRunTimes.py" --tripid 238-08 --locoid 4021 --swversion DE.1.0.9.0 --startMP 204:233006 --initTime 2017-06-08T23:47:24 --startdatetime 2017-06-08T23:57:13 --delay 1 --endMP 204:160 --enddatetime 2017-06-09T00:36:16 --enforcementcount 0 &gt;&gt;C:\Users\stu\Documents\GitHub\eaglep3-reporting\EC\2017-06-08-refined-times.txt</v>
      </c>
      <c r="AI152" s="99" t="str">
        <f t="shared" si="64"/>
        <v>echo {"issue":{"subject":"","project_id":79,"tracker_id":40,"status_id":1,"priority_id":2,"assigned_to_id":23,"start_date":"2017-06-09","description":"","custom_fields":[{"id":1,"name":"Subdivision","value":"EC"},{"id":4,"name":"Milepost","value":"0.016"},{"id":17,"name":"Train ID","value":"238-08"},{"id":16,"name":"Locomotive ID","value":"4021"},{"id":130,"name":"Impact","value":""},{"id":150,"name":"Time of Event (Mountain Time)","value":"00:36:16"},{"id":151,"name":"Denver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65"/>
        <v>start /low /b %USERPROFILE%\Documents\GitHub\eaglep3\Utilities\DownloadLogsFromS3.py --loco 4021 --day 2017-06-08</v>
      </c>
      <c r="AN152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06:36:16"},{"id":29,"name":"Sharepoint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833</v>
      </c>
      <c r="B153" s="7">
        <v>4056</v>
      </c>
      <c r="C153" s="21" t="s">
        <v>204</v>
      </c>
      <c r="D153" s="21" t="s">
        <v>397</v>
      </c>
      <c r="E153" s="13">
        <v>42894.970671296294</v>
      </c>
      <c r="F153" s="13">
        <v>42894.979432870372</v>
      </c>
      <c r="G153" s="7">
        <v>1</v>
      </c>
      <c r="H153" s="21" t="s">
        <v>576</v>
      </c>
      <c r="I153" s="13">
        <v>42895.005300925928</v>
      </c>
      <c r="J153" s="7">
        <v>0</v>
      </c>
      <c r="K153" s="92" t="str">
        <f t="shared" si="48"/>
        <v>4055/4056</v>
      </c>
      <c r="L153" s="21" t="str">
        <f>VLOOKUP(A153,'Trips&amp;Operators'!$C$1:$G$99999,5,FALSE)</f>
        <v>SMITH MICHAEL</v>
      </c>
      <c r="M153" s="6">
        <f t="shared" si="49"/>
        <v>2.5868055556202307E-2</v>
      </c>
      <c r="N153" s="7">
        <f t="shared" si="61"/>
        <v>37.250000000931323</v>
      </c>
      <c r="O153" s="7"/>
      <c r="P153" s="7"/>
      <c r="Q153" s="22"/>
      <c r="R153" s="173"/>
      <c r="S153" s="176">
        <f t="shared" si="62"/>
        <v>1</v>
      </c>
      <c r="T153" s="202" t="str">
        <f t="shared" si="50"/>
        <v>NorthBound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51"/>
        <v>https://d0f6bd738d7f1b3e5a7ca70fe4ff75f0.us-east-1.aws.found.io/app/kibana#/discover/Steve-Slow-Train-Analysis-(2080s-and-2083s)?_g=(refreshInterval:(display:Off,pause:!f,section:0,value:0),time:(from:'2017-06-08T22:17:46-0600',mode:absolute,to:'2017-06-09T01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3" s="204" t="str">
        <f t="shared" si="52"/>
        <v>N</v>
      </c>
      <c r="X153" s="204">
        <f t="shared" si="53"/>
        <v>1</v>
      </c>
      <c r="Y153" s="204">
        <f t="shared" si="54"/>
        <v>4.6199999999999998E-2</v>
      </c>
      <c r="Z153" s="204">
        <f t="shared" si="55"/>
        <v>23.330200000000001</v>
      </c>
      <c r="AA153" s="204">
        <f t="shared" si="56"/>
        <v>23.284000000000002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57"/>
        <v>0239-08</v>
      </c>
      <c r="AE153" s="80" t="str">
        <f t="shared" si="58"/>
        <v>aws s3 cp s3://rtdc.mdm.uploadarchive.raw/RTDC4056/ "%USERPROFILE%\AppData\Local\Temp\OnboardLogs"\RTDC4056\2017-06-08 --exclude "*" --recursive --include "*20170608*" &amp; "%USERPROFILE%\Documents\GitHub\mrs-test-scripts\Headless Mode &amp; Sideloading\WalkAndUnGZ.bat" "%USERPROFILE%\AppData\Local\Temp\OnboardLogs"\RTDC4056\2017-06-08 &amp; aws s3 cp s3://rtdc.mdm.uploadarchive.raw/RTDC4056/ "%USERPROFILE%\AppData\Local\Temp\OnboardLogs"\RTDC4056\2017-06-09 --exclude "*" --recursive --include "*20170609*" &amp; "%USERPROFILE%\Documents\GitHub\mrs-test-scripts\Headless Mode &amp; Sideloading\WalkAndUnGZ.bat" "%USERPROFILE%\AppData\Local\Temp\OnboardLogs"\RTDC4056\2017-06-09</v>
      </c>
      <c r="AF153" s="77" t="str">
        <f t="shared" si="59"/>
        <v>"C:\Program Files (x86)\AstroGrep\AstroGrep.exe" /e /r /s /spath="%USERPROFILE%\AppData\Local\Temp\OnboardLogs" /stypes="app*4056*20170609*" /stext=" 06:.+((SYSTEM_STATE.+slice.+state.+changed )|(ment ac)|(multiple cpu faults)|(system.+state.+changed )|(\[timeout)|(PRM\|1\|D)|(kpr)|(kdp)|(train st.+moving)|(\|lc)|(penalty))"</v>
      </c>
      <c r="AG153" s="1" t="str">
        <f t="shared" si="60"/>
        <v>EC</v>
      </c>
      <c r="AH153" s="81" t="str">
        <f t="shared" si="63"/>
        <v>"%USERPROFILE%\Documents\GitHub\eaglep3\Utilities\RefineRTDCRunTimes.py" --tripid 239-08 --locoid 4056 --swversion DE.1.0.9.0 --startMP 204:462 --initTime 2017-06-08T23:17:46 --startdatetime 2017-06-08T23:30:23 --delay 1 --endMP 204:233302 --enddatetime 2017-06-09T00:07:38 --enforcementcount 0 &gt;&gt;C:\Users\stu\Documents\GitHub\eaglep3-reporting\EC\2017-06-08-refined-times.txt</v>
      </c>
      <c r="AI153" s="99" t="str">
        <f t="shared" si="64"/>
        <v>echo {"issue":{"subject":"","project_id":79,"tracker_id":40,"status_id":1,"priority_id":2,"assigned_to_id":23,"start_date":"2017-06-09","description":"","custom_fields":[{"id":1,"name":"Subdivision","value":"EC"},{"id":4,"name":"Milepost","value":"23.3302"},{"id":17,"name":"Train ID","value":"239-08"},{"id":16,"name":"Locomotive ID","value":"4056"},{"id":130,"name":"Impact","value":""},{"id":150,"name":"Time of Event (Mountain Time)","value":"00:07:38"},{"id":151,"name":"Denver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65"/>
        <v>start /low /b %USERPROFILE%\Documents\GitHub\eaglep3\Utilities\DownloadLogsFromS3.py --loco 4056 --day 2017-06-08</v>
      </c>
      <c r="AN153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06:07:38"},{"id":29,"name":"Sharepoint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837</v>
      </c>
      <c r="B154" s="7">
        <v>4055</v>
      </c>
      <c r="C154" s="21" t="s">
        <v>204</v>
      </c>
      <c r="D154" s="21" t="s">
        <v>578</v>
      </c>
      <c r="E154" s="13">
        <v>42895.012094907404</v>
      </c>
      <c r="F154" s="13">
        <v>42895.019236111111</v>
      </c>
      <c r="G154" s="7">
        <v>1</v>
      </c>
      <c r="H154" s="21" t="s">
        <v>353</v>
      </c>
      <c r="I154" s="13">
        <v>42895.045810185184</v>
      </c>
      <c r="J154" s="7">
        <v>0</v>
      </c>
      <c r="K154" s="92" t="str">
        <f t="shared" si="48"/>
        <v>4055/4056</v>
      </c>
      <c r="L154" s="21" t="str">
        <f>VLOOKUP(A154,'Trips&amp;Operators'!$C$1:$G$99999,5,FALSE)</f>
        <v>SMITH MICHAEL</v>
      </c>
      <c r="M154" s="6">
        <f t="shared" si="49"/>
        <v>2.6574074072414078E-2</v>
      </c>
      <c r="N154" s="7">
        <f t="shared" si="61"/>
        <v>38.266666664276272</v>
      </c>
      <c r="O154" s="7"/>
      <c r="P154" s="7"/>
      <c r="Q154" s="22"/>
      <c r="R154" s="173"/>
      <c r="S154" s="176">
        <f t="shared" si="62"/>
        <v>1</v>
      </c>
      <c r="T154" s="202" t="str">
        <f t="shared" si="50"/>
        <v>Southbound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 t="shared" si="51"/>
        <v>https://d0f6bd738d7f1b3e5a7ca70fe4ff75f0.us-east-1.aws.found.io/app/kibana#/discover/Steve-Slow-Train-Analysis-(2080s-and-2083s)?_g=(refreshInterval:(display:Off,pause:!f,section:0,value:0),time:(from:'2017-06-08T23:17:25-0600',mode:absolute,to:'2017-06-09T02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4" s="204" t="str">
        <f t="shared" si="52"/>
        <v>N</v>
      </c>
      <c r="X154" s="204">
        <f t="shared" si="53"/>
        <v>1</v>
      </c>
      <c r="Y154" s="204">
        <f t="shared" si="54"/>
        <v>23.298100000000002</v>
      </c>
      <c r="Z154" s="204">
        <f t="shared" si="55"/>
        <v>1.49E-2</v>
      </c>
      <c r="AA154" s="204">
        <f t="shared" si="56"/>
        <v>23.283200000000001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57"/>
        <v>0240-08</v>
      </c>
      <c r="AE154" s="80" t="str">
        <f t="shared" si="58"/>
        <v>aws s3 cp s3://rtdc.mdm.uploadarchive.raw/RTDC4055/ "%USERPROFILE%\AppData\Local\Temp\OnboardLogs"\RTDC4055\2017-06-09 --exclude "*" --recursive --include "*20170609*" &amp; "%USERPROFILE%\Documents\GitHub\mrs-test-scripts\Headless Mode &amp; Sideloading\WalkAndUnGZ.bat" "%USERPROFILE%\AppData\Local\Temp\OnboardLogs"\RTDC4055\2017-06-09 &amp; 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</v>
      </c>
      <c r="AF154" s="77" t="str">
        <f t="shared" si="59"/>
        <v>"C:\Program Files (x86)\AstroGrep\AstroGrep.exe" /e /r /s /spath="%USERPROFILE%\AppData\Local\Temp\OnboardLogs" /stypes="app*4055*20170609*" /stext=" 07:.+((SYSTEM_STATE.+slice.+state.+changed )|(ment ac)|(multiple cpu faults)|(system.+state.+changed )|(\[timeout)|(PRM\|1\|D)|(kpr)|(kdp)|(train st.+moving)|(\|lc)|(penalty))"</v>
      </c>
      <c r="AG154" s="1" t="str">
        <f t="shared" si="60"/>
        <v>EC</v>
      </c>
      <c r="AH154" s="81" t="str">
        <f t="shared" si="63"/>
        <v>"%USERPROFILE%\Documents\GitHub\eaglep3\Utilities\RefineRTDCRunTimes.py" --tripid 240-08 --locoid 4055 --swversion DE.1.0.9.0 --startMP 204:232981 --initTime 2017-06-09T00:17:25 --startdatetime 2017-06-09T00:27:42 --delay 1 --endMP 204:149 --enddatetime 2017-06-09T01:05:58 --enforcementcount 0 &gt;&gt;C:\Users\stu\Documents\GitHub\eaglep3-reporting\EC\2017-06-08-refined-times.txt</v>
      </c>
      <c r="AI154" s="99" t="str">
        <f t="shared" si="64"/>
        <v>echo {"issue":{"subject":"","project_id":79,"tracker_id":40,"status_id":1,"priority_id":2,"assigned_to_id":23,"start_date":"2017-06-09","description":"","custom_fields":[{"id":1,"name":"Subdivision","value":"EC"},{"id":4,"name":"Milepost","value":"0.0149"},{"id":17,"name":"Train ID","value":"240-08"},{"id":16,"name":"Locomotive ID","value":"4055"},{"id":130,"name":"Impact","value":""},{"id":150,"name":"Time of Event (Mountain Time)","value":"01:05:58"},{"id":151,"name":"Denver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65"/>
        <v>start /low /b %USERPROFILE%\Documents\GitHub\eaglep3\Utilities\DownloadLogsFromS3.py --loco 4055 --day 2017-06-09</v>
      </c>
      <c r="AN154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07:05:58"},{"id":29,"name":"Sharepoint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834</v>
      </c>
      <c r="B155" s="7">
        <v>4004</v>
      </c>
      <c r="C155" s="21" t="s">
        <v>204</v>
      </c>
      <c r="D155" s="21" t="s">
        <v>349</v>
      </c>
      <c r="E155" s="13">
        <v>42894.990648148145</v>
      </c>
      <c r="F155" s="13">
        <v>42895.000358796293</v>
      </c>
      <c r="G155" s="7">
        <v>1</v>
      </c>
      <c r="H155" s="21" t="s">
        <v>585</v>
      </c>
      <c r="I155" s="13">
        <v>42895.026250000003</v>
      </c>
      <c r="J155" s="7">
        <v>0</v>
      </c>
      <c r="K155" s="92" t="str">
        <f t="shared" si="48"/>
        <v>4003/4004</v>
      </c>
      <c r="L155" s="21" t="str">
        <f>VLOOKUP(A155,'Trips&amp;Operators'!$C$1:$G$99999,5,FALSE)</f>
        <v>SAFIEF AEIMEN</v>
      </c>
      <c r="M155" s="6">
        <f t="shared" si="49"/>
        <v>2.5891203709761612E-2</v>
      </c>
      <c r="N155" s="7">
        <f t="shared" si="61"/>
        <v>37.283333342056721</v>
      </c>
      <c r="O155" s="7"/>
      <c r="P155" s="7"/>
      <c r="Q155" s="22"/>
      <c r="R155" s="173"/>
      <c r="S155" s="176">
        <f t="shared" si="62"/>
        <v>1</v>
      </c>
      <c r="T155" s="202" t="str">
        <f t="shared" si="50"/>
        <v>NorthBound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 t="shared" si="51"/>
        <v>https://d0f6bd738d7f1b3e5a7ca70fe4ff75f0.us-east-1.aws.found.io/app/kibana#/discover/Steve-Slow-Train-Analysis-(2080s-and-2083s)?_g=(refreshInterval:(display:Off,pause:!f,section:0,value:0),time:(from:'2017-06-08T22:46:32-0600',mode:absolute,to:'2017-06-09T01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5" s="204" t="str">
        <f t="shared" si="52"/>
        <v>N</v>
      </c>
      <c r="X155" s="204">
        <f t="shared" si="53"/>
        <v>1</v>
      </c>
      <c r="Y155" s="204">
        <f t="shared" si="54"/>
        <v>4.4600000000000001E-2</v>
      </c>
      <c r="Z155" s="204">
        <f t="shared" si="55"/>
        <v>23.332100000000001</v>
      </c>
      <c r="AA155" s="204">
        <f t="shared" si="56"/>
        <v>23.287500000000001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57"/>
        <v>0241-08</v>
      </c>
      <c r="AE155" s="80" t="str">
        <f t="shared" si="58"/>
        <v>aws s3 cp s3://rtdc.mdm.uploadarchive.raw/RTDC4004/ "%USERPROFILE%\AppData\Local\Temp\OnboardLogs"\RTDC4004\2017-06-09 --exclude "*" --recursive --include "*20170609*" &amp; "%USERPROFILE%\Documents\GitHub\mrs-test-scripts\Headless Mode &amp; Sideloading\WalkAndUnGZ.bat" "%USERPROFILE%\AppData\Local\Temp\OnboardLogs"\RTDC4004\2017-06-09 &amp; 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</v>
      </c>
      <c r="AF155" s="77" t="str">
        <f t="shared" si="59"/>
        <v>"C:\Program Files (x86)\AstroGrep\AstroGrep.exe" /e /r /s /spath="%USERPROFILE%\AppData\Local\Temp\OnboardLogs" /stypes="app*4004*20170609*" /stext=" 06:.+((SYSTEM_STATE.+slice.+state.+changed )|(ment ac)|(multiple cpu faults)|(system.+state.+changed )|(\[timeout)|(PRM\|1\|D)|(kpr)|(kdp)|(train st.+moving)|(\|lc)|(penalty))"</v>
      </c>
      <c r="AG155" s="1" t="str">
        <f t="shared" si="60"/>
        <v>EC</v>
      </c>
      <c r="AH155" s="81" t="str">
        <f t="shared" si="63"/>
        <v>"%USERPROFILE%\Documents\GitHub\eaglep3\Utilities\RefineRTDCRunTimes.py" --tripid 241-08 --locoid 4004 --swversion DE.1.0.9.0 --startMP 204:446 --initTime 2017-06-08T23:46:32 --startdatetime 2017-06-09T00:00:31 --delay 1 --endMP 204:233321 --enddatetime 2017-06-09T00:37:48 --enforcementcount 0 &gt;&gt;C:\Users\stu\Documents\GitHub\eaglep3-reporting\EC\2017-06-08-refined-times.txt</v>
      </c>
      <c r="AI155" s="99" t="str">
        <f t="shared" si="64"/>
        <v>echo {"issue":{"subject":"","project_id":79,"tracker_id":40,"status_id":1,"priority_id":2,"assigned_to_id":23,"start_date":"2017-06-09","description":"","custom_fields":[{"id":1,"name":"Subdivision","value":"EC"},{"id":4,"name":"Milepost","value":"23.3321"},{"id":17,"name":"Train ID","value":"241-08"},{"id":16,"name":"Locomotive ID","value":"4004"},{"id":130,"name":"Impact","value":""},{"id":150,"name":"Time of Event (Mountain Time)","value":"00:37:48"},{"id":151,"name":"Denver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65"/>
        <v>start /low /b %USERPROFILE%\Documents\GitHub\eaglep3\Utilities\DownloadLogsFromS3.py --loco 4004 --day 2017-06-09</v>
      </c>
      <c r="AN155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06:37:48"},{"id":29,"name":"Sharepoint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393</v>
      </c>
      <c r="B156" s="7">
        <v>4003</v>
      </c>
      <c r="C156" s="21" t="s">
        <v>204</v>
      </c>
      <c r="D156" s="21" t="s">
        <v>849</v>
      </c>
      <c r="E156" s="13">
        <v>42895.029189814813</v>
      </c>
      <c r="F156" s="13">
        <v>42895.04010416667</v>
      </c>
      <c r="G156" s="7">
        <v>1</v>
      </c>
      <c r="H156" s="21" t="s">
        <v>350</v>
      </c>
      <c r="I156" s="13">
        <v>42895.067245370374</v>
      </c>
      <c r="J156" s="7">
        <v>0</v>
      </c>
      <c r="K156" s="92" t="str">
        <f t="shared" si="48"/>
        <v>4003/4004</v>
      </c>
      <c r="L156" s="21" t="str">
        <f>VLOOKUP(A156,'Trips&amp;Operators'!$C$1:$G$99999,5,FALSE)</f>
        <v>SAFIEF AEIMEN</v>
      </c>
      <c r="M156" s="6">
        <f t="shared" si="49"/>
        <v>2.7141203703649808E-2</v>
      </c>
      <c r="N156" s="7">
        <f t="shared" si="61"/>
        <v>39.083333333255723</v>
      </c>
      <c r="O156" s="7"/>
      <c r="P156" s="7"/>
      <c r="Q156" s="22"/>
      <c r="R156" s="173"/>
      <c r="S156" s="176">
        <f t="shared" si="62"/>
        <v>1</v>
      </c>
      <c r="T156" s="202" t="str">
        <f t="shared" si="50"/>
        <v>Southbound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 t="shared" si="51"/>
        <v>https://d0f6bd738d7f1b3e5a7ca70fe4ff75f0.us-east-1.aws.found.io/app/kibana#/discover/Steve-Slow-Train-Analysis-(2080s-and-2083s)?_g=(refreshInterval:(display:Off,pause:!f,section:0,value:0),time:(from:'2017-06-08T23:42:02-0600',mode:absolute,to:'2017-06-09T02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6" s="204" t="str">
        <f t="shared" si="52"/>
        <v>N</v>
      </c>
      <c r="X156" s="204">
        <f t="shared" si="53"/>
        <v>1</v>
      </c>
      <c r="Y156" s="204">
        <f t="shared" si="54"/>
        <v>23.3004</v>
      </c>
      <c r="Z156" s="204">
        <f t="shared" si="55"/>
        <v>1.6E-2</v>
      </c>
      <c r="AA156" s="204">
        <f t="shared" si="56"/>
        <v>23.284400000000002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57"/>
        <v>0242-08</v>
      </c>
      <c r="AE156" s="80" t="str">
        <f t="shared" si="58"/>
        <v>aws s3 cp s3://rtdc.mdm.uploadarchive.raw/RTDC4003/ "%USERPROFILE%\AppData\Local\Temp\OnboardLogs"\RTDC4003\2017-06-09 --exclude "*" --recursive --include "*20170609*" &amp; "%USERPROFILE%\Documents\GitHub\mrs-test-scripts\Headless Mode &amp; Sideloading\WalkAndUnGZ.bat" "%USERPROFILE%\AppData\Local\Temp\OnboardLogs"\RTDC4003\2017-06-09 &amp; 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</v>
      </c>
      <c r="AF156" s="77" t="str">
        <f t="shared" si="59"/>
        <v>"C:\Program Files (x86)\AstroGrep\AstroGrep.exe" /e /r /s /spath="%USERPROFILE%\AppData\Local\Temp\OnboardLogs" /stypes="app*4003*20170609*" /stext=" 07:.+((SYSTEM_STATE.+slice.+state.+changed )|(ment ac)|(multiple cpu faults)|(system.+state.+changed )|(\[timeout)|(PRM\|1\|D)|(kpr)|(kdp)|(train st.+moving)|(\|lc)|(penalty))"</v>
      </c>
      <c r="AG156" s="1" t="str">
        <f t="shared" si="60"/>
        <v>EC</v>
      </c>
      <c r="AH156" s="81" t="str">
        <f t="shared" si="63"/>
        <v>"%USERPROFILE%\Documents\GitHub\eaglep3\Utilities\RefineRTDCRunTimes.py" --tripid 242-08 --locoid 4003 --swversion DE.1.0.9.0 --startMP 204:233004 --initTime 2017-06-09T00:42:02 --startdatetime 2017-06-09T00:57:45 --delay 1 --endMP 204:160 --enddatetime 2017-06-09T01:36:50 --enforcementcount 0 &gt;&gt;C:\Users\stu\Documents\GitHub\eaglep3-reporting\EC\2017-06-08-refined-times.txt</v>
      </c>
      <c r="AI156" s="99" t="str">
        <f t="shared" si="64"/>
        <v>echo {"issue":{"subject":"","project_id":79,"tracker_id":40,"status_id":1,"priority_id":2,"assigned_to_id":23,"start_date":"2017-06-09","description":"","custom_fields":[{"id":1,"name":"Subdivision","value":"EC"},{"id":4,"name":"Milepost","value":"0.016"},{"id":17,"name":"Train ID","value":"242-08"},{"id":16,"name":"Locomotive ID","value":"4003"},{"id":130,"name":"Impact","value":""},{"id":150,"name":"Time of Event (Mountain Time)","value":"01:36:50"},{"id":151,"name":"Denver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65"/>
        <v>start /low /b %USERPROFILE%\Documents\GitHub\eaglep3\Utilities\DownloadLogsFromS3.py --loco 4003 --day 2017-06-09</v>
      </c>
      <c r="AN156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07:36:50"},{"id":29,"name":"Sharepoint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836</v>
      </c>
      <c r="B157" s="7">
        <v>4002</v>
      </c>
      <c r="C157" s="21" t="s">
        <v>204</v>
      </c>
      <c r="D157" s="21" t="s">
        <v>476</v>
      </c>
      <c r="E157" s="13">
        <v>42895.006249999999</v>
      </c>
      <c r="F157" s="13">
        <v>42895.021018518521</v>
      </c>
      <c r="G157" s="7">
        <v>1</v>
      </c>
      <c r="H157" s="21" t="s">
        <v>575</v>
      </c>
      <c r="I157" s="13">
        <v>42895.047326388885</v>
      </c>
      <c r="J157" s="7">
        <v>0</v>
      </c>
      <c r="K157" s="92" t="str">
        <f t="shared" si="48"/>
        <v>4001/4002</v>
      </c>
      <c r="L157" s="21" t="str">
        <f>VLOOKUP(A157,'Trips&amp;Operators'!$C$1:$G$99999,5,FALSE)</f>
        <v>FORTUNATO FRANK</v>
      </c>
      <c r="M157" s="6">
        <f t="shared" si="49"/>
        <v>2.6307870364689734E-2</v>
      </c>
      <c r="N157" s="7">
        <f t="shared" si="61"/>
        <v>37.883333325153217</v>
      </c>
      <c r="O157" s="7"/>
      <c r="P157" s="7"/>
      <c r="Q157" s="22"/>
      <c r="R157" s="173"/>
      <c r="S157" s="176">
        <f t="shared" si="62"/>
        <v>1</v>
      </c>
      <c r="T157" s="202" t="str">
        <f t="shared" si="50"/>
        <v>NorthBound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 t="shared" si="51"/>
        <v>https://d0f6bd738d7f1b3e5a7ca70fe4ff75f0.us-east-1.aws.found.io/app/kibana#/discover/Steve-Slow-Train-Analysis-(2080s-and-2083s)?_g=(refreshInterval:(display:Off,pause:!f,section:0,value:0),time:(from:'2017-06-08T23:09:00-0600',mode:absolute,to:'2017-06-09T02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7" s="204" t="str">
        <f t="shared" si="52"/>
        <v>N</v>
      </c>
      <c r="X157" s="204">
        <f t="shared" si="53"/>
        <v>1</v>
      </c>
      <c r="Y157" s="204">
        <f t="shared" si="54"/>
        <v>4.4400000000000002E-2</v>
      </c>
      <c r="Z157" s="204">
        <f t="shared" si="55"/>
        <v>23.331099999999999</v>
      </c>
      <c r="AA157" s="204">
        <f t="shared" si="56"/>
        <v>23.2867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57"/>
        <v>0243-08</v>
      </c>
      <c r="AE157" s="80" t="str">
        <f t="shared" si="58"/>
        <v>aws s3 cp s3://rtdc.mdm.uploadarchive.raw/RTDC4002/ "%USERPROFILE%\AppData\Local\Temp\OnboardLogs"\RTDC4002\2017-06-09 --exclude "*" --recursive --include "*20170609*" &amp; "%USERPROFILE%\Documents\GitHub\mrs-test-scripts\Headless Mode &amp; Sideloading\WalkAndUnGZ.bat" "%USERPROFILE%\AppData\Local\Temp\OnboardLogs"\RTDC4002\2017-06-09 &amp; 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</v>
      </c>
      <c r="AF157" s="77" t="str">
        <f t="shared" si="59"/>
        <v>"C:\Program Files (x86)\AstroGrep\AstroGrep.exe" /e /r /s /spath="%USERPROFILE%\AppData\Local\Temp\OnboardLogs" /stypes="app*4002*20170609*" /stext=" 07:.+((SYSTEM_STATE.+slice.+state.+changed )|(ment ac)|(multiple cpu faults)|(system.+state.+changed )|(\[timeout)|(PRM\|1\|D)|(kpr)|(kdp)|(train st.+moving)|(\|lc)|(penalty))"</v>
      </c>
      <c r="AG157" s="1" t="str">
        <f t="shared" si="60"/>
        <v>EC</v>
      </c>
      <c r="AH157" s="81" t="str">
        <f t="shared" si="63"/>
        <v>"%USERPROFILE%\Documents\GitHub\eaglep3\Utilities\RefineRTDCRunTimes.py" --tripid 243-08 --locoid 4002 --swversion DE.1.0.9.0 --startMP 204:444 --initTime 2017-06-09T00:09:00 --startdatetime 2017-06-09T00:30:16 --delay 1 --endMP 204:233311 --enddatetime 2017-06-09T01:08:09 --enforcementcount 0 &gt;&gt;C:\Users\stu\Documents\GitHub\eaglep3-reporting\EC\2017-06-08-refined-times.txt</v>
      </c>
      <c r="AI157" s="99" t="str">
        <f t="shared" si="64"/>
        <v>echo {"issue":{"subject":"","project_id":79,"tracker_id":40,"status_id":1,"priority_id":2,"assigned_to_id":23,"start_date":"2017-06-09","description":"","custom_fields":[{"id":1,"name":"Subdivision","value":"EC"},{"id":4,"name":"Milepost","value":"23.3311"},{"id":17,"name":"Train ID","value":"243-08"},{"id":16,"name":"Locomotive ID","value":"4002"},{"id":130,"name":"Impact","value":""},{"id":150,"name":"Time of Event (Mountain Time)","value":"01:08:09"},{"id":151,"name":"Denver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65"/>
        <v>start /low /b %USERPROFILE%\Documents\GitHub\eaglep3\Utilities\DownloadLogsFromS3.py --loco 4002 --day 2017-06-09</v>
      </c>
      <c r="AN157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07:08:09"},{"id":29,"name":"Sharepoint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379</v>
      </c>
      <c r="B158" s="7">
        <v>4001</v>
      </c>
      <c r="C158" s="21" t="s">
        <v>204</v>
      </c>
      <c r="D158" s="21" t="s">
        <v>403</v>
      </c>
      <c r="E158" s="13">
        <v>42895.048877314817</v>
      </c>
      <c r="F158" s="13">
        <v>42895.061828703707</v>
      </c>
      <c r="G158" s="7">
        <v>1</v>
      </c>
      <c r="H158" s="21" t="s">
        <v>909</v>
      </c>
      <c r="I158" s="13">
        <v>42895.088495370372</v>
      </c>
      <c r="J158" s="7">
        <v>0</v>
      </c>
      <c r="K158" s="92" t="str">
        <f t="shared" si="48"/>
        <v>4001/4002</v>
      </c>
      <c r="L158" s="21" t="str">
        <f>VLOOKUP(A158,'Trips&amp;Operators'!$C$1:$G$99999,5,FALSE)</f>
        <v>FORTUNATO FRANK</v>
      </c>
      <c r="M158" s="6">
        <f t="shared" si="49"/>
        <v>2.6666666664823424E-2</v>
      </c>
      <c r="N158" s="7">
        <f t="shared" si="61"/>
        <v>38.399999997345731</v>
      </c>
      <c r="O158" s="7"/>
      <c r="P158" s="7"/>
      <c r="Q158" s="22"/>
      <c r="R158" s="173"/>
      <c r="S158" s="176">
        <f t="shared" si="62"/>
        <v>1</v>
      </c>
      <c r="T158" s="202" t="str">
        <f t="shared" si="50"/>
        <v>Southbound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03" t="str">
        <f t="shared" si="51"/>
        <v>https://d0f6bd738d7f1b3e5a7ca70fe4ff75f0.us-east-1.aws.found.io/app/kibana#/discover/Steve-Slow-Train-Analysis-(2080s-and-2083s)?_g=(refreshInterval:(display:Off,pause:!f,section:0,value:0),time:(from:'2017-06-09T00:10:23-0600',mode:absolute,to:'2017-06-09T03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8" s="204" t="str">
        <f t="shared" si="52"/>
        <v>N</v>
      </c>
      <c r="X158" s="204">
        <f t="shared" si="53"/>
        <v>1</v>
      </c>
      <c r="Y158" s="204">
        <f t="shared" si="54"/>
        <v>23.298200000000001</v>
      </c>
      <c r="Z158" s="204">
        <f t="shared" si="55"/>
        <v>0.02</v>
      </c>
      <c r="AA158" s="204">
        <f t="shared" si="56"/>
        <v>23.278200000000002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57"/>
        <v>0244-08</v>
      </c>
      <c r="AE158" s="80" t="str">
        <f t="shared" si="58"/>
        <v>aws s3 cp s3://rtdc.mdm.uploadarchive.raw/RTDC4001/ "%USERPROFILE%\AppData\Local\Temp\OnboardLogs"\RTDC4001\2017-06-09 --exclude "*" --recursive --include "*20170609*" &amp; "%USERPROFILE%\Documents\GitHub\mrs-test-scripts\Headless Mode &amp; Sideloading\WalkAndUnGZ.bat" "%USERPROFILE%\AppData\Local\Temp\OnboardLogs"\RTDC4001\2017-06-09 &amp; 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</v>
      </c>
      <c r="AF158" s="77" t="str">
        <f t="shared" si="59"/>
        <v>"C:\Program Files (x86)\AstroGrep\AstroGrep.exe" /e /r /s /spath="%USERPROFILE%\AppData\Local\Temp\OnboardLogs" /stypes="app*4001*20170609*" /stext=" 08:.+((SYSTEM_STATE.+slice.+state.+changed )|(ment ac)|(multiple cpu faults)|(system.+state.+changed )|(\[timeout)|(PRM\|1\|D)|(kpr)|(kdp)|(train st.+moving)|(\|lc)|(penalty))"</v>
      </c>
      <c r="AG158" s="1" t="str">
        <f t="shared" si="60"/>
        <v>EC</v>
      </c>
      <c r="AH158" s="81" t="str">
        <f t="shared" si="63"/>
        <v>"%USERPROFILE%\Documents\GitHub\eaglep3\Utilities\RefineRTDCRunTimes.py" --tripid 244-08 --locoid 4001 --swversion DE.1.0.9.0 --startMP 204:232982 --initTime 2017-06-09T01:10:23 --startdatetime 2017-06-09T01:29:02 --delay 1 --endMP 204:200 --enddatetime 2017-06-09T02:07:26 --enforcementcount 0 &gt;&gt;C:\Users\stu\Documents\GitHub\eaglep3-reporting\EC\2017-06-08-refined-times.txt</v>
      </c>
      <c r="AI158" s="99" t="str">
        <f t="shared" si="64"/>
        <v>echo {"issue":{"subject":"","project_id":79,"tracker_id":40,"status_id":1,"priority_id":2,"assigned_to_id":23,"start_date":"2017-06-09","description":"","custom_fields":[{"id":1,"name":"Subdivision","value":"EC"},{"id":4,"name":"Milepost","value":"0.02"},{"id":17,"name":"Train ID","value":"244-08"},{"id":16,"name":"Locomotive ID","value":"4001"},{"id":130,"name":"Impact","value":""},{"id":150,"name":"Time of Event (Mountain Time)","value":"02:07:26"},{"id":151,"name":"Denver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65"/>
        <v>start /low /b %USERPROFILE%\Documents\GitHub\eaglep3\Utilities\DownloadLogsFromS3.py --loco 4001 --day 2017-06-09</v>
      </c>
      <c r="AN158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08:07:26"},{"id":29,"name":"Sharepoint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614</v>
      </c>
      <c r="B159" s="7">
        <v>4007</v>
      </c>
      <c r="C159" s="21" t="s">
        <v>204</v>
      </c>
      <c r="D159" s="21" t="s">
        <v>403</v>
      </c>
      <c r="E159" s="13">
        <v>42895.048877314817</v>
      </c>
      <c r="F159" s="13">
        <v>42894.21738425926</v>
      </c>
      <c r="G159" s="7">
        <v>1</v>
      </c>
      <c r="H159" s="21" t="s">
        <v>909</v>
      </c>
      <c r="I159" s="13">
        <v>42894.226574074077</v>
      </c>
      <c r="J159" s="7">
        <v>0</v>
      </c>
      <c r="K159" s="92" t="str">
        <f t="shared" si="48"/>
        <v>4007/4008</v>
      </c>
      <c r="L159" s="21" t="s">
        <v>1029</v>
      </c>
      <c r="M159" s="6">
        <f t="shared" si="49"/>
        <v>9.189814816636499E-3</v>
      </c>
      <c r="N159" s="7">
        <f t="shared" si="61"/>
        <v>13.233333335956559</v>
      </c>
      <c r="O159" s="7"/>
      <c r="P159" s="7"/>
      <c r="Q159" s="22"/>
      <c r="R159" s="173"/>
      <c r="S159" s="176">
        <f t="shared" si="62"/>
        <v>1</v>
      </c>
      <c r="T159" s="202" t="str">
        <f t="shared" si="50"/>
        <v>Southbound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03" t="str">
        <f t="shared" si="51"/>
        <v>https://d0f6bd738d7f1b3e5a7ca70fe4ff75f0.us-east-1.aws.found.io/app/kibana#/discover/Steve-Slow-Train-Analysis-(2080s-and-2083s)?_g=(refreshInterval:(display:Off,pause:!f,section:0,value:0),time:(from:'2017-06-09T00:10:23-0600',mode:absolute,to:'2017-06-08T06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9" s="204" t="str">
        <f t="shared" si="52"/>
        <v>N</v>
      </c>
      <c r="X159" s="204">
        <f t="shared" ref="X159:X161" si="67">VALUE(LEFT(AD159,4))-VALUE(LEFT(AD158,4))</f>
        <v>556</v>
      </c>
      <c r="Y159" s="204">
        <f t="shared" si="54"/>
        <v>23.298200000000001</v>
      </c>
      <c r="Z159" s="204">
        <f t="shared" si="55"/>
        <v>0.02</v>
      </c>
      <c r="AA159" s="204">
        <f t="shared" si="56"/>
        <v>23.278200000000002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57"/>
        <v>0800-08</v>
      </c>
      <c r="AE159" s="80" t="str">
        <f t="shared" si="58"/>
        <v>aws s3 cp s3://rtdc.mdm.uploadarchive.raw/RTDC4007/ "%USERPROFILE%\AppData\Local\Temp\OnboardLogs"\RTDC4007\2017-06-08 --exclude "*" --recursive --include "*20170608*" &amp; "%USERPROFILE%\Documents\GitHub\mrs-test-scripts\Headless Mode &amp; Sideloading\WalkAndUnGZ.bat" "%USERPROFILE%\AppData\Local\Temp\OnboardLogs"\RTDC4007\2017-06-08 &amp; aws s3 cp s3://rtdc.mdm.uploadarchive.raw/RTDC4007/ "%USERPROFILE%\AppData\Local\Temp\OnboardLogs"\RTDC4007\2017-06-09 --exclude "*" --recursive --include "*20170609*" &amp; "%USERPROFILE%\Documents\GitHub\mrs-test-scripts\Headless Mode &amp; Sideloading\WalkAndUnGZ.bat" "%USERPROFILE%\AppData\Local\Temp\OnboardLogs"\RTDC4007\2017-06-09</v>
      </c>
      <c r="AF159" s="77" t="str">
        <f t="shared" si="59"/>
        <v>"C:\Program Files (x86)\AstroGrep\AstroGrep.exe" /e /r /s /spath="%USERPROFILE%\AppData\Local\Temp\OnboardLogs" /stypes="app*4007*20170608*" /stext=" 11:.+((SYSTEM_STATE.+slice.+state.+changed )|(ment ac)|(multiple cpu faults)|(system.+state.+changed )|(\[timeout)|(PRM\|1\|D)|(kpr)|(kdp)|(train st.+moving)|(\|lc)|(penalty))"</v>
      </c>
      <c r="AG159" s="1" t="str">
        <f t="shared" si="60"/>
        <v>NW</v>
      </c>
      <c r="AH159" s="81" t="str">
        <f t="shared" ref="AH159" si="68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800-08 --locoid 4007 --swversion DE.1.0.9.0 --startMP 204:232982 --initTime 2017-06-09T01:10:23 --startdatetime 2017-06-08T05:13:02 --delay 1 --endMP 204:200 --enddatetime 2017-06-08T05:26:16 --enforcementcount 0 &gt;&gt;C:\Users\stu\Documents\GitHub\eaglep3-reporting\EC\2017-06-08-refined-times.txt</v>
      </c>
      <c r="AI159" s="99" t="str">
        <f t="shared" ref="AI159" si="69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{"issue":{"subject":"","project_id":79,"tracker_id":40,"status_id":1,"priority_id":2,"assigned_to_id":23,"start_date":"2017-06-08","description":"","custom_fields":[{"id":1,"name":"Subdivision","value":"NW"},{"id":4,"name":"Milepost","value":"0.02"},{"id":17,"name":"Train ID","value":"800-08"},{"id":16,"name":"Locomotive ID","value":"4007"},{"id":130,"name":"Impact","value":""},{"id":150,"name":"Time of Event (Mountain Time)","value":"05:26:16"},{"id":151,"name":"Denver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ref="AM159" si="70">"start /low /b "&amp;dls3logs&amp;" --loco "&amp;B159&amp;" --day "&amp;TEXT(F159,"YYYY-MM-DD")</f>
        <v>start /low /b %USERPROFILE%\Documents\GitHub\eaglep3\Utilities\DownloadLogsFromS3.py --loco 4007 --day 2017-06-08</v>
      </c>
      <c r="AN159" s="154" t="str">
        <f t="shared" ref="AN159" si="71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11:26:16"},{"id":29,"name":"Sharepoint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671</v>
      </c>
      <c r="B160" s="7">
        <v>4008</v>
      </c>
      <c r="C160" s="21" t="s">
        <v>204</v>
      </c>
      <c r="D160" s="21" t="s">
        <v>938</v>
      </c>
      <c r="E160" s="13">
        <v>42894.240601851852</v>
      </c>
      <c r="F160" s="13">
        <v>42894.243935185186</v>
      </c>
      <c r="G160" s="7">
        <v>1</v>
      </c>
      <c r="H160" s="21" t="s">
        <v>939</v>
      </c>
      <c r="I160" s="13">
        <v>42894.253564814811</v>
      </c>
      <c r="J160" s="7">
        <v>0</v>
      </c>
      <c r="K160" s="92" t="str">
        <f t="shared" si="48"/>
        <v>4007/4008</v>
      </c>
      <c r="L160" s="21" t="str">
        <f>VLOOKUP(A160,'Trips&amp;Operators'!$C$1:$G$99999,5,FALSE)</f>
        <v>DAVIS WENDY</v>
      </c>
      <c r="M160" s="6">
        <f t="shared" si="49"/>
        <v>9.6296296251239255E-3</v>
      </c>
      <c r="N160" s="7">
        <f t="shared" si="61"/>
        <v>13.866666660178453</v>
      </c>
      <c r="O160" s="7"/>
      <c r="P160" s="7"/>
      <c r="Q160" s="22"/>
      <c r="R160" s="173"/>
      <c r="S160" s="176">
        <f t="shared" si="62"/>
        <v>1</v>
      </c>
      <c r="T160" s="202" t="str">
        <f t="shared" si="50"/>
        <v>NorthBound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03" t="str">
        <f t="shared" si="51"/>
        <v>https://d0f6bd738d7f1b3e5a7ca70fe4ff75f0.us-east-1.aws.found.io/app/kibana#/discover/Steve-Slow-Train-Analysis-(2080s-and-2083s)?_g=(refreshInterval:(display:Off,pause:!f,section:0,value:0),time:(from:'2017-06-08T04:46:28-0600',mode:absolute,to:'2017-06-08T07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0" s="204" t="str">
        <f t="shared" si="52"/>
        <v>N</v>
      </c>
      <c r="X160" s="204">
        <f t="shared" si="67"/>
        <v>1</v>
      </c>
      <c r="Y160" s="204">
        <f t="shared" si="54"/>
        <v>9.5500000000000002E-2</v>
      </c>
      <c r="Z160" s="204">
        <f t="shared" si="55"/>
        <v>5.9010999999999996</v>
      </c>
      <c r="AA160" s="204">
        <f t="shared" si="56"/>
        <v>5.8055999999999992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57"/>
        <v>0801-08</v>
      </c>
      <c r="AE160" s="80" t="str">
        <f t="shared" si="58"/>
        <v>aws s3 cp s3://rtdc.mdm.uploadarchive.raw/RTDC4008/ "%USERPROFILE%\AppData\Local\Temp\OnboardLogs"\RTDC4008\2017-06-08 --exclude "*" --recursive --include "*20170608*" &amp; "%USERPROFILE%\Documents\GitHub\mrs-test-scripts\Headless Mode &amp; Sideloading\WalkAndUnGZ.bat" "%USERPROFILE%\AppData\Local\Temp\OnboardLogs"\RTDC4008\2017-06-08 &amp; aws s3 cp s3://rtdc.mdm.uploadarchive.raw/RTDC4008/ "%USERPROFILE%\AppData\Local\Temp\OnboardLogs"\RTDC4008\2017-06-09 --exclude "*" --recursive --include "*20170609*" &amp; "%USERPROFILE%\Documents\GitHub\mrs-test-scripts\Headless Mode &amp; Sideloading\WalkAndUnGZ.bat" "%USERPROFILE%\AppData\Local\Temp\OnboardLogs"\RTDC4008\2017-06-09</v>
      </c>
      <c r="AF160" s="77" t="str">
        <f t="shared" si="59"/>
        <v>"C:\Program Files (x86)\AstroGrep\AstroGrep.exe" /e /r /s /spath="%USERPROFILE%\AppData\Local\Temp\OnboardLogs" /stypes="app*4008*20170608*" /stext=" 12:.+((SYSTEM_STATE.+slice.+state.+changed )|(ment ac)|(multiple cpu faults)|(system.+state.+changed )|(\[timeout)|(PRM\|1\|D)|(kpr)|(kdp)|(train st.+moving)|(\|lc)|(penalty))"</v>
      </c>
      <c r="AG160" s="1" t="str">
        <f t="shared" si="60"/>
        <v>NW</v>
      </c>
      <c r="AH160" s="81" t="str">
        <f t="shared" si="63"/>
        <v>"%USERPROFILE%\Documents\GitHub\eaglep3\Utilities\RefineRTDCRunTimes.py" --tripid 801-08 --locoid 4008 --swversion DE.1.0.9.0 --startMP 204:955 --initTime 2017-06-08T05:46:28 --startdatetime 2017-06-08T05:51:16 --delay 1 --endMP 300:59011 --enddatetime 2017-06-08T06:05:08 --enforcementcount 0 &gt;&gt;C:\Users\stu\Documents\GitHub\eaglep3-reporting\EC\2017-06-08-refined-times.txt</v>
      </c>
      <c r="AI160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{"issue":{"subject":"","project_id":79,"tracker_id":40,"status_id":1,"priority_id":2,"assigned_to_id":23,"start_date":"2017-06-08","description":"","custom_fields":[{"id":1,"name":"Subdivision","value":"NW"},{"id":4,"name":"Milepost","value":"5.9011"},{"id":17,"name":"Train ID","value":"801-08"},{"id":16,"name":"Locomotive ID","value":"4008"},{"id":130,"name":"Impact","value":""},{"id":150,"name":"Time of Event (Mountain Time)","value":"06:05:08"},{"id":151,"name":"Denver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65"/>
        <v>start /low /b %USERPROFILE%\Documents\GitHub\eaglep3\Utilities\DownloadLogsFromS3.py --loco 4008 --day 2017-06-08</v>
      </c>
      <c r="AN160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12:05:08"},{"id":29,"name":"Sharepoint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2" t="s">
        <v>616</v>
      </c>
      <c r="B161" s="7">
        <v>4007</v>
      </c>
      <c r="C161" s="21" t="s">
        <v>204</v>
      </c>
      <c r="D161" s="21" t="s">
        <v>940</v>
      </c>
      <c r="E161" s="13">
        <v>42894.25440972222</v>
      </c>
      <c r="F161" s="13">
        <v>42894.255428240744</v>
      </c>
      <c r="G161" s="7">
        <v>1</v>
      </c>
      <c r="H161" s="21" t="s">
        <v>607</v>
      </c>
      <c r="I161" s="13">
        <v>42894.267812500002</v>
      </c>
      <c r="J161" s="7">
        <v>0</v>
      </c>
      <c r="K161" s="92" t="str">
        <f t="shared" si="48"/>
        <v>4007/4008</v>
      </c>
      <c r="L161" s="21" t="str">
        <f>VLOOKUP(A161,'Trips&amp;Operators'!$C$1:$G$99999,5,FALSE)</f>
        <v>DAVIS WENDY</v>
      </c>
      <c r="M161" s="6">
        <f t="shared" si="49"/>
        <v>1.2384259258396924E-2</v>
      </c>
      <c r="N161" s="7">
        <f t="shared" si="61"/>
        <v>17.83333333209157</v>
      </c>
      <c r="O161" s="7"/>
      <c r="P161" s="7"/>
      <c r="Q161" s="22"/>
      <c r="R161" s="173"/>
      <c r="S161" s="176">
        <f t="shared" si="62"/>
        <v>1</v>
      </c>
      <c r="T161" s="202" t="str">
        <f t="shared" si="50"/>
        <v>Southbound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 t="shared" si="51"/>
        <v>https://d0f6bd738d7f1b3e5a7ca70fe4ff75f0.us-east-1.aws.found.io/app/kibana#/discover/Steve-Slow-Train-Analysis-(2080s-and-2083s)?_g=(refreshInterval:(display:Off,pause:!f,section:0,value:0),time:(from:'2017-06-08T05:06:21-0600',mode:absolute,to:'2017-06-08T07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1" s="204" t="str">
        <f t="shared" si="52"/>
        <v>N</v>
      </c>
      <c r="X161" s="204">
        <f t="shared" si="67"/>
        <v>1</v>
      </c>
      <c r="Y161" s="204">
        <f t="shared" si="54"/>
        <v>5.8691000000000004</v>
      </c>
      <c r="Z161" s="204">
        <f t="shared" si="55"/>
        <v>6.6100000000000006E-2</v>
      </c>
      <c r="AA161" s="204">
        <f t="shared" si="56"/>
        <v>5.8030000000000008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57"/>
        <v>0802-08</v>
      </c>
      <c r="AE161" s="80" t="str">
        <f t="shared" si="58"/>
        <v>aws s3 cp s3://rtdc.mdm.uploadarchive.raw/RTDC4007/ "%USERPROFILE%\AppData\Local\Temp\OnboardLogs"\RTDC4007\2017-06-08 --exclude "*" --recursive --include "*20170608*" &amp; "%USERPROFILE%\Documents\GitHub\mrs-test-scripts\Headless Mode &amp; Sideloading\WalkAndUnGZ.bat" "%USERPROFILE%\AppData\Local\Temp\OnboardLogs"\RTDC4007\2017-06-08 &amp; aws s3 cp s3://rtdc.mdm.uploadarchive.raw/RTDC4007/ "%USERPROFILE%\AppData\Local\Temp\OnboardLogs"\RTDC4007\2017-06-09 --exclude "*" --recursive --include "*20170609*" &amp; "%USERPROFILE%\Documents\GitHub\mrs-test-scripts\Headless Mode &amp; Sideloading\WalkAndUnGZ.bat" "%USERPROFILE%\AppData\Local\Temp\OnboardLogs"\RTDC4007\2017-06-09</v>
      </c>
      <c r="AF161" s="77" t="str">
        <f t="shared" si="59"/>
        <v>"C:\Program Files (x86)\AstroGrep\AstroGrep.exe" /e /r /s /spath="%USERPROFILE%\AppData\Local\Temp\OnboardLogs" /stypes="app*4007*20170608*" /stext=" 12:.+((SYSTEM_STATE.+slice.+state.+changed )|(ment ac)|(multiple cpu faults)|(system.+state.+changed )|(\[timeout)|(PRM\|1\|D)|(kpr)|(kdp)|(train st.+moving)|(\|lc)|(penalty))"</v>
      </c>
      <c r="AG161" s="1" t="str">
        <f t="shared" si="60"/>
        <v>NW</v>
      </c>
      <c r="AH161" s="81" t="str">
        <f t="shared" si="63"/>
        <v>"%USERPROFILE%\Documents\GitHub\eaglep3\Utilities\RefineRTDCRunTimes.py" --tripid 802-08 --locoid 4007 --swversion DE.1.0.9.0 --startMP 300:58691 --initTime 2017-06-08T06:06:21 --startdatetime 2017-06-08T06:07:49 --delay 1 --endMP 204:661 --enddatetime 2017-06-08T06:25:39 --enforcementcount 0 &gt;&gt;C:\Users\stu\Documents\GitHub\eaglep3-reporting\EC\2017-06-08-refined-times.txt</v>
      </c>
      <c r="AI161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{"issue":{"subject":"","project_id":79,"tracker_id":40,"status_id":1,"priority_id":2,"assigned_to_id":23,"start_date":"2017-06-08","description":"","custom_fields":[{"id":1,"name":"Subdivision","value":"NW"},{"id":4,"name":"Milepost","value":"0.0661"},{"id":17,"name":"Train ID","value":"802-08"},{"id":16,"name":"Locomotive ID","value":"4007"},{"id":130,"name":"Impact","value":""},{"id":150,"name":"Time of Event (Mountain Time)","value":"06:25:39"},{"id":151,"name":"Denver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65"/>
        <v>start /low /b %USERPROFILE%\Documents\GitHub\eaglep3\Utilities\DownloadLogsFromS3.py --loco 4007 --day 2017-06-08</v>
      </c>
      <c r="AN161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12:25:39"},{"id":29,"name":"Sharepoint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s="20" customFormat="1" x14ac:dyDescent="0.25">
      <c r="A162" s="32" t="s">
        <v>678</v>
      </c>
      <c r="B162" s="7">
        <v>4032</v>
      </c>
      <c r="C162" s="21" t="s">
        <v>204</v>
      </c>
      <c r="D162" s="21" t="s">
        <v>941</v>
      </c>
      <c r="E162" s="13">
        <v>42894.26295138889</v>
      </c>
      <c r="F162" s="13">
        <v>42894.264837962961</v>
      </c>
      <c r="G162" s="7">
        <v>1</v>
      </c>
      <c r="H162" s="21" t="s">
        <v>942</v>
      </c>
      <c r="I162" s="13">
        <v>42894.274467592593</v>
      </c>
      <c r="J162" s="7">
        <v>0</v>
      </c>
      <c r="K162" s="92" t="str">
        <f t="shared" si="48"/>
        <v>4031/4032</v>
      </c>
      <c r="L162" s="21" t="str">
        <f>VLOOKUP(A162,'Trips&amp;Operators'!$C$1:$G$99999,5,FALSE)</f>
        <v>YANG JAN</v>
      </c>
      <c r="M162" s="6">
        <f t="shared" si="49"/>
        <v>9.6296296323998831E-3</v>
      </c>
      <c r="N162" s="7">
        <f t="shared" si="61"/>
        <v>13.866666670655832</v>
      </c>
      <c r="O162" s="7"/>
      <c r="P162" s="7"/>
      <c r="Q162" s="22"/>
      <c r="R162" s="173"/>
      <c r="S162" s="176">
        <f t="shared" si="62"/>
        <v>1</v>
      </c>
      <c r="T162" s="202" t="str">
        <f t="shared" si="50"/>
        <v>NorthBound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 t="shared" si="51"/>
        <v>https://d0f6bd738d7f1b3e5a7ca70fe4ff75f0.us-east-1.aws.found.io/app/kibana#/discover/Steve-Slow-Train-Analysis-(2080s-and-2083s)?_g=(refreshInterval:(display:Off,pause:!f,section:0,value:0),time:(from:'2017-06-08T05:18:39-0600',mode:absolute,to:'2017-06-08T07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2" s="204" t="str">
        <f t="shared" si="52"/>
        <v>N</v>
      </c>
      <c r="X162" s="204">
        <f t="shared" ref="X162:X193" si="72">VALUE(LEFT(AD162,4))-VALUE(LEFT(AD161,4))</f>
        <v>1</v>
      </c>
      <c r="Y162" s="204">
        <f t="shared" si="54"/>
        <v>9.69E-2</v>
      </c>
      <c r="Z162" s="204">
        <f t="shared" si="55"/>
        <v>5.8968999999999996</v>
      </c>
      <c r="AA162" s="204">
        <f t="shared" si="56"/>
        <v>5.8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57"/>
        <v>0803-08</v>
      </c>
      <c r="AE162" s="80" t="str">
        <f t="shared" si="58"/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AF162" s="77" t="str">
        <f t="shared" si="59"/>
        <v>"C:\Program Files (x86)\AstroGrep\AstroGrep.exe" /e /r /s /spath="%USERPROFILE%\AppData\Local\Temp\OnboardLogs" /stypes="app*4032*20170608*" /stext=" 12:.+((SYSTEM_STATE.+slice.+state.+changed )|(ment ac)|(multiple cpu faults)|(system.+state.+changed )|(\[timeout)|(PRM\|1\|D)|(kpr)|(kdp)|(train st.+moving)|(\|lc)|(penalty))"</v>
      </c>
      <c r="AG162" s="1" t="str">
        <f t="shared" si="60"/>
        <v>NW</v>
      </c>
      <c r="AH162" s="81" t="str">
        <f t="shared" si="63"/>
        <v>"%USERPROFILE%\Documents\GitHub\eaglep3\Utilities\RefineRTDCRunTimes.py" --tripid 803-08 --locoid 4032 --swversion DE.1.0.9.0 --startMP 204:969 --initTime 2017-06-08T06:18:39 --startdatetime 2017-06-08T06:21:22 --delay 1 --endMP 300:58969 --enddatetime 2017-06-08T06:35:14 --enforcementcount 0 &gt;&gt;C:\Users\stu\Documents\GitHub\eaglep3-reporting\EC\2017-06-08-refined-times.txt</v>
      </c>
      <c r="AI162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{"issue":{"subject":"","project_id":79,"tracker_id":40,"status_id":1,"priority_id":2,"assigned_to_id":23,"start_date":"2017-06-08","description":"","custom_fields":[{"id":1,"name":"Subdivision","value":"NW"},{"id":4,"name":"Milepost","value":"5.8969"},{"id":17,"name":"Train ID","value":"803-08"},{"id":16,"name":"Locomotive ID","value":"4032"},{"id":130,"name":"Impact","value":""},{"id":150,"name":"Time of Event (Mountain Time)","value":"06:35:14"},{"id":151,"name":"Denver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65"/>
        <v>start /low /b %USERPROFILE%\Documents\GitHub\eaglep3\Utilities\DownloadLogsFromS3.py --loco 4032 --day 2017-06-08</v>
      </c>
      <c r="AN162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12:35:14"},{"id":29,"name":"Sharepoint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681</v>
      </c>
      <c r="B163" s="7">
        <v>4031</v>
      </c>
      <c r="C163" s="21" t="s">
        <v>204</v>
      </c>
      <c r="D163" s="21" t="s">
        <v>943</v>
      </c>
      <c r="E163" s="13">
        <v>42894.276388888888</v>
      </c>
      <c r="F163" s="13">
        <v>42894.306446759256</v>
      </c>
      <c r="G163" s="7">
        <v>1</v>
      </c>
      <c r="H163" s="21" t="s">
        <v>944</v>
      </c>
      <c r="I163" s="13">
        <v>42894.316307870373</v>
      </c>
      <c r="J163" s="7">
        <v>0</v>
      </c>
      <c r="K163" s="92" t="str">
        <f t="shared" si="48"/>
        <v>4031/4032</v>
      </c>
      <c r="L163" s="21" t="str">
        <f>VLOOKUP(A163,'Trips&amp;Operators'!$C$1:$G$99999,5,FALSE)</f>
        <v>YANG JAN</v>
      </c>
      <c r="M163" s="6">
        <f t="shared" si="49"/>
        <v>9.8611111170612276E-3</v>
      </c>
      <c r="N163" s="7">
        <f t="shared" si="61"/>
        <v>14.200000008568168</v>
      </c>
      <c r="O163" s="7"/>
      <c r="P163" s="7"/>
      <c r="Q163" s="22"/>
      <c r="R163" s="173"/>
      <c r="S163" s="176">
        <f t="shared" si="62"/>
        <v>1</v>
      </c>
      <c r="T163" s="202" t="str">
        <f t="shared" si="50"/>
        <v>Southbound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 t="shared" si="51"/>
        <v>https://d0f6bd738d7f1b3e5a7ca70fe4ff75f0.us-east-1.aws.found.io/app/kibana#/discover/Steve-Slow-Train-Analysis-(2080s-and-2083s)?_g=(refreshInterval:(display:Off,pause:!f,section:0,value:0),time:(from:'2017-06-08T05:38:00-0600',mode:absolute,to:'2017-06-08T08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3" s="204" t="str">
        <f t="shared" si="52"/>
        <v>N</v>
      </c>
      <c r="X163" s="204">
        <f t="shared" si="72"/>
        <v>1</v>
      </c>
      <c r="Y163" s="204">
        <f t="shared" si="54"/>
        <v>5.8644999999999996</v>
      </c>
      <c r="Z163" s="204">
        <f t="shared" si="55"/>
        <v>6.9800000000000001E-2</v>
      </c>
      <c r="AA163" s="204">
        <f t="shared" si="56"/>
        <v>5.7946999999999997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57"/>
        <v>0804-08</v>
      </c>
      <c r="AE163" s="80" t="str">
        <f t="shared" si="58"/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AF163" s="77" t="str">
        <f t="shared" si="59"/>
        <v>"C:\Program Files (x86)\AstroGrep\AstroGrep.exe" /e /r /s /spath="%USERPROFILE%\AppData\Local\Temp\OnboardLogs" /stypes="app*4031*20170608*" /stext=" 13:.+((SYSTEM_STATE.+slice.+state.+changed )|(ment ac)|(multiple cpu faults)|(system.+state.+changed )|(\[timeout)|(PRM\|1\|D)|(kpr)|(kdp)|(train st.+moving)|(\|lc)|(penalty))"</v>
      </c>
      <c r="AG163" s="1" t="str">
        <f t="shared" si="60"/>
        <v>NW</v>
      </c>
      <c r="AH163" s="81" t="str">
        <f t="shared" si="63"/>
        <v>"%USERPROFILE%\Documents\GitHub\eaglep3\Utilities\RefineRTDCRunTimes.py" --tripid 804-08 --locoid 4031 --swversion DE.1.0.9.0 --startMP 300:58645 --initTime 2017-06-08T06:38:00 --startdatetime 2017-06-08T07:21:17 --delay 1 --endMP 204:698 --enddatetime 2017-06-08T07:35:29 --enforcementcount 0 &gt;&gt;C:\Users\stu\Documents\GitHub\eaglep3-reporting\EC\2017-06-08-refined-times.txt</v>
      </c>
      <c r="AI163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{"issue":{"subject":"","project_id":79,"tracker_id":40,"status_id":1,"priority_id":2,"assigned_to_id":23,"start_date":"2017-06-08","description":"","custom_fields":[{"id":1,"name":"Subdivision","value":"NW"},{"id":4,"name":"Milepost","value":"0.0698"},{"id":17,"name":"Train ID","value":"804-08"},{"id":16,"name":"Locomotive ID","value":"4031"},{"id":130,"name":"Impact","value":""},{"id":150,"name":"Time of Event (Mountain Time)","value":"07:35:29"},{"id":151,"name":"Denver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65"/>
        <v>start /low /b %USERPROFILE%\Documents\GitHub\eaglep3\Utilities\DownloadLogsFromS3.py --loco 4031 --day 2017-06-08</v>
      </c>
      <c r="AN163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2" t="s">
        <v>682</v>
      </c>
      <c r="B164" s="7">
        <v>4008</v>
      </c>
      <c r="C164" s="21" t="s">
        <v>204</v>
      </c>
      <c r="D164" s="21" t="s">
        <v>945</v>
      </c>
      <c r="E164" s="13">
        <v>42894.284212962964</v>
      </c>
      <c r="F164" s="13">
        <v>42894.285590277781</v>
      </c>
      <c r="G164" s="7">
        <v>0</v>
      </c>
      <c r="H164" s="21" t="s">
        <v>946</v>
      </c>
      <c r="I164" s="13">
        <v>42894.294756944444</v>
      </c>
      <c r="J164" s="7">
        <v>0</v>
      </c>
      <c r="K164" s="92" t="str">
        <f t="shared" si="48"/>
        <v>4007/4008</v>
      </c>
      <c r="L164" s="21" t="str">
        <f>VLOOKUP(A164,'Trips&amp;Operators'!$C$1:$G$99999,5,FALSE)</f>
        <v>DAVIS WENDY</v>
      </c>
      <c r="M164" s="6">
        <f t="shared" si="49"/>
        <v>9.1666666630771942E-3</v>
      </c>
      <c r="N164" s="7">
        <f t="shared" si="61"/>
        <v>13.19999999483116</v>
      </c>
      <c r="O164" s="7"/>
      <c r="P164" s="7"/>
      <c r="Q164" s="22"/>
      <c r="R164" s="173"/>
      <c r="S164" s="176">
        <f t="shared" si="62"/>
        <v>1</v>
      </c>
      <c r="T164" s="202" t="str">
        <f t="shared" si="50"/>
        <v>NorthBound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 t="shared" si="51"/>
        <v>https://d0f6bd738d7f1b3e5a7ca70fe4ff75f0.us-east-1.aws.found.io/app/kibana#/discover/Steve-Slow-Train-Analysis-(2080s-and-2083s)?_g=(refreshInterval:(display:Off,pause:!f,section:0,value:0),time:(from:'2017-06-08T05:49:16-0600',mode:absolute,to:'2017-06-08T08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4" s="204" t="str">
        <f t="shared" si="52"/>
        <v>N</v>
      </c>
      <c r="X164" s="204">
        <f t="shared" si="72"/>
        <v>1</v>
      </c>
      <c r="Y164" s="204">
        <f t="shared" si="54"/>
        <v>9.4799999999999995E-2</v>
      </c>
      <c r="Z164" s="204">
        <f t="shared" si="55"/>
        <v>5.9009</v>
      </c>
      <c r="AA164" s="204">
        <f t="shared" si="56"/>
        <v>5.8060999999999998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57"/>
        <v>0805-08</v>
      </c>
      <c r="AE164" s="80" t="str">
        <f t="shared" si="58"/>
        <v>aws s3 cp s3://rtdc.mdm.uploadarchive.raw/RTDC4008/ "%USERPROFILE%\AppData\Local\Temp\OnboardLogs"\RTDC4008\2017-06-08 --exclude "*" --recursive --include "*20170608*" &amp; "%USERPROFILE%\Documents\GitHub\mrs-test-scripts\Headless Mode &amp; Sideloading\WalkAndUnGZ.bat" "%USERPROFILE%\AppData\Local\Temp\OnboardLogs"\RTDC4008\2017-06-08 &amp; aws s3 cp s3://rtdc.mdm.uploadarchive.raw/RTDC4008/ "%USERPROFILE%\AppData\Local\Temp\OnboardLogs"\RTDC4008\2017-06-09 --exclude "*" --recursive --include "*20170609*" &amp; "%USERPROFILE%\Documents\GitHub\mrs-test-scripts\Headless Mode &amp; Sideloading\WalkAndUnGZ.bat" "%USERPROFILE%\AppData\Local\Temp\OnboardLogs"\RTDC4008\2017-06-09</v>
      </c>
      <c r="AF164" s="77" t="str">
        <f t="shared" si="59"/>
        <v>"C:\Program Files (x86)\AstroGrep\AstroGrep.exe" /e /r /s /spath="%USERPROFILE%\AppData\Local\Temp\OnboardLogs" /stypes="app*4008*20170608*" /stext=" 13:.+((SYSTEM_STATE.+slice.+state.+changed )|(ment ac)|(multiple cpu faults)|(system.+state.+changed )|(\[timeout)|(PRM\|1\|D)|(kpr)|(kdp)|(train st.+moving)|(\|lc)|(penalty))"</v>
      </c>
      <c r="AG164" s="1" t="str">
        <f t="shared" si="60"/>
        <v>NW</v>
      </c>
      <c r="AH164" s="81" t="str">
        <f t="shared" si="63"/>
        <v>"%USERPROFILE%\Documents\GitHub\eaglep3\Utilities\RefineRTDCRunTimes.py" --tripid 805-08 --locoid 4008 --swversion DE.1.0.9.0 --startMP 204:948 --initTime 2017-06-08T06:49:16 --startdatetime 2017-06-08T06:51:15 --delay 0 --endMP 300:59009 --enddatetime 2017-06-08T07:04:27 --enforcementcount 0 &gt;&gt;C:\Users\stu\Documents\GitHub\eaglep3-reporting\EC\2017-06-08-refined-times.txt</v>
      </c>
      <c r="AI164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{"issue":{"subject":"","project_id":79,"tracker_id":40,"status_id":1,"priority_id":2,"assigned_to_id":23,"start_date":"2017-06-08","description":"","custom_fields":[{"id":1,"name":"Subdivision","value":"NW"},{"id":4,"name":"Milepost","value":"5.9009"},{"id":17,"name":"Train ID","value":"805-08"},{"id":16,"name":"Locomotive ID","value":"4008"},{"id":130,"name":"Impact","value":""},{"id":150,"name":"Time of Event (Mountain Time)","value":"07:04:27"},{"id":151,"name":"Denver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65"/>
        <v>start /low /b %USERPROFILE%\Documents\GitHub\eaglep3\Utilities\DownloadLogsFromS3.py --loco 4008 --day 2017-06-08</v>
      </c>
      <c r="AN164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13:04:27"},{"id":29,"name":"Sharepoint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686</v>
      </c>
      <c r="B165" s="7">
        <v>4007</v>
      </c>
      <c r="C165" s="21" t="s">
        <v>204</v>
      </c>
      <c r="D165" s="21" t="s">
        <v>947</v>
      </c>
      <c r="E165" s="13">
        <v>42894.295601851853</v>
      </c>
      <c r="F165" s="13">
        <v>42894.296493055554</v>
      </c>
      <c r="G165" s="7">
        <v>0</v>
      </c>
      <c r="H165" s="21" t="s">
        <v>948</v>
      </c>
      <c r="I165" s="13">
        <v>42894.309606481482</v>
      </c>
      <c r="J165" s="7">
        <v>0</v>
      </c>
      <c r="K165" s="92" t="str">
        <f t="shared" si="48"/>
        <v>4007/4008</v>
      </c>
      <c r="L165" s="21" t="str">
        <f>VLOOKUP(A165,'Trips&amp;Operators'!$C$1:$G$99999,5,FALSE)</f>
        <v>DAVIS WENDY</v>
      </c>
      <c r="M165" s="6">
        <f t="shared" si="49"/>
        <v>1.3113425928167999E-2</v>
      </c>
      <c r="N165" s="7">
        <f t="shared" si="61"/>
        <v>18.883333336561918</v>
      </c>
      <c r="O165" s="7"/>
      <c r="P165" s="7"/>
      <c r="Q165" s="22"/>
      <c r="R165" s="173"/>
      <c r="S165" s="176">
        <f t="shared" si="62"/>
        <v>1</v>
      </c>
      <c r="T165" s="202" t="str">
        <f t="shared" si="50"/>
        <v>Southbound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 t="shared" si="51"/>
        <v>https://d0f6bd738d7f1b3e5a7ca70fe4ff75f0.us-east-1.aws.found.io/app/kibana#/discover/Steve-Slow-Train-Analysis-(2080s-and-2083s)?_g=(refreshInterval:(display:Off,pause:!f,section:0,value:0),time:(from:'2017-06-08T06:05:40-0600',mode:absolute,to:'2017-06-08T08:25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5" s="204" t="str">
        <f t="shared" si="52"/>
        <v>N</v>
      </c>
      <c r="X165" s="204">
        <f t="shared" si="72"/>
        <v>1</v>
      </c>
      <c r="Y165" s="204">
        <f t="shared" si="54"/>
        <v>5.8697999999999997</v>
      </c>
      <c r="Z165" s="204">
        <f t="shared" si="55"/>
        <v>6.8000000000000005E-2</v>
      </c>
      <c r="AA165" s="204">
        <f t="shared" si="56"/>
        <v>5.8018000000000001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57"/>
        <v>0806-08</v>
      </c>
      <c r="AE165" s="80" t="str">
        <f t="shared" si="58"/>
        <v>aws s3 cp s3://rtdc.mdm.uploadarchive.raw/RTDC4007/ "%USERPROFILE%\AppData\Local\Temp\OnboardLogs"\RTDC4007\2017-06-08 --exclude "*" --recursive --include "*20170608*" &amp; "%USERPROFILE%\Documents\GitHub\mrs-test-scripts\Headless Mode &amp; Sideloading\WalkAndUnGZ.bat" "%USERPROFILE%\AppData\Local\Temp\OnboardLogs"\RTDC4007\2017-06-08 &amp; aws s3 cp s3://rtdc.mdm.uploadarchive.raw/RTDC4007/ "%USERPROFILE%\AppData\Local\Temp\OnboardLogs"\RTDC4007\2017-06-09 --exclude "*" --recursive --include "*20170609*" &amp; "%USERPROFILE%\Documents\GitHub\mrs-test-scripts\Headless Mode &amp; Sideloading\WalkAndUnGZ.bat" "%USERPROFILE%\AppData\Local\Temp\OnboardLogs"\RTDC4007\2017-06-09</v>
      </c>
      <c r="AF165" s="77" t="str">
        <f t="shared" si="59"/>
        <v>"C:\Program Files (x86)\AstroGrep\AstroGrep.exe" /e /r /s /spath="%USERPROFILE%\AppData\Local\Temp\OnboardLogs" /stypes="app*4007*20170608*" /stext=" 13:.+((SYSTEM_STATE.+slice.+state.+changed )|(ment ac)|(multiple cpu faults)|(system.+state.+changed )|(\[timeout)|(PRM\|1\|D)|(kpr)|(kdp)|(train st.+moving)|(\|lc)|(penalty))"</v>
      </c>
      <c r="AG165" s="1" t="str">
        <f t="shared" si="60"/>
        <v>NW</v>
      </c>
      <c r="AH165" s="81" t="str">
        <f t="shared" si="63"/>
        <v>"%USERPROFILE%\Documents\GitHub\eaglep3\Utilities\RefineRTDCRunTimes.py" --tripid 806-08 --locoid 4007 --swversion DE.1.0.9.0 --startMP 300:58698 --initTime 2017-06-08T07:05:40 --startdatetime 2017-06-08T07:06:57 --delay 0 --endMP 204:680 --enddatetime 2017-06-08T07:25:50 --enforcementcount 0 &gt;&gt;C:\Users\stu\Documents\GitHub\eaglep3-reporting\EC\2017-06-08-refined-times.txt</v>
      </c>
      <c r="AI165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{"issue":{"subject":"","project_id":79,"tracker_id":40,"status_id":1,"priority_id":2,"assigned_to_id":23,"start_date":"2017-06-08","description":"","custom_fields":[{"id":1,"name":"Subdivision","value":"NW"},{"id":4,"name":"Milepost","value":"0.068"},{"id":17,"name":"Train ID","value":"806-08"},{"id":16,"name":"Locomotive ID","value":"4007"},{"id":130,"name":"Impact","value":""},{"id":150,"name":"Time of Event (Mountain Time)","value":"07:25:50"},{"id":151,"name":"Denver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65"/>
        <v>start /low /b %USERPROFILE%\Documents\GitHub\eaglep3\Utilities\DownloadLogsFromS3.py --loco 4007 --day 2017-06-08</v>
      </c>
      <c r="AN165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13:25:50"},{"id":29,"name":"Sharepoint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s="20" customFormat="1" x14ac:dyDescent="0.25">
      <c r="A166" s="32" t="s">
        <v>688</v>
      </c>
      <c r="B166" s="7">
        <v>4032</v>
      </c>
      <c r="C166" s="21" t="s">
        <v>204</v>
      </c>
      <c r="D166" s="21" t="s">
        <v>949</v>
      </c>
      <c r="E166" s="13">
        <v>42894.298935185187</v>
      </c>
      <c r="F166" s="13">
        <v>42894.306446759256</v>
      </c>
      <c r="G166" s="7">
        <v>1</v>
      </c>
      <c r="H166" s="21" t="s">
        <v>950</v>
      </c>
      <c r="I166" s="13">
        <v>42894.316307870373</v>
      </c>
      <c r="J166" s="7">
        <v>0</v>
      </c>
      <c r="K166" s="92" t="str">
        <f t="shared" si="48"/>
        <v>4031/4032</v>
      </c>
      <c r="L166" s="21" t="str">
        <f>VLOOKUP(A166,'Trips&amp;Operators'!$C$1:$G$99999,5,FALSE)</f>
        <v>YANG JAN</v>
      </c>
      <c r="M166" s="6">
        <f t="shared" si="49"/>
        <v>9.8611111170612276E-3</v>
      </c>
      <c r="N166" s="7">
        <f t="shared" si="61"/>
        <v>14.200000008568168</v>
      </c>
      <c r="O166" s="7"/>
      <c r="P166" s="7"/>
      <c r="Q166" s="22"/>
      <c r="R166" s="173"/>
      <c r="S166" s="176">
        <f t="shared" si="62"/>
        <v>1</v>
      </c>
      <c r="T166" s="202" t="str">
        <f t="shared" si="50"/>
        <v>NorthBound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 t="shared" si="51"/>
        <v>https://d0f6bd738d7f1b3e5a7ca70fe4ff75f0.us-east-1.aws.found.io/app/kibana#/discover/Steve-Slow-Train-Analysis-(2080s-and-2083s)?_g=(refreshInterval:(display:Off,pause:!f,section:0,value:0),time:(from:'2017-06-08T06:10:28-0600',mode:absolute,to:'2017-06-08T08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6" s="204" t="str">
        <f t="shared" si="52"/>
        <v>N</v>
      </c>
      <c r="X166" s="204">
        <f t="shared" si="72"/>
        <v>1</v>
      </c>
      <c r="Y166" s="204">
        <f t="shared" si="54"/>
        <v>9.7799999999999998E-2</v>
      </c>
      <c r="Z166" s="204">
        <f t="shared" si="55"/>
        <v>5.8967000000000001</v>
      </c>
      <c r="AA166" s="204">
        <f t="shared" si="56"/>
        <v>5.7988999999999997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57"/>
        <v>0807-08</v>
      </c>
      <c r="AE166" s="80" t="str">
        <f t="shared" si="58"/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AF166" s="77" t="str">
        <f t="shared" si="59"/>
        <v>"C:\Program Files (x86)\AstroGrep\AstroGrep.exe" /e /r /s /spath="%USERPROFILE%\AppData\Local\Temp\OnboardLogs" /stypes="app*4032*20170608*" /stext=" 13:.+((SYSTEM_STATE.+slice.+state.+changed )|(ment ac)|(multiple cpu faults)|(system.+state.+changed )|(\[timeout)|(PRM\|1\|D)|(kpr)|(kdp)|(train st.+moving)|(\|lc)|(penalty))"</v>
      </c>
      <c r="AG166" s="1" t="str">
        <f t="shared" si="60"/>
        <v>NW</v>
      </c>
      <c r="AH166" s="81" t="str">
        <f t="shared" si="63"/>
        <v>"%USERPROFILE%\Documents\GitHub\eaglep3\Utilities\RefineRTDCRunTimes.py" --tripid 807-08 --locoid 4032 --swversion DE.1.0.9.0 --startMP 204:978 --initTime 2017-06-08T07:10:28 --startdatetime 2017-06-08T07:21:17 --delay 1 --endMP 300:58967 --enddatetime 2017-06-08T07:35:29 --enforcementcount 0 &gt;&gt;C:\Users\stu\Documents\GitHub\eaglep3-reporting\EC\2017-06-08-refined-times.txt</v>
      </c>
      <c r="AI166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{"issue":{"subject":"","project_id":79,"tracker_id":40,"status_id":1,"priority_id":2,"assigned_to_id":23,"start_date":"2017-06-08","description":"","custom_fields":[{"id":1,"name":"Subdivision","value":"NW"},{"id":4,"name":"Milepost","value":"5.8967"},{"id":17,"name":"Train ID","value":"807-08"},{"id":16,"name":"Locomotive ID","value":"4032"},{"id":130,"name":"Impact","value":""},{"id":150,"name":"Time of Event (Mountain Time)","value":"07:35:29"},{"id":151,"name":"Denver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65"/>
        <v>start /low /b %USERPROFILE%\Documents\GitHub\eaglep3\Utilities\DownloadLogsFromS3.py --loco 4032 --day 2017-06-08</v>
      </c>
      <c r="AN166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689</v>
      </c>
      <c r="B167" s="7">
        <v>4031</v>
      </c>
      <c r="C167" s="21" t="s">
        <v>204</v>
      </c>
      <c r="D167" s="21" t="s">
        <v>951</v>
      </c>
      <c r="E167" s="13">
        <v>42894.317662037036</v>
      </c>
      <c r="F167" s="13">
        <v>42894.319074074076</v>
      </c>
      <c r="G167" s="7">
        <v>1</v>
      </c>
      <c r="H167" s="21" t="s">
        <v>952</v>
      </c>
      <c r="I167" s="13">
        <v>42894.330127314817</v>
      </c>
      <c r="J167" s="7">
        <v>0</v>
      </c>
      <c r="K167" s="92" t="str">
        <f t="shared" si="48"/>
        <v>4031/4032</v>
      </c>
      <c r="L167" s="21" t="str">
        <f>VLOOKUP(A167,'Trips&amp;Operators'!$C$1:$G$99999,5,FALSE)</f>
        <v>YANG JAN</v>
      </c>
      <c r="M167" s="6">
        <f t="shared" si="49"/>
        <v>1.1053240741603076E-2</v>
      </c>
      <c r="N167" s="7">
        <f t="shared" si="61"/>
        <v>15.91666666790843</v>
      </c>
      <c r="O167" s="7"/>
      <c r="P167" s="7"/>
      <c r="Q167" s="22"/>
      <c r="R167" s="173"/>
      <c r="S167" s="176">
        <f t="shared" si="62"/>
        <v>1</v>
      </c>
      <c r="T167" s="202" t="str">
        <f t="shared" si="50"/>
        <v>Southbound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 t="shared" si="51"/>
        <v>https://d0f6bd738d7f1b3e5a7ca70fe4ff75f0.us-east-1.aws.found.io/app/kibana#/discover/Steve-Slow-Train-Analysis-(2080s-and-2083s)?_g=(refreshInterval:(display:Off,pause:!f,section:0,value:0),time:(from:'2017-06-08T06:37:26-0600',mode:absolute,to:'2017-06-08T08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7" s="204" t="str">
        <f t="shared" si="52"/>
        <v>N</v>
      </c>
      <c r="X167" s="204">
        <f t="shared" si="72"/>
        <v>1</v>
      </c>
      <c r="Y167" s="204">
        <f t="shared" si="54"/>
        <v>5.8657000000000004</v>
      </c>
      <c r="Z167" s="204">
        <f t="shared" si="55"/>
        <v>6.8199999999999997E-2</v>
      </c>
      <c r="AA167" s="204">
        <f t="shared" si="56"/>
        <v>5.7975000000000003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57"/>
        <v>0808-08</v>
      </c>
      <c r="AE167" s="80" t="str">
        <f t="shared" si="58"/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AF167" s="77" t="str">
        <f t="shared" si="59"/>
        <v>"C:\Program Files (x86)\AstroGrep\AstroGrep.exe" /e /r /s /spath="%USERPROFILE%\AppData\Local\Temp\OnboardLogs" /stypes="app*4031*20170608*" /stext=" 13:.+((SYSTEM_STATE.+slice.+state.+changed )|(ment ac)|(multiple cpu faults)|(system.+state.+changed )|(\[timeout)|(PRM\|1\|D)|(kpr)|(kdp)|(train st.+moving)|(\|lc)|(penalty))"</v>
      </c>
      <c r="AG167" s="1" t="str">
        <f t="shared" si="60"/>
        <v>NW</v>
      </c>
      <c r="AH167" s="81" t="str">
        <f t="shared" si="63"/>
        <v>"%USERPROFILE%\Documents\GitHub\eaglep3\Utilities\RefineRTDCRunTimes.py" --tripid 808-08 --locoid 4031 --swversion DE.1.0.9.0 --startMP 300:58657 --initTime 2017-06-08T07:37:26 --startdatetime 2017-06-08T07:39:28 --delay 1 --endMP 204:682 --enddatetime 2017-06-08T07:55:23 --enforcementcount 0 &gt;&gt;C:\Users\stu\Documents\GitHub\eaglep3-reporting\EC\2017-06-08-refined-times.txt</v>
      </c>
      <c r="AI167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{"issue":{"subject":"","project_id":79,"tracker_id":40,"status_id":1,"priority_id":2,"assigned_to_id":23,"start_date":"2017-06-08","description":"","custom_fields":[{"id":1,"name":"Subdivision","value":"NW"},{"id":4,"name":"Milepost","value":"0.0682"},{"id":17,"name":"Train ID","value":"808-08"},{"id":16,"name":"Locomotive ID","value":"4031"},{"id":130,"name":"Impact","value":""},{"id":150,"name":"Time of Event (Mountain Time)","value":"07:55:23"},{"id":151,"name":"Denver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65"/>
        <v>start /low /b %USERPROFILE%\Documents\GitHub\eaglep3\Utilities\DownloadLogsFromS3.py --loco 4031 --day 2017-06-08</v>
      </c>
      <c r="AN167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13:55:23"},{"id":29,"name":"Sharepoint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2" t="s">
        <v>693</v>
      </c>
      <c r="B168" s="7">
        <v>4008</v>
      </c>
      <c r="C168" s="21" t="s">
        <v>204</v>
      </c>
      <c r="D168" s="21" t="s">
        <v>600</v>
      </c>
      <c r="E168" s="13">
        <v>42894.325567129628</v>
      </c>
      <c r="F168" s="13">
        <v>42894.327407407407</v>
      </c>
      <c r="G168" s="7">
        <v>1</v>
      </c>
      <c r="H168" s="21" t="s">
        <v>953</v>
      </c>
      <c r="I168" s="13">
        <v>42894.33697916667</v>
      </c>
      <c r="J168" s="7">
        <v>0</v>
      </c>
      <c r="K168" s="92" t="str">
        <f t="shared" si="48"/>
        <v>4007/4008</v>
      </c>
      <c r="L168" s="21" t="str">
        <f>VLOOKUP(A168,'Trips&amp;Operators'!$C$1:$G$99999,5,FALSE)</f>
        <v>DAVIS WENDY</v>
      </c>
      <c r="M168" s="6">
        <f t="shared" si="49"/>
        <v>9.5717592630535364E-3</v>
      </c>
      <c r="N168" s="7">
        <f t="shared" si="61"/>
        <v>13.783333338797092</v>
      </c>
      <c r="O168" s="7"/>
      <c r="P168" s="7"/>
      <c r="Q168" s="22"/>
      <c r="R168" s="173"/>
      <c r="S168" s="176">
        <f t="shared" si="62"/>
        <v>1</v>
      </c>
      <c r="T168" s="202" t="str">
        <f t="shared" si="50"/>
        <v>NorthBound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 t="shared" si="51"/>
        <v>https://d0f6bd738d7f1b3e5a7ca70fe4ff75f0.us-east-1.aws.found.io/app/kibana#/discover/Steve-Slow-Train-Analysis-(2080s-and-2083s)?_g=(refreshInterval:(display:Off,pause:!f,section:0,value:0),time:(from:'2017-06-08T06:48:49-0600',mode:absolute,to:'2017-06-08T09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8" s="204" t="str">
        <f t="shared" si="52"/>
        <v>N</v>
      </c>
      <c r="X168" s="204">
        <f t="shared" si="72"/>
        <v>1</v>
      </c>
      <c r="Y168" s="204">
        <f t="shared" si="54"/>
        <v>9.7199999999999995E-2</v>
      </c>
      <c r="Z168" s="204">
        <f t="shared" si="55"/>
        <v>5.9024000000000001</v>
      </c>
      <c r="AA168" s="204">
        <f t="shared" si="56"/>
        <v>5.8052000000000001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57"/>
        <v>0809-08</v>
      </c>
      <c r="AE168" s="80" t="str">
        <f t="shared" si="58"/>
        <v>aws s3 cp s3://rtdc.mdm.uploadarchive.raw/RTDC4008/ "%USERPROFILE%\AppData\Local\Temp\OnboardLogs"\RTDC4008\2017-06-08 --exclude "*" --recursive --include "*20170608*" &amp; "%USERPROFILE%\Documents\GitHub\mrs-test-scripts\Headless Mode &amp; Sideloading\WalkAndUnGZ.bat" "%USERPROFILE%\AppData\Local\Temp\OnboardLogs"\RTDC4008\2017-06-08 &amp; aws s3 cp s3://rtdc.mdm.uploadarchive.raw/RTDC4008/ "%USERPROFILE%\AppData\Local\Temp\OnboardLogs"\RTDC4008\2017-06-09 --exclude "*" --recursive --include "*20170609*" &amp; "%USERPROFILE%\Documents\GitHub\mrs-test-scripts\Headless Mode &amp; Sideloading\WalkAndUnGZ.bat" "%USERPROFILE%\AppData\Local\Temp\OnboardLogs"\RTDC4008\2017-06-09</v>
      </c>
      <c r="AF168" s="77" t="str">
        <f t="shared" si="59"/>
        <v>"C:\Program Files (x86)\AstroGrep\AstroGrep.exe" /e /r /s /spath="%USERPROFILE%\AppData\Local\Temp\OnboardLogs" /stypes="app*4008*20170608*" /stext=" 14:.+((SYSTEM_STATE.+slice.+state.+changed )|(ment ac)|(multiple cpu faults)|(system.+state.+changed )|(\[timeout)|(PRM\|1\|D)|(kpr)|(kdp)|(train st.+moving)|(\|lc)|(penalty))"</v>
      </c>
      <c r="AG168" s="1" t="str">
        <f t="shared" si="60"/>
        <v>NW</v>
      </c>
      <c r="AH168" s="81" t="str">
        <f t="shared" si="63"/>
        <v>"%USERPROFILE%\Documents\GitHub\eaglep3\Utilities\RefineRTDCRunTimes.py" --tripid 809-08 --locoid 4008 --swversion DE.1.0.9.0 --startMP 204:972 --initTime 2017-06-08T07:48:49 --startdatetime 2017-06-08T07:51:28 --delay 1 --endMP 300:59024 --enddatetime 2017-06-08T08:05:15 --enforcementcount 0 &gt;&gt;C:\Users\stu\Documents\GitHub\eaglep3-reporting\EC\2017-06-08-refined-times.txt</v>
      </c>
      <c r="AI168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{"issue":{"subject":"","project_id":79,"tracker_id":40,"status_id":1,"priority_id":2,"assigned_to_id":23,"start_date":"2017-06-08","description":"","custom_fields":[{"id":1,"name":"Subdivision","value":"NW"},{"id":4,"name":"Milepost","value":"5.9024"},{"id":17,"name":"Train ID","value":"809-08"},{"id":16,"name":"Locomotive ID","value":"4008"},{"id":130,"name":"Impact","value":""},{"id":150,"name":"Time of Event (Mountain Time)","value":"08:05:15"},{"id":151,"name":"Denver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65"/>
        <v>start /low /b %USERPROFILE%\Documents\GitHub\eaglep3\Utilities\DownloadLogsFromS3.py --loco 4008 --day 2017-06-08</v>
      </c>
      <c r="AN168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14:05:15"},{"id":29,"name":"Sharepoint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621</v>
      </c>
      <c r="B169" s="7">
        <v>4007</v>
      </c>
      <c r="C169" s="21" t="s">
        <v>204</v>
      </c>
      <c r="D169" s="21" t="s">
        <v>954</v>
      </c>
      <c r="E169" s="13">
        <v>42894.337754629632</v>
      </c>
      <c r="F169" s="13">
        <v>42894.338784722226</v>
      </c>
      <c r="G169" s="7">
        <v>1</v>
      </c>
      <c r="H169" s="21" t="s">
        <v>955</v>
      </c>
      <c r="I169" s="13">
        <v>42894.351215277777</v>
      </c>
      <c r="J169" s="7">
        <v>0</v>
      </c>
      <c r="K169" s="92" t="str">
        <f t="shared" si="48"/>
        <v>4007/4008</v>
      </c>
      <c r="L169" s="21" t="str">
        <f>VLOOKUP(A169,'Trips&amp;Operators'!$C$1:$G$99999,5,FALSE)</f>
        <v>DAVIS WENDY</v>
      </c>
      <c r="M169" s="6">
        <f t="shared" si="49"/>
        <v>1.2430555550963618E-2</v>
      </c>
      <c r="N169" s="7">
        <f t="shared" si="61"/>
        <v>17.89999999338761</v>
      </c>
      <c r="O169" s="7"/>
      <c r="P169" s="7"/>
      <c r="Q169" s="22"/>
      <c r="R169" s="173"/>
      <c r="S169" s="176">
        <f t="shared" si="62"/>
        <v>1</v>
      </c>
      <c r="T169" s="202" t="str">
        <f t="shared" si="50"/>
        <v>Southbound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 t="shared" si="51"/>
        <v>https://d0f6bd738d7f1b3e5a7ca70fe4ff75f0.us-east-1.aws.found.io/app/kibana#/discover/Steve-Slow-Train-Analysis-(2080s-and-2083s)?_g=(refreshInterval:(display:Off,pause:!f,section:0,value:0),time:(from:'2017-06-08T07:06:22-0600',mode:absolute,to:'2017-06-08T09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9" s="204" t="str">
        <f t="shared" si="52"/>
        <v>N</v>
      </c>
      <c r="X169" s="204">
        <f t="shared" si="72"/>
        <v>1</v>
      </c>
      <c r="Y169" s="204">
        <f t="shared" si="54"/>
        <v>5.8696000000000002</v>
      </c>
      <c r="Z169" s="204">
        <f t="shared" si="55"/>
        <v>1.37E-2</v>
      </c>
      <c r="AA169" s="204">
        <f t="shared" si="56"/>
        <v>5.8559000000000001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57"/>
        <v>0810-08</v>
      </c>
      <c r="AE169" s="80" t="str">
        <f t="shared" si="58"/>
        <v>aws s3 cp s3://rtdc.mdm.uploadarchive.raw/RTDC4007/ "%USERPROFILE%\AppData\Local\Temp\OnboardLogs"\RTDC4007\2017-06-08 --exclude "*" --recursive --include "*20170608*" &amp; "%USERPROFILE%\Documents\GitHub\mrs-test-scripts\Headless Mode &amp; Sideloading\WalkAndUnGZ.bat" "%USERPROFILE%\AppData\Local\Temp\OnboardLogs"\RTDC4007\2017-06-08 &amp; aws s3 cp s3://rtdc.mdm.uploadarchive.raw/RTDC4007/ "%USERPROFILE%\AppData\Local\Temp\OnboardLogs"\RTDC4007\2017-06-09 --exclude "*" --recursive --include "*20170609*" &amp; "%USERPROFILE%\Documents\GitHub\mrs-test-scripts\Headless Mode &amp; Sideloading\WalkAndUnGZ.bat" "%USERPROFILE%\AppData\Local\Temp\OnboardLogs"\RTDC4007\2017-06-09</v>
      </c>
      <c r="AF169" s="77" t="str">
        <f t="shared" si="59"/>
        <v>"C:\Program Files (x86)\AstroGrep\AstroGrep.exe" /e /r /s /spath="%USERPROFILE%\AppData\Local\Temp\OnboardLogs" /stypes="app*4007*20170608*" /stext=" 14:.+((SYSTEM_STATE.+slice.+state.+changed )|(ment ac)|(multiple cpu faults)|(system.+state.+changed )|(\[timeout)|(PRM\|1\|D)|(kpr)|(kdp)|(train st.+moving)|(\|lc)|(penalty))"</v>
      </c>
      <c r="AG169" s="1" t="str">
        <f t="shared" si="60"/>
        <v>NW</v>
      </c>
      <c r="AH169" s="81" t="str">
        <f t="shared" si="63"/>
        <v>"%USERPROFILE%\Documents\GitHub\eaglep3\Utilities\RefineRTDCRunTimes.py" --tripid 810-08 --locoid 4007 --swversion DE.1.0.9.0 --startMP 300:58696 --initTime 2017-06-08T08:06:22 --startdatetime 2017-06-08T08:07:51 --delay 1 --endMP 204:137 --enddatetime 2017-06-08T08:25:45 --enforcementcount 0 &gt;&gt;C:\Users\stu\Documents\GitHub\eaglep3-reporting\EC\2017-06-08-refined-times.txt</v>
      </c>
      <c r="AI169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{"issue":{"subject":"","project_id":79,"tracker_id":40,"status_id":1,"priority_id":2,"assigned_to_id":23,"start_date":"2017-06-08","description":"","custom_fields":[{"id":1,"name":"Subdivision","value":"NW"},{"id":4,"name":"Milepost","value":"0.0137"},{"id":17,"name":"Train ID","value":"810-08"},{"id":16,"name":"Locomotive ID","value":"4007"},{"id":130,"name":"Impact","value":""},{"id":150,"name":"Time of Event (Mountain Time)","value":"08:25:45"},{"id":151,"name":"Denver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65"/>
        <v>start /low /b %USERPROFILE%\Documents\GitHub\eaglep3\Utilities\DownloadLogsFromS3.py --loco 4007 --day 2017-06-08</v>
      </c>
      <c r="AN169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14:25:45"},{"id":29,"name":"Sharepoint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697</v>
      </c>
      <c r="B170" s="7">
        <v>4032</v>
      </c>
      <c r="C170" s="21" t="s">
        <v>204</v>
      </c>
      <c r="D170" s="21" t="s">
        <v>956</v>
      </c>
      <c r="E170" s="13">
        <v>42894.335381944446</v>
      </c>
      <c r="F170" s="13">
        <v>42894.34815972222</v>
      </c>
      <c r="G170" s="7">
        <v>1</v>
      </c>
      <c r="H170" s="21" t="s">
        <v>957</v>
      </c>
      <c r="I170" s="13">
        <v>42894.357488425929</v>
      </c>
      <c r="J170" s="7">
        <v>0</v>
      </c>
      <c r="K170" s="92" t="str">
        <f t="shared" si="48"/>
        <v>4031/4032</v>
      </c>
      <c r="L170" s="21" t="str">
        <f>VLOOKUP(A170,'Trips&amp;Operators'!$C$1:$G$99999,5,FALSE)</f>
        <v>YANG JAN</v>
      </c>
      <c r="M170" s="6">
        <f t="shared" si="49"/>
        <v>9.3287037088884972E-3</v>
      </c>
      <c r="N170" s="7">
        <f t="shared" si="61"/>
        <v>13.433333340799436</v>
      </c>
      <c r="O170" s="7"/>
      <c r="P170" s="7"/>
      <c r="Q170" s="22"/>
      <c r="R170" s="173"/>
      <c r="S170" s="176">
        <f t="shared" si="62"/>
        <v>1</v>
      </c>
      <c r="T170" s="202" t="str">
        <f t="shared" si="50"/>
        <v>NorthBound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 t="shared" si="51"/>
        <v>https://d0f6bd738d7f1b3e5a7ca70fe4ff75f0.us-east-1.aws.found.io/app/kibana#/discover/Steve-Slow-Train-Analysis-(2080s-and-2083s)?_g=(refreshInterval:(display:Off,pause:!f,section:0,value:0),time:(from:'2017-06-08T07:02:57-0600',mode:absolute,to:'2017-06-08T09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0" s="204" t="str">
        <f t="shared" si="52"/>
        <v>N</v>
      </c>
      <c r="X170" s="204">
        <f t="shared" si="72"/>
        <v>1</v>
      </c>
      <c r="Y170" s="204">
        <f t="shared" si="54"/>
        <v>9.74E-2</v>
      </c>
      <c r="Z170" s="204">
        <f t="shared" si="55"/>
        <v>5.8977000000000004</v>
      </c>
      <c r="AA170" s="204">
        <f t="shared" si="56"/>
        <v>5.8003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57"/>
        <v>0811-08</v>
      </c>
      <c r="AE170" s="80" t="str">
        <f t="shared" si="58"/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AF170" s="77" t="str">
        <f t="shared" si="59"/>
        <v>"C:\Program Files (x86)\AstroGrep\AstroGrep.exe" /e /r /s /spath="%USERPROFILE%\AppData\Local\Temp\OnboardLogs" /stypes="app*4032*20170608*" /stext=" 14:.+((SYSTEM_STATE.+slice.+state.+changed )|(ment ac)|(multiple cpu faults)|(system.+state.+changed )|(\[timeout)|(PRM\|1\|D)|(kpr)|(kdp)|(train st.+moving)|(\|lc)|(penalty))"</v>
      </c>
      <c r="AG170" s="1" t="str">
        <f t="shared" si="60"/>
        <v>NW</v>
      </c>
      <c r="AH170" s="81" t="str">
        <f t="shared" si="63"/>
        <v>"%USERPROFILE%\Documents\GitHub\eaglep3\Utilities\RefineRTDCRunTimes.py" --tripid 811-08 --locoid 4032 --swversion DE.1.0.9.0 --startMP 204:974 --initTime 2017-06-08T08:02:57 --startdatetime 2017-06-08T08:21:21 --delay 1 --endMP 300:58977 --enddatetime 2017-06-08T08:34:47 --enforcementcount 0 &gt;&gt;C:\Users\stu\Documents\GitHub\eaglep3-reporting\EC\2017-06-08-refined-times.txt</v>
      </c>
      <c r="AI170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{"issue":{"subject":"","project_id":79,"tracker_id":40,"status_id":1,"priority_id":2,"assigned_to_id":23,"start_date":"2017-06-08","description":"","custom_fields":[{"id":1,"name":"Subdivision","value":"NW"},{"id":4,"name":"Milepost","value":"5.8977"},{"id":17,"name":"Train ID","value":"811-08"},{"id":16,"name":"Locomotive ID","value":"4032"},{"id":130,"name":"Impact","value":""},{"id":150,"name":"Time of Event (Mountain Time)","value":"08:34:47"},{"id":151,"name":"Denver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65"/>
        <v>start /low /b %USERPROFILE%\Documents\GitHub\eaglep3\Utilities\DownloadLogsFromS3.py --loco 4032 --day 2017-06-08</v>
      </c>
      <c r="AN170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14:34:47"},{"id":29,"name":"Sharepoint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703</v>
      </c>
      <c r="B171" s="7">
        <v>4031</v>
      </c>
      <c r="C171" s="21" t="s">
        <v>204</v>
      </c>
      <c r="D171" s="21" t="s">
        <v>603</v>
      </c>
      <c r="E171" s="13">
        <v>42894.358877314815</v>
      </c>
      <c r="F171" s="13">
        <v>42894.360902777778</v>
      </c>
      <c r="G171" s="7">
        <v>1</v>
      </c>
      <c r="H171" s="21" t="s">
        <v>511</v>
      </c>
      <c r="I171" s="13">
        <v>42894.371458333335</v>
      </c>
      <c r="J171" s="7">
        <v>0</v>
      </c>
      <c r="K171" s="92" t="str">
        <f t="shared" si="48"/>
        <v>4031/4032</v>
      </c>
      <c r="L171" s="21" t="str">
        <f>VLOOKUP(A171,'Trips&amp;Operators'!$C$1:$G$99999,5,FALSE)</f>
        <v>YANG JAN</v>
      </c>
      <c r="M171" s="6">
        <f t="shared" si="49"/>
        <v>1.0555555556493346E-2</v>
      </c>
      <c r="N171" s="7">
        <f t="shared" si="61"/>
        <v>15.200000001350418</v>
      </c>
      <c r="O171" s="7"/>
      <c r="P171" s="7"/>
      <c r="Q171" s="22"/>
      <c r="R171" s="173"/>
      <c r="S171" s="176">
        <f t="shared" si="62"/>
        <v>1</v>
      </c>
      <c r="T171" s="202" t="str">
        <f t="shared" si="50"/>
        <v>Southbound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 t="shared" si="51"/>
        <v>https://d0f6bd738d7f1b3e5a7ca70fe4ff75f0.us-east-1.aws.found.io/app/kibana#/discover/Steve-Slow-Train-Analysis-(2080s-and-2083s)?_g=(refreshInterval:(display:Off,pause:!f,section:0,value:0),time:(from:'2017-06-08T07:36:47-0600',mode:absolute,to:'2017-06-08T09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1" s="204" t="str">
        <f t="shared" si="52"/>
        <v>N</v>
      </c>
      <c r="X171" s="204">
        <f t="shared" si="72"/>
        <v>1</v>
      </c>
      <c r="Y171" s="204">
        <f t="shared" si="54"/>
        <v>5.8651</v>
      </c>
      <c r="Z171" s="204">
        <f t="shared" si="55"/>
        <v>6.9400000000000003E-2</v>
      </c>
      <c r="AA171" s="204">
        <f t="shared" si="56"/>
        <v>5.7957000000000001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57"/>
        <v>0812-08</v>
      </c>
      <c r="AE171" s="80" t="str">
        <f t="shared" si="58"/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AF171" s="77" t="str">
        <f t="shared" si="59"/>
        <v>"C:\Program Files (x86)\AstroGrep\AstroGrep.exe" /e /r /s /spath="%USERPROFILE%\AppData\Local\Temp\OnboardLogs" /stypes="app*4031*20170608*" /stext=" 14:.+((SYSTEM_STATE.+slice.+state.+changed )|(ment ac)|(multiple cpu faults)|(system.+state.+changed )|(\[timeout)|(PRM\|1\|D)|(kpr)|(kdp)|(train st.+moving)|(\|lc)|(penalty))"</v>
      </c>
      <c r="AG171" s="1" t="str">
        <f t="shared" si="60"/>
        <v>NW</v>
      </c>
      <c r="AH171" s="81" t="str">
        <f t="shared" si="63"/>
        <v>"%USERPROFILE%\Documents\GitHub\eaglep3\Utilities\RefineRTDCRunTimes.py" --tripid 812-08 --locoid 4031 --swversion DE.1.0.9.0 --startMP 300:58651 --initTime 2017-06-08T08:36:47 --startdatetime 2017-06-08T08:39:42 --delay 1 --endMP 204:694 --enddatetime 2017-06-08T08:54:54 --enforcementcount 0 &gt;&gt;C:\Users\stu\Documents\GitHub\eaglep3-reporting\EC\2017-06-08-refined-times.txt</v>
      </c>
      <c r="AI171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{"issue":{"subject":"","project_id":79,"tracker_id":40,"status_id":1,"priority_id":2,"assigned_to_id":23,"start_date":"2017-06-08","description":"","custom_fields":[{"id":1,"name":"Subdivision","value":"NW"},{"id":4,"name":"Milepost","value":"0.0694"},{"id":17,"name":"Train ID","value":"812-08"},{"id":16,"name":"Locomotive ID","value":"4031"},{"id":130,"name":"Impact","value":""},{"id":150,"name":"Time of Event (Mountain Time)","value":"08:54:54"},{"id":151,"name":"Denver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65"/>
        <v>start /low /b %USERPROFILE%\Documents\GitHub\eaglep3\Utilities\DownloadLogsFromS3.py --loco 4031 --day 2017-06-08</v>
      </c>
      <c r="AN171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14:54:54"},{"id":29,"name":"Sharepoint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708</v>
      </c>
      <c r="B172" s="7">
        <v>4032</v>
      </c>
      <c r="C172" s="21" t="s">
        <v>204</v>
      </c>
      <c r="D172" s="21" t="s">
        <v>958</v>
      </c>
      <c r="E172" s="13">
        <v>42894.380740740744</v>
      </c>
      <c r="F172" s="13">
        <v>42894.389803240738</v>
      </c>
      <c r="G172" s="7">
        <v>1</v>
      </c>
      <c r="H172" s="21" t="s">
        <v>959</v>
      </c>
      <c r="I172" s="13">
        <v>42894.400335648148</v>
      </c>
      <c r="J172" s="7">
        <v>0</v>
      </c>
      <c r="K172" s="92" t="str">
        <f t="shared" si="48"/>
        <v>4031/4032</v>
      </c>
      <c r="L172" s="21" t="str">
        <f>VLOOKUP(A172,'Trips&amp;Operators'!$C$1:$G$99999,5,FALSE)</f>
        <v>YANG JAN</v>
      </c>
      <c r="M172" s="6">
        <f t="shared" si="49"/>
        <v>1.0532407410209998E-2</v>
      </c>
      <c r="N172" s="7">
        <f t="shared" si="61"/>
        <v>15.166666670702398</v>
      </c>
      <c r="O172" s="7"/>
      <c r="P172" s="7"/>
      <c r="Q172" s="22"/>
      <c r="R172" s="173"/>
      <c r="S172" s="176">
        <f t="shared" si="62"/>
        <v>1</v>
      </c>
      <c r="T172" s="202" t="str">
        <f t="shared" si="50"/>
        <v>NorthBound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 t="shared" si="51"/>
        <v>https://d0f6bd738d7f1b3e5a7ca70fe4ff75f0.us-east-1.aws.found.io/app/kibana#/discover/Steve-Slow-Train-Analysis-(2080s-and-2083s)?_g=(refreshInterval:(display:Off,pause:!f,section:0,value:0),time:(from:'2017-06-08T08:08:16-0600',mode:absolute,to:'2017-06-08T10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2" s="204" t="str">
        <f t="shared" si="52"/>
        <v>N</v>
      </c>
      <c r="X172" s="204">
        <f t="shared" si="72"/>
        <v>1</v>
      </c>
      <c r="Y172" s="204">
        <f t="shared" si="54"/>
        <v>9.6000000000000002E-2</v>
      </c>
      <c r="Z172" s="204">
        <f t="shared" si="55"/>
        <v>5.8960999999999997</v>
      </c>
      <c r="AA172" s="204">
        <f t="shared" si="56"/>
        <v>5.8000999999999996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57"/>
        <v>0813-08</v>
      </c>
      <c r="AE172" s="80" t="str">
        <f t="shared" si="58"/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AF172" s="77" t="str">
        <f t="shared" si="59"/>
        <v>"C:\Program Files (x86)\AstroGrep\AstroGrep.exe" /e /r /s /spath="%USERPROFILE%\AppData\Local\Temp\OnboardLogs" /stypes="app*4032*20170608*" /stext=" 15:.+((SYSTEM_STATE.+slice.+state.+changed )|(ment ac)|(multiple cpu faults)|(system.+state.+changed )|(\[timeout)|(PRM\|1\|D)|(kpr)|(kdp)|(train st.+moving)|(\|lc)|(penalty))"</v>
      </c>
      <c r="AG172" s="1" t="str">
        <f t="shared" si="60"/>
        <v>NW</v>
      </c>
      <c r="AH172" s="81" t="str">
        <f t="shared" si="63"/>
        <v>"%USERPROFILE%\Documents\GitHub\eaglep3\Utilities\RefineRTDCRunTimes.py" --tripid 813-08 --locoid 4032 --swversion DE.1.0.9.0 --startMP 204:960 --initTime 2017-06-08T09:08:16 --startdatetime 2017-06-08T09:21:19 --delay 1 --endMP 300:58961 --enddatetime 2017-06-08T09:36:29 --enforcementcount 0 &gt;&gt;C:\Users\stu\Documents\GitHub\eaglep3-reporting\EC\2017-06-08-refined-times.txt</v>
      </c>
      <c r="AI172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{"issue":{"subject":"","project_id":79,"tracker_id":40,"status_id":1,"priority_id":2,"assigned_to_id":23,"start_date":"2017-06-08","description":"","custom_fields":[{"id":1,"name":"Subdivision","value":"NW"},{"id":4,"name":"Milepost","value":"5.8961"},{"id":17,"name":"Train ID","value":"813-08"},{"id":16,"name":"Locomotive ID","value":"4032"},{"id":130,"name":"Impact","value":""},{"id":150,"name":"Time of Event (Mountain Time)","value":"09:36:29"},{"id":151,"name":"Denver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65"/>
        <v>start /low /b %USERPROFILE%\Documents\GitHub\eaglep3\Utilities\DownloadLogsFromS3.py --loco 4032 --day 2017-06-08</v>
      </c>
      <c r="AN172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15:36:29"},{"id":29,"name":"Sharepoint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713</v>
      </c>
      <c r="B173" s="7">
        <v>4031</v>
      </c>
      <c r="C173" s="21" t="s">
        <v>204</v>
      </c>
      <c r="D173" s="21" t="s">
        <v>960</v>
      </c>
      <c r="E173" s="13">
        <v>42894.401550925926</v>
      </c>
      <c r="F173" s="13">
        <v>42894.404537037037</v>
      </c>
      <c r="G173" s="7">
        <v>1</v>
      </c>
      <c r="H173" s="21" t="s">
        <v>961</v>
      </c>
      <c r="I173" s="13">
        <v>42894.414166666669</v>
      </c>
      <c r="J173" s="7">
        <v>0</v>
      </c>
      <c r="K173" s="92" t="str">
        <f t="shared" si="48"/>
        <v>4031/4032</v>
      </c>
      <c r="L173" s="21" t="str">
        <f>VLOOKUP(A173,'Trips&amp;Operators'!$C$1:$G$99999,5,FALSE)</f>
        <v>YANG JAN</v>
      </c>
      <c r="M173" s="6">
        <f t="shared" si="49"/>
        <v>9.6296296323998831E-3</v>
      </c>
      <c r="N173" s="7">
        <f t="shared" si="61"/>
        <v>13.866666670655832</v>
      </c>
      <c r="O173" s="7"/>
      <c r="P173" s="7"/>
      <c r="Q173" s="22"/>
      <c r="R173" s="173"/>
      <c r="S173" s="176">
        <f t="shared" si="62"/>
        <v>1</v>
      </c>
      <c r="T173" s="202" t="str">
        <f t="shared" si="50"/>
        <v>Southbound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 t="shared" si="51"/>
        <v>https://d0f6bd738d7f1b3e5a7ca70fe4ff75f0.us-east-1.aws.found.io/app/kibana#/discover/Steve-Slow-Train-Analysis-(2080s-and-2083s)?_g=(refreshInterval:(display:Off,pause:!f,section:0,value:0),time:(from:'2017-06-08T08:38:14-0600',mode:absolute,to:'2017-06-08T10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3" s="204" t="str">
        <f t="shared" si="52"/>
        <v>N</v>
      </c>
      <c r="X173" s="204">
        <f t="shared" si="72"/>
        <v>1</v>
      </c>
      <c r="Y173" s="204">
        <f t="shared" si="54"/>
        <v>5.8642000000000003</v>
      </c>
      <c r="Z173" s="204">
        <f t="shared" si="55"/>
        <v>6.7799999999999999E-2</v>
      </c>
      <c r="AA173" s="204">
        <f t="shared" si="56"/>
        <v>5.7964000000000002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57"/>
        <v>0814-08</v>
      </c>
      <c r="AE173" s="80" t="str">
        <f t="shared" si="58"/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AF173" s="77" t="str">
        <f t="shared" si="59"/>
        <v>"C:\Program Files (x86)\AstroGrep\AstroGrep.exe" /e /r /s /spath="%USERPROFILE%\AppData\Local\Temp\OnboardLogs" /stypes="app*4031*20170608*" /stext=" 15:.+((SYSTEM_STATE.+slice.+state.+changed )|(ment ac)|(multiple cpu faults)|(system.+state.+changed )|(\[timeout)|(PRM\|1\|D)|(kpr)|(kdp)|(train st.+moving)|(\|lc)|(penalty))"</v>
      </c>
      <c r="AG173" s="1" t="str">
        <f t="shared" si="60"/>
        <v>NW</v>
      </c>
      <c r="AH173" s="81" t="str">
        <f t="shared" si="63"/>
        <v>"%USERPROFILE%\Documents\GitHub\eaglep3\Utilities\RefineRTDCRunTimes.py" --tripid 814-08 --locoid 4031 --swversion DE.1.0.9.0 --startMP 300:58642 --initTime 2017-06-08T09:38:14 --startdatetime 2017-06-08T09:42:32 --delay 1 --endMP 204:678 --enddatetime 2017-06-08T09:56:24 --enforcementcount 0 &gt;&gt;C:\Users\stu\Documents\GitHub\eaglep3-reporting\EC\2017-06-08-refined-times.txt</v>
      </c>
      <c r="AI173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{"issue":{"subject":"","project_id":79,"tracker_id":40,"status_id":1,"priority_id":2,"assigned_to_id":23,"start_date":"2017-06-08","description":"","custom_fields":[{"id":1,"name":"Subdivision","value":"NW"},{"id":4,"name":"Milepost","value":"0.0678"},{"id":17,"name":"Train ID","value":"814-08"},{"id":16,"name":"Locomotive ID","value":"4031"},{"id":130,"name":"Impact","value":""},{"id":150,"name":"Time of Event (Mountain Time)","value":"09:56:24"},{"id":151,"name":"Denver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65"/>
        <v>start /low /b %USERPROFILE%\Documents\GitHub\eaglep3\Utilities\DownloadLogsFromS3.py --loco 4031 --day 2017-06-08</v>
      </c>
      <c r="AN173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15:56:24"},{"id":29,"name":"Sharepoint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716</v>
      </c>
      <c r="B174" s="7">
        <v>4032</v>
      </c>
      <c r="C174" s="21" t="s">
        <v>204</v>
      </c>
      <c r="D174" s="21" t="s">
        <v>962</v>
      </c>
      <c r="E174" s="13">
        <v>42894.416388888887</v>
      </c>
      <c r="F174" s="13">
        <v>42894.431493055556</v>
      </c>
      <c r="G174" s="7">
        <v>1</v>
      </c>
      <c r="H174" s="21" t="s">
        <v>963</v>
      </c>
      <c r="I174" s="13">
        <v>42894.440844907411</v>
      </c>
      <c r="J174" s="7">
        <v>0</v>
      </c>
      <c r="K174" s="92" t="str">
        <f t="shared" si="48"/>
        <v>4031/4032</v>
      </c>
      <c r="L174" s="21" t="str">
        <f>VLOOKUP(A174,'Trips&amp;Operators'!$C$1:$G$99999,5,FALSE)</f>
        <v>YANG JAN</v>
      </c>
      <c r="M174" s="6">
        <f t="shared" si="49"/>
        <v>9.3518518551718444E-3</v>
      </c>
      <c r="N174" s="7">
        <f t="shared" ref="N174:N205" si="73">24*60*SUM($M174:$M174)</f>
        <v>13.466666671447456</v>
      </c>
      <c r="O174" s="7"/>
      <c r="P174" s="7"/>
      <c r="Q174" s="22"/>
      <c r="R174" s="173"/>
      <c r="S174" s="176">
        <f t="shared" ref="S174:S205" si="74">SUM(U174:U174)/IF(AG174="EC",12,1)</f>
        <v>1</v>
      </c>
      <c r="T174" s="202" t="str">
        <f t="shared" si="50"/>
        <v>NorthBound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 t="shared" si="51"/>
        <v>https://d0f6bd738d7f1b3e5a7ca70fe4ff75f0.us-east-1.aws.found.io/app/kibana#/discover/Steve-Slow-Train-Analysis-(2080s-and-2083s)?_g=(refreshInterval:(display:Off,pause:!f,section:0,value:0),time:(from:'2017-06-08T08:59:36-0600',mode:absolute,to:'2017-06-08T11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4" s="204" t="str">
        <f t="shared" si="52"/>
        <v>N</v>
      </c>
      <c r="X174" s="204">
        <f t="shared" si="72"/>
        <v>1</v>
      </c>
      <c r="Y174" s="204">
        <f t="shared" si="54"/>
        <v>9.6199999999999994E-2</v>
      </c>
      <c r="Z174" s="204">
        <f t="shared" si="55"/>
        <v>5.8973000000000004</v>
      </c>
      <c r="AA174" s="204">
        <f t="shared" si="56"/>
        <v>5.8011000000000008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57"/>
        <v>0815-08</v>
      </c>
      <c r="AE174" s="80" t="str">
        <f t="shared" si="58"/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AF174" s="77" t="str">
        <f t="shared" si="59"/>
        <v>"C:\Program Files (x86)\AstroGrep\AstroGrep.exe" /e /r /s /spath="%USERPROFILE%\AppData\Local\Temp\OnboardLogs" /stypes="app*4032*20170608*" /stext=" 16:.+((SYSTEM_STATE.+slice.+state.+changed )|(ment ac)|(multiple cpu faults)|(system.+state.+changed )|(\[timeout)|(PRM\|1\|D)|(kpr)|(kdp)|(train st.+moving)|(\|lc)|(penalty))"</v>
      </c>
      <c r="AG174" s="1" t="str">
        <f t="shared" si="60"/>
        <v>NW</v>
      </c>
      <c r="AH174" s="81" t="str">
        <f t="shared" si="63"/>
        <v>"%USERPROFILE%\Documents\GitHub\eaglep3\Utilities\RefineRTDCRunTimes.py" --tripid 815-08 --locoid 4032 --swversion DE.1.0.9.0 --startMP 204:962 --initTime 2017-06-08T09:59:36 --startdatetime 2017-06-08T10:21:21 --delay 1 --endMP 300:58973 --enddatetime 2017-06-08T10:34:49 --enforcementcount 0 &gt;&gt;C:\Users\stu\Documents\GitHub\eaglep3-reporting\EC\2017-06-08-refined-times.txt</v>
      </c>
      <c r="AI174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{"issue":{"subject":"","project_id":79,"tracker_id":40,"status_id":1,"priority_id":2,"assigned_to_id":23,"start_date":"2017-06-08","description":"","custom_fields":[{"id":1,"name":"Subdivision","value":"NW"},{"id":4,"name":"Milepost","value":"5.8973"},{"id":17,"name":"Train ID","value":"815-08"},{"id":16,"name":"Locomotive ID","value":"4032"},{"id":130,"name":"Impact","value":""},{"id":150,"name":"Time of Event (Mountain Time)","value":"10:34:49"},{"id":151,"name":"Denver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65"/>
        <v>start /low /b %USERPROFILE%\Documents\GitHub\eaglep3\Utilities\DownloadLogsFromS3.py --loco 4032 --day 2017-06-08</v>
      </c>
      <c r="AN174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16:34:49"},{"id":29,"name":"Sharepoint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722</v>
      </c>
      <c r="B175" s="7">
        <v>4031</v>
      </c>
      <c r="C175" s="21" t="s">
        <v>204</v>
      </c>
      <c r="D175" s="21" t="s">
        <v>964</v>
      </c>
      <c r="E175" s="13">
        <v>42894.442349537036</v>
      </c>
      <c r="F175" s="13">
        <v>42894.444826388892</v>
      </c>
      <c r="G175" s="7">
        <v>1</v>
      </c>
      <c r="H175" s="21" t="s">
        <v>965</v>
      </c>
      <c r="I175" s="13">
        <v>42894.454780092594</v>
      </c>
      <c r="J175" s="7">
        <v>0</v>
      </c>
      <c r="K175" s="92" t="str">
        <f t="shared" si="48"/>
        <v>4031/4032</v>
      </c>
      <c r="L175" s="21" t="str">
        <f>VLOOKUP(A175,'Trips&amp;Operators'!$C$1:$G$99999,5,FALSE)</f>
        <v>YANG JAN</v>
      </c>
      <c r="M175" s="6">
        <f t="shared" si="49"/>
        <v>9.9537037021946162E-3</v>
      </c>
      <c r="N175" s="7">
        <f t="shared" si="73"/>
        <v>14.333333331160247</v>
      </c>
      <c r="O175" s="7"/>
      <c r="P175" s="7"/>
      <c r="Q175" s="22"/>
      <c r="R175" s="173"/>
      <c r="S175" s="176">
        <f t="shared" si="74"/>
        <v>1</v>
      </c>
      <c r="T175" s="202" t="str">
        <f t="shared" si="50"/>
        <v>Southbound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 t="shared" si="51"/>
        <v>https://d0f6bd738d7f1b3e5a7ca70fe4ff75f0.us-east-1.aws.found.io/app/kibana#/discover/Steve-Slow-Train-Analysis-(2080s-and-2083s)?_g=(refreshInterval:(display:Off,pause:!f,section:0,value:0),time:(from:'2017-06-08T09:36:59-0600',mode:absolute,to:'2017-06-08T11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5" s="204" t="str">
        <f t="shared" si="52"/>
        <v>N</v>
      </c>
      <c r="X175" s="204">
        <f t="shared" si="72"/>
        <v>1</v>
      </c>
      <c r="Y175" s="204">
        <f t="shared" si="54"/>
        <v>5.8648999999999996</v>
      </c>
      <c r="Z175" s="204">
        <f t="shared" si="55"/>
        <v>6.8699999999999997E-2</v>
      </c>
      <c r="AA175" s="204">
        <f t="shared" si="56"/>
        <v>5.7961999999999998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57"/>
        <v>0816-08</v>
      </c>
      <c r="AE175" s="80" t="str">
        <f t="shared" si="58"/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AF175" s="77" t="str">
        <f t="shared" si="59"/>
        <v>"C:\Program Files (x86)\AstroGrep\AstroGrep.exe" /e /r /s /spath="%USERPROFILE%\AppData\Local\Temp\OnboardLogs" /stypes="app*4031*20170608*" /stext=" 16:.+((SYSTEM_STATE.+slice.+state.+changed )|(ment ac)|(multiple cpu faults)|(system.+state.+changed )|(\[timeout)|(PRM\|1\|D)|(kpr)|(kdp)|(train st.+moving)|(\|lc)|(penalty))"</v>
      </c>
      <c r="AG175" s="1" t="str">
        <f t="shared" si="60"/>
        <v>NW</v>
      </c>
      <c r="AH175" s="81" t="str">
        <f t="shared" si="63"/>
        <v>"%USERPROFILE%\Documents\GitHub\eaglep3\Utilities\RefineRTDCRunTimes.py" --tripid 816-08 --locoid 4031 --swversion DE.1.0.9.0 --startMP 300:58649 --initTime 2017-06-08T10:36:59 --startdatetime 2017-06-08T10:40:33 --delay 1 --endMP 204:687 --enddatetime 2017-06-08T10:54:53 --enforcementcount 0 &gt;&gt;C:\Users\stu\Documents\GitHub\eaglep3-reporting\EC\2017-06-08-refined-times.txt</v>
      </c>
      <c r="AI175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{"issue":{"subject":"","project_id":79,"tracker_id":40,"status_id":1,"priority_id":2,"assigned_to_id":23,"start_date":"2017-06-08","description":"","custom_fields":[{"id":1,"name":"Subdivision","value":"NW"},{"id":4,"name":"Milepost","value":"0.0687"},{"id":17,"name":"Train ID","value":"816-08"},{"id":16,"name":"Locomotive ID","value":"4031"},{"id":130,"name":"Impact","value":""},{"id":150,"name":"Time of Event (Mountain Time)","value":"10:54:53"},{"id":151,"name":"Denver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65"/>
        <v>start /low /b %USERPROFILE%\Documents\GitHub\eaglep3\Utilities\DownloadLogsFromS3.py --loco 4031 --day 2017-06-08</v>
      </c>
      <c r="AN175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16:54:53"},{"id":29,"name":"Sharepoint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727</v>
      </c>
      <c r="B176" s="7">
        <v>4032</v>
      </c>
      <c r="C176" s="21" t="s">
        <v>204</v>
      </c>
      <c r="D176" s="21" t="s">
        <v>514</v>
      </c>
      <c r="E176" s="13">
        <v>42894.457824074074</v>
      </c>
      <c r="F176" s="13">
        <v>42894.473136574074</v>
      </c>
      <c r="G176" s="7">
        <v>1</v>
      </c>
      <c r="H176" s="21" t="s">
        <v>959</v>
      </c>
      <c r="I176" s="13">
        <v>42894.483171296299</v>
      </c>
      <c r="J176" s="7">
        <v>0</v>
      </c>
      <c r="K176" s="92" t="str">
        <f t="shared" si="48"/>
        <v>4031/4032</v>
      </c>
      <c r="L176" s="21" t="str">
        <f>VLOOKUP(A176,'Trips&amp;Operators'!$C$1:$G$99999,5,FALSE)</f>
        <v>YANG JAN</v>
      </c>
      <c r="M176" s="6">
        <f t="shared" si="49"/>
        <v>1.0034722225100268E-2</v>
      </c>
      <c r="N176" s="7">
        <f t="shared" si="73"/>
        <v>14.450000004144385</v>
      </c>
      <c r="O176" s="7"/>
      <c r="P176" s="7"/>
      <c r="Q176" s="22"/>
      <c r="R176" s="173"/>
      <c r="S176" s="176">
        <f t="shared" si="74"/>
        <v>1</v>
      </c>
      <c r="T176" s="202" t="str">
        <f t="shared" si="50"/>
        <v>NorthBound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 t="shared" si="51"/>
        <v>https://d0f6bd738d7f1b3e5a7ca70fe4ff75f0.us-east-1.aws.found.io/app/kibana#/discover/Steve-Slow-Train-Analysis-(2080s-and-2083s)?_g=(refreshInterval:(display:Off,pause:!f,section:0,value:0),time:(from:'2017-06-08T09:59:16-0600',mode:absolute,to:'2017-06-08T12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6" s="204" t="str">
        <f t="shared" si="52"/>
        <v>N</v>
      </c>
      <c r="X176" s="204">
        <f t="shared" si="72"/>
        <v>1</v>
      </c>
      <c r="Y176" s="204">
        <f t="shared" si="54"/>
        <v>9.64E-2</v>
      </c>
      <c r="Z176" s="204">
        <f t="shared" si="55"/>
        <v>5.8960999999999997</v>
      </c>
      <c r="AA176" s="204">
        <f t="shared" si="56"/>
        <v>5.7996999999999996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57"/>
        <v>0817-08</v>
      </c>
      <c r="AE176" s="80" t="str">
        <f t="shared" si="58"/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AF176" s="77" t="str">
        <f t="shared" si="59"/>
        <v>"C:\Program Files (x86)\AstroGrep\AstroGrep.exe" /e /r /s /spath="%USERPROFILE%\AppData\Local\Temp\OnboardLogs" /stypes="app*4032*20170608*" /stext=" 17:.+((SYSTEM_STATE.+slice.+state.+changed )|(ment ac)|(multiple cpu faults)|(system.+state.+changed )|(\[timeout)|(PRM\|1\|D)|(kpr)|(kdp)|(train st.+moving)|(\|lc)|(penalty))"</v>
      </c>
      <c r="AG176" s="1" t="str">
        <f t="shared" si="60"/>
        <v>NW</v>
      </c>
      <c r="AH176" s="81" t="str">
        <f t="shared" si="63"/>
        <v>"%USERPROFILE%\Documents\GitHub\eaglep3\Utilities\RefineRTDCRunTimes.py" --tripid 817-08 --locoid 4032 --swversion DE.1.0.9.0 --startMP 204:964 --initTime 2017-06-08T10:59:16 --startdatetime 2017-06-08T11:21:19 --delay 1 --endMP 300:58961 --enddatetime 2017-06-08T11:35:46 --enforcementcount 0 &gt;&gt;C:\Users\stu\Documents\GitHub\eaglep3-reporting\EC\2017-06-08-refined-times.txt</v>
      </c>
      <c r="AI176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{"issue":{"subject":"","project_id":79,"tracker_id":40,"status_id":1,"priority_id":2,"assigned_to_id":23,"start_date":"2017-06-08","description":"","custom_fields":[{"id":1,"name":"Subdivision","value":"NW"},{"id":4,"name":"Milepost","value":"5.8961"},{"id":17,"name":"Train ID","value":"817-08"},{"id":16,"name":"Locomotive ID","value":"4032"},{"id":130,"name":"Impact","value":""},{"id":150,"name":"Time of Event (Mountain Time)","value":"11:35:46"},{"id":151,"name":"Denver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65"/>
        <v>start /low /b %USERPROFILE%\Documents\GitHub\eaglep3\Utilities\DownloadLogsFromS3.py --loco 4032 --day 2017-06-08</v>
      </c>
      <c r="AN176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17:35:46"},{"id":29,"name":"Sharepoint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735</v>
      </c>
      <c r="B177" s="7">
        <v>4031</v>
      </c>
      <c r="C177" s="21" t="s">
        <v>204</v>
      </c>
      <c r="D177" s="21" t="s">
        <v>964</v>
      </c>
      <c r="E177" s="13">
        <v>42894.484502314815</v>
      </c>
      <c r="F177" s="13">
        <v>42894.485810185186</v>
      </c>
      <c r="G177" s="7">
        <v>1</v>
      </c>
      <c r="H177" s="21" t="s">
        <v>966</v>
      </c>
      <c r="I177" s="13">
        <v>42894.496527777781</v>
      </c>
      <c r="J177" s="7">
        <v>0</v>
      </c>
      <c r="K177" s="92" t="str">
        <f t="shared" si="48"/>
        <v>4031/4032</v>
      </c>
      <c r="L177" s="21" t="str">
        <f>VLOOKUP(A177,'Trips&amp;Operators'!$C$1:$G$99999,5,FALSE)</f>
        <v>YANG JAN</v>
      </c>
      <c r="M177" s="6">
        <f t="shared" si="49"/>
        <v>1.0717592595028691E-2</v>
      </c>
      <c r="N177" s="7">
        <f t="shared" si="73"/>
        <v>15.433333336841315</v>
      </c>
      <c r="O177" s="7"/>
      <c r="P177" s="7"/>
      <c r="Q177" s="22"/>
      <c r="R177" s="173"/>
      <c r="S177" s="176">
        <f t="shared" si="74"/>
        <v>1</v>
      </c>
      <c r="T177" s="202" t="str">
        <f t="shared" si="50"/>
        <v>Southbound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 t="shared" si="51"/>
        <v>https://d0f6bd738d7f1b3e5a7ca70fe4ff75f0.us-east-1.aws.found.io/app/kibana#/discover/Steve-Slow-Train-Analysis-(2080s-and-2083s)?_g=(refreshInterval:(display:Off,pause:!f,section:0,value:0),time:(from:'2017-06-08T10:37:41-0600',mode:absolute,to:'2017-06-08T12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7" s="204" t="str">
        <f t="shared" si="52"/>
        <v>N</v>
      </c>
      <c r="X177" s="204">
        <f t="shared" si="72"/>
        <v>1</v>
      </c>
      <c r="Y177" s="204">
        <f t="shared" si="54"/>
        <v>5.8648999999999996</v>
      </c>
      <c r="Z177" s="204">
        <f t="shared" si="55"/>
        <v>6.8500000000000005E-2</v>
      </c>
      <c r="AA177" s="204">
        <f t="shared" si="56"/>
        <v>5.7963999999999993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57"/>
        <v>0818-08</v>
      </c>
      <c r="AE177" s="80" t="str">
        <f t="shared" si="58"/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AF177" s="77" t="str">
        <f t="shared" si="59"/>
        <v>"C:\Program Files (x86)\AstroGrep\AstroGrep.exe" /e /r /s /spath="%USERPROFILE%\AppData\Local\Temp\OnboardLogs" /stypes="app*4031*20170608*" /stext=" 17:.+((SYSTEM_STATE.+slice.+state.+changed )|(ment ac)|(multiple cpu faults)|(system.+state.+changed )|(\[timeout)|(PRM\|1\|D)|(kpr)|(kdp)|(train st.+moving)|(\|lc)|(penalty))"</v>
      </c>
      <c r="AG177" s="1" t="str">
        <f t="shared" si="60"/>
        <v>NW</v>
      </c>
      <c r="AH177" s="81" t="str">
        <f t="shared" si="63"/>
        <v>"%USERPROFILE%\Documents\GitHub\eaglep3\Utilities\RefineRTDCRunTimes.py" --tripid 818-08 --locoid 4031 --swversion DE.1.0.9.0 --startMP 300:58649 --initTime 2017-06-08T11:37:41 --startdatetime 2017-06-08T11:39:34 --delay 1 --endMP 204:685 --enddatetime 2017-06-08T11:55:00 --enforcementcount 0 &gt;&gt;C:\Users\stu\Documents\GitHub\eaglep3-reporting\EC\2017-06-08-refined-times.txt</v>
      </c>
      <c r="AI177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{"issue":{"subject":"","project_id":79,"tracker_id":40,"status_id":1,"priority_id":2,"assigned_to_id":23,"start_date":"2017-06-08","description":"","custom_fields":[{"id":1,"name":"Subdivision","value":"NW"},{"id":4,"name":"Milepost","value":"0.0685"},{"id":17,"name":"Train ID","value":"818-08"},{"id":16,"name":"Locomotive ID","value":"4031"},{"id":130,"name":"Impact","value":""},{"id":150,"name":"Time of Event (Mountain Time)","value":"11:55:00"},{"id":151,"name":"Denver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65"/>
        <v>start /low /b %USERPROFILE%\Documents\GitHub\eaglep3\Utilities\DownloadLogsFromS3.py --loco 4031 --day 2017-06-08</v>
      </c>
      <c r="AN177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17:55:00"},{"id":29,"name":"Sharepoint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739</v>
      </c>
      <c r="B178" s="7">
        <v>4032</v>
      </c>
      <c r="C178" s="21" t="s">
        <v>204</v>
      </c>
      <c r="D178" s="21" t="s">
        <v>512</v>
      </c>
      <c r="E178" s="13">
        <v>42894.49895833333</v>
      </c>
      <c r="F178" s="13">
        <v>42894.514826388891</v>
      </c>
      <c r="G178" s="7">
        <v>1</v>
      </c>
      <c r="H178" s="21" t="s">
        <v>967</v>
      </c>
      <c r="I178" s="13">
        <v>42894.524236111109</v>
      </c>
      <c r="J178" s="7">
        <v>0</v>
      </c>
      <c r="K178" s="92" t="str">
        <f t="shared" si="48"/>
        <v>4031/4032</v>
      </c>
      <c r="L178" s="21" t="str">
        <f>VLOOKUP(A178,'Trips&amp;Operators'!$C$1:$G$99999,5,FALSE)</f>
        <v>YANG JAN</v>
      </c>
      <c r="M178" s="6">
        <f t="shared" si="49"/>
        <v>9.4097222172422335E-3</v>
      </c>
      <c r="N178" s="7">
        <f t="shared" si="73"/>
        <v>13.549999992828816</v>
      </c>
      <c r="O178" s="7"/>
      <c r="P178" s="7"/>
      <c r="Q178" s="22"/>
      <c r="R178" s="173"/>
      <c r="S178" s="176">
        <f t="shared" si="74"/>
        <v>1</v>
      </c>
      <c r="T178" s="202" t="str">
        <f t="shared" si="50"/>
        <v>NorthBound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 t="shared" si="51"/>
        <v>https://d0f6bd738d7f1b3e5a7ca70fe4ff75f0.us-east-1.aws.found.io/app/kibana#/discover/Steve-Slow-Train-Analysis-(2080s-and-2083s)?_g=(refreshInterval:(display:Off,pause:!f,section:0,value:0),time:(from:'2017-06-08T10:58:30-0600',mode:absolute,to:'2017-06-08T13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8" s="204" t="str">
        <f t="shared" si="52"/>
        <v>N</v>
      </c>
      <c r="X178" s="204">
        <f t="shared" si="72"/>
        <v>1</v>
      </c>
      <c r="Y178" s="204">
        <f t="shared" si="54"/>
        <v>9.8500000000000004E-2</v>
      </c>
      <c r="Z178" s="204">
        <f t="shared" si="55"/>
        <v>5.8949999999999996</v>
      </c>
      <c r="AA178" s="204">
        <f t="shared" si="56"/>
        <v>5.7965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57"/>
        <v>0819-08</v>
      </c>
      <c r="AE178" s="80" t="str">
        <f t="shared" si="58"/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AF178" s="77" t="str">
        <f t="shared" si="59"/>
        <v>"C:\Program Files (x86)\AstroGrep\AstroGrep.exe" /e /r /s /spath="%USERPROFILE%\AppData\Local\Temp\OnboardLogs" /stypes="app*4032*20170608*" /stext=" 18:.+((SYSTEM_STATE.+slice.+state.+changed )|(ment ac)|(multiple cpu faults)|(system.+state.+changed )|(\[timeout)|(PRM\|1\|D)|(kpr)|(kdp)|(train st.+moving)|(\|lc)|(penalty))"</v>
      </c>
      <c r="AG178" s="1" t="str">
        <f t="shared" si="60"/>
        <v>NW</v>
      </c>
      <c r="AH178" s="81" t="str">
        <f t="shared" si="63"/>
        <v>"%USERPROFILE%\Documents\GitHub\eaglep3\Utilities\RefineRTDCRunTimes.py" --tripid 819-08 --locoid 4032 --swversion DE.1.0.9.0 --startMP 204:985 --initTime 2017-06-08T11:58:30 --startdatetime 2017-06-08T12:21:21 --delay 1 --endMP 300:58950 --enddatetime 2017-06-08T12:34:54 --enforcementcount 0 &gt;&gt;C:\Users\stu\Documents\GitHub\eaglep3-reporting\EC\2017-06-08-refined-times.txt</v>
      </c>
      <c r="AI178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{"issue":{"subject":"","project_id":79,"tracker_id":40,"status_id":1,"priority_id":2,"assigned_to_id":23,"start_date":"2017-06-08","description":"","custom_fields":[{"id":1,"name":"Subdivision","value":"NW"},{"id":4,"name":"Milepost","value":"5.895"},{"id":17,"name":"Train ID","value":"819-08"},{"id":16,"name":"Locomotive ID","value":"4032"},{"id":130,"name":"Impact","value":""},{"id":150,"name":"Time of Event (Mountain Time)","value":"12:34:54"},{"id":151,"name":"Denver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65"/>
        <v>start /low /b %USERPROFILE%\Documents\GitHub\eaglep3\Utilities\DownloadLogsFromS3.py --loco 4032 --day 2017-06-08</v>
      </c>
      <c r="AN178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18:34:54"},{"id":29,"name":"Sharepoint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744</v>
      </c>
      <c r="B179" s="7">
        <v>4031</v>
      </c>
      <c r="C179" s="21" t="s">
        <v>204</v>
      </c>
      <c r="D179" s="21" t="s">
        <v>968</v>
      </c>
      <c r="E179" s="13">
        <v>42894.525555555556</v>
      </c>
      <c r="F179" s="13">
        <v>42894.527141203704</v>
      </c>
      <c r="G179" s="7">
        <v>1</v>
      </c>
      <c r="H179" s="21" t="s">
        <v>601</v>
      </c>
      <c r="I179" s="13">
        <v>42894.537974537037</v>
      </c>
      <c r="J179" s="7">
        <v>0</v>
      </c>
      <c r="K179" s="92" t="str">
        <f t="shared" si="48"/>
        <v>4031/4032</v>
      </c>
      <c r="L179" s="21" t="str">
        <f>VLOOKUP(A179,'Trips&amp;Operators'!$C$1:$G$99999,5,FALSE)</f>
        <v>YANG JAN</v>
      </c>
      <c r="M179" s="6">
        <f t="shared" si="49"/>
        <v>1.0833333333721384E-2</v>
      </c>
      <c r="N179" s="7">
        <f t="shared" si="73"/>
        <v>15.600000000558794</v>
      </c>
      <c r="O179" s="7"/>
      <c r="P179" s="7"/>
      <c r="Q179" s="22"/>
      <c r="R179" s="173"/>
      <c r="S179" s="176">
        <f t="shared" si="74"/>
        <v>1</v>
      </c>
      <c r="T179" s="202" t="str">
        <f t="shared" si="50"/>
        <v>Southbound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 t="shared" si="51"/>
        <v>https://d0f6bd738d7f1b3e5a7ca70fe4ff75f0.us-east-1.aws.found.io/app/kibana#/discover/Steve-Slow-Train-Analysis-(2080s-and-2083s)?_g=(refreshInterval:(display:Off,pause:!f,section:0,value:0),time:(from:'2017-06-08T11:36:48-0600',mode:absolute,to:'2017-06-08T13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9" s="204" t="str">
        <f t="shared" si="52"/>
        <v>N</v>
      </c>
      <c r="X179" s="204">
        <f t="shared" si="72"/>
        <v>1</v>
      </c>
      <c r="Y179" s="204">
        <f t="shared" si="54"/>
        <v>5.8632</v>
      </c>
      <c r="Z179" s="204">
        <f t="shared" si="55"/>
        <v>7.1199999999999999E-2</v>
      </c>
      <c r="AA179" s="204">
        <f t="shared" si="56"/>
        <v>5.7919999999999998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57"/>
        <v>0820-08</v>
      </c>
      <c r="AE179" s="80" t="str">
        <f t="shared" si="58"/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AF179" s="77" t="str">
        <f t="shared" si="59"/>
        <v>"C:\Program Files (x86)\AstroGrep\AstroGrep.exe" /e /r /s /spath="%USERPROFILE%\AppData\Local\Temp\OnboardLogs" /stypes="app*4031*20170608*" /stext=" 18:.+((SYSTEM_STATE.+slice.+state.+changed )|(ment ac)|(multiple cpu faults)|(system.+state.+changed )|(\[timeout)|(PRM\|1\|D)|(kpr)|(kdp)|(train st.+moving)|(\|lc)|(penalty))"</v>
      </c>
      <c r="AG179" s="1" t="str">
        <f t="shared" si="60"/>
        <v>NW</v>
      </c>
      <c r="AH179" s="81" t="str">
        <f t="shared" si="63"/>
        <v>"%USERPROFILE%\Documents\GitHub\eaglep3\Utilities\RefineRTDCRunTimes.py" --tripid 820-08 --locoid 4031 --swversion DE.1.0.9.0 --startMP 300:58632 --initTime 2017-06-08T12:36:48 --startdatetime 2017-06-08T12:39:05 --delay 1 --endMP 204:712 --enddatetime 2017-06-08T12:54:41 --enforcementcount 0 &gt;&gt;C:\Users\stu\Documents\GitHub\eaglep3-reporting\EC\2017-06-08-refined-times.txt</v>
      </c>
      <c r="AI179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{"issue":{"subject":"","project_id":79,"tracker_id":40,"status_id":1,"priority_id":2,"assigned_to_id":23,"start_date":"2017-06-08","description":"","custom_fields":[{"id":1,"name":"Subdivision","value":"NW"},{"id":4,"name":"Milepost","value":"0.0712"},{"id":17,"name":"Train ID","value":"820-08"},{"id":16,"name":"Locomotive ID","value":"4031"},{"id":130,"name":"Impact","value":""},{"id":150,"name":"Time of Event (Mountain Time)","value":"12:54:41"},{"id":151,"name":"Denver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5"/>
        <v>start /low /b %USERPROFILE%\Documents\GitHub\eaglep3\Utilities\DownloadLogsFromS3.py --loco 4031 --day 2017-06-08</v>
      </c>
      <c r="AN179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18:54:41"},{"id":29,"name":"Sharepoint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748</v>
      </c>
      <c r="B180" s="7">
        <v>4032</v>
      </c>
      <c r="C180" s="21" t="s">
        <v>204</v>
      </c>
      <c r="D180" s="21" t="s">
        <v>599</v>
      </c>
      <c r="E180" s="13">
        <v>42894.541250000002</v>
      </c>
      <c r="F180" s="13">
        <v>42894.556597222225</v>
      </c>
      <c r="G180" s="7">
        <v>1</v>
      </c>
      <c r="H180" s="21" t="s">
        <v>969</v>
      </c>
      <c r="I180" s="13">
        <v>42894.565983796296</v>
      </c>
      <c r="J180" s="7">
        <v>0</v>
      </c>
      <c r="K180" s="92" t="str">
        <f t="shared" si="48"/>
        <v>4031/4032</v>
      </c>
      <c r="L180" s="21" t="str">
        <f>VLOOKUP(A180,'Trips&amp;Operators'!$C$1:$G$99999,5,FALSE)</f>
        <v>STAMBAUGH JAMES</v>
      </c>
      <c r="M180" s="6">
        <f t="shared" si="49"/>
        <v>9.3865740709588863E-3</v>
      </c>
      <c r="N180" s="7">
        <f t="shared" si="73"/>
        <v>13.516666662180796</v>
      </c>
      <c r="O180" s="7"/>
      <c r="P180" s="7"/>
      <c r="Q180" s="22"/>
      <c r="R180" s="173"/>
      <c r="S180" s="176">
        <f t="shared" si="74"/>
        <v>1</v>
      </c>
      <c r="T180" s="202" t="str">
        <f t="shared" si="50"/>
        <v>NorthBound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 t="shared" si="51"/>
        <v>https://d0f6bd738d7f1b3e5a7ca70fe4ff75f0.us-east-1.aws.found.io/app/kibana#/discover/Steve-Slow-Train-Analysis-(2080s-and-2083s)?_g=(refreshInterval:(display:Off,pause:!f,section:0,value:0),time:(from:'2017-06-08T11:59:24-0600',mode:absolute,to:'2017-06-08T14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0" s="204" t="str">
        <f t="shared" si="52"/>
        <v>N</v>
      </c>
      <c r="X180" s="204">
        <f t="shared" si="72"/>
        <v>1</v>
      </c>
      <c r="Y180" s="204">
        <f t="shared" si="54"/>
        <v>9.9299999999999999E-2</v>
      </c>
      <c r="Z180" s="204">
        <f t="shared" si="55"/>
        <v>5.8916000000000004</v>
      </c>
      <c r="AA180" s="204">
        <f t="shared" si="56"/>
        <v>5.7923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57"/>
        <v>0821-08</v>
      </c>
      <c r="AE180" s="80" t="str">
        <f t="shared" si="58"/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AF180" s="77" t="str">
        <f t="shared" si="59"/>
        <v>"C:\Program Files (x86)\AstroGrep\AstroGrep.exe" /e /r /s /spath="%USERPROFILE%\AppData\Local\Temp\OnboardLogs" /stypes="app*4032*20170608*" /stext=" 19:.+((SYSTEM_STATE.+slice.+state.+changed )|(ment ac)|(multiple cpu faults)|(system.+state.+changed )|(\[timeout)|(PRM\|1\|D)|(kpr)|(kdp)|(train st.+moving)|(\|lc)|(penalty))"</v>
      </c>
      <c r="AG180" s="1" t="str">
        <f t="shared" si="60"/>
        <v>NW</v>
      </c>
      <c r="AH180" s="81" t="str">
        <f t="shared" si="63"/>
        <v>"%USERPROFILE%\Documents\GitHub\eaglep3\Utilities\RefineRTDCRunTimes.py" --tripid 821-08 --locoid 4032 --swversion DE.1.0.9.0 --startMP 204:993 --initTime 2017-06-08T12:59:24 --startdatetime 2017-06-08T13:21:30 --delay 1 --endMP 300:58916 --enddatetime 2017-06-08T13:35:01 --enforcementcount 0 &gt;&gt;C:\Users\stu\Documents\GitHub\eaglep3-reporting\EC\2017-06-08-refined-times.txt</v>
      </c>
      <c r="AI180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{"issue":{"subject":"","project_id":79,"tracker_id":40,"status_id":1,"priority_id":2,"assigned_to_id":23,"start_date":"2017-06-08","description":"","custom_fields":[{"id":1,"name":"Subdivision","value":"NW"},{"id":4,"name":"Milepost","value":"5.8916"},{"id":17,"name":"Train ID","value":"821-08"},{"id":16,"name":"Locomotive ID","value":"4032"},{"id":130,"name":"Impact","value":""},{"id":150,"name":"Time of Event (Mountain Time)","value":"13:35:01"},{"id":151,"name":"Denver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65"/>
        <v>start /low /b %USERPROFILE%\Documents\GitHub\eaglep3\Utilities\DownloadLogsFromS3.py --loco 4032 --day 2017-06-08</v>
      </c>
      <c r="AN180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19:35:01"},{"id":29,"name":"Sharepoint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627</v>
      </c>
      <c r="B181" s="7">
        <v>4031</v>
      </c>
      <c r="C181" s="21" t="s">
        <v>204</v>
      </c>
      <c r="D181" s="21" t="s">
        <v>970</v>
      </c>
      <c r="E181" s="13">
        <v>42894.566782407404</v>
      </c>
      <c r="F181" s="13">
        <v>42894.56826388889</v>
      </c>
      <c r="G181" s="7">
        <v>1</v>
      </c>
      <c r="H181" s="21" t="s">
        <v>971</v>
      </c>
      <c r="I181" s="13">
        <v>42894.579652777778</v>
      </c>
      <c r="J181" s="7">
        <v>0</v>
      </c>
      <c r="K181" s="92" t="str">
        <f t="shared" si="48"/>
        <v>4031/4032</v>
      </c>
      <c r="L181" s="21" t="str">
        <f>VLOOKUP(A181,'Trips&amp;Operators'!$C$1:$G$99999,5,FALSE)</f>
        <v>STAMBAUGH JAMES</v>
      </c>
      <c r="M181" s="6">
        <f t="shared" si="49"/>
        <v>1.1388888888177462E-2</v>
      </c>
      <c r="N181" s="7">
        <f t="shared" si="73"/>
        <v>16.399999998975545</v>
      </c>
      <c r="O181" s="7"/>
      <c r="P181" s="7"/>
      <c r="Q181" s="22"/>
      <c r="R181" s="173"/>
      <c r="S181" s="176">
        <f t="shared" si="74"/>
        <v>1</v>
      </c>
      <c r="T181" s="202" t="str">
        <f t="shared" si="50"/>
        <v>Southbound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 t="shared" si="51"/>
        <v>https://d0f6bd738d7f1b3e5a7ca70fe4ff75f0.us-east-1.aws.found.io/app/kibana#/discover/Steve-Slow-Train-Analysis-(2080s-and-2083s)?_g=(refreshInterval:(display:Off,pause:!f,section:0,value:0),time:(from:'2017-06-08T12:36:10-0600',mode:absolute,to:'2017-06-08T14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1" s="204" t="str">
        <f t="shared" si="52"/>
        <v>N</v>
      </c>
      <c r="X181" s="204">
        <f t="shared" si="72"/>
        <v>1</v>
      </c>
      <c r="Y181" s="204">
        <f t="shared" si="54"/>
        <v>5.8611000000000004</v>
      </c>
      <c r="Z181" s="204">
        <f t="shared" si="55"/>
        <v>6.4299999999999996E-2</v>
      </c>
      <c r="AA181" s="204">
        <f t="shared" si="56"/>
        <v>5.7968000000000002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57"/>
        <v>0822-08</v>
      </c>
      <c r="AE181" s="80" t="str">
        <f t="shared" si="58"/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AF181" s="77" t="str">
        <f t="shared" si="59"/>
        <v>"C:\Program Files (x86)\AstroGrep\AstroGrep.exe" /e /r /s /spath="%USERPROFILE%\AppData\Local\Temp\OnboardLogs" /stypes="app*4031*20170608*" /stext=" 19:.+((SYSTEM_STATE.+slice.+state.+changed )|(ment ac)|(multiple cpu faults)|(system.+state.+changed )|(\[timeout)|(PRM\|1\|D)|(kpr)|(kdp)|(train st.+moving)|(\|lc)|(penalty))"</v>
      </c>
      <c r="AG181" s="1" t="str">
        <f t="shared" si="60"/>
        <v>NW</v>
      </c>
      <c r="AH181" s="81" t="str">
        <f t="shared" si="63"/>
        <v>"%USERPROFILE%\Documents\GitHub\eaglep3\Utilities\RefineRTDCRunTimes.py" --tripid 822-08 --locoid 4031 --swversion DE.1.0.9.0 --startMP 300:58611 --initTime 2017-06-08T13:36:10 --startdatetime 2017-06-08T13:38:18 --delay 1 --endMP 204:643 --enddatetime 2017-06-08T13:54:42 --enforcementcount 0 &gt;&gt;C:\Users\stu\Documents\GitHub\eaglep3-reporting\EC\2017-06-08-refined-times.txt</v>
      </c>
      <c r="AI181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{"issue":{"subject":"","project_id":79,"tracker_id":40,"status_id":1,"priority_id":2,"assigned_to_id":23,"start_date":"2017-06-08","description":"","custom_fields":[{"id":1,"name":"Subdivision","value":"NW"},{"id":4,"name":"Milepost","value":"0.0643"},{"id":17,"name":"Train ID","value":"822-08"},{"id":16,"name":"Locomotive ID","value":"4031"},{"id":130,"name":"Impact","value":""},{"id":150,"name":"Time of Event (Mountain Time)","value":"13:54:42"},{"id":151,"name":"Denver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65"/>
        <v>start /low /b %USERPROFILE%\Documents\GitHub\eaglep3\Utilities\DownloadLogsFromS3.py --loco 4031 --day 2017-06-08</v>
      </c>
      <c r="AN181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19:54:42"},{"id":29,"name":"Sharepoint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629</v>
      </c>
      <c r="B182" s="7">
        <v>4032</v>
      </c>
      <c r="C182" s="21" t="s">
        <v>204</v>
      </c>
      <c r="D182" s="21" t="s">
        <v>972</v>
      </c>
      <c r="E182" s="13">
        <v>42894.592476851853</v>
      </c>
      <c r="F182" s="13">
        <v>42894.598645833335</v>
      </c>
      <c r="G182" s="7">
        <v>1</v>
      </c>
      <c r="H182" s="21" t="s">
        <v>605</v>
      </c>
      <c r="I182" s="13">
        <v>42894.611759259256</v>
      </c>
      <c r="J182" s="7">
        <v>0</v>
      </c>
      <c r="K182" s="92" t="str">
        <f t="shared" si="48"/>
        <v>4031/4032</v>
      </c>
      <c r="L182" s="21" t="str">
        <f>VLOOKUP(A182,'Trips&amp;Operators'!$C$1:$G$99999,5,FALSE)</f>
        <v>STAMBAUGH JAMES</v>
      </c>
      <c r="M182" s="6">
        <f t="shared" si="49"/>
        <v>1.3113425920892041E-2</v>
      </c>
      <c r="N182" s="7">
        <f t="shared" si="73"/>
        <v>18.883333326084539</v>
      </c>
      <c r="O182" s="7"/>
      <c r="P182" s="7"/>
      <c r="Q182" s="22"/>
      <c r="R182" s="173"/>
      <c r="S182" s="176">
        <f t="shared" si="74"/>
        <v>1</v>
      </c>
      <c r="T182" s="202" t="str">
        <f t="shared" si="50"/>
        <v>NorthBound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 t="shared" si="51"/>
        <v>https://d0f6bd738d7f1b3e5a7ca70fe4ff75f0.us-east-1.aws.found.io/app/kibana#/discover/Steve-Slow-Train-Analysis-(2080s-and-2083s)?_g=(refreshInterval:(display:Off,pause:!f,section:0,value:0),time:(from:'2017-06-08T13:13:10-0600',mode:absolute,to:'2017-06-08T15:40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2" s="204" t="str">
        <f t="shared" si="52"/>
        <v>N</v>
      </c>
      <c r="X182" s="204">
        <f t="shared" si="72"/>
        <v>1</v>
      </c>
      <c r="Y182" s="204">
        <f t="shared" si="54"/>
        <v>9.1600000000000001E-2</v>
      </c>
      <c r="Z182" s="204">
        <f t="shared" si="55"/>
        <v>5.8928000000000003</v>
      </c>
      <c r="AA182" s="204">
        <f t="shared" si="56"/>
        <v>5.8012000000000006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57"/>
        <v>0823-08</v>
      </c>
      <c r="AE182" s="80" t="str">
        <f t="shared" si="58"/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AF182" s="77" t="str">
        <f t="shared" si="59"/>
        <v>"C:\Program Files (x86)\AstroGrep\AstroGrep.exe" /e /r /s /spath="%USERPROFILE%\AppData\Local\Temp\OnboardLogs" /stypes="app*4032*20170608*" /stext=" 20:.+((SYSTEM_STATE.+slice.+state.+changed )|(ment ac)|(multiple cpu faults)|(system.+state.+changed )|(\[timeout)|(PRM\|1\|D)|(kpr)|(kdp)|(train st.+moving)|(\|lc)|(penalty))"</v>
      </c>
      <c r="AG182" s="1" t="str">
        <f t="shared" si="60"/>
        <v>NW</v>
      </c>
      <c r="AH182" s="81" t="str">
        <f t="shared" si="63"/>
        <v>"%USERPROFILE%\Documents\GitHub\eaglep3\Utilities\RefineRTDCRunTimes.py" --tripid 823-08 --locoid 4032 --swversion DE.1.0.9.0 --startMP 204:916 --initTime 2017-06-08T14:13:10 --startdatetime 2017-06-08T14:22:03 --delay 1 --endMP 300:58928 --enddatetime 2017-06-08T14:40:56 --enforcementcount 0 &gt;&gt;C:\Users\stu\Documents\GitHub\eaglep3-reporting\EC\2017-06-08-refined-times.txt</v>
      </c>
      <c r="AI182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{"issue":{"subject":"","project_id":79,"tracker_id":40,"status_id":1,"priority_id":2,"assigned_to_id":23,"start_date":"2017-06-08","description":"","custom_fields":[{"id":1,"name":"Subdivision","value":"NW"},{"id":4,"name":"Milepost","value":"5.8928"},{"id":17,"name":"Train ID","value":"823-08"},{"id":16,"name":"Locomotive ID","value":"4032"},{"id":130,"name":"Impact","value":""},{"id":150,"name":"Time of Event (Mountain Time)","value":"14:40:56"},{"id":151,"name":"Denver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65"/>
        <v>start /low /b %USERPROFILE%\Documents\GitHub\eaglep3\Utilities\DownloadLogsFromS3.py --loco 4032 --day 2017-06-08</v>
      </c>
      <c r="AN182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20:40:56"},{"id":29,"name":"Sharepoint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2" t="s">
        <v>759</v>
      </c>
      <c r="B183" s="7">
        <v>4031</v>
      </c>
      <c r="C183" s="21" t="s">
        <v>204</v>
      </c>
      <c r="D183" s="21" t="s">
        <v>973</v>
      </c>
      <c r="E183" s="13">
        <v>42894.612500000003</v>
      </c>
      <c r="F183" s="13">
        <v>42894.613877314812</v>
      </c>
      <c r="G183" s="7">
        <v>1</v>
      </c>
      <c r="H183" s="21" t="s">
        <v>966</v>
      </c>
      <c r="I183" s="13">
        <v>42894.623854166668</v>
      </c>
      <c r="J183" s="7">
        <v>0</v>
      </c>
      <c r="K183" s="92" t="str">
        <f t="shared" si="48"/>
        <v>4031/4032</v>
      </c>
      <c r="L183" s="21" t="str">
        <f>VLOOKUP(A183,'Trips&amp;Operators'!$C$1:$G$99999,5,FALSE)</f>
        <v>STAMBAUGH JAMES</v>
      </c>
      <c r="M183" s="6">
        <f t="shared" si="49"/>
        <v>9.976851855753921E-3</v>
      </c>
      <c r="N183" s="7">
        <f t="shared" si="73"/>
        <v>14.366666672285646</v>
      </c>
      <c r="O183" s="7"/>
      <c r="P183" s="7"/>
      <c r="Q183" s="22"/>
      <c r="R183" s="173"/>
      <c r="S183" s="176">
        <f t="shared" si="74"/>
        <v>1</v>
      </c>
      <c r="T183" s="202" t="str">
        <f t="shared" si="50"/>
        <v>Southbound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51"/>
        <v>https://d0f6bd738d7f1b3e5a7ca70fe4ff75f0.us-east-1.aws.found.io/app/kibana#/discover/Steve-Slow-Train-Analysis-(2080s-and-2083s)?_g=(refreshInterval:(display:Off,pause:!f,section:0,value:0),time:(from:'2017-06-08T13:42:00-0600',mode:absolute,to:'2017-06-08T15:58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3" s="204" t="str">
        <f t="shared" si="52"/>
        <v>N</v>
      </c>
      <c r="X183" s="204">
        <f t="shared" si="72"/>
        <v>1</v>
      </c>
      <c r="Y183" s="204">
        <f t="shared" si="54"/>
        <v>5.8613</v>
      </c>
      <c r="Z183" s="204">
        <f t="shared" si="55"/>
        <v>6.8500000000000005E-2</v>
      </c>
      <c r="AA183" s="204">
        <f t="shared" si="56"/>
        <v>5.7927999999999997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57"/>
        <v>0824-08</v>
      </c>
      <c r="AE183" s="80" t="str">
        <f t="shared" si="58"/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AF183" s="77" t="str">
        <f t="shared" si="59"/>
        <v>"C:\Program Files (x86)\AstroGrep\AstroGrep.exe" /e /r /s /spath="%USERPROFILE%\AppData\Local\Temp\OnboardLogs" /stypes="app*4031*20170608*" /stext=" 20:.+((SYSTEM_STATE.+slice.+state.+changed )|(ment ac)|(multiple cpu faults)|(system.+state.+changed )|(\[timeout)|(PRM\|1\|D)|(kpr)|(kdp)|(train st.+moving)|(\|lc)|(penalty))"</v>
      </c>
      <c r="AG183" s="1" t="str">
        <f t="shared" si="60"/>
        <v>NW</v>
      </c>
      <c r="AH183" s="81" t="str">
        <f t="shared" si="63"/>
        <v>"%USERPROFILE%\Documents\GitHub\eaglep3\Utilities\RefineRTDCRunTimes.py" --tripid 824-08 --locoid 4031 --swversion DE.1.0.9.0 --startMP 300:58613 --initTime 2017-06-08T14:42:00 --startdatetime 2017-06-08T14:43:59 --delay 1 --endMP 204:685 --enddatetime 2017-06-08T14:58:21 --enforcementcount 0 &gt;&gt;C:\Users\stu\Documents\GitHub\eaglep3-reporting\EC\2017-06-08-refined-times.txt</v>
      </c>
      <c r="AI183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{"issue":{"subject":"","project_id":79,"tracker_id":40,"status_id":1,"priority_id":2,"assigned_to_id":23,"start_date":"2017-06-08","description":"","custom_fields":[{"id":1,"name":"Subdivision","value":"NW"},{"id":4,"name":"Milepost","value":"0.0685"},{"id":17,"name":"Train ID","value":"824-08"},{"id":16,"name":"Locomotive ID","value":"4031"},{"id":130,"name":"Impact","value":""},{"id":150,"name":"Time of Event (Mountain Time)","value":"14:58:21"},{"id":151,"name":"Denver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5" t="str">
        <f t="shared" si="65"/>
        <v>start /low /b %USERPROFILE%\Documents\GitHub\eaglep3\Utilities\DownloadLogsFromS3.py --loco 4031 --day 2017-06-08</v>
      </c>
      <c r="AN183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20:58:21"},{"id":29,"name":"Sharepoint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762</v>
      </c>
      <c r="B184" s="7">
        <v>4032</v>
      </c>
      <c r="C184" s="21" t="s">
        <v>204</v>
      </c>
      <c r="D184" s="21" t="s">
        <v>956</v>
      </c>
      <c r="E184" s="13">
        <v>42894.625081018516</v>
      </c>
      <c r="F184" s="13">
        <v>42894.640011574076</v>
      </c>
      <c r="G184" s="7">
        <v>1</v>
      </c>
      <c r="H184" s="21" t="s">
        <v>602</v>
      </c>
      <c r="I184" s="13">
        <v>42894.648935185185</v>
      </c>
      <c r="J184" s="7">
        <v>0</v>
      </c>
      <c r="K184" s="92" t="str">
        <f t="shared" si="48"/>
        <v>4031/4032</v>
      </c>
      <c r="L184" s="21" t="str">
        <f>VLOOKUP(A184,'Trips&amp;Operators'!$C$1:$G$99999,5,FALSE)</f>
        <v>STAMBAUGH JAMES</v>
      </c>
      <c r="M184" s="6">
        <f t="shared" si="49"/>
        <v>8.923611108912155E-3</v>
      </c>
      <c r="N184" s="7">
        <f t="shared" si="73"/>
        <v>12.849999996833503</v>
      </c>
      <c r="O184" s="7"/>
      <c r="P184" s="7"/>
      <c r="Q184" s="22"/>
      <c r="R184" s="173"/>
      <c r="S184" s="176">
        <f t="shared" si="74"/>
        <v>1</v>
      </c>
      <c r="T184" s="202" t="str">
        <f t="shared" si="50"/>
        <v>NorthBound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51"/>
        <v>https://d0f6bd738d7f1b3e5a7ca70fe4ff75f0.us-east-1.aws.found.io/app/kibana#/discover/Steve-Slow-Train-Analysis-(2080s-and-2083s)?_g=(refreshInterval:(display:Off,pause:!f,section:0,value:0),time:(from:'2017-06-08T14:00:07-0600',mode:absolute,to:'2017-06-08T16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4" s="204" t="str">
        <f t="shared" si="52"/>
        <v>N</v>
      </c>
      <c r="X184" s="204">
        <f t="shared" si="72"/>
        <v>1</v>
      </c>
      <c r="Y184" s="204">
        <f t="shared" si="54"/>
        <v>9.74E-2</v>
      </c>
      <c r="Z184" s="204">
        <f t="shared" si="55"/>
        <v>5.8959999999999999</v>
      </c>
      <c r="AA184" s="204">
        <f t="shared" si="56"/>
        <v>5.7985999999999995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57"/>
        <v>0825-08</v>
      </c>
      <c r="AE184" s="80" t="str">
        <f t="shared" si="58"/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AF184" s="77" t="str">
        <f t="shared" si="59"/>
        <v>"C:\Program Files (x86)\AstroGrep\AstroGrep.exe" /e /r /s /spath="%USERPROFILE%\AppData\Local\Temp\OnboardLogs" /stypes="app*4032*20170608*" /stext=" 21:.+((SYSTEM_STATE.+slice.+state.+changed )|(ment ac)|(multiple cpu faults)|(system.+state.+changed )|(\[timeout)|(PRM\|1\|D)|(kpr)|(kdp)|(train st.+moving)|(\|lc)|(penalty))"</v>
      </c>
      <c r="AG184" s="1" t="str">
        <f t="shared" si="60"/>
        <v>NW</v>
      </c>
      <c r="AH184" s="81" t="str">
        <f t="shared" si="63"/>
        <v>"%USERPROFILE%\Documents\GitHub\eaglep3\Utilities\RefineRTDCRunTimes.py" --tripid 825-08 --locoid 4032 --swversion DE.1.0.9.0 --startMP 204:974 --initTime 2017-06-08T15:00:07 --startdatetime 2017-06-08T15:21:37 --delay 1 --endMP 300:58960 --enddatetime 2017-06-08T15:34:28 --enforcementcount 0 &gt;&gt;C:\Users\stu\Documents\GitHub\eaglep3-reporting\EC\2017-06-08-refined-times.txt</v>
      </c>
      <c r="AI184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{"issue":{"subject":"","project_id":79,"tracker_id":40,"status_id":1,"priority_id":2,"assigned_to_id":23,"start_date":"2017-06-08","description":"","custom_fields":[{"id":1,"name":"Subdivision","value":"NW"},{"id":4,"name":"Milepost","value":"5.896"},{"id":17,"name":"Train ID","value":"825-08"},{"id":16,"name":"Locomotive ID","value":"4032"},{"id":130,"name":"Impact","value":""},{"id":150,"name":"Time of Event (Mountain Time)","value":"15:34:28"},{"id":151,"name":"Denver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5" t="str">
        <f t="shared" si="65"/>
        <v>start /low /b %USERPROFILE%\Documents\GitHub\eaglep3\Utilities\DownloadLogsFromS3.py --loco 4032 --day 2017-06-08</v>
      </c>
      <c r="AN184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21:34:28"},{"id":29,"name":"Sharepoint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767</v>
      </c>
      <c r="B185" s="7">
        <v>4031</v>
      </c>
      <c r="C185" s="21" t="s">
        <v>204</v>
      </c>
      <c r="D185" s="21" t="s">
        <v>960</v>
      </c>
      <c r="E185" s="13">
        <v>42894.649861111109</v>
      </c>
      <c r="F185" s="13">
        <v>42894.65111111111</v>
      </c>
      <c r="G185" s="7">
        <v>1</v>
      </c>
      <c r="H185" s="21" t="s">
        <v>974</v>
      </c>
      <c r="I185" s="13">
        <v>42894.663437499999</v>
      </c>
      <c r="J185" s="7">
        <v>0</v>
      </c>
      <c r="K185" s="92" t="str">
        <f t="shared" si="48"/>
        <v>4031/4032</v>
      </c>
      <c r="L185" s="21" t="str">
        <f>VLOOKUP(A185,'Trips&amp;Operators'!$C$1:$G$99999,5,FALSE)</f>
        <v>STAMBAUGH JAMES</v>
      </c>
      <c r="M185" s="6">
        <f t="shared" si="49"/>
        <v>1.2326388889050577E-2</v>
      </c>
      <c r="N185" s="7">
        <f t="shared" si="73"/>
        <v>17.750000000232831</v>
      </c>
      <c r="O185" s="7"/>
      <c r="P185" s="7"/>
      <c r="Q185" s="22"/>
      <c r="R185" s="173"/>
      <c r="S185" s="176">
        <f t="shared" si="74"/>
        <v>1</v>
      </c>
      <c r="T185" s="202" t="str">
        <f t="shared" si="50"/>
        <v>Southbound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51"/>
        <v>https://d0f6bd738d7f1b3e5a7ca70fe4ff75f0.us-east-1.aws.found.io/app/kibana#/discover/Steve-Slow-Train-Analysis-(2080s-and-2083s)?_g=(refreshInterval:(display:Off,pause:!f,section:0,value:0),time:(from:'2017-06-08T14:35:48-0600',mode:absolute,to:'2017-06-08T16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5" s="204" t="str">
        <f t="shared" si="52"/>
        <v>N</v>
      </c>
      <c r="X185" s="204">
        <f t="shared" si="72"/>
        <v>1</v>
      </c>
      <c r="Y185" s="204">
        <f t="shared" si="54"/>
        <v>5.8642000000000003</v>
      </c>
      <c r="Z185" s="204">
        <f t="shared" si="55"/>
        <v>6.1199999999999997E-2</v>
      </c>
      <c r="AA185" s="204">
        <f t="shared" si="56"/>
        <v>5.8029999999999999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57"/>
        <v>0826-08</v>
      </c>
      <c r="AE185" s="80" t="str">
        <f t="shared" si="58"/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AF185" s="77" t="str">
        <f t="shared" si="59"/>
        <v>"C:\Program Files (x86)\AstroGrep\AstroGrep.exe" /e /r /s /spath="%USERPROFILE%\AppData\Local\Temp\OnboardLogs" /stypes="app*4031*20170608*" /stext=" 21:.+((SYSTEM_STATE.+slice.+state.+changed )|(ment ac)|(multiple cpu faults)|(system.+state.+changed )|(\[timeout)|(PRM\|1\|D)|(kpr)|(kdp)|(train st.+moving)|(\|lc)|(penalty))"</v>
      </c>
      <c r="AG185" s="1" t="str">
        <f t="shared" si="60"/>
        <v>NW</v>
      </c>
      <c r="AH185" s="81" t="str">
        <f t="shared" si="63"/>
        <v>"%USERPROFILE%\Documents\GitHub\eaglep3\Utilities\RefineRTDCRunTimes.py" --tripid 826-08 --locoid 4031 --swversion DE.1.0.9.0 --startMP 300:58642 --initTime 2017-06-08T15:35:48 --startdatetime 2017-06-08T15:37:36 --delay 1 --endMP 204:612 --enddatetime 2017-06-08T15:55:21 --enforcementcount 0 &gt;&gt;C:\Users\stu\Documents\GitHub\eaglep3-reporting\EC\2017-06-08-refined-times.txt</v>
      </c>
      <c r="AI185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{"issue":{"subject":"","project_id":79,"tracker_id":40,"status_id":1,"priority_id":2,"assigned_to_id":23,"start_date":"2017-06-08","description":"","custom_fields":[{"id":1,"name":"Subdivision","value":"NW"},{"id":4,"name":"Milepost","value":"0.0612"},{"id":17,"name":"Train ID","value":"826-08"},{"id":16,"name":"Locomotive ID","value":"4031"},{"id":130,"name":"Impact","value":""},{"id":150,"name":"Time of Event (Mountain Time)","value":"15:55:21"},{"id":151,"name":"Denver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65"/>
        <v>start /low /b %USERPROFILE%\Documents\GitHub\eaglep3\Utilities\DownloadLogsFromS3.py --loco 4031 --day 2017-06-08</v>
      </c>
      <c r="AN185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21:55:21"},{"id":29,"name":"Sharepoint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770</v>
      </c>
      <c r="B186" s="7">
        <v>4008</v>
      </c>
      <c r="C186" s="21" t="s">
        <v>204</v>
      </c>
      <c r="D186" s="21" t="s">
        <v>938</v>
      </c>
      <c r="E186" s="13">
        <v>42894.652719907404</v>
      </c>
      <c r="F186" s="13">
        <v>42894.660787037035</v>
      </c>
      <c r="G186" s="7">
        <v>1</v>
      </c>
      <c r="H186" s="21" t="s">
        <v>975</v>
      </c>
      <c r="I186" s="13">
        <v>42894.67083333333</v>
      </c>
      <c r="J186" s="7">
        <v>0</v>
      </c>
      <c r="K186" s="92" t="str">
        <f t="shared" si="48"/>
        <v>4007/4008</v>
      </c>
      <c r="L186" s="21" t="str">
        <f>VLOOKUP(A186,'Trips&amp;Operators'!$C$1:$G$99999,5,FALSE)</f>
        <v>HAITHCOX MICHAEL</v>
      </c>
      <c r="M186" s="6">
        <f t="shared" si="49"/>
        <v>1.0046296294603962E-2</v>
      </c>
      <c r="N186" s="7">
        <f t="shared" si="73"/>
        <v>14.466666664229706</v>
      </c>
      <c r="O186" s="7"/>
      <c r="P186" s="7"/>
      <c r="Q186" s="22"/>
      <c r="R186" s="173"/>
      <c r="S186" s="176">
        <f t="shared" si="74"/>
        <v>1</v>
      </c>
      <c r="T186" s="202" t="str">
        <f t="shared" si="50"/>
        <v>NorthBound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51"/>
        <v>https://d0f6bd738d7f1b3e5a7ca70fe4ff75f0.us-east-1.aws.found.io/app/kibana#/discover/Steve-Slow-Train-Analysis-(2080s-and-2083s)?_g=(refreshInterval:(display:Off,pause:!f,section:0,value:0),time:(from:'2017-06-08T14:39:55-0600',mode:absolute,to:'2017-06-08T17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6" s="204" t="str">
        <f t="shared" si="52"/>
        <v>N</v>
      </c>
      <c r="X186" s="204">
        <f t="shared" si="72"/>
        <v>1</v>
      </c>
      <c r="Y186" s="204">
        <f t="shared" si="54"/>
        <v>9.5500000000000002E-2</v>
      </c>
      <c r="Z186" s="204">
        <f t="shared" si="55"/>
        <v>5.8926999999999996</v>
      </c>
      <c r="AA186" s="204">
        <f t="shared" si="56"/>
        <v>5.7971999999999992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57"/>
        <v>0827-08</v>
      </c>
      <c r="AE186" s="80" t="str">
        <f t="shared" si="58"/>
        <v>aws s3 cp s3://rtdc.mdm.uploadarchive.raw/RTDC4008/ "%USERPROFILE%\AppData\Local\Temp\OnboardLogs"\RTDC4008\2017-06-08 --exclude "*" --recursive --include "*20170608*" &amp; "%USERPROFILE%\Documents\GitHub\mrs-test-scripts\Headless Mode &amp; Sideloading\WalkAndUnGZ.bat" "%USERPROFILE%\AppData\Local\Temp\OnboardLogs"\RTDC4008\2017-06-08 &amp; aws s3 cp s3://rtdc.mdm.uploadarchive.raw/RTDC4008/ "%USERPROFILE%\AppData\Local\Temp\OnboardLogs"\RTDC4008\2017-06-09 --exclude "*" --recursive --include "*20170609*" &amp; "%USERPROFILE%\Documents\GitHub\mrs-test-scripts\Headless Mode &amp; Sideloading\WalkAndUnGZ.bat" "%USERPROFILE%\AppData\Local\Temp\OnboardLogs"\RTDC4008\2017-06-09</v>
      </c>
      <c r="AF186" s="77" t="str">
        <f t="shared" si="59"/>
        <v>"C:\Program Files (x86)\AstroGrep\AstroGrep.exe" /e /r /s /spath="%USERPROFILE%\AppData\Local\Temp\OnboardLogs" /stypes="app*4008*20170608*" /stext=" 22:.+((SYSTEM_STATE.+slice.+state.+changed )|(ment ac)|(multiple cpu faults)|(system.+state.+changed )|(\[timeout)|(PRM\|1\|D)|(kpr)|(kdp)|(train st.+moving)|(\|lc)|(penalty))"</v>
      </c>
      <c r="AG186" s="1" t="str">
        <f t="shared" si="60"/>
        <v>NW</v>
      </c>
      <c r="AH186" s="81" t="str">
        <f t="shared" si="63"/>
        <v>"%USERPROFILE%\Documents\GitHub\eaglep3\Utilities\RefineRTDCRunTimes.py" --tripid 827-08 --locoid 4008 --swversion DE.1.0.9.0 --startMP 204:955 --initTime 2017-06-08T15:39:55 --startdatetime 2017-06-08T15:51:32 --delay 1 --endMP 300:58927 --enddatetime 2017-06-08T16:06:00 --enforcementcount 0 &gt;&gt;C:\Users\stu\Documents\GitHub\eaglep3-reporting\EC\2017-06-08-refined-times.txt</v>
      </c>
      <c r="AI186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{"issue":{"subject":"","project_id":79,"tracker_id":40,"status_id":1,"priority_id":2,"assigned_to_id":23,"start_date":"2017-06-08","description":"","custom_fields":[{"id":1,"name":"Subdivision","value":"NW"},{"id":4,"name":"Milepost","value":"5.8927"},{"id":17,"name":"Train ID","value":"827-08"},{"id":16,"name":"Locomotive ID","value":"4008"},{"id":130,"name":"Impact","value":""},{"id":150,"name":"Time of Event (Mountain Time)","value":"16:06:00"},{"id":151,"name":"Denver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65"/>
        <v>start /low /b %USERPROFILE%\Documents\GitHub\eaglep3\Utilities\DownloadLogsFromS3.py --loco 4008 --day 2017-06-08</v>
      </c>
      <c r="AN186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22:06:00"},{"id":29,"name":"Sharepoint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774</v>
      </c>
      <c r="B187" s="7">
        <v>4007</v>
      </c>
      <c r="C187" s="21" t="s">
        <v>204</v>
      </c>
      <c r="D187" s="21" t="s">
        <v>518</v>
      </c>
      <c r="E187" s="13">
        <v>42894.671770833331</v>
      </c>
      <c r="F187" s="13">
        <v>42894.673298611109</v>
      </c>
      <c r="G187" s="7">
        <v>1</v>
      </c>
      <c r="H187" s="21" t="s">
        <v>976</v>
      </c>
      <c r="I187" s="13">
        <v>42894.685335648152</v>
      </c>
      <c r="J187" s="7">
        <v>0</v>
      </c>
      <c r="K187" s="92" t="str">
        <f t="shared" si="48"/>
        <v>4007/4008</v>
      </c>
      <c r="L187" s="21" t="str">
        <f>VLOOKUP(A187,'Trips&amp;Operators'!$C$1:$G$99999,5,FALSE)</f>
        <v>HAITHCOX MICHAEL</v>
      </c>
      <c r="M187" s="6">
        <f t="shared" si="49"/>
        <v>1.2037037042318843E-2</v>
      </c>
      <c r="N187" s="7">
        <f t="shared" si="73"/>
        <v>17.333333340939134</v>
      </c>
      <c r="O187" s="7"/>
      <c r="P187" s="7"/>
      <c r="Q187" s="22"/>
      <c r="R187" s="173"/>
      <c r="S187" s="176">
        <f t="shared" si="74"/>
        <v>1</v>
      </c>
      <c r="T187" s="202" t="str">
        <f t="shared" si="50"/>
        <v>Southbound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51"/>
        <v>https://d0f6bd738d7f1b3e5a7ca70fe4ff75f0.us-east-1.aws.found.io/app/kibana#/discover/Steve-Slow-Train-Analysis-(2080s-and-2083s)?_g=(refreshInterval:(display:Off,pause:!f,section:0,value:0),time:(from:'2017-06-08T15:07:21-0600',mode:absolute,to:'2017-06-08T17:26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7" s="204" t="str">
        <f t="shared" si="52"/>
        <v>N</v>
      </c>
      <c r="X187" s="204">
        <f t="shared" si="72"/>
        <v>1</v>
      </c>
      <c r="Y187" s="204">
        <f t="shared" si="54"/>
        <v>5.8605999999999998</v>
      </c>
      <c r="Z187" s="204">
        <f t="shared" si="55"/>
        <v>6.7699999999999996E-2</v>
      </c>
      <c r="AA187" s="204">
        <f t="shared" si="56"/>
        <v>5.7928999999999995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57"/>
        <v>0828-08</v>
      </c>
      <c r="AE187" s="80" t="str">
        <f t="shared" si="58"/>
        <v>aws s3 cp s3://rtdc.mdm.uploadarchive.raw/RTDC4007/ "%USERPROFILE%\AppData\Local\Temp\OnboardLogs"\RTDC4007\2017-06-08 --exclude "*" --recursive --include "*20170608*" &amp; "%USERPROFILE%\Documents\GitHub\mrs-test-scripts\Headless Mode &amp; Sideloading\WalkAndUnGZ.bat" "%USERPROFILE%\AppData\Local\Temp\OnboardLogs"\RTDC4007\2017-06-08 &amp; aws s3 cp s3://rtdc.mdm.uploadarchive.raw/RTDC4007/ "%USERPROFILE%\AppData\Local\Temp\OnboardLogs"\RTDC4007\2017-06-09 --exclude "*" --recursive --include "*20170609*" &amp; "%USERPROFILE%\Documents\GitHub\mrs-test-scripts\Headless Mode &amp; Sideloading\WalkAndUnGZ.bat" "%USERPROFILE%\AppData\Local\Temp\OnboardLogs"\RTDC4007\2017-06-09</v>
      </c>
      <c r="AF187" s="77" t="str">
        <f t="shared" si="59"/>
        <v>"C:\Program Files (x86)\AstroGrep\AstroGrep.exe" /e /r /s /spath="%USERPROFILE%\AppData\Local\Temp\OnboardLogs" /stypes="app*4007*20170608*" /stext=" 22:.+((SYSTEM_STATE.+slice.+state.+changed )|(ment ac)|(multiple cpu faults)|(system.+state.+changed )|(\[timeout)|(PRM\|1\|D)|(kpr)|(kdp)|(train st.+moving)|(\|lc)|(penalty))"</v>
      </c>
      <c r="AG187" s="1" t="str">
        <f t="shared" si="60"/>
        <v>NW</v>
      </c>
      <c r="AH187" s="81" t="str">
        <f t="shared" si="63"/>
        <v>"%USERPROFILE%\Documents\GitHub\eaglep3\Utilities\RefineRTDCRunTimes.py" --tripid 828-08 --locoid 4007 --swversion DE.1.0.9.0 --startMP 300:58606 --initTime 2017-06-08T16:07:21 --startdatetime 2017-06-08T16:09:33 --delay 1 --endMP 204:677 --enddatetime 2017-06-08T16:26:53 --enforcementcount 0 &gt;&gt;C:\Users\stu\Documents\GitHub\eaglep3-reporting\EC\2017-06-08-refined-times.txt</v>
      </c>
      <c r="AI187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{"issue":{"subject":"","project_id":79,"tracker_id":40,"status_id":1,"priority_id":2,"assigned_to_id":23,"start_date":"2017-06-08","description":"","custom_fields":[{"id":1,"name":"Subdivision","value":"NW"},{"id":4,"name":"Milepost","value":"0.0677"},{"id":17,"name":"Train ID","value":"828-08"},{"id":16,"name":"Locomotive ID","value":"4007"},{"id":130,"name":"Impact","value":""},{"id":150,"name":"Time of Event (Mountain Time)","value":"16:26:53"},{"id":151,"name":"Denver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65"/>
        <v>start /low /b %USERPROFILE%\Documents\GitHub\eaglep3\Utilities\DownloadLogsFromS3.py --loco 4007 --day 2017-06-08</v>
      </c>
      <c r="AN187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22:26:53"},{"id":29,"name":"Sharepoint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773</v>
      </c>
      <c r="B188" s="7">
        <v>4032</v>
      </c>
      <c r="C188" s="21" t="s">
        <v>204</v>
      </c>
      <c r="D188" s="21" t="s">
        <v>977</v>
      </c>
      <c r="E188" s="13">
        <v>42894.665590277778</v>
      </c>
      <c r="F188" s="13">
        <v>42894.68172453704</v>
      </c>
      <c r="G188" s="7">
        <v>11</v>
      </c>
      <c r="H188" s="21" t="s">
        <v>978</v>
      </c>
      <c r="I188" s="13">
        <v>42894.691296296296</v>
      </c>
      <c r="J188" s="7">
        <v>0</v>
      </c>
      <c r="K188" s="92" t="str">
        <f t="shared" si="48"/>
        <v>4031/4032</v>
      </c>
      <c r="L188" s="21" t="str">
        <f>VLOOKUP(A188,'Trips&amp;Operators'!$C$1:$G$99999,5,FALSE)</f>
        <v>STAMBAUGH JAMES</v>
      </c>
      <c r="M188" s="6">
        <f t="shared" si="49"/>
        <v>9.5717592557775788E-3</v>
      </c>
      <c r="N188" s="7">
        <f t="shared" si="73"/>
        <v>13.783333328319713</v>
      </c>
      <c r="O188" s="7"/>
      <c r="P188" s="7"/>
      <c r="Q188" s="22"/>
      <c r="R188" s="173"/>
      <c r="S188" s="176">
        <f t="shared" si="74"/>
        <v>1</v>
      </c>
      <c r="T188" s="202" t="str">
        <f t="shared" si="50"/>
        <v>NorthBound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51"/>
        <v>https://d0f6bd738d7f1b3e5a7ca70fe4ff75f0.us-east-1.aws.found.io/app/kibana#/discover/Steve-Slow-Train-Analysis-(2080s-and-2083s)?_g=(refreshInterval:(display:Off,pause:!f,section:0,value:0),time:(from:'2017-06-08T14:58:27-0600',mode:absolute,to:'2017-06-08T17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8" s="204" t="str">
        <f t="shared" si="52"/>
        <v>N</v>
      </c>
      <c r="X188" s="204">
        <f t="shared" si="72"/>
        <v>1</v>
      </c>
      <c r="Y188" s="204">
        <f t="shared" si="54"/>
        <v>9.11E-2</v>
      </c>
      <c r="Z188" s="204">
        <f t="shared" si="55"/>
        <v>5.8905000000000003</v>
      </c>
      <c r="AA188" s="204">
        <f t="shared" si="56"/>
        <v>5.7994000000000003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57"/>
        <v>0829-08</v>
      </c>
      <c r="AE188" s="80" t="str">
        <f t="shared" si="58"/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AF188" s="77" t="str">
        <f t="shared" si="59"/>
        <v>"C:\Program Files (x86)\AstroGrep\AstroGrep.exe" /e /r /s /spath="%USERPROFILE%\AppData\Local\Temp\OnboardLogs" /stypes="app*4032*20170608*" /stext=" 22:.+((SYSTEM_STATE.+slice.+state.+changed )|(ment ac)|(multiple cpu faults)|(system.+state.+changed )|(\[timeout)|(PRM\|1\|D)|(kpr)|(kdp)|(train st.+moving)|(\|lc)|(penalty))"</v>
      </c>
      <c r="AG188" s="1" t="str">
        <f t="shared" si="60"/>
        <v>NW</v>
      </c>
      <c r="AH188" s="81" t="str">
        <f t="shared" si="63"/>
        <v>"%USERPROFILE%\Documents\GitHub\eaglep3\Utilities\RefineRTDCRunTimes.py" --tripid 829-08 --locoid 4032 --swversion DE.1.0.9.0 --startMP 204:911 --initTime 2017-06-08T15:58:27 --startdatetime 2017-06-08T16:21:41 --delay 11 --endMP 300:58905 --enddatetime 2017-06-08T16:35:28 --enforcementcount 0 &gt;&gt;C:\Users\stu\Documents\GitHub\eaglep3-reporting\EC\2017-06-08-refined-times.txt</v>
      </c>
      <c r="AI188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{"issue":{"subject":"","project_id":79,"tracker_id":40,"status_id":1,"priority_id":2,"assigned_to_id":23,"start_date":"2017-06-08","description":"","custom_fields":[{"id":1,"name":"Subdivision","value":"NW"},{"id":4,"name":"Milepost","value":"5.8905"},{"id":17,"name":"Train ID","value":"829-08"},{"id":16,"name":"Locomotive ID","value":"4032"},{"id":130,"name":"Impact","value":""},{"id":150,"name":"Time of Event (Mountain Time)","value":"16:35:28"},{"id":151,"name":"Denver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65"/>
        <v>start /low /b %USERPROFILE%\Documents\GitHub\eaglep3\Utilities\DownloadLogsFromS3.py --loco 4032 --day 2017-06-08</v>
      </c>
      <c r="AN188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22:35:28"},{"id":29,"name":"Sharepoint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635</v>
      </c>
      <c r="B189" s="7">
        <v>4031</v>
      </c>
      <c r="C189" s="21" t="s">
        <v>204</v>
      </c>
      <c r="D189" s="21" t="s">
        <v>979</v>
      </c>
      <c r="E189" s="13">
        <v>42894.692337962966</v>
      </c>
      <c r="F189" s="13">
        <v>42894.694016203706</v>
      </c>
      <c r="G189" s="7">
        <v>1</v>
      </c>
      <c r="H189" s="21" t="s">
        <v>980</v>
      </c>
      <c r="I189" s="13">
        <v>42894.705324074072</v>
      </c>
      <c r="J189" s="7">
        <v>0</v>
      </c>
      <c r="K189" s="92" t="str">
        <f t="shared" si="48"/>
        <v>4031/4032</v>
      </c>
      <c r="L189" s="21" t="str">
        <f>VLOOKUP(A189,'Trips&amp;Operators'!$C$1:$G$99999,5,FALSE)</f>
        <v>STAMBAUGH JAMES</v>
      </c>
      <c r="M189" s="6">
        <f t="shared" si="49"/>
        <v>1.130787036527181E-2</v>
      </c>
      <c r="N189" s="7">
        <f t="shared" si="73"/>
        <v>16.283333325991407</v>
      </c>
      <c r="O189" s="7"/>
      <c r="P189" s="7"/>
      <c r="Q189" s="22"/>
      <c r="R189" s="173"/>
      <c r="S189" s="176">
        <f t="shared" si="74"/>
        <v>1</v>
      </c>
      <c r="T189" s="202" t="str">
        <f t="shared" si="50"/>
        <v>Southbound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51"/>
        <v>https://d0f6bd738d7f1b3e5a7ca70fe4ff75f0.us-east-1.aws.found.io/app/kibana#/discover/Steve-Slow-Train-Analysis-(2080s-and-2083s)?_g=(refreshInterval:(display:Off,pause:!f,section:0,value:0),time:(from:'2017-06-08T15:36:58-0600',mode:absolute,to:'2017-06-08T17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9" s="204" t="str">
        <f t="shared" si="52"/>
        <v>N</v>
      </c>
      <c r="X189" s="204">
        <f t="shared" si="72"/>
        <v>1</v>
      </c>
      <c r="Y189" s="204">
        <f t="shared" si="54"/>
        <v>5.8593999999999999</v>
      </c>
      <c r="Z189" s="204">
        <f t="shared" si="55"/>
        <v>8.48E-2</v>
      </c>
      <c r="AA189" s="204">
        <f t="shared" si="56"/>
        <v>5.7745999999999995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57"/>
        <v>0830-08</v>
      </c>
      <c r="AE189" s="80" t="str">
        <f t="shared" si="58"/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AF189" s="77" t="str">
        <f t="shared" si="59"/>
        <v>"C:\Program Files (x86)\AstroGrep\AstroGrep.exe" /e /r /s /spath="%USERPROFILE%\AppData\Local\Temp\OnboardLogs" /stypes="app*4031*20170608*" /stext=" 22:.+((SYSTEM_STATE.+slice.+state.+changed )|(ment ac)|(multiple cpu faults)|(system.+state.+changed )|(\[timeout)|(PRM\|1\|D)|(kpr)|(kdp)|(train st.+moving)|(\|lc)|(penalty))"</v>
      </c>
      <c r="AG189" s="1" t="str">
        <f t="shared" si="60"/>
        <v>NW</v>
      </c>
      <c r="AH189" s="81" t="str">
        <f t="shared" si="63"/>
        <v>"%USERPROFILE%\Documents\GitHub\eaglep3\Utilities\RefineRTDCRunTimes.py" --tripid 830-08 --locoid 4031 --swversion DE.1.0.9.0 --startMP 300:58594 --initTime 2017-06-08T16:36:58 --startdatetime 2017-06-08T16:39:23 --delay 1 --endMP 204:848 --enddatetime 2017-06-08T16:55:40 --enforcementcount 0 &gt;&gt;C:\Users\stu\Documents\GitHub\eaglep3-reporting\EC\2017-06-08-refined-times.txt</v>
      </c>
      <c r="AI189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{"issue":{"subject":"","project_id":79,"tracker_id":40,"status_id":1,"priority_id":2,"assigned_to_id":23,"start_date":"2017-06-08","description":"","custom_fields":[{"id":1,"name":"Subdivision","value":"NW"},{"id":4,"name":"Milepost","value":"0.0848"},{"id":17,"name":"Train ID","value":"830-08"},{"id":16,"name":"Locomotive ID","value":"4031"},{"id":130,"name":"Impact","value":""},{"id":150,"name":"Time of Event (Mountain Time)","value":"16:55:40"},{"id":151,"name":"Denver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65"/>
        <v>start /low /b %USERPROFILE%\Documents\GitHub\eaglep3\Utilities\DownloadLogsFromS3.py --loco 4031 --day 2017-06-08</v>
      </c>
      <c r="AN189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22:55:40"},{"id":29,"name":"Sharepoint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636</v>
      </c>
      <c r="B190" s="7">
        <v>4008</v>
      </c>
      <c r="C190" s="21" t="s">
        <v>204</v>
      </c>
      <c r="D190" s="21" t="s">
        <v>941</v>
      </c>
      <c r="E190" s="13">
        <v>42894.686956018515</v>
      </c>
      <c r="F190" s="13">
        <v>42894.702418981484</v>
      </c>
      <c r="G190" s="7">
        <v>1</v>
      </c>
      <c r="H190" s="21" t="s">
        <v>516</v>
      </c>
      <c r="I190" s="13">
        <v>42894.713171296295</v>
      </c>
      <c r="J190" s="7">
        <v>0</v>
      </c>
      <c r="K190" s="92" t="str">
        <f t="shared" si="48"/>
        <v>4007/4008</v>
      </c>
      <c r="L190" s="21" t="str">
        <f>VLOOKUP(A190,'Trips&amp;Operators'!$C$1:$G$99999,5,FALSE)</f>
        <v>HAITHCOX MICHAEL</v>
      </c>
      <c r="M190" s="6">
        <f t="shared" si="49"/>
        <v>1.0752314810815733E-2</v>
      </c>
      <c r="N190" s="7">
        <f t="shared" si="73"/>
        <v>15.483333327574655</v>
      </c>
      <c r="O190" s="7"/>
      <c r="P190" s="7"/>
      <c r="Q190" s="22"/>
      <c r="R190" s="173"/>
      <c r="S190" s="176">
        <f t="shared" si="74"/>
        <v>1</v>
      </c>
      <c r="T190" s="202" t="str">
        <f t="shared" si="50"/>
        <v>NorthBound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51"/>
        <v>https://d0f6bd738d7f1b3e5a7ca70fe4ff75f0.us-east-1.aws.found.io/app/kibana#/discover/Steve-Slow-Train-Analysis-(2080s-and-2083s)?_g=(refreshInterval:(display:Off,pause:!f,section:0,value:0),time:(from:'2017-06-08T15:29:13-0600',mode:absolute,to:'2017-06-08T18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0" s="204" t="str">
        <f t="shared" si="52"/>
        <v>N</v>
      </c>
      <c r="X190" s="204">
        <f t="shared" si="72"/>
        <v>1</v>
      </c>
      <c r="Y190" s="204">
        <f t="shared" si="54"/>
        <v>9.69E-2</v>
      </c>
      <c r="Z190" s="204">
        <f t="shared" si="55"/>
        <v>5.8929</v>
      </c>
      <c r="AA190" s="204">
        <f t="shared" si="56"/>
        <v>5.7960000000000003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57"/>
        <v>0831-08</v>
      </c>
      <c r="AE190" s="80" t="str">
        <f t="shared" si="58"/>
        <v>aws s3 cp s3://rtdc.mdm.uploadarchive.raw/RTDC4008/ "%USERPROFILE%\AppData\Local\Temp\OnboardLogs"\RTDC4008\2017-06-08 --exclude "*" --recursive --include "*20170608*" &amp; "%USERPROFILE%\Documents\GitHub\mrs-test-scripts\Headless Mode &amp; Sideloading\WalkAndUnGZ.bat" "%USERPROFILE%\AppData\Local\Temp\OnboardLogs"\RTDC4008\2017-06-08 &amp; aws s3 cp s3://rtdc.mdm.uploadarchive.raw/RTDC4008/ "%USERPROFILE%\AppData\Local\Temp\OnboardLogs"\RTDC4008\2017-06-09 --exclude "*" --recursive --include "*20170609*" &amp; "%USERPROFILE%\Documents\GitHub\mrs-test-scripts\Headless Mode &amp; Sideloading\WalkAndUnGZ.bat" "%USERPROFILE%\AppData\Local\Temp\OnboardLogs"\RTDC4008\2017-06-09</v>
      </c>
      <c r="AF190" s="77" t="str">
        <f t="shared" si="59"/>
        <v>"C:\Program Files (x86)\AstroGrep\AstroGrep.exe" /e /r /s /spath="%USERPROFILE%\AppData\Local\Temp\OnboardLogs" /stypes="app*4008*20170608*" /stext=" 23:.+((SYSTEM_STATE.+slice.+state.+changed )|(ment ac)|(multiple cpu faults)|(system.+state.+changed )|(\[timeout)|(PRM\|1\|D)|(kpr)|(kdp)|(train st.+moving)|(\|lc)|(penalty))"</v>
      </c>
      <c r="AG190" s="1" t="str">
        <f t="shared" si="60"/>
        <v>NW</v>
      </c>
      <c r="AH190" s="81" t="str">
        <f t="shared" si="63"/>
        <v>"%USERPROFILE%\Documents\GitHub\eaglep3\Utilities\RefineRTDCRunTimes.py" --tripid 831-08 --locoid 4008 --swversion DE.1.0.9.0 --startMP 204:969 --initTime 2017-06-08T16:29:13 --startdatetime 2017-06-08T16:51:29 --delay 1 --endMP 300:58929 --enddatetime 2017-06-08T17:06:58 --enforcementcount 0 &gt;&gt;C:\Users\stu\Documents\GitHub\eaglep3-reporting\EC\2017-06-08-refined-times.txt</v>
      </c>
      <c r="AI190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{"issue":{"subject":"","project_id":79,"tracker_id":40,"status_id":1,"priority_id":2,"assigned_to_id":23,"start_date":"2017-06-08","description":"","custom_fields":[{"id":1,"name":"Subdivision","value":"NW"},{"id":4,"name":"Milepost","value":"5.8929"},{"id":17,"name":"Train ID","value":"831-08"},{"id":16,"name":"Locomotive ID","value":"4008"},{"id":130,"name":"Impact","value":""},{"id":150,"name":"Time of Event (Mountain Time)","value":"17:06:58"},{"id":151,"name":"Denver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65"/>
        <v>start /low /b %USERPROFILE%\Documents\GitHub\eaglep3\Utilities\DownloadLogsFromS3.py --loco 4008 --day 2017-06-08</v>
      </c>
      <c r="AN190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23:06:58"},{"id":29,"name":"Sharepoint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782</v>
      </c>
      <c r="B191" s="7">
        <v>4007</v>
      </c>
      <c r="C191" s="21" t="s">
        <v>204</v>
      </c>
      <c r="D191" s="21" t="s">
        <v>517</v>
      </c>
      <c r="E191" s="13">
        <v>42894.714074074072</v>
      </c>
      <c r="F191" s="13">
        <v>42894.715300925927</v>
      </c>
      <c r="G191" s="7">
        <v>1</v>
      </c>
      <c r="H191" s="21" t="s">
        <v>965</v>
      </c>
      <c r="I191" s="13">
        <v>42894.726898148147</v>
      </c>
      <c r="J191" s="7">
        <v>0</v>
      </c>
      <c r="K191" s="92" t="str">
        <f t="shared" si="48"/>
        <v>4007/4008</v>
      </c>
      <c r="L191" s="21" t="str">
        <f>VLOOKUP(A191,'Trips&amp;Operators'!$C$1:$G$99999,5,FALSE)</f>
        <v>HAITHCOX MICHAEL</v>
      </c>
      <c r="M191" s="6">
        <f t="shared" si="49"/>
        <v>1.1597222219279502E-2</v>
      </c>
      <c r="N191" s="7">
        <f t="shared" si="73"/>
        <v>16.699999995762482</v>
      </c>
      <c r="O191" s="7"/>
      <c r="P191" s="7"/>
      <c r="Q191" s="22"/>
      <c r="R191" s="173"/>
      <c r="S191" s="176">
        <f t="shared" si="74"/>
        <v>1</v>
      </c>
      <c r="T191" s="202" t="str">
        <f t="shared" si="50"/>
        <v>Southbound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 t="shared" si="51"/>
        <v>https://d0f6bd738d7f1b3e5a7ca70fe4ff75f0.us-east-1.aws.found.io/app/kibana#/discover/Steve-Slow-Train-Analysis-(2080s-and-2083s)?_g=(refreshInterval:(display:Off,pause:!f,section:0,value:0),time:(from:'2017-06-08T16:08:16-0600',mode:absolute,to:'2017-06-08T18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1" s="204" t="str">
        <f t="shared" si="52"/>
        <v>N</v>
      </c>
      <c r="X191" s="204">
        <f t="shared" si="72"/>
        <v>1</v>
      </c>
      <c r="Y191" s="204">
        <f t="shared" si="54"/>
        <v>5.8615000000000004</v>
      </c>
      <c r="Z191" s="204">
        <f t="shared" si="55"/>
        <v>6.8699999999999997E-2</v>
      </c>
      <c r="AA191" s="204">
        <f t="shared" si="56"/>
        <v>5.7928000000000006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57"/>
        <v>0832-08</v>
      </c>
      <c r="AE191" s="80" t="str">
        <f t="shared" si="58"/>
        <v>aws s3 cp s3://rtdc.mdm.uploadarchive.raw/RTDC4007/ "%USERPROFILE%\AppData\Local\Temp\OnboardLogs"\RTDC4007\2017-06-08 --exclude "*" --recursive --include "*20170608*" &amp; "%USERPROFILE%\Documents\GitHub\mrs-test-scripts\Headless Mode &amp; Sideloading\WalkAndUnGZ.bat" "%USERPROFILE%\AppData\Local\Temp\OnboardLogs"\RTDC4007\2017-06-08 &amp; aws s3 cp s3://rtdc.mdm.uploadarchive.raw/RTDC4007/ "%USERPROFILE%\AppData\Local\Temp\OnboardLogs"\RTDC4007\2017-06-09 --exclude "*" --recursive --include "*20170609*" &amp; "%USERPROFILE%\Documents\GitHub\mrs-test-scripts\Headless Mode &amp; Sideloading\WalkAndUnGZ.bat" "%USERPROFILE%\AppData\Local\Temp\OnboardLogs"\RTDC4007\2017-06-09</v>
      </c>
      <c r="AF191" s="77" t="str">
        <f t="shared" si="59"/>
        <v>"C:\Program Files (x86)\AstroGrep\AstroGrep.exe" /e /r /s /spath="%USERPROFILE%\AppData\Local\Temp\OnboardLogs" /stypes="app*4007*20170608*" /stext=" 23:.+((SYSTEM_STATE.+slice.+state.+changed )|(ment ac)|(multiple cpu faults)|(system.+state.+changed )|(\[timeout)|(PRM\|1\|D)|(kpr)|(kdp)|(train st.+moving)|(\|lc)|(penalty))"</v>
      </c>
      <c r="AG191" s="1" t="str">
        <f t="shared" si="60"/>
        <v>NW</v>
      </c>
      <c r="AH191" s="81" t="str">
        <f t="shared" si="63"/>
        <v>"%USERPROFILE%\Documents\GitHub\eaglep3\Utilities\RefineRTDCRunTimes.py" --tripid 832-08 --locoid 4007 --swversion DE.1.0.9.0 --startMP 300:58615 --initTime 2017-06-08T17:08:16 --startdatetime 2017-06-08T17:10:02 --delay 1 --endMP 204:687 --enddatetime 2017-06-08T17:26:44 --enforcementcount 0 &gt;&gt;C:\Users\stu\Documents\GitHub\eaglep3-reporting\EC\2017-06-08-refined-times.txt</v>
      </c>
      <c r="AI191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{"issue":{"subject":"","project_id":79,"tracker_id":40,"status_id":1,"priority_id":2,"assigned_to_id":23,"start_date":"2017-06-08","description":"","custom_fields":[{"id":1,"name":"Subdivision","value":"NW"},{"id":4,"name":"Milepost","value":"0.0687"},{"id":17,"name":"Train ID","value":"832-08"},{"id":16,"name":"Locomotive ID","value":"4007"},{"id":130,"name":"Impact","value":""},{"id":150,"name":"Time of Event (Mountain Time)","value":"17:26:44"},{"id":151,"name":"Denver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65"/>
        <v>start /low /b %USERPROFILE%\Documents\GitHub\eaglep3\Utilities\DownloadLogsFromS3.py --loco 4007 --day 2017-06-08</v>
      </c>
      <c r="AN191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23:26:44"},{"id":29,"name":"Sharepoint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638</v>
      </c>
      <c r="B192" s="7">
        <v>4032</v>
      </c>
      <c r="C192" s="21" t="s">
        <v>204</v>
      </c>
      <c r="D192" s="21" t="s">
        <v>981</v>
      </c>
      <c r="E192" s="13">
        <v>42894.706863425927</v>
      </c>
      <c r="F192" s="13">
        <v>42894.72351851852</v>
      </c>
      <c r="G192" s="7">
        <v>1</v>
      </c>
      <c r="H192" s="21" t="s">
        <v>939</v>
      </c>
      <c r="I192" s="13">
        <v>42894.733263888891</v>
      </c>
      <c r="J192" s="7">
        <v>0</v>
      </c>
      <c r="K192" s="92" t="str">
        <f t="shared" si="48"/>
        <v>4031/4032</v>
      </c>
      <c r="L192" s="21" t="str">
        <f>VLOOKUP(A192,'Trips&amp;Operators'!$C$1:$G$99999,5,FALSE)</f>
        <v>STAMBAUGH JAMES</v>
      </c>
      <c r="M192" s="6">
        <f t="shared" si="49"/>
        <v>9.7453703710925765E-3</v>
      </c>
      <c r="N192" s="7">
        <f t="shared" si="73"/>
        <v>14.03333333437331</v>
      </c>
      <c r="O192" s="7"/>
      <c r="P192" s="7"/>
      <c r="Q192" s="22"/>
      <c r="R192" s="173"/>
      <c r="S192" s="176">
        <f t="shared" si="74"/>
        <v>1</v>
      </c>
      <c r="T192" s="202" t="str">
        <f t="shared" si="50"/>
        <v>NorthBound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51"/>
        <v>https://d0f6bd738d7f1b3e5a7ca70fe4ff75f0.us-east-1.aws.found.io/app/kibana#/discover/Steve-Slow-Train-Analysis-(2080s-and-2083s)?_g=(refreshInterval:(display:Off,pause:!f,section:0,value:0),time:(from:'2017-06-08T15:57:53-0600',mode:absolute,to:'2017-06-08T18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2" s="204" t="str">
        <f t="shared" si="52"/>
        <v>N</v>
      </c>
      <c r="X192" s="204">
        <f t="shared" si="72"/>
        <v>1</v>
      </c>
      <c r="Y192" s="204">
        <f t="shared" si="54"/>
        <v>0.1135</v>
      </c>
      <c r="Z192" s="204">
        <f t="shared" si="55"/>
        <v>5.9010999999999996</v>
      </c>
      <c r="AA192" s="204">
        <f t="shared" si="56"/>
        <v>5.7875999999999994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57"/>
        <v>0833-08</v>
      </c>
      <c r="AE192" s="80" t="str">
        <f t="shared" si="58"/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AF192" s="77" t="str">
        <f t="shared" si="59"/>
        <v>"C:\Program Files (x86)\AstroGrep\AstroGrep.exe" /e /r /s /spath="%USERPROFILE%\AppData\Local\Temp\OnboardLogs" /stypes="app*4032*20170608*" /stext=" 23:.+((SYSTEM_STATE.+slice.+state.+changed )|(ment ac)|(multiple cpu faults)|(system.+state.+changed )|(\[timeout)|(PRM\|1\|D)|(kpr)|(kdp)|(train st.+moving)|(\|lc)|(penalty))"</v>
      </c>
      <c r="AG192" s="1" t="str">
        <f t="shared" si="60"/>
        <v>NW</v>
      </c>
      <c r="AH192" s="81" t="str">
        <f t="shared" si="63"/>
        <v>"%USERPROFILE%\Documents\GitHub\eaglep3\Utilities\RefineRTDCRunTimes.py" --tripid 833-08 --locoid 4032 --swversion DE.1.0.9.0 --startMP 204:1135 --initTime 2017-06-08T16:57:53 --startdatetime 2017-06-08T17:21:52 --delay 1 --endMP 300:59011 --enddatetime 2017-06-08T17:35:54 --enforcementcount 0 &gt;&gt;C:\Users\stu\Documents\GitHub\eaglep3-reporting\EC\2017-06-08-refined-times.txt</v>
      </c>
      <c r="AI192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{"issue":{"subject":"","project_id":79,"tracker_id":40,"status_id":1,"priority_id":2,"assigned_to_id":23,"start_date":"2017-06-08","description":"","custom_fields":[{"id":1,"name":"Subdivision","value":"NW"},{"id":4,"name":"Milepost","value":"5.9011"},{"id":17,"name":"Train ID","value":"833-08"},{"id":16,"name":"Locomotive ID","value":"4032"},{"id":130,"name":"Impact","value":""},{"id":150,"name":"Time of Event (Mountain Time)","value":"17:35:54"},{"id":151,"name":"Denver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65"/>
        <v>start /low /b %USERPROFILE%\Documents\GitHub\eaglep3\Utilities\DownloadLogsFromS3.py --loco 4032 --day 2017-06-08</v>
      </c>
      <c r="AN192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23:35:54"},{"id":29,"name":"Sharepoint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642</v>
      </c>
      <c r="B193" s="7">
        <v>4031</v>
      </c>
      <c r="C193" s="21" t="s">
        <v>204</v>
      </c>
      <c r="D193" s="21" t="s">
        <v>982</v>
      </c>
      <c r="E193" s="13">
        <v>42894.734027777777</v>
      </c>
      <c r="F193" s="13">
        <v>42894.735277777778</v>
      </c>
      <c r="G193" s="7">
        <v>1</v>
      </c>
      <c r="H193" s="21" t="s">
        <v>983</v>
      </c>
      <c r="I193" s="13">
        <v>42894.746967592589</v>
      </c>
      <c r="J193" s="7">
        <v>0</v>
      </c>
      <c r="K193" s="92" t="str">
        <f t="shared" si="48"/>
        <v>4031/4032</v>
      </c>
      <c r="L193" s="21" t="str">
        <f>VLOOKUP(A193,'Trips&amp;Operators'!$C$1:$G$99999,5,FALSE)</f>
        <v>STAMBAUGH JAMES</v>
      </c>
      <c r="M193" s="6">
        <f t="shared" si="49"/>
        <v>1.1689814811688848E-2</v>
      </c>
      <c r="N193" s="7">
        <f t="shared" si="73"/>
        <v>16.833333328831941</v>
      </c>
      <c r="O193" s="7"/>
      <c r="P193" s="7"/>
      <c r="Q193" s="22"/>
      <c r="R193" s="173"/>
      <c r="S193" s="176">
        <f t="shared" si="74"/>
        <v>1</v>
      </c>
      <c r="T193" s="202" t="str">
        <f t="shared" si="50"/>
        <v>Southbound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 t="shared" si="51"/>
        <v>https://d0f6bd738d7f1b3e5a7ca70fe4ff75f0.us-east-1.aws.found.io/app/kibana#/discover/Steve-Slow-Train-Analysis-(2080s-and-2083s)?_g=(refreshInterval:(display:Off,pause:!f,section:0,value:0),time:(from:'2017-06-08T16:37:00-0600',mode:absolute,to:'2017-06-08T18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3" s="204" t="str">
        <f t="shared" si="52"/>
        <v>N</v>
      </c>
      <c r="X193" s="204">
        <f t="shared" si="72"/>
        <v>1</v>
      </c>
      <c r="Y193" s="204">
        <f t="shared" si="54"/>
        <v>5.8693</v>
      </c>
      <c r="Z193" s="204">
        <f t="shared" si="55"/>
        <v>8.9499999999999996E-2</v>
      </c>
      <c r="AA193" s="204">
        <f t="shared" si="56"/>
        <v>5.7797999999999998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57"/>
        <v>0834-08</v>
      </c>
      <c r="AE193" s="80" t="str">
        <f t="shared" si="58"/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AF193" s="77" t="str">
        <f t="shared" si="59"/>
        <v>"C:\Program Files (x86)\AstroGrep\AstroGrep.exe" /e /r /s /spath="%USERPROFILE%\AppData\Local\Temp\OnboardLogs" /stypes="app*4031*20170608*" /stext=" 23:.+((SYSTEM_STATE.+slice.+state.+changed )|(ment ac)|(multiple cpu faults)|(system.+state.+changed )|(\[timeout)|(PRM\|1\|D)|(kpr)|(kdp)|(train st.+moving)|(\|lc)|(penalty))"</v>
      </c>
      <c r="AG193" s="1" t="str">
        <f t="shared" si="60"/>
        <v>NW</v>
      </c>
      <c r="AH193" s="81" t="str">
        <f t="shared" si="63"/>
        <v>"%USERPROFILE%\Documents\GitHub\eaglep3\Utilities\RefineRTDCRunTimes.py" --tripid 834-08 --locoid 4031 --swversion DE.1.0.9.0 --startMP 300:58693 --initTime 2017-06-08T17:37:00 --startdatetime 2017-06-08T17:38:48 --delay 1 --endMP 204:895 --enddatetime 2017-06-08T17:55:38 --enforcementcount 0 &gt;&gt;C:\Users\stu\Documents\GitHub\eaglep3-reporting\EC\2017-06-08-refined-times.txt</v>
      </c>
      <c r="AI193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{"issue":{"subject":"","project_id":79,"tracker_id":40,"status_id":1,"priority_id":2,"assigned_to_id":23,"start_date":"2017-06-08","description":"","custom_fields":[{"id":1,"name":"Subdivision","value":"NW"},{"id":4,"name":"Milepost","value":"0.0895"},{"id":17,"name":"Train ID","value":"834-08"},{"id":16,"name":"Locomotive ID","value":"4031"},{"id":130,"name":"Impact","value":""},{"id":150,"name":"Time of Event (Mountain Time)","value":"17:55:38"},{"id":151,"name":"Denver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65"/>
        <v>start /low /b %USERPROFILE%\Documents\GitHub\eaglep3\Utilities\DownloadLogsFromS3.py --loco 4031 --day 2017-06-08</v>
      </c>
      <c r="AN193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23:55:38"},{"id":29,"name":"Sharepoint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s="20" customFormat="1" x14ac:dyDescent="0.25">
      <c r="A194" s="32" t="s">
        <v>787</v>
      </c>
      <c r="B194" s="7">
        <v>4008</v>
      </c>
      <c r="C194" s="21" t="s">
        <v>204</v>
      </c>
      <c r="D194" s="21" t="s">
        <v>984</v>
      </c>
      <c r="E194" s="13">
        <v>42894.728414351855</v>
      </c>
      <c r="F194" s="13">
        <v>42894.743958333333</v>
      </c>
      <c r="G194" s="7">
        <v>1</v>
      </c>
      <c r="H194" s="21" t="s">
        <v>975</v>
      </c>
      <c r="I194" s="13">
        <v>42894.754606481481</v>
      </c>
      <c r="J194" s="7">
        <v>0</v>
      </c>
      <c r="K194" s="92" t="str">
        <f t="shared" si="48"/>
        <v>4007/4008</v>
      </c>
      <c r="L194" s="21" t="str">
        <f>VLOOKUP(A194,'Trips&amp;Operators'!$C$1:$G$99999,5,FALSE)</f>
        <v>HAITHCOX MICHAEL</v>
      </c>
      <c r="M194" s="6">
        <f t="shared" si="49"/>
        <v>1.0648148148902692E-2</v>
      </c>
      <c r="N194" s="7">
        <f t="shared" si="73"/>
        <v>15.333333334419876</v>
      </c>
      <c r="O194" s="7"/>
      <c r="P194" s="7"/>
      <c r="Q194" s="22"/>
      <c r="R194" s="173"/>
      <c r="S194" s="176">
        <f t="shared" si="74"/>
        <v>1</v>
      </c>
      <c r="T194" s="202" t="str">
        <f t="shared" si="50"/>
        <v>NorthBound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51"/>
        <v>https://d0f6bd738d7f1b3e5a7ca70fe4ff75f0.us-east-1.aws.found.io/app/kibana#/discover/Steve-Slow-Train-Analysis-(2080s-and-2083s)?_g=(refreshInterval:(display:Off,pause:!f,section:0,value:0),time:(from:'2017-06-08T16:28:55-0600',mode:absolute,to:'2017-06-08T19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4" s="204" t="str">
        <f t="shared" si="52"/>
        <v>N</v>
      </c>
      <c r="X194" s="204">
        <f t="shared" ref="X194:X225" si="75">VALUE(LEFT(AD194,4))-VALUE(LEFT(AD193,4))</f>
        <v>1</v>
      </c>
      <c r="Y194" s="204">
        <f t="shared" si="54"/>
        <v>9.7100000000000006E-2</v>
      </c>
      <c r="Z194" s="204">
        <f t="shared" si="55"/>
        <v>5.8926999999999996</v>
      </c>
      <c r="AA194" s="204">
        <f t="shared" si="56"/>
        <v>5.7955999999999994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57"/>
        <v>0835-08</v>
      </c>
      <c r="AE194" s="80" t="str">
        <f t="shared" si="58"/>
        <v>aws s3 cp s3://rtdc.mdm.uploadarchive.raw/RTDC4008/ "%USERPROFILE%\AppData\Local\Temp\OnboardLogs"\RTDC4008\2017-06-08 --exclude "*" --recursive --include "*20170608*" &amp; "%USERPROFILE%\Documents\GitHub\mrs-test-scripts\Headless Mode &amp; Sideloading\WalkAndUnGZ.bat" "%USERPROFILE%\AppData\Local\Temp\OnboardLogs"\RTDC4008\2017-06-08 &amp; aws s3 cp s3://rtdc.mdm.uploadarchive.raw/RTDC4008/ "%USERPROFILE%\AppData\Local\Temp\OnboardLogs"\RTDC4008\2017-06-09 --exclude "*" --recursive --include "*20170609*" &amp; "%USERPROFILE%\Documents\GitHub\mrs-test-scripts\Headless Mode &amp; Sideloading\WalkAndUnGZ.bat" "%USERPROFILE%\AppData\Local\Temp\OnboardLogs"\RTDC4008\2017-06-09</v>
      </c>
      <c r="AF194" s="77" t="str">
        <f t="shared" si="59"/>
        <v>"C:\Program Files (x86)\AstroGrep\AstroGrep.exe" /e /r /s /spath="%USERPROFILE%\AppData\Local\Temp\OnboardLogs" /stypes="app*4008*20170609*" /stext=" 00:.+((SYSTEM_STATE.+slice.+state.+changed )|(ment ac)|(multiple cpu faults)|(system.+state.+changed )|(\[timeout)|(PRM\|1\|D)|(kpr)|(kdp)|(train st.+moving)|(\|lc)|(penalty))"</v>
      </c>
      <c r="AG194" s="1" t="str">
        <f t="shared" si="60"/>
        <v>NW</v>
      </c>
      <c r="AH194" s="81" t="str">
        <f t="shared" si="63"/>
        <v>"%USERPROFILE%\Documents\GitHub\eaglep3\Utilities\RefineRTDCRunTimes.py" --tripid 835-08 --locoid 4008 --swversion DE.1.0.9.0 --startMP 204:971 --initTime 2017-06-08T17:28:55 --startdatetime 2017-06-08T17:51:18 --delay 1 --endMP 300:58927 --enddatetime 2017-06-08T18:06:38 --enforcementcount 0 &gt;&gt;C:\Users\stu\Documents\GitHub\eaglep3-reporting\EC\2017-06-08-refined-times.txt</v>
      </c>
      <c r="AI194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{"issue":{"subject":"","project_id":79,"tracker_id":40,"status_id":1,"priority_id":2,"assigned_to_id":23,"start_date":"2017-06-08","description":"","custom_fields":[{"id":1,"name":"Subdivision","value":"NW"},{"id":4,"name":"Milepost","value":"5.8927"},{"id":17,"name":"Train ID","value":"835-08"},{"id":16,"name":"Locomotive ID","value":"4008"},{"id":130,"name":"Impact","value":""},{"id":150,"name":"Time of Event (Mountain Time)","value":"18:06:38"},{"id":151,"name":"Denver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65"/>
        <v>start /low /b %USERPROFILE%\Documents\GitHub\eaglep3\Utilities\DownloadLogsFromS3.py --loco 4008 --day 2017-06-08</v>
      </c>
      <c r="AN194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00:06:38"},{"id":29,"name":"Sharepoint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795</v>
      </c>
      <c r="B195" s="7">
        <v>4007</v>
      </c>
      <c r="C195" s="21" t="s">
        <v>204</v>
      </c>
      <c r="D195" s="21" t="s">
        <v>513</v>
      </c>
      <c r="E195" s="13">
        <v>42894.755567129629</v>
      </c>
      <c r="F195" s="13">
        <v>42894.757245370369</v>
      </c>
      <c r="G195" s="7">
        <v>1</v>
      </c>
      <c r="H195" s="21" t="s">
        <v>985</v>
      </c>
      <c r="I195" s="13">
        <v>42894.768310185187</v>
      </c>
      <c r="J195" s="7">
        <v>0</v>
      </c>
      <c r="K195" s="92" t="str">
        <f t="shared" si="48"/>
        <v>4007/4008</v>
      </c>
      <c r="L195" s="21" t="str">
        <f>VLOOKUP(A195,'Trips&amp;Operators'!$C$1:$G$99999,5,FALSE)</f>
        <v>HAITHCOX MICHAEL</v>
      </c>
      <c r="M195" s="6">
        <f t="shared" si="49"/>
        <v>1.1064814818382729E-2</v>
      </c>
      <c r="N195" s="7">
        <f t="shared" si="73"/>
        <v>15.93333333847113</v>
      </c>
      <c r="O195" s="7"/>
      <c r="P195" s="7"/>
      <c r="Q195" s="22"/>
      <c r="R195" s="173"/>
      <c r="S195" s="176">
        <f t="shared" si="74"/>
        <v>1</v>
      </c>
      <c r="T195" s="202" t="str">
        <f t="shared" si="50"/>
        <v>Southbound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 t="shared" si="51"/>
        <v>https://d0f6bd738d7f1b3e5a7ca70fe4ff75f0.us-east-1.aws.found.io/app/kibana#/discover/Steve-Slow-Train-Analysis-(2080s-and-2083s)?_g=(refreshInterval:(display:Off,pause:!f,section:0,value:0),time:(from:'2017-06-08T17:08:01-0600',mode:absolute,to:'2017-06-08T19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5" s="204" t="str">
        <f t="shared" si="52"/>
        <v>N</v>
      </c>
      <c r="X195" s="204">
        <f t="shared" si="75"/>
        <v>1</v>
      </c>
      <c r="Y195" s="204">
        <f t="shared" si="54"/>
        <v>5.8623000000000003</v>
      </c>
      <c r="Z195" s="204">
        <f t="shared" si="55"/>
        <v>6.9099999999999995E-2</v>
      </c>
      <c r="AA195" s="204">
        <f t="shared" si="56"/>
        <v>5.7932000000000006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57"/>
        <v>0836-08</v>
      </c>
      <c r="AE195" s="80" t="str">
        <f t="shared" si="58"/>
        <v>aws s3 cp s3://rtdc.mdm.uploadarchive.raw/RTDC4007/ "%USERPROFILE%\AppData\Local\Temp\OnboardLogs"\RTDC4007\2017-06-08 --exclude "*" --recursive --include "*20170608*" &amp; "%USERPROFILE%\Documents\GitHub\mrs-test-scripts\Headless Mode &amp; Sideloading\WalkAndUnGZ.bat" "%USERPROFILE%\AppData\Local\Temp\OnboardLogs"\RTDC4007\2017-06-08 &amp; aws s3 cp s3://rtdc.mdm.uploadarchive.raw/RTDC4007/ "%USERPROFILE%\AppData\Local\Temp\OnboardLogs"\RTDC4007\2017-06-09 --exclude "*" --recursive --include "*20170609*" &amp; "%USERPROFILE%\Documents\GitHub\mrs-test-scripts\Headless Mode &amp; Sideloading\WalkAndUnGZ.bat" "%USERPROFILE%\AppData\Local\Temp\OnboardLogs"\RTDC4007\2017-06-09</v>
      </c>
      <c r="AF195" s="77" t="str">
        <f t="shared" si="59"/>
        <v>"C:\Program Files (x86)\AstroGrep\AstroGrep.exe" /e /r /s /spath="%USERPROFILE%\AppData\Local\Temp\OnboardLogs" /stypes="app*4007*20170609*" /stext=" 00:.+((SYSTEM_STATE.+slice.+state.+changed )|(ment ac)|(multiple cpu faults)|(system.+state.+changed )|(\[timeout)|(PRM\|1\|D)|(kpr)|(kdp)|(train st.+moving)|(\|lc)|(penalty))"</v>
      </c>
      <c r="AG195" s="1" t="str">
        <f t="shared" si="60"/>
        <v>NW</v>
      </c>
      <c r="AH195" s="81" t="str">
        <f t="shared" si="63"/>
        <v>"%USERPROFILE%\Documents\GitHub\eaglep3\Utilities\RefineRTDCRunTimes.py" --tripid 836-08 --locoid 4007 --swversion DE.1.0.9.0 --startMP 300:58623 --initTime 2017-06-08T18:08:01 --startdatetime 2017-06-08T18:10:26 --delay 1 --endMP 204:691 --enddatetime 2017-06-08T18:26:22 --enforcementcount 0 &gt;&gt;C:\Users\stu\Documents\GitHub\eaglep3-reporting\EC\2017-06-08-refined-times.txt</v>
      </c>
      <c r="AI195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{"issue":{"subject":"","project_id":79,"tracker_id":40,"status_id":1,"priority_id":2,"assigned_to_id":23,"start_date":"2017-06-08","description":"","custom_fields":[{"id":1,"name":"Subdivision","value":"NW"},{"id":4,"name":"Milepost","value":"0.0691"},{"id":17,"name":"Train ID","value":"836-08"},{"id":16,"name":"Locomotive ID","value":"4007"},{"id":130,"name":"Impact","value":""},{"id":150,"name":"Time of Event (Mountain Time)","value":"18:26:22"},{"id":151,"name":"Denver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65"/>
        <v>start /low /b %USERPROFILE%\Documents\GitHub\eaglep3\Utilities\DownloadLogsFromS3.py --loco 4007 --day 2017-06-08</v>
      </c>
      <c r="AN195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00:26:22"},{"id":29,"name":"Sharepoint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793</v>
      </c>
      <c r="B196" s="7">
        <v>4032</v>
      </c>
      <c r="C196" s="21" t="s">
        <v>204</v>
      </c>
      <c r="D196" s="21" t="s">
        <v>986</v>
      </c>
      <c r="E196" s="13">
        <v>42894.748391203706</v>
      </c>
      <c r="F196" s="13">
        <v>42894.764872685184</v>
      </c>
      <c r="G196" s="7">
        <v>1</v>
      </c>
      <c r="H196" s="21" t="s">
        <v>969</v>
      </c>
      <c r="I196" s="13">
        <v>42894.77449074074</v>
      </c>
      <c r="J196" s="7">
        <v>0</v>
      </c>
      <c r="K196" s="92" t="str">
        <f t="shared" si="48"/>
        <v>4031/4032</v>
      </c>
      <c r="L196" s="21" t="str">
        <f>VLOOKUP(A196,'Trips&amp;Operators'!$C$1:$G$99999,5,FALSE)</f>
        <v>STAMBAUGH JAMES</v>
      </c>
      <c r="M196" s="6">
        <f t="shared" si="49"/>
        <v>9.6180555556202307E-3</v>
      </c>
      <c r="N196" s="7">
        <f t="shared" si="73"/>
        <v>13.850000000093132</v>
      </c>
      <c r="O196" s="7"/>
      <c r="P196" s="7"/>
      <c r="Q196" s="22"/>
      <c r="R196" s="173"/>
      <c r="S196" s="176">
        <f t="shared" si="74"/>
        <v>1</v>
      </c>
      <c r="T196" s="202" t="str">
        <f t="shared" si="50"/>
        <v>NorthBound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51"/>
        <v>https://d0f6bd738d7f1b3e5a7ca70fe4ff75f0.us-east-1.aws.found.io/app/kibana#/discover/Steve-Slow-Train-Analysis-(2080s-and-2083s)?_g=(refreshInterval:(display:Off,pause:!f,section:0,value:0),time:(from:'2017-06-08T16:57:41-0600',mode:absolute,to:'2017-06-08T19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6" s="204" t="str">
        <f t="shared" si="52"/>
        <v>N</v>
      </c>
      <c r="X196" s="204">
        <f t="shared" si="75"/>
        <v>1</v>
      </c>
      <c r="Y196" s="204">
        <f t="shared" si="54"/>
        <v>0.1186</v>
      </c>
      <c r="Z196" s="204">
        <f t="shared" si="55"/>
        <v>5.8916000000000004</v>
      </c>
      <c r="AA196" s="204">
        <f t="shared" si="56"/>
        <v>5.7730000000000006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57"/>
        <v>0837-08</v>
      </c>
      <c r="AE196" s="80" t="str">
        <f t="shared" si="58"/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AF196" s="77" t="str">
        <f t="shared" si="59"/>
        <v>"C:\Program Files (x86)\AstroGrep\AstroGrep.exe" /e /r /s /spath="%USERPROFILE%\AppData\Local\Temp\OnboardLogs" /stypes="app*4032*20170609*" /stext=" 00:.+((SYSTEM_STATE.+slice.+state.+changed )|(ment ac)|(multiple cpu faults)|(system.+state.+changed )|(\[timeout)|(PRM\|1\|D)|(kpr)|(kdp)|(train st.+moving)|(\|lc)|(penalty))"</v>
      </c>
      <c r="AG196" s="1" t="str">
        <f t="shared" si="60"/>
        <v>NW</v>
      </c>
      <c r="AH196" s="81" t="str">
        <f t="shared" si="63"/>
        <v>"%USERPROFILE%\Documents\GitHub\eaglep3\Utilities\RefineRTDCRunTimes.py" --tripid 837-08 --locoid 4032 --swversion DE.1.0.9.0 --startMP 204:1186 --initTime 2017-06-08T17:57:41 --startdatetime 2017-06-08T18:21:25 --delay 1 --endMP 300:58916 --enddatetime 2017-06-08T18:35:16 --enforcementcount 0 &gt;&gt;C:\Users\stu\Documents\GitHub\eaglep3-reporting\EC\2017-06-08-refined-times.txt</v>
      </c>
      <c r="AI196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{"issue":{"subject":"","project_id":79,"tracker_id":40,"status_id":1,"priority_id":2,"assigned_to_id":23,"start_date":"2017-06-08","description":"","custom_fields":[{"id":1,"name":"Subdivision","value":"NW"},{"id":4,"name":"Milepost","value":"5.8916"},{"id":17,"name":"Train ID","value":"837-08"},{"id":16,"name":"Locomotive ID","value":"4032"},{"id":130,"name":"Impact","value":""},{"id":150,"name":"Time of Event (Mountain Time)","value":"18:35:16"},{"id":151,"name":"Denver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65"/>
        <v>start /low /b %USERPROFILE%\Documents\GitHub\eaglep3\Utilities\DownloadLogsFromS3.py --loco 4032 --day 2017-06-08</v>
      </c>
      <c r="AN196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00:35:16"},{"id":29,"name":"Sharepoint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802</v>
      </c>
      <c r="B197" s="7">
        <v>4031</v>
      </c>
      <c r="C197" s="21" t="s">
        <v>204</v>
      </c>
      <c r="D197" s="21" t="s">
        <v>987</v>
      </c>
      <c r="E197" s="13">
        <v>42894.775358796294</v>
      </c>
      <c r="F197" s="13">
        <v>42894.777256944442</v>
      </c>
      <c r="G197" s="7">
        <v>2</v>
      </c>
      <c r="H197" s="21" t="s">
        <v>985</v>
      </c>
      <c r="I197" s="13">
        <v>42894.789166666669</v>
      </c>
      <c r="J197" s="7">
        <v>0</v>
      </c>
      <c r="K197" s="92" t="str">
        <f t="shared" si="48"/>
        <v>4031/4032</v>
      </c>
      <c r="L197" s="21" t="str">
        <f>VLOOKUP(A197,'Trips&amp;Operators'!$C$1:$G$99999,5,FALSE)</f>
        <v>STAMBAUGH JAMES</v>
      </c>
      <c r="M197" s="6">
        <f t="shared" si="49"/>
        <v>1.1909722226846498E-2</v>
      </c>
      <c r="N197" s="7">
        <f t="shared" si="73"/>
        <v>17.150000006658956</v>
      </c>
      <c r="O197" s="7"/>
      <c r="P197" s="7"/>
      <c r="Q197" s="22"/>
      <c r="R197" s="173"/>
      <c r="S197" s="176">
        <f t="shared" si="74"/>
        <v>1</v>
      </c>
      <c r="T197" s="202" t="str">
        <f t="shared" si="50"/>
        <v>Southbound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51"/>
        <v>https://d0f6bd738d7f1b3e5a7ca70fe4ff75f0.us-east-1.aws.found.io/app/kibana#/discover/Steve-Slow-Train-Analysis-(2080s-and-2083s)?_g=(refreshInterval:(display:Off,pause:!f,section:0,value:0),time:(from:'2017-06-08T17:36:31-0600',mode:absolute,to:'2017-06-08T19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7" s="204" t="str">
        <f t="shared" si="52"/>
        <v>N</v>
      </c>
      <c r="X197" s="204">
        <f t="shared" si="75"/>
        <v>1</v>
      </c>
      <c r="Y197" s="204">
        <f t="shared" si="54"/>
        <v>5.8608000000000002</v>
      </c>
      <c r="Z197" s="204">
        <f t="shared" si="55"/>
        <v>6.9099999999999995E-2</v>
      </c>
      <c r="AA197" s="204">
        <f t="shared" si="56"/>
        <v>5.7917000000000005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57"/>
        <v>0838-08</v>
      </c>
      <c r="AE197" s="80" t="str">
        <f t="shared" si="58"/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AF197" s="77" t="str">
        <f t="shared" si="59"/>
        <v>"C:\Program Files (x86)\AstroGrep\AstroGrep.exe" /e /r /s /spath="%USERPROFILE%\AppData\Local\Temp\OnboardLogs" /stypes="app*4031*20170609*" /stext=" 00:.+((SYSTEM_STATE.+slice.+state.+changed )|(ment ac)|(multiple cpu faults)|(system.+state.+changed )|(\[timeout)|(PRM\|1\|D)|(kpr)|(kdp)|(train st.+moving)|(\|lc)|(penalty))"</v>
      </c>
      <c r="AG197" s="1" t="str">
        <f t="shared" si="60"/>
        <v>NW</v>
      </c>
      <c r="AH197" s="81" t="str">
        <f t="shared" si="63"/>
        <v>"%USERPROFILE%\Documents\GitHub\eaglep3\Utilities\RefineRTDCRunTimes.py" --tripid 838-08 --locoid 4031 --swversion DE.1.0.9.0 --startMP 300:58608 --initTime 2017-06-08T18:36:31 --startdatetime 2017-06-08T18:39:15 --delay 2 --endMP 204:691 --enddatetime 2017-06-08T18:56:24 --enforcementcount 0 &gt;&gt;C:\Users\stu\Documents\GitHub\eaglep3-reporting\EC\2017-06-08-refined-times.txt</v>
      </c>
      <c r="AI197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{"issue":{"subject":"","project_id":79,"tracker_id":40,"status_id":1,"priority_id":2,"assigned_to_id":23,"start_date":"2017-06-08","description":"","custom_fields":[{"id":1,"name":"Subdivision","value":"NW"},{"id":4,"name":"Milepost","value":"0.0691"},{"id":17,"name":"Train ID","value":"838-08"},{"id":16,"name":"Locomotive ID","value":"4031"},{"id":130,"name":"Impact","value":""},{"id":150,"name":"Time of Event (Mountain Time)","value":"18:56:24"},{"id":151,"name":"Denver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5"/>
        <v>start /low /b %USERPROFILE%\Documents\GitHub\eaglep3\Utilities\DownloadLogsFromS3.py --loco 4031 --day 2017-06-08</v>
      </c>
      <c r="AN197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00:56:24"},{"id":29,"name":"Sharepoint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s="20" customFormat="1" x14ac:dyDescent="0.25">
      <c r="A198" s="32" t="s">
        <v>800</v>
      </c>
      <c r="B198" s="7">
        <v>4008</v>
      </c>
      <c r="C198" s="21" t="s">
        <v>204</v>
      </c>
      <c r="D198" s="21" t="s">
        <v>541</v>
      </c>
      <c r="E198" s="13">
        <v>42894.769826388889</v>
      </c>
      <c r="F198" s="13">
        <v>42894.785636574074</v>
      </c>
      <c r="G198" s="7">
        <v>1</v>
      </c>
      <c r="H198" s="21" t="s">
        <v>542</v>
      </c>
      <c r="I198" s="13">
        <v>42894.796851851854</v>
      </c>
      <c r="J198" s="7">
        <v>0</v>
      </c>
      <c r="K198" s="92" t="str">
        <f t="shared" si="48"/>
        <v>4007/4008</v>
      </c>
      <c r="L198" s="21" t="str">
        <f>VLOOKUP(A198,'Trips&amp;Operators'!$C$1:$G$99999,5,FALSE)</f>
        <v>HAITHCOX MICHAEL</v>
      </c>
      <c r="M198" s="6">
        <f t="shared" si="49"/>
        <v>1.1215277780138422E-2</v>
      </c>
      <c r="N198" s="7">
        <f t="shared" si="73"/>
        <v>16.150000003399327</v>
      </c>
      <c r="O198" s="7"/>
      <c r="P198" s="7"/>
      <c r="Q198" s="22"/>
      <c r="R198" s="173"/>
      <c r="S198" s="176">
        <f t="shared" si="74"/>
        <v>1</v>
      </c>
      <c r="T198" s="202" t="str">
        <f t="shared" si="50"/>
        <v>NorthBound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 t="shared" si="51"/>
        <v>https://d0f6bd738d7f1b3e5a7ca70fe4ff75f0.us-east-1.aws.found.io/app/kibana#/discover/Steve-Slow-Train-Analysis-(2080s-and-2083s)?_g=(refreshInterval:(display:Off,pause:!f,section:0,value:0),time:(from:'2017-06-08T17:28:33-0600',mode:absolute,to:'2017-06-08T20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8" s="204" t="str">
        <f t="shared" si="52"/>
        <v>N</v>
      </c>
      <c r="X198" s="204">
        <f t="shared" si="75"/>
        <v>1</v>
      </c>
      <c r="Y198" s="204">
        <f t="shared" si="54"/>
        <v>9.5799999999999996E-2</v>
      </c>
      <c r="Z198" s="204">
        <f t="shared" si="55"/>
        <v>5.8930999999999996</v>
      </c>
      <c r="AA198" s="204">
        <f t="shared" si="56"/>
        <v>5.7972999999999999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57"/>
        <v>0839-08</v>
      </c>
      <c r="AE198" s="80" t="str">
        <f t="shared" si="58"/>
        <v>aws s3 cp s3://rtdc.mdm.uploadarchive.raw/RTDC4008/ "%USERPROFILE%\AppData\Local\Temp\OnboardLogs"\RTDC4008\2017-06-08 --exclude "*" --recursive --include "*20170608*" &amp; "%USERPROFILE%\Documents\GitHub\mrs-test-scripts\Headless Mode &amp; Sideloading\WalkAndUnGZ.bat" "%USERPROFILE%\AppData\Local\Temp\OnboardLogs"\RTDC4008\2017-06-08 &amp; aws s3 cp s3://rtdc.mdm.uploadarchive.raw/RTDC4008/ "%USERPROFILE%\AppData\Local\Temp\OnboardLogs"\RTDC4008\2017-06-09 --exclude "*" --recursive --include "*20170609*" &amp; "%USERPROFILE%\Documents\GitHub\mrs-test-scripts\Headless Mode &amp; Sideloading\WalkAndUnGZ.bat" "%USERPROFILE%\AppData\Local\Temp\OnboardLogs"\RTDC4008\2017-06-09</v>
      </c>
      <c r="AF198" s="77" t="str">
        <f t="shared" si="59"/>
        <v>"C:\Program Files (x86)\AstroGrep\AstroGrep.exe" /e /r /s /spath="%USERPROFILE%\AppData\Local\Temp\OnboardLogs" /stypes="app*4008*20170609*" /stext=" 01:.+((SYSTEM_STATE.+slice.+state.+changed )|(ment ac)|(multiple cpu faults)|(system.+state.+changed )|(\[timeout)|(PRM\|1\|D)|(kpr)|(kdp)|(train st.+moving)|(\|lc)|(penalty))"</v>
      </c>
      <c r="AG198" s="1" t="str">
        <f t="shared" si="60"/>
        <v>NW</v>
      </c>
      <c r="AH198" s="81" t="str">
        <f t="shared" si="63"/>
        <v>"%USERPROFILE%\Documents\GitHub\eaglep3\Utilities\RefineRTDCRunTimes.py" --tripid 839-08 --locoid 4008 --swversion DE.1.0.9.0 --startMP 204:958 --initTime 2017-06-08T18:28:33 --startdatetime 2017-06-08T18:51:19 --delay 1 --endMP 300:58931 --enddatetime 2017-06-08T19:07:28 --enforcementcount 0 &gt;&gt;C:\Users\stu\Documents\GitHub\eaglep3-reporting\EC\2017-06-08-refined-times.txt</v>
      </c>
      <c r="AI198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{"issue":{"subject":"","project_id":79,"tracker_id":40,"status_id":1,"priority_id":2,"assigned_to_id":23,"start_date":"2017-06-08","description":"","custom_fields":[{"id":1,"name":"Subdivision","value":"NW"},{"id":4,"name":"Milepost","value":"5.8931"},{"id":17,"name":"Train ID","value":"839-08"},{"id":16,"name":"Locomotive ID","value":"4008"},{"id":130,"name":"Impact","value":""},{"id":150,"name":"Time of Event (Mountain Time)","value":"19:07:28"},{"id":151,"name":"Denver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5" t="str">
        <f t="shared" si="65"/>
        <v>start /low /b %USERPROFILE%\Documents\GitHub\eaglep3\Utilities\DownloadLogsFromS3.py --loco 4008 --day 2017-06-08</v>
      </c>
      <c r="AN198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01:07:28"},{"id":29,"name":"Sharepoint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811</v>
      </c>
      <c r="B199" s="7">
        <v>4031</v>
      </c>
      <c r="C199" s="21" t="s">
        <v>204</v>
      </c>
      <c r="D199" s="21" t="s">
        <v>988</v>
      </c>
      <c r="E199" s="13">
        <v>42894.816631944443</v>
      </c>
      <c r="F199" s="13">
        <v>42894.818020833336</v>
      </c>
      <c r="G199" s="7">
        <v>1</v>
      </c>
      <c r="H199" s="21" t="s">
        <v>989</v>
      </c>
      <c r="I199" s="13">
        <v>42894.830254629633</v>
      </c>
      <c r="J199" s="7">
        <v>0</v>
      </c>
      <c r="K199" s="92" t="str">
        <f t="shared" si="48"/>
        <v>4031/4032</v>
      </c>
      <c r="L199" s="21" t="str">
        <f>VLOOKUP(A199,'Trips&amp;Operators'!$C$1:$G$99999,5,FALSE)</f>
        <v>STAMBAUGH JAMES</v>
      </c>
      <c r="M199" s="6">
        <f t="shared" si="49"/>
        <v>1.2233796296641231E-2</v>
      </c>
      <c r="N199" s="7">
        <f t="shared" si="73"/>
        <v>17.616666667163372</v>
      </c>
      <c r="O199" s="7"/>
      <c r="P199" s="7"/>
      <c r="Q199" s="22"/>
      <c r="R199" s="173"/>
      <c r="S199" s="176">
        <f t="shared" si="74"/>
        <v>1</v>
      </c>
      <c r="T199" s="202" t="str">
        <f t="shared" si="50"/>
        <v>Southbound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 t="shared" si="51"/>
        <v>https://d0f6bd738d7f1b3e5a7ca70fe4ff75f0.us-east-1.aws.found.io/app/kibana#/discover/Steve-Slow-Train-Analysis-(2080s-and-2083s)?_g=(refreshInterval:(display:Off,pause:!f,section:0,value:0),time:(from:'2017-06-08T18:35:57-0600',mode:absolute,to:'2017-06-08T20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9" s="204" t="str">
        <f t="shared" si="52"/>
        <v>N</v>
      </c>
      <c r="X199" s="204">
        <f t="shared" si="75"/>
        <v>1</v>
      </c>
      <c r="Y199" s="204">
        <f t="shared" si="54"/>
        <v>5.8654999999999999</v>
      </c>
      <c r="Z199" s="204">
        <f t="shared" si="55"/>
        <v>6.2199999999999998E-2</v>
      </c>
      <c r="AA199" s="204">
        <f t="shared" si="56"/>
        <v>5.8033000000000001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57"/>
        <v>0840-08</v>
      </c>
      <c r="AE199" s="80" t="str">
        <f t="shared" si="58"/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AF199" s="77" t="str">
        <f t="shared" si="59"/>
        <v>"C:\Program Files (x86)\AstroGrep\AstroGrep.exe" /e /r /s /spath="%USERPROFILE%\AppData\Local\Temp\OnboardLogs" /stypes="app*4031*20170609*" /stext=" 01:.+((SYSTEM_STATE.+slice.+state.+changed )|(ment ac)|(multiple cpu faults)|(system.+state.+changed )|(\[timeout)|(PRM\|1\|D)|(kpr)|(kdp)|(train st.+moving)|(\|lc)|(penalty))"</v>
      </c>
      <c r="AG199" s="1" t="str">
        <f t="shared" si="60"/>
        <v>NW</v>
      </c>
      <c r="AH199" s="81" t="str">
        <f t="shared" si="63"/>
        <v>"%USERPROFILE%\Documents\GitHub\eaglep3\Utilities\RefineRTDCRunTimes.py" --tripid 840-08 --locoid 4031 --swversion DE.1.0.9.0 --startMP 300:58655 --initTime 2017-06-08T19:35:57 --startdatetime 2017-06-08T19:37:57 --delay 1 --endMP 204:622 --enddatetime 2017-06-08T19:55:34 --enforcementcount 0 &gt;&gt;C:\Users\stu\Documents\GitHub\eaglep3-reporting\EC\2017-06-08-refined-times.txt</v>
      </c>
      <c r="AI199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{"issue":{"subject":"","project_id":79,"tracker_id":40,"status_id":1,"priority_id":2,"assigned_to_id":23,"start_date":"2017-06-08","description":"","custom_fields":[{"id":1,"name":"Subdivision","value":"NW"},{"id":4,"name":"Milepost","value":"0.0622"},{"id":17,"name":"Train ID","value":"840-08"},{"id":16,"name":"Locomotive ID","value":"4031"},{"id":130,"name":"Impact","value":""},{"id":150,"name":"Time of Event (Mountain Time)","value":"19:55:34"},{"id":151,"name":"Denver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65"/>
        <v>start /low /b %USERPROFILE%\Documents\GitHub\eaglep3\Utilities\DownloadLogsFromS3.py --loco 4031 --day 2017-06-08</v>
      </c>
      <c r="AN199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01:55:34"},{"id":29,"name":"Sharepoint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806</v>
      </c>
      <c r="B200" s="7">
        <v>4032</v>
      </c>
      <c r="C200" s="21" t="s">
        <v>204</v>
      </c>
      <c r="D200" s="21" t="s">
        <v>514</v>
      </c>
      <c r="E200" s="13">
        <v>42894.790590277778</v>
      </c>
      <c r="F200" s="13">
        <v>42894.806550925925</v>
      </c>
      <c r="G200" s="7">
        <v>1</v>
      </c>
      <c r="H200" s="21" t="s">
        <v>990</v>
      </c>
      <c r="I200" s="13">
        <v>42894.815810185188</v>
      </c>
      <c r="J200" s="7">
        <v>0</v>
      </c>
      <c r="K200" s="92" t="str">
        <f t="shared" si="48"/>
        <v>4031/4032</v>
      </c>
      <c r="L200" s="21" t="str">
        <f>VLOOKUP(A200,'Trips&amp;Operators'!$C$1:$G$99999,5,FALSE)</f>
        <v>STAMBAUGH JAMES</v>
      </c>
      <c r="M200" s="6">
        <f t="shared" si="49"/>
        <v>9.2592592627624981E-3</v>
      </c>
      <c r="N200" s="7">
        <f t="shared" si="73"/>
        <v>13.333333338377997</v>
      </c>
      <c r="O200" s="7"/>
      <c r="P200" s="7"/>
      <c r="Q200" s="22"/>
      <c r="R200" s="173"/>
      <c r="S200" s="176">
        <f t="shared" si="74"/>
        <v>1</v>
      </c>
      <c r="T200" s="202" t="str">
        <f t="shared" si="50"/>
        <v>NorthBound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 t="shared" si="51"/>
        <v>https://d0f6bd738d7f1b3e5a7ca70fe4ff75f0.us-east-1.aws.found.io/app/kibana#/discover/Steve-Slow-Train-Analysis-(2080s-and-2083s)?_g=(refreshInterval:(display:Off,pause:!f,section:0,value:0),time:(from:'2017-06-08T17:58:27-0600',mode:absolute,to:'2017-06-08T20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0" s="204" t="str">
        <f t="shared" si="52"/>
        <v>N</v>
      </c>
      <c r="X200" s="204">
        <f t="shared" si="75"/>
        <v>1</v>
      </c>
      <c r="Y200" s="204">
        <f t="shared" si="54"/>
        <v>9.64E-2</v>
      </c>
      <c r="Z200" s="204">
        <f t="shared" si="55"/>
        <v>5.8975</v>
      </c>
      <c r="AA200" s="204">
        <f t="shared" si="56"/>
        <v>5.8010999999999999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57"/>
        <v>0841-08</v>
      </c>
      <c r="AE200" s="80" t="str">
        <f t="shared" si="58"/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AF200" s="77" t="str">
        <f t="shared" si="59"/>
        <v>"C:\Program Files (x86)\AstroGrep\AstroGrep.exe" /e /r /s /spath="%USERPROFILE%\AppData\Local\Temp\OnboardLogs" /stypes="app*4032*20170609*" /stext=" 01:.+((SYSTEM_STATE.+slice.+state.+changed )|(ment ac)|(multiple cpu faults)|(system.+state.+changed )|(\[timeout)|(PRM\|1\|D)|(kpr)|(kdp)|(train st.+moving)|(\|lc)|(penalty))"</v>
      </c>
      <c r="AG200" s="1" t="str">
        <f t="shared" si="60"/>
        <v>NW</v>
      </c>
      <c r="AH200" s="81" t="str">
        <f t="shared" si="63"/>
        <v>"%USERPROFILE%\Documents\GitHub\eaglep3\Utilities\RefineRTDCRunTimes.py" --tripid 841-08 --locoid 4032 --swversion DE.1.0.9.0 --startMP 204:964 --initTime 2017-06-08T18:58:27 --startdatetime 2017-06-08T19:21:26 --delay 1 --endMP 300:58975 --enddatetime 2017-06-08T19:34:46 --enforcementcount 0 &gt;&gt;C:\Users\stu\Documents\GitHub\eaglep3-reporting\EC\2017-06-08-refined-times.txt</v>
      </c>
      <c r="AI200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{"issue":{"subject":"","project_id":79,"tracker_id":40,"status_id":1,"priority_id":2,"assigned_to_id":23,"start_date":"2017-06-08","description":"","custom_fields":[{"id":1,"name":"Subdivision","value":"NW"},{"id":4,"name":"Milepost","value":"5.8975"},{"id":17,"name":"Train ID","value":"841-08"},{"id":16,"name":"Locomotive ID","value":"4032"},{"id":130,"name":"Impact","value":""},{"id":150,"name":"Time of Event (Mountain Time)","value":"19:34:46"},{"id":151,"name":"Denver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65"/>
        <v>start /low /b %USERPROFILE%\Documents\GitHub\eaglep3\Utilities\DownloadLogsFromS3.py --loco 4032 --day 2017-06-08</v>
      </c>
      <c r="AN200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01:34:46"},{"id":29,"name":"Sharepoint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816</v>
      </c>
      <c r="B201" s="7">
        <v>4031</v>
      </c>
      <c r="C201" s="21" t="s">
        <v>204</v>
      </c>
      <c r="D201" s="21" t="s">
        <v>991</v>
      </c>
      <c r="E201" s="13">
        <v>42894.859050925923</v>
      </c>
      <c r="F201" s="13">
        <v>42894.860694444447</v>
      </c>
      <c r="G201" s="7">
        <v>1</v>
      </c>
      <c r="H201" s="21" t="s">
        <v>992</v>
      </c>
      <c r="I201" s="13">
        <v>42894.872384259259</v>
      </c>
      <c r="J201" s="7">
        <v>0</v>
      </c>
      <c r="K201" s="92" t="str">
        <f t="shared" si="48"/>
        <v>4031/4032</v>
      </c>
      <c r="L201" s="21" t="str">
        <f>VLOOKUP(A201,'Trips&amp;Operators'!$C$1:$G$99999,5,FALSE)</f>
        <v>STAMBAUGH JAMES</v>
      </c>
      <c r="M201" s="6">
        <f t="shared" si="49"/>
        <v>1.1689814811688848E-2</v>
      </c>
      <c r="N201" s="7">
        <f t="shared" si="73"/>
        <v>16.833333328831941</v>
      </c>
      <c r="O201" s="7"/>
      <c r="P201" s="7"/>
      <c r="Q201" s="22"/>
      <c r="R201" s="173"/>
      <c r="S201" s="176">
        <f t="shared" si="74"/>
        <v>1</v>
      </c>
      <c r="T201" s="202" t="str">
        <f t="shared" si="50"/>
        <v>Southbound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51"/>
        <v>https://d0f6bd738d7f1b3e5a7ca70fe4ff75f0.us-east-1.aws.found.io/app/kibana#/discover/Steve-Slow-Train-Analysis-(2080s-and-2083s)?_g=(refreshInterval:(display:Off,pause:!f,section:0,value:0),time:(from:'2017-06-08T19:37:02-0600',mode:absolute,to:'2017-06-08T21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1" s="204" t="str">
        <f t="shared" si="52"/>
        <v>N</v>
      </c>
      <c r="X201" s="204">
        <f t="shared" si="75"/>
        <v>1</v>
      </c>
      <c r="Y201" s="204">
        <f t="shared" si="54"/>
        <v>5.8643000000000001</v>
      </c>
      <c r="Z201" s="204">
        <f t="shared" si="55"/>
        <v>6.8900000000000003E-2</v>
      </c>
      <c r="AA201" s="204">
        <f t="shared" si="56"/>
        <v>5.7953999999999999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57"/>
        <v>0842-08</v>
      </c>
      <c r="AE201" s="80" t="str">
        <f t="shared" si="58"/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AF201" s="77" t="str">
        <f t="shared" si="59"/>
        <v>"C:\Program Files (x86)\AstroGrep\AstroGrep.exe" /e /r /s /spath="%USERPROFILE%\AppData\Local\Temp\OnboardLogs" /stypes="app*4031*20170609*" /stext=" 02:.+((SYSTEM_STATE.+slice.+state.+changed )|(ment ac)|(multiple cpu faults)|(system.+state.+changed )|(\[timeout)|(PRM\|1\|D)|(kpr)|(kdp)|(train st.+moving)|(\|lc)|(penalty))"</v>
      </c>
      <c r="AG201" s="1" t="str">
        <f t="shared" si="60"/>
        <v>NW</v>
      </c>
      <c r="AH201" s="81" t="str">
        <f t="shared" si="63"/>
        <v>"%USERPROFILE%\Documents\GitHub\eaglep3\Utilities\RefineRTDCRunTimes.py" --tripid 842-08 --locoid 4031 --swversion DE.1.0.9.0 --startMP 300:58643 --initTime 2017-06-08T20:37:02 --startdatetime 2017-06-08T20:39:24 --delay 1 --endMP 204:689 --enddatetime 2017-06-08T20:56:14 --enforcementcount 0 &gt;&gt;C:\Users\stu\Documents\GitHub\eaglep3-reporting\EC\2017-06-08-refined-times.txt</v>
      </c>
      <c r="AI201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{"issue":{"subject":"","project_id":79,"tracker_id":40,"status_id":1,"priority_id":2,"assigned_to_id":23,"start_date":"2017-06-08","description":"","custom_fields":[{"id":1,"name":"Subdivision","value":"NW"},{"id":4,"name":"Milepost","value":"0.0689"},{"id":17,"name":"Train ID","value":"842-08"},{"id":16,"name":"Locomotive ID","value":"4031"},{"id":130,"name":"Impact","value":""},{"id":150,"name":"Time of Event (Mountain Time)","value":"20:56:14"},{"id":151,"name":"Denver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65"/>
        <v>start /low /b %USERPROFILE%\Documents\GitHub\eaglep3\Utilities\DownloadLogsFromS3.py --loco 4031 --day 2017-06-08</v>
      </c>
      <c r="AN201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02:56:14"},{"id":29,"name":"Sharepoint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s="20" customFormat="1" x14ac:dyDescent="0.25">
      <c r="A202" s="32" t="s">
        <v>815</v>
      </c>
      <c r="B202" s="7">
        <v>4032</v>
      </c>
      <c r="C202" s="21" t="s">
        <v>204</v>
      </c>
      <c r="D202" s="21" t="s">
        <v>993</v>
      </c>
      <c r="E202" s="13">
        <v>42894.843668981484</v>
      </c>
      <c r="F202" s="13">
        <v>42894.848437499997</v>
      </c>
      <c r="G202" s="7">
        <v>1</v>
      </c>
      <c r="H202" s="21" t="s">
        <v>994</v>
      </c>
      <c r="I202" s="13">
        <v>42894.857986111114</v>
      </c>
      <c r="J202" s="7">
        <v>0</v>
      </c>
      <c r="K202" s="92" t="str">
        <f t="shared" si="48"/>
        <v>4031/4032</v>
      </c>
      <c r="L202" s="21" t="str">
        <f>VLOOKUP(A202,'Trips&amp;Operators'!$C$1:$G$99999,5,FALSE)</f>
        <v>STAMBAUGH JAMES</v>
      </c>
      <c r="M202" s="6">
        <f t="shared" si="49"/>
        <v>9.5486111167701893E-3</v>
      </c>
      <c r="N202" s="7">
        <f t="shared" si="73"/>
        <v>13.750000008149073</v>
      </c>
      <c r="O202" s="7"/>
      <c r="P202" s="7"/>
      <c r="Q202" s="22"/>
      <c r="R202" s="173"/>
      <c r="S202" s="176">
        <f t="shared" si="74"/>
        <v>1</v>
      </c>
      <c r="T202" s="202" t="str">
        <f t="shared" si="50"/>
        <v>NorthBound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 t="shared" si="51"/>
        <v>https://d0f6bd738d7f1b3e5a7ca70fe4ff75f0.us-east-1.aws.found.io/app/kibana#/discover/Steve-Slow-Train-Analysis-(2080s-and-2083s)?_g=(refreshInterval:(display:Off,pause:!f,section:0,value:0),time:(from:'2017-06-08T19:14:53-0600',mode:absolute,to:'2017-06-08T21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2" s="204" t="str">
        <f t="shared" si="52"/>
        <v>N</v>
      </c>
      <c r="X202" s="204">
        <f t="shared" si="75"/>
        <v>1</v>
      </c>
      <c r="Y202" s="204">
        <f t="shared" si="54"/>
        <v>9.0200000000000002E-2</v>
      </c>
      <c r="Z202" s="204">
        <f t="shared" si="55"/>
        <v>5.8963000000000001</v>
      </c>
      <c r="AA202" s="204">
        <f t="shared" si="56"/>
        <v>5.8060999999999998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57"/>
        <v>0843-08</v>
      </c>
      <c r="AE202" s="80" t="str">
        <f t="shared" si="58"/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AF202" s="77" t="str">
        <f t="shared" si="59"/>
        <v>"C:\Program Files (x86)\AstroGrep\AstroGrep.exe" /e /r /s /spath="%USERPROFILE%\AppData\Local\Temp\OnboardLogs" /stypes="app*4032*20170609*" /stext=" 02:.+((SYSTEM_STATE.+slice.+state.+changed )|(ment ac)|(multiple cpu faults)|(system.+state.+changed )|(\[timeout)|(PRM\|1\|D)|(kpr)|(kdp)|(train st.+moving)|(\|lc)|(penalty))"</v>
      </c>
      <c r="AG202" s="1" t="str">
        <f t="shared" si="60"/>
        <v>NW</v>
      </c>
      <c r="AH202" s="81" t="str">
        <f t="shared" si="63"/>
        <v>"%USERPROFILE%\Documents\GitHub\eaglep3\Utilities\RefineRTDCRunTimes.py" --tripid 843-08 --locoid 4032 --swversion DE.1.0.9.0 --startMP 204:902 --initTime 2017-06-08T20:14:53 --startdatetime 2017-06-08T20:21:45 --delay 1 --endMP 300:58963 --enddatetime 2017-06-08T20:35:30 --enforcementcount 0 &gt;&gt;C:\Users\stu\Documents\GitHub\eaglep3-reporting\EC\2017-06-08-refined-times.txt</v>
      </c>
      <c r="AI202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{"issue":{"subject":"","project_id":79,"tracker_id":40,"status_id":1,"priority_id":2,"assigned_to_id":23,"start_date":"2017-06-08","description":"","custom_fields":[{"id":1,"name":"Subdivision","value":"NW"},{"id":4,"name":"Milepost","value":"5.8963"},{"id":17,"name":"Train ID","value":"843-08"},{"id":16,"name":"Locomotive ID","value":"4032"},{"id":130,"name":"Impact","value":""},{"id":150,"name":"Time of Event (Mountain Time)","value":"20:35:30"},{"id":151,"name":"Denver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5" t="str">
        <f t="shared" si="65"/>
        <v>start /low /b %USERPROFILE%\Documents\GitHub\eaglep3\Utilities\DownloadLogsFromS3.py --loco 4032 --day 2017-06-08</v>
      </c>
      <c r="AN202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02:35:30"},{"id":29,"name":"Sharepoint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822</v>
      </c>
      <c r="B203" s="7">
        <v>4031</v>
      </c>
      <c r="C203" s="21" t="s">
        <v>204</v>
      </c>
      <c r="D203" s="21" t="s">
        <v>604</v>
      </c>
      <c r="E203" s="13">
        <v>42894.901747685188</v>
      </c>
      <c r="F203" s="13">
        <v>42894.932129629633</v>
      </c>
      <c r="G203" s="7">
        <v>1</v>
      </c>
      <c r="H203" s="21" t="s">
        <v>966</v>
      </c>
      <c r="I203" s="13">
        <v>42894.942280092589</v>
      </c>
      <c r="J203" s="7">
        <v>0</v>
      </c>
      <c r="K203" s="92" t="str">
        <f t="shared" si="48"/>
        <v>4031/4032</v>
      </c>
      <c r="L203" s="21" t="str">
        <f>VLOOKUP(A203,'Trips&amp;Operators'!$C$1:$G$99999,5,FALSE)</f>
        <v>HAITHCOX MICHAEL</v>
      </c>
      <c r="M203" s="6">
        <f t="shared" si="49"/>
        <v>1.0150462956517003E-2</v>
      </c>
      <c r="N203" s="7">
        <f t="shared" si="73"/>
        <v>14.616666657384485</v>
      </c>
      <c r="O203" s="7"/>
      <c r="P203" s="7"/>
      <c r="Q203" s="22"/>
      <c r="R203" s="173"/>
      <c r="S203" s="176">
        <f t="shared" si="74"/>
        <v>1</v>
      </c>
      <c r="T203" s="202" t="str">
        <f t="shared" si="50"/>
        <v>Southbound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 t="shared" si="51"/>
        <v>https://d0f6bd738d7f1b3e5a7ca70fe4ff75f0.us-east-1.aws.found.io/app/kibana#/discover/Steve-Slow-Train-Analysis-(2080s-and-2083s)?_g=(refreshInterval:(display:Off,pause:!f,section:0,value:0),time:(from:'2017-06-08T20:38:31-0600',mode:absolute,to:'2017-06-08T23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3" s="204" t="str">
        <f t="shared" si="52"/>
        <v>N</v>
      </c>
      <c r="X203" s="204">
        <f t="shared" si="75"/>
        <v>1</v>
      </c>
      <c r="Y203" s="204">
        <f t="shared" si="54"/>
        <v>5.8609</v>
      </c>
      <c r="Z203" s="204">
        <f t="shared" si="55"/>
        <v>6.8500000000000005E-2</v>
      </c>
      <c r="AA203" s="204">
        <f t="shared" si="56"/>
        <v>5.7923999999999998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57"/>
        <v>0844-08</v>
      </c>
      <c r="AE203" s="80" t="str">
        <f t="shared" si="58"/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AF203" s="77" t="str">
        <f t="shared" si="59"/>
        <v>"C:\Program Files (x86)\AstroGrep\AstroGrep.exe" /e /r /s /spath="%USERPROFILE%\AppData\Local\Temp\OnboardLogs" /stypes="app*4031*20170609*" /stext=" 04:.+((SYSTEM_STATE.+slice.+state.+changed )|(ment ac)|(multiple cpu faults)|(system.+state.+changed )|(\[timeout)|(PRM\|1\|D)|(kpr)|(kdp)|(train st.+moving)|(\|lc)|(penalty))"</v>
      </c>
      <c r="AG203" s="1" t="str">
        <f t="shared" si="60"/>
        <v>NW</v>
      </c>
      <c r="AH203" s="81" t="str">
        <f t="shared" si="63"/>
        <v>"%USERPROFILE%\Documents\GitHub\eaglep3\Utilities\RefineRTDCRunTimes.py" --tripid 844-08 --locoid 4031 --swversion DE.1.0.9.0 --startMP 300:58609 --initTime 2017-06-08T21:38:31 --startdatetime 2017-06-08T22:22:16 --delay 1 --endMP 204:685 --enddatetime 2017-06-08T22:36:53 --enforcementcount 0 &gt;&gt;C:\Users\stu\Documents\GitHub\eaglep3-reporting\EC\2017-06-08-refined-times.txt</v>
      </c>
      <c r="AI203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{"issue":{"subject":"","project_id":79,"tracker_id":40,"status_id":1,"priority_id":2,"assigned_to_id":23,"start_date":"2017-06-08","description":"","custom_fields":[{"id":1,"name":"Subdivision","value":"NW"},{"id":4,"name":"Milepost","value":"0.0685"},{"id":17,"name":"Train ID","value":"844-08"},{"id":16,"name":"Locomotive ID","value":"4031"},{"id":130,"name":"Impact","value":""},{"id":150,"name":"Time of Event (Mountain Time)","value":"22:36:53"},{"id":151,"name":"Denver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65"/>
        <v>start /low /b %USERPROFILE%\Documents\GitHub\eaglep3\Utilities\DownloadLogsFromS3.py --loco 4031 --day 2017-06-08</v>
      </c>
      <c r="AN203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04:36:53"},{"id":29,"name":"Sharepoint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s="20" customFormat="1" x14ac:dyDescent="0.25">
      <c r="A204" s="32" t="s">
        <v>817</v>
      </c>
      <c r="B204" s="7">
        <v>4032</v>
      </c>
      <c r="C204" s="21" t="s">
        <v>204</v>
      </c>
      <c r="D204" s="21" t="s">
        <v>956</v>
      </c>
      <c r="E204" s="13">
        <v>42894.87804398148</v>
      </c>
      <c r="F204" s="13">
        <v>42894.889826388891</v>
      </c>
      <c r="G204" s="7">
        <v>1</v>
      </c>
      <c r="H204" s="21" t="s">
        <v>975</v>
      </c>
      <c r="I204" s="13">
        <v>42894.900682870371</v>
      </c>
      <c r="J204" s="7">
        <v>0</v>
      </c>
      <c r="K204" s="92" t="str">
        <f t="shared" si="48"/>
        <v>4031/4032</v>
      </c>
      <c r="L204" s="21" t="str">
        <f>VLOOKUP(A204,'Trips&amp;Operators'!$C$1:$G$99999,5,FALSE)</f>
        <v>HAITHCOX MICHAEL</v>
      </c>
      <c r="M204" s="6">
        <f t="shared" si="49"/>
        <v>1.0856481480004732E-2</v>
      </c>
      <c r="N204" s="7">
        <f t="shared" si="73"/>
        <v>15.633333331206813</v>
      </c>
      <c r="O204" s="7"/>
      <c r="P204" s="7"/>
      <c r="Q204" s="22"/>
      <c r="R204" s="173"/>
      <c r="S204" s="176">
        <f t="shared" si="74"/>
        <v>1</v>
      </c>
      <c r="T204" s="202" t="str">
        <f t="shared" si="50"/>
        <v>NorthBound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 t="shared" si="51"/>
        <v>https://d0f6bd738d7f1b3e5a7ca70fe4ff75f0.us-east-1.aws.found.io/app/kibana#/discover/Steve-Slow-Train-Analysis-(2080s-and-2083s)?_g=(refreshInterval:(display:Off,pause:!f,section:0,value:0),time:(from:'2017-06-08T20:04:23-0600',mode:absolute,to:'2017-06-08T22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4" s="204" t="str">
        <f t="shared" si="52"/>
        <v>N</v>
      </c>
      <c r="X204" s="204">
        <f t="shared" si="75"/>
        <v>1</v>
      </c>
      <c r="Y204" s="204">
        <f t="shared" si="54"/>
        <v>9.74E-2</v>
      </c>
      <c r="Z204" s="204">
        <f t="shared" si="55"/>
        <v>5.8926999999999996</v>
      </c>
      <c r="AA204" s="204">
        <f t="shared" si="56"/>
        <v>5.7952999999999992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57"/>
        <v>0845-08</v>
      </c>
      <c r="AE204" s="80" t="str">
        <f t="shared" si="58"/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AF204" s="77" t="str">
        <f t="shared" si="59"/>
        <v>"C:\Program Files (x86)\AstroGrep\AstroGrep.exe" /e /r /s /spath="%USERPROFILE%\AppData\Local\Temp\OnboardLogs" /stypes="app*4032*20170609*" /stext=" 03:.+((SYSTEM_STATE.+slice.+state.+changed )|(ment ac)|(multiple cpu faults)|(system.+state.+changed )|(\[timeout)|(PRM\|1\|D)|(kpr)|(kdp)|(train st.+moving)|(\|lc)|(penalty))"</v>
      </c>
      <c r="AG204" s="1" t="str">
        <f t="shared" si="60"/>
        <v>NW</v>
      </c>
      <c r="AH204" s="81" t="str">
        <f t="shared" si="63"/>
        <v>"%USERPROFILE%\Documents\GitHub\eaglep3\Utilities\RefineRTDCRunTimes.py" --tripid 845-08 --locoid 4032 --swversion DE.1.0.9.0 --startMP 204:974 --initTime 2017-06-08T21:04:23 --startdatetime 2017-06-08T21:21:21 --delay 1 --endMP 300:58927 --enddatetime 2017-06-08T21:36:59 --enforcementcount 0 &gt;&gt;C:\Users\stu\Documents\GitHub\eaglep3-reporting\EC\2017-06-08-refined-times.txt</v>
      </c>
      <c r="AI204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{"issue":{"subject":"","project_id":79,"tracker_id":40,"status_id":1,"priority_id":2,"assigned_to_id":23,"start_date":"2017-06-08","description":"","custom_fields":[{"id":1,"name":"Subdivision","value":"NW"},{"id":4,"name":"Milepost","value":"5.8927"},{"id":17,"name":"Train ID","value":"845-08"},{"id":16,"name":"Locomotive ID","value":"4032"},{"id":130,"name":"Impact","value":""},{"id":150,"name":"Time of Event (Mountain Time)","value":"21:36:59"},{"id":151,"name":"Denver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5" t="str">
        <f t="shared" si="65"/>
        <v>start /low /b %USERPROFILE%\Documents\GitHub\eaglep3\Utilities\DownloadLogsFromS3.py --loco 4032 --day 2017-06-08</v>
      </c>
      <c r="AN204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03:36:59"},{"id":29,"name":"Sharepoint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825</v>
      </c>
      <c r="B205" s="7">
        <v>4032</v>
      </c>
      <c r="C205" s="21" t="s">
        <v>204</v>
      </c>
      <c r="D205" s="21" t="s">
        <v>600</v>
      </c>
      <c r="E205" s="13">
        <v>42894.916296296295</v>
      </c>
      <c r="F205" s="13">
        <v>42894.932129629633</v>
      </c>
      <c r="G205" s="7">
        <v>1</v>
      </c>
      <c r="H205" s="21" t="s">
        <v>606</v>
      </c>
      <c r="I205" s="13">
        <v>42894.942280092589</v>
      </c>
      <c r="J205" s="7">
        <v>0</v>
      </c>
      <c r="K205" s="92" t="str">
        <f t="shared" ref="K205:K238" si="76">IF(ISEVEN(B205),(B205-1)&amp;"/"&amp;B205,B205&amp;"/"&amp;(B205+1))</f>
        <v>4031/4032</v>
      </c>
      <c r="L205" s="21" t="str">
        <f>VLOOKUP(A205,'Trips&amp;Operators'!$C$1:$G$99999,5,FALSE)</f>
        <v>HAITHCOX MICHAEL</v>
      </c>
      <c r="M205" s="6">
        <f t="shared" ref="M205:M238" si="77">I205-F205</f>
        <v>1.0150462956517003E-2</v>
      </c>
      <c r="N205" s="7">
        <f t="shared" si="73"/>
        <v>14.616666657384485</v>
      </c>
      <c r="O205" s="7"/>
      <c r="P205" s="7"/>
      <c r="Q205" s="22"/>
      <c r="R205" s="173"/>
      <c r="S205" s="176">
        <f t="shared" si="74"/>
        <v>1</v>
      </c>
      <c r="T205" s="202" t="str">
        <f t="shared" ref="T205:T238" si="78">IF(ISEVEN(LEFT(AD205,4)),"Southbound","NorthBound")</f>
        <v>NorthBound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 t="shared" ref="V205:V238" si="7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-08T20:59:28-0600',mode:absolute,to:'2017-06-08T23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5" s="204" t="str">
        <f t="shared" ref="W205:W238" si="80">IF(AA205&lt;IF(AG205="EC",23,5.65),"Y","N")</f>
        <v>N</v>
      </c>
      <c r="X205" s="204">
        <f t="shared" si="75"/>
        <v>2</v>
      </c>
      <c r="Y205" s="204">
        <f t="shared" ref="Y205:Y238" si="81">RIGHT(D205,LEN(D205)-4)/10000</f>
        <v>9.7199999999999995E-2</v>
      </c>
      <c r="Z205" s="204">
        <f t="shared" ref="Z205:Z238" si="82">RIGHT(H205,LEN(H205)-4)/10000</f>
        <v>5.8914</v>
      </c>
      <c r="AA205" s="204">
        <f t="shared" ref="AA205:AA268" si="83">ABS(Z205-Y205)</f>
        <v>5.7942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38" si="84">IF(LEN(A205)=6,"0"&amp;A205,A205)</f>
        <v>0847-08</v>
      </c>
      <c r="AE205" s="80" t="str">
        <f t="shared" ref="AE205:AE238" si="8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AF205" s="77" t="str">
        <f t="shared" ref="AF205:AF238" si="8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/stypes="app*4032*20170609*" /stext=" 04:.+((SYSTEM_STATE.+slice.+state.+changed )|(ment ac)|(multiple cpu faults)|(system.+state.+changed )|(\[timeout)|(PRM\|1\|D)|(kpr)|(kdp)|(train st.+moving)|(\|lc)|(penalty))"</v>
      </c>
      <c r="AG205" s="1" t="str">
        <f t="shared" ref="AG205:AG238" si="87">IFERROR(IF(VALUE(LEFT(AD205,2))&lt;=2,"EC",IF(OR(VALUE(LEFT(AD205,2))=8,VALUE(LEFT(AD205,2))=18),"NW","Other")),"Other")</f>
        <v>NW</v>
      </c>
      <c r="AH205" s="81" t="str">
        <f t="shared" si="63"/>
        <v>"%USERPROFILE%\Documents\GitHub\eaglep3\Utilities\RefineRTDCRunTimes.py" --tripid 847-08 --locoid 4032 --swversion DE.1.0.9.0 --startMP 204:972 --initTime 2017-06-08T21:59:28 --startdatetime 2017-06-08T22:22:16 --delay 1 --endMP 300:58914 --enddatetime 2017-06-08T22:36:53 --enforcementcount 0 &gt;&gt;C:\Users\stu\Documents\GitHub\eaglep3-reporting\EC\2017-06-08-refined-times.txt</v>
      </c>
      <c r="AI205" s="99" t="str">
        <f t="shared" si="64"/>
        <v>echo {"issue":{"subject":"","project_id":79,"tracker_id":40,"status_id":1,"priority_id":2,"assigned_to_id":23,"start_date":"2017-06-08","description":"","custom_fields":[{"id":1,"name":"Subdivision","value":"NW"},{"id":4,"name":"Milepost","value":"5.8914"},{"id":17,"name":"Train ID","value":"847-08"},{"id":16,"name":"Locomotive ID","value":"4032"},{"id":130,"name":"Impact","value":""},{"id":150,"name":"Time of Event (Mountain Time)","value":"22:36:53"},{"id":151,"name":"Denver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65"/>
        <v>start /low /b %USERPROFILE%\Documents\GitHub\eaglep3\Utilities\DownloadLogsFromS3.py --loco 4032 --day 2017-06-08</v>
      </c>
      <c r="AN205" s="154" t="str">
        <f t="shared" si="66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04:36:53"},{"id":29,"name":"Sharepoint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650</v>
      </c>
      <c r="B206" s="7">
        <v>4039</v>
      </c>
      <c r="C206" s="21" t="s">
        <v>204</v>
      </c>
      <c r="D206" s="21" t="s">
        <v>910</v>
      </c>
      <c r="E206" s="13">
        <v>42894.115416666667</v>
      </c>
      <c r="F206" s="13">
        <v>42894.12190972222</v>
      </c>
      <c r="G206" s="7">
        <v>1</v>
      </c>
      <c r="H206" s="21" t="s">
        <v>911</v>
      </c>
      <c r="I206" s="13">
        <v>42894.122083333335</v>
      </c>
      <c r="J206" s="7">
        <v>0</v>
      </c>
      <c r="K206" s="92" t="str">
        <f t="shared" si="76"/>
        <v>4039/4040</v>
      </c>
      <c r="L206" s="21" t="str">
        <f>VLOOKUP(A206,'Trips&amp;Operators'!$C$1:$G$99999,5,FALSE)</f>
        <v>STARKS ANGELINA</v>
      </c>
      <c r="M206" s="6">
        <f t="shared" si="77"/>
        <v>1.7361111531499773E-4</v>
      </c>
      <c r="N206" s="7">
        <f t="shared" ref="N206:N213" si="88">24*60*SUM($M206:$M206)</f>
        <v>0.25000000605359674</v>
      </c>
      <c r="O206" s="7"/>
      <c r="P206" s="7"/>
      <c r="Q206" s="22"/>
      <c r="R206" s="173"/>
      <c r="S206" s="176">
        <f t="shared" ref="S206:S238" si="89">SUM(U206:U206)/IF(AG206="EC",12,1)</f>
        <v>1</v>
      </c>
      <c r="T206" s="202" t="str">
        <f t="shared" si="78"/>
        <v>Southbound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 t="shared" si="79"/>
        <v>https://d0f6bd738d7f1b3e5a7ca70fe4ff75f0.us-east-1.aws.found.io/app/kibana#/discover/Steve-Slow-Train-Analysis-(2080s-and-2083s)?_g=(refreshInterval:(display:Off,pause:!f,section:0,value:0),time:(from:'2017-06-08T01:46:12-0600',mode:absolute,to:'2017-06-08T03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6" s="204" t="str">
        <f t="shared" si="80"/>
        <v>Y</v>
      </c>
      <c r="X206" s="204">
        <f t="shared" si="75"/>
        <v>-547</v>
      </c>
      <c r="Y206" s="204">
        <f t="shared" si="81"/>
        <v>2.5463</v>
      </c>
      <c r="Z206" s="204">
        <f t="shared" si="82"/>
        <v>0.11559999999999999</v>
      </c>
      <c r="AA206" s="204">
        <f t="shared" si="83"/>
        <v>2.4306999999999999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84"/>
        <v>0300-08</v>
      </c>
      <c r="AE206" s="80" t="str">
        <f t="shared" si="85"/>
        <v>aws s3 cp s3://rtdc.mdm.uploadarchive.raw/RTDC4039/ "%USERPROFILE%\AppData\Local\Temp\OnboardLogs"\RTDC4039\2017-06-08 --exclude "*" --recursive --include "*20170608*" &amp; "%USERPROFILE%\Documents\GitHub\mrs-test-scripts\Headless Mode &amp; Sideloading\WalkAndUnGZ.bat" "%USERPROFILE%\AppData\Local\Temp\OnboardLogs"\RTDC4039\2017-06-08 &amp; aws s3 cp s3://rtdc.mdm.uploadarchive.raw/RTDC4039/ "%USERPROFILE%\AppData\Local\Temp\OnboardLogs"\RTDC4039\2017-06-09 --exclude "*" --recursive --include "*20170609*" &amp; "%USERPROFILE%\Documents\GitHub\mrs-test-scripts\Headless Mode &amp; Sideloading\WalkAndUnGZ.bat" "%USERPROFILE%\AppData\Local\Temp\OnboardLogs"\RTDC4039\2017-06-09</v>
      </c>
      <c r="AF206" s="77" t="str">
        <f t="shared" si="86"/>
        <v>"C:\Program Files (x86)\AstroGrep\AstroGrep.exe" /e /r /s /spath="%USERPROFILE%\AppData\Local\Temp\OnboardLogs" /stypes="app*4039*20170608*" /stext=" 08:.+((SYSTEM_STATE.+slice.+state.+changed )|(ment ac)|(multiple cpu faults)|(system.+state.+changed )|(\[timeout)|(PRM\|1\|D)|(kpr)|(kdp)|(train st.+moving)|(\|lc)|(penalty))"</v>
      </c>
      <c r="AG206" s="1" t="str">
        <f t="shared" si="87"/>
        <v>Other</v>
      </c>
      <c r="AH206" s="81" t="str">
        <f t="shared" si="63"/>
        <v>"%USERPROFILE%\Documents\GitHub\eaglep3\Utilities\RefineRTDCRunTimes.py" --tripid 300-08 --locoid 4039 --swversion DE.1.0.9.0 --startMP 300:25463 --initTime 2017-06-08T02:46:12 --startdatetime 2017-06-08T02:55:33 --delay 1 --endMP 204:1156 --enddatetime 2017-06-08T02:55:48 --enforcementcount 0 &gt;&gt;C:\Users\stu\Documents\GitHub\eaglep3-reporting\EC\2017-06-08-refined-times.txt</v>
      </c>
      <c r="AI206" s="99" t="str">
        <f t="shared" si="64"/>
        <v>echo {"issue":{"subject":"","project_id":79,"tracker_id":40,"status_id":1,"priority_id":2,"assigned_to_id":23,"start_date":"2017-06-08","description":"","custom_fields":[{"id":1,"name":"Subdivision","value":"Other"},{"id":4,"name":"Milepost","value":"0.1156"},{"id":17,"name":"Train ID","value":"300-08"},{"id":16,"name":"Locomotive ID","value":"4039"},{"id":130,"name":"Impact","value":""},{"id":150,"name":"Time of Event (Mountain Time)","value":"02:55:48"},{"id":151,"name":"Denver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65"/>
        <v>start /low /b %USERPROFILE%\Documents\GitHub\eaglep3\Utilities\DownloadLogsFromS3.py --loco 4039 --day 2017-06-08</v>
      </c>
      <c r="AN206" s="154" t="str">
        <f t="shared" si="66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08:55:48"},{"id":29,"name":"Sharepoint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803</v>
      </c>
      <c r="B207" s="7">
        <v>4030</v>
      </c>
      <c r="C207" s="21" t="s">
        <v>204</v>
      </c>
      <c r="D207" s="21" t="s">
        <v>912</v>
      </c>
      <c r="E207" s="13">
        <v>42894.776307870372</v>
      </c>
      <c r="F207" s="13">
        <v>42894.777499999997</v>
      </c>
      <c r="G207" s="7">
        <v>1</v>
      </c>
      <c r="H207" s="21" t="s">
        <v>357</v>
      </c>
      <c r="I207" s="13">
        <v>42894.784131944441</v>
      </c>
      <c r="J207" s="7">
        <v>0</v>
      </c>
      <c r="K207" s="92" t="str">
        <f t="shared" si="76"/>
        <v>4029/4030</v>
      </c>
      <c r="L207" s="21" t="str">
        <f>VLOOKUP(A207,'Trips&amp;Operators'!$C$1:$G$99999,5,FALSE)</f>
        <v>LEVIN SCOTT</v>
      </c>
      <c r="M207" s="6">
        <f t="shared" si="77"/>
        <v>6.6319444449618459E-3</v>
      </c>
      <c r="N207" s="7">
        <f t="shared" si="88"/>
        <v>9.5500000007450581</v>
      </c>
      <c r="O207" s="7"/>
      <c r="P207" s="7"/>
      <c r="Q207" s="22"/>
      <c r="R207" s="173"/>
      <c r="S207" s="176">
        <f t="shared" si="89"/>
        <v>1</v>
      </c>
      <c r="T207" s="202" t="str">
        <f t="shared" si="78"/>
        <v>NorthBound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3" t="str">
        <f t="shared" si="79"/>
        <v>https://d0f6bd738d7f1b3e5a7ca70fe4ff75f0.us-east-1.aws.found.io/app/kibana#/discover/Steve-Slow-Train-Analysis-(2080s-and-2083s)?_g=(refreshInterval:(display:Off,pause:!f,section:0,value:0),time:(from:'2017-06-08T17:37:53-0600',mode:absolute,to:'2017-06-08T19:49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7" s="204" t="str">
        <f t="shared" si="80"/>
        <v>Y</v>
      </c>
      <c r="X207" s="204">
        <f t="shared" si="75"/>
        <v>1</v>
      </c>
      <c r="Y207" s="204">
        <f t="shared" si="81"/>
        <v>3.8600000000000002E-2</v>
      </c>
      <c r="Z207" s="204">
        <f t="shared" si="82"/>
        <v>2.3346</v>
      </c>
      <c r="AA207" s="204">
        <f t="shared" si="83"/>
        <v>2.2959999999999998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84"/>
        <v>0301-08</v>
      </c>
      <c r="AE207" s="80" t="str">
        <f t="shared" si="85"/>
        <v>aws s3 cp s3://rtdc.mdm.uploadarchive.raw/RTDC4030/ "%USERPROFILE%\AppData\Local\Temp\OnboardLogs"\RTDC4030\2017-06-08 --exclude "*" --recursive --include "*20170608*" &amp; "%USERPROFILE%\Documents\GitHub\mrs-test-scripts\Headless Mode &amp; Sideloading\WalkAndUnGZ.bat" "%USERPROFILE%\AppData\Local\Temp\OnboardLogs"\RTDC4030\2017-06-08 &amp; aws s3 cp s3://rtdc.mdm.uploadarchive.raw/RTDC4030/ "%USERPROFILE%\AppData\Local\Temp\OnboardLogs"\RTDC4030\2017-06-09 --exclude "*" --recursive --include "*20170609*" &amp; "%USERPROFILE%\Documents\GitHub\mrs-test-scripts\Headless Mode &amp; Sideloading\WalkAndUnGZ.bat" "%USERPROFILE%\AppData\Local\Temp\OnboardLogs"\RTDC4030\2017-06-09</v>
      </c>
      <c r="AF207" s="77" t="str">
        <f t="shared" si="86"/>
        <v>"C:\Program Files (x86)\AstroGrep\AstroGrep.exe" /e /r /s /spath="%USERPROFILE%\AppData\Local\Temp\OnboardLogs" /stypes="app*4030*20170609*" /stext=" 00:.+((SYSTEM_STATE.+slice.+state.+changed )|(ment ac)|(multiple cpu faults)|(system.+state.+changed )|(\[timeout)|(PRM\|1\|D)|(kpr)|(kdp)|(train st.+moving)|(\|lc)|(penalty))"</v>
      </c>
      <c r="AG207" s="1" t="str">
        <f t="shared" si="87"/>
        <v>Other</v>
      </c>
      <c r="AH207" s="81" t="str">
        <f t="shared" ref="AH207:AH238" si="90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301-08 --locoid 4030 --swversion DE.1.0.9.0 --startMP 204:386 --initTime 2017-06-08T18:37:53 --startdatetime 2017-06-08T18:39:36 --delay 1 --endMP 300:23346 --enddatetime 2017-06-08T18:49:09 --enforcementcount 0 &gt;&gt;C:\Users\stu\Documents\GitHub\eaglep3-reporting\EC\2017-06-08-refined-times.txt</v>
      </c>
      <c r="AI207" s="99" t="str">
        <f t="shared" ref="AI207:AI238" si="91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{"issue":{"subject":"","project_id":79,"tracker_id":40,"status_id":1,"priority_id":2,"assigned_to_id":23,"start_date":"2017-06-08","description":"","custom_fields":[{"id":1,"name":"Subdivision","value":"Other"},{"id":4,"name":"Milepost","value":"2.3346"},{"id":17,"name":"Train ID","value":"301-08"},{"id":16,"name":"Locomotive ID","value":"4030"},{"id":130,"name":"Impact","value":""},{"id":150,"name":"Time of Event (Mountain Time)","value":"18:49:09"},{"id":151,"name":"Denver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ref="AM207:AM238" si="92">"start /low /b "&amp;dls3logs&amp;" --loco "&amp;B207&amp;" --day "&amp;TEXT(F207,"YYYY-MM-DD")</f>
        <v>start /low /b %USERPROFILE%\Documents\GitHub\eaglep3\Utilities\DownloadLogsFromS3.py --loco 4030 --day 2017-06-08</v>
      </c>
      <c r="AN207" s="154" t="str">
        <f t="shared" ref="AN207:AN238" si="93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00:49:09"},{"id":29,"name":"Sharepoint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652</v>
      </c>
      <c r="B208" s="7">
        <v>4055</v>
      </c>
      <c r="C208" s="21" t="s">
        <v>204</v>
      </c>
      <c r="D208" s="21" t="s">
        <v>913</v>
      </c>
      <c r="E208" s="13">
        <v>42894.137430555558</v>
      </c>
      <c r="F208" s="13">
        <v>42894.142002314817</v>
      </c>
      <c r="G208" s="7">
        <v>6</v>
      </c>
      <c r="H208" s="21" t="s">
        <v>363</v>
      </c>
      <c r="I208" s="13">
        <v>42894.148240740738</v>
      </c>
      <c r="J208" s="7">
        <v>0</v>
      </c>
      <c r="K208" s="92" t="str">
        <f t="shared" si="76"/>
        <v>4055/4056</v>
      </c>
      <c r="L208" s="21" t="str">
        <f>VLOOKUP(A208,'Trips&amp;Operators'!$C$1:$G$99999,5,FALSE)</f>
        <v>WILLIAMS DONTE</v>
      </c>
      <c r="M208" s="6">
        <f t="shared" si="77"/>
        <v>6.2384259217651561E-3</v>
      </c>
      <c r="N208" s="7">
        <f t="shared" si="88"/>
        <v>8.9833333273418248</v>
      </c>
      <c r="O208" s="7"/>
      <c r="P208" s="7"/>
      <c r="Q208" s="22"/>
      <c r="R208" s="173"/>
      <c r="S208" s="176">
        <f t="shared" si="89"/>
        <v>1</v>
      </c>
      <c r="T208" s="202" t="str">
        <f t="shared" si="78"/>
        <v>Southbound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3" t="str">
        <f t="shared" si="79"/>
        <v>https://d0f6bd738d7f1b3e5a7ca70fe4ff75f0.us-east-1.aws.found.io/app/kibana#/discover/Steve-Slow-Train-Analysis-(2080s-and-2083s)?_g=(refreshInterval:(display:Off,pause:!f,section:0,value:0),time:(from:'2017-06-08T02:17:54-0600',mode:absolute,to:'2017-06-08T04:33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8" s="204" t="str">
        <f t="shared" si="80"/>
        <v>Y</v>
      </c>
      <c r="X208" s="204">
        <f t="shared" si="75"/>
        <v>1</v>
      </c>
      <c r="Y208" s="204">
        <f t="shared" si="81"/>
        <v>2.3591000000000002</v>
      </c>
      <c r="Z208" s="204">
        <f t="shared" si="82"/>
        <v>1.41E-2</v>
      </c>
      <c r="AA208" s="204">
        <f t="shared" si="83"/>
        <v>2.3450000000000002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84"/>
        <v>0302-08</v>
      </c>
      <c r="AE208" s="80" t="str">
        <f t="shared" si="85"/>
        <v>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 &amp; aws s3 cp s3://rtdc.mdm.uploadarchive.raw/RTDC4055/ "%USERPROFILE%\AppData\Local\Temp\OnboardLogs"\RTDC4055\2017-06-09 --exclude "*" --recursive --include "*20170609*" &amp; "%USERPROFILE%\Documents\GitHub\mrs-test-scripts\Headless Mode &amp; Sideloading\WalkAndUnGZ.bat" "%USERPROFILE%\AppData\Local\Temp\OnboardLogs"\RTDC4055\2017-06-09</v>
      </c>
      <c r="AF208" s="77" t="str">
        <f t="shared" si="86"/>
        <v>"C:\Program Files (x86)\AstroGrep\AstroGrep.exe" /e /r /s /spath="%USERPROFILE%\AppData\Local\Temp\OnboardLogs" /stypes="app*4055*20170608*" /stext=" 09:.+((SYSTEM_STATE.+slice.+state.+changed )|(ment ac)|(multiple cpu faults)|(system.+state.+changed )|(\[timeout)|(PRM\|1\|D)|(kpr)|(kdp)|(train st.+moving)|(\|lc)|(penalty))"</v>
      </c>
      <c r="AG208" s="1" t="str">
        <f t="shared" si="87"/>
        <v>Other</v>
      </c>
      <c r="AH208" s="81" t="str">
        <f t="shared" si="90"/>
        <v>"%USERPROFILE%\Documents\GitHub\eaglep3\Utilities\RefineRTDCRunTimes.py" --tripid 302-08 --locoid 4055 --swversion DE.1.0.9.0 --startMP 300:23591 --initTime 2017-06-08T03:17:54 --startdatetime 2017-06-08T03:24:29 --delay 6 --endMP 204:141 --enddatetime 2017-06-08T03:33:28 --enforcementcount 0 &gt;&gt;C:\Users\stu\Documents\GitHub\eaglep3-reporting\EC\2017-06-08-refined-times.txt</v>
      </c>
      <c r="AI208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{"issue":{"subject":"","project_id":79,"tracker_id":40,"status_id":1,"priority_id":2,"assigned_to_id":23,"start_date":"2017-06-08","description":"","custom_fields":[{"id":1,"name":"Subdivision","value":"Other"},{"id":4,"name":"Milepost","value":"0.0141"},{"id":17,"name":"Train ID","value":"302-08"},{"id":16,"name":"Locomotive ID","value":"4055"},{"id":130,"name":"Impact","value":""},{"id":150,"name":"Time of Event (Mountain Time)","value":"03:33:28"},{"id":151,"name":"Denver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92"/>
        <v>start /low /b %USERPROFILE%\Documents\GitHub\eaglep3\Utilities\DownloadLogsFromS3.py --loco 4055 --day 2017-06-08</v>
      </c>
      <c r="AN208" s="154" t="str">
        <f t="shared" si="93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09:33:28"},{"id":29,"name":"Sharepoint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808</v>
      </c>
      <c r="B209" s="7">
        <v>4044</v>
      </c>
      <c r="C209" s="21" t="s">
        <v>204</v>
      </c>
      <c r="D209" s="21" t="s">
        <v>488</v>
      </c>
      <c r="E209" s="13">
        <v>42894.798460648148</v>
      </c>
      <c r="F209" s="13">
        <v>42894.800069444442</v>
      </c>
      <c r="G209" s="7">
        <v>1</v>
      </c>
      <c r="H209" s="21" t="s">
        <v>914</v>
      </c>
      <c r="I209" s="13">
        <v>42894.806273148148</v>
      </c>
      <c r="J209" s="7">
        <v>0</v>
      </c>
      <c r="K209" s="92" t="str">
        <f t="shared" si="76"/>
        <v>4043/4044</v>
      </c>
      <c r="L209" s="21" t="str">
        <f>VLOOKUP(A209,'Trips&amp;Operators'!$C$1:$G$99999,5,FALSE)</f>
        <v>BERLING GARY</v>
      </c>
      <c r="M209" s="6">
        <f t="shared" si="77"/>
        <v>6.2037037059781142E-3</v>
      </c>
      <c r="N209" s="7">
        <f t="shared" si="88"/>
        <v>8.9333333366084844</v>
      </c>
      <c r="O209" s="7"/>
      <c r="P209" s="7"/>
      <c r="Q209" s="22"/>
      <c r="R209" s="173"/>
      <c r="S209" s="176">
        <f t="shared" si="89"/>
        <v>1</v>
      </c>
      <c r="T209" s="202" t="str">
        <f t="shared" si="78"/>
        <v>NorthBound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3" t="str">
        <f t="shared" si="79"/>
        <v>https://d0f6bd738d7f1b3e5a7ca70fe4ff75f0.us-east-1.aws.found.io/app/kibana#/discover/Steve-Slow-Train-Analysis-(2080s-and-2083s)?_g=(refreshInterval:(display:Off,pause:!f,section:0,value:0),time:(from:'2017-06-08T18:09:47-0600',mode:absolute,to:'2017-06-08T20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9" s="204" t="str">
        <f t="shared" si="80"/>
        <v>Y</v>
      </c>
      <c r="X209" s="204">
        <f t="shared" si="75"/>
        <v>1</v>
      </c>
      <c r="Y209" s="204">
        <f t="shared" si="81"/>
        <v>4.7699999999999999E-2</v>
      </c>
      <c r="Z209" s="204">
        <f t="shared" si="82"/>
        <v>2.3302</v>
      </c>
      <c r="AA209" s="204">
        <f t="shared" si="83"/>
        <v>2.2825000000000002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84"/>
        <v>0303-08</v>
      </c>
      <c r="AE209" s="80" t="str">
        <f t="shared" si="85"/>
        <v>aws s3 cp s3://rtdc.mdm.uploadarchive.raw/RTDC4044/ "%USERPROFILE%\AppData\Local\Temp\OnboardLogs"\RTDC4044\2017-06-08 --exclude "*" --recursive --include "*20170608*" &amp; "%USERPROFILE%\Documents\GitHub\mrs-test-scripts\Headless Mode &amp; Sideloading\WalkAndUnGZ.bat" "%USERPROFILE%\AppData\Local\Temp\OnboardLogs"\RTDC4044\2017-06-08 &amp; aws s3 cp s3://rtdc.mdm.uploadarchive.raw/RTDC4044/ "%USERPROFILE%\AppData\Local\Temp\OnboardLogs"\RTDC4044\2017-06-09 --exclude "*" --recursive --include "*20170609*" &amp; "%USERPROFILE%\Documents\GitHub\mrs-test-scripts\Headless Mode &amp; Sideloading\WalkAndUnGZ.bat" "%USERPROFILE%\AppData\Local\Temp\OnboardLogs"\RTDC4044\2017-06-09</v>
      </c>
      <c r="AF209" s="77" t="str">
        <f t="shared" si="86"/>
        <v>"C:\Program Files (x86)\AstroGrep\AstroGrep.exe" /e /r /s /spath="%USERPROFILE%\AppData\Local\Temp\OnboardLogs" /stypes="app*4044*20170609*" /stext=" 01:.+((SYSTEM_STATE.+slice.+state.+changed )|(ment ac)|(multiple cpu faults)|(system.+state.+changed )|(\[timeout)|(PRM\|1\|D)|(kpr)|(kdp)|(train st.+moving)|(\|lc)|(penalty))"</v>
      </c>
      <c r="AG209" s="1" t="str">
        <f t="shared" si="87"/>
        <v>Other</v>
      </c>
      <c r="AH209" s="81" t="str">
        <f t="shared" si="90"/>
        <v>"%USERPROFILE%\Documents\GitHub\eaglep3\Utilities\RefineRTDCRunTimes.py" --tripid 303-08 --locoid 4044 --swversion DE.1.0.9.0 --startMP 204:477 --initTime 2017-06-08T19:09:47 --startdatetime 2017-06-08T19:12:06 --delay 1 --endMP 300:23302 --enddatetime 2017-06-08T19:21:02 --enforcementcount 0 &gt;&gt;C:\Users\stu\Documents\GitHub\eaglep3-reporting\EC\2017-06-08-refined-times.txt</v>
      </c>
      <c r="AI209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{"issue":{"subject":"","project_id":79,"tracker_id":40,"status_id":1,"priority_id":2,"assigned_to_id":23,"start_date":"2017-06-08","description":"","custom_fields":[{"id":1,"name":"Subdivision","value":"Other"},{"id":4,"name":"Milepost","value":"2.3302"},{"id":17,"name":"Train ID","value":"303-08"},{"id":16,"name":"Locomotive ID","value":"4044"},{"id":130,"name":"Impact","value":""},{"id":150,"name":"Time of Event (Mountain Time)","value":"19:21:02"},{"id":151,"name":"Denver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92"/>
        <v>start /low /b %USERPROFILE%\Documents\GitHub\eaglep3\Utilities\DownloadLogsFromS3.py --loco 4044 --day 2017-06-08</v>
      </c>
      <c r="AN209" s="154" t="str">
        <f t="shared" si="93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01:21:02"},{"id":29,"name":"Sharepoint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654</v>
      </c>
      <c r="B210" s="7">
        <v>4003</v>
      </c>
      <c r="C210" s="21" t="s">
        <v>204</v>
      </c>
      <c r="D210" s="21" t="s">
        <v>915</v>
      </c>
      <c r="E210" s="13">
        <v>42894.161261574074</v>
      </c>
      <c r="F210" s="13">
        <v>42894.165196759262</v>
      </c>
      <c r="G210" s="7">
        <v>5</v>
      </c>
      <c r="H210" s="21" t="s">
        <v>457</v>
      </c>
      <c r="I210" s="13">
        <v>42894.170960648145</v>
      </c>
      <c r="J210" s="7">
        <v>0</v>
      </c>
      <c r="K210" s="92" t="str">
        <f t="shared" si="76"/>
        <v>4003/4004</v>
      </c>
      <c r="L210" s="21" t="str">
        <f>VLOOKUP(A210,'Trips&amp;Operators'!$C$1:$G$99999,5,FALSE)</f>
        <v>BONDS REYNALDO</v>
      </c>
      <c r="M210" s="6">
        <f t="shared" si="77"/>
        <v>5.7638888829387724E-3</v>
      </c>
      <c r="N210" s="7">
        <f t="shared" si="88"/>
        <v>8.2999999914318323</v>
      </c>
      <c r="O210" s="7"/>
      <c r="P210" s="7"/>
      <c r="Q210" s="22"/>
      <c r="R210" s="173"/>
      <c r="S210" s="176">
        <f t="shared" si="89"/>
        <v>1</v>
      </c>
      <c r="T210" s="202" t="str">
        <f t="shared" si="78"/>
        <v>Southbound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 t="shared" si="79"/>
        <v>https://d0f6bd738d7f1b3e5a7ca70fe4ff75f0.us-east-1.aws.found.io/app/kibana#/discover/Steve-Slow-Train-Analysis-(2080s-and-2083s)?_g=(refreshInterval:(display:Off,pause:!f,section:0,value:0),time:(from:'2017-06-08T02:52:13-0600',mode:absolute,to:'2017-06-08T05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0" s="204" t="str">
        <f t="shared" si="80"/>
        <v>Y</v>
      </c>
      <c r="X210" s="204">
        <f t="shared" si="75"/>
        <v>1</v>
      </c>
      <c r="Y210" s="204">
        <f t="shared" si="81"/>
        <v>2.2957000000000001</v>
      </c>
      <c r="Z210" s="204">
        <f t="shared" si="82"/>
        <v>1.5599999999999999E-2</v>
      </c>
      <c r="AA210" s="204">
        <f t="shared" si="83"/>
        <v>2.2801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84"/>
        <v>0304-08</v>
      </c>
      <c r="AE210" s="80" t="str">
        <f t="shared" si="85"/>
        <v>aws s3 cp s3://rtdc.mdm.uploadarchive.raw/RTDC4003/ "%USERPROFILE%\AppData\Local\Temp\OnboardLogs"\RTDC4003\2017-06-08 --exclude "*" --recursive --include "*20170608*" &amp; "%USERPROFILE%\Documents\GitHub\mrs-test-scripts\Headless Mode &amp; Sideloading\WalkAndUnGZ.bat" "%USERPROFILE%\AppData\Local\Temp\OnboardLogs"\RTDC4003\2017-06-08 &amp; aws s3 cp s3://rtdc.mdm.uploadarchive.raw/RTDC4003/ "%USERPROFILE%\AppData\Local\Temp\OnboardLogs"\RTDC4003\2017-06-09 --exclude "*" --recursive --include "*20170609*" &amp; "%USERPROFILE%\Documents\GitHub\mrs-test-scripts\Headless Mode &amp; Sideloading\WalkAndUnGZ.bat" "%USERPROFILE%\AppData\Local\Temp\OnboardLogs"\RTDC4003\2017-06-09</v>
      </c>
      <c r="AF210" s="77" t="str">
        <f t="shared" si="86"/>
        <v>"C:\Program Files (x86)\AstroGrep\AstroGrep.exe" /e /r /s /spath="%USERPROFILE%\AppData\Local\Temp\OnboardLogs" /stypes="app*4003*20170608*" /stext=" 10:.+((SYSTEM_STATE.+slice.+state.+changed )|(ment ac)|(multiple cpu faults)|(system.+state.+changed )|(\[timeout)|(PRM\|1\|D)|(kpr)|(kdp)|(train st.+moving)|(\|lc)|(penalty))"</v>
      </c>
      <c r="AG210" s="1" t="str">
        <f t="shared" si="87"/>
        <v>Other</v>
      </c>
      <c r="AH210" s="81" t="str">
        <f t="shared" si="90"/>
        <v>"%USERPROFILE%\Documents\GitHub\eaglep3\Utilities\RefineRTDCRunTimes.py" --tripid 304-08 --locoid 4003 --swversion DE.1.0.9.0 --startMP 300:22957 --initTime 2017-06-08T03:52:13 --startdatetime 2017-06-08T03:57:53 --delay 5 --endMP 204:156 --enddatetime 2017-06-08T04:06:11 --enforcementcount 0 &gt;&gt;C:\Users\stu\Documents\GitHub\eaglep3-reporting\EC\2017-06-08-refined-times.txt</v>
      </c>
      <c r="AI210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{"issue":{"subject":"","project_id":79,"tracker_id":40,"status_id":1,"priority_id":2,"assigned_to_id":23,"start_date":"2017-06-08","description":"","custom_fields":[{"id":1,"name":"Subdivision","value":"Other"},{"id":4,"name":"Milepost","value":"0.0156"},{"id":17,"name":"Train ID","value":"304-08"},{"id":16,"name":"Locomotive ID","value":"4003"},{"id":130,"name":"Impact","value":""},{"id":150,"name":"Time of Event (Mountain Time)","value":"04:06:11"},{"id":151,"name":"Denver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92"/>
        <v>start /low /b %USERPROFILE%\Documents\GitHub\eaglep3\Utilities\DownloadLogsFromS3.py --loco 4003 --day 2017-06-08</v>
      </c>
      <c r="AN210" s="154" t="str">
        <f t="shared" si="93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10:06:11"},{"id":29,"name":"Sharepoint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646</v>
      </c>
      <c r="B211" s="7">
        <v>4026</v>
      </c>
      <c r="C211" s="21" t="s">
        <v>204</v>
      </c>
      <c r="D211" s="21" t="s">
        <v>916</v>
      </c>
      <c r="E211" s="13">
        <v>42894.81890046296</v>
      </c>
      <c r="F211" s="13">
        <v>42894.820150462961</v>
      </c>
      <c r="G211" s="7">
        <v>1</v>
      </c>
      <c r="H211" s="21" t="s">
        <v>917</v>
      </c>
      <c r="I211" s="13">
        <v>42894.828043981484</v>
      </c>
      <c r="J211" s="7">
        <v>0</v>
      </c>
      <c r="K211" s="92" t="str">
        <f t="shared" si="76"/>
        <v>4025/4026</v>
      </c>
      <c r="L211" s="21" t="str">
        <f>VLOOKUP(A211,'Trips&amp;Operators'!$C$1:$G$99999,5,FALSE)</f>
        <v>HOLCOMB KAMDEN</v>
      </c>
      <c r="M211" s="6">
        <f t="shared" si="77"/>
        <v>7.8935185229056515E-3</v>
      </c>
      <c r="N211" s="7">
        <f t="shared" si="88"/>
        <v>11.366666672984138</v>
      </c>
      <c r="O211" s="7"/>
      <c r="P211" s="7"/>
      <c r="Q211" s="22"/>
      <c r="R211" s="173"/>
      <c r="S211" s="176">
        <f t="shared" si="89"/>
        <v>1</v>
      </c>
      <c r="T211" s="202" t="str">
        <f t="shared" si="78"/>
        <v>NorthBound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03" t="str">
        <f t="shared" si="79"/>
        <v>https://d0f6bd738d7f1b3e5a7ca70fe4ff75f0.us-east-1.aws.found.io/app/kibana#/discover/Steve-Slow-Train-Analysis-(2080s-and-2083s)?_g=(refreshInterval:(display:Off,pause:!f,section:0,value:0),time:(from:'2017-06-08T18:39:13-0600',mode:absolute,to:'2017-06-08T20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1" s="204" t="str">
        <f t="shared" si="80"/>
        <v>Y</v>
      </c>
      <c r="X211" s="204">
        <f t="shared" si="75"/>
        <v>1</v>
      </c>
      <c r="Y211" s="204">
        <f t="shared" si="81"/>
        <v>3.3000000000000002E-2</v>
      </c>
      <c r="Z211" s="204">
        <f t="shared" si="82"/>
        <v>2.3304</v>
      </c>
      <c r="AA211" s="204">
        <f t="shared" si="83"/>
        <v>2.2974000000000001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84"/>
        <v>0305-08</v>
      </c>
      <c r="AE211" s="80" t="str">
        <f t="shared" si="85"/>
        <v>aws s3 cp s3://rtdc.mdm.uploadarchive.raw/RTDC4026/ "%USERPROFILE%\AppData\Local\Temp\OnboardLogs"\RTDC4026\2017-06-08 --exclude "*" --recursive --include "*20170608*" &amp; "%USERPROFILE%\Documents\GitHub\mrs-test-scripts\Headless Mode &amp; Sideloading\WalkAndUnGZ.bat" "%USERPROFILE%\AppData\Local\Temp\OnboardLogs"\RTDC4026\2017-06-08 &amp; aws s3 cp s3://rtdc.mdm.uploadarchive.raw/RTDC4026/ "%USERPROFILE%\AppData\Local\Temp\OnboardLogs"\RTDC4026\2017-06-09 --exclude "*" --recursive --include "*20170609*" &amp; "%USERPROFILE%\Documents\GitHub\mrs-test-scripts\Headless Mode &amp; Sideloading\WalkAndUnGZ.bat" "%USERPROFILE%\AppData\Local\Temp\OnboardLogs"\RTDC4026\2017-06-09</v>
      </c>
      <c r="AF211" s="77" t="str">
        <f t="shared" si="86"/>
        <v>"C:\Program Files (x86)\AstroGrep\AstroGrep.exe" /e /r /s /spath="%USERPROFILE%\AppData\Local\Temp\OnboardLogs" /stypes="app*4026*20170609*" /stext=" 01:.+((SYSTEM_STATE.+slice.+state.+changed )|(ment ac)|(multiple cpu faults)|(system.+state.+changed )|(\[timeout)|(PRM\|1\|D)|(kpr)|(kdp)|(train st.+moving)|(\|lc)|(penalty))"</v>
      </c>
      <c r="AG211" s="1" t="str">
        <f t="shared" si="87"/>
        <v>Other</v>
      </c>
      <c r="AH211" s="81" t="str">
        <f t="shared" si="90"/>
        <v>"%USERPROFILE%\Documents\GitHub\eaglep3\Utilities\RefineRTDCRunTimes.py" --tripid 305-08 --locoid 4026 --swversion DE.1.0.9.0 --startMP 204:330 --initTime 2017-06-08T19:39:13 --startdatetime 2017-06-08T19:41:01 --delay 1 --endMP 300:23304 --enddatetime 2017-06-08T19:52:23 --enforcementcount 0 &gt;&gt;C:\Users\stu\Documents\GitHub\eaglep3-reporting\EC\2017-06-08-refined-times.txt</v>
      </c>
      <c r="AI211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{"issue":{"subject":"","project_id":79,"tracker_id":40,"status_id":1,"priority_id":2,"assigned_to_id":23,"start_date":"2017-06-08","description":"","custom_fields":[{"id":1,"name":"Subdivision","value":"Other"},{"id":4,"name":"Milepost","value":"2.3304"},{"id":17,"name":"Train ID","value":"305-08"},{"id":16,"name":"Locomotive ID","value":"4026"},{"id":130,"name":"Impact","value":""},{"id":150,"name":"Time of Event (Mountain Time)","value":"19:52:23"},{"id":151,"name":"Denver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92"/>
        <v>start /low /b %USERPROFILE%\Documents\GitHub\eaglep3\Utilities\DownloadLogsFromS3.py --loco 4026 --day 2017-06-08</v>
      </c>
      <c r="AN211" s="154" t="str">
        <f t="shared" si="93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01:52:23"},{"id":29,"name":"Sharepoint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656</v>
      </c>
      <c r="B212" s="7">
        <v>4001</v>
      </c>
      <c r="C212" s="21" t="s">
        <v>204</v>
      </c>
      <c r="D212" s="21" t="s">
        <v>918</v>
      </c>
      <c r="E212" s="13">
        <v>42894.168368055558</v>
      </c>
      <c r="F212" s="13">
        <v>42894.172800925924</v>
      </c>
      <c r="G212" s="7">
        <v>6</v>
      </c>
      <c r="H212" s="21" t="s">
        <v>195</v>
      </c>
      <c r="I212" s="13">
        <v>42894.180405092593</v>
      </c>
      <c r="J212" s="7">
        <v>0</v>
      </c>
      <c r="K212" s="92" t="str">
        <f t="shared" si="76"/>
        <v>4001/4002</v>
      </c>
      <c r="L212" s="21" t="str">
        <f>VLOOKUP(A212,'Trips&amp;Operators'!$C$1:$G$99999,5,FALSE)</f>
        <v>GEBRETEKLE DAGNEW</v>
      </c>
      <c r="M212" s="6">
        <f t="shared" si="77"/>
        <v>7.6041666688979603E-3</v>
      </c>
      <c r="N212" s="7">
        <f t="shared" si="88"/>
        <v>10.950000003213063</v>
      </c>
      <c r="O212" s="7"/>
      <c r="P212" s="7"/>
      <c r="Q212" s="22"/>
      <c r="R212" s="173"/>
      <c r="S212" s="176">
        <f t="shared" si="89"/>
        <v>1</v>
      </c>
      <c r="T212" s="202" t="str">
        <f t="shared" si="78"/>
        <v>Southbound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03" t="str">
        <f t="shared" si="79"/>
        <v>https://d0f6bd738d7f1b3e5a7ca70fe4ff75f0.us-east-1.aws.found.io/app/kibana#/discover/Steve-Slow-Train-Analysis-(2080s-and-2083s)?_g=(refreshInterval:(display:Off,pause:!f,section:0,value:0),time:(from:'2017-06-08T03:02:27-0600',mode:absolute,to:'2017-06-08T05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2" s="204" t="str">
        <f t="shared" si="80"/>
        <v>Y</v>
      </c>
      <c r="X212" s="204">
        <f t="shared" si="75"/>
        <v>1</v>
      </c>
      <c r="Y212" s="204">
        <f t="shared" si="81"/>
        <v>2.3292000000000002</v>
      </c>
      <c r="Z212" s="204">
        <f t="shared" si="82"/>
        <v>1.52E-2</v>
      </c>
      <c r="AA212" s="204">
        <f t="shared" si="83"/>
        <v>2.3140000000000001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84"/>
        <v>0306-08</v>
      </c>
      <c r="AE212" s="80" t="str">
        <f t="shared" si="85"/>
        <v>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 &amp; aws s3 cp s3://rtdc.mdm.uploadarchive.raw/RTDC4001/ "%USERPROFILE%\AppData\Local\Temp\OnboardLogs"\RTDC4001\2017-06-09 --exclude "*" --recursive --include "*20170609*" &amp; "%USERPROFILE%\Documents\GitHub\mrs-test-scripts\Headless Mode &amp; Sideloading\WalkAndUnGZ.bat" "%USERPROFILE%\AppData\Local\Temp\OnboardLogs"\RTDC4001\2017-06-09</v>
      </c>
      <c r="AF212" s="77" t="str">
        <f t="shared" si="86"/>
        <v>"C:\Program Files (x86)\AstroGrep\AstroGrep.exe" /e /r /s /spath="%USERPROFILE%\AppData\Local\Temp\OnboardLogs" /stypes="app*4001*20170608*" /stext=" 10:.+((SYSTEM_STATE.+slice.+state.+changed )|(ment ac)|(multiple cpu faults)|(system.+state.+changed )|(\[timeout)|(PRM\|1\|D)|(kpr)|(kdp)|(train st.+moving)|(\|lc)|(penalty))"</v>
      </c>
      <c r="AG212" s="1" t="str">
        <f t="shared" si="87"/>
        <v>Other</v>
      </c>
      <c r="AH212" s="81" t="str">
        <f t="shared" si="90"/>
        <v>"%USERPROFILE%\Documents\GitHub\eaglep3\Utilities\RefineRTDCRunTimes.py" --tripid 306-08 --locoid 4001 --swversion DE.1.0.9.0 --startMP 300:23292 --initTime 2017-06-08T04:02:27 --startdatetime 2017-06-08T04:08:50 --delay 6 --endMP 204:152 --enddatetime 2017-06-08T04:19:47 --enforcementcount 0 &gt;&gt;C:\Users\stu\Documents\GitHub\eaglep3-reporting\EC\2017-06-08-refined-times.txt</v>
      </c>
      <c r="AI212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{"issue":{"subject":"","project_id":79,"tracker_id":40,"status_id":1,"priority_id":2,"assigned_to_id":23,"start_date":"2017-06-08","description":"","custom_fields":[{"id":1,"name":"Subdivision","value":"Other"},{"id":4,"name":"Milepost","value":"0.0152"},{"id":17,"name":"Train ID","value":"306-08"},{"id":16,"name":"Locomotive ID","value":"4001"},{"id":130,"name":"Impact","value":""},{"id":150,"name":"Time of Event (Mountain Time)","value":"04:19:47"},{"id":151,"name":"Denver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92"/>
        <v>start /low /b %USERPROFILE%\Documents\GitHub\eaglep3\Utilities\DownloadLogsFromS3.py --loco 4001 --day 2017-06-08</v>
      </c>
      <c r="AN212" s="154" t="str">
        <f t="shared" si="93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10:19:47"},{"id":29,"name":"Sharepoint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838</v>
      </c>
      <c r="B213" s="7">
        <v>4022</v>
      </c>
      <c r="C213" s="21" t="s">
        <v>204</v>
      </c>
      <c r="D213" s="21" t="s">
        <v>895</v>
      </c>
      <c r="E213" s="13">
        <v>42895.027361111112</v>
      </c>
      <c r="F213" s="13">
        <v>42895.029432870368</v>
      </c>
      <c r="G213" s="7">
        <v>1</v>
      </c>
      <c r="H213" s="21" t="s">
        <v>357</v>
      </c>
      <c r="I213" s="13">
        <v>42895.038460648146</v>
      </c>
      <c r="J213" s="7">
        <v>0</v>
      </c>
      <c r="K213" s="92" t="str">
        <f t="shared" si="76"/>
        <v>4021/4022</v>
      </c>
      <c r="L213" s="21" t="str">
        <f>VLOOKUP(A213,'Trips&amp;Operators'!$C$1:$G$99999,5,FALSE)</f>
        <v>LAMAR NEKESHA</v>
      </c>
      <c r="M213" s="6">
        <f t="shared" si="77"/>
        <v>9.0277777781011537E-3</v>
      </c>
      <c r="N213" s="7">
        <f t="shared" si="88"/>
        <v>13.000000000465661</v>
      </c>
      <c r="O213" s="7"/>
      <c r="P213" s="7"/>
      <c r="Q213" s="22"/>
      <c r="R213" s="173"/>
      <c r="S213" s="176">
        <f t="shared" si="89"/>
        <v>1</v>
      </c>
      <c r="T213" s="202" t="str">
        <f t="shared" si="78"/>
        <v>NorthBound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03" t="str">
        <f t="shared" si="79"/>
        <v>https://d0f6bd738d7f1b3e5a7ca70fe4ff75f0.us-east-1.aws.found.io/app/kibana#/discover/Steve-Slow-Train-Analysis-(2080s-and-2083s)?_g=(refreshInterval:(display:Off,pause:!f,section:0,value:0),time:(from:'2017-06-08T23:39:24-0600',mode:absolute,to:'2017-06-09T01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3" s="204" t="str">
        <f t="shared" si="80"/>
        <v>Y</v>
      </c>
      <c r="X213" s="204">
        <f t="shared" si="75"/>
        <v>1</v>
      </c>
      <c r="Y213" s="204">
        <f t="shared" si="81"/>
        <v>4.8800000000000003E-2</v>
      </c>
      <c r="Z213" s="204">
        <f t="shared" si="82"/>
        <v>2.3346</v>
      </c>
      <c r="AA213" s="204">
        <f t="shared" si="83"/>
        <v>2.2858000000000001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84"/>
        <v>0307-08</v>
      </c>
      <c r="AE213" s="80" t="str">
        <f t="shared" si="85"/>
        <v>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 &amp; 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</v>
      </c>
      <c r="AF213" s="77" t="str">
        <f t="shared" si="86"/>
        <v>"C:\Program Files (x86)\AstroGrep\AstroGrep.exe" /e /r /s /spath="%USERPROFILE%\AppData\Local\Temp\OnboardLogs" /stypes="app*4022*20170609*" /stext=" 06:.+((SYSTEM_STATE.+slice.+state.+changed )|(ment ac)|(multiple cpu faults)|(system.+state.+changed )|(\[timeout)|(PRM\|1\|D)|(kpr)|(kdp)|(train st.+moving)|(\|lc)|(penalty))"</v>
      </c>
      <c r="AG213" s="1" t="str">
        <f t="shared" si="87"/>
        <v>Other</v>
      </c>
      <c r="AH213" s="81" t="str">
        <f t="shared" si="90"/>
        <v>"%USERPROFILE%\Documents\GitHub\eaglep3\Utilities\RefineRTDCRunTimes.py" --tripid 307-08 --locoid 4022 --swversion DE.1.0.9.0 --startMP 204:488 --initTime 2017-06-09T00:39:24 --startdatetime 2017-06-09T00:42:23 --delay 1 --endMP 300:23346 --enddatetime 2017-06-09T00:55:23 --enforcementcount 0 &gt;&gt;C:\Users\stu\Documents\GitHub\eaglep3-reporting\EC\2017-06-08-refined-times.txt</v>
      </c>
      <c r="AI213" s="99" t="str">
        <f t="shared" si="91"/>
        <v>echo {"issue":{"subject":"","project_id":79,"tracker_id":40,"status_id":1,"priority_id":2,"assigned_to_id":23,"start_date":"2017-06-09","description":"","custom_fields":[{"id":1,"name":"Subdivision","value":"Other"},{"id":4,"name":"Milepost","value":"2.3346"},{"id":17,"name":"Train ID","value":"307-08"},{"id":16,"name":"Locomotive ID","value":"4022"},{"id":130,"name":"Impact","value":""},{"id":150,"name":"Time of Event (Mountain Time)","value":"00:55:23"},{"id":151,"name":"Denver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92"/>
        <v>start /low /b %USERPROFILE%\Documents\GitHub\eaglep3\Utilities\DownloadLogsFromS3.py --loco 4022 --day 2017-06-09</v>
      </c>
      <c r="AN213" s="154" t="str">
        <f t="shared" si="93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06:55:23"},{"id":29,"name":"Sharepoint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611</v>
      </c>
      <c r="B214" s="7">
        <v>4029</v>
      </c>
      <c r="C214" s="21" t="s">
        <v>204</v>
      </c>
      <c r="D214" s="21" t="s">
        <v>919</v>
      </c>
      <c r="E214" s="13">
        <v>42894.182164351849</v>
      </c>
      <c r="F214" s="13">
        <v>42894.183287037034</v>
      </c>
      <c r="G214" s="7">
        <v>1</v>
      </c>
      <c r="H214" s="21" t="s">
        <v>361</v>
      </c>
      <c r="I214" s="13">
        <v>42894.191296296296</v>
      </c>
      <c r="J214" s="7">
        <v>0</v>
      </c>
      <c r="K214" s="92" t="str">
        <f t="shared" si="76"/>
        <v>4029/4030</v>
      </c>
      <c r="L214" s="21" t="str">
        <f>VLOOKUP(A214,'Trips&amp;Operators'!$C$1:$G$99999,5,FALSE)</f>
        <v>GUZMAN DANNY</v>
      </c>
      <c r="M214" s="6">
        <f t="shared" si="77"/>
        <v>8.0092592615983449E-3</v>
      </c>
      <c r="N214" s="7"/>
      <c r="O214" s="7"/>
      <c r="P214" s="7">
        <f>24*60*SUM($M214:$M214)</f>
        <v>11.533333336701617</v>
      </c>
      <c r="Q214" s="22"/>
      <c r="R214" s="173" t="s">
        <v>1030</v>
      </c>
      <c r="S214" s="176">
        <f t="shared" si="89"/>
        <v>1</v>
      </c>
      <c r="T214" s="202" t="str">
        <f t="shared" si="78"/>
        <v>Southbound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03" t="str">
        <f t="shared" si="79"/>
        <v>https://d0f6bd738d7f1b3e5a7ca70fe4ff75f0.us-east-1.aws.found.io/app/kibana#/discover/Steve-Slow-Train-Analysis-(2080s-and-2083s)?_g=(refreshInterval:(display:Off,pause:!f,section:0,value:0),time:(from:'2017-06-08T03:22:19-0600',mode:absolute,to:'2017-06-08T05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4" s="204" t="str">
        <f t="shared" si="80"/>
        <v>Y</v>
      </c>
      <c r="X214" s="204">
        <f t="shared" si="75"/>
        <v>1</v>
      </c>
      <c r="Y214" s="204">
        <f t="shared" si="81"/>
        <v>2.3252000000000002</v>
      </c>
      <c r="Z214" s="204">
        <f t="shared" si="82"/>
        <v>1.3899999999999999E-2</v>
      </c>
      <c r="AA214" s="204">
        <f t="shared" si="83"/>
        <v>2.3113000000000001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84"/>
        <v>0308-08</v>
      </c>
      <c r="AE214" s="80" t="str">
        <f t="shared" si="85"/>
        <v>aws s3 cp s3://rtdc.mdm.uploadarchive.raw/RTDC4029/ "%USERPROFILE%\AppData\Local\Temp\OnboardLogs"\RTDC4029\2017-06-08 --exclude "*" --recursive --include "*20170608*" &amp; "%USERPROFILE%\Documents\GitHub\mrs-test-scripts\Headless Mode &amp; Sideloading\WalkAndUnGZ.bat" "%USERPROFILE%\AppData\Local\Temp\OnboardLogs"\RTDC4029\2017-06-08 &amp; 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</v>
      </c>
      <c r="AF214" s="77" t="str">
        <f t="shared" si="86"/>
        <v>"C:\Program Files (x86)\AstroGrep\AstroGrep.exe" /e /r /s /spath="%USERPROFILE%\AppData\Local\Temp\OnboardLogs" /stypes="app*4029*20170608*" /stext=" 10:.+((SYSTEM_STATE.+slice.+state.+changed )|(ment ac)|(multiple cpu faults)|(system.+state.+changed )|(\[timeout)|(PRM\|1\|D)|(kpr)|(kdp)|(train st.+moving)|(\|lc)|(penalty))"</v>
      </c>
      <c r="AG214" s="1" t="str">
        <f t="shared" si="87"/>
        <v>Other</v>
      </c>
      <c r="AH214" s="81" t="str">
        <f t="shared" si="90"/>
        <v>"%USERPROFILE%\Documents\GitHub\eaglep3\Utilities\RefineRTDCRunTimes.py" --tripid 308-08 --locoid 4029 --swversion DE.1.0.9.0 --startMP 300:23252 --initTime 2017-06-08T04:22:19 --startdatetime 2017-06-08T04:23:56 --delay 1 --endMP 204:139 --enddatetime 2017-06-08T04:35:28 --enforcementcount 0 &gt;&gt;C:\Users\stu\Documents\GitHub\eaglep3-reporting\EC\2017-06-08-refined-times.txt</v>
      </c>
      <c r="AI214" s="99" t="str">
        <f t="shared" si="91"/>
        <v>echo {"issue":{"subject":"Initialized too close to signal","project_id":79,"tracker_id":40,"status_id":1,"priority_id":2,"assigned_to_id":23,"start_date":"2017-06-08","description":"","custom_fields":[{"id":1,"name":"Subdivision","value":"Other"},{"id":4,"name":"Milepost","value":"0.0139"},{"id":17,"name":"Train ID","value":"308-08"},{"id":16,"name":"Locomotive ID","value":"4029"},{"id":130,"name":"Impact","value":""},{"id":150,"name":"Time of Event (Mountain Time)","value":"04:35:28"},{"id":151,"name":"Denver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92"/>
        <v>start /low /b %USERPROFILE%\Documents\GitHub\eaglep3\Utilities\DownloadLogsFromS3.py --loco 4029 --day 2017-06-08</v>
      </c>
      <c r="AN214" s="154" t="str">
        <f t="shared" si="93"/>
        <v>echo {"issue":{"subject":"Initialized too close to signal","project_id":30,"tracker_id":4,"status_id":1,"priority_id":1,"assigned_to_id":10,"start_date":"2017-06-08","description":"","custom_fields":[{"id":30,"name":"Category","value":"Issue"},{"id":3,"name":"Functional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10:35:28"},{"id":29,"name":"Sharepoint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611</v>
      </c>
      <c r="B215" s="7">
        <v>4029</v>
      </c>
      <c r="C215" s="21" t="s">
        <v>204</v>
      </c>
      <c r="D215" s="21" t="s">
        <v>920</v>
      </c>
      <c r="E215" s="13">
        <v>42894.177719907406</v>
      </c>
      <c r="F215" s="13">
        <v>42894.183287037034</v>
      </c>
      <c r="G215" s="7">
        <v>4</v>
      </c>
      <c r="H215" s="21" t="s">
        <v>921</v>
      </c>
      <c r="I215" s="13">
        <v>42894.191296296296</v>
      </c>
      <c r="J215" s="7">
        <v>0</v>
      </c>
      <c r="K215" s="92" t="str">
        <f t="shared" si="76"/>
        <v>4029/4030</v>
      </c>
      <c r="L215" s="21" t="str">
        <f>VLOOKUP(A215,'Trips&amp;Operators'!$C$1:$G$99999,5,FALSE)</f>
        <v>GUZMAN DANNY</v>
      </c>
      <c r="M215" s="6">
        <f t="shared" si="77"/>
        <v>8.0092592615983449E-3</v>
      </c>
      <c r="N215" s="7">
        <f t="shared" ref="N215:N238" si="94">24*60*SUM($M215:$M215)</f>
        <v>11.533333336701617</v>
      </c>
      <c r="O215" s="7"/>
      <c r="P215" s="7"/>
      <c r="Q215" s="22"/>
      <c r="R215" s="173"/>
      <c r="S215" s="176">
        <f t="shared" si="89"/>
        <v>0</v>
      </c>
      <c r="T215" s="202" t="str">
        <f t="shared" si="78"/>
        <v>Southbound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03" t="str">
        <f t="shared" si="79"/>
        <v>https://d0f6bd738d7f1b3e5a7ca70fe4ff75f0.us-east-1.aws.found.io/app/kibana#/discover/Steve-Slow-Train-Analysis-(2080s-and-2083s)?_g=(refreshInterval:(display:Off,pause:!f,section:0,value:0),time:(from:'2017-06-08T03:15:55-0600',mode:absolute,to:'2017-06-08T05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5" s="204" t="str">
        <f t="shared" si="80"/>
        <v>Y</v>
      </c>
      <c r="X215" s="204">
        <f t="shared" si="75"/>
        <v>0</v>
      </c>
      <c r="Y215" s="204">
        <f t="shared" si="81"/>
        <v>2.3788</v>
      </c>
      <c r="Z215" s="204">
        <f t="shared" si="82"/>
        <v>2.3245</v>
      </c>
      <c r="AA215" s="204">
        <f t="shared" si="83"/>
        <v>5.4300000000000015E-2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84"/>
        <v>0308-08</v>
      </c>
      <c r="AE215" s="80" t="str">
        <f t="shared" si="85"/>
        <v>aws s3 cp s3://rtdc.mdm.uploadarchive.raw/RTDC4029/ "%USERPROFILE%\AppData\Local\Temp\OnboardLogs"\RTDC4029\2017-06-08 --exclude "*" --recursive --include "*20170608*" &amp; "%USERPROFILE%\Documents\GitHub\mrs-test-scripts\Headless Mode &amp; Sideloading\WalkAndUnGZ.bat" "%USERPROFILE%\AppData\Local\Temp\OnboardLogs"\RTDC4029\2017-06-08 &amp; 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</v>
      </c>
      <c r="AF215" s="77" t="str">
        <f t="shared" si="86"/>
        <v>"C:\Program Files (x86)\AstroGrep\AstroGrep.exe" /e /r /s /spath="%USERPROFILE%\AppData\Local\Temp\OnboardLogs" /stypes="app*4029*20170608*" /stext=" 10:.+((SYSTEM_STATE.+slice.+state.+changed )|(ment ac)|(multiple cpu faults)|(system.+state.+changed )|(\[timeout)|(PRM\|1\|D)|(kpr)|(kdp)|(train st.+moving)|(\|lc)|(penalty))"</v>
      </c>
      <c r="AG215" s="1" t="str">
        <f t="shared" si="87"/>
        <v>Other</v>
      </c>
      <c r="AH215" s="81" t="str">
        <f t="shared" si="90"/>
        <v>"%USERPROFILE%\Documents\GitHub\eaglep3\Utilities\RefineRTDCRunTimes.py" --tripid 308-08 --locoid 4029 --swversion DE.1.0.9.0 --startMP 300:23788 --initTime 2017-06-08T04:15:55 --startdatetime 2017-06-08T04:23:56 --delay 4 --endMP 300:23245 --enddatetime 2017-06-08T04:35:28 --enforcementcount 0 &gt;&gt;C:\Users\stu\Documents\GitHub\eaglep3-reporting\EC\2017-06-08-refined-times.txt</v>
      </c>
      <c r="AI215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{"issue":{"subject":"","project_id":79,"tracker_id":40,"status_id":1,"priority_id":2,"assigned_to_id":23,"start_date":"2017-06-08","description":"","custom_fields":[{"id":1,"name":"Subdivision","value":"Other"},{"id":4,"name":"Milepost","value":"2.3245"},{"id":17,"name":"Train ID","value":"308-08"},{"id":16,"name":"Locomotive ID","value":"4029"},{"id":130,"name":"Impact","value":""},{"id":150,"name":"Time of Event (Mountain Time)","value":"04:35:28"},{"id":151,"name":"Denver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92"/>
        <v>start /low /b %USERPROFILE%\Documents\GitHub\eaglep3\Utilities\DownloadLogsFromS3.py --loco 4029 --day 2017-06-08</v>
      </c>
      <c r="AN215" s="154" t="str">
        <f t="shared" si="93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10:35:28"},{"id":29,"name":"Sharepoint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394</v>
      </c>
      <c r="B216" s="7">
        <v>4056</v>
      </c>
      <c r="C216" s="21" t="s">
        <v>204</v>
      </c>
      <c r="D216" s="21" t="s">
        <v>356</v>
      </c>
      <c r="E216" s="13">
        <v>42895.049872685187</v>
      </c>
      <c r="F216" s="13">
        <v>42895.055856481478</v>
      </c>
      <c r="G216" s="7">
        <v>1</v>
      </c>
      <c r="H216" s="21" t="s">
        <v>922</v>
      </c>
      <c r="I216" s="13">
        <v>42895.06689814815</v>
      </c>
      <c r="J216" s="7">
        <v>0</v>
      </c>
      <c r="K216" s="92" t="str">
        <f t="shared" si="76"/>
        <v>4055/4056</v>
      </c>
      <c r="L216" s="21" t="str">
        <f>VLOOKUP(A216,'Trips&amp;Operators'!$C$1:$G$99999,5,FALSE)</f>
        <v>SMITH MICHAEL</v>
      </c>
      <c r="M216" s="6">
        <f t="shared" si="77"/>
        <v>1.1041666672099382E-2</v>
      </c>
      <c r="N216" s="7">
        <f t="shared" si="94"/>
        <v>15.90000000782311</v>
      </c>
      <c r="O216" s="7"/>
      <c r="P216" s="7"/>
      <c r="Q216" s="22"/>
      <c r="R216" s="173"/>
      <c r="S216" s="176">
        <f t="shared" si="89"/>
        <v>1</v>
      </c>
      <c r="T216" s="202" t="str">
        <f t="shared" si="78"/>
        <v>NorthBound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03" t="str">
        <f t="shared" si="79"/>
        <v>https://d0f6bd738d7f1b3e5a7ca70fe4ff75f0.us-east-1.aws.found.io/app/kibana#/discover/Steve-Slow-Train-Analysis-(2080s-and-2083s)?_g=(refreshInterval:(display:Off,pause:!f,section:0,value:0),time:(from:'2017-06-09T00:11:49-0600',mode:absolute,to:'2017-06-09T02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6" s="204" t="str">
        <f t="shared" si="80"/>
        <v>Y</v>
      </c>
      <c r="X216" s="204">
        <f t="shared" si="75"/>
        <v>1</v>
      </c>
      <c r="Y216" s="204">
        <f t="shared" si="81"/>
        <v>4.5100000000000001E-2</v>
      </c>
      <c r="Z216" s="204">
        <f t="shared" si="82"/>
        <v>2.3300999999999998</v>
      </c>
      <c r="AA216" s="204">
        <f t="shared" si="83"/>
        <v>2.2849999999999997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84"/>
        <v>0309-08</v>
      </c>
      <c r="AE216" s="80" t="str">
        <f t="shared" si="85"/>
        <v>aws s3 cp s3://rtdc.mdm.uploadarchive.raw/RTDC4056/ "%USERPROFILE%\AppData\Local\Temp\OnboardLogs"\RTDC4056\2017-06-09 --exclude "*" --recursive --include "*20170609*" &amp; "%USERPROFILE%\Documents\GitHub\mrs-test-scripts\Headless Mode &amp; Sideloading\WalkAndUnGZ.bat" "%USERPROFILE%\AppData\Local\Temp\OnboardLogs"\RTDC4056\2017-06-09 &amp; 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</v>
      </c>
      <c r="AF216" s="77" t="str">
        <f t="shared" si="86"/>
        <v>"C:\Program Files (x86)\AstroGrep\AstroGrep.exe" /e /r /s /spath="%USERPROFILE%\AppData\Local\Temp\OnboardLogs" /stypes="app*4056*20170609*" /stext=" 07:.+((SYSTEM_STATE.+slice.+state.+changed )|(ment ac)|(multiple cpu faults)|(system.+state.+changed )|(\[timeout)|(PRM\|1\|D)|(kpr)|(kdp)|(train st.+moving)|(\|lc)|(penalty))"</v>
      </c>
      <c r="AG216" s="1" t="str">
        <f t="shared" si="87"/>
        <v>Other</v>
      </c>
      <c r="AH216" s="81" t="str">
        <f t="shared" si="90"/>
        <v>"%USERPROFILE%\Documents\GitHub\eaglep3\Utilities\RefineRTDCRunTimes.py" --tripid 309-08 --locoid 4056 --swversion DE.1.0.9.0 --startMP 204:451 --initTime 2017-06-09T01:11:49 --startdatetime 2017-06-09T01:20:26 --delay 1 --endMP 300:23301 --enddatetime 2017-06-09T01:36:20 --enforcementcount 0 &gt;&gt;C:\Users\stu\Documents\GitHub\eaglep3-reporting\EC\2017-06-08-refined-times.txt</v>
      </c>
      <c r="AI216" s="99" t="str">
        <f t="shared" si="91"/>
        <v>echo {"issue":{"subject":"","project_id":79,"tracker_id":40,"status_id":1,"priority_id":2,"assigned_to_id":23,"start_date":"2017-06-09","description":"","custom_fields":[{"id":1,"name":"Subdivision","value":"Other"},{"id":4,"name":"Milepost","value":"2.3301"},{"id":17,"name":"Train ID","value":"309-08"},{"id":16,"name":"Locomotive ID","value":"4056"},{"id":130,"name":"Impact","value":""},{"id":150,"name":"Time of Event (Mountain Time)","value":"01:36:20"},{"id":151,"name":"Denver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92"/>
        <v>start /low /b %USERPROFILE%\Documents\GitHub\eaglep3\Utilities\DownloadLogsFromS3.py --loco 4056 --day 2017-06-09</v>
      </c>
      <c r="AN216" s="154" t="str">
        <f t="shared" si="93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07:36:20"},{"id":29,"name":"Sharepoint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663</v>
      </c>
      <c r="B217" s="7">
        <v>4043</v>
      </c>
      <c r="C217" s="21" t="s">
        <v>204</v>
      </c>
      <c r="D217" s="21" t="s">
        <v>923</v>
      </c>
      <c r="E217" s="13">
        <v>42894.20416666667</v>
      </c>
      <c r="F217" s="13">
        <v>42894.206956018519</v>
      </c>
      <c r="G217" s="7">
        <v>3</v>
      </c>
      <c r="H217" s="21" t="s">
        <v>401</v>
      </c>
      <c r="I217" s="13">
        <v>42894.215069444443</v>
      </c>
      <c r="J217" s="7">
        <v>0</v>
      </c>
      <c r="K217" s="92" t="str">
        <f t="shared" si="76"/>
        <v>4043/4044</v>
      </c>
      <c r="L217" s="21" t="str">
        <f>VLOOKUP(A217,'Trips&amp;Operators'!$C$1:$G$99999,5,FALSE)</f>
        <v>LOZA FIDEL</v>
      </c>
      <c r="M217" s="6">
        <f t="shared" si="77"/>
        <v>8.1134259235113859E-3</v>
      </c>
      <c r="N217" s="7">
        <f t="shared" si="94"/>
        <v>11.683333329856396</v>
      </c>
      <c r="O217" s="7"/>
      <c r="P217" s="7"/>
      <c r="Q217" s="22"/>
      <c r="R217" s="173"/>
      <c r="S217" s="176">
        <f t="shared" si="89"/>
        <v>1</v>
      </c>
      <c r="T217" s="202" t="str">
        <f t="shared" si="78"/>
        <v>Southbound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03" t="str">
        <f t="shared" si="79"/>
        <v>https://d0f6bd738d7f1b3e5a7ca70fe4ff75f0.us-east-1.aws.found.io/app/kibana#/discover/Steve-Slow-Train-Analysis-(2080s-and-2083s)?_g=(refreshInterval:(display:Off,pause:!f,section:0,value:0),time:(from:'2017-06-08T03:54:00-0600',mode:absolute,to:'2017-06-08T06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7" s="204" t="str">
        <f t="shared" si="80"/>
        <v>Y</v>
      </c>
      <c r="X217" s="204">
        <f t="shared" si="75"/>
        <v>1</v>
      </c>
      <c r="Y217" s="204">
        <f t="shared" si="81"/>
        <v>2.3266</v>
      </c>
      <c r="Z217" s="204">
        <f t="shared" si="82"/>
        <v>1.54E-2</v>
      </c>
      <c r="AA217" s="204">
        <f t="shared" si="83"/>
        <v>2.3111999999999999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84"/>
        <v>0310-08</v>
      </c>
      <c r="AE217" s="80" t="str">
        <f t="shared" si="85"/>
        <v>aws s3 cp s3://rtdc.mdm.uploadarchive.raw/RTDC4043/ "%USERPROFILE%\AppData\Local\Temp\OnboardLogs"\RTDC4043\2017-06-08 --exclude "*" --recursive --include "*20170608*" &amp; "%USERPROFILE%\Documents\GitHub\mrs-test-scripts\Headless Mode &amp; Sideloading\WalkAndUnGZ.bat" "%USERPROFILE%\AppData\Local\Temp\OnboardLogs"\RTDC4043\2017-06-08 &amp; aws s3 cp s3://rtdc.mdm.uploadarchive.raw/RTDC4043/ "%USERPROFILE%\AppData\Local\Temp\OnboardLogs"\RTDC4043\2017-06-09 --exclude "*" --recursive --include "*20170609*" &amp; "%USERPROFILE%\Documents\GitHub\mrs-test-scripts\Headless Mode &amp; Sideloading\WalkAndUnGZ.bat" "%USERPROFILE%\AppData\Local\Temp\OnboardLogs"\RTDC4043\2017-06-09</v>
      </c>
      <c r="AF217" s="77" t="str">
        <f t="shared" si="86"/>
        <v>"C:\Program Files (x86)\AstroGrep\AstroGrep.exe" /e /r /s /spath="%USERPROFILE%\AppData\Local\Temp\OnboardLogs" /stypes="app*4043*20170608*" /stext=" 11:.+((SYSTEM_STATE.+slice.+state.+changed )|(ment ac)|(multiple cpu faults)|(system.+state.+changed )|(\[timeout)|(PRM\|1\|D)|(kpr)|(kdp)|(train st.+moving)|(\|lc)|(penalty))"</v>
      </c>
      <c r="AG217" s="1" t="str">
        <f t="shared" si="87"/>
        <v>Other</v>
      </c>
      <c r="AH217" s="81" t="str">
        <f t="shared" si="90"/>
        <v>"%USERPROFILE%\Documents\GitHub\eaglep3\Utilities\RefineRTDCRunTimes.py" --tripid 310-08 --locoid 4043 --swversion DE.1.0.9.0 --startMP 300:23266 --initTime 2017-06-08T04:54:00 --startdatetime 2017-06-08T04:58:01 --delay 3 --endMP 204:154 --enddatetime 2017-06-08T05:09:42 --enforcementcount 0 &gt;&gt;C:\Users\stu\Documents\GitHub\eaglep3-reporting\EC\2017-06-08-refined-times.txt</v>
      </c>
      <c r="AI217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{"issue":{"subject":"","project_id":79,"tracker_id":40,"status_id":1,"priority_id":2,"assigned_to_id":23,"start_date":"2017-06-08","description":"","custom_fields":[{"id":1,"name":"Subdivision","value":"Other"},{"id":4,"name":"Milepost","value":"0.0154"},{"id":17,"name":"Train ID","value":"310-08"},{"id":16,"name":"Locomotive ID","value":"4043"},{"id":130,"name":"Impact","value":""},{"id":150,"name":"Time of Event (Mountain Time)","value":"05:09:42"},{"id":151,"name":"Denver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92"/>
        <v>start /low /b %USERPROFILE%\Documents\GitHub\eaglep3\Utilities\DownloadLogsFromS3.py --loco 4043 --day 2017-06-08</v>
      </c>
      <c r="AN217" s="154" t="str">
        <f t="shared" si="93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11:09:42"},{"id":29,"name":"Sharepoint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567</v>
      </c>
      <c r="B218" s="7">
        <v>4016</v>
      </c>
      <c r="C218" s="21" t="s">
        <v>204</v>
      </c>
      <c r="D218" s="21" t="s">
        <v>598</v>
      </c>
      <c r="E218" s="13">
        <v>42894.06958333333</v>
      </c>
      <c r="F218" s="13">
        <v>42894.073819444442</v>
      </c>
      <c r="G218" s="7">
        <v>15</v>
      </c>
      <c r="H218" s="21" t="s">
        <v>480</v>
      </c>
      <c r="I218" s="13">
        <v>42894.078923611109</v>
      </c>
      <c r="J218" s="7">
        <v>0</v>
      </c>
      <c r="K218" s="92" t="str">
        <f t="shared" si="76"/>
        <v>4015/4016</v>
      </c>
      <c r="L218" s="21" t="str">
        <f>VLOOKUP(A218,'Trips&amp;Operators'!$C$1:$G$99999,5,FALSE)</f>
        <v>SMITH MICHAEL</v>
      </c>
      <c r="M218" s="6">
        <f t="shared" si="77"/>
        <v>5.1041666665696539E-3</v>
      </c>
      <c r="N218" s="7">
        <f t="shared" si="94"/>
        <v>7.3499999998603016</v>
      </c>
      <c r="O218" s="7"/>
      <c r="P218" s="7"/>
      <c r="Q218" s="22"/>
      <c r="R218" s="173"/>
      <c r="S218" s="176">
        <f t="shared" si="89"/>
        <v>0</v>
      </c>
      <c r="T218" s="202" t="str">
        <f t="shared" si="78"/>
        <v>NorthBound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03" t="str">
        <f t="shared" si="79"/>
        <v>https://d0f6bd738d7f1b3e5a7ca70fe4ff75f0.us-east-1.aws.found.io/app/kibana#/discover/Steve-Slow-Train-Analysis-(2080s-and-2083s)?_g=(refreshInterval:(display:Off,pause:!f,section:0,value:0),time:(from:'2017-06-08T00:40:12-0600',mode:absolute,to:'2017-06-08T02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8" s="204" t="str">
        <f t="shared" si="80"/>
        <v>Y</v>
      </c>
      <c r="X218" s="204">
        <f t="shared" si="75"/>
        <v>1</v>
      </c>
      <c r="Y218" s="204">
        <f t="shared" si="81"/>
        <v>2.3294999999999999</v>
      </c>
      <c r="Z218" s="204">
        <f t="shared" si="82"/>
        <v>2.3308</v>
      </c>
      <c r="AA218" s="204">
        <f t="shared" si="83"/>
        <v>1.3000000000000789E-3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84"/>
        <v>0311-07</v>
      </c>
      <c r="AE218" s="80" t="str">
        <f t="shared" si="85"/>
        <v>aws s3 cp s3://rtdc.mdm.uploadarchive.raw/RTDC4016/ "%USERPROFILE%\AppData\Local\Temp\OnboardLogs"\RTDC4016\2017-06-08 --exclude "*" --recursive --include "*20170608*" &amp; "%USERPROFILE%\Documents\GitHub\mrs-test-scripts\Headless Mode &amp; Sideloading\WalkAndUnGZ.bat" "%USERPROFILE%\AppData\Local\Temp\OnboardLogs"\RTDC4016\2017-06-08 &amp; aws s3 cp s3://rtdc.mdm.uploadarchive.raw/RTDC4016/ "%USERPROFILE%\AppData\Local\Temp\OnboardLogs"\RTDC4016\2017-06-09 --exclude "*" --recursive --include "*20170609*" &amp; "%USERPROFILE%\Documents\GitHub\mrs-test-scripts\Headless Mode &amp; Sideloading\WalkAndUnGZ.bat" "%USERPROFILE%\AppData\Local\Temp\OnboardLogs"\RTDC4016\2017-06-09</v>
      </c>
      <c r="AF218" s="77" t="str">
        <f t="shared" si="86"/>
        <v>"C:\Program Files (x86)\AstroGrep\AstroGrep.exe" /e /r /s /spath="%USERPROFILE%\AppData\Local\Temp\OnboardLogs" /stypes="app*4016*20170608*" /stext=" 07:.+((SYSTEM_STATE.+slice.+state.+changed )|(ment ac)|(multiple cpu faults)|(system.+state.+changed )|(\[timeout)|(PRM\|1\|D)|(kpr)|(kdp)|(train st.+moving)|(\|lc)|(penalty))"</v>
      </c>
      <c r="AG218" s="1" t="str">
        <f t="shared" si="87"/>
        <v>Other</v>
      </c>
      <c r="AH218" s="81" t="str">
        <f t="shared" si="90"/>
        <v>"%USERPROFILE%\Documents\GitHub\eaglep3\Utilities\RefineRTDCRunTimes.py" --tripid 311-07 --locoid 4016 --swversion DE.1.0.9.0 --startMP 300:23295 --initTime 2017-06-08T01:40:12 --startdatetime 2017-06-08T01:46:18 --delay 15 --endMP 300:23308 --enddatetime 2017-06-08T01:53:39 --enforcementcount 0 &gt;&gt;C:\Users\stu\Documents\GitHub\eaglep3-reporting\EC\2017-06-08-refined-times.txt</v>
      </c>
      <c r="AI218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{"issue":{"subject":"","project_id":79,"tracker_id":40,"status_id":1,"priority_id":2,"assigned_to_id":23,"start_date":"2017-06-08","description":"","custom_fields":[{"id":1,"name":"Subdivision","value":"Other"},{"id":4,"name":"Milepost","value":"2.3308"},{"id":17,"name":"Train ID","value":"311-07"},{"id":16,"name":"Locomotive ID","value":"4016"},{"id":130,"name":"Impact","value":""},{"id":150,"name":"Time of Event (Mountain Time)","value":"01:53:39"},{"id":151,"name":"Denver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92"/>
        <v>start /low /b %USERPROFILE%\Documents\GitHub\eaglep3\Utilities\DownloadLogsFromS3.py --loco 4016 --day 2017-06-08</v>
      </c>
      <c r="AN218" s="154" t="str">
        <f t="shared" si="93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07:53:39"},{"id":29,"name":"Sharepoint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395</v>
      </c>
      <c r="B219" s="7">
        <v>4004</v>
      </c>
      <c r="C219" s="21" t="s">
        <v>204</v>
      </c>
      <c r="D219" s="21" t="s">
        <v>200</v>
      </c>
      <c r="E219" s="13">
        <v>42895.06927083333</v>
      </c>
      <c r="F219" s="13">
        <v>42895.077233796299</v>
      </c>
      <c r="G219" s="7">
        <v>1</v>
      </c>
      <c r="H219" s="21" t="s">
        <v>924</v>
      </c>
      <c r="I219" s="13">
        <v>42895.085150462961</v>
      </c>
      <c r="J219" s="7">
        <v>0</v>
      </c>
      <c r="K219" s="92" t="str">
        <f t="shared" si="76"/>
        <v>4003/4004</v>
      </c>
      <c r="L219" s="21" t="str">
        <f>VLOOKUP(A219,'Trips&amp;Operators'!$C$1:$G$99999,5,FALSE)</f>
        <v>SAFIEF AEIMEN</v>
      </c>
      <c r="M219" s="6">
        <f t="shared" si="77"/>
        <v>7.916666661913041E-3</v>
      </c>
      <c r="N219" s="7">
        <f t="shared" si="94"/>
        <v>11.399999993154779</v>
      </c>
      <c r="O219" s="7"/>
      <c r="P219" s="7"/>
      <c r="Q219" s="22"/>
      <c r="R219" s="173"/>
      <c r="S219" s="176">
        <f t="shared" si="89"/>
        <v>1</v>
      </c>
      <c r="T219" s="202" t="str">
        <f t="shared" si="78"/>
        <v>NorthBound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03" t="str">
        <f t="shared" si="79"/>
        <v>https://d0f6bd738d7f1b3e5a7ca70fe4ff75f0.us-east-1.aws.found.io/app/kibana#/discover/Steve-Slow-Train-Analysis-(2080s-and-2083s)?_g=(refreshInterval:(display:Off,pause:!f,section:0,value:0),time:(from:'2017-06-09T00:39:45-0600',mode:absolute,to:'2017-06-09T03:02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9" s="204" t="str">
        <f t="shared" si="80"/>
        <v>Y</v>
      </c>
      <c r="X219" s="204">
        <f t="shared" si="75"/>
        <v>0</v>
      </c>
      <c r="Y219" s="204">
        <f t="shared" si="81"/>
        <v>4.5699999999999998E-2</v>
      </c>
      <c r="Z219" s="204">
        <f t="shared" si="82"/>
        <v>2.3306</v>
      </c>
      <c r="AA219" s="204">
        <f t="shared" si="83"/>
        <v>2.2848999999999999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84"/>
        <v>0311-08</v>
      </c>
      <c r="AE219" s="80" t="str">
        <f t="shared" si="85"/>
        <v>aws s3 cp s3://rtdc.mdm.uploadarchive.raw/RTDC4004/ "%USERPROFILE%\AppData\Local\Temp\OnboardLogs"\RTDC4004\2017-06-09 --exclude "*" --recursive --include "*20170609*" &amp; "%USERPROFILE%\Documents\GitHub\mrs-test-scripts\Headless Mode &amp; Sideloading\WalkAndUnGZ.bat" "%USERPROFILE%\AppData\Local\Temp\OnboardLogs"\RTDC4004\2017-06-09 &amp; 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</v>
      </c>
      <c r="AF219" s="77" t="str">
        <f t="shared" si="86"/>
        <v>"C:\Program Files (x86)\AstroGrep\AstroGrep.exe" /e /r /s /spath="%USERPROFILE%\AppData\Local\Temp\OnboardLogs" /stypes="app*4004*20170609*" /stext=" 08:.+((SYSTEM_STATE.+slice.+state.+changed )|(ment ac)|(multiple cpu faults)|(system.+state.+changed )|(\[timeout)|(PRM\|1\|D)|(kpr)|(kdp)|(train st.+moving)|(\|lc)|(penalty))"</v>
      </c>
      <c r="AG219" s="1" t="str">
        <f t="shared" si="87"/>
        <v>Other</v>
      </c>
      <c r="AH219" s="81" t="str">
        <f t="shared" si="90"/>
        <v>"%USERPROFILE%\Documents\GitHub\eaglep3\Utilities\RefineRTDCRunTimes.py" --tripid 311-08 --locoid 4004 --swversion DE.1.0.9.0 --startMP 204:457 --initTime 2017-06-09T01:39:45 --startdatetime 2017-06-09T01:51:13 --delay 1 --endMP 300:23306 --enddatetime 2017-06-09T02:02:37 --enforcementcount 0 &gt;&gt;C:\Users\stu\Documents\GitHub\eaglep3-reporting\EC\2017-06-08-refined-times.txt</v>
      </c>
      <c r="AI219" s="99" t="str">
        <f t="shared" si="91"/>
        <v>echo {"issue":{"subject":"","project_id":79,"tracker_id":40,"status_id":1,"priority_id":2,"assigned_to_id":23,"start_date":"2017-06-09","description":"","custom_fields":[{"id":1,"name":"Subdivision","value":"Other"},{"id":4,"name":"Milepost","value":"2.3306"},{"id":17,"name":"Train ID","value":"311-08"},{"id":16,"name":"Locomotive ID","value":"4004"},{"id":130,"name":"Impact","value":""},{"id":150,"name":"Time of Event (Mountain Time)","value":"02:02:37"},{"id":151,"name":"Denver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92"/>
        <v>start /low /b %USERPROFILE%\Documents\GitHub\eaglep3\Utilities\DownloadLogsFromS3.py --loco 4004 --day 2017-06-09</v>
      </c>
      <c r="AN219" s="154" t="str">
        <f t="shared" si="93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08:02:37"},{"id":29,"name":"Sharepoint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667</v>
      </c>
      <c r="B220" s="7">
        <v>4025</v>
      </c>
      <c r="C220" s="21" t="s">
        <v>204</v>
      </c>
      <c r="D220" s="21" t="s">
        <v>925</v>
      </c>
      <c r="E220" s="13">
        <v>42894.218414351853</v>
      </c>
      <c r="F220" s="13">
        <v>42894.221412037034</v>
      </c>
      <c r="G220" s="7">
        <v>4</v>
      </c>
      <c r="H220" s="21" t="s">
        <v>350</v>
      </c>
      <c r="I220" s="13">
        <v>42894.228587962964</v>
      </c>
      <c r="J220" s="7">
        <v>0</v>
      </c>
      <c r="K220" s="92" t="str">
        <f t="shared" si="76"/>
        <v>4025/4026</v>
      </c>
      <c r="L220" s="21" t="str">
        <f>VLOOKUP(A220,'Trips&amp;Operators'!$C$1:$G$99999,5,FALSE)</f>
        <v>HELVIE ADAM</v>
      </c>
      <c r="M220" s="6">
        <f t="shared" si="77"/>
        <v>7.1759259299142286E-3</v>
      </c>
      <c r="N220" s="7">
        <f t="shared" si="94"/>
        <v>10.333333339076489</v>
      </c>
      <c r="O220" s="7"/>
      <c r="P220" s="7"/>
      <c r="Q220" s="22"/>
      <c r="R220" s="173"/>
      <c r="S220" s="176">
        <f t="shared" si="89"/>
        <v>1</v>
      </c>
      <c r="T220" s="202" t="str">
        <f t="shared" si="78"/>
        <v>Southbound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03" t="str">
        <f t="shared" si="79"/>
        <v>https://d0f6bd738d7f1b3e5a7ca70fe4ff75f0.us-east-1.aws.found.io/app/kibana#/discover/Steve-Slow-Train-Analysis-(2080s-and-2083s)?_g=(refreshInterval:(display:Off,pause:!f,section:0,value:0),time:(from:'2017-06-08T04:14:31-0600',mode:absolute,to:'2017-06-08T06:29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0" s="204" t="str">
        <f t="shared" si="80"/>
        <v>Y</v>
      </c>
      <c r="X220" s="204">
        <f t="shared" si="75"/>
        <v>1</v>
      </c>
      <c r="Y220" s="204">
        <f t="shared" si="81"/>
        <v>2.3544</v>
      </c>
      <c r="Z220" s="204">
        <f t="shared" si="82"/>
        <v>1.6E-2</v>
      </c>
      <c r="AA220" s="204">
        <f t="shared" si="83"/>
        <v>2.3384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84"/>
        <v>0312-08</v>
      </c>
      <c r="AE220" s="80" t="str">
        <f t="shared" si="85"/>
        <v>aws s3 cp s3://rtdc.mdm.uploadarchive.raw/RTDC4025/ "%USERPROFILE%\AppData\Local\Temp\OnboardLogs"\RTDC4025\2017-06-08 --exclude "*" --recursive --include "*20170608*" &amp; "%USERPROFILE%\Documents\GitHub\mrs-test-scripts\Headless Mode &amp; Sideloading\WalkAndUnGZ.bat" "%USERPROFILE%\AppData\Local\Temp\OnboardLogs"\RTDC4025\2017-06-08 &amp; aws s3 cp s3://rtdc.mdm.uploadarchive.raw/RTDC4025/ "%USERPROFILE%\AppData\Local\Temp\OnboardLogs"\RTDC4025\2017-06-09 --exclude "*" --recursive --include "*20170609*" &amp; "%USERPROFILE%\Documents\GitHub\mrs-test-scripts\Headless Mode &amp; Sideloading\WalkAndUnGZ.bat" "%USERPROFILE%\AppData\Local\Temp\OnboardLogs"\RTDC4025\2017-06-09</v>
      </c>
      <c r="AF220" s="77" t="str">
        <f t="shared" si="86"/>
        <v>"C:\Program Files (x86)\AstroGrep\AstroGrep.exe" /e /r /s /spath="%USERPROFILE%\AppData\Local\Temp\OnboardLogs" /stypes="app*4025*20170608*" /stext=" 11:.+((SYSTEM_STATE.+slice.+state.+changed )|(ment ac)|(multiple cpu faults)|(system.+state.+changed )|(\[timeout)|(PRM\|1\|D)|(kpr)|(kdp)|(train st.+moving)|(\|lc)|(penalty))"</v>
      </c>
      <c r="AG220" s="1" t="str">
        <f t="shared" si="87"/>
        <v>Other</v>
      </c>
      <c r="AH220" s="81" t="str">
        <f t="shared" si="90"/>
        <v>"%USERPROFILE%\Documents\GitHub\eaglep3\Utilities\RefineRTDCRunTimes.py" --tripid 312-08 --locoid 4025 --swversion DE.1.0.9.0 --startMP 300:23544 --initTime 2017-06-08T05:14:31 --startdatetime 2017-06-08T05:18:50 --delay 4 --endMP 204:160 --enddatetime 2017-06-08T05:29:10 --enforcementcount 0 &gt;&gt;C:\Users\stu\Documents\GitHub\eaglep3-reporting\EC\2017-06-08-refined-times.txt</v>
      </c>
      <c r="AI220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{"issue":{"subject":"","project_id":79,"tracker_id":40,"status_id":1,"priority_id":2,"assigned_to_id":23,"start_date":"2017-06-08","description":"","custom_fields":[{"id":1,"name":"Subdivision","value":"Other"},{"id":4,"name":"Milepost","value":"0.016"},{"id":17,"name":"Train ID","value":"312-08"},{"id":16,"name":"Locomotive ID","value":"4025"},{"id":130,"name":"Impact","value":""},{"id":150,"name":"Time of Event (Mountain Time)","value":"05:29:10"},{"id":151,"name":"Denver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92"/>
        <v>start /low /b %USERPROFILE%\Documents\GitHub\eaglep3\Utilities\DownloadLogsFromS3.py --loco 4025 --day 2017-06-08</v>
      </c>
      <c r="AN220" s="154" t="str">
        <f t="shared" si="93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11:29:10"},{"id":29,"name":"Sharepoint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568</v>
      </c>
      <c r="B221" s="7">
        <v>4046</v>
      </c>
      <c r="C221" s="21" t="s">
        <v>204</v>
      </c>
      <c r="D221" s="21" t="s">
        <v>456</v>
      </c>
      <c r="E221" s="13">
        <v>42894.089687500003</v>
      </c>
      <c r="F221" s="13">
        <v>42894.091354166667</v>
      </c>
      <c r="G221" s="7">
        <v>1</v>
      </c>
      <c r="H221" s="21" t="s">
        <v>597</v>
      </c>
      <c r="I221" s="13">
        <v>42894.100243055553</v>
      </c>
      <c r="J221" s="7">
        <v>0</v>
      </c>
      <c r="K221" s="92" t="str">
        <f t="shared" si="76"/>
        <v>4045/4046</v>
      </c>
      <c r="L221" s="21" t="str">
        <f>VLOOKUP(A221,'Trips&amp;Operators'!$C$1:$G$99999,5,FALSE)</f>
        <v>SAFIEF AEIMEN</v>
      </c>
      <c r="M221" s="6">
        <f t="shared" si="77"/>
        <v>8.8888888858491555E-3</v>
      </c>
      <c r="N221" s="7">
        <f t="shared" si="94"/>
        <v>12.799999995622784</v>
      </c>
      <c r="O221" s="7"/>
      <c r="P221" s="7"/>
      <c r="Q221" s="22"/>
      <c r="R221" s="173"/>
      <c r="S221" s="176">
        <f t="shared" si="89"/>
        <v>1</v>
      </c>
      <c r="T221" s="202" t="str">
        <f t="shared" si="78"/>
        <v>NorthBound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03" t="str">
        <f t="shared" si="79"/>
        <v>https://d0f6bd738d7f1b3e5a7ca70fe4ff75f0.us-east-1.aws.found.io/app/kibana#/discover/Steve-Slow-Train-Analysis-(2080s-and-2083s)?_g=(refreshInterval:(display:Off,pause:!f,section:0,value:0),time:(from:'2017-06-08T01:09:09-0600',mode:absolute,to:'2017-06-08T03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1" s="204" t="str">
        <f t="shared" si="80"/>
        <v>Y</v>
      </c>
      <c r="X221" s="204">
        <f t="shared" si="75"/>
        <v>1</v>
      </c>
      <c r="Y221" s="204">
        <f t="shared" si="81"/>
        <v>4.6699999999999998E-2</v>
      </c>
      <c r="Z221" s="204">
        <f t="shared" si="82"/>
        <v>2.331</v>
      </c>
      <c r="AA221" s="204">
        <f t="shared" si="83"/>
        <v>2.2843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84"/>
        <v>0313-07</v>
      </c>
      <c r="AE221" s="80" t="str">
        <f t="shared" si="85"/>
        <v>aws s3 cp s3://rtdc.mdm.uploadarchive.raw/RTDC4046/ "%USERPROFILE%\AppData\Local\Temp\OnboardLogs"\RTDC4046\2017-06-08 --exclude "*" --recursive --include "*20170608*" &amp; "%USERPROFILE%\Documents\GitHub\mrs-test-scripts\Headless Mode &amp; Sideloading\WalkAndUnGZ.bat" "%USERPROFILE%\AppData\Local\Temp\OnboardLogs"\RTDC4046\2017-06-08 &amp; aws s3 cp s3://rtdc.mdm.uploadarchive.raw/RTDC4046/ "%USERPROFILE%\AppData\Local\Temp\OnboardLogs"\RTDC4046\2017-06-09 --exclude "*" --recursive --include "*20170609*" &amp; "%USERPROFILE%\Documents\GitHub\mrs-test-scripts\Headless Mode &amp; Sideloading\WalkAndUnGZ.bat" "%USERPROFILE%\AppData\Local\Temp\OnboardLogs"\RTDC4046\2017-06-09</v>
      </c>
      <c r="AF221" s="77" t="str">
        <f t="shared" si="86"/>
        <v>"C:\Program Files (x86)\AstroGrep\AstroGrep.exe" /e /r /s /spath="%USERPROFILE%\AppData\Local\Temp\OnboardLogs" /stypes="app*4046*20170608*" /stext=" 08:.+((SYSTEM_STATE.+slice.+state.+changed )|(ment ac)|(multiple cpu faults)|(system.+state.+changed )|(\[timeout)|(PRM\|1\|D)|(kpr)|(kdp)|(train st.+moving)|(\|lc)|(penalty))"</v>
      </c>
      <c r="AG221" s="1" t="str">
        <f t="shared" si="87"/>
        <v>Other</v>
      </c>
      <c r="AH221" s="81" t="str">
        <f t="shared" si="90"/>
        <v>"%USERPROFILE%\Documents\GitHub\eaglep3\Utilities\RefineRTDCRunTimes.py" --tripid 313-07 --locoid 4046 --swversion DE.1.0.9.0 --startMP 204:467 --initTime 2017-06-08T02:09:09 --startdatetime 2017-06-08T02:11:33 --delay 1 --endMP 300:23310 --enddatetime 2017-06-08T02:24:21 --enforcementcount 0 &gt;&gt;C:\Users\stu\Documents\GitHub\eaglep3-reporting\EC\2017-06-08-refined-times.txt</v>
      </c>
      <c r="AI221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{"issue":{"subject":"","project_id":79,"tracker_id":40,"status_id":1,"priority_id":2,"assigned_to_id":23,"start_date":"2017-06-08","description":"","custom_fields":[{"id":1,"name":"Subdivision","value":"Other"},{"id":4,"name":"Milepost","value":"2.331"},{"id":17,"name":"Train ID","value":"313-07"},{"id":16,"name":"Locomotive ID","value":"4046"},{"id":130,"name":"Impact","value":""},{"id":150,"name":"Time of Event (Mountain Time)","value":"02:24:21"},{"id":151,"name":"Denver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92"/>
        <v>start /low /b %USERPROFILE%\Documents\GitHub\eaglep3\Utilities\DownloadLogsFromS3.py --loco 4046 --day 2017-06-08</v>
      </c>
      <c r="AN221" s="154" t="str">
        <f t="shared" si="93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08:24:21"},{"id":29,"name":"Sharepoint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s="20" customFormat="1" x14ac:dyDescent="0.25">
      <c r="A222" s="32" t="s">
        <v>396</v>
      </c>
      <c r="B222" s="7">
        <v>4002</v>
      </c>
      <c r="C222" s="21" t="s">
        <v>204</v>
      </c>
      <c r="D222" s="21" t="s">
        <v>345</v>
      </c>
      <c r="E222" s="13">
        <v>42895.091747685183</v>
      </c>
      <c r="F222" s="13">
        <v>42895.093449074076</v>
      </c>
      <c r="G222" s="7">
        <v>1</v>
      </c>
      <c r="H222" s="21" t="s">
        <v>357</v>
      </c>
      <c r="I222" s="13">
        <v>42895.10328703704</v>
      </c>
      <c r="J222" s="7">
        <v>0</v>
      </c>
      <c r="K222" s="92" t="str">
        <f t="shared" si="76"/>
        <v>4001/4002</v>
      </c>
      <c r="L222" s="21" t="str">
        <f>VLOOKUP(A222,'Trips&amp;Operators'!$C$1:$G$99999,5,FALSE)</f>
        <v>FORTUNATO FRANK</v>
      </c>
      <c r="M222" s="6">
        <f t="shared" si="77"/>
        <v>9.8379629635019228E-3</v>
      </c>
      <c r="N222" s="7">
        <f t="shared" si="94"/>
        <v>14.166666667442769</v>
      </c>
      <c r="O222" s="7"/>
      <c r="P222" s="7"/>
      <c r="Q222" s="22"/>
      <c r="R222" s="173"/>
      <c r="S222" s="176">
        <f t="shared" si="89"/>
        <v>1</v>
      </c>
      <c r="T222" s="202" t="str">
        <f t="shared" si="78"/>
        <v>NorthBound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03" t="str">
        <f t="shared" si="79"/>
        <v>https://d0f6bd738d7f1b3e5a7ca70fe4ff75f0.us-east-1.aws.found.io/app/kibana#/discover/Steve-Slow-Train-Analysis-(2080s-and-2083s)?_g=(refreshInterval:(display:Off,pause:!f,section:0,value:0),time:(from:'2017-06-09T01:12:07-0600',mode:absolute,to:'2017-06-09T03:28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2" s="204" t="str">
        <f t="shared" si="80"/>
        <v>Y</v>
      </c>
      <c r="X222" s="204">
        <f t="shared" si="75"/>
        <v>0</v>
      </c>
      <c r="Y222" s="204">
        <f t="shared" si="81"/>
        <v>4.4900000000000002E-2</v>
      </c>
      <c r="Z222" s="204">
        <f t="shared" si="82"/>
        <v>2.3346</v>
      </c>
      <c r="AA222" s="204">
        <f t="shared" si="83"/>
        <v>2.2896999999999998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84"/>
        <v>0313-08</v>
      </c>
      <c r="AE222" s="80" t="str">
        <f t="shared" si="85"/>
        <v>aws s3 cp s3://rtdc.mdm.uploadarchive.raw/RTDC4002/ "%USERPROFILE%\AppData\Local\Temp\OnboardLogs"\RTDC4002\2017-06-09 --exclude "*" --recursive --include "*20170609*" &amp; "%USERPROFILE%\Documents\GitHub\mrs-test-scripts\Headless Mode &amp; Sideloading\WalkAndUnGZ.bat" "%USERPROFILE%\AppData\Local\Temp\OnboardLogs"\RTDC4002\2017-06-09 &amp; 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</v>
      </c>
      <c r="AF222" s="77" t="str">
        <f t="shared" si="86"/>
        <v>"C:\Program Files (x86)\AstroGrep\AstroGrep.exe" /e /r /s /spath="%USERPROFILE%\AppData\Local\Temp\OnboardLogs" /stypes="app*4002*20170609*" /stext=" 08:.+((SYSTEM_STATE.+slice.+state.+changed )|(ment ac)|(multiple cpu faults)|(system.+state.+changed )|(\[timeout)|(PRM\|1\|D)|(kpr)|(kdp)|(train st.+moving)|(\|lc)|(penalty))"</v>
      </c>
      <c r="AG222" s="1" t="str">
        <f t="shared" si="87"/>
        <v>Other</v>
      </c>
      <c r="AH222" s="81" t="str">
        <f t="shared" si="90"/>
        <v>"%USERPROFILE%\Documents\GitHub\eaglep3\Utilities\RefineRTDCRunTimes.py" --tripid 313-08 --locoid 4002 --swversion DE.1.0.9.0 --startMP 204:449 --initTime 2017-06-09T02:12:07 --startdatetime 2017-06-09T02:14:34 --delay 1 --endMP 300:23346 --enddatetime 2017-06-09T02:28:44 --enforcementcount 0 &gt;&gt;C:\Users\stu\Documents\GitHub\eaglep3-reporting\EC\2017-06-08-refined-times.txt</v>
      </c>
      <c r="AI222" s="99" t="str">
        <f t="shared" si="91"/>
        <v>echo {"issue":{"subject":"","project_id":79,"tracker_id":40,"status_id":1,"priority_id":2,"assigned_to_id":23,"start_date":"2017-06-09","description":"","custom_fields":[{"id":1,"name":"Subdivision","value":"Other"},{"id":4,"name":"Milepost","value":"2.3346"},{"id":17,"name":"Train ID","value":"313-08"},{"id":16,"name":"Locomotive ID","value":"4002"},{"id":130,"name":"Impact","value":""},{"id":150,"name":"Time of Event (Mountain Time)","value":"02:28:44"},{"id":151,"name":"Denver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2" s="47"/>
      <c r="AL222" s="47"/>
      <c r="AM222" s="145" t="str">
        <f t="shared" si="92"/>
        <v>start /low /b %USERPROFILE%\Documents\GitHub\eaglep3\Utilities\DownloadLogsFromS3.py --loco 4002 --day 2017-06-09</v>
      </c>
      <c r="AN222" s="154" t="str">
        <f t="shared" si="93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08:28:44"},{"id":29,"name":"Sharepoint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662</v>
      </c>
      <c r="B223" s="7">
        <v>4008</v>
      </c>
      <c r="C223" s="21" t="s">
        <v>204</v>
      </c>
      <c r="D223" s="21" t="s">
        <v>1000</v>
      </c>
      <c r="E223" s="13">
        <v>42894.198854166665</v>
      </c>
      <c r="F223" s="13">
        <v>42894.202719907407</v>
      </c>
      <c r="G223" s="7">
        <v>5</v>
      </c>
      <c r="H223" s="21" t="s">
        <v>1001</v>
      </c>
      <c r="I223" s="13">
        <v>42894.20888888889</v>
      </c>
      <c r="J223" s="7">
        <v>0</v>
      </c>
      <c r="K223" s="92" t="str">
        <f t="shared" si="76"/>
        <v>4007/4008</v>
      </c>
      <c r="L223" s="21" t="str">
        <f>VLOOKUP(A223,'Trips&amp;Operators'!$C$1:$G$99999,5,FALSE)</f>
        <v>DAVIS WENDY</v>
      </c>
      <c r="M223" s="6">
        <f t="shared" si="77"/>
        <v>6.1689814829151146E-3</v>
      </c>
      <c r="N223" s="7">
        <f t="shared" si="94"/>
        <v>8.883333335397765</v>
      </c>
      <c r="O223" s="7"/>
      <c r="P223" s="7"/>
      <c r="Q223" s="22"/>
      <c r="R223" s="173"/>
      <c r="S223" s="176">
        <f t="shared" si="89"/>
        <v>0</v>
      </c>
      <c r="T223" s="202" t="str">
        <f t="shared" si="78"/>
        <v>NorthBound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03" t="str">
        <f t="shared" si="79"/>
        <v>https://d0f6bd738d7f1b3e5a7ca70fe4ff75f0.us-east-1.aws.found.io/app/kibana#/discover/Steve-Slow-Train-Analysis-(2080s-and-2083s)?_g=(refreshInterval:(display:Off,pause:!f,section:0,value:0),time:(from:'2017-06-08T03:46:21-0600',mode:absolute,to:'2017-06-08T06:00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3" s="204" t="str">
        <f t="shared" si="80"/>
        <v>Y</v>
      </c>
      <c r="X223" s="204">
        <f t="shared" si="75"/>
        <v>588</v>
      </c>
      <c r="Y223" s="204">
        <f t="shared" si="81"/>
        <v>3.0005999999999999</v>
      </c>
      <c r="Z223" s="204">
        <f t="shared" si="82"/>
        <v>5.9020000000000001</v>
      </c>
      <c r="AA223" s="204">
        <f t="shared" si="83"/>
        <v>2.9014000000000002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84"/>
        <v>0901-08</v>
      </c>
      <c r="AE223" s="80" t="str">
        <f t="shared" si="85"/>
        <v>aws s3 cp s3://rtdc.mdm.uploadarchive.raw/RTDC4008/ "%USERPROFILE%\AppData\Local\Temp\OnboardLogs"\RTDC4008\2017-06-08 --exclude "*" --recursive --include "*20170608*" &amp; "%USERPROFILE%\Documents\GitHub\mrs-test-scripts\Headless Mode &amp; Sideloading\WalkAndUnGZ.bat" "%USERPROFILE%\AppData\Local\Temp\OnboardLogs"\RTDC4008\2017-06-08 &amp; aws s3 cp s3://rtdc.mdm.uploadarchive.raw/RTDC4008/ "%USERPROFILE%\AppData\Local\Temp\OnboardLogs"\RTDC4008\2017-06-09 --exclude "*" --recursive --include "*20170609*" &amp; "%USERPROFILE%\Documents\GitHub\mrs-test-scripts\Headless Mode &amp; Sideloading\WalkAndUnGZ.bat" "%USERPROFILE%\AppData\Local\Temp\OnboardLogs"\RTDC4008\2017-06-09</v>
      </c>
      <c r="AF223" s="77" t="str">
        <f t="shared" si="86"/>
        <v>"C:\Program Files (x86)\AstroGrep\AstroGrep.exe" /e /r /s /spath="%USERPROFILE%\AppData\Local\Temp\OnboardLogs" /stypes="app*4008*20170608*" /stext=" 11:.+((SYSTEM_STATE.+slice.+state.+changed )|(ment ac)|(multiple cpu faults)|(system.+state.+changed )|(\[timeout)|(PRM\|1\|D)|(kpr)|(kdp)|(train st.+moving)|(\|lc)|(penalty))"</v>
      </c>
      <c r="AG223" s="1" t="str">
        <f t="shared" si="87"/>
        <v>Other</v>
      </c>
      <c r="AH223" s="81" t="str">
        <f t="shared" si="90"/>
        <v>"%USERPROFILE%\Documents\GitHub\eaglep3\Utilities\RefineRTDCRunTimes.py" --tripid 901-08 --locoid 4008 --swversion DE.1.0.9.0 --startMP 300:30006 --initTime 2017-06-08T04:46:21 --startdatetime 2017-06-08T04:51:55 --delay 5 --endMP 300:59020 --enddatetime 2017-06-08T05:00:48 --enforcementcount 0 &gt;&gt;C:\Users\stu\Documents\GitHub\eaglep3-reporting\EC\2017-06-08-refined-times.txt</v>
      </c>
      <c r="AI223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{"issue":{"subject":"","project_id":79,"tracker_id":40,"status_id":1,"priority_id":2,"assigned_to_id":23,"start_date":"2017-06-08","description":"","custom_fields":[{"id":1,"name":"Subdivision","value":"Other"},{"id":4,"name":"Milepost","value":"5.902"},{"id":17,"name":"Train ID","value":"901-08"},{"id":16,"name":"Locomotive ID","value":"4008"},{"id":130,"name":"Impact","value":""},{"id":150,"name":"Time of Event (Mountain Time)","value":"05:00:48"},{"id":151,"name":"Denver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92"/>
        <v>start /low /b %USERPROFILE%\Documents\GitHub\eaglep3\Utilities\DownloadLogsFromS3.py --loco 4008 --day 2017-06-08</v>
      </c>
      <c r="AN223" s="154" t="str">
        <f t="shared" si="93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11:00:48"},{"id":29,"name":"Sharepoint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700</v>
      </c>
      <c r="B224" s="7">
        <v>4008</v>
      </c>
      <c r="C224" s="21" t="s">
        <v>204</v>
      </c>
      <c r="D224" s="21" t="s">
        <v>1002</v>
      </c>
      <c r="E224" s="13">
        <v>42894.352268518516</v>
      </c>
      <c r="F224" s="13">
        <v>42894.353333333333</v>
      </c>
      <c r="G224" s="7">
        <v>0</v>
      </c>
      <c r="H224" s="21" t="s">
        <v>1003</v>
      </c>
      <c r="I224" s="13">
        <v>42894.360347222224</v>
      </c>
      <c r="J224" s="7">
        <v>0</v>
      </c>
      <c r="K224" s="92" t="str">
        <f t="shared" si="76"/>
        <v>4007/4008</v>
      </c>
      <c r="L224" s="21" t="str">
        <f>VLOOKUP(A224,'Trips&amp;Operators'!$C$1:$G$99999,5,FALSE)</f>
        <v>DAVIS WENDY</v>
      </c>
      <c r="M224" s="6">
        <f t="shared" si="77"/>
        <v>7.0138888913788833E-3</v>
      </c>
      <c r="N224" s="7">
        <f t="shared" si="94"/>
        <v>10.100000003585592</v>
      </c>
      <c r="O224" s="7"/>
      <c r="P224" s="7"/>
      <c r="Q224" s="22"/>
      <c r="R224" s="173"/>
      <c r="S224" s="176">
        <f t="shared" si="89"/>
        <v>1</v>
      </c>
      <c r="T224" s="202" t="str">
        <f t="shared" si="78"/>
        <v>NorthBound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03" t="str">
        <f t="shared" si="79"/>
        <v>https://d0f6bd738d7f1b3e5a7ca70fe4ff75f0.us-east-1.aws.found.io/app/kibana#/discover/Steve-Slow-Train-Analysis-(2080s-and-2083s)?_g=(refreshInterval:(display:Off,pause:!f,section:0,value:0),time:(from:'2017-06-08T07:27:16-0600',mode:absolute,to:'2017-06-08T09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4" s="204" t="str">
        <f t="shared" si="80"/>
        <v>Y</v>
      </c>
      <c r="X224" s="204">
        <f t="shared" si="75"/>
        <v>2</v>
      </c>
      <c r="Y224" s="204">
        <f t="shared" si="81"/>
        <v>4.2999999999999997E-2</v>
      </c>
      <c r="Z224" s="204">
        <f t="shared" si="82"/>
        <v>2.4220000000000002</v>
      </c>
      <c r="AA224" s="204">
        <f t="shared" si="83"/>
        <v>2.379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84"/>
        <v>0903-08</v>
      </c>
      <c r="AE224" s="80" t="str">
        <f t="shared" si="85"/>
        <v>aws s3 cp s3://rtdc.mdm.uploadarchive.raw/RTDC4008/ "%USERPROFILE%\AppData\Local\Temp\OnboardLogs"\RTDC4008\2017-06-08 --exclude "*" --recursive --include "*20170608*" &amp; "%USERPROFILE%\Documents\GitHub\mrs-test-scripts\Headless Mode &amp; Sideloading\WalkAndUnGZ.bat" "%USERPROFILE%\AppData\Local\Temp\OnboardLogs"\RTDC4008\2017-06-08 &amp; aws s3 cp s3://rtdc.mdm.uploadarchive.raw/RTDC4008/ "%USERPROFILE%\AppData\Local\Temp\OnboardLogs"\RTDC4008\2017-06-09 --exclude "*" --recursive --include "*20170609*" &amp; "%USERPROFILE%\Documents\GitHub\mrs-test-scripts\Headless Mode &amp; Sideloading\WalkAndUnGZ.bat" "%USERPROFILE%\AppData\Local\Temp\OnboardLogs"\RTDC4008\2017-06-09</v>
      </c>
      <c r="AF224" s="77" t="str">
        <f t="shared" si="86"/>
        <v>"C:\Program Files (x86)\AstroGrep\AstroGrep.exe" /e /r /s /spath="%USERPROFILE%\AppData\Local\Temp\OnboardLogs" /stypes="app*4008*20170608*" /stext=" 14:.+((SYSTEM_STATE.+slice.+state.+changed )|(ment ac)|(multiple cpu faults)|(system.+state.+changed )|(\[timeout)|(PRM\|1\|D)|(kpr)|(kdp)|(train st.+moving)|(\|lc)|(penalty))"</v>
      </c>
      <c r="AG224" s="1" t="str">
        <f t="shared" si="87"/>
        <v>Other</v>
      </c>
      <c r="AH224" s="81" t="str">
        <f t="shared" si="90"/>
        <v>"%USERPROFILE%\Documents\GitHub\eaglep3\Utilities\RefineRTDCRunTimes.py" --tripid 903-08 --locoid 4008 --swversion DE.1.0.9.0 --startMP 204:430 --initTime 2017-06-08T08:27:16 --startdatetime 2017-06-08T08:28:48 --delay 0 --endMP 300:24220 --enddatetime 2017-06-08T08:38:54 --enforcementcount 0 &gt;&gt;C:\Users\stu\Documents\GitHub\eaglep3-reporting\EC\2017-06-08-refined-times.txt</v>
      </c>
      <c r="AI224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{"issue":{"subject":"","project_id":79,"tracker_id":40,"status_id":1,"priority_id":2,"assigned_to_id":23,"start_date":"2017-06-08","description":"","custom_fields":[{"id":1,"name":"Subdivision","value":"Other"},{"id":4,"name":"Milepost","value":"2.422"},{"id":17,"name":"Train ID","value":"903-08"},{"id":16,"name":"Locomotive ID","value":"4008"},{"id":130,"name":"Impact","value":""},{"id":150,"name":"Time of Event (Mountain Time)","value":"08:38:54"},{"id":151,"name":"Denver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92"/>
        <v>start /low /b %USERPROFILE%\Documents\GitHub\eaglep3\Utilities\DownloadLogsFromS3.py --loco 4008 --day 2017-06-08</v>
      </c>
      <c r="AN224" s="154" t="str">
        <f t="shared" si="93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14:38:54"},{"id":29,"name":"Sharepoint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766</v>
      </c>
      <c r="B225" s="7">
        <v>4007</v>
      </c>
      <c r="C225" s="21" t="s">
        <v>204</v>
      </c>
      <c r="D225" s="21" t="s">
        <v>1004</v>
      </c>
      <c r="E225" s="13">
        <v>42894.641446759262</v>
      </c>
      <c r="F225" s="13">
        <v>42894.644999999997</v>
      </c>
      <c r="G225" s="7">
        <v>5</v>
      </c>
      <c r="H225" s="21" t="s">
        <v>515</v>
      </c>
      <c r="I225" s="13">
        <v>42894.650833333333</v>
      </c>
      <c r="J225" s="7">
        <v>0</v>
      </c>
      <c r="K225" s="92" t="str">
        <f t="shared" si="76"/>
        <v>4007/4008</v>
      </c>
      <c r="L225" s="21" t="str">
        <f>VLOOKUP(A225,'Trips&amp;Operators'!$C$1:$G$99999,5,FALSE)</f>
        <v>HAITHCOX MICHAEL</v>
      </c>
      <c r="M225" s="6">
        <f t="shared" si="77"/>
        <v>5.8333333363407291E-3</v>
      </c>
      <c r="N225" s="7">
        <f t="shared" si="94"/>
        <v>8.40000000433065</v>
      </c>
      <c r="O225" s="7"/>
      <c r="P225" s="7"/>
      <c r="Q225" s="22"/>
      <c r="R225" s="173"/>
      <c r="S225" s="176">
        <f t="shared" si="89"/>
        <v>1</v>
      </c>
      <c r="T225" s="202" t="str">
        <f t="shared" si="78"/>
        <v>Southbound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03" t="str">
        <f t="shared" si="79"/>
        <v>https://d0f6bd738d7f1b3e5a7ca70fe4ff75f0.us-east-1.aws.found.io/app/kibana#/discover/Steve-Slow-Train-Analysis-(2080s-and-2083s)?_g=(refreshInterval:(display:Off,pause:!f,section:0,value:0),time:(from:'2017-06-08T14:23:41-0600',mode:absolute,to:'2017-06-08T16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5" s="204" t="str">
        <f t="shared" si="80"/>
        <v>Y</v>
      </c>
      <c r="X225" s="204">
        <f t="shared" si="75"/>
        <v>1</v>
      </c>
      <c r="Y225" s="204">
        <f t="shared" si="81"/>
        <v>2.2772999999999999</v>
      </c>
      <c r="Z225" s="204">
        <f t="shared" si="82"/>
        <v>6.6799999999999998E-2</v>
      </c>
      <c r="AA225" s="204">
        <f t="shared" si="83"/>
        <v>2.2104999999999997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84"/>
        <v>0904-08</v>
      </c>
      <c r="AE225" s="80" t="str">
        <f t="shared" si="85"/>
        <v>aws s3 cp s3://rtdc.mdm.uploadarchive.raw/RTDC4007/ "%USERPROFILE%\AppData\Local\Temp\OnboardLogs"\RTDC4007\2017-06-08 --exclude "*" --recursive --include "*20170608*" &amp; "%USERPROFILE%\Documents\GitHub\mrs-test-scripts\Headless Mode &amp; Sideloading\WalkAndUnGZ.bat" "%USERPROFILE%\AppData\Local\Temp\OnboardLogs"\RTDC4007\2017-06-08 &amp; aws s3 cp s3://rtdc.mdm.uploadarchive.raw/RTDC4007/ "%USERPROFILE%\AppData\Local\Temp\OnboardLogs"\RTDC4007\2017-06-09 --exclude "*" --recursive --include "*20170609*" &amp; "%USERPROFILE%\Documents\GitHub\mrs-test-scripts\Headless Mode &amp; Sideloading\WalkAndUnGZ.bat" "%USERPROFILE%\AppData\Local\Temp\OnboardLogs"\RTDC4007\2017-06-09</v>
      </c>
      <c r="AF225" s="77" t="str">
        <f t="shared" si="86"/>
        <v>"C:\Program Files (x86)\AstroGrep\AstroGrep.exe" /e /r /s /spath="%USERPROFILE%\AppData\Local\Temp\OnboardLogs" /stypes="app*4007*20170608*" /stext=" 21:.+((SYSTEM_STATE.+slice.+state.+changed )|(ment ac)|(multiple cpu faults)|(system.+state.+changed )|(\[timeout)|(PRM\|1\|D)|(kpr)|(kdp)|(train st.+moving)|(\|lc)|(penalty))"</v>
      </c>
      <c r="AG225" s="1" t="str">
        <f t="shared" si="87"/>
        <v>Other</v>
      </c>
      <c r="AH225" s="81" t="str">
        <f t="shared" si="90"/>
        <v>"%USERPROFILE%\Documents\GitHub\eaglep3\Utilities\RefineRTDCRunTimes.py" --tripid 904-08 --locoid 4007 --swversion DE.1.0.9.0 --startMP 300:22773 --initTime 2017-06-08T15:23:41 --startdatetime 2017-06-08T15:28:48 --delay 5 --endMP 204:668 --enddatetime 2017-06-08T15:37:12 --enforcementcount 0 &gt;&gt;C:\Users\stu\Documents\GitHub\eaglep3-reporting\EC\2017-06-08-refined-times.txt</v>
      </c>
      <c r="AI225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{"issue":{"subject":"","project_id":79,"tracker_id":40,"status_id":1,"priority_id":2,"assigned_to_id":23,"start_date":"2017-06-08","description":"","custom_fields":[{"id":1,"name":"Subdivision","value":"Other"},{"id":4,"name":"Milepost","value":"0.0668"},{"id":17,"name":"Train ID","value":"904-08"},{"id":16,"name":"Locomotive ID","value":"4007"},{"id":130,"name":"Impact","value":""},{"id":150,"name":"Time of Event (Mountain Time)","value":"15:37:12"},{"id":151,"name":"Denver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92"/>
        <v>start /low /b %USERPROFILE%\Documents\GitHub\eaglep3\Utilities\DownloadLogsFromS3.py --loco 4007 --day 2017-06-08</v>
      </c>
      <c r="AN225" s="154" t="str">
        <f t="shared" si="93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21:37:12"},{"id":29,"name":"Sharepoint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807</v>
      </c>
      <c r="B226" s="7">
        <v>4007</v>
      </c>
      <c r="C226" s="21" t="s">
        <v>204</v>
      </c>
      <c r="D226" s="21" t="s">
        <v>518</v>
      </c>
      <c r="E226" s="13">
        <v>42894.797812500001</v>
      </c>
      <c r="F226" s="13">
        <v>42894.799293981479</v>
      </c>
      <c r="G226" s="7">
        <v>1</v>
      </c>
      <c r="H226" s="21" t="s">
        <v>1005</v>
      </c>
      <c r="I226" s="13">
        <v>42894.806875000002</v>
      </c>
      <c r="J226" s="7">
        <v>0</v>
      </c>
      <c r="K226" s="92" t="str">
        <f t="shared" si="76"/>
        <v>4007/4008</v>
      </c>
      <c r="L226" s="21" t="str">
        <f>VLOOKUP(A226,'Trips&amp;Operators'!$C$1:$G$99999,5,FALSE)</f>
        <v>HAITHCOX MICHAEL</v>
      </c>
      <c r="M226" s="6">
        <f t="shared" si="77"/>
        <v>7.5810185226146132E-3</v>
      </c>
      <c r="N226" s="7">
        <f t="shared" si="94"/>
        <v>10.916666672565043</v>
      </c>
      <c r="O226" s="7"/>
      <c r="P226" s="7"/>
      <c r="Q226" s="22"/>
      <c r="R226" s="173"/>
      <c r="S226" s="176">
        <f t="shared" si="89"/>
        <v>0</v>
      </c>
      <c r="T226" s="202" t="str">
        <f t="shared" si="78"/>
        <v>Southbound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03" t="str">
        <f t="shared" si="79"/>
        <v>https://d0f6bd738d7f1b3e5a7ca70fe4ff75f0.us-east-1.aws.found.io/app/kibana#/discover/Steve-Slow-Train-Analysis-(2080s-and-2083s)?_g=(refreshInterval:(display:Off,pause:!f,section:0,value:0),time:(from:'2017-06-08T18:08:51-0600',mode:absolute,to:'2017-06-08T20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6" s="204" t="str">
        <f t="shared" si="80"/>
        <v>Y</v>
      </c>
      <c r="X226" s="204">
        <f t="shared" ref="X226:X238" si="95">VALUE(LEFT(AD226,4))-VALUE(LEFT(AD225,4))</f>
        <v>2</v>
      </c>
      <c r="Y226" s="204">
        <f t="shared" si="81"/>
        <v>5.8605999999999998</v>
      </c>
      <c r="Z226" s="204">
        <f t="shared" si="82"/>
        <v>2.1452</v>
      </c>
      <c r="AA226" s="204">
        <f t="shared" si="83"/>
        <v>3.7153999999999998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84"/>
        <v>0906-08</v>
      </c>
      <c r="AE226" s="80" t="str">
        <f t="shared" si="85"/>
        <v>aws s3 cp s3://rtdc.mdm.uploadarchive.raw/RTDC4007/ "%USERPROFILE%\AppData\Local\Temp\OnboardLogs"\RTDC4007\2017-06-08 --exclude "*" --recursive --include "*20170608*" &amp; "%USERPROFILE%\Documents\GitHub\mrs-test-scripts\Headless Mode &amp; Sideloading\WalkAndUnGZ.bat" "%USERPROFILE%\AppData\Local\Temp\OnboardLogs"\RTDC4007\2017-06-08 &amp; aws s3 cp s3://rtdc.mdm.uploadarchive.raw/RTDC4007/ "%USERPROFILE%\AppData\Local\Temp\OnboardLogs"\RTDC4007\2017-06-09 --exclude "*" --recursive --include "*20170609*" &amp; "%USERPROFILE%\Documents\GitHub\mrs-test-scripts\Headless Mode &amp; Sideloading\WalkAndUnGZ.bat" "%USERPROFILE%\AppData\Local\Temp\OnboardLogs"\RTDC4007\2017-06-09</v>
      </c>
      <c r="AF226" s="77" t="str">
        <f t="shared" si="86"/>
        <v>"C:\Program Files (x86)\AstroGrep\AstroGrep.exe" /e /r /s /spath="%USERPROFILE%\AppData\Local\Temp\OnboardLogs" /stypes="app*4007*20170609*" /stext=" 01:.+((SYSTEM_STATE.+slice.+state.+changed )|(ment ac)|(multiple cpu faults)|(system.+state.+changed )|(\[timeout)|(PRM\|1\|D)|(kpr)|(kdp)|(train st.+moving)|(\|lc)|(penalty))"</v>
      </c>
      <c r="AG226" s="1" t="str">
        <f t="shared" si="87"/>
        <v>Other</v>
      </c>
      <c r="AH226" s="81" t="str">
        <f t="shared" si="90"/>
        <v>"%USERPROFILE%\Documents\GitHub\eaglep3\Utilities\RefineRTDCRunTimes.py" --tripid 906-08 --locoid 4007 --swversion DE.1.0.9.0 --startMP 300:58606 --initTime 2017-06-08T19:08:51 --startdatetime 2017-06-08T19:10:59 --delay 1 --endMP 300:21452 --enddatetime 2017-06-08T19:21:54 --enforcementcount 0 &gt;&gt;C:\Users\stu\Documents\GitHub\eaglep3-reporting\EC\2017-06-08-refined-times.txt</v>
      </c>
      <c r="AI226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{"issue":{"subject":"","project_id":79,"tracker_id":40,"status_id":1,"priority_id":2,"assigned_to_id":23,"start_date":"2017-06-08","description":"","custom_fields":[{"id":1,"name":"Subdivision","value":"Other"},{"id":4,"name":"Milepost","value":"2.1452"},{"id":17,"name":"Train ID","value":"906-08"},{"id":16,"name":"Locomotive ID","value":"4007"},{"id":130,"name":"Impact","value":""},{"id":150,"name":"Time of Event (Mountain Time)","value":"19:21:54"},{"id":151,"name":"Denver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92"/>
        <v>start /low /b %USERPROFILE%\Documents\GitHub\eaglep3\Utilities\DownloadLogsFromS3.py --loco 4007 --day 2017-06-08</v>
      </c>
      <c r="AN226" s="154" t="str">
        <f t="shared" si="93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01:21:54"},{"id":29,"name":"Sharepoint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649</v>
      </c>
      <c r="B227" s="7">
        <v>4031</v>
      </c>
      <c r="C227" s="21" t="s">
        <v>204</v>
      </c>
      <c r="D227" s="21" t="s">
        <v>987</v>
      </c>
      <c r="E227" s="13">
        <v>42894.943356481483</v>
      </c>
      <c r="F227" s="13">
        <v>42894.944826388892</v>
      </c>
      <c r="G227" s="7">
        <v>1</v>
      </c>
      <c r="H227" s="21" t="s">
        <v>1006</v>
      </c>
      <c r="I227" s="13">
        <v>42894.94494212963</v>
      </c>
      <c r="J227" s="7">
        <v>0</v>
      </c>
      <c r="K227" s="92" t="str">
        <f t="shared" si="76"/>
        <v>4031/4032</v>
      </c>
      <c r="L227" s="21" t="str">
        <f>VLOOKUP(A227,'Trips&amp;Operators'!$C$1:$G$99999,5,FALSE)</f>
        <v>HAITHCOX MICHAEL</v>
      </c>
      <c r="M227" s="6">
        <f t="shared" si="77"/>
        <v>1.1574073869269341E-4</v>
      </c>
      <c r="N227" s="7">
        <f t="shared" si="94"/>
        <v>0.16666666371747851</v>
      </c>
      <c r="O227" s="7"/>
      <c r="P227" s="7"/>
      <c r="Q227" s="22"/>
      <c r="R227" s="173"/>
      <c r="S227" s="176">
        <f t="shared" si="89"/>
        <v>0</v>
      </c>
      <c r="T227" s="202" t="str">
        <f t="shared" si="78"/>
        <v>Southbound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03" t="str">
        <f t="shared" si="79"/>
        <v>https://d0f6bd738d7f1b3e5a7ca70fe4ff75f0.us-east-1.aws.found.io/app/kibana#/discover/Steve-Slow-Train-Analysis-(2080s-and-2083s)?_g=(refreshInterval:(display:Off,pause:!f,section:0,value:0),time:(from:'2017-06-08T21:38:26-0600',mode:absolute,to:'2017-06-08T23:40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7" s="204" t="str">
        <f t="shared" si="80"/>
        <v>Y</v>
      </c>
      <c r="X227" s="204">
        <f t="shared" si="95"/>
        <v>2</v>
      </c>
      <c r="Y227" s="204">
        <f t="shared" si="81"/>
        <v>5.8608000000000002</v>
      </c>
      <c r="Z227" s="204">
        <f t="shared" si="82"/>
        <v>5.8287000000000004</v>
      </c>
      <c r="AA227" s="204">
        <f t="shared" si="83"/>
        <v>3.2099999999999795E-2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84"/>
        <v>0908-08</v>
      </c>
      <c r="AE227" s="80" t="str">
        <f t="shared" si="85"/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AF227" s="77" t="str">
        <f t="shared" si="86"/>
        <v>"C:\Program Files (x86)\AstroGrep\AstroGrep.exe" /e /r /s /spath="%USERPROFILE%\AppData\Local\Temp\OnboardLogs" /stypes="app*4031*20170609*" /stext=" 04:.+((SYSTEM_STATE.+slice.+state.+changed )|(ment ac)|(multiple cpu faults)|(system.+state.+changed )|(\[timeout)|(PRM\|1\|D)|(kpr)|(kdp)|(train st.+moving)|(\|lc)|(penalty))"</v>
      </c>
      <c r="AG227" s="1" t="str">
        <f t="shared" si="87"/>
        <v>Other</v>
      </c>
      <c r="AH227" s="81" t="str">
        <f t="shared" si="90"/>
        <v>"%USERPROFILE%\Documents\GitHub\eaglep3\Utilities\RefineRTDCRunTimes.py" --tripid 908-08 --locoid 4031 --swversion DE.1.0.9.0 --startMP 300:58608 --initTime 2017-06-08T22:38:26 --startdatetime 2017-06-08T22:40:33 --delay 1 --endMP 300:58287 --enddatetime 2017-06-08T22:40:43 --enforcementcount 0 &gt;&gt;C:\Users\stu\Documents\GitHub\eaglep3-reporting\EC\2017-06-08-refined-times.txt</v>
      </c>
      <c r="AI227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{"issue":{"subject":"","project_id":79,"tracker_id":40,"status_id":1,"priority_id":2,"assigned_to_id":23,"start_date":"2017-06-08","description":"","custom_fields":[{"id":1,"name":"Subdivision","value":"Other"},{"id":4,"name":"Milepost","value":"5.8287"},{"id":17,"name":"Train ID","value":"908-08"},{"id":16,"name":"Locomotive ID","value":"4031"},{"id":130,"name":"Impact","value":""},{"id":150,"name":"Time of Event (Mountain Time)","value":"22:40:43"},{"id":151,"name":"Denver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92"/>
        <v>start /low /b %USERPROFILE%\Documents\GitHub\eaglep3\Utilities\DownloadLogsFromS3.py --loco 4031 --day 2017-06-08</v>
      </c>
      <c r="AN227" s="154" t="str">
        <f t="shared" si="93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04:40:43"},{"id":29,"name":"Sharepoint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609</v>
      </c>
      <c r="B228" s="7">
        <v>4021</v>
      </c>
      <c r="C228" s="21" t="s">
        <v>204</v>
      </c>
      <c r="D228" s="21" t="s">
        <v>926</v>
      </c>
      <c r="E228" s="13">
        <v>42894.114618055559</v>
      </c>
      <c r="F228" s="13">
        <v>42894.119722222225</v>
      </c>
      <c r="G228" s="7">
        <v>7</v>
      </c>
      <c r="H228" s="21" t="s">
        <v>927</v>
      </c>
      <c r="I228" s="13">
        <v>42894.119895833333</v>
      </c>
      <c r="J228" s="7">
        <v>0</v>
      </c>
      <c r="K228" s="92" t="str">
        <f t="shared" si="76"/>
        <v>4021/4022</v>
      </c>
      <c r="L228" s="21" t="str">
        <f>VLOOKUP(A228,'Trips&amp;Operators'!$C$1:$G$99999,5,FALSE)</f>
        <v>SPECTOR MICHAEL</v>
      </c>
      <c r="M228" s="6">
        <f t="shared" si="77"/>
        <v>1.7361110803904012E-4</v>
      </c>
      <c r="N228" s="7">
        <f t="shared" si="94"/>
        <v>0.24999999557621777</v>
      </c>
      <c r="O228" s="7"/>
      <c r="P228" s="7"/>
      <c r="Q228" s="22"/>
      <c r="R228" s="173"/>
      <c r="S228" s="176">
        <f t="shared" si="89"/>
        <v>0</v>
      </c>
      <c r="T228" s="202" t="e">
        <f t="shared" si="78"/>
        <v>#VALUE!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03" t="str">
        <f t="shared" si="79"/>
        <v>https://d0f6bd738d7f1b3e5a7ca70fe4ff75f0.us-east-1.aws.found.io/app/kibana#/discover/Steve-Slow-Train-Analysis-(2080s-and-2083s)?_g=(refreshInterval:(display:Off,pause:!f,section:0,value:0),time:(from:'2017-06-08T01:45:03-0600',mode:absolute,to:'2017-06-08T03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8" s="204" t="str">
        <f t="shared" si="80"/>
        <v>Y</v>
      </c>
      <c r="X228" s="204" t="e">
        <f t="shared" si="95"/>
        <v>#VALUE!</v>
      </c>
      <c r="Y228" s="204">
        <f t="shared" si="81"/>
        <v>2.2507999999999999</v>
      </c>
      <c r="Z228" s="204">
        <f t="shared" si="82"/>
        <v>2.1463999999999999</v>
      </c>
      <c r="AA228" s="204">
        <f t="shared" si="83"/>
        <v>0.10440000000000005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84"/>
        <v>50-08</v>
      </c>
      <c r="AE228" s="80" t="str">
        <f t="shared" si="85"/>
        <v>aws s3 cp s3://rtdc.mdm.uploadarchive.raw/RTDC4021/ "%USERPROFILE%\AppData\Local\Temp\OnboardLogs"\RTDC4021\2017-06-08 --exclude "*" --recursive --include "*20170608*" &amp; "%USERPROFILE%\Documents\GitHub\mrs-test-scripts\Headless Mode &amp; Sideloading\WalkAndUnGZ.bat" "%USERPROFILE%\AppData\Local\Temp\OnboardLogs"\RTDC4021\2017-06-08 &amp; 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</v>
      </c>
      <c r="AF228" s="77" t="str">
        <f t="shared" si="86"/>
        <v>"C:\Program Files (x86)\AstroGrep\AstroGrep.exe" /e /r /s /spath="%USERPROFILE%\AppData\Local\Temp\OnboardLogs" /stypes="app*4021*20170608*" /stext=" 08:.+((SYSTEM_STATE.+slice.+state.+changed )|(ment ac)|(multiple cpu faults)|(system.+state.+changed )|(\[timeout)|(PRM\|1\|D)|(kpr)|(kdp)|(train st.+moving)|(\|lc)|(penalty))"</v>
      </c>
      <c r="AG228" s="1" t="str">
        <f t="shared" si="87"/>
        <v>Other</v>
      </c>
      <c r="AH228" s="81" t="str">
        <f t="shared" si="90"/>
        <v>"%USERPROFILE%\Documents\GitHub\eaglep3\Utilities\RefineRTDCRunTimes.py" --tripid 50-08 --locoid 4021 --swversion DE.1.0.9.0 --startMP 300:22508 --initTime 2017-06-08T02:45:03 --startdatetime 2017-06-08T02:52:24 --delay 7 --endMP 300:21464 --enddatetime 2017-06-08T02:52:39 --enforcementcount 0 &gt;&gt;C:\Users\stu\Documents\GitHub\eaglep3-reporting\EC\2017-06-08-refined-times.txt</v>
      </c>
      <c r="AI228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{"issue":{"subject":"","project_id":79,"tracker_id":40,"status_id":1,"priority_id":2,"assigned_to_id":23,"start_date":"2017-06-08","description":"","custom_fields":[{"id":1,"name":"Subdivision","value":"Other"},{"id":4,"name":"Milepost","value":"2.1464"},{"id":17,"name":"Train ID","value":"50-08"},{"id":16,"name":"Locomotive ID","value":"4021"},{"id":130,"name":"Impact","value":""},{"id":150,"name":"Time of Event (Mountain Time)","value":"02:52:39"},{"id":151,"name":"Denver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92"/>
        <v>start /low /b %USERPROFILE%\Documents\GitHub\eaglep3\Utilities\DownloadLogsFromS3.py --loco 4021 --day 2017-06-08</v>
      </c>
      <c r="AN228" s="154" t="str">
        <f t="shared" si="93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08:52:39"},{"id":29,"name":"Sharepoint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673</v>
      </c>
      <c r="B229" s="7">
        <v>4040</v>
      </c>
      <c r="C229" s="21" t="s">
        <v>204</v>
      </c>
      <c r="D229" s="21" t="s">
        <v>928</v>
      </c>
      <c r="E229" s="13">
        <v>42894.248761574076</v>
      </c>
      <c r="F229" s="13">
        <v>25568.708333333332</v>
      </c>
      <c r="G229" s="7">
        <v>2</v>
      </c>
      <c r="H229" s="21" t="s">
        <v>929</v>
      </c>
      <c r="I229" s="13">
        <v>25568.708333333332</v>
      </c>
      <c r="J229" s="7">
        <v>0</v>
      </c>
      <c r="K229" s="92" t="str">
        <f t="shared" si="76"/>
        <v>4039/4040</v>
      </c>
      <c r="L229" s="21" t="str">
        <f>VLOOKUP(A229,'Trips&amp;Operators'!$C$1:$G$99999,5,FALSE)</f>
        <v>SPECTOR MICHAEL</v>
      </c>
      <c r="M229" s="6">
        <f t="shared" si="77"/>
        <v>0</v>
      </c>
      <c r="N229" s="7">
        <f t="shared" si="94"/>
        <v>0</v>
      </c>
      <c r="O229" s="7"/>
      <c r="P229" s="7"/>
      <c r="Q229" s="22"/>
      <c r="R229" s="173"/>
      <c r="S229" s="176">
        <f t="shared" si="89"/>
        <v>0</v>
      </c>
      <c r="T229" s="202" t="e">
        <f t="shared" si="78"/>
        <v>#VALUE!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03" t="str">
        <f t="shared" si="79"/>
        <v>https://d0f6bd738d7f1b3e5a7ca70fe4ff75f0.us-east-1.aws.found.io/app/kibana#/discover/Steve-Slow-Train-Analysis-(2080s-and-2083s)?_g=(refreshInterval:(display:Off,pause:!f,section:0,value:0),time:(from:'2017-06-08T04:58:13-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9" s="204" t="str">
        <f t="shared" si="80"/>
        <v>Y</v>
      </c>
      <c r="X229" s="204" t="e">
        <f t="shared" si="95"/>
        <v>#VALUE!</v>
      </c>
      <c r="Y229" s="204">
        <f t="shared" si="81"/>
        <v>0.14810000000000001</v>
      </c>
      <c r="Z229" s="204">
        <f t="shared" si="82"/>
        <v>0.1492</v>
      </c>
      <c r="AA229" s="204">
        <f t="shared" si="83"/>
        <v>1.0999999999999899E-3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84"/>
        <v>52-08</v>
      </c>
      <c r="AE229" s="80" t="str">
        <f t="shared" si="85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29" s="77" t="str">
        <f t="shared" si="86"/>
        <v>"C:\Program Files (x86)\AstroGrep\AstroGrep.exe" /e /r /s /spath="%USERPROFILE%\AppData\Local\Temp\OnboardLogs" /stypes="app*4040*19691231*" /stext=" 23:.+((SYSTEM_STATE.+slice.+state.+changed )|(ment ac)|(multiple cpu faults)|(system.+state.+changed )|(\[timeout)|(PRM\|1\|D)|(kpr)|(kdp)|(train st.+moving)|(\|lc)|(penalty))"</v>
      </c>
      <c r="AG229" s="1" t="str">
        <f t="shared" si="87"/>
        <v>Other</v>
      </c>
      <c r="AH229" s="81" t="str">
        <f t="shared" si="90"/>
        <v>"%USERPROFILE%\Documents\GitHub\eaglep3\Utilities\RefineRTDCRunTimes.py" --tripid 52-08 --locoid 4040 --swversion DE.1.0.9.0 --startMP 204:1481 --initTime 2017-06-08T05:58:13 --startdatetime 1969-12-31T17:00:00 --delay 2 --endMP 204:1492 --enddatetime 1969-12-31T17:00:00 --enforcementcount 0 &gt;&gt;C:\Users\stu\Documents\GitHub\eaglep3-reporting\EC\2017-06-08-refined-times.txt</v>
      </c>
      <c r="AI229" s="9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{"issue":{"subject":"","project_id":79,"tracker_id":40,"status_id":1,"priority_id":2,"assigned_to_id":23,"start_date":"1969-12-31","description":"","custom_fields":[{"id":1,"name":"Subdivision","value":"Other"},{"id":4,"name":"Milepost","value":"0.1492"},{"id":17,"name":"Train ID","value":"52-08"},{"id":16,"name":"Locomotive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92"/>
        <v>start /low /b %USERPROFILE%\Documents\GitHub\eaglep3\Utilities\DownloadLogsFromS3.py --loco 4040 --day 1969-12-31</v>
      </c>
      <c r="AN229" s="154" t="str">
        <f t="shared" si="9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673</v>
      </c>
      <c r="B230" s="7">
        <v>4053</v>
      </c>
      <c r="C230" s="21" t="s">
        <v>204</v>
      </c>
      <c r="D230" s="21" t="s">
        <v>930</v>
      </c>
      <c r="E230" s="13">
        <v>42894.452268518522</v>
      </c>
      <c r="F230" s="13">
        <v>42894.456064814818</v>
      </c>
      <c r="G230" s="7">
        <v>5</v>
      </c>
      <c r="H230" s="21" t="s">
        <v>931</v>
      </c>
      <c r="I230" s="13">
        <v>42894.461238425924</v>
      </c>
      <c r="J230" s="7">
        <v>0</v>
      </c>
      <c r="K230" s="92" t="str">
        <f t="shared" si="76"/>
        <v>4053/4054</v>
      </c>
      <c r="L230" s="21" t="str">
        <f>VLOOKUP(A230,'Trips&amp;Operators'!$C$1:$G$99999,5,FALSE)</f>
        <v>SPECTOR MICHAEL</v>
      </c>
      <c r="M230" s="6">
        <f t="shared" si="77"/>
        <v>5.1736111054196954E-3</v>
      </c>
      <c r="N230" s="7">
        <f t="shared" si="94"/>
        <v>7.4499999918043613</v>
      </c>
      <c r="O230" s="7"/>
      <c r="P230" s="7"/>
      <c r="Q230" s="22"/>
      <c r="R230" s="173"/>
      <c r="S230" s="176">
        <f t="shared" si="89"/>
        <v>0</v>
      </c>
      <c r="T230" s="202" t="e">
        <f t="shared" si="78"/>
        <v>#VALUE!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03" t="str">
        <f t="shared" si="79"/>
        <v>https://d0f6bd738d7f1b3e5a7ca70fe4ff75f0.us-east-1.aws.found.io/app/kibana#/discover/Steve-Slow-Train-Analysis-(2080s-and-2083s)?_g=(refreshInterval:(display:Off,pause:!f,section:0,value:0),time:(from:'2017-06-08T09:51:16-0600',mode:absolute,to:'2017-06-08T12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0" s="204" t="str">
        <f t="shared" si="80"/>
        <v>Y</v>
      </c>
      <c r="X230" s="204" t="e">
        <f t="shared" si="95"/>
        <v>#VALUE!</v>
      </c>
      <c r="Y230" s="204">
        <f t="shared" si="81"/>
        <v>2.2029999999999998</v>
      </c>
      <c r="Z230" s="204">
        <f t="shared" si="82"/>
        <v>7.4999999999999997E-3</v>
      </c>
      <c r="AA230" s="204">
        <f t="shared" si="83"/>
        <v>2.1955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84"/>
        <v>52-08</v>
      </c>
      <c r="AE230" s="80" t="str">
        <f t="shared" si="85"/>
        <v>aws s3 cp s3://rtdc.mdm.uploadarchive.raw/RTDC4053/ "%USERPROFILE%\AppData\Local\Temp\OnboardLogs"\RTDC4053\2017-06-08 --exclude "*" --recursive --include "*20170608*" &amp; "%USERPROFILE%\Documents\GitHub\mrs-test-scripts\Headless Mode &amp; Sideloading\WalkAndUnGZ.bat" "%USERPROFILE%\AppData\Local\Temp\OnboardLogs"\RTDC4053\2017-06-08 &amp; aws s3 cp s3://rtdc.mdm.uploadarchive.raw/RTDC4053/ "%USERPROFILE%\AppData\Local\Temp\OnboardLogs"\RTDC4053\2017-06-09 --exclude "*" --recursive --include "*20170609*" &amp; "%USERPROFILE%\Documents\GitHub\mrs-test-scripts\Headless Mode &amp; Sideloading\WalkAndUnGZ.bat" "%USERPROFILE%\AppData\Local\Temp\OnboardLogs"\RTDC4053\2017-06-09</v>
      </c>
      <c r="AF230" s="77" t="str">
        <f t="shared" si="86"/>
        <v>"C:\Program Files (x86)\AstroGrep\AstroGrep.exe" /e /r /s /spath="%USERPROFILE%\AppData\Local\Temp\OnboardLogs" /stypes="app*4053*20170608*" /stext=" 17:.+((SYSTEM_STATE.+slice.+state.+changed )|(ment ac)|(multiple cpu faults)|(system.+state.+changed )|(\[timeout)|(PRM\|1\|D)|(kpr)|(kdp)|(train st.+moving)|(\|lc)|(penalty))"</v>
      </c>
      <c r="AG230" s="1" t="str">
        <f t="shared" si="87"/>
        <v>Other</v>
      </c>
      <c r="AH230" s="81" t="str">
        <f t="shared" si="90"/>
        <v>"%USERPROFILE%\Documents\GitHub\eaglep3\Utilities\RefineRTDCRunTimes.py" --tripid 52-08 --locoid 4053 --swversion DE.1.0.9.0 --startMP 300:22030 --initTime 2017-06-08T10:51:16 --startdatetime 2017-06-08T10:56:44 --delay 5 --endMP 204:75 --enddatetime 2017-06-08T11:04:11 --enforcementcount 0 &gt;&gt;C:\Users\stu\Documents\GitHub\eaglep3-reporting\EC\2017-06-08-refined-times.txt</v>
      </c>
      <c r="AI230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{"issue":{"subject":"","project_id":79,"tracker_id":40,"status_id":1,"priority_id":2,"assigned_to_id":23,"start_date":"2017-06-08","description":"","custom_fields":[{"id":1,"name":"Subdivision","value":"Other"},{"id":4,"name":"Milepost","value":"0.0075"},{"id":17,"name":"Train ID","value":"52-08"},{"id":16,"name":"Locomotive ID","value":"4053"},{"id":130,"name":"Impact","value":""},{"id":150,"name":"Time of Event (Mountain Time)","value":"11:04:11"},{"id":151,"name":"Denver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92"/>
        <v>start /low /b %USERPROFILE%\Documents\GitHub\eaglep3\Utilities\DownloadLogsFromS3.py --loco 4053 --day 2017-06-08</v>
      </c>
      <c r="AN230" s="154" t="str">
        <f t="shared" si="93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17:04:11"},{"id":29,"name":"Sharepoint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733</v>
      </c>
      <c r="B231" s="7">
        <v>4054</v>
      </c>
      <c r="C231" s="21" t="s">
        <v>204</v>
      </c>
      <c r="D231" s="21" t="s">
        <v>932</v>
      </c>
      <c r="E231" s="13">
        <v>42894.477696759262</v>
      </c>
      <c r="F231" s="13">
        <v>42894.479062500002</v>
      </c>
      <c r="G231" s="7">
        <v>1</v>
      </c>
      <c r="H231" s="21" t="s">
        <v>933</v>
      </c>
      <c r="I231" s="13">
        <v>42894.485000000001</v>
      </c>
      <c r="J231" s="7">
        <v>0</v>
      </c>
      <c r="K231" s="92" t="str">
        <f t="shared" si="76"/>
        <v>4053/4054</v>
      </c>
      <c r="L231" s="21" t="str">
        <f>VLOOKUP(A231,'Trips&amp;Operators'!$C$1:$G$99999,5,FALSE)</f>
        <v>BONDS REYNALDO</v>
      </c>
      <c r="M231" s="6">
        <f t="shared" si="77"/>
        <v>5.9374999982537702E-3</v>
      </c>
      <c r="N231" s="7">
        <f t="shared" si="94"/>
        <v>8.549999997485429</v>
      </c>
      <c r="O231" s="7"/>
      <c r="P231" s="7"/>
      <c r="Q231" s="22"/>
      <c r="R231" s="173"/>
      <c r="S231" s="176">
        <f t="shared" si="89"/>
        <v>0</v>
      </c>
      <c r="T231" s="202" t="e">
        <f t="shared" si="78"/>
        <v>#VALUE!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03" t="str">
        <f t="shared" si="79"/>
        <v>https://d0f6bd738d7f1b3e5a7ca70fe4ff75f0.us-east-1.aws.found.io/app/kibana#/discover/Steve-Slow-Train-Analysis-(2080s-and-2083s)?_g=(refreshInterval:(display:Off,pause:!f,section:0,value:0),time:(from:'2017-06-08T10:27:53-0600',mode:absolute,to:'2017-06-08T12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1" s="204" t="str">
        <f t="shared" si="80"/>
        <v>Y</v>
      </c>
      <c r="X231" s="204" t="e">
        <f t="shared" si="95"/>
        <v>#VALUE!</v>
      </c>
      <c r="Y231" s="204">
        <f t="shared" si="81"/>
        <v>3.6799999999999999E-2</v>
      </c>
      <c r="Z231" s="204">
        <f t="shared" si="82"/>
        <v>2.4197000000000002</v>
      </c>
      <c r="AA231" s="204">
        <f t="shared" si="83"/>
        <v>2.3829000000000002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84"/>
        <v>53-08</v>
      </c>
      <c r="AE231" s="80" t="str">
        <f t="shared" si="85"/>
        <v>aws s3 cp s3://rtdc.mdm.uploadarchive.raw/RTDC4054/ "%USERPROFILE%\AppData\Local\Temp\OnboardLogs"\RTDC4054\2017-06-08 --exclude "*" --recursive --include "*20170608*" &amp; "%USERPROFILE%\Documents\GitHub\mrs-test-scripts\Headless Mode &amp; Sideloading\WalkAndUnGZ.bat" "%USERPROFILE%\AppData\Local\Temp\OnboardLogs"\RTDC4054\2017-06-08 &amp; aws s3 cp s3://rtdc.mdm.uploadarchive.raw/RTDC4054/ "%USERPROFILE%\AppData\Local\Temp\OnboardLogs"\RTDC4054\2017-06-09 --exclude "*" --recursive --include "*20170609*" &amp; "%USERPROFILE%\Documents\GitHub\mrs-test-scripts\Headless Mode &amp; Sideloading\WalkAndUnGZ.bat" "%USERPROFILE%\AppData\Local\Temp\OnboardLogs"\RTDC4054\2017-06-09</v>
      </c>
      <c r="AF231" s="77" t="str">
        <f t="shared" si="86"/>
        <v>"C:\Program Files (x86)\AstroGrep\AstroGrep.exe" /e /r /s /spath="%USERPROFILE%\AppData\Local\Temp\OnboardLogs" /stypes="app*4054*20170608*" /stext=" 17:.+((SYSTEM_STATE.+slice.+state.+changed )|(ment ac)|(multiple cpu faults)|(system.+state.+changed )|(\[timeout)|(PRM\|1\|D)|(kpr)|(kdp)|(train st.+moving)|(\|lc)|(penalty))"</v>
      </c>
      <c r="AG231" s="1" t="str">
        <f t="shared" si="87"/>
        <v>Other</v>
      </c>
      <c r="AH231" s="81" t="str">
        <f t="shared" si="90"/>
        <v>"%USERPROFILE%\Documents\GitHub\eaglep3\Utilities\RefineRTDCRunTimes.py" --tripid 53-08 --locoid 4054 --swversion DE.1.0.9.0 --startMP 204:368 --initTime 2017-06-08T11:27:53 --startdatetime 2017-06-08T11:29:51 --delay 1 --endMP 300:24197 --enddatetime 2017-06-08T11:38:24 --enforcementcount 0 &gt;&gt;C:\Users\stu\Documents\GitHub\eaglep3-reporting\EC\2017-06-08-refined-times.txt</v>
      </c>
      <c r="AI231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{"issue":{"subject":"","project_id":79,"tracker_id":40,"status_id":1,"priority_id":2,"assigned_to_id":23,"start_date":"2017-06-08","description":"","custom_fields":[{"id":1,"name":"Subdivision","value":"Other"},{"id":4,"name":"Milepost","value":"2.4197"},{"id":17,"name":"Train ID","value":"53-08"},{"id":16,"name":"Locomotive ID","value":"4054"},{"id":130,"name":"Impact","value":""},{"id":150,"name":"Time of Event (Mountain Time)","value":"11:38:24"},{"id":151,"name":"Denver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92"/>
        <v>start /low /b %USERPROFILE%\Documents\GitHub\eaglep3\Utilities\DownloadLogsFromS3.py --loco 4054 --day 2017-06-08</v>
      </c>
      <c r="AN231" s="154" t="str">
        <f t="shared" si="93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17:38:24"},{"id":29,"name":"Sharepoint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778</v>
      </c>
      <c r="B232" s="7">
        <v>4040</v>
      </c>
      <c r="C232" s="21" t="s">
        <v>204</v>
      </c>
      <c r="D232" s="21" t="s">
        <v>928</v>
      </c>
      <c r="E232" s="13">
        <v>42894.694606481484</v>
      </c>
      <c r="F232" s="13">
        <v>42894.711041666669</v>
      </c>
      <c r="G232" s="7">
        <v>4</v>
      </c>
      <c r="H232" s="21" t="s">
        <v>934</v>
      </c>
      <c r="I232" s="13">
        <v>42894.72042824074</v>
      </c>
      <c r="J232" s="7">
        <v>0</v>
      </c>
      <c r="K232" s="92" t="str">
        <f t="shared" si="76"/>
        <v>4039/4040</v>
      </c>
      <c r="L232" s="21" t="str">
        <f>VLOOKUP(A232,'Trips&amp;Operators'!$C$1:$G$99999,5,FALSE)</f>
        <v>BEAM ROSS</v>
      </c>
      <c r="M232" s="6">
        <f t="shared" si="77"/>
        <v>9.3865740709588863E-3</v>
      </c>
      <c r="N232" s="7">
        <f t="shared" si="94"/>
        <v>13.516666662180796</v>
      </c>
      <c r="O232" s="7"/>
      <c r="P232" s="7"/>
      <c r="Q232" s="22"/>
      <c r="R232" s="173"/>
      <c r="S232" s="176">
        <f t="shared" si="89"/>
        <v>0</v>
      </c>
      <c r="T232" s="202" t="e">
        <f t="shared" si="78"/>
        <v>#VALUE!</v>
      </c>
      <c r="U232" s="20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03" t="str">
        <f t="shared" si="79"/>
        <v>https://d0f6bd738d7f1b3e5a7ca70fe4ff75f0.us-east-1.aws.found.io/app/kibana#/discover/Steve-Slow-Train-Analysis-(2080s-and-2083s)?_g=(refreshInterval:(display:Off,pause:!f,section:0,value:0),time:(from:'2017-06-08T15:40:14-0600',mode:absolute,to:'2017-06-08T18:17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2" s="204" t="str">
        <f t="shared" si="80"/>
        <v>Y</v>
      </c>
      <c r="X232" s="204" t="e">
        <f t="shared" si="95"/>
        <v>#VALUE!</v>
      </c>
      <c r="Y232" s="204">
        <f t="shared" si="81"/>
        <v>0.14810000000000001</v>
      </c>
      <c r="Z232" s="204">
        <f t="shared" si="82"/>
        <v>2.3048999999999999</v>
      </c>
      <c r="AA232" s="204">
        <f t="shared" si="83"/>
        <v>2.1568000000000001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84"/>
        <v>73-08</v>
      </c>
      <c r="AE232" s="80" t="str">
        <f t="shared" si="85"/>
        <v>aws s3 cp s3://rtdc.mdm.uploadarchive.raw/RTDC4040/ "%USERPROFILE%\AppData\Local\Temp\OnboardLogs"\RTDC4040\2017-06-08 --exclude "*" --recursive --include "*20170608*" &amp; "%USERPROFILE%\Documents\GitHub\mrs-test-scripts\Headless Mode &amp; Sideloading\WalkAndUnGZ.bat" "%USERPROFILE%\AppData\Local\Temp\OnboardLogs"\RTDC4040\2017-06-08 &amp; aws s3 cp s3://rtdc.mdm.uploadarchive.raw/RTDC4040/ "%USERPROFILE%\AppData\Local\Temp\OnboardLogs"\RTDC4040\2017-06-09 --exclude "*" --recursive --include "*20170609*" &amp; "%USERPROFILE%\Documents\GitHub\mrs-test-scripts\Headless Mode &amp; Sideloading\WalkAndUnGZ.bat" "%USERPROFILE%\AppData\Local\Temp\OnboardLogs"\RTDC4040\2017-06-09</v>
      </c>
      <c r="AF232" s="77" t="str">
        <f t="shared" si="86"/>
        <v>"C:\Program Files (x86)\AstroGrep\AstroGrep.exe" /e /r /s /spath="%USERPROFILE%\AppData\Local\Temp\OnboardLogs" /stypes="app*4040*20170608*" /stext=" 23:.+((SYSTEM_STATE.+slice.+state.+changed )|(ment ac)|(multiple cpu faults)|(system.+state.+changed )|(\[timeout)|(PRM\|1\|D)|(kpr)|(kdp)|(train st.+moving)|(\|lc)|(penalty))"</v>
      </c>
      <c r="AG232" s="1" t="str">
        <f t="shared" si="87"/>
        <v>Other</v>
      </c>
      <c r="AH232" s="81" t="str">
        <f t="shared" si="90"/>
        <v>"%USERPROFILE%\Documents\GitHub\eaglep3\Utilities\RefineRTDCRunTimes.py" --tripid 73-08 --locoid 4040 --swversion DE.1.0.9.0 --startMP 204:1481 --initTime 2017-06-08T16:40:14 --startdatetime 2017-06-08T17:03:54 --delay 4 --endMP 300:23049 --enddatetime 2017-06-08T17:17:25 --enforcementcount 0 &gt;&gt;C:\Users\stu\Documents\GitHub\eaglep3-reporting\EC\2017-06-08-refined-times.txt</v>
      </c>
      <c r="AI232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{"issue":{"subject":"","project_id":79,"tracker_id":40,"status_id":1,"priority_id":2,"assigned_to_id":23,"start_date":"2017-06-08","description":"","custom_fields":[{"id":1,"name":"Subdivision","value":"Other"},{"id":4,"name":"Milepost","value":"2.3049"},{"id":17,"name":"Train ID","value":"73-08"},{"id":16,"name":"Locomotive ID","value":"4040"},{"id":130,"name":"Impact","value":""},{"id":150,"name":"Time of Event (Mountain Time)","value":"17:17:25"},{"id":151,"name":"Denver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92"/>
        <v>start /low /b %USERPROFILE%\Documents\GitHub\eaglep3\Utilities\DownloadLogsFromS3.py --loco 4040 --day 2017-06-08</v>
      </c>
      <c r="AN232" s="154" t="str">
        <f t="shared" si="93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23:17:25"},{"id":29,"name":"Sharepoint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786</v>
      </c>
      <c r="B233" s="7">
        <v>4006</v>
      </c>
      <c r="C233" s="21" t="s">
        <v>204</v>
      </c>
      <c r="D233" s="21" t="s">
        <v>935</v>
      </c>
      <c r="E233" s="13">
        <v>42894.728182870371</v>
      </c>
      <c r="F233" s="13">
        <v>42894.732638888891</v>
      </c>
      <c r="G233" s="7">
        <v>1</v>
      </c>
      <c r="H233" s="21" t="s">
        <v>357</v>
      </c>
      <c r="I233" s="13">
        <v>42894.739618055559</v>
      </c>
      <c r="J233" s="7">
        <v>0</v>
      </c>
      <c r="K233" s="92" t="str">
        <f t="shared" si="76"/>
        <v>4005/4006</v>
      </c>
      <c r="L233" s="21" t="str">
        <f>VLOOKUP(A233,'Trips&amp;Operators'!$C$1:$G$99999,5,FALSE)</f>
        <v>MOSES BRADLEY</v>
      </c>
      <c r="M233" s="6">
        <f t="shared" si="77"/>
        <v>6.9791666683158837E-3</v>
      </c>
      <c r="N233" s="7">
        <f t="shared" si="94"/>
        <v>10.050000002374873</v>
      </c>
      <c r="O233" s="7"/>
      <c r="P233" s="7"/>
      <c r="Q233" s="22"/>
      <c r="R233" s="173"/>
      <c r="S233" s="176">
        <f t="shared" si="89"/>
        <v>0</v>
      </c>
      <c r="T233" s="202" t="e">
        <f t="shared" si="78"/>
        <v>#VALUE!</v>
      </c>
      <c r="U233" s="20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03" t="str">
        <f t="shared" si="79"/>
        <v>https://d0f6bd738d7f1b3e5a7ca70fe4ff75f0.us-east-1.aws.found.io/app/kibana#/discover/Steve-Slow-Train-Analysis-(2080s-and-2083s)?_g=(refreshInterval:(display:Off,pause:!f,section:0,value:0),time:(from:'2017-06-08T16:28:35-0600',mode:absolute,to:'2017-06-08T18:45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3" s="204" t="str">
        <f t="shared" si="80"/>
        <v>Y</v>
      </c>
      <c r="X233" s="204" t="e">
        <f t="shared" si="95"/>
        <v>#VALUE!</v>
      </c>
      <c r="Y233" s="204">
        <f t="shared" si="81"/>
        <v>0.115</v>
      </c>
      <c r="Z233" s="204">
        <f t="shared" si="82"/>
        <v>2.3346</v>
      </c>
      <c r="AA233" s="204">
        <f t="shared" si="83"/>
        <v>2.2195999999999998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84"/>
        <v>75-08</v>
      </c>
      <c r="AE233" s="80" t="str">
        <f t="shared" si="85"/>
        <v>aws s3 cp s3://rtdc.mdm.uploadarchive.raw/RTDC4006/ "%USERPROFILE%\AppData\Local\Temp\OnboardLogs"\RTDC4006\2017-06-08 --exclude "*" --recursive --include "*20170608*" &amp; "%USERPROFILE%\Documents\GitHub\mrs-test-scripts\Headless Mode &amp; Sideloading\WalkAndUnGZ.bat" "%USERPROFILE%\AppData\Local\Temp\OnboardLogs"\RTDC4006\2017-06-08 &amp; aws s3 cp s3://rtdc.mdm.uploadarchive.raw/RTDC4006/ "%USERPROFILE%\AppData\Local\Temp\OnboardLogs"\RTDC4006\2017-06-09 --exclude "*" --recursive --include "*20170609*" &amp; "%USERPROFILE%\Documents\GitHub\mrs-test-scripts\Headless Mode &amp; Sideloading\WalkAndUnGZ.bat" "%USERPROFILE%\AppData\Local\Temp\OnboardLogs"\RTDC4006\2017-06-09</v>
      </c>
      <c r="AF233" s="77" t="str">
        <f t="shared" si="86"/>
        <v>"C:\Program Files (x86)\AstroGrep\AstroGrep.exe" /e /r /s /spath="%USERPROFILE%\AppData\Local\Temp\OnboardLogs" /stypes="app*4006*20170608*" /stext=" 23:.+((SYSTEM_STATE.+slice.+state.+changed )|(ment ac)|(multiple cpu faults)|(system.+state.+changed )|(\[timeout)|(PRM\|1\|D)|(kpr)|(kdp)|(train st.+moving)|(\|lc)|(penalty))"</v>
      </c>
      <c r="AG233" s="1" t="str">
        <f t="shared" si="87"/>
        <v>Other</v>
      </c>
      <c r="AH233" s="81" t="str">
        <f t="shared" si="90"/>
        <v>"%USERPROFILE%\Documents\GitHub\eaglep3\Utilities\RefineRTDCRunTimes.py" --tripid 75-08 --locoid 4006 --swversion DE.1.0.9.0 --startMP 204:1150 --initTime 2017-06-08T17:28:35 --startdatetime 2017-06-08T17:35:00 --delay 1 --endMP 300:23346 --enddatetime 2017-06-08T17:45:03 --enforcementcount 0 &gt;&gt;C:\Users\stu\Documents\GitHub\eaglep3-reporting\EC\2017-06-08-refined-times.txt</v>
      </c>
      <c r="AI233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{"issue":{"subject":"","project_id":79,"tracker_id":40,"status_id":1,"priority_id":2,"assigned_to_id":23,"start_date":"2017-06-08","description":"","custom_fields":[{"id":1,"name":"Subdivision","value":"Other"},{"id":4,"name":"Milepost","value":"2.3346"},{"id":17,"name":"Train ID","value":"75-08"},{"id":16,"name":"Locomotive ID","value":"4006"},{"id":130,"name":"Impact","value":""},{"id":150,"name":"Time of Event (Mountain Time)","value":"17:45:03"},{"id":151,"name":"Denver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92"/>
        <v>start /low /b %USERPROFILE%\Documents\GitHub\eaglep3\Utilities\DownloadLogsFromS3.py --loco 4006 --day 2017-06-08</v>
      </c>
      <c r="AN233" s="154" t="str">
        <f t="shared" si="93"/>
        <v>echo {"issue":{"subject":"","project_id":30,"tracker_id":4,"status_id":1,"priority_id":1,"assigned_to_id":10,"start_date":"2017-06-08","description":"","custom_fields":[{"id":30,"name":"Category","value":"Issue"},{"id":3,"name":"Functional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UTC","value":"2017-06-08 23:45:03"},{"id":29,"name":"Sharepoint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789</v>
      </c>
      <c r="B234" s="7">
        <v>4041</v>
      </c>
      <c r="C234" s="21" t="s">
        <v>204</v>
      </c>
      <c r="D234" s="21" t="s">
        <v>936</v>
      </c>
      <c r="E234" s="13">
        <v>42894.744097222225</v>
      </c>
      <c r="F234" s="13">
        <v>42894.745497685188</v>
      </c>
      <c r="G234" s="7">
        <v>1</v>
      </c>
      <c r="H234" s="21" t="s">
        <v>937</v>
      </c>
      <c r="I234" s="13">
        <v>42894.750937500001</v>
      </c>
      <c r="J234" s="7">
        <v>0</v>
      </c>
      <c r="K234" s="92" t="str">
        <f t="shared" si="76"/>
        <v>4041/4042</v>
      </c>
      <c r="L234" s="21" t="str">
        <f>VLOOKUP(A234,'Trips&amp;Operators'!$C$1:$G$99999,5,FALSE)</f>
        <v>BIRENBAUM THOMAS</v>
      </c>
      <c r="M234" s="6">
        <f t="shared" si="77"/>
        <v>5.4398148131440394E-3</v>
      </c>
      <c r="N234" s="7">
        <f t="shared" si="94"/>
        <v>7.8333333309274167</v>
      </c>
      <c r="O234" s="7"/>
      <c r="P234" s="7"/>
      <c r="Q234" s="22"/>
      <c r="R234" s="173"/>
      <c r="S234" s="176">
        <f t="shared" si="89"/>
        <v>0</v>
      </c>
      <c r="T234" s="202" t="e">
        <f t="shared" si="78"/>
        <v>#VALUE!</v>
      </c>
      <c r="U234" s="20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03" t="str">
        <f t="shared" si="79"/>
        <v>https://d0f6bd738d7f1b3e5a7ca70fe4ff75f0.us-east-1.aws.found.io/app/kibana#/discover/Steve-Slow-Train-Analysis-(2080s-and-2083s)?_g=(refreshInterval:(display:Off,pause:!f,section:0,value:0),time:(from:'2017-06-08T16:51:30-0600',mode:absolute,to:'2017-06-08T19:01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4" s="204" t="str">
        <f t="shared" si="80"/>
        <v>Y</v>
      </c>
      <c r="X234" s="204" t="e">
        <f t="shared" si="95"/>
        <v>#VALUE!</v>
      </c>
      <c r="Y234" s="204">
        <f t="shared" si="81"/>
        <v>3.1177999999999999</v>
      </c>
      <c r="Z234" s="204">
        <f t="shared" si="82"/>
        <v>0.17730000000000001</v>
      </c>
      <c r="AA234" s="204">
        <f t="shared" si="83"/>
        <v>2.9405000000000001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84"/>
        <v>76-08</v>
      </c>
      <c r="AE234" s="80" t="str">
        <f t="shared" si="85"/>
        <v>aws s3 cp s3://rtdc.mdm.uploadarchive.raw/RTDC4041/ "%USERPROFILE%\AppData\Local\Temp\OnboardLogs"\RTDC4041\2017-06-08 --exclude "*" --recursive --include "*20170608*" &amp; "%USERPROFILE%\Documents\GitHub\mrs-test-scripts\Headless Mode &amp; Sideloading\WalkAndUnGZ.bat" "%USERPROFILE%\AppData\Local\Temp\OnboardLogs"\RTDC4041\2017-06-08 &amp; aws s3 cp s3://rtdc.mdm.uploadarchive.raw/RTDC4041/ "%USERPROFILE%\AppData\Local\Temp\OnboardLogs"\RTDC4041\2017-06-09 --exclude "*" --recursive --include "*20170609*" &amp; "%USERPROFILE%\Documents\GitHub\mrs-test-scripts\Headless Mode &amp; Sideloading\WalkAndUnGZ.bat" "%USERPROFILE%\AppData\Local\Temp\OnboardLogs"\RTDC4041\2017-06-09</v>
      </c>
      <c r="AF234" s="77" t="str">
        <f t="shared" si="86"/>
        <v>"C:\Program Files (x86)\AstroGrep\AstroGrep.exe" /e /r /s /spath="%USERPROFILE%\AppData\Local\Temp\OnboardLogs" /stypes="app*4041*20170609*" /stext=" 00:.+((SYSTEM_STATE.+slice.+state.+changed )|(ment ac)|(multiple cpu faults)|(system.+state.+changed )|(\[timeout)|(PRM\|1\|D)|(kpr)|(kdp)|(train st.+moving)|(\|lc)|(penalty))"</v>
      </c>
      <c r="AG234" s="1" t="str">
        <f t="shared" si="87"/>
        <v>Other</v>
      </c>
      <c r="AH234" s="81" t="str">
        <f t="shared" si="90"/>
        <v>"%USERPROFILE%\Documents\GitHub\eaglep3\Utilities\RefineRTDCRunTimes.py" --tripid 76-08 --locoid 4041 --swversion DE.1.0.9.0 --startMP 300:31178 --initTime 2017-06-08T17:51:30 --startdatetime 2017-06-08T17:53:31 --delay 1 --endMP 204:1773 --enddatetime 2017-06-08T18:01:21 --enforcementcount 0 &gt;&gt;C:\Users\stu\Documents\GitHub\eaglep3-reporting\EC\2017-06-08-refined-times.txt</v>
      </c>
      <c r="AI234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{"issue":{"subject":"","project_id":79,"tracker_id":40,"status_id":1,"priority_id":2,"assigned_to_id":23,"start_date":"2017-06-08","description":"","custom_fields":[{"id":1,"name":"Subdivision","value":"Other"},{"id":4,"name":"Milepost","value":"0.1773"},{"id":17,"name":"Train ID","value":"76-08"},{"id":16,"name":"Locomotive ID","value":"4041"},{"id":130,"name":"Impact","value":""},{"id":150,"name":"Time of Event (Mountain Time)","value":"18:01:21"},{"id":151,"name":"Denver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92"/>
        <v>start /low /b %USERPROFILE%\Documents\GitHub\eaglep3\Utilities\DownloadLogsFromS3.py --loco 4041 --day 2017-06-08</v>
      </c>
      <c r="AN234" s="154" t="str">
        <f t="shared" si="93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00:01:21"},{"id":29,"name":"Sharepoint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s="20" customFormat="1" x14ac:dyDescent="0.25">
      <c r="A235" s="32" t="s">
        <v>821</v>
      </c>
      <c r="B235" s="7">
        <v>4041</v>
      </c>
      <c r="C235" s="21" t="s">
        <v>204</v>
      </c>
      <c r="D235" s="21" t="s">
        <v>995</v>
      </c>
      <c r="E235" s="13">
        <v>42894.901631944442</v>
      </c>
      <c r="F235" s="13">
        <v>42894.903055555558</v>
      </c>
      <c r="G235" s="7">
        <v>1</v>
      </c>
      <c r="H235" s="21" t="s">
        <v>458</v>
      </c>
      <c r="I235" s="13">
        <v>42894.90483796296</v>
      </c>
      <c r="J235" s="7">
        <v>0</v>
      </c>
      <c r="K235" s="92" t="str">
        <f t="shared" si="76"/>
        <v>4041/4042</v>
      </c>
      <c r="L235" s="21" t="str">
        <f>VLOOKUP(A235,'Trips&amp;Operators'!$C$1:$G$99999,5,FALSE)</f>
        <v>BIRENBAUM THOMAS</v>
      </c>
      <c r="M235" s="6">
        <f t="shared" si="77"/>
        <v>1.782407402060926E-3</v>
      </c>
      <c r="N235" s="7">
        <f t="shared" si="94"/>
        <v>2.5666666589677334</v>
      </c>
      <c r="O235" s="7"/>
      <c r="P235" s="7"/>
      <c r="Q235" s="22"/>
      <c r="R235" s="173"/>
      <c r="S235" s="176">
        <f t="shared" si="89"/>
        <v>0</v>
      </c>
      <c r="T235" s="202" t="e">
        <f t="shared" si="78"/>
        <v>#VALUE!</v>
      </c>
      <c r="U235" s="20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03" t="str">
        <f t="shared" si="79"/>
        <v>https://d0f6bd738d7f1b3e5a7ca70fe4ff75f0.us-east-1.aws.found.io/app/kibana#/discover/Steve-Slow-Train-Analysis-(2080s-and-2083s)?_g=(refreshInterval:(display:Off,pause:!f,section:0,value:0),time:(from:'2017-06-08T20:38:21-0600',mode:absolute,to:'2017-06-08T22:42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5" s="204" t="str">
        <f t="shared" si="80"/>
        <v>Y</v>
      </c>
      <c r="X235" s="204" t="e">
        <f t="shared" si="95"/>
        <v>#VALUE!</v>
      </c>
      <c r="Y235" s="204">
        <f t="shared" si="81"/>
        <v>0.51449999999999996</v>
      </c>
      <c r="Z235" s="204">
        <f t="shared" si="82"/>
        <v>1.38E-2</v>
      </c>
      <c r="AA235" s="204">
        <f t="shared" si="83"/>
        <v>0.50069999999999992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84"/>
        <v>85-08</v>
      </c>
      <c r="AE235" s="80" t="str">
        <f t="shared" si="85"/>
        <v>aws s3 cp s3://rtdc.mdm.uploadarchive.raw/RTDC4041/ "%USERPROFILE%\AppData\Local\Temp\OnboardLogs"\RTDC4041\2017-06-08 --exclude "*" --recursive --include "*20170608*" &amp; "%USERPROFILE%\Documents\GitHub\mrs-test-scripts\Headless Mode &amp; Sideloading\WalkAndUnGZ.bat" "%USERPROFILE%\AppData\Local\Temp\OnboardLogs"\RTDC4041\2017-06-08 &amp; aws s3 cp s3://rtdc.mdm.uploadarchive.raw/RTDC4041/ "%USERPROFILE%\AppData\Local\Temp\OnboardLogs"\RTDC4041\2017-06-09 --exclude "*" --recursive --include "*20170609*" &amp; "%USERPROFILE%\Documents\GitHub\mrs-test-scripts\Headless Mode &amp; Sideloading\WalkAndUnGZ.bat" "%USERPROFILE%\AppData\Local\Temp\OnboardLogs"\RTDC4041\2017-06-09</v>
      </c>
      <c r="AF235" s="77" t="str">
        <f t="shared" si="86"/>
        <v>"C:\Program Files (x86)\AstroGrep\AstroGrep.exe" /e /r /s /spath="%USERPROFILE%\AppData\Local\Temp\OnboardLogs" /stypes="app*4041*20170609*" /stext=" 03:.+((SYSTEM_STATE.+slice.+state.+changed )|(ment ac)|(multiple cpu faults)|(system.+state.+changed )|(\[timeout)|(PRM\|1\|D)|(kpr)|(kdp)|(train st.+moving)|(\|lc)|(penalty))"</v>
      </c>
      <c r="AG235" s="1" t="str">
        <f t="shared" si="87"/>
        <v>Other</v>
      </c>
      <c r="AH235" s="81" t="str">
        <f t="shared" si="90"/>
        <v>"%USERPROFILE%\Documents\GitHub\eaglep3\Utilities\RefineRTDCRunTimes.py" --tripid 85-08 --locoid 4041 --swversion DE.1.0.9.0 --startMP 204:5145 --initTime 2017-06-08T21:38:21 --startdatetime 2017-06-08T21:40:24 --delay 1 --endMP 204:138 --enddatetime 2017-06-08T21:42:58 --enforcementcount 0 &gt;&gt;C:\Users\stu\Documents\GitHub\eaglep3-reporting\EC\2017-06-08-refined-times.txt</v>
      </c>
      <c r="AI235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{"issue":{"subject":"","project_id":79,"tracker_id":40,"status_id":1,"priority_id":2,"assigned_to_id":23,"start_date":"2017-06-08","description":"","custom_fields":[{"id":1,"name":"Subdivision","value":"Other"},{"id":4,"name":"Milepost","value":"0.0138"},{"id":17,"name":"Train ID","value":"85-08"},{"id":16,"name":"Locomotive ID","value":"4041"},{"id":130,"name":"Impact","value":""},{"id":150,"name":"Time of Event (Mountain Time)","value":"21:42:58"},{"id":151,"name":"Denver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5" s="47"/>
      <c r="AL235" s="47"/>
      <c r="AM235" s="145" t="str">
        <f t="shared" si="92"/>
        <v>start /low /b %USERPROFILE%\Documents\GitHub\eaglep3\Utilities\DownloadLogsFromS3.py --loco 4041 --day 2017-06-08</v>
      </c>
      <c r="AN235" s="154" t="str">
        <f t="shared" si="93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03:42:58"},{"id":29,"name":"Sharepoint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821</v>
      </c>
      <c r="B236" s="7">
        <v>4042</v>
      </c>
      <c r="C236" s="21" t="s">
        <v>204</v>
      </c>
      <c r="D236" s="21" t="s">
        <v>996</v>
      </c>
      <c r="E236" s="13">
        <v>42894.890335648146</v>
      </c>
      <c r="F236" s="13">
        <v>42894.903055555558</v>
      </c>
      <c r="G236" s="7">
        <v>1</v>
      </c>
      <c r="H236" s="21" t="s">
        <v>997</v>
      </c>
      <c r="I236" s="13">
        <v>42894.90483796296</v>
      </c>
      <c r="J236" s="7">
        <v>0</v>
      </c>
      <c r="K236" s="92" t="str">
        <f t="shared" si="76"/>
        <v>4041/4042</v>
      </c>
      <c r="L236" s="21" t="str">
        <f>VLOOKUP(A236,'Trips&amp;Operators'!$C$1:$G$99999,5,FALSE)</f>
        <v>BIRENBAUM THOMAS</v>
      </c>
      <c r="M236" s="6">
        <f t="shared" si="77"/>
        <v>1.782407402060926E-3</v>
      </c>
      <c r="N236" s="7">
        <f t="shared" si="94"/>
        <v>2.5666666589677334</v>
      </c>
      <c r="O236" s="7"/>
      <c r="P236" s="7"/>
      <c r="Q236" s="22"/>
      <c r="R236" s="173"/>
      <c r="S236" s="176">
        <f t="shared" si="89"/>
        <v>0</v>
      </c>
      <c r="T236" s="202" t="e">
        <f t="shared" si="78"/>
        <v>#VALUE!</v>
      </c>
      <c r="U236" s="20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03" t="str">
        <f t="shared" si="79"/>
        <v>https://d0f6bd738d7f1b3e5a7ca70fe4ff75f0.us-east-1.aws.found.io/app/kibana#/discover/Steve-Slow-Train-Analysis-(2080s-and-2083s)?_g=(refreshInterval:(display:Off,pause:!f,section:0,value:0),time:(from:'2017-06-08T20:22:05-0600',mode:absolute,to:'2017-06-08T22:42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6" s="204" t="str">
        <f t="shared" si="80"/>
        <v>Y</v>
      </c>
      <c r="X236" s="204" t="e">
        <f t="shared" si="95"/>
        <v>#VALUE!</v>
      </c>
      <c r="Y236" s="204">
        <f t="shared" si="81"/>
        <v>0.1164</v>
      </c>
      <c r="Z236" s="204">
        <f t="shared" si="82"/>
        <v>0.5464</v>
      </c>
      <c r="AA236" s="204">
        <f t="shared" si="83"/>
        <v>0.43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84"/>
        <v>85-08</v>
      </c>
      <c r="AE236" s="80" t="str">
        <f t="shared" si="85"/>
        <v>aws s3 cp s3://rtdc.mdm.uploadarchive.raw/RTDC4042/ "%USERPROFILE%\AppData\Local\Temp\OnboardLogs"\RTDC4042\2017-06-08 --exclude "*" --recursive --include "*20170608*" &amp; "%USERPROFILE%\Documents\GitHub\mrs-test-scripts\Headless Mode &amp; Sideloading\WalkAndUnGZ.bat" "%USERPROFILE%\AppData\Local\Temp\OnboardLogs"\RTDC4042\2017-06-08 &amp; aws s3 cp s3://rtdc.mdm.uploadarchive.raw/RTDC4042/ "%USERPROFILE%\AppData\Local\Temp\OnboardLogs"\RTDC4042\2017-06-09 --exclude "*" --recursive --include "*20170609*" &amp; "%USERPROFILE%\Documents\GitHub\mrs-test-scripts\Headless Mode &amp; Sideloading\WalkAndUnGZ.bat" "%USERPROFILE%\AppData\Local\Temp\OnboardLogs"\RTDC4042\2017-06-09</v>
      </c>
      <c r="AF236" s="77" t="str">
        <f t="shared" si="86"/>
        <v>"C:\Program Files (x86)\AstroGrep\AstroGrep.exe" /e /r /s /spath="%USERPROFILE%\AppData\Local\Temp\OnboardLogs" /stypes="app*4042*20170609*" /stext=" 03:.+((SYSTEM_STATE.+slice.+state.+changed )|(ment ac)|(multiple cpu faults)|(system.+state.+changed )|(\[timeout)|(PRM\|1\|D)|(kpr)|(kdp)|(train st.+moving)|(\|lc)|(penalty))"</v>
      </c>
      <c r="AG236" s="1" t="str">
        <f t="shared" si="87"/>
        <v>Other</v>
      </c>
      <c r="AH236" s="81" t="str">
        <f t="shared" si="90"/>
        <v>"%USERPROFILE%\Documents\GitHub\eaglep3\Utilities\RefineRTDCRunTimes.py" --tripid 85-08 --locoid 4042 --swversion DE.1.0.9.0 --startMP 204:1164 --initTime 2017-06-08T21:22:05 --startdatetime 2017-06-08T21:40:24 --delay 1 --endMP 204:5464 --enddatetime 2017-06-08T21:42:58 --enforcementcount 0 &gt;&gt;C:\Users\stu\Documents\GitHub\eaglep3-reporting\EC\2017-06-08-refined-times.txt</v>
      </c>
      <c r="AI236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{"issue":{"subject":"","project_id":79,"tracker_id":40,"status_id":1,"priority_id":2,"assigned_to_id":23,"start_date":"2017-06-08","description":"","custom_fields":[{"id":1,"name":"Subdivision","value":"Other"},{"id":4,"name":"Milepost","value":"0.5464"},{"id":17,"name":"Train ID","value":"85-08"},{"id":16,"name":"Locomotive ID","value":"4042"},{"id":130,"name":"Impact","value":""},{"id":150,"name":"Time of Event (Mountain Time)","value":"21:42:58"},{"id":151,"name":"Denver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92"/>
        <v>start /low /b %USERPROFILE%\Documents\GitHub\eaglep3\Utilities\DownloadLogsFromS3.py --loco 4042 --day 2017-06-08</v>
      </c>
      <c r="AN236" s="154" t="str">
        <f t="shared" si="93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03:42:58"},{"id":29,"name":"Sharepoint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830</v>
      </c>
      <c r="B237" s="7">
        <v>4004</v>
      </c>
      <c r="C237" s="21" t="s">
        <v>204</v>
      </c>
      <c r="D237" s="21" t="s">
        <v>911</v>
      </c>
      <c r="E237" s="13">
        <v>42894.959537037037</v>
      </c>
      <c r="F237" s="13">
        <v>42894.963229166664</v>
      </c>
      <c r="G237" s="7">
        <v>4</v>
      </c>
      <c r="H237" s="21" t="s">
        <v>998</v>
      </c>
      <c r="I237" s="13">
        <v>42894.964305555557</v>
      </c>
      <c r="J237" s="7">
        <v>0</v>
      </c>
      <c r="K237" s="92" t="str">
        <f t="shared" si="76"/>
        <v>4003/4004</v>
      </c>
      <c r="L237" s="21" t="str">
        <f>VLOOKUP(A237,'Trips&amp;Operators'!$C$1:$G$99999,5,FALSE)</f>
        <v>SAFIEF AEIMEN</v>
      </c>
      <c r="M237" s="6">
        <f t="shared" si="77"/>
        <v>1.0763888931251131E-3</v>
      </c>
      <c r="N237" s="7">
        <f t="shared" si="94"/>
        <v>1.5500000061001629</v>
      </c>
      <c r="O237" s="7"/>
      <c r="P237" s="7"/>
      <c r="Q237" s="22"/>
      <c r="R237" s="173"/>
      <c r="S237" s="176">
        <f t="shared" si="89"/>
        <v>0</v>
      </c>
      <c r="T237" s="202" t="e">
        <f t="shared" si="78"/>
        <v>#VALUE!</v>
      </c>
      <c r="U237" s="20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03" t="str">
        <f t="shared" si="79"/>
        <v>https://d0f6bd738d7f1b3e5a7ca70fe4ff75f0.us-east-1.aws.found.io/app/kibana#/discover/Steve-Slow-Train-Analysis-(2080s-and-2083s)?_g=(refreshInterval:(display:Off,pause:!f,section:0,value:0),time:(from:'2017-06-08T22:01:44-0600',mode:absolute,to:'2017-06-09T00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7" s="204" t="str">
        <f t="shared" si="80"/>
        <v>Y</v>
      </c>
      <c r="X237" s="204" t="e">
        <f t="shared" si="95"/>
        <v>#VALUE!</v>
      </c>
      <c r="Y237" s="204">
        <f t="shared" si="81"/>
        <v>0.11559999999999999</v>
      </c>
      <c r="Z237" s="204">
        <f t="shared" si="82"/>
        <v>0.36049999999999999</v>
      </c>
      <c r="AA237" s="204">
        <f t="shared" si="83"/>
        <v>0.24490000000000001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84"/>
        <v>87-08</v>
      </c>
      <c r="AE237" s="80" t="str">
        <f t="shared" si="85"/>
        <v>aws s3 cp s3://rtdc.mdm.uploadarchive.raw/RTDC4004/ "%USERPROFILE%\AppData\Local\Temp\OnboardLogs"\RTDC4004\2017-06-08 --exclude "*" --recursive --include "*20170608*" &amp; "%USERPROFILE%\Documents\GitHub\mrs-test-scripts\Headless Mode &amp; Sideloading\WalkAndUnGZ.bat" "%USERPROFILE%\AppData\Local\Temp\OnboardLogs"\RTDC4004\2017-06-08 &amp; aws s3 cp s3://rtdc.mdm.uploadarchive.raw/RTDC4004/ "%USERPROFILE%\AppData\Local\Temp\OnboardLogs"\RTDC4004\2017-06-09 --exclude "*" --recursive --include "*20170609*" &amp; "%USERPROFILE%\Documents\GitHub\mrs-test-scripts\Headless Mode &amp; Sideloading\WalkAndUnGZ.bat" "%USERPROFILE%\AppData\Local\Temp\OnboardLogs"\RTDC4004\2017-06-09</v>
      </c>
      <c r="AF237" s="77" t="str">
        <f t="shared" si="86"/>
        <v>"C:\Program Files (x86)\AstroGrep\AstroGrep.exe" /e /r /s /spath="%USERPROFILE%\AppData\Local\Temp\OnboardLogs" /stypes="app*4004*20170609*" /stext=" 05:.+((SYSTEM_STATE.+slice.+state.+changed )|(ment ac)|(multiple cpu faults)|(system.+state.+changed )|(\[timeout)|(PRM\|1\|D)|(kpr)|(kdp)|(train st.+moving)|(\|lc)|(penalty))"</v>
      </c>
      <c r="AG237" s="1" t="str">
        <f t="shared" si="87"/>
        <v>Other</v>
      </c>
      <c r="AH237" s="81" t="str">
        <f t="shared" si="90"/>
        <v>"%USERPROFILE%\Documents\GitHub\eaglep3\Utilities\RefineRTDCRunTimes.py" --tripid 87-08 --locoid 4004 --swversion DE.1.0.9.0 --startMP 204:1156 --initTime 2017-06-08T23:01:44 --startdatetime 2017-06-08T23:07:03 --delay 4 --endMP 204:3605 --enddatetime 2017-06-08T23:08:36 --enforcementcount 0 &gt;&gt;C:\Users\stu\Documents\GitHub\eaglep3-reporting\EC\2017-06-08-refined-times.txt</v>
      </c>
      <c r="AI237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{"issue":{"subject":"","project_id":79,"tracker_id":40,"status_id":1,"priority_id":2,"assigned_to_id":23,"start_date":"2017-06-08","description":"","custom_fields":[{"id":1,"name":"Subdivision","value":"Other"},{"id":4,"name":"Milepost","value":"0.3605"},{"id":17,"name":"Train ID","value":"87-08"},{"id":16,"name":"Locomotive ID","value":"4004"},{"id":130,"name":"Impact","value":""},{"id":150,"name":"Time of Event (Mountain Time)","value":"23:08:36"},{"id":151,"name":"Denver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92"/>
        <v>start /low /b %USERPROFILE%\Documents\GitHub\eaglep3\Utilities\DownloadLogsFromS3.py --loco 4004 --day 2017-06-08</v>
      </c>
      <c r="AN237" s="154" t="str">
        <f t="shared" si="93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05:08:36"},{"id":29,"name":"Sharepoint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831</v>
      </c>
      <c r="B238" s="7">
        <v>4003</v>
      </c>
      <c r="C238" s="21" t="s">
        <v>204</v>
      </c>
      <c r="D238" s="21" t="s">
        <v>999</v>
      </c>
      <c r="E238" s="13">
        <v>42894.965381944443</v>
      </c>
      <c r="F238" s="13">
        <v>42894.96702546296</v>
      </c>
      <c r="G238" s="7">
        <v>1</v>
      </c>
      <c r="H238" s="21" t="s">
        <v>350</v>
      </c>
      <c r="I238" s="13">
        <v>42894.968553240738</v>
      </c>
      <c r="J238" s="7">
        <v>0</v>
      </c>
      <c r="K238" s="92" t="str">
        <f t="shared" si="76"/>
        <v>4003/4004</v>
      </c>
      <c r="L238" s="21" t="str">
        <f>VLOOKUP(A238,'Trips&amp;Operators'!$C$1:$G$99999,5,FALSE)</f>
        <v>SAFIEF AEIMEN</v>
      </c>
      <c r="M238" s="6">
        <f t="shared" si="77"/>
        <v>1.527777778392192E-3</v>
      </c>
      <c r="N238" s="7">
        <f t="shared" si="94"/>
        <v>2.2000000008847564</v>
      </c>
      <c r="O238" s="7"/>
      <c r="P238" s="7"/>
      <c r="Q238" s="22"/>
      <c r="R238" s="173"/>
      <c r="S238" s="176">
        <f t="shared" si="89"/>
        <v>0</v>
      </c>
      <c r="T238" s="202" t="e">
        <f t="shared" si="78"/>
        <v>#VALUE!</v>
      </c>
      <c r="U238" s="20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03" t="str">
        <f t="shared" si="79"/>
        <v>https://d0f6bd738d7f1b3e5a7ca70fe4ff75f0.us-east-1.aws.found.io/app/kibana#/discover/Steve-Slow-Train-Analysis-(2080s-and-2083s)?_g=(refreshInterval:(display:Off,pause:!f,section:0,value:0),time:(from:'2017-06-08T22:10:09-0600',mode:absolute,to:'2017-06-09T00:14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8" s="204" t="str">
        <f t="shared" si="80"/>
        <v>Y</v>
      </c>
      <c r="X238" s="204" t="e">
        <f t="shared" si="95"/>
        <v>#VALUE!</v>
      </c>
      <c r="Y238" s="204">
        <f t="shared" si="81"/>
        <v>0.32940000000000003</v>
      </c>
      <c r="Z238" s="204">
        <f t="shared" si="82"/>
        <v>1.6E-2</v>
      </c>
      <c r="AA238" s="204">
        <f t="shared" si="83"/>
        <v>0.31340000000000001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84"/>
        <v>88-08</v>
      </c>
      <c r="AE238" s="80" t="str">
        <f t="shared" si="85"/>
        <v>aws s3 cp s3://rtdc.mdm.uploadarchive.raw/RTDC4003/ "%USERPROFILE%\AppData\Local\Temp\OnboardLogs"\RTDC4003\2017-06-08 --exclude "*" --recursive --include "*20170608*" &amp; "%USERPROFILE%\Documents\GitHub\mrs-test-scripts\Headless Mode &amp; Sideloading\WalkAndUnGZ.bat" "%USERPROFILE%\AppData\Local\Temp\OnboardLogs"\RTDC4003\2017-06-08 &amp; aws s3 cp s3://rtdc.mdm.uploadarchive.raw/RTDC4003/ "%USERPROFILE%\AppData\Local\Temp\OnboardLogs"\RTDC4003\2017-06-09 --exclude "*" --recursive --include "*20170609*" &amp; "%USERPROFILE%\Documents\GitHub\mrs-test-scripts\Headless Mode &amp; Sideloading\WalkAndUnGZ.bat" "%USERPROFILE%\AppData\Local\Temp\OnboardLogs"\RTDC4003\2017-06-09</v>
      </c>
      <c r="AF238" s="77" t="str">
        <f t="shared" si="86"/>
        <v>"C:\Program Files (x86)\AstroGrep\AstroGrep.exe" /e /r /s /spath="%USERPROFILE%\AppData\Local\Temp\OnboardLogs" /stypes="app*4003*20170609*" /stext=" 05:.+((SYSTEM_STATE.+slice.+state.+changed )|(ment ac)|(multiple cpu faults)|(system.+state.+changed )|(\[timeout)|(PRM\|1\|D)|(kpr)|(kdp)|(train st.+moving)|(\|lc)|(penalty))"</v>
      </c>
      <c r="AG238" s="1" t="str">
        <f t="shared" si="87"/>
        <v>Other</v>
      </c>
      <c r="AH238" s="81" t="str">
        <f t="shared" si="90"/>
        <v>"%USERPROFILE%\Documents\GitHub\eaglep3\Utilities\RefineRTDCRunTimes.py" --tripid 88-08 --locoid 4003 --swversion DE.1.0.9.0 --startMP 204:3294 --initTime 2017-06-08T23:10:09 --startdatetime 2017-06-08T23:12:31 --delay 1 --endMP 204:160 --enddatetime 2017-06-08T23:14:43 --enforcementcount 0 &gt;&gt;C:\Users\stu\Documents\GitHub\eaglep3-reporting\EC\2017-06-08-refined-times.txt</v>
      </c>
      <c r="AI238" s="99" t="str">
        <f t="shared" si="91"/>
        <v>echo {"issue":{"subject":"","project_id":79,"tracker_id":40,"status_id":1,"priority_id":2,"assigned_to_id":23,"start_date":"2017-06-08","description":"","custom_fields":[{"id":1,"name":"Subdivision","value":"Other"},{"id":4,"name":"Milepost","value":"0.016"},{"id":17,"name":"Train ID","value":"88-08"},{"id":16,"name":"Locomotive ID","value":"4003"},{"id":130,"name":"Impact","value":""},{"id":150,"name":"Time of Event (Mountain Time)","value":"23:14:43"},{"id":151,"name":"Denver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92"/>
        <v>start /low /b %USERPROFILE%\Documents\GitHub\eaglep3\Utilities\DownloadLogsFromS3.py --loco 4003 --day 2017-06-08</v>
      </c>
      <c r="AN238" s="154" t="str">
        <f t="shared" si="93"/>
        <v>echo {"issue":{"subject":"","project_id":30,"tracker_id":4,"status_id":1,"priority_id":1,"assigned_to_id":10,"start_date":"2017-06-09","description":"","custom_fields":[{"id":30,"name":"Category","value":"Issue"},{"id":3,"name":"Functional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UTC","value":"2017-06-09 05:14:43"},{"id":29,"name":"Sharepoint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</sheetData>
  <autoFilter ref="A12:AG275">
    <sortState ref="A13:AG274">
      <sortCondition ref="AG13:AG237"/>
      <sortCondition ref="AD13:AD237"/>
    </sortState>
  </autoFilter>
  <sortState ref="A13:AH200">
    <sortCondition ref="AG13:AG200"/>
    <sortCondition ref="AD13:AD200"/>
  </sortState>
  <mergeCells count="1">
    <mergeCell ref="A11:P11"/>
  </mergeCells>
  <conditionalFormatting sqref="W11:W12 W279:X1048576 W13:X238">
    <cfRule type="cellIs" dxfId="10" priority="415" operator="equal">
      <formula>"Y"</formula>
    </cfRule>
  </conditionalFormatting>
  <conditionalFormatting sqref="X279:X1048576 X13:X238">
    <cfRule type="cellIs" dxfId="9" priority="398" operator="greaterThan">
      <formula>1</formula>
    </cfRule>
  </conditionalFormatting>
  <conditionalFormatting sqref="X279:X1048576 X12:X238">
    <cfRule type="cellIs" dxfId="8" priority="395" operator="equal">
      <formula>0</formula>
    </cfRule>
  </conditionalFormatting>
  <conditionalFormatting sqref="A13:S238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AK13:AK238</xm:sqref>
        </x14:dataValidation>
        <x14:dataValidation type="list" allowBlank="1" showInputMessage="1" showErrorMessage="1">
          <x14:formula1>
            <xm:f>'Redmine List Values'!$C$2:$C$15</xm:f>
          </x14:formula1>
          <xm:sqref>AL13:AL238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7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COUNTIF($O$7:$O$279,"=Y")</f>
        <v>7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COUNTA($O$7:$O$279)-O2</f>
        <v>35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- 2017-06-08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42894.837708333333</v>
      </c>
      <c r="B7" s="30" t="s">
        <v>522</v>
      </c>
      <c r="C7" s="30" t="s">
        <v>647</v>
      </c>
      <c r="D7" s="30" t="s">
        <v>49</v>
      </c>
      <c r="E7" s="30" t="s">
        <v>189</v>
      </c>
      <c r="F7" s="42">
        <v>0</v>
      </c>
      <c r="G7" s="42">
        <v>206</v>
      </c>
      <c r="H7" s="42">
        <v>27012</v>
      </c>
      <c r="I7" s="42">
        <v>27314</v>
      </c>
      <c r="J7" s="30" t="s">
        <v>190</v>
      </c>
      <c r="K7" s="42">
        <v>27053</v>
      </c>
      <c r="L7" s="134" t="s">
        <v>50</v>
      </c>
      <c r="M7" s="135">
        <f t="shared" ref="M7:M48" si="0">CONVERT((I7-K7)/10000,"mi","ft")*IF(L7="Increasing Mileposts (1)",-1,1)</f>
        <v>-137.80799999999999</v>
      </c>
      <c r="N7" s="136" t="str">
        <f>VLOOKUP(C7,'Trips&amp;Operators'!$C$1:$G$99999,5,FALSE)</f>
        <v>PERKINS DARREN</v>
      </c>
      <c r="O7" s="210" t="s">
        <v>182</v>
      </c>
      <c r="P7" s="137" t="s">
        <v>402</v>
      </c>
      <c r="Q7" s="30"/>
      <c r="R7" s="84" t="str">
        <f>VLOOKUP(C7,'Train Runs'!$A$13:$AE$9934,31,0)</f>
        <v>aws s3 cp s3://rtdc.mdm.uploadarchive.raw/RTDC4004/ "%USERPROFILE%\AppData\Local\Temp\OnboardLogs"\RTDC4004\2017-06-08 --exclude "*" --recursive --include "*20170608*" &amp; "%USERPROFILE%\Documents\GitHub\mrs-test-scripts\Headless Mode &amp; Sideloading\WalkAndUnGZ.bat" "%USERPROFILE%\AppData\Local\Temp\OnboardLogs"\RTDC4004\2017-06-08 &amp; aws s3 cp s3://rtdc.mdm.uploadarchive.raw/RTDC4004/ "%USERPROFILE%\AppData\Local\Temp\OnboardLogs"\RTDC4004\2017-06-09 --exclude "*" --recursive --include "*20170609*" &amp; "%USERPROFILE%\Documents\GitHub\mrs-test-scripts\Headless Mode &amp; Sideloading\WalkAndUnGZ.bat" "%USERPROFILE%\AppData\Local\Temp\OnboardLogs"\RTDC4004\2017-06-09</v>
      </c>
      <c r="S7" s="87" t="str">
        <f>VLOOKUP(C7,'Train Runs'!$A$13:$AE$9934,22,0)</f>
        <v>https://d0f6bd738d7f1b3e5a7ca70fe4ff75f0.us-east-1.aws.found.io/app/kibana#/discover/Steve-Slow-Train-Analysis-(2080s-and-2083s)?_g=(refreshInterval:(display:Off,pause:!f,section:0,value:0),time:(from:'2017-06-08T19:28:30-0600',mode:absolute,to:'2017-06-08T21:47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7" s="89" t="str">
        <f t="shared" ref="T7:T4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/stypes="*4004*201706090*" /stext=" 02:.+((SYSTEM_STATE.+slice.+state.+changed )|(ment ac)|(multiple cpu faults)|(system.+state.+changed )|(\[timeout)|(PRM\|1\|D)|(kpr)|(kdp)|(train st.+moving)|(\|lc)|(penalty))"</v>
      </c>
      <c r="U7" s="9" t="str">
        <f t="shared" ref="U7:U48" si="2">MID(B7,13,4)</f>
        <v>4004</v>
      </c>
      <c r="V7" s="31">
        <f t="shared" ref="V7:V48" si="3">A7-utc_offset/24</f>
        <v>42895.087708333333</v>
      </c>
      <c r="W7" s="45" t="str">
        <f t="shared" ref="W7:W48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48" si="5">IF(AND(E7="TRACK WARRANT AUTHORITY",G7&lt;10),"OMIT","KEEP")</f>
        <v>KEEP</v>
      </c>
      <c r="Y7" s="99" t="str">
        <f t="shared" ref="Y7:Y4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arrival","project_id":79,"tracker_id":40,"status_id":1,"priority_id":2,"assigned_to_id":23,"start_date":"2017-06-08","description":"","custom_fields":[{"id":1,"name":"Subdivision","value":"EC"},{"id":4,"name":"Milepost","value":"2.7053"},{"id":17,"name":"Train ID","value":"225-08"},{"id":16,"name":"Locomotive ID","value":"4004"},{"id":130,"name":"Impact","value":""},{"id":150,"name":"Time of Event (Mountain Time)","value":"20:06:18"},{"id":151,"name":"Denver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48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/cygdrive/c/Users/stu/AppData/Local/Temp/OnboardLogs/RTDC4004 --include="*4004*201706090*"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"%USERPROFILE%\AppData\Local\Temp\OnboardLogs"\RTDC4004\*4004*201706090* &gt;&gt; 2017-06-08-SliceDisagreementCheck.txt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4004 --day 2017-06-09</v>
      </c>
    </row>
    <row r="8" spans="1:32" s="1" customFormat="1" x14ac:dyDescent="0.25">
      <c r="A8" s="31">
        <v>42894.821689814817</v>
      </c>
      <c r="B8" s="30" t="s">
        <v>644</v>
      </c>
      <c r="C8" s="30" t="s">
        <v>645</v>
      </c>
      <c r="D8" s="30" t="s">
        <v>98</v>
      </c>
      <c r="E8" s="30" t="s">
        <v>189</v>
      </c>
      <c r="F8" s="42">
        <v>0</v>
      </c>
      <c r="G8" s="42">
        <v>125</v>
      </c>
      <c r="H8" s="42">
        <v>27335</v>
      </c>
      <c r="I8" s="42">
        <v>27203</v>
      </c>
      <c r="J8" s="30" t="s">
        <v>190</v>
      </c>
      <c r="K8" s="42">
        <v>27350</v>
      </c>
      <c r="L8" s="134" t="s">
        <v>51</v>
      </c>
      <c r="M8" s="135">
        <f t="shared" si="0"/>
        <v>-77.616</v>
      </c>
      <c r="N8" s="136" t="str">
        <f>VLOOKUP(C8,'Trips&amp;Operators'!$C$1:$G$99999,5,FALSE)</f>
        <v>PERKINS DARREN</v>
      </c>
      <c r="O8" s="210" t="s">
        <v>182</v>
      </c>
      <c r="P8" s="137" t="s">
        <v>402</v>
      </c>
      <c r="Q8" s="30"/>
      <c r="R8" s="84" t="str">
        <f>VLOOKUP(C8,'Train Runs'!$A$13:$AE$9934,31,0)</f>
        <v>aws s3 cp s3://rtdc.mdm.uploadarchive.raw/RTDC4003/ "%USERPROFILE%\AppData\Local\Temp\OnboardLogs"\RTDC4003\2017-06-08 --exclude "*" --recursive --include "*20170608*" &amp; "%USERPROFILE%\Documents\GitHub\mrs-test-scripts\Headless Mode &amp; Sideloading\WalkAndUnGZ.bat" "%USERPROFILE%\AppData\Local\Temp\OnboardLogs"\RTDC4003\2017-06-08 &amp; aws s3 cp s3://rtdc.mdm.uploadarchive.raw/RTDC4003/ "%USERPROFILE%\AppData\Local\Temp\OnboardLogs"\RTDC4003\2017-06-09 --exclude "*" --recursive --include "*20170609*" &amp; "%USERPROFILE%\Documents\GitHub\mrs-test-scripts\Headless Mode &amp; Sideloading\WalkAndUnGZ.bat" "%USERPROFILE%\AppData\Local\Temp\OnboardLogs"\RTDC4003\2017-06-09</v>
      </c>
      <c r="S8" s="87" t="str">
        <f>VLOOKUP(C8,'Train Runs'!$A$13:$AE$9934,22,0)</f>
        <v>https://d0f6bd738d7f1b3e5a7ca70fe4ff75f0.us-east-1.aws.found.io/app/kibana#/discover/Steve-Slow-Train-Analysis-(2080s-and-2083s)?_g=(refreshInterval:(display:Off,pause:!f,section:0,value:0),time:(from:'2017-06-08T17:59:53-0600',mode:absolute,to:'2017-06-08T20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8" s="89" t="str">
        <f t="shared" si="1"/>
        <v>"C:\Program Files (x86)\AstroGrep\AstroGrep.exe" /e /r /s /spath="%USERPROFILE%\AppData\Local\Temp\OnboardLogs" /stypes="*4003*201706090*" /stext=" 01:.+((SYSTEM_STATE.+slice.+state.+changed )|(ment ac)|(multiple cpu faults)|(system.+state.+changed )|(\[timeout)|(PRM\|1\|D)|(kpr)|(kdp)|(train st.+moving)|(\|lc)|(penalty))"</v>
      </c>
      <c r="U8" s="9" t="str">
        <f t="shared" si="2"/>
        <v>4003</v>
      </c>
      <c r="V8" s="31">
        <f t="shared" si="3"/>
        <v>42895.071689814817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arrival","project_id":79,"tracker_id":40,"status_id":1,"priority_id":2,"assigned_to_id":23,"start_date":"2017-06-08","description":"","custom_fields":[{"id":1,"name":"Subdivision","value":"EC"},{"id":4,"name":"Milepost","value":"2.735"},{"id":17,"name":"Train ID","value":"218-08"},{"id":16,"name":"Locomotive ID","value":"4003"},{"id":130,"name":"Impact","value":""},{"id":150,"name":"Time of Event (Mountain Time)","value":"19:43:14"},{"id":151,"name":"Denver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/cygdrive/c/Users/stu/AppData/Local/Temp/OnboardLogs/RTDC4003 --include="*4003*201706090*"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"%USERPROFILE%\AppData\Local\Temp\OnboardLogs"\RTDC4003\*4003*201706090* &gt;&gt; 2017-06-08-SliceDisagreementCheck.txt</v>
      </c>
      <c r="AE8" s="148" t="str">
        <f t="shared" ref="AE8:AE48" si="9">"start /low /b "&amp;dls3logs&amp;" --loco "&amp;U8&amp;" --day "&amp;TEXT(V8,"YYYY-MM-DD")</f>
        <v>start /low /b %USERPROFILE%\Documents\GitHub\eaglep3\Utilities\DownloadLogsFromS3.py --loco 4003 --day 2017-06-09</v>
      </c>
    </row>
    <row r="9" spans="1:32" s="1" customFormat="1" x14ac:dyDescent="0.25">
      <c r="A9" s="31">
        <v>42894.61314814815</v>
      </c>
      <c r="B9" s="30" t="s">
        <v>461</v>
      </c>
      <c r="C9" s="30" t="s">
        <v>630</v>
      </c>
      <c r="D9" s="30" t="s">
        <v>98</v>
      </c>
      <c r="E9" s="30" t="s">
        <v>189</v>
      </c>
      <c r="F9" s="42">
        <v>190</v>
      </c>
      <c r="G9" s="42">
        <v>240</v>
      </c>
      <c r="H9" s="42">
        <v>27021</v>
      </c>
      <c r="I9" s="42">
        <v>26456</v>
      </c>
      <c r="J9" s="30" t="s">
        <v>190</v>
      </c>
      <c r="K9" s="42">
        <v>27350</v>
      </c>
      <c r="L9" s="134" t="s">
        <v>51</v>
      </c>
      <c r="M9" s="135">
        <f t="shared" si="0"/>
        <v>-472.03199999999998</v>
      </c>
      <c r="N9" s="136" t="str">
        <f>VLOOKUP(C9,'Trips&amp;Operators'!$C$1:$G$99999,5,FALSE)</f>
        <v>YORK EDGAR</v>
      </c>
      <c r="O9" s="210" t="s">
        <v>182</v>
      </c>
      <c r="P9" s="137" t="s">
        <v>402</v>
      </c>
      <c r="Q9" s="30"/>
      <c r="R9" s="84" t="str">
        <f>VLOOKUP(C9,'Train Runs'!$A$13:$AE$9934,31,0)</f>
        <v>aws s3 cp s3://rtdc.mdm.uploadarchive.raw/RTDC4001/ "%USERPROFILE%\AppData\Local\Temp\OnboardLogs"\RTDC4001\2017-06-08 --exclude "*" --recursive --include "*20170608*" &amp; "%USERPROFILE%\Documents\GitHub\mrs-test-scripts\Headless Mode &amp; Sideloading\WalkAndUnGZ.bat" "%USERPROFILE%\AppData\Local\Temp\OnboardLogs"\RTDC4001\2017-06-08 &amp; aws s3 cp s3://rtdc.mdm.uploadarchive.raw/RTDC4001/ "%USERPROFILE%\AppData\Local\Temp\OnboardLogs"\RTDC4001\2017-06-09 --exclude "*" --recursive --include "*20170609*" &amp; "%USERPROFILE%\Documents\GitHub\mrs-test-scripts\Headless Mode &amp; Sideloading\WalkAndUnGZ.bat" "%USERPROFILE%\AppData\Local\Temp\OnboardLogs"\RTDC4001\2017-06-09</v>
      </c>
      <c r="S9" s="87" t="str">
        <f>VLOOKUP(C9,'Train Runs'!$A$13:$AE$9934,22,0)</f>
        <v>https://d0f6bd738d7f1b3e5a7ca70fe4ff75f0.us-east-1.aws.found.io/app/kibana#/discover/Steve-Slow-Train-Analysis-(2080s-and-2083s)?_g=(refreshInterval:(display:Off,pause:!f,section:0,value:0),time:(from:'2017-06-08T12:51:21-0600',mode:absolute,to:'2017-06-08T15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9" s="89" t="str">
        <f t="shared" si="1"/>
        <v>"C:\Program Files (x86)\AstroGrep\AstroGrep.exe" /e /r /s /spath="%USERPROFILE%\AppData\Local\Temp\OnboardLogs" /stypes="*4001*201706082*" /stext=" 20:.+((SYSTEM_STATE.+slice.+state.+changed )|(ment ac)|(multiple cpu faults)|(system.+state.+changed )|(\[timeout)|(PRM\|1\|D)|(kpr)|(kdp)|(train st.+moving)|(\|lc)|(penalty))"</v>
      </c>
      <c r="U9" s="9" t="str">
        <f t="shared" si="2"/>
        <v>4001</v>
      </c>
      <c r="V9" s="31">
        <f t="shared" si="3"/>
        <v>42894.86314814815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arrival","project_id":79,"tracker_id":40,"status_id":1,"priority_id":2,"assigned_to_id":23,"start_date":"2017-06-08","description":"","custom_fields":[{"id":1,"name":"Subdivision","value":"EC"},{"id":4,"name":"Milepost","value":"2.735"},{"id":17,"name":"Train ID","value":"178-08"},{"id":16,"name":"Locomotive ID","value":"4001"},{"id":130,"name":"Impact","value":""},{"id":150,"name":"Time of Event (Mountain Time)","value":"14:42:56"},{"id":151,"name":"Denver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/cygdrive/c/Users/stu/AppData/Local/Temp/OnboardLogs/RTDC4001 --include="*4001*201706082*"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"%USERPROFILE%\AppData\Local\Temp\OnboardLogs"\RTDC4001\*4001*201706082* &gt;&gt; 2017-06-08-SliceDisagreementCheck.txt</v>
      </c>
      <c r="AE9" s="148" t="str">
        <f t="shared" si="9"/>
        <v>start /low /b %USERPROFILE%\Documents\GitHub\eaglep3\Utilities\DownloadLogsFromS3.py --loco 4001 --day 2017-06-08</v>
      </c>
    </row>
    <row r="10" spans="1:32" s="1" customFormat="1" x14ac:dyDescent="0.25">
      <c r="A10" s="31">
        <v>42894.412685185183</v>
      </c>
      <c r="B10" s="30" t="s">
        <v>371</v>
      </c>
      <c r="C10" s="30" t="s">
        <v>623</v>
      </c>
      <c r="D10" s="30" t="s">
        <v>49</v>
      </c>
      <c r="E10" s="30" t="s">
        <v>189</v>
      </c>
      <c r="F10" s="42">
        <v>510</v>
      </c>
      <c r="G10" s="42">
        <v>570</v>
      </c>
      <c r="H10" s="42">
        <v>49427</v>
      </c>
      <c r="I10" s="42">
        <v>47517</v>
      </c>
      <c r="J10" s="30" t="s">
        <v>190</v>
      </c>
      <c r="K10" s="42">
        <v>48048</v>
      </c>
      <c r="L10" s="134" t="s">
        <v>51</v>
      </c>
      <c r="M10" s="135">
        <f t="shared" si="0"/>
        <v>-280.36799999999999</v>
      </c>
      <c r="N10" s="136" t="str">
        <f>VLOOKUP(C10,'Trips&amp;Operators'!$C$1:$G$99999,5,FALSE)</f>
        <v>STARKS ANGELINA</v>
      </c>
      <c r="O10" s="210" t="s">
        <v>182</v>
      </c>
      <c r="P10" s="137" t="s">
        <v>402</v>
      </c>
      <c r="Q10" s="30"/>
      <c r="R10" s="84" t="str">
        <f>VLOOKUP(C10,'Train Runs'!$A$13:$AE$9934,31,0)</f>
        <v>aws s3 cp s3://rtdc.mdm.uploadarchive.raw/RTDC4021/ "%USERPROFILE%\AppData\Local\Temp\OnboardLogs"\RTDC4021\2017-06-08 --exclude "*" --recursive --include "*20170608*" &amp; "%USERPROFILE%\Documents\GitHub\mrs-test-scripts\Headless Mode &amp; Sideloading\WalkAndUnGZ.bat" "%USERPROFILE%\AppData\Local\Temp\OnboardLogs"\RTDC4021\2017-06-08 &amp; 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</v>
      </c>
      <c r="S10" s="87" t="str">
        <f>VLOOKUP(C10,'Train Runs'!$A$13:$AE$9934,22,0)</f>
        <v>https://d0f6bd738d7f1b3e5a7ca70fe4ff75f0.us-east-1.aws.found.io/app/kibana#/discover/Steve-Slow-Train-Analysis-(2080s-and-2083s)?_g=(refreshInterval:(display:Off,pause:!f,section:0,value:0),time:(from:'2017-06-08T08:24:21-0600',mode:absolute,to:'2017-06-08T11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0" s="89" t="str">
        <f t="shared" si="1"/>
        <v>"C:\Program Files (x86)\AstroGrep\AstroGrep.exe" /e /r /s /spath="%USERPROFILE%\AppData\Local\Temp\OnboardLogs" /stypes="*4021*201706081*" /stext=" 15:.+((SYSTEM_STATE.+slice.+state.+changed )|(ment ac)|(multiple cpu faults)|(system.+state.+changed )|(\[timeout)|(PRM\|1\|D)|(kpr)|(kdp)|(train st.+moving)|(\|lc)|(penalty))"</v>
      </c>
      <c r="U10" s="9" t="str">
        <f t="shared" si="2"/>
        <v>4021</v>
      </c>
      <c r="V10" s="31">
        <f t="shared" si="3"/>
        <v>42894.662685185183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arrival","project_id":79,"tracker_id":40,"status_id":1,"priority_id":2,"assigned_to_id":23,"start_date":"2017-06-08","description":"","custom_fields":[{"id":1,"name":"Subdivision","value":"EC"},{"id":4,"name":"Milepost","value":"4.8048"},{"id":17,"name":"Train ID","value":"140-08"},{"id":16,"name":"Locomotive ID","value":"4021"},{"id":130,"name":"Impact","value":""},{"id":150,"name":"Time of Event (Mountain Time)","value":"09:54:16"},{"id":151,"name":"Denver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/cygdrive/c/Users/stu/AppData/Local/Temp/OnboardLogs/RTDC4021 --include="*4021*201706081*"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"%USERPROFILE%\AppData\Local\Temp\OnboardLogs"\RTDC4021\*4021*201706081* &gt;&gt; 2017-06-08-SliceDisagreementCheck.txt</v>
      </c>
      <c r="AE10" s="148" t="str">
        <f t="shared" si="9"/>
        <v>start /low /b %USERPROFILE%\Documents\GitHub\eaglep3\Utilities\DownloadLogsFromS3.py --loco 4021 --day 2017-06-08</v>
      </c>
    </row>
    <row r="11" spans="1:32" s="1" customFormat="1" x14ac:dyDescent="0.25">
      <c r="A11" s="31">
        <v>42894.217905092592</v>
      </c>
      <c r="B11" s="30" t="s">
        <v>343</v>
      </c>
      <c r="C11" s="30" t="s">
        <v>612</v>
      </c>
      <c r="D11" s="30" t="s">
        <v>49</v>
      </c>
      <c r="E11" s="30" t="s">
        <v>189</v>
      </c>
      <c r="F11" s="42">
        <v>0</v>
      </c>
      <c r="G11" s="42">
        <v>483</v>
      </c>
      <c r="H11" s="42">
        <v>62583</v>
      </c>
      <c r="I11" s="42">
        <v>63704</v>
      </c>
      <c r="J11" s="30" t="s">
        <v>190</v>
      </c>
      <c r="K11" s="42">
        <v>63069</v>
      </c>
      <c r="L11" s="134" t="s">
        <v>50</v>
      </c>
      <c r="M11" s="135">
        <f t="shared" si="0"/>
        <v>-335.28</v>
      </c>
      <c r="N11" s="136" t="str">
        <f>VLOOKUP(C11,'Trips&amp;Operators'!$C$1:$G$99999,5,FALSE)</f>
        <v>STARKS ANGELINA</v>
      </c>
      <c r="O11" s="210" t="s">
        <v>182</v>
      </c>
      <c r="P11" s="137" t="s">
        <v>402</v>
      </c>
      <c r="Q11" s="30"/>
      <c r="R11" s="84" t="str">
        <f>VLOOKUP(C11,'Train Runs'!$A$13:$AE$9934,31,0)</f>
        <v>aws s3 cp s3://rtdc.mdm.uploadarchive.raw/RTDC4022/ "%USERPROFILE%\AppData\Local\Temp\OnboardLogs"\RTDC4022\2017-06-08 --exclude "*" --recursive --include "*20170608*" &amp; "%USERPROFILE%\Documents\GitHub\mrs-test-scripts\Headless Mode &amp; Sideloading\WalkAndUnGZ.bat" "%USERPROFILE%\AppData\Local\Temp\OnboardLogs"\RTDC4022\2017-06-08 &amp; 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</v>
      </c>
      <c r="S11" s="87" t="str">
        <f>VLOOKUP(C11,'Train Runs'!$A$13:$AE$9934,22,0)</f>
        <v>https://d0f6bd738d7f1b3e5a7ca70fe4ff75f0.us-east-1.aws.found.io/app/kibana#/discover/Steve-Slow-Train-Analysis-(2080s-and-2083s)?_g=(refreshInterval:(display:Off,pause:!f,section:0,value:0),time:(from:'2017-06-08T03:54:13-0600',mode:absolute,to:'2017-06-08T06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1" s="89" t="str">
        <f t="shared" si="1"/>
        <v>"C:\Program Files (x86)\AstroGrep\AstroGrep.exe" /e /r /s /spath="%USERPROFILE%\AppData\Local\Temp\OnboardLogs" /stypes="*4022*201706081*" /stext=" 11:.+((SYSTEM_STATE.+slice.+state.+changed )|(ment ac)|(multiple cpu faults)|(system.+state.+changed )|(\[timeout)|(PRM\|1\|D)|(kpr)|(kdp)|(train st.+moving)|(\|lc)|(penalty))"</v>
      </c>
      <c r="U11" s="9" t="str">
        <f t="shared" si="2"/>
        <v>4022</v>
      </c>
      <c r="V11" s="31">
        <f t="shared" si="3"/>
        <v>42894.467905092592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arrival","project_id":79,"tracker_id":40,"status_id":1,"priority_id":2,"assigned_to_id":23,"start_date":"2017-06-08","description":"","custom_fields":[{"id":1,"name":"Subdivision","value":"EC"},{"id":4,"name":"Milepost","value":"6.3069"},{"id":17,"name":"Train ID","value":"111-08"},{"id":16,"name":"Locomotive ID","value":"4022"},{"id":130,"name":"Impact","value":""},{"id":150,"name":"Time of Event (Mountain Time)","value":"05:13:47"},{"id":151,"name":"Denver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/cygdrive/c/Users/stu/AppData/Local/Temp/OnboardLogs/RTDC4022 --include="*4022*201706081*"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"%USERPROFILE%\AppData\Local\Temp\OnboardLogs"\RTDC4022\*4022*201706081* &gt;&gt; 2017-06-08-SliceDisagreementCheck.txt</v>
      </c>
      <c r="AE11" s="148" t="str">
        <f t="shared" si="9"/>
        <v>start /low /b %USERPROFILE%\Documents\GitHub\eaglep3\Utilities\DownloadLogsFromS3.py --loco 4022 --day 2017-06-08</v>
      </c>
    </row>
    <row r="12" spans="1:32" s="1" customFormat="1" x14ac:dyDescent="0.25">
      <c r="A12" s="31">
        <v>42894.785312499997</v>
      </c>
      <c r="B12" s="30" t="s">
        <v>434</v>
      </c>
      <c r="C12" s="30" t="s">
        <v>643</v>
      </c>
      <c r="D12" s="30" t="s">
        <v>49</v>
      </c>
      <c r="E12" s="30" t="s">
        <v>189</v>
      </c>
      <c r="F12" s="42">
        <v>130</v>
      </c>
      <c r="G12" s="42">
        <v>191</v>
      </c>
      <c r="H12" s="42">
        <v>63752</v>
      </c>
      <c r="I12" s="42">
        <v>63452</v>
      </c>
      <c r="J12" s="30" t="s">
        <v>190</v>
      </c>
      <c r="K12" s="42">
        <v>63309</v>
      </c>
      <c r="L12" s="134" t="s">
        <v>51</v>
      </c>
      <c r="M12" s="135">
        <f t="shared" si="0"/>
        <v>75.504000000000005</v>
      </c>
      <c r="N12" s="136" t="str">
        <f>VLOOKUP(C12,'Trips&amp;Operators'!$C$1:$G$99999,5,FALSE)</f>
        <v>BERLING GARY</v>
      </c>
      <c r="O12" s="210" t="s">
        <v>182</v>
      </c>
      <c r="P12" s="137" t="s">
        <v>402</v>
      </c>
      <c r="Q12" s="30"/>
      <c r="R12" s="84" t="str">
        <f>VLOOKUP(C12,'Train Runs'!$A$13:$AE$9934,31,0)</f>
        <v>aws s3 cp s3://rtdc.mdm.uploadarchive.raw/RTDC4043/ "%USERPROFILE%\AppData\Local\Temp\OnboardLogs"\RTDC4043\2017-06-08 --exclude "*" --recursive --include "*20170608*" &amp; "%USERPROFILE%\Documents\GitHub\mrs-test-scripts\Headless Mode &amp; Sideloading\WalkAndUnGZ.bat" "%USERPROFILE%\AppData\Local\Temp\OnboardLogs"\RTDC4043\2017-06-08 &amp; aws s3 cp s3://rtdc.mdm.uploadarchive.raw/RTDC4043/ "%USERPROFILE%\AppData\Local\Temp\OnboardLogs"\RTDC4043\2017-06-09 --exclude "*" --recursive --include "*20170609*" &amp; "%USERPROFILE%\Documents\GitHub\mrs-test-scripts\Headless Mode &amp; Sideloading\WalkAndUnGZ.bat" "%USERPROFILE%\AppData\Local\Temp\OnboardLogs"\RTDC4043\2017-06-09</v>
      </c>
      <c r="S12" s="87" t="str">
        <f>VLOOKUP(C12,'Train Runs'!$A$13:$AE$9934,22,0)</f>
        <v>https://d0f6bd738d7f1b3e5a7ca70fe4ff75f0.us-east-1.aws.found.io/app/kibana#/discover/Steve-Slow-Train-Analysis-(2080s-and-2083s)?_g=(refreshInterval:(display:Off,pause:!f,section:0,value:0),time:(from:'2017-06-08T17:19:12-0600',mode:absolute,to:'2017-06-08T20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2" s="89" t="str">
        <f t="shared" si="1"/>
        <v>"C:\Program Files (x86)\AstroGrep\AstroGrep.exe" /e /r /s /spath="%USERPROFILE%\AppData\Local\Temp\OnboardLogs" /stypes="*4043*201706090*" /stext=" 00:.+((SYSTEM_STATE.+slice.+state.+changed )|(ment ac)|(multiple cpu faults)|(system.+state.+changed )|(\[timeout)|(PRM\|1\|D)|(kpr)|(kdp)|(train st.+moving)|(\|lc)|(penalty))"</v>
      </c>
      <c r="U12" s="9" t="str">
        <f t="shared" si="2"/>
        <v>4043</v>
      </c>
      <c r="V12" s="31">
        <f t="shared" si="3"/>
        <v>42895.035312499997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arrival","project_id":79,"tracker_id":40,"status_id":1,"priority_id":2,"assigned_to_id":23,"start_date":"2017-06-08","description":"","custom_fields":[{"id":1,"name":"Subdivision","value":"EC"},{"id":4,"name":"Milepost","value":"6.3309"},{"id":17,"name":"Train ID","value":"212-08"},{"id":16,"name":"Locomotive ID","value":"4043"},{"id":130,"name":"Impact","value":""},{"id":150,"name":"Time of Event (Mountain Time)","value":"18:50:51"},{"id":151,"name":"Denver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/cygdrive/c/Users/stu/AppData/Local/Temp/OnboardLogs/RTDC4043 --include="*4043*201706090*"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"%USERPROFILE%\AppData\Local\Temp\OnboardLogs"\RTDC4043\*4043*201706090* &gt;&gt; 2017-06-08-SliceDisagreementCheck.txt</v>
      </c>
      <c r="AE12" s="148" t="str">
        <f t="shared" si="9"/>
        <v>start /low /b %USERPROFILE%\Documents\GitHub\eaglep3\Utilities\DownloadLogsFromS3.py --loco 4043 --day 2017-06-09</v>
      </c>
    </row>
    <row r="13" spans="1:32" s="1" customFormat="1" x14ac:dyDescent="0.25">
      <c r="A13" s="31">
        <v>42894.567604166667</v>
      </c>
      <c r="B13" s="30" t="s">
        <v>434</v>
      </c>
      <c r="C13" s="30" t="s">
        <v>626</v>
      </c>
      <c r="D13" s="30" t="s">
        <v>49</v>
      </c>
      <c r="E13" s="30" t="s">
        <v>189</v>
      </c>
      <c r="F13" s="42">
        <v>160</v>
      </c>
      <c r="G13" s="42">
        <v>211</v>
      </c>
      <c r="H13" s="42">
        <v>63414</v>
      </c>
      <c r="I13" s="42">
        <v>63150</v>
      </c>
      <c r="J13" s="30" t="s">
        <v>190</v>
      </c>
      <c r="K13" s="42">
        <v>63309</v>
      </c>
      <c r="L13" s="134" t="s">
        <v>51</v>
      </c>
      <c r="M13" s="135">
        <f t="shared" si="0"/>
        <v>-83.951999999999998</v>
      </c>
      <c r="N13" s="136" t="str">
        <f>VLOOKUP(C13,'Trips&amp;Operators'!$C$1:$G$99999,5,FALSE)</f>
        <v>BERLING GARY</v>
      </c>
      <c r="O13" s="210" t="s">
        <v>182</v>
      </c>
      <c r="P13" s="137" t="s">
        <v>402</v>
      </c>
      <c r="Q13" s="30"/>
      <c r="R13" s="84" t="str">
        <f>VLOOKUP(C13,'Train Runs'!$A$13:$AE$9934,31,0)</f>
        <v>aws s3 cp s3://rtdc.mdm.uploadarchive.raw/RTDC4043/ "%USERPROFILE%\AppData\Local\Temp\OnboardLogs"\RTDC4043\2017-06-08 --exclude "*" --recursive --include "*20170608*" &amp; "%USERPROFILE%\Documents\GitHub\mrs-test-scripts\Headless Mode &amp; Sideloading\WalkAndUnGZ.bat" "%USERPROFILE%\AppData\Local\Temp\OnboardLogs"\RTDC4043\2017-06-08 &amp; aws s3 cp s3://rtdc.mdm.uploadarchive.raw/RTDC4043/ "%USERPROFILE%\AppData\Local\Temp\OnboardLogs"\RTDC4043\2017-06-09 --exclude "*" --recursive --include "*20170609*" &amp; "%USERPROFILE%\Documents\GitHub\mrs-test-scripts\Headless Mode &amp; Sideloading\WalkAndUnGZ.bat" "%USERPROFILE%\AppData\Local\Temp\OnboardLogs"\RTDC4043\2017-06-09</v>
      </c>
      <c r="S13" s="87" t="str">
        <f>VLOOKUP(C13,'Train Runs'!$A$13:$AE$9934,22,0)</f>
        <v>https://d0f6bd738d7f1b3e5a7ca70fe4ff75f0.us-east-1.aws.found.io/app/kibana#/discover/Steve-Slow-Train-Analysis-(2080s-and-2083s)?_g=(refreshInterval:(display:Off,pause:!f,section:0,value:0),time:(from:'2017-06-08T12:00:35-0600',mode:absolute,to:'2017-06-08T14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3" s="89" t="str">
        <f t="shared" si="1"/>
        <v>"C:\Program Files (x86)\AstroGrep\AstroGrep.exe" /e /r /s /spath="%USERPROFILE%\AppData\Local\Temp\OnboardLogs" /stypes="*4043*201706081*" /stext=" 19:.+((SYSTEM_STATE.+slice.+state.+changed )|(ment ac)|(multiple cpu faults)|(system.+state.+changed )|(\[timeout)|(PRM\|1\|D)|(kpr)|(kdp)|(train st.+moving)|(\|lc)|(penalty))"</v>
      </c>
      <c r="U13" s="9" t="str">
        <f t="shared" si="2"/>
        <v>4043</v>
      </c>
      <c r="V13" s="31">
        <f t="shared" si="3"/>
        <v>42894.817604166667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arrival","project_id":79,"tracker_id":40,"status_id":1,"priority_id":2,"assigned_to_id":23,"start_date":"2017-06-08","description":"","custom_fields":[{"id":1,"name":"Subdivision","value":"EC"},{"id":4,"name":"Milepost","value":"6.3309"},{"id":17,"name":"Train ID","value":"170-08"},{"id":16,"name":"Locomotive ID","value":"4043"},{"id":130,"name":"Impact","value":""},{"id":150,"name":"Time of Event (Mountain Time)","value":"13:37:21"},{"id":151,"name":"Denver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/cygdrive/c/Users/stu/AppData/Local/Temp/OnboardLogs/RTDC4043 --include="*4043*201706081*"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"%USERPROFILE%\AppData\Local\Temp\OnboardLogs"\RTDC4043\*4043*201706081* &gt;&gt; 2017-06-08-SliceDisagreementCheck.txt</v>
      </c>
      <c r="AE13" s="148" t="str">
        <f t="shared" si="9"/>
        <v>start /low /b %USERPROFILE%\Documents\GitHub\eaglep3\Utilities\DownloadLogsFromS3.py --loco 4043 --day 2017-06-08</v>
      </c>
    </row>
    <row r="14" spans="1:32" x14ac:dyDescent="0.25">
      <c r="A14" s="31">
        <v>42894.687592592592</v>
      </c>
      <c r="B14" s="30" t="s">
        <v>610</v>
      </c>
      <c r="C14" s="30" t="s">
        <v>633</v>
      </c>
      <c r="D14" s="30" t="s">
        <v>49</v>
      </c>
      <c r="E14" s="30" t="s">
        <v>189</v>
      </c>
      <c r="F14" s="42">
        <v>0</v>
      </c>
      <c r="G14" s="42">
        <v>623</v>
      </c>
      <c r="H14" s="42">
        <v>103856</v>
      </c>
      <c r="I14" s="42">
        <v>101043</v>
      </c>
      <c r="J14" s="30" t="s">
        <v>190</v>
      </c>
      <c r="K14" s="42">
        <v>103800</v>
      </c>
      <c r="L14" s="134" t="s">
        <v>51</v>
      </c>
      <c r="M14" s="135">
        <f t="shared" si="0"/>
        <v>-1455.6959999999999</v>
      </c>
      <c r="N14" s="136" t="str">
        <f>VLOOKUP(C14,'Trips&amp;Operators'!$C$1:$G$99999,5,FALSE)</f>
        <v>LEVIN SCOTT</v>
      </c>
      <c r="O14" s="210" t="s">
        <v>182</v>
      </c>
      <c r="P14" s="137" t="s">
        <v>402</v>
      </c>
      <c r="Q14" s="30"/>
      <c r="R14" s="84" t="str">
        <f>VLOOKUP(C14,'Train Runs'!$A$13:$AE$9934,31,0)</f>
        <v>aws s3 cp s3://rtdc.mdm.uploadarchive.raw/RTDC4029/ "%USERPROFILE%\AppData\Local\Temp\OnboardLogs"\RTDC4029\2017-06-08 --exclude "*" --recursive --include "*20170608*" &amp; "%USERPROFILE%\Documents\GitHub\mrs-test-scripts\Headless Mode &amp; Sideloading\WalkAndUnGZ.bat" "%USERPROFILE%\AppData\Local\Temp\OnboardLogs"\RTDC4029\2017-06-08 &amp; 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</v>
      </c>
      <c r="S14" s="87" t="str">
        <f>VLOOKUP(C14,'Train Runs'!$A$13:$AE$9934,22,0)</f>
        <v>https://d0f6bd738d7f1b3e5a7ca70fe4ff75f0.us-east-1.aws.found.io/app/kibana#/discover/Steve-Slow-Train-Analysis-(2080s-and-2083s)?_g=(refreshInterval:(display:Off,pause:!f,section:0,value:0),time:(from:'2017-06-08T15:09:21-0600',mode:absolute,to:'2017-06-08T17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4" s="89" t="str">
        <f t="shared" si="1"/>
        <v>"C:\Program Files (x86)\AstroGrep\AstroGrep.exe" /e /r /s /spath="%USERPROFILE%\AppData\Local\Temp\OnboardLogs" /stypes="*4029*201706082*" /stext=" 22:.+((SYSTEM_STATE.+slice.+state.+changed )|(ment ac)|(multiple cpu faults)|(system.+state.+changed )|(\[timeout)|(PRM\|1\|D)|(kpr)|(kdp)|(train st.+moving)|(\|lc)|(penalty))"</v>
      </c>
      <c r="U14" s="9" t="str">
        <f t="shared" si="2"/>
        <v>4029</v>
      </c>
      <c r="V14" s="31">
        <f t="shared" si="3"/>
        <v>42894.937592592592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arrival","project_id":79,"tracker_id":40,"status_id":1,"priority_id":2,"assigned_to_id":23,"start_date":"2017-06-08","description":"","custom_fields":[{"id":1,"name":"Subdivision","value":"EC"},{"id":4,"name":"Milepost","value":"10.38"},{"id":17,"name":"Train ID","value":"194-08"},{"id":16,"name":"Locomotive ID","value":"4029"},{"id":130,"name":"Impact","value":""},{"id":150,"name":"Time of Event (Mountain Time)","value":"16:30:08"},{"id":151,"name":"Denver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/cygdrive/c/Users/stu/AppData/Local/Temp/OnboardLogs/RTDC4029 --include="*4029*201706082*"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"%USERPROFILE%\AppData\Local\Temp\OnboardLogs"\RTDC4029\*4029*201706082* &gt;&gt; 2017-06-08-SliceDisagreementCheck.txt</v>
      </c>
      <c r="AE14" s="148" t="str">
        <f t="shared" si="9"/>
        <v>start /low /b %USERPROFILE%\Documents\GitHub\eaglep3\Utilities\DownloadLogsFromS3.py --loco 4029 --day 2017-06-08</v>
      </c>
      <c r="AF14" s="1"/>
    </row>
    <row r="15" spans="1:32" x14ac:dyDescent="0.25">
      <c r="A15" s="31">
        <v>42894.645219907405</v>
      </c>
      <c r="B15" s="30" t="s">
        <v>519</v>
      </c>
      <c r="C15" s="30" t="s">
        <v>632</v>
      </c>
      <c r="D15" s="30" t="s">
        <v>49</v>
      </c>
      <c r="E15" s="30" t="s">
        <v>189</v>
      </c>
      <c r="F15" s="42">
        <v>350</v>
      </c>
      <c r="G15" s="42">
        <v>401</v>
      </c>
      <c r="H15" s="42">
        <v>109690</v>
      </c>
      <c r="I15" s="42">
        <v>108975</v>
      </c>
      <c r="J15" s="30" t="s">
        <v>190</v>
      </c>
      <c r="K15" s="42">
        <v>109135</v>
      </c>
      <c r="L15" s="134" t="s">
        <v>51</v>
      </c>
      <c r="M15" s="135">
        <f t="shared" si="0"/>
        <v>-84.48</v>
      </c>
      <c r="N15" s="136" t="str">
        <f>VLOOKUP(C15,'Trips&amp;Operators'!$C$1:$G$99999,5,FALSE)</f>
        <v>COOLAHAN JOHN</v>
      </c>
      <c r="O15" s="210" t="s">
        <v>182</v>
      </c>
      <c r="P15" s="137" t="s">
        <v>402</v>
      </c>
      <c r="Q15" s="30"/>
      <c r="R15" s="84" t="str">
        <f>VLOOKUP(C15,'Train Runs'!$A$13:$AE$9934,31,0)</f>
        <v>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 &amp; aws s3 cp s3://rtdc.mdm.uploadarchive.raw/RTDC4055/ "%USERPROFILE%\AppData\Local\Temp\OnboardLogs"\RTDC4055\2017-06-09 --exclude "*" --recursive --include "*20170609*" &amp; "%USERPROFILE%\Documents\GitHub\mrs-test-scripts\Headless Mode &amp; Sideloading\WalkAndUnGZ.bat" "%USERPROFILE%\AppData\Local\Temp\OnboardLogs"\RTDC4055\2017-06-09</v>
      </c>
      <c r="S15" s="87" t="str">
        <f>VLOOKUP(C15,'Train Runs'!$A$13:$AE$9934,22,0)</f>
        <v>https://d0f6bd738d7f1b3e5a7ca70fe4ff75f0.us-east-1.aws.found.io/app/kibana#/discover/Steve-Slow-Train-Analysis-(2080s-and-2083s)?_g=(refreshInterval:(display:Off,pause:!f,section:0,value:0),time:(from:'2017-06-08T14:07:10-0600',mode:absolute,to:'2017-06-08T16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5" s="89" t="str">
        <f t="shared" si="1"/>
        <v>"C:\Program Files (x86)\AstroGrep\AstroGrep.exe" /e /r /s /spath="%USERPROFILE%\AppData\Local\Temp\OnboardLogs" /stypes="*4055*201706082*" /stext=" 21:.+((SYSTEM_STATE.+slice.+state.+changed )|(ment ac)|(multiple cpu faults)|(system.+state.+changed )|(\[timeout)|(PRM\|1\|D)|(kpr)|(kdp)|(train st.+moving)|(\|lc)|(penalty))"</v>
      </c>
      <c r="U15" s="9" t="str">
        <f t="shared" si="2"/>
        <v>4055</v>
      </c>
      <c r="V15" s="31">
        <f t="shared" si="3"/>
        <v>42894.895219907405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arrival","project_id":79,"tracker_id":40,"status_id":1,"priority_id":2,"assigned_to_id":23,"start_date":"2017-06-08","description":"","custom_fields":[{"id":1,"name":"Subdivision","value":"EC"},{"id":4,"name":"Milepost","value":"10.9135"},{"id":17,"name":"Train ID","value":"186-08"},{"id":16,"name":"Locomotive ID","value":"4055"},{"id":130,"name":"Impact","value":""},{"id":150,"name":"Time of Event (Mountain Time)","value":"15:29:07"},{"id":151,"name":"Denver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/cygdrive/c/Users/stu/AppData/Local/Temp/OnboardLogs/RTDC4055 --include="*4055*201706082*"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"%USERPROFILE%\AppData\Local\Temp\OnboardLogs"\RTDC4055\*4055*201706082* &gt;&gt; 2017-06-08-SliceDisagreementCheck.txt</v>
      </c>
      <c r="AE15" s="148" t="str">
        <f t="shared" si="9"/>
        <v>start /low /b %USERPROFILE%\Documents\GitHub\eaglep3\Utilities\DownloadLogsFromS3.py --loco 4055 --day 2017-06-08</v>
      </c>
      <c r="AF15" s="1"/>
    </row>
    <row r="16" spans="1:32" x14ac:dyDescent="0.25">
      <c r="A16" s="31">
        <v>42894.499826388892</v>
      </c>
      <c r="B16" s="30" t="s">
        <v>434</v>
      </c>
      <c r="C16" s="30" t="s">
        <v>624</v>
      </c>
      <c r="D16" s="30" t="s">
        <v>49</v>
      </c>
      <c r="E16" s="30" t="s">
        <v>202</v>
      </c>
      <c r="F16" s="42">
        <v>300</v>
      </c>
      <c r="G16" s="42">
        <v>377</v>
      </c>
      <c r="H16" s="42">
        <v>23096</v>
      </c>
      <c r="I16" s="42">
        <v>22071</v>
      </c>
      <c r="J16" s="30" t="s">
        <v>203</v>
      </c>
      <c r="K16" s="42">
        <v>21848</v>
      </c>
      <c r="L16" s="134" t="s">
        <v>51</v>
      </c>
      <c r="M16" s="135">
        <f t="shared" si="0"/>
        <v>117.744</v>
      </c>
      <c r="N16" s="136" t="str">
        <f>VLOOKUP(C16,'Trips&amp;Operators'!$C$1:$G$99999,5,FALSE)</f>
        <v>LOZA FIDEL</v>
      </c>
      <c r="O16" s="210" t="s">
        <v>182</v>
      </c>
      <c r="P16" s="137"/>
      <c r="Q16" s="30"/>
      <c r="R16" s="84" t="str">
        <f>VLOOKUP(C16,'Train Runs'!$A$13:$AE$9934,31,0)</f>
        <v>aws s3 cp s3://rtdc.mdm.uploadarchive.raw/RTDC4043/ "%USERPROFILE%\AppData\Local\Temp\OnboardLogs"\RTDC4043\2017-06-08 --exclude "*" --recursive --include "*20170608*" &amp; "%USERPROFILE%\Documents\GitHub\mrs-test-scripts\Headless Mode &amp; Sideloading\WalkAndUnGZ.bat" "%USERPROFILE%\AppData\Local\Temp\OnboardLogs"\RTDC4043\2017-06-08 &amp; aws s3 cp s3://rtdc.mdm.uploadarchive.raw/RTDC4043/ "%USERPROFILE%\AppData\Local\Temp\OnboardLogs"\RTDC4043\2017-06-09 --exclude "*" --recursive --include "*20170609*" &amp; "%USERPROFILE%\Documents\GitHub\mrs-test-scripts\Headless Mode &amp; Sideloading\WalkAndUnGZ.bat" "%USERPROFILE%\AppData\Local\Temp\OnboardLogs"\RTDC4043\2017-06-09</v>
      </c>
      <c r="S16" s="87" t="str">
        <f>VLOOKUP(C16,'Train Runs'!$A$13:$AE$9934,22,0)</f>
        <v>https://d0f6bd738d7f1b3e5a7ca70fe4ff75f0.us-east-1.aws.found.io/app/kibana#/discover/Steve-Slow-Train-Analysis-(2080s-and-2083s)?_g=(refreshInterval:(display:Off,pause:!f,section:0,value:0),time:(from:'2017-06-08T10:20:11-0600',mode:absolute,to:'2017-06-08T13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6" s="89" t="str">
        <f t="shared" si="1"/>
        <v>"C:\Program Files (x86)\AstroGrep\AstroGrep.exe" /e /r /s /spath="%USERPROFILE%\AppData\Local\Temp\OnboardLogs" /stypes="*4043*201706081*" /stext=" 17:.+((SYSTEM_STATE.+slice.+state.+changed )|(ment ac)|(multiple cpu faults)|(system.+state.+changed )|(\[timeout)|(PRM\|1\|D)|(kpr)|(kdp)|(train st.+moving)|(\|lc)|(penalty))"</v>
      </c>
      <c r="U16" s="9" t="str">
        <f t="shared" si="2"/>
        <v>4043</v>
      </c>
      <c r="V16" s="31">
        <f t="shared" si="3"/>
        <v>42894.749826388892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{"issue":{"subject":"","project_id":79,"tracker_id":40,"status_id":1,"priority_id":2,"assigned_to_id":23,"start_date":"2017-06-08","description":"","custom_fields":[{"id":1,"name":"Subdivision","value":"EC"},{"id":4,"name":"Milepost","value":"2.1848"},{"id":17,"name":"Train ID","value":"156-08"},{"id":16,"name":"Locomotive ID","value":"4043"},{"id":130,"name":"Impact","value":""},{"id":150,"name":"Time of Event (Mountain Time)","value":"11:59:45"},{"id":151,"name":"Denver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/cygdrive/c/Users/stu/AppData/Local/Temp/OnboardLogs/RTDC4043 --include="*4043*201706081*"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"%USERPROFILE%\AppData\Local\Temp\OnboardLogs"\RTDC4043\*4043*201706081* &gt;&gt; 2017-06-08-SliceDisagreementCheck.txt</v>
      </c>
      <c r="AE16" s="148" t="str">
        <f t="shared" si="9"/>
        <v>start /low /b %USERPROFILE%\Documents\GitHub\eaglep3\Utilities\DownloadLogsFromS3.py --loco 4043 --day 2017-06-08</v>
      </c>
      <c r="AF16" s="1"/>
    </row>
    <row r="17" spans="1:32" x14ac:dyDescent="0.25">
      <c r="A17" s="31">
        <v>42894.719178240739</v>
      </c>
      <c r="B17" s="30" t="s">
        <v>434</v>
      </c>
      <c r="C17" s="30" t="s">
        <v>637</v>
      </c>
      <c r="D17" s="30" t="s">
        <v>49</v>
      </c>
      <c r="E17" s="30" t="s">
        <v>202</v>
      </c>
      <c r="F17" s="42">
        <v>300</v>
      </c>
      <c r="G17" s="42">
        <v>403</v>
      </c>
      <c r="H17" s="42">
        <v>23191</v>
      </c>
      <c r="I17" s="42">
        <v>21923</v>
      </c>
      <c r="J17" s="30" t="s">
        <v>203</v>
      </c>
      <c r="K17" s="42">
        <v>21848</v>
      </c>
      <c r="L17" s="134" t="s">
        <v>51</v>
      </c>
      <c r="M17" s="135">
        <f t="shared" si="0"/>
        <v>39.6</v>
      </c>
      <c r="N17" s="136" t="str">
        <f>VLOOKUP(C17,'Trips&amp;Operators'!$C$1:$G$99999,5,FALSE)</f>
        <v>BERLING GARY</v>
      </c>
      <c r="O17" s="210" t="s">
        <v>182</v>
      </c>
      <c r="P17" s="137"/>
      <c r="Q17" s="30"/>
      <c r="R17" s="84" t="str">
        <f>VLOOKUP(C17,'Train Runs'!$A$13:$AE$9934,31,0)</f>
        <v>aws s3 cp s3://rtdc.mdm.uploadarchive.raw/RTDC4043/ "%USERPROFILE%\AppData\Local\Temp\OnboardLogs"\RTDC4043\2017-06-08 --exclude "*" --recursive --include "*20170608*" &amp; "%USERPROFILE%\Documents\GitHub\mrs-test-scripts\Headless Mode &amp; Sideloading\WalkAndUnGZ.bat" "%USERPROFILE%\AppData\Local\Temp\OnboardLogs"\RTDC4043\2017-06-08 &amp; aws s3 cp s3://rtdc.mdm.uploadarchive.raw/RTDC4043/ "%USERPROFILE%\AppData\Local\Temp\OnboardLogs"\RTDC4043\2017-06-09 --exclude "*" --recursive --include "*20170609*" &amp; "%USERPROFILE%\Documents\GitHub\mrs-test-scripts\Headless Mode &amp; Sideloading\WalkAndUnGZ.bat" "%USERPROFILE%\AppData\Local\Temp\OnboardLogs"\RTDC4043\2017-06-09</v>
      </c>
      <c r="S17" s="87" t="str">
        <f>VLOOKUP(C17,'Train Runs'!$A$13:$AE$9934,22,0)</f>
        <v>https://d0f6bd738d7f1b3e5a7ca70fe4ff75f0.us-east-1.aws.found.io/app/kibana#/discover/Steve-Slow-Train-Analysis-(2080s-and-2083s)?_g=(refreshInterval:(display:Off,pause:!f,section:0,value:0),time:(from:'2017-06-08T15:33:17-0600',mode:absolute,to:'2017-06-08T18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7" s="89" t="str">
        <f t="shared" si="1"/>
        <v>"C:\Program Files (x86)\AstroGrep\AstroGrep.exe" /e /r /s /spath="%USERPROFILE%\AppData\Local\Temp\OnboardLogs" /stypes="*4043*201706082*" /stext=" 23:.+((SYSTEM_STATE.+slice.+state.+changed )|(ment ac)|(multiple cpu faults)|(system.+state.+changed )|(\[timeout)|(PRM\|1\|D)|(kpr)|(kdp)|(train st.+moving)|(\|lc)|(penalty))"</v>
      </c>
      <c r="U17" s="9" t="str">
        <f t="shared" si="2"/>
        <v>4043</v>
      </c>
      <c r="V17" s="31">
        <f t="shared" si="3"/>
        <v>42894.969178240739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{"issue":{"subject":"","project_id":79,"tracker_id":40,"status_id":1,"priority_id":2,"assigned_to_id":23,"start_date":"2017-06-08","description":"","custom_fields":[{"id":1,"name":"Subdivision","value":"EC"},{"id":4,"name":"Milepost","value":"2.1848"},{"id":17,"name":"Train ID","value":"198-08"},{"id":16,"name":"Locomotive ID","value":"4043"},{"id":130,"name":"Impact","value":""},{"id":150,"name":"Time of Event (Mountain Time)","value":"17:15:37"},{"id":151,"name":"Denver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/cygdrive/c/Users/stu/AppData/Local/Temp/OnboardLogs/RTDC4043 --include="*4043*201706082*"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"%USERPROFILE%\AppData\Local\Temp\OnboardLogs"\RTDC4043\*4043*201706082* &gt;&gt; 2017-06-08-SliceDisagreementCheck.txt</v>
      </c>
      <c r="AE17" s="148" t="str">
        <f t="shared" si="9"/>
        <v>start /low /b %USERPROFILE%\Documents\GitHub\eaglep3\Utilities\DownloadLogsFromS3.py --loco 4043 --day 2017-06-08</v>
      </c>
      <c r="AF17" s="1"/>
    </row>
    <row r="18" spans="1:32" x14ac:dyDescent="0.25">
      <c r="A18" s="31">
        <v>42894.728263888886</v>
      </c>
      <c r="B18" s="30" t="s">
        <v>519</v>
      </c>
      <c r="C18" s="30" t="s">
        <v>639</v>
      </c>
      <c r="D18" s="30" t="s">
        <v>49</v>
      </c>
      <c r="E18" s="30" t="s">
        <v>202</v>
      </c>
      <c r="F18" s="42">
        <v>300</v>
      </c>
      <c r="G18" s="42">
        <v>498</v>
      </c>
      <c r="H18" s="42">
        <v>24566</v>
      </c>
      <c r="I18" s="42">
        <v>22908</v>
      </c>
      <c r="J18" s="30" t="s">
        <v>203</v>
      </c>
      <c r="K18" s="42">
        <v>21848</v>
      </c>
      <c r="L18" s="134" t="s">
        <v>51</v>
      </c>
      <c r="M18" s="135">
        <f t="shared" si="0"/>
        <v>559.67999999999995</v>
      </c>
      <c r="N18" s="136" t="str">
        <f>VLOOKUP(C18,'Trips&amp;Operators'!$C$1:$G$99999,5,FALSE)</f>
        <v>COOLAHAN JOHN</v>
      </c>
      <c r="O18" s="210" t="s">
        <v>182</v>
      </c>
      <c r="P18" s="137"/>
      <c r="Q18" s="30"/>
      <c r="R18" s="84" t="str">
        <f>VLOOKUP(C18,'Train Runs'!$A$13:$AE$9934,31,0)</f>
        <v>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 &amp; aws s3 cp s3://rtdc.mdm.uploadarchive.raw/RTDC4055/ "%USERPROFILE%\AppData\Local\Temp\OnboardLogs"\RTDC4055\2017-06-09 --exclude "*" --recursive --include "*20170609*" &amp; "%USERPROFILE%\Documents\GitHub\mrs-test-scripts\Headless Mode &amp; Sideloading\WalkAndUnGZ.bat" "%USERPROFILE%\AppData\Local\Temp\OnboardLogs"\RTDC4055\2017-06-09</v>
      </c>
      <c r="S18" s="87" t="str">
        <f>VLOOKUP(C18,'Train Runs'!$A$13:$AE$9934,22,0)</f>
        <v>https://d0f6bd738d7f1b3e5a7ca70fe4ff75f0.us-east-1.aws.found.io/app/kibana#/discover/Steve-Slow-Train-Analysis-(2080s-and-2083s)?_g=(refreshInterval:(display:Off,pause:!f,section:0,value:0),time:(from:'2017-06-08T15:51:43-0600',mode:absolute,to:'2017-06-08T18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8" s="89" t="str">
        <f t="shared" si="1"/>
        <v>"C:\Program Files (x86)\AstroGrep\AstroGrep.exe" /e /r /s /spath="%USERPROFILE%\AppData\Local\Temp\OnboardLogs" /stypes="*4055*201706082*" /stext=" 23:.+((SYSTEM_STATE.+slice.+state.+changed )|(ment ac)|(multiple cpu faults)|(system.+state.+changed )|(\[timeout)|(PRM\|1\|D)|(kpr)|(kdp)|(train st.+moving)|(\|lc)|(penalty))"</v>
      </c>
      <c r="U18" s="9" t="str">
        <f t="shared" si="2"/>
        <v>4055</v>
      </c>
      <c r="V18" s="31">
        <f t="shared" si="3"/>
        <v>42894.978263888886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{"issue":{"subject":"","project_id":79,"tracker_id":40,"status_id":1,"priority_id":2,"assigned_to_id":23,"start_date":"2017-06-08","description":"","custom_fields":[{"id":1,"name":"Subdivision","value":"EC"},{"id":4,"name":"Milepost","value":"2.1848"},{"id":17,"name":"Train ID","value":"200-08"},{"id":16,"name":"Locomotive ID","value":"4055"},{"id":130,"name":"Impact","value":""},{"id":150,"name":"Time of Event (Mountain Time)","value":"17:28:42"},{"id":151,"name":"Denver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/cygdrive/c/Users/stu/AppData/Local/Temp/OnboardLogs/RTDC4055 --include="*4055*201706082*"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"%USERPROFILE%\AppData\Local\Temp\OnboardLogs"\RTDC4055\*4055*201706082* &gt;&gt; 2017-06-08-SliceDisagreementCheck.txt</v>
      </c>
      <c r="AE18" s="148" t="str">
        <f t="shared" si="9"/>
        <v>start /low /b %USERPROFILE%\Documents\GitHub\eaglep3\Utilities\DownloadLogsFromS3.py --loco 4055 --day 2017-06-08</v>
      </c>
      <c r="AF18" s="1"/>
    </row>
    <row r="19" spans="1:32" x14ac:dyDescent="0.25">
      <c r="A19" s="31">
        <v>42894.838287037041</v>
      </c>
      <c r="B19" s="30" t="s">
        <v>522</v>
      </c>
      <c r="C19" s="30" t="s">
        <v>647</v>
      </c>
      <c r="D19" s="30" t="s">
        <v>98</v>
      </c>
      <c r="E19" s="30" t="s">
        <v>202</v>
      </c>
      <c r="F19" s="42">
        <v>200</v>
      </c>
      <c r="G19" s="42">
        <v>253</v>
      </c>
      <c r="H19" s="42">
        <v>27677</v>
      </c>
      <c r="I19" s="42">
        <v>28010</v>
      </c>
      <c r="J19" s="30" t="s">
        <v>203</v>
      </c>
      <c r="K19" s="42">
        <v>27333</v>
      </c>
      <c r="L19" s="134" t="s">
        <v>50</v>
      </c>
      <c r="M19" s="135">
        <f t="shared" si="0"/>
        <v>-357.45600000000002</v>
      </c>
      <c r="N19" s="136" t="str">
        <f>VLOOKUP(C19,'Trips&amp;Operators'!$C$1:$G$99999,5,FALSE)</f>
        <v>PERKINS DARREN</v>
      </c>
      <c r="O19" s="210" t="s">
        <v>182</v>
      </c>
      <c r="P19" s="137"/>
      <c r="Q19" s="30"/>
      <c r="R19" s="84" t="str">
        <f>VLOOKUP(C19,'Train Runs'!$A$13:$AE$9934,31,0)</f>
        <v>aws s3 cp s3://rtdc.mdm.uploadarchive.raw/RTDC4004/ "%USERPROFILE%\AppData\Local\Temp\OnboardLogs"\RTDC4004\2017-06-08 --exclude "*" --recursive --include "*20170608*" &amp; "%USERPROFILE%\Documents\GitHub\mrs-test-scripts\Headless Mode &amp; Sideloading\WalkAndUnGZ.bat" "%USERPROFILE%\AppData\Local\Temp\OnboardLogs"\RTDC4004\2017-06-08 &amp; aws s3 cp s3://rtdc.mdm.uploadarchive.raw/RTDC4004/ "%USERPROFILE%\AppData\Local\Temp\OnboardLogs"\RTDC4004\2017-06-09 --exclude "*" --recursive --include "*20170609*" &amp; "%USERPROFILE%\Documents\GitHub\mrs-test-scripts\Headless Mode &amp; Sideloading\WalkAndUnGZ.bat" "%USERPROFILE%\AppData\Local\Temp\OnboardLogs"\RTDC4004\2017-06-09</v>
      </c>
      <c r="S19" s="87" t="str">
        <f>VLOOKUP(C19,'Train Runs'!$A$13:$AE$9934,22,0)</f>
        <v>https://d0f6bd738d7f1b3e5a7ca70fe4ff75f0.us-east-1.aws.found.io/app/kibana#/discover/Steve-Slow-Train-Analysis-(2080s-and-2083s)?_g=(refreshInterval:(display:Off,pause:!f,section:0,value:0),time:(from:'2017-06-08T19:28:30-0600',mode:absolute,to:'2017-06-08T21:47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9" s="89" t="str">
        <f t="shared" si="1"/>
        <v>"C:\Program Files (x86)\AstroGrep\AstroGrep.exe" /e /r /s /spath="%USERPROFILE%\AppData\Local\Temp\OnboardLogs" /stypes="*4004*201706090*" /stext=" 02:.+((SYSTEM_STATE.+slice.+state.+changed )|(ment ac)|(multiple cpu faults)|(system.+state.+changed )|(\[timeout)|(PRM\|1\|D)|(kpr)|(kdp)|(train st.+moving)|(\|lc)|(penalty))"</v>
      </c>
      <c r="U19" s="9" t="str">
        <f t="shared" si="2"/>
        <v>4004</v>
      </c>
      <c r="V19" s="31">
        <f t="shared" si="3"/>
        <v>42895.088287037041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{"issue":{"subject":"","project_id":79,"tracker_id":40,"status_id":1,"priority_id":2,"assigned_to_id":23,"start_date":"2017-06-08","description":"","custom_fields":[{"id":1,"name":"Subdivision","value":"EC"},{"id":4,"name":"Milepost","value":"2.7333"},{"id":17,"name":"Train ID","value":"225-08"},{"id":16,"name":"Locomotive ID","value":"4004"},{"id":130,"name":"Impact","value":""},{"id":150,"name":"Time of Event (Mountain Time)","value":"20:07:08"},{"id":151,"name":"Denver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/cygdrive/c/Users/stu/AppData/Local/Temp/OnboardLogs/RTDC4004 --include="*4004*201706090*"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"%USERPROFILE%\AppData\Local\Temp\OnboardLogs"\RTDC4004\*4004*201706090* &gt;&gt; 2017-06-08-SliceDisagreementCheck.txt</v>
      </c>
      <c r="AE19" s="148" t="str">
        <f t="shared" si="9"/>
        <v>start /low /b %USERPROFILE%\Documents\GitHub\eaglep3\Utilities\DownloadLogsFromS3.py --loco 4004 --day 2017-06-09</v>
      </c>
      <c r="AF19" s="1"/>
    </row>
    <row r="20" spans="1:32" x14ac:dyDescent="0.25">
      <c r="A20" s="31">
        <v>42894.546307870369</v>
      </c>
      <c r="B20" s="30" t="s">
        <v>618</v>
      </c>
      <c r="C20" s="30" t="s">
        <v>625</v>
      </c>
      <c r="D20" s="30" t="s">
        <v>49</v>
      </c>
      <c r="E20" s="30" t="s">
        <v>202</v>
      </c>
      <c r="F20" s="42">
        <v>400</v>
      </c>
      <c r="G20" s="42">
        <v>595</v>
      </c>
      <c r="H20" s="42">
        <v>115399</v>
      </c>
      <c r="I20" s="42">
        <v>117267</v>
      </c>
      <c r="J20" s="30" t="s">
        <v>203</v>
      </c>
      <c r="K20" s="42">
        <v>116838</v>
      </c>
      <c r="L20" s="134" t="s">
        <v>50</v>
      </c>
      <c r="M20" s="135">
        <f t="shared" si="0"/>
        <v>-226.512</v>
      </c>
      <c r="N20" s="136" t="str">
        <f>VLOOKUP(C20,'Trips&amp;Operators'!$C$1:$G$99999,5,FALSE)</f>
        <v>HOLCOMB KAMDEN</v>
      </c>
      <c r="O20" s="210" t="s">
        <v>182</v>
      </c>
      <c r="P20" s="137"/>
      <c r="Q20" s="30"/>
      <c r="R20" s="84" t="str">
        <f>VLOOKUP(C20,'Train Runs'!$A$13:$AE$9934,31,0)</f>
        <v>aws s3 cp s3://rtdc.mdm.uploadarchive.raw/RTDC4026/ "%USERPROFILE%\AppData\Local\Temp\OnboardLogs"\RTDC4026\2017-06-08 --exclude "*" --recursive --include "*20170608*" &amp; "%USERPROFILE%\Documents\GitHub\mrs-test-scripts\Headless Mode &amp; Sideloading\WalkAndUnGZ.bat" "%USERPROFILE%\AppData\Local\Temp\OnboardLogs"\RTDC4026\2017-06-08 &amp; aws s3 cp s3://rtdc.mdm.uploadarchive.raw/RTDC4026/ "%USERPROFILE%\AppData\Local\Temp\OnboardLogs"\RTDC4026\2017-06-09 --exclude "*" --recursive --include "*20170609*" &amp; "%USERPROFILE%\Documents\GitHub\mrs-test-scripts\Headless Mode &amp; Sideloading\WalkAndUnGZ.bat" "%USERPROFILE%\AppData\Local\Temp\OnboardLogs"\RTDC4026\2017-06-09</v>
      </c>
      <c r="S20" s="87" t="str">
        <f>VLOOKUP(C20,'Train Runs'!$A$13:$AE$9934,22,0)</f>
        <v>https://d0f6bd738d7f1b3e5a7ca70fe4ff75f0.us-east-1.aws.found.io/app/kibana#/discover/Steve-Slow-Train-Analysis-(2080s-and-2083s)?_g=(refreshInterval:(display:Off,pause:!f,section:0,value:0),time:(from:'2017-06-08T11:39:56-0600',mode:absolute,to:'2017-06-08T14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0" s="89" t="str">
        <f t="shared" si="1"/>
        <v>"C:\Program Files (x86)\AstroGrep\AstroGrep.exe" /e /r /s /spath="%USERPROFILE%\AppData\Local\Temp\OnboardLogs" /stypes="*4026*201706081*" /stext=" 19:.+((SYSTEM_STATE.+slice.+state.+changed )|(ment ac)|(multiple cpu faults)|(system.+state.+changed )|(\[timeout)|(PRM\|1\|D)|(kpr)|(kdp)|(train st.+moving)|(\|lc)|(penalty))"</v>
      </c>
      <c r="U20" s="9" t="str">
        <f t="shared" si="2"/>
        <v>4026</v>
      </c>
      <c r="V20" s="31">
        <f t="shared" si="3"/>
        <v>42894.796307870369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{"issue":{"subject":"","project_id":79,"tracker_id":40,"status_id":1,"priority_id":2,"assigned_to_id":23,"start_date":"2017-06-08","description":"","custom_fields":[{"id":1,"name":"Subdivision","value":"EC"},{"id":4,"name":"Milepost","value":"11.6838"},{"id":17,"name":"Train ID","value":"173-08"},{"id":16,"name":"Locomotive ID","value":"4026"},{"id":130,"name":"Impact","value":""},{"id":150,"name":"Time of Event (Mountain Time)","value":"13:06:41"},{"id":151,"name":"Denver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/cygdrive/c/Users/stu/AppData/Local/Temp/OnboardLogs/RTDC4026 --include="*4026*201706081*"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"%USERPROFILE%\AppData\Local\Temp\OnboardLogs"\RTDC4026\*4026*201706081* &gt;&gt; 2017-06-08-SliceDisagreementCheck.txt</v>
      </c>
      <c r="AE20" s="148" t="str">
        <f t="shared" si="9"/>
        <v>start /low /b %USERPROFILE%\Documents\GitHub\eaglep3\Utilities\DownloadLogsFromS3.py --loco 4026 --day 2017-06-08</v>
      </c>
      <c r="AF20" s="1"/>
    </row>
    <row r="21" spans="1:32" x14ac:dyDescent="0.25">
      <c r="A21" s="31">
        <v>42894.324560185189</v>
      </c>
      <c r="B21" s="30" t="s">
        <v>520</v>
      </c>
      <c r="C21" s="30" t="s">
        <v>620</v>
      </c>
      <c r="D21" s="30" t="s">
        <v>98</v>
      </c>
      <c r="E21" s="30" t="s">
        <v>202</v>
      </c>
      <c r="F21" s="42">
        <v>600</v>
      </c>
      <c r="G21" s="42">
        <v>651</v>
      </c>
      <c r="H21" s="42">
        <v>186611</v>
      </c>
      <c r="I21" s="42">
        <v>189152</v>
      </c>
      <c r="J21" s="30" t="s">
        <v>203</v>
      </c>
      <c r="K21" s="42">
        <v>183829</v>
      </c>
      <c r="L21" s="134" t="s">
        <v>50</v>
      </c>
      <c r="M21" s="135">
        <f t="shared" si="0"/>
        <v>-2810.5439999999999</v>
      </c>
      <c r="N21" s="136" t="str">
        <f>VLOOKUP(C21,'Trips&amp;Operators'!$C$1:$G$99999,5,FALSE)</f>
        <v>WILLIAMS DONTE</v>
      </c>
      <c r="O21" s="210" t="s">
        <v>182</v>
      </c>
      <c r="P21" s="137"/>
      <c r="Q21" s="30"/>
      <c r="R21" s="84" t="str">
        <f>VLOOKUP(C21,'Train Runs'!$A$13:$AE$9934,31,0)</f>
        <v>aws s3 cp s3://rtdc.mdm.uploadarchive.raw/RTDC4056/ "%USERPROFILE%\AppData\Local\Temp\OnboardLogs"\RTDC4056\2017-06-08 --exclude "*" --recursive --include "*20170608*" &amp; "%USERPROFILE%\Documents\GitHub\mrs-test-scripts\Headless Mode &amp; Sideloading\WalkAndUnGZ.bat" "%USERPROFILE%\AppData\Local\Temp\OnboardLogs"\RTDC4056\2017-06-08 &amp; aws s3 cp s3://rtdc.mdm.uploadarchive.raw/RTDC4056/ "%USERPROFILE%\AppData\Local\Temp\OnboardLogs"\RTDC4056\2017-06-09 --exclude "*" --recursive --include "*20170609*" &amp; "%USERPROFILE%\Documents\GitHub\mrs-test-scripts\Headless Mode &amp; Sideloading\WalkAndUnGZ.bat" "%USERPROFILE%\AppData\Local\Temp\OnboardLogs"\RTDC4056\2017-06-09</v>
      </c>
      <c r="S21" s="87" t="str">
        <f>VLOOKUP(C21,'Train Runs'!$A$13:$AE$9934,22,0)</f>
        <v>https://d0f6bd738d7f1b3e5a7ca70fe4ff75f0.us-east-1.aws.found.io/app/kibana#/discover/Steve-Slow-Train-Analysis-(2080s-and-2083s)?_g=(refreshInterval:(display:Off,pause:!f,section:0,value:0),time:(from:'2017-06-08T06:10:10-0600',mode:absolute,to:'2017-06-08T08:57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1" s="89" t="str">
        <f t="shared" si="1"/>
        <v>"C:\Program Files (x86)\AstroGrep\AstroGrep.exe" /e /r /s /spath="%USERPROFILE%\AppData\Local\Temp\OnboardLogs" /stypes="*4056*201706081*" /stext=" 13:.+((SYSTEM_STATE.+slice.+state.+changed )|(ment ac)|(multiple cpu faults)|(system.+state.+changed )|(\[timeout)|(PRM\|1\|D)|(kpr)|(kdp)|(train st.+moving)|(\|lc)|(penalty))"</v>
      </c>
      <c r="U21" s="9" t="str">
        <f t="shared" si="2"/>
        <v>4056</v>
      </c>
      <c r="V21" s="31">
        <f t="shared" si="3"/>
        <v>42894.574560185189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{"issue":{"subject":"","project_id":79,"tracker_id":40,"status_id":1,"priority_id":2,"assigned_to_id":23,"start_date":"2017-06-08","description":"","custom_fields":[{"id":1,"name":"Subdivision","value":"EC"},{"id":4,"name":"Milepost","value":"18.3829"},{"id":17,"name":"Train ID","value":"129-08"},{"id":16,"name":"Locomotive ID","value":"4056"},{"id":130,"name":"Impact","value":""},{"id":150,"name":"Time of Event (Mountain Time)","value":"07:47:22"},{"id":151,"name":"Denver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/cygdrive/c/Users/stu/AppData/Local/Temp/OnboardLogs/RTDC4056 --include="*4056*201706081*"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"%USERPROFILE%\AppData\Local\Temp\OnboardLogs"\RTDC4056\*4056*201706081* &gt;&gt; 2017-06-08-SliceDisagreementCheck.txt</v>
      </c>
      <c r="AE21" s="148" t="str">
        <f t="shared" si="9"/>
        <v>start /low /b %USERPROFILE%\Documents\GitHub\eaglep3\Utilities\DownloadLogsFromS3.py --loco 4056 --day 2017-06-08</v>
      </c>
      <c r="AF21" s="1"/>
    </row>
    <row r="22" spans="1:32" x14ac:dyDescent="0.25">
      <c r="A22" s="31">
        <v>42894.701041666667</v>
      </c>
      <c r="B22" s="30" t="s">
        <v>371</v>
      </c>
      <c r="C22" s="30" t="s">
        <v>634</v>
      </c>
      <c r="D22" s="30" t="s">
        <v>49</v>
      </c>
      <c r="E22" s="30" t="s">
        <v>366</v>
      </c>
      <c r="F22" s="42">
        <v>0</v>
      </c>
      <c r="G22" s="42">
        <v>337</v>
      </c>
      <c r="H22" s="42">
        <v>65186</v>
      </c>
      <c r="I22" s="42">
        <v>64484</v>
      </c>
      <c r="J22" s="30" t="s">
        <v>367</v>
      </c>
      <c r="K22" s="42">
        <v>64008</v>
      </c>
      <c r="L22" s="134" t="s">
        <v>51</v>
      </c>
      <c r="M22" s="135">
        <f t="shared" si="0"/>
        <v>251.328</v>
      </c>
      <c r="N22" s="136" t="str">
        <f>VLOOKUP(C22,'Trips&amp;Operators'!$C$1:$G$99999,5,FALSE)</f>
        <v>DELGADO DIANAH</v>
      </c>
      <c r="O22" s="210" t="s">
        <v>417</v>
      </c>
      <c r="P22" s="137" t="s">
        <v>418</v>
      </c>
      <c r="Q22" s="30"/>
      <c r="R22" s="84" t="str">
        <f>VLOOKUP(C22,'Train Runs'!$A$13:$AE$9934,31,0)</f>
        <v>aws s3 cp s3://rtdc.mdm.uploadarchive.raw/RTDC4021/ "%USERPROFILE%\AppData\Local\Temp\OnboardLogs"\RTDC4021\2017-06-08 --exclude "*" --recursive --include "*20170608*" &amp; "%USERPROFILE%\Documents\GitHub\mrs-test-scripts\Headless Mode &amp; Sideloading\WalkAndUnGZ.bat" "%USERPROFILE%\AppData\Local\Temp\OnboardLogs"\RTDC4021\2017-06-08 &amp; 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</v>
      </c>
      <c r="S22" s="87" t="str">
        <f>VLOOKUP(C22,'Train Runs'!$A$13:$AE$9934,22,0)</f>
        <v>https://d0f6bd738d7f1b3e5a7ca70fe4ff75f0.us-east-1.aws.found.io/app/kibana#/discover/Steve-Slow-Train-Analysis-(2080s-and-2083s)?_g=(refreshInterval:(display:Off,pause:!f,section:0,value:0),time:(from:'2017-06-08T15:20:03-0600',mode:absolute,to:'2017-06-08T18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2" s="89" t="str">
        <f t="shared" si="1"/>
        <v>"C:\Program Files (x86)\AstroGrep\AstroGrep.exe" /e /r /s /spath="%USERPROFILE%\AppData\Local\Temp\OnboardLogs" /stypes="*4021*201706082*" /stext=" 22:.+((SYSTEM_STATE.+slice.+state.+changed )|(ment ac)|(multiple cpu faults)|(system.+state.+changed )|(\[timeout)|(PRM\|1\|D)|(kpr)|(kdp)|(train st.+moving)|(\|lc)|(penalty))"</v>
      </c>
      <c r="U22" s="9" t="str">
        <f t="shared" si="2"/>
        <v>4021</v>
      </c>
      <c r="V22" s="31">
        <f t="shared" si="3"/>
        <v>42894.951041666667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{"issue":{"subject":"Wi-MAX data drop","project_id":79,"tracker_id":40,"status_id":1,"priority_id":2,"assigned_to_id":23,"start_date":"2017-06-08","description":"","custom_fields":[{"id":1,"name":"Subdivision","value":"EC"},{"id":4,"name":"Milepost","value":"6.4008"},{"id":17,"name":"Train ID","value":"196-08"},{"id":16,"name":"Locomotive ID","value":"4021"},{"id":130,"name":"Impact","value":""},{"id":150,"name":"Time of Event (Mountain Time)","value":"16:49:30"},{"id":151,"name":"Denver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/cygdrive/c/Users/stu/AppData/Local/Temp/OnboardLogs/RTDC4021 --include="*4021*201706082*"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"%USERPROFILE%\AppData\Local\Temp\OnboardLogs"\RTDC4021\*4021*201706082* &gt;&gt; 2017-06-08-SliceDisagreementCheck.txt</v>
      </c>
      <c r="AE22" s="148" t="str">
        <f t="shared" si="9"/>
        <v>start /low /b %USERPROFILE%\Documents\GitHub\eaglep3\Utilities\DownloadLogsFromS3.py --loco 4021 --day 2017-06-08</v>
      </c>
      <c r="AF22" s="1"/>
    </row>
    <row r="23" spans="1:32" x14ac:dyDescent="0.25">
      <c r="A23" s="31">
        <v>42894.24077546296</v>
      </c>
      <c r="B23" s="30" t="s">
        <v>520</v>
      </c>
      <c r="C23" s="30" t="s">
        <v>615</v>
      </c>
      <c r="D23" s="30" t="s">
        <v>49</v>
      </c>
      <c r="E23" s="30" t="s">
        <v>366</v>
      </c>
      <c r="F23" s="42">
        <v>0</v>
      </c>
      <c r="G23" s="42">
        <v>514</v>
      </c>
      <c r="H23" s="42">
        <v>74872</v>
      </c>
      <c r="I23" s="42">
        <v>76760</v>
      </c>
      <c r="J23" s="30" t="s">
        <v>367</v>
      </c>
      <c r="K23" s="42">
        <v>75566</v>
      </c>
      <c r="L23" s="134" t="s">
        <v>50</v>
      </c>
      <c r="M23" s="135">
        <f t="shared" si="0"/>
        <v>-630.43200000000002</v>
      </c>
      <c r="N23" s="136" t="str">
        <f>VLOOKUP(C23,'Trips&amp;Operators'!$C$1:$G$99999,5,FALSE)</f>
        <v>WILLIAMS DONTE</v>
      </c>
      <c r="O23" s="210" t="s">
        <v>417</v>
      </c>
      <c r="P23" s="137" t="s">
        <v>418</v>
      </c>
      <c r="Q23" s="30"/>
      <c r="R23" s="84" t="str">
        <f>VLOOKUP(C23,'Train Runs'!$A$13:$AE$9934,31,0)</f>
        <v>aws s3 cp s3://rtdc.mdm.uploadarchive.raw/RTDC4056/ "%USERPROFILE%\AppData\Local\Temp\OnboardLogs"\RTDC4056\2017-06-08 --exclude "*" --recursive --include "*20170608*" &amp; "%USERPROFILE%\Documents\GitHub\mrs-test-scripts\Headless Mode &amp; Sideloading\WalkAndUnGZ.bat" "%USERPROFILE%\AppData\Local\Temp\OnboardLogs"\RTDC4056\2017-06-08 &amp; aws s3 cp s3://rtdc.mdm.uploadarchive.raw/RTDC4056/ "%USERPROFILE%\AppData\Local\Temp\OnboardLogs"\RTDC4056\2017-06-09 --exclude "*" --recursive --include "*20170609*" &amp; "%USERPROFILE%\Documents\GitHub\mrs-test-scripts\Headless Mode &amp; Sideloading\WalkAndUnGZ.bat" "%USERPROFILE%\AppData\Local\Temp\OnboardLogs"\RTDC4056\2017-06-09</v>
      </c>
      <c r="S23" s="87" t="str">
        <f>VLOOKUP(C23,'Train Runs'!$A$13:$AE$9934,22,0)</f>
        <v>https://d0f6bd738d7f1b3e5a7ca70fe4ff75f0.us-east-1.aws.found.io/app/kibana#/discover/Steve-Slow-Train-Analysis-(2080s-and-2083s)?_g=(refreshInterval:(display:Off,pause:!f,section:0,value:0),time:(from:'2017-06-08T04:26:02-0600',mode:absolute,to:'2017-06-08T07:11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3" s="89" t="str">
        <f t="shared" si="1"/>
        <v>"C:\Program Files (x86)\AstroGrep\AstroGrep.exe" /e /r /s /spath="%USERPROFILE%\AppData\Local\Temp\OnboardLogs" /stypes="*4056*201706081*" /stext=" 11:.+((SYSTEM_STATE.+slice.+state.+changed )|(ment ac)|(multiple cpu faults)|(system.+state.+changed )|(\[timeout)|(PRM\|1\|D)|(kpr)|(kdp)|(train st.+moving)|(\|lc)|(penalty))"</v>
      </c>
      <c r="U23" s="9" t="str">
        <f t="shared" si="2"/>
        <v>4056</v>
      </c>
      <c r="V23" s="31">
        <f t="shared" si="3"/>
        <v>42894.49077546296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{"issue":{"subject":"Wi-MAX data drop","project_id":79,"tracker_id":40,"status_id":1,"priority_id":2,"assigned_to_id":23,"start_date":"2017-06-08","description":"","custom_fields":[{"id":1,"name":"Subdivision","value":"EC"},{"id":4,"name":"Milepost","value":"7.5566"},{"id":17,"name":"Train ID","value":"115-08"},{"id":16,"name":"Locomotive ID","value":"4056"},{"id":130,"name":"Impact","value":""},{"id":150,"name":"Time of Event (Mountain Time)","value":"05:46:43"},{"id":151,"name":"Denver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/cygdrive/c/Users/stu/AppData/Local/Temp/OnboardLogs/RTDC4056 --include="*4056*201706081*"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"%USERPROFILE%\AppData\Local\Temp\OnboardLogs"\RTDC4056\*4056*201706081* &gt;&gt; 2017-06-08-SliceDisagreementCheck.txt</v>
      </c>
      <c r="AE23" s="148" t="str">
        <f t="shared" si="9"/>
        <v>start /low /b %USERPROFILE%\Documents\GitHub\eaglep3\Utilities\DownloadLogsFromS3.py --loco 4056 --day 2017-06-08</v>
      </c>
      <c r="AF23" s="1"/>
    </row>
    <row r="24" spans="1:32" x14ac:dyDescent="0.25">
      <c r="A24" s="31">
        <v>42894.292534722219</v>
      </c>
      <c r="B24" s="30" t="s">
        <v>343</v>
      </c>
      <c r="C24" s="30" t="s">
        <v>617</v>
      </c>
      <c r="D24" s="30" t="s">
        <v>49</v>
      </c>
      <c r="E24" s="30" t="s">
        <v>366</v>
      </c>
      <c r="F24" s="42">
        <v>0</v>
      </c>
      <c r="G24" s="42">
        <v>708</v>
      </c>
      <c r="H24" s="42">
        <v>72826</v>
      </c>
      <c r="I24" s="42">
        <v>75959</v>
      </c>
      <c r="J24" s="30" t="s">
        <v>367</v>
      </c>
      <c r="K24" s="42">
        <v>75566</v>
      </c>
      <c r="L24" s="134" t="s">
        <v>50</v>
      </c>
      <c r="M24" s="135">
        <f t="shared" si="0"/>
        <v>-207.50399999999999</v>
      </c>
      <c r="N24" s="136" t="str">
        <f>VLOOKUP(C24,'Trips&amp;Operators'!$C$1:$G$99999,5,FALSE)</f>
        <v>STARKS ANGELINA</v>
      </c>
      <c r="O24" s="210" t="s">
        <v>417</v>
      </c>
      <c r="P24" s="137" t="s">
        <v>418</v>
      </c>
      <c r="Q24" s="30"/>
      <c r="R24" s="84" t="str">
        <f>VLOOKUP(C24,'Train Runs'!$A$13:$AE$9934,31,0)</f>
        <v>aws s3 cp s3://rtdc.mdm.uploadarchive.raw/RTDC4022/ "%USERPROFILE%\AppData\Local\Temp\OnboardLogs"\RTDC4022\2017-06-08 --exclude "*" --recursive --include "*20170608*" &amp; "%USERPROFILE%\Documents\GitHub\mrs-test-scripts\Headless Mode &amp; Sideloading\WalkAndUnGZ.bat" "%USERPROFILE%\AppData\Local\Temp\OnboardLogs"\RTDC4022\2017-06-08 &amp; 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</v>
      </c>
      <c r="S24" s="87" t="str">
        <f>VLOOKUP(C24,'Train Runs'!$A$13:$AE$9934,22,0)</f>
        <v>https://d0f6bd738d7f1b3e5a7ca70fe4ff75f0.us-east-1.aws.found.io/app/kibana#/discover/Steve-Slow-Train-Analysis-(2080s-and-2083s)?_g=(refreshInterval:(display:Off,pause:!f,section:0,value:0),time:(from:'2017-06-08T05:41:08-0600',mode:absolute,to:'2017-06-08T08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4" s="89" t="str">
        <f t="shared" si="1"/>
        <v>"C:\Program Files (x86)\AstroGrep\AstroGrep.exe" /e /r /s /spath="%USERPROFILE%\AppData\Local\Temp\OnboardLogs" /stypes="*4022*201706081*" /stext=" 13:.+((SYSTEM_STATE.+slice.+state.+changed )|(ment ac)|(multiple cpu faults)|(system.+state.+changed )|(\[timeout)|(PRM\|1\|D)|(kpr)|(kdp)|(train st.+moving)|(\|lc)|(penalty))"</v>
      </c>
      <c r="U24" s="9" t="str">
        <f t="shared" si="2"/>
        <v>4022</v>
      </c>
      <c r="V24" s="31">
        <f t="shared" si="3"/>
        <v>42894.542534722219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{"issue":{"subject":"Wi-MAX data drop","project_id":79,"tracker_id":40,"status_id":1,"priority_id":2,"assigned_to_id":23,"start_date":"2017-06-08","description":"","custom_fields":[{"id":1,"name":"Subdivision","value":"EC"},{"id":4,"name":"Milepost","value":"7.5566"},{"id":17,"name":"Train ID","value":"125-08"},{"id":16,"name":"Locomotive ID","value":"4022"},{"id":130,"name":"Impact","value":""},{"id":150,"name":"Time of Event (Mountain Time)","value":"07:01:15"},{"id":151,"name":"Denver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/cygdrive/c/Users/stu/AppData/Local/Temp/OnboardLogs/RTDC4022 --include="*4022*201706081*"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"%USERPROFILE%\AppData\Local\Temp\OnboardLogs"\RTDC4022\*4022*201706081* &gt;&gt; 2017-06-08-SliceDisagreementCheck.txt</v>
      </c>
      <c r="AE24" s="148" t="str">
        <f t="shared" si="9"/>
        <v>start /low /b %USERPROFILE%\Documents\GitHub\eaglep3\Utilities\DownloadLogsFromS3.py --loco 4022 --day 2017-06-08</v>
      </c>
      <c r="AF24" s="1"/>
    </row>
    <row r="25" spans="1:32" x14ac:dyDescent="0.25">
      <c r="A25" s="31">
        <v>42894.854548611111</v>
      </c>
      <c r="B25" s="30" t="s">
        <v>522</v>
      </c>
      <c r="C25" s="30" t="s">
        <v>647</v>
      </c>
      <c r="D25" s="30" t="s">
        <v>98</v>
      </c>
      <c r="E25" s="30" t="s">
        <v>366</v>
      </c>
      <c r="F25" s="42">
        <v>200</v>
      </c>
      <c r="G25" s="42">
        <v>277</v>
      </c>
      <c r="H25" s="42">
        <v>128972</v>
      </c>
      <c r="I25" s="42">
        <v>129669</v>
      </c>
      <c r="J25" s="30" t="s">
        <v>367</v>
      </c>
      <c r="K25" s="42">
        <v>126585</v>
      </c>
      <c r="L25" s="134" t="s">
        <v>50</v>
      </c>
      <c r="M25" s="135">
        <f t="shared" si="0"/>
        <v>-1628.3520000000001</v>
      </c>
      <c r="N25" s="136" t="str">
        <f>VLOOKUP(C25,'Trips&amp;Operators'!$C$1:$G$99999,5,FALSE)</f>
        <v>PERKINS DARREN</v>
      </c>
      <c r="O25" s="210" t="s">
        <v>182</v>
      </c>
      <c r="P25" s="137" t="s">
        <v>608</v>
      </c>
      <c r="Q25" s="30"/>
      <c r="R25" s="84" t="str">
        <f>VLOOKUP(C25,'Train Runs'!$A$13:$AE$9934,31,0)</f>
        <v>aws s3 cp s3://rtdc.mdm.uploadarchive.raw/RTDC4004/ "%USERPROFILE%\AppData\Local\Temp\OnboardLogs"\RTDC4004\2017-06-08 --exclude "*" --recursive --include "*20170608*" &amp; "%USERPROFILE%\Documents\GitHub\mrs-test-scripts\Headless Mode &amp; Sideloading\WalkAndUnGZ.bat" "%USERPROFILE%\AppData\Local\Temp\OnboardLogs"\RTDC4004\2017-06-08 &amp; aws s3 cp s3://rtdc.mdm.uploadarchive.raw/RTDC4004/ "%USERPROFILE%\AppData\Local\Temp\OnboardLogs"\RTDC4004\2017-06-09 --exclude "*" --recursive --include "*20170609*" &amp; "%USERPROFILE%\Documents\GitHub\mrs-test-scripts\Headless Mode &amp; Sideloading\WalkAndUnGZ.bat" "%USERPROFILE%\AppData\Local\Temp\OnboardLogs"\RTDC4004\2017-06-09</v>
      </c>
      <c r="S25" s="87" t="str">
        <f>VLOOKUP(C25,'Train Runs'!$A$13:$AE$9934,22,0)</f>
        <v>https://d0f6bd738d7f1b3e5a7ca70fe4ff75f0.us-east-1.aws.found.io/app/kibana#/discover/Steve-Slow-Train-Analysis-(2080s-and-2083s)?_g=(refreshInterval:(display:Off,pause:!f,section:0,value:0),time:(from:'2017-06-08T19:28:30-0600',mode:absolute,to:'2017-06-08T21:47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5" s="89" t="str">
        <f t="shared" si="1"/>
        <v>"C:\Program Files (x86)\AstroGrep\AstroGrep.exe" /e /r /s /spath="%USERPROFILE%\AppData\Local\Temp\OnboardLogs" /stypes="*4004*201706090*" /stext=" 02:.+((SYSTEM_STATE.+slice.+state.+changed )|(ment ac)|(multiple cpu faults)|(system.+state.+changed )|(\[timeout)|(PRM\|1\|D)|(kpr)|(kdp)|(train st.+moving)|(\|lc)|(penalty))"</v>
      </c>
      <c r="U25" s="9" t="str">
        <f t="shared" si="2"/>
        <v>4004</v>
      </c>
      <c r="V25" s="31">
        <f t="shared" si="3"/>
        <v>42895.104548611111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Overspeed","project_id":79,"tracker_id":40,"status_id":1,"priority_id":2,"assigned_to_id":23,"start_date":"2017-06-08","description":"","custom_fields":[{"id":1,"name":"Subdivision","value":"EC"},{"id":4,"name":"Milepost","value":"12.6585"},{"id":17,"name":"Train ID","value":"225-08"},{"id":16,"name":"Locomotive ID","value":"4004"},{"id":130,"name":"Impact","value":""},{"id":150,"name":"Time of Event (Mountain Time)","value":"20:30:33"},{"id":151,"name":"Denver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/cygdrive/c/Users/stu/AppData/Local/Temp/OnboardLogs/RTDC4004 --include="*4004*201706090*"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"%USERPROFILE%\AppData\Local\Temp\OnboardLogs"\RTDC4004\*4004*201706090* &gt;&gt; 2017-06-08-SliceDisagreementCheck.txt</v>
      </c>
      <c r="AE25" s="148" t="str">
        <f t="shared" si="9"/>
        <v>start /low /b %USERPROFILE%\Documents\GitHub\eaglep3\Utilities\DownloadLogsFromS3.py --loco 4004 --day 2017-06-09</v>
      </c>
      <c r="AF25" s="1"/>
    </row>
    <row r="26" spans="1:32" x14ac:dyDescent="0.25">
      <c r="A26" s="31">
        <v>42894.586805555555</v>
      </c>
      <c r="B26" s="30" t="s">
        <v>519</v>
      </c>
      <c r="C26" s="30" t="s">
        <v>628</v>
      </c>
      <c r="D26" s="30" t="s">
        <v>98</v>
      </c>
      <c r="E26" s="30" t="s">
        <v>422</v>
      </c>
      <c r="F26" s="42">
        <v>0</v>
      </c>
      <c r="G26" s="42">
        <v>150</v>
      </c>
      <c r="H26" s="42">
        <v>2479</v>
      </c>
      <c r="I26" s="42">
        <v>2245</v>
      </c>
      <c r="J26" s="30" t="s">
        <v>419</v>
      </c>
      <c r="K26" s="42">
        <v>2822</v>
      </c>
      <c r="L26" s="134" t="s">
        <v>51</v>
      </c>
      <c r="M26" s="135">
        <f t="shared" si="0"/>
        <v>-304.65600000000001</v>
      </c>
      <c r="N26" s="136" t="str">
        <f>VLOOKUP(C26,'Trips&amp;Operators'!$C$1:$G$99999,5,FALSE)</f>
        <v>MOSES BRADLEY</v>
      </c>
      <c r="O26" s="210" t="s">
        <v>417</v>
      </c>
      <c r="P26" s="137" t="s">
        <v>418</v>
      </c>
      <c r="Q26" s="30"/>
      <c r="R26" s="84" t="str">
        <f>VLOOKUP(C26,'Train Runs'!$A$13:$AE$9934,31,0)</f>
        <v>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 &amp; aws s3 cp s3://rtdc.mdm.uploadarchive.raw/RTDC4055/ "%USERPROFILE%\AppData\Local\Temp\OnboardLogs"\RTDC4055\2017-06-09 --exclude "*" --recursive --include "*20170609*" &amp; "%USERPROFILE%\Documents\GitHub\mrs-test-scripts\Headless Mode &amp; Sideloading\WalkAndUnGZ.bat" "%USERPROFILE%\AppData\Local\Temp\OnboardLogs"\RTDC4055\2017-06-09</v>
      </c>
      <c r="S26" s="87" t="str">
        <f>VLOOKUP(C26,'Train Runs'!$A$13:$AE$9934,22,0)</f>
        <v>https://d0f6bd738d7f1b3e5a7ca70fe4ff75f0.us-east-1.aws.found.io/app/kibana#/discover/Steve-Slow-Train-Analysis-(2080s-and-2083s)?_g=(refreshInterval:(display:Off,pause:!f,section:0,value:0),time:(from:'2017-06-08T12:21:02-0600',mode:absolute,to:'2017-06-08T15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6" s="89" t="str">
        <f t="shared" si="1"/>
        <v>"C:\Program Files (x86)\AstroGrep\AstroGrep.exe" /e /r /s /spath="%USERPROFILE%\AppData\Local\Temp\OnboardLogs" /stypes="*4055*201706082*"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4055</v>
      </c>
      <c r="V26" s="31">
        <f t="shared" si="3"/>
        <v>42894.836805555555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{"issue":{"subject":"Wi-MAX data drop","project_id":79,"tracker_id":40,"status_id":1,"priority_id":2,"assigned_to_id":23,"start_date":"2017-06-08","description":"","custom_fields":[{"id":1,"name":"Subdivision","value":"EC"},{"id":4,"name":"Milepost","value":"0.2822"},{"id":17,"name":"Train ID","value":"172-08"},{"id":16,"name":"Locomotive ID","value":"4055"},{"id":130,"name":"Impact","value":""},{"id":150,"name":"Time of Event (Mountain Time)","value":"14:05:00"},{"id":151,"name":"Denver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/cygdrive/c/Users/stu/AppData/Local/Temp/OnboardLogs/RTDC4055 --include="*4055*201706082*"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"%USERPROFILE%\AppData\Local\Temp\OnboardLogs"\RTDC4055\*4055*201706082* &gt;&gt; 2017-06-08-SliceDisagreementCheck.txt</v>
      </c>
      <c r="AE26" s="148" t="str">
        <f t="shared" si="9"/>
        <v>start /low /b %USERPROFILE%\Documents\GitHub\eaglep3\Utilities\DownloadLogsFromS3.py --loco 4055 --day 2017-06-08</v>
      </c>
      <c r="AF26" s="1"/>
    </row>
    <row r="27" spans="1:32" x14ac:dyDescent="0.25">
      <c r="A27" s="31">
        <v>42894.321481481478</v>
      </c>
      <c r="B27" s="30" t="s">
        <v>618</v>
      </c>
      <c r="C27" s="30" t="s">
        <v>619</v>
      </c>
      <c r="D27" s="30" t="s">
        <v>49</v>
      </c>
      <c r="E27" s="30" t="s">
        <v>422</v>
      </c>
      <c r="F27" s="42">
        <v>0</v>
      </c>
      <c r="G27" s="42">
        <v>521</v>
      </c>
      <c r="H27" s="42">
        <v>55030</v>
      </c>
      <c r="I27" s="42">
        <v>56948</v>
      </c>
      <c r="J27" s="30" t="s">
        <v>419</v>
      </c>
      <c r="K27" s="42">
        <v>56976</v>
      </c>
      <c r="L27" s="134" t="s">
        <v>50</v>
      </c>
      <c r="M27" s="135">
        <f t="shared" si="0"/>
        <v>14.784000000000001</v>
      </c>
      <c r="N27" s="136" t="str">
        <f>VLOOKUP(C27,'Trips&amp;Operators'!$C$1:$G$99999,5,FALSE)</f>
        <v>HELVIE ADAM</v>
      </c>
      <c r="O27" s="210" t="s">
        <v>417</v>
      </c>
      <c r="P27" s="137" t="s">
        <v>418</v>
      </c>
      <c r="Q27" s="30"/>
      <c r="R27" s="84" t="str">
        <f>VLOOKUP(C27,'Train Runs'!$A$13:$AE$9934,31,0)</f>
        <v>aws s3 cp s3://rtdc.mdm.uploadarchive.raw/RTDC4026/ "%USERPROFILE%\AppData\Local\Temp\OnboardLogs"\RTDC4026\2017-06-08 --exclude "*" --recursive --include "*20170608*" &amp; "%USERPROFILE%\Documents\GitHub\mrs-test-scripts\Headless Mode &amp; Sideloading\WalkAndUnGZ.bat" "%USERPROFILE%\AppData\Local\Temp\OnboardLogs"\RTDC4026\2017-06-08 &amp; aws s3 cp s3://rtdc.mdm.uploadarchive.raw/RTDC4026/ "%USERPROFILE%\AppData\Local\Temp\OnboardLogs"\RTDC4026\2017-06-09 --exclude "*" --recursive --include "*20170609*" &amp; "%USERPROFILE%\Documents\GitHub\mrs-test-scripts\Headless Mode &amp; Sideloading\WalkAndUnGZ.bat" "%USERPROFILE%\AppData\Local\Temp\OnboardLogs"\RTDC4026\2017-06-09</v>
      </c>
      <c r="S27" s="87" t="str">
        <f>VLOOKUP(C27,'Train Runs'!$A$13:$AE$9934,22,0)</f>
        <v>https://d0f6bd738d7f1b3e5a7ca70fe4ff75f0.us-east-1.aws.found.io/app/kibana#/discover/Steve-Slow-Train-Analysis-(2080s-and-2083s)?_g=(refreshInterval:(display:Off,pause:!f,section:0,value:0),time:(from:'2017-06-08T06:28:34-0600',mode:absolute,to:'2017-06-08T09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7" s="89" t="str">
        <f t="shared" si="1"/>
        <v>"C:\Program Files (x86)\AstroGrep\AstroGrep.exe" /e /r /s /spath="%USERPROFILE%\AppData\Local\Temp\OnboardLogs" /stypes="*4026*201706081*" /stext=" 13:.+((SYSTEM_STATE.+slice.+state.+changed )|(ment ac)|(multiple cpu faults)|(system.+state.+changed )|(\[timeout)|(PRM\|1\|D)|(kpr)|(kdp)|(train st.+moving)|(\|lc)|(penalty))"</v>
      </c>
      <c r="U27" s="9" t="str">
        <f t="shared" si="2"/>
        <v>4026</v>
      </c>
      <c r="V27" s="31">
        <f t="shared" si="3"/>
        <v>42894.571481481478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{"issue":{"subject":"Wi-MAX data drop","project_id":79,"tracker_id":40,"status_id":1,"priority_id":2,"assigned_to_id":23,"start_date":"2017-06-08","description":"","custom_fields":[{"id":1,"name":"Subdivision","value":"EC"},{"id":4,"name":"Milepost","value":"5.6976"},{"id":17,"name":"Train ID","value":"131-08"},{"id":16,"name":"Locomotive ID","value":"4026"},{"id":130,"name":"Impact","value":""},{"id":150,"name":"Time of Event (Mountain Time)","value":"07:42:56"},{"id":151,"name":"Denver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/cygdrive/c/Users/stu/AppData/Local/Temp/OnboardLogs/RTDC4026 --include="*4026*201706081*"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"%USERPROFILE%\AppData\Local\Temp\OnboardLogs"\RTDC4026\*4026*201706081* &gt;&gt; 2017-06-08-SliceDisagreementCheck.txt</v>
      </c>
      <c r="AE27" s="148" t="str">
        <f t="shared" si="9"/>
        <v>start /low /b %USERPROFILE%\Documents\GitHub\eaglep3\Utilities\DownloadLogsFromS3.py --loco 4026 --day 2017-06-08</v>
      </c>
      <c r="AF27" s="1"/>
    </row>
    <row r="28" spans="1:32" x14ac:dyDescent="0.25">
      <c r="A28" s="31">
        <v>42894.3518287037</v>
      </c>
      <c r="B28" s="30" t="s">
        <v>371</v>
      </c>
      <c r="C28" s="30" t="s">
        <v>622</v>
      </c>
      <c r="D28" s="30" t="s">
        <v>49</v>
      </c>
      <c r="E28" s="30" t="s">
        <v>183</v>
      </c>
      <c r="F28" s="42">
        <v>0</v>
      </c>
      <c r="G28" s="42">
        <v>36</v>
      </c>
      <c r="H28" s="42">
        <v>136</v>
      </c>
      <c r="I28" s="42">
        <v>112</v>
      </c>
      <c r="J28" s="30" t="s">
        <v>184</v>
      </c>
      <c r="K28" s="42">
        <v>1</v>
      </c>
      <c r="L28" s="134" t="s">
        <v>51</v>
      </c>
      <c r="M28" s="135">
        <f t="shared" si="0"/>
        <v>58.607999999999997</v>
      </c>
      <c r="N28" s="136" t="str">
        <f>VLOOKUP(C28,'Trips&amp;Operators'!$C$1:$G$99999,5,FALSE)</f>
        <v>STARKS ANGELINA</v>
      </c>
      <c r="O28" s="210" t="s">
        <v>182</v>
      </c>
      <c r="P28" s="137"/>
      <c r="Q28" s="30"/>
      <c r="R28" s="84" t="str">
        <f>VLOOKUP(C28,'Train Runs'!$A$13:$AE$9934,31,0)</f>
        <v>aws s3 cp s3://rtdc.mdm.uploadarchive.raw/RTDC4021/ "%USERPROFILE%\AppData\Local\Temp\OnboardLogs"\RTDC4021\2017-06-08 --exclude "*" --recursive --include "*20170608*" &amp; "%USERPROFILE%\Documents\GitHub\mrs-test-scripts\Headless Mode &amp; Sideloading\WalkAndUnGZ.bat" "%USERPROFILE%\AppData\Local\Temp\OnboardLogs"\RTDC4021\2017-06-08 &amp; 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</v>
      </c>
      <c r="S28" s="87" t="str">
        <f>VLOOKUP(C28,'Train Runs'!$A$13:$AE$9934,22,0)</f>
        <v>https://d0f6bd738d7f1b3e5a7ca70fe4ff75f0.us-east-1.aws.found.io/app/kibana#/discover/Steve-Slow-Train-Analysis-(2080s-and-2083s)?_g=(refreshInterval:(display:Off,pause:!f,section:0,value:0),time:(from:'2017-06-08T06:33:57-0600',mode:absolute,to:'2017-06-08T09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8" s="89" t="str">
        <f t="shared" si="1"/>
        <v>"C:\Program Files (x86)\AstroGrep\AstroGrep.exe" /e /r /s /spath="%USERPROFILE%\AppData\Local\Temp\OnboardLogs" /stypes="*4021*201706081*" /stext=" 14:.+((SYSTEM_STATE.+slice.+state.+changed )|(ment ac)|(multiple cpu faults)|(system.+state.+changed )|(\[timeout)|(PRM\|1\|D)|(kpr)|(kdp)|(train st.+moving)|(\|lc)|(penalty))"</v>
      </c>
      <c r="U28" s="9" t="str">
        <f t="shared" si="2"/>
        <v>4021</v>
      </c>
      <c r="V28" s="31">
        <f t="shared" si="3"/>
        <v>42894.6018287037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{"issue":{"subject":"","project_id":79,"tracker_id":40,"status_id":1,"priority_id":2,"assigned_to_id":23,"start_date":"2017-06-08","description":"","custom_fields":[{"id":1,"name":"Subdivision","value":"EC"},{"id":4,"name":"Milepost","value":"0.0001"},{"id":17,"name":"Train ID","value":"126-08"},{"id":16,"name":"Locomotive ID","value":"4021"},{"id":130,"name":"Impact","value":""},{"id":150,"name":"Time of Event (Mountain Time)","value":"08:26:38"},{"id":151,"name":"Denver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/cygdrive/c/Users/stu/AppData/Local/Temp/OnboardLogs/RTDC4021 --include="*4021*201706081*"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"%USERPROFILE%\AppData\Local\Temp\OnboardLogs"\RTDC4021\*4021*201706081* &gt;&gt; 2017-06-08-SliceDisagreementCheck.txt</v>
      </c>
      <c r="AE28" s="148" t="str">
        <f t="shared" si="9"/>
        <v>start /low /b %USERPROFILE%\Documents\GitHub\eaglep3\Utilities\DownloadLogsFromS3.py --loco 4021 --day 2017-06-08</v>
      </c>
      <c r="AF28" s="1"/>
    </row>
    <row r="29" spans="1:32" x14ac:dyDescent="0.25">
      <c r="A29" s="31">
        <v>42894.732893518521</v>
      </c>
      <c r="B29" s="30" t="s">
        <v>519</v>
      </c>
      <c r="C29" s="30" t="s">
        <v>639</v>
      </c>
      <c r="D29" s="30" t="s">
        <v>49</v>
      </c>
      <c r="E29" s="30" t="s">
        <v>183</v>
      </c>
      <c r="F29" s="42">
        <v>0</v>
      </c>
      <c r="G29" s="42">
        <v>70</v>
      </c>
      <c r="H29" s="42">
        <v>240</v>
      </c>
      <c r="I29" s="42">
        <v>165</v>
      </c>
      <c r="J29" s="30" t="s">
        <v>184</v>
      </c>
      <c r="K29" s="42">
        <v>1</v>
      </c>
      <c r="L29" s="134" t="s">
        <v>51</v>
      </c>
      <c r="M29" s="135">
        <f t="shared" si="0"/>
        <v>86.592000000000013</v>
      </c>
      <c r="N29" s="136" t="str">
        <f>VLOOKUP(C29,'Trips&amp;Operators'!$C$1:$G$99999,5,FALSE)</f>
        <v>COOLAHAN JOHN</v>
      </c>
      <c r="O29" s="210" t="s">
        <v>182</v>
      </c>
      <c r="P29" s="137"/>
      <c r="Q29" s="30"/>
      <c r="R29" s="84" t="str">
        <f>VLOOKUP(C29,'Train Runs'!$A$13:$AE$9934,31,0)</f>
        <v>aws s3 cp s3://rtdc.mdm.uploadarchive.raw/RTDC4055/ "%USERPROFILE%\AppData\Local\Temp\OnboardLogs"\RTDC4055\2017-06-08 --exclude "*" --recursive --include "*20170608*" &amp; "%USERPROFILE%\Documents\GitHub\mrs-test-scripts\Headless Mode &amp; Sideloading\WalkAndUnGZ.bat" "%USERPROFILE%\AppData\Local\Temp\OnboardLogs"\RTDC4055\2017-06-08 &amp; aws s3 cp s3://rtdc.mdm.uploadarchive.raw/RTDC4055/ "%USERPROFILE%\AppData\Local\Temp\OnboardLogs"\RTDC4055\2017-06-09 --exclude "*" --recursive --include "*20170609*" &amp; "%USERPROFILE%\Documents\GitHub\mrs-test-scripts\Headless Mode &amp; Sideloading\WalkAndUnGZ.bat" "%USERPROFILE%\AppData\Local\Temp\OnboardLogs"\RTDC4055\2017-06-09</v>
      </c>
      <c r="S29" s="87" t="str">
        <f>VLOOKUP(C29,'Train Runs'!$A$13:$AE$9934,22,0)</f>
        <v>https://d0f6bd738d7f1b3e5a7ca70fe4ff75f0.us-east-1.aws.found.io/app/kibana#/discover/Steve-Slow-Train-Analysis-(2080s-and-2083s)?_g=(refreshInterval:(display:Off,pause:!f,section:0,value:0),time:(from:'2017-06-08T15:51:43-0600',mode:absolute,to:'2017-06-08T18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9" s="89" t="str">
        <f t="shared" si="1"/>
        <v>"C:\Program Files (x86)\AstroGrep\AstroGrep.exe" /e /r /s /spath="%USERPROFILE%\AppData\Local\Temp\OnboardLogs" /stypes="*4055*201706082*" /stext=" 23:.+((SYSTEM_STATE.+slice.+state.+changed )|(ment ac)|(multiple cpu faults)|(system.+state.+changed )|(\[timeout)|(PRM\|1\|D)|(kpr)|(kdp)|(train st.+moving)|(\|lc)|(penalty))"</v>
      </c>
      <c r="U29" s="9" t="str">
        <f t="shared" si="2"/>
        <v>4055</v>
      </c>
      <c r="V29" s="31">
        <f t="shared" si="3"/>
        <v>42894.982893518521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{"issue":{"subject":"","project_id":79,"tracker_id":40,"status_id":1,"priority_id":2,"assigned_to_id":23,"start_date":"2017-06-08","description":"","custom_fields":[{"id":1,"name":"Subdivision","value":"EC"},{"id":4,"name":"Milepost","value":"0.0001"},{"id":17,"name":"Train ID","value":"200-08"},{"id":16,"name":"Locomotive ID","value":"4055"},{"id":130,"name":"Impact","value":""},{"id":150,"name":"Time of Event (Mountain Time)","value":"17:35:22"},{"id":151,"name":"Denver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/cygdrive/c/Users/stu/AppData/Local/Temp/OnboardLogs/RTDC4055 --include="*4055*201706082*"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"%USERPROFILE%\AppData\Local\Temp\OnboardLogs"\RTDC4055\*4055*201706082* &gt;&gt; 2017-06-08-SliceDisagreementCheck.txt</v>
      </c>
      <c r="AE29" s="148" t="str">
        <f t="shared" si="9"/>
        <v>start /low /b %USERPROFILE%\Documents\GitHub\eaglep3\Utilities\DownloadLogsFromS3.py --loco 4055 --day 2017-06-08</v>
      </c>
      <c r="AF29" s="1"/>
    </row>
    <row r="30" spans="1:32" x14ac:dyDescent="0.25">
      <c r="A30" s="31">
        <v>42894.743287037039</v>
      </c>
      <c r="B30" s="30" t="s">
        <v>640</v>
      </c>
      <c r="C30" s="30" t="s">
        <v>641</v>
      </c>
      <c r="D30" s="30" t="s">
        <v>49</v>
      </c>
      <c r="E30" s="30" t="s">
        <v>183</v>
      </c>
      <c r="F30" s="42">
        <v>0</v>
      </c>
      <c r="G30" s="42">
        <v>67</v>
      </c>
      <c r="H30" s="42">
        <v>260</v>
      </c>
      <c r="I30" s="42">
        <v>156</v>
      </c>
      <c r="J30" s="30" t="s">
        <v>184</v>
      </c>
      <c r="K30" s="42">
        <v>1</v>
      </c>
      <c r="L30" s="134" t="s">
        <v>51</v>
      </c>
      <c r="M30" s="135">
        <f t="shared" si="0"/>
        <v>81.84</v>
      </c>
      <c r="N30" s="136" t="str">
        <f>VLOOKUP(C30,'Trips&amp;Operators'!$C$1:$G$99999,5,FALSE)</f>
        <v>HOLCOMB KAMDEN</v>
      </c>
      <c r="O30" s="210" t="s">
        <v>182</v>
      </c>
      <c r="P30" s="137"/>
      <c r="Q30" s="30"/>
      <c r="R30" s="84" t="str">
        <f>VLOOKUP(C30,'Train Runs'!$A$13:$AE$9934,31,0)</f>
        <v>aws s3 cp s3://rtdc.mdm.uploadarchive.raw/RTDC4025/ "%USERPROFILE%\AppData\Local\Temp\OnboardLogs"\RTDC4025\2017-06-08 --exclude "*" --recursive --include "*20170608*" &amp; "%USERPROFILE%\Documents\GitHub\mrs-test-scripts\Headless Mode &amp; Sideloading\WalkAndUnGZ.bat" "%USERPROFILE%\AppData\Local\Temp\OnboardLogs"\RTDC4025\2017-06-08 &amp; aws s3 cp s3://rtdc.mdm.uploadarchive.raw/RTDC4025/ "%USERPROFILE%\AppData\Local\Temp\OnboardLogs"\RTDC4025\2017-06-09 --exclude "*" --recursive --include "*20170609*" &amp; "%USERPROFILE%\Documents\GitHub\mrs-test-scripts\Headless Mode &amp; Sideloading\WalkAndUnGZ.bat" "%USERPROFILE%\AppData\Local\Temp\OnboardLogs"\RTDC4025\2017-06-09</v>
      </c>
      <c r="S30" s="87" t="str">
        <f>VLOOKUP(C30,'Train Runs'!$A$13:$AE$9934,22,0)</f>
        <v>https://d0f6bd738d7f1b3e5a7ca70fe4ff75f0.us-east-1.aws.found.io/app/kibana#/discover/Steve-Slow-Train-Analysis-(2080s-and-2083s)?_g=(refreshInterval:(display:Off,pause:!f,section:0,value:0),time:(from:'2017-06-08T16:08:59-0600',mode:absolute,to:'2017-06-08T18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0" s="89" t="str">
        <f t="shared" si="1"/>
        <v>"C:\Program Files (x86)\AstroGrep\AstroGrep.exe" /e /r /s /spath="%USERPROFILE%\AppData\Local\Temp\OnboardLogs" /stypes="*4025*201706082*" /stext=" 23:.+((SYSTEM_STATE.+slice.+state.+changed )|(ment ac)|(multiple cpu faults)|(system.+state.+changed )|(\[timeout)|(PRM\|1\|D)|(kpr)|(kdp)|(train st.+moving)|(\|lc)|(penalty))"</v>
      </c>
      <c r="U30" s="9" t="str">
        <f t="shared" si="2"/>
        <v>4025</v>
      </c>
      <c r="V30" s="31">
        <f t="shared" si="3"/>
        <v>42894.993287037039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{"issue":{"subject":"","project_id":79,"tracker_id":40,"status_id":1,"priority_id":2,"assigned_to_id":23,"start_date":"2017-06-08","description":"","custom_fields":[{"id":1,"name":"Subdivision","value":"EC"},{"id":4,"name":"Milepost","value":"0.0001"},{"id":17,"name":"Train ID","value":"202-08"},{"id":16,"name":"Locomotive ID","value":"4025"},{"id":130,"name":"Impact","value":""},{"id":150,"name":"Time of Event (Mountain Time)","value":"17:50:20"},{"id":151,"name":"Denver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/cygdrive/c/Users/stu/AppData/Local/Temp/OnboardLogs/RTDC4025 --include="*4025*201706082*"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"%USERPROFILE%\AppData\Local\Temp\OnboardLogs"\RTDC4025\*4025*201706082* &gt;&gt; 2017-06-08-SliceDisagreementCheck.txt</v>
      </c>
      <c r="AE30" s="148" t="str">
        <f t="shared" si="9"/>
        <v>start /low /b %USERPROFILE%\Documents\GitHub\eaglep3\Utilities\DownloadLogsFromS3.py --loco 4025 --day 2017-06-08</v>
      </c>
      <c r="AF30" s="1"/>
    </row>
    <row r="31" spans="1:32" x14ac:dyDescent="0.25">
      <c r="A31" s="31">
        <v>42894.795925925922</v>
      </c>
      <c r="B31" s="30" t="s">
        <v>434</v>
      </c>
      <c r="C31" s="30" t="s">
        <v>643</v>
      </c>
      <c r="D31" s="30" t="s">
        <v>49</v>
      </c>
      <c r="E31" s="30" t="s">
        <v>183</v>
      </c>
      <c r="F31" s="42">
        <v>0</v>
      </c>
      <c r="G31" s="42">
        <v>68</v>
      </c>
      <c r="H31" s="42">
        <v>218</v>
      </c>
      <c r="I31" s="42">
        <v>169</v>
      </c>
      <c r="J31" s="30" t="s">
        <v>184</v>
      </c>
      <c r="K31" s="42">
        <v>1</v>
      </c>
      <c r="L31" s="134" t="s">
        <v>51</v>
      </c>
      <c r="M31" s="135">
        <f t="shared" si="0"/>
        <v>88.703999999999994</v>
      </c>
      <c r="N31" s="136" t="str">
        <f>VLOOKUP(C31,'Trips&amp;Operators'!$C$1:$G$99999,5,FALSE)</f>
        <v>BERLING GARY</v>
      </c>
      <c r="O31" s="210" t="s">
        <v>182</v>
      </c>
      <c r="P31" s="137"/>
      <c r="Q31" s="30"/>
      <c r="R31" s="84" t="str">
        <f>VLOOKUP(C31,'Train Runs'!$A$13:$AE$9934,31,0)</f>
        <v>aws s3 cp s3://rtdc.mdm.uploadarchive.raw/RTDC4043/ "%USERPROFILE%\AppData\Local\Temp\OnboardLogs"\RTDC4043\2017-06-08 --exclude "*" --recursive --include "*20170608*" &amp; "%USERPROFILE%\Documents\GitHub\mrs-test-scripts\Headless Mode &amp; Sideloading\WalkAndUnGZ.bat" "%USERPROFILE%\AppData\Local\Temp\OnboardLogs"\RTDC4043\2017-06-08 &amp; aws s3 cp s3://rtdc.mdm.uploadarchive.raw/RTDC4043/ "%USERPROFILE%\AppData\Local\Temp\OnboardLogs"\RTDC4043\2017-06-09 --exclude "*" --recursive --include "*20170609*" &amp; "%USERPROFILE%\Documents\GitHub\mrs-test-scripts\Headless Mode &amp; Sideloading\WalkAndUnGZ.bat" "%USERPROFILE%\AppData\Local\Temp\OnboardLogs"\RTDC4043\2017-06-09</v>
      </c>
      <c r="S31" s="87" t="str">
        <f>VLOOKUP(C31,'Train Runs'!$A$13:$AE$9934,22,0)</f>
        <v>https://d0f6bd738d7f1b3e5a7ca70fe4ff75f0.us-east-1.aws.found.io/app/kibana#/discover/Steve-Slow-Train-Analysis-(2080s-and-2083s)?_g=(refreshInterval:(display:Off,pause:!f,section:0,value:0),time:(from:'2017-06-08T17:19:12-0600',mode:absolute,to:'2017-06-08T20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1" s="89" t="str">
        <f t="shared" si="1"/>
        <v>"C:\Program Files (x86)\AstroGrep\AstroGrep.exe" /e /r /s /spath="%USERPROFILE%\AppData\Local\Temp\OnboardLogs" /stypes="*4043*201706090*" /stext=" 01:.+((SYSTEM_STATE.+slice.+state.+changed )|(ment ac)|(multiple cpu faults)|(system.+state.+changed )|(\[timeout)|(PRM\|1\|D)|(kpr)|(kdp)|(train st.+moving)|(\|lc)|(penalty))"</v>
      </c>
      <c r="U31" s="9" t="str">
        <f t="shared" si="2"/>
        <v>4043</v>
      </c>
      <c r="V31" s="31">
        <f t="shared" si="3"/>
        <v>42895.045925925922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{"issue":{"subject":"","project_id":79,"tracker_id":40,"status_id":1,"priority_id":2,"assigned_to_id":23,"start_date":"2017-06-08","description":"","custom_fields":[{"id":1,"name":"Subdivision","value":"EC"},{"id":4,"name":"Milepost","value":"0.0001"},{"id":17,"name":"Train ID","value":"212-08"},{"id":16,"name":"Locomotive ID","value":"4043"},{"id":130,"name":"Impact","value":""},{"id":150,"name":"Time of Event (Mountain Time)","value":"19:06:08"},{"id":151,"name":"Denver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/cygdrive/c/Users/stu/AppData/Local/Temp/OnboardLogs/RTDC4043 --include="*4043*201706090*"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"%USERPROFILE%\AppData\Local\Temp\OnboardLogs"\RTDC4043\*4043*201706090* &gt;&gt; 2017-06-08-SliceDisagreementCheck.txt</v>
      </c>
      <c r="AE31" s="148" t="str">
        <f t="shared" si="9"/>
        <v>start /low /b %USERPROFILE%\Documents\GitHub\eaglep3\Utilities\DownloadLogsFromS3.py --loco 4043 --day 2017-06-09</v>
      </c>
      <c r="AF31" s="1"/>
    </row>
    <row r="32" spans="1:32" x14ac:dyDescent="0.25">
      <c r="A32" s="31">
        <v>42894.62909722222</v>
      </c>
      <c r="B32" s="30" t="s">
        <v>618</v>
      </c>
      <c r="C32" s="30" t="s">
        <v>631</v>
      </c>
      <c r="D32" s="30" t="s">
        <v>49</v>
      </c>
      <c r="E32" s="30" t="s">
        <v>183</v>
      </c>
      <c r="F32" s="42">
        <v>0</v>
      </c>
      <c r="G32" s="42">
        <v>62</v>
      </c>
      <c r="H32" s="42">
        <v>233236</v>
      </c>
      <c r="I32" s="42">
        <v>233329</v>
      </c>
      <c r="J32" s="30" t="s">
        <v>184</v>
      </c>
      <c r="K32" s="42">
        <v>233491</v>
      </c>
      <c r="L32" s="134" t="s">
        <v>50</v>
      </c>
      <c r="M32" s="135">
        <f t="shared" si="0"/>
        <v>85.536000000000001</v>
      </c>
      <c r="N32" s="136" t="str">
        <f>VLOOKUP(C32,'Trips&amp;Operators'!$C$1:$G$99999,5,FALSE)</f>
        <v>HOLCOMB KAMDEN</v>
      </c>
      <c r="O32" s="210" t="s">
        <v>182</v>
      </c>
      <c r="P32" s="137"/>
      <c r="Q32" s="30"/>
      <c r="R32" s="84" t="str">
        <f>VLOOKUP(C32,'Train Runs'!$A$13:$AE$9934,31,0)</f>
        <v>aws s3 cp s3://rtdc.mdm.uploadarchive.raw/RTDC4026/ "%USERPROFILE%\AppData\Local\Temp\OnboardLogs"\RTDC4026\2017-06-08 --exclude "*" --recursive --include "*20170608*" &amp; "%USERPROFILE%\Documents\GitHub\mrs-test-scripts\Headless Mode &amp; Sideloading\WalkAndUnGZ.bat" "%USERPROFILE%\AppData\Local\Temp\OnboardLogs"\RTDC4026\2017-06-08 &amp; aws s3 cp s3://rtdc.mdm.uploadarchive.raw/RTDC4026/ "%USERPROFILE%\AppData\Local\Temp\OnboardLogs"\RTDC4026\2017-06-09 --exclude "*" --recursive --include "*20170609*" &amp; "%USERPROFILE%\Documents\GitHub\mrs-test-scripts\Headless Mode &amp; Sideloading\WalkAndUnGZ.bat" "%USERPROFILE%\AppData\Local\Temp\OnboardLogs"\RTDC4026\2017-06-09</v>
      </c>
      <c r="S32" s="87" t="str">
        <f>VLOOKUP(C32,'Train Runs'!$A$13:$AE$9934,22,0)</f>
        <v>https://d0f6bd738d7f1b3e5a7ca70fe4ff75f0.us-east-1.aws.found.io/app/kibana#/discover/Steve-Slow-Train-Analysis-(2080s-and-2083s)?_g=(refreshInterval:(display:Off,pause:!f,section:0,value:0),time:(from:'2017-06-08T13:23:41-0600',mode:absolute,to:'2017-06-08T16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2" s="89" t="str">
        <f t="shared" si="1"/>
        <v>"C:\Program Files (x86)\AstroGrep\AstroGrep.exe" /e /r /s /spath="%USERPROFILE%\AppData\Local\Temp\OnboardLogs" /stypes="*4026*201706082*" /stext=" 21:.+((SYSTEM_STATE.+slice.+state.+changed )|(ment ac)|(multiple cpu faults)|(system.+state.+changed )|(\[timeout)|(PRM\|1\|D)|(kpr)|(kdp)|(train st.+moving)|(\|lc)|(penalty))"</v>
      </c>
      <c r="U32" s="9" t="str">
        <f t="shared" si="2"/>
        <v>4026</v>
      </c>
      <c r="V32" s="31">
        <f t="shared" si="3"/>
        <v>42894.87909722222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{"issue":{"subject":"","project_id":79,"tracker_id":40,"status_id":1,"priority_id":2,"assigned_to_id":23,"start_date":"2017-06-08","description":"","custom_fields":[{"id":1,"name":"Subdivision","value":"EC"},{"id":4,"name":"Milepost","value":"23.3491"},{"id":17,"name":"Train ID","value":"187-08"},{"id":16,"name":"Locomotive ID","value":"4026"},{"id":130,"name":"Impact","value":""},{"id":150,"name":"Time of Event (Mountain Time)","value":"15:05:54"},{"id":151,"name":"Denver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/cygdrive/c/Users/stu/AppData/Local/Temp/OnboardLogs/RTDC4026 --include="*4026*201706082*"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"%USERPROFILE%\AppData\Local\Temp\OnboardLogs"\RTDC4026\*4026*201706082* &gt;&gt; 2017-06-08-SliceDisagreementCheck.txt</v>
      </c>
      <c r="AE32" s="148" t="str">
        <f t="shared" si="9"/>
        <v>start /low /b %USERPROFILE%\Documents\GitHub\eaglep3\Utilities\DownloadLogsFromS3.py --loco 4026 --day 2017-06-08</v>
      </c>
      <c r="AF32" s="1"/>
    </row>
    <row r="33" spans="1:32" x14ac:dyDescent="0.25">
      <c r="A33" s="31">
        <v>42894.902766203704</v>
      </c>
      <c r="B33" s="30" t="s">
        <v>343</v>
      </c>
      <c r="C33" s="30" t="s">
        <v>648</v>
      </c>
      <c r="D33" s="30" t="s">
        <v>49</v>
      </c>
      <c r="E33" s="30" t="s">
        <v>183</v>
      </c>
      <c r="F33" s="42">
        <v>0</v>
      </c>
      <c r="G33" s="42">
        <v>75</v>
      </c>
      <c r="H33" s="42">
        <v>233178</v>
      </c>
      <c r="I33" s="42">
        <v>233253</v>
      </c>
      <c r="J33" s="30" t="s">
        <v>184</v>
      </c>
      <c r="K33" s="42">
        <v>233491</v>
      </c>
      <c r="L33" s="134" t="s">
        <v>50</v>
      </c>
      <c r="M33" s="135">
        <f t="shared" si="0"/>
        <v>125.664</v>
      </c>
      <c r="N33" s="136" t="str">
        <f>VLOOKUP(C33,'Trips&amp;Operators'!$C$1:$G$99999,5,FALSE)</f>
        <v>LAMAR NEKESHA</v>
      </c>
      <c r="O33" s="210" t="s">
        <v>182</v>
      </c>
      <c r="P33" s="137"/>
      <c r="Q33" s="30"/>
      <c r="R33" s="84" t="str">
        <f>VLOOKUP(C33,'Train Runs'!$A$13:$AE$9934,31,0)</f>
        <v>aws s3 cp s3://rtdc.mdm.uploadarchive.raw/RTDC4022/ "%USERPROFILE%\AppData\Local\Temp\OnboardLogs"\RTDC4022\2017-06-08 --exclude "*" --recursive --include "*20170608*" &amp; "%USERPROFILE%\Documents\GitHub\mrs-test-scripts\Headless Mode &amp; Sideloading\WalkAndUnGZ.bat" "%USERPROFILE%\AppData\Local\Temp\OnboardLogs"\RTDC4022\2017-06-08 &amp; aws s3 cp s3://rtdc.mdm.uploadarchive.raw/RTDC4022/ "%USERPROFILE%\AppData\Local\Temp\OnboardLogs"\RTDC4022\2017-06-09 --exclude "*" --recursive --include "*20170609*" &amp; "%USERPROFILE%\Documents\GitHub\mrs-test-scripts\Headless Mode &amp; Sideloading\WalkAndUnGZ.bat" "%USERPROFILE%\AppData\Local\Temp\OnboardLogs"\RTDC4022\2017-06-09</v>
      </c>
      <c r="S33" s="87" t="str">
        <f>VLOOKUP(C33,'Train Runs'!$A$13:$AE$9934,22,0)</f>
        <v>https://d0f6bd738d7f1b3e5a7ca70fe4ff75f0.us-east-1.aws.found.io/app/kibana#/discover/Steve-Slow-Train-Analysis-(2080s-and-2083s)?_g=(refreshInterval:(display:Off,pause:!f,section:0,value:0),time:(from:'2017-06-08T19:39:59-0600',mode:absolute,to:'2017-06-08T22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3" s="89" t="str">
        <f t="shared" si="1"/>
        <v>"C:\Program Files (x86)\AstroGrep\AstroGrep.exe" /e /r /s /spath="%USERPROFILE%\AppData\Local\Temp\OnboardLogs" /stypes="*4022*201706090*" /stext=" 03:.+((SYSTEM_STATE.+slice.+state.+changed )|(ment ac)|(multiple cpu faults)|(system.+state.+changed )|(\[timeout)|(PRM\|1\|D)|(kpr)|(kdp)|(train st.+moving)|(\|lc)|(penalty))"</v>
      </c>
      <c r="U33" s="9" t="str">
        <f t="shared" si="2"/>
        <v>4022</v>
      </c>
      <c r="V33" s="31">
        <f t="shared" si="3"/>
        <v>42895.152766203704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{"issue":{"subject":"","project_id":79,"tracker_id":40,"status_id":1,"priority_id":2,"assigned_to_id":23,"start_date":"2017-06-08","description":"","custom_fields":[{"id":1,"name":"Subdivision","value":"EC"},{"id":4,"name":"Milepost","value":"23.3491"},{"id":17,"name":"Train ID","value":"229-08"},{"id":16,"name":"Locomotive ID","value":"4022"},{"id":130,"name":"Impact","value":""},{"id":150,"name":"Time of Event (Mountain Time)","value":"21:39:59"},{"id":151,"name":"Denver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/cygdrive/c/Users/stu/AppData/Local/Temp/OnboardLogs/RTDC4022 --include="*4022*201706090*"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"%USERPROFILE%\AppData\Local\Temp\OnboardLogs"\RTDC4022\*4022*201706090* &gt;&gt; 2017-06-08-SliceDisagreementCheck.txt</v>
      </c>
      <c r="AE33" s="148" t="str">
        <f t="shared" si="9"/>
        <v>start /low /b %USERPROFILE%\Documents\GitHub\eaglep3\Utilities\DownloadLogsFromS3.py --loco 4022 --day 2017-06-09</v>
      </c>
      <c r="AF33" s="1"/>
    </row>
    <row r="34" spans="1:32" x14ac:dyDescent="0.25">
      <c r="A34" s="31">
        <v>42894.709456018521</v>
      </c>
      <c r="B34" s="30" t="s">
        <v>406</v>
      </c>
      <c r="C34" s="30" t="s">
        <v>636</v>
      </c>
      <c r="D34" s="30" t="s">
        <v>49</v>
      </c>
      <c r="E34" s="30" t="s">
        <v>202</v>
      </c>
      <c r="F34" s="42">
        <v>400</v>
      </c>
      <c r="G34" s="42">
        <v>453</v>
      </c>
      <c r="H34" s="42">
        <v>47047</v>
      </c>
      <c r="I34" s="42">
        <v>48181</v>
      </c>
      <c r="J34" s="30" t="s">
        <v>203</v>
      </c>
      <c r="K34" s="42">
        <v>47810</v>
      </c>
      <c r="L34" s="134" t="s">
        <v>50</v>
      </c>
      <c r="M34" s="135">
        <f t="shared" si="0"/>
        <v>-195.88800000000001</v>
      </c>
      <c r="N34" s="136" t="str">
        <f>VLOOKUP(C34,'Trips&amp;Operators'!$C$1:$G$99999,5,FALSE)</f>
        <v>HAITHCOX MICHAEL</v>
      </c>
      <c r="O34" s="210" t="s">
        <v>182</v>
      </c>
      <c r="P34" s="137"/>
      <c r="Q34" s="30"/>
      <c r="R34" s="84" t="str">
        <f>VLOOKUP(C34,'Train Runs'!$A$13:$AE$9934,31,0)</f>
        <v>aws s3 cp s3://rtdc.mdm.uploadarchive.raw/RTDC4008/ "%USERPROFILE%\AppData\Local\Temp\OnboardLogs"\RTDC4008\2017-06-08 --exclude "*" --recursive --include "*20170608*" &amp; "%USERPROFILE%\Documents\GitHub\mrs-test-scripts\Headless Mode &amp; Sideloading\WalkAndUnGZ.bat" "%USERPROFILE%\AppData\Local\Temp\OnboardLogs"\RTDC4008\2017-06-08 &amp; aws s3 cp s3://rtdc.mdm.uploadarchive.raw/RTDC4008/ "%USERPROFILE%\AppData\Local\Temp\OnboardLogs"\RTDC4008\2017-06-09 --exclude "*" --recursive --include "*20170609*" &amp; "%USERPROFILE%\Documents\GitHub\mrs-test-scripts\Headless Mode &amp; Sideloading\WalkAndUnGZ.bat" "%USERPROFILE%\AppData\Local\Temp\OnboardLogs"\RTDC4008\2017-06-09</v>
      </c>
      <c r="S34" s="87" t="str">
        <f>VLOOKUP(C34,'Train Runs'!$A$13:$AE$9934,22,0)</f>
        <v>https://d0f6bd738d7f1b3e5a7ca70fe4ff75f0.us-east-1.aws.found.io/app/kibana#/discover/Steve-Slow-Train-Analysis-(2080s-and-2083s)?_g=(refreshInterval:(display:Off,pause:!f,section:0,value:0),time:(from:'2017-06-08T15:29:13-0600',mode:absolute,to:'2017-06-08T18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4" s="89" t="str">
        <f t="shared" si="1"/>
        <v>"C:\Program Files (x86)\AstroGrep\AstroGrep.exe" /e /r /s /spath="%USERPROFILE%\AppData\Local\Temp\OnboardLogs" /stypes="*4008*201706082*" /stext=" 23:.+((SYSTEM_STATE.+slice.+state.+changed )|(ment ac)|(multiple cpu faults)|(system.+state.+changed )|(\[timeout)|(PRM\|1\|D)|(kpr)|(kdp)|(train st.+moving)|(\|lc)|(penalty))"</v>
      </c>
      <c r="U34" s="9" t="str">
        <f t="shared" si="2"/>
        <v>4008</v>
      </c>
      <c r="V34" s="31">
        <f t="shared" si="3"/>
        <v>42894.959456018521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{"issue":{"subject":"","project_id":79,"tracker_id":40,"status_id":1,"priority_id":2,"assigned_to_id":23,"start_date":"2017-06-08","description":"","custom_fields":[{"id":1,"name":"Subdivision","value":"NW"},{"id":4,"name":"Milepost","value":"4.781"},{"id":17,"name":"Train ID","value":"831-08"},{"id":16,"name":"Locomotive ID","value":"4008"},{"id":130,"name":"Impact","value":""},{"id":150,"name":"Time of Event (Mountain Time)","value":"17:01:37"},{"id":151,"name":"Denver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/cygdrive/c/Users/stu/AppData/Local/Temp/OnboardLogs/RTDC4008 --include="*4008*201706082*"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"%USERPROFILE%\AppData\Local\Temp\OnboardLogs"\RTDC4008\*4008*201706082* &gt;&gt; 2017-06-08-SliceDisagreementCheck.txt</v>
      </c>
      <c r="AE34" s="148" t="str">
        <f t="shared" si="9"/>
        <v>start /low /b %USERPROFILE%\Documents\GitHub\eaglep3\Utilities\DownloadLogsFromS3.py --loco 4008 --day 2017-06-08</v>
      </c>
      <c r="AF34" s="1"/>
    </row>
    <row r="35" spans="1:32" x14ac:dyDescent="0.25">
      <c r="A35" s="31">
        <v>42894.601273148146</v>
      </c>
      <c r="B35" s="30" t="s">
        <v>549</v>
      </c>
      <c r="C35" s="30" t="s">
        <v>629</v>
      </c>
      <c r="D35" s="30" t="s">
        <v>49</v>
      </c>
      <c r="E35" s="30" t="s">
        <v>366</v>
      </c>
      <c r="F35" s="42">
        <v>0</v>
      </c>
      <c r="G35" s="42">
        <v>186</v>
      </c>
      <c r="H35" s="42">
        <v>10629</v>
      </c>
      <c r="I35" s="42">
        <v>11110</v>
      </c>
      <c r="J35" s="30" t="s">
        <v>367</v>
      </c>
      <c r="K35" s="42">
        <v>10988</v>
      </c>
      <c r="L35" s="134" t="s">
        <v>50</v>
      </c>
      <c r="M35" s="135">
        <f t="shared" si="0"/>
        <v>-64.415999999999997</v>
      </c>
      <c r="N35" s="136" t="str">
        <f>VLOOKUP(C35,'Trips&amp;Operators'!$C$1:$G$99999,5,FALSE)</f>
        <v>STAMBAUGH JAMES</v>
      </c>
      <c r="O35" s="210" t="s">
        <v>417</v>
      </c>
      <c r="P35" s="137" t="s">
        <v>418</v>
      </c>
      <c r="Q35" s="30"/>
      <c r="R35" s="84" t="str">
        <f>VLOOKUP(C35,'Train Runs'!$A$13:$AE$9934,31,0)</f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S35" s="87" t="str">
        <f>VLOOKUP(C35,'Train Runs'!$A$13:$AE$9934,22,0)</f>
        <v>https://d0f6bd738d7f1b3e5a7ca70fe4ff75f0.us-east-1.aws.found.io/app/kibana#/discover/Steve-Slow-Train-Analysis-(2080s-and-2083s)?_g=(refreshInterval:(display:Off,pause:!f,section:0,value:0),time:(from:'2017-06-08T13:13:10-0600',mode:absolute,to:'2017-06-08T15:40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5" s="89" t="str">
        <f t="shared" si="1"/>
        <v>"C:\Program Files (x86)\AstroGrep\AstroGrep.exe" /e /r /s /spath="%USERPROFILE%\AppData\Local\Temp\OnboardLogs" /stypes="*4032*201706082*" /stext=" 20:.+((SYSTEM_STATE.+slice.+state.+changed )|(ment ac)|(multiple cpu faults)|(system.+state.+changed )|(\[timeout)|(PRM\|1\|D)|(kpr)|(kdp)|(train st.+moving)|(\|lc)|(penalty))"</v>
      </c>
      <c r="U35" s="9" t="str">
        <f t="shared" si="2"/>
        <v>4032</v>
      </c>
      <c r="V35" s="31">
        <f t="shared" si="3"/>
        <v>42894.851273148146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{"issue":{"subject":"Wi-MAX data drop","project_id":79,"tracker_id":40,"status_id":1,"priority_id":2,"assigned_to_id":23,"start_date":"2017-06-08","description":"","custom_fields":[{"id":1,"name":"Subdivision","value":"NW"},{"id":4,"name":"Milepost","value":"1.0988"},{"id":17,"name":"Train ID","value":"823-08"},{"id":16,"name":"Locomotive ID","value":"4032"},{"id":130,"name":"Impact","value":""},{"id":150,"name":"Time of Event (Mountain Time)","value":"14:25:50"},{"id":151,"name":"Denver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/cygdrive/c/Users/stu/AppData/Local/Temp/OnboardLogs/RTDC4032 --include="*4032*201706082*"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"%USERPROFILE%\AppData\Local\Temp\OnboardLogs"\RTDC4032\*4032*201706082* &gt;&gt; 2017-06-08-SliceDisagreementCheck.txt</v>
      </c>
      <c r="AE35" s="148" t="str">
        <f t="shared" si="9"/>
        <v>start /low /b %USERPROFILE%\Documents\GitHub\eaglep3\Utilities\DownloadLogsFromS3.py --loco 4032 --day 2017-06-08</v>
      </c>
      <c r="AF35" s="1"/>
    </row>
    <row r="36" spans="1:32" x14ac:dyDescent="0.25">
      <c r="A36" s="31">
        <v>42894.602222222224</v>
      </c>
      <c r="B36" s="30" t="s">
        <v>549</v>
      </c>
      <c r="C36" s="30" t="s">
        <v>629</v>
      </c>
      <c r="D36" s="30" t="s">
        <v>98</v>
      </c>
      <c r="E36" s="30" t="s">
        <v>366</v>
      </c>
      <c r="F36" s="42">
        <v>200</v>
      </c>
      <c r="G36" s="42">
        <v>259</v>
      </c>
      <c r="H36" s="42">
        <v>12425</v>
      </c>
      <c r="I36" s="42">
        <v>13021</v>
      </c>
      <c r="J36" s="30" t="s">
        <v>367</v>
      </c>
      <c r="K36" s="42">
        <v>10988</v>
      </c>
      <c r="L36" s="134" t="s">
        <v>50</v>
      </c>
      <c r="M36" s="135">
        <f t="shared" si="0"/>
        <v>-1073.424</v>
      </c>
      <c r="N36" s="136" t="str">
        <f>VLOOKUP(C36,'Trips&amp;Operators'!$C$1:$G$99999,5,FALSE)</f>
        <v>STAMBAUGH JAMES</v>
      </c>
      <c r="O36" s="210" t="s">
        <v>182</v>
      </c>
      <c r="P36" s="137" t="s">
        <v>608</v>
      </c>
      <c r="Q36" s="30"/>
      <c r="R36" s="84" t="str">
        <f>VLOOKUP(C36,'Train Runs'!$A$13:$AE$9934,31,0)</f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S36" s="87" t="str">
        <f>VLOOKUP(C36,'Train Runs'!$A$13:$AE$9934,22,0)</f>
        <v>https://d0f6bd738d7f1b3e5a7ca70fe4ff75f0.us-east-1.aws.found.io/app/kibana#/discover/Steve-Slow-Train-Analysis-(2080s-and-2083s)?_g=(refreshInterval:(display:Off,pause:!f,section:0,value:0),time:(from:'2017-06-08T13:13:10-0600',mode:absolute,to:'2017-06-08T15:40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6" s="89" t="str">
        <f t="shared" si="1"/>
        <v>"C:\Program Files (x86)\AstroGrep\AstroGrep.exe" /e /r /s /spath="%USERPROFILE%\AppData\Local\Temp\OnboardLogs" /stypes="*4032*201706082*" /stext=" 20:.+((SYSTEM_STATE.+slice.+state.+changed )|(ment ac)|(multiple cpu faults)|(system.+state.+changed )|(\[timeout)|(PRM\|1\|D)|(kpr)|(kdp)|(train st.+moving)|(\|lc)|(penalty))"</v>
      </c>
      <c r="U36" s="9" t="str">
        <f t="shared" si="2"/>
        <v>4032</v>
      </c>
      <c r="V36" s="31">
        <f t="shared" si="3"/>
        <v>42894.852222222224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Overspeed","project_id":79,"tracker_id":40,"status_id":1,"priority_id":2,"assigned_to_id":23,"start_date":"2017-06-08","description":"","custom_fields":[{"id":1,"name":"Subdivision","value":"NW"},{"id":4,"name":"Milepost","value":"1.0988"},{"id":17,"name":"Train ID","value":"823-08"},{"id":16,"name":"Locomotive ID","value":"4032"},{"id":130,"name":"Impact","value":""},{"id":150,"name":"Time of Event (Mountain Time)","value":"14:27:12"},{"id":151,"name":"Denver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/cygdrive/c/Users/stu/AppData/Local/Temp/OnboardLogs/RTDC4032 --include="*4032*201706082*"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"%USERPROFILE%\AppData\Local\Temp\OnboardLogs"\RTDC4032\*4032*201706082* &gt;&gt; 2017-06-08-SliceDisagreementCheck.txt</v>
      </c>
      <c r="AE36" s="148" t="str">
        <f t="shared" si="9"/>
        <v>start /low /b %USERPROFILE%\Documents\GitHub\eaglep3\Utilities\DownloadLogsFromS3.py --loco 4032 --day 2017-06-08</v>
      </c>
      <c r="AF36" s="1"/>
    </row>
    <row r="37" spans="1:32" x14ac:dyDescent="0.25">
      <c r="A37" s="31">
        <v>42894.727673611109</v>
      </c>
      <c r="B37" s="30" t="s">
        <v>549</v>
      </c>
      <c r="C37" s="30" t="s">
        <v>638</v>
      </c>
      <c r="D37" s="30" t="s">
        <v>98</v>
      </c>
      <c r="E37" s="30" t="s">
        <v>422</v>
      </c>
      <c r="F37" s="42">
        <v>0</v>
      </c>
      <c r="G37" s="42">
        <v>606</v>
      </c>
      <c r="H37" s="42">
        <v>30301</v>
      </c>
      <c r="I37" s="42">
        <v>32488</v>
      </c>
      <c r="J37" s="30" t="s">
        <v>419</v>
      </c>
      <c r="K37" s="42">
        <v>29691</v>
      </c>
      <c r="L37" s="134" t="s">
        <v>50</v>
      </c>
      <c r="M37" s="135">
        <f t="shared" si="0"/>
        <v>-1476.816</v>
      </c>
      <c r="N37" s="136" t="str">
        <f>VLOOKUP(C37,'Trips&amp;Operators'!$C$1:$G$99999,5,FALSE)</f>
        <v>STAMBAUGH JAMES</v>
      </c>
      <c r="O37" s="210" t="s">
        <v>417</v>
      </c>
      <c r="P37" s="137" t="s">
        <v>418</v>
      </c>
      <c r="Q37" s="30"/>
      <c r="R37" s="84" t="str">
        <f>VLOOKUP(C37,'Train Runs'!$A$13:$AE$9934,31,0)</f>
        <v>aws s3 cp s3://rtdc.mdm.uploadarchive.raw/RTDC4032/ "%USERPROFILE%\AppData\Local\Temp\OnboardLogs"\RTDC4032\2017-06-08 --exclude "*" --recursive --include "*20170608*" &amp; "%USERPROFILE%\Documents\GitHub\mrs-test-scripts\Headless Mode &amp; Sideloading\WalkAndUnGZ.bat" "%USERPROFILE%\AppData\Local\Temp\OnboardLogs"\RTDC4032\2017-06-08 &amp; aws s3 cp s3://rtdc.mdm.uploadarchive.raw/RTDC4032/ "%USERPROFILE%\AppData\Local\Temp\OnboardLogs"\RTDC4032\2017-06-09 --exclude "*" --recursive --include "*20170609*" &amp; "%USERPROFILE%\Documents\GitHub\mrs-test-scripts\Headless Mode &amp; Sideloading\WalkAndUnGZ.bat" "%USERPROFILE%\AppData\Local\Temp\OnboardLogs"\RTDC4032\2017-06-09</v>
      </c>
      <c r="S37" s="87" t="str">
        <f>VLOOKUP(C37,'Train Runs'!$A$13:$AE$9934,22,0)</f>
        <v>https://d0f6bd738d7f1b3e5a7ca70fe4ff75f0.us-east-1.aws.found.io/app/kibana#/discover/Steve-Slow-Train-Analysis-(2080s-and-2083s)?_g=(refreshInterval:(display:Off,pause:!f,section:0,value:0),time:(from:'2017-06-08T15:57:53-0600',mode:absolute,to:'2017-06-08T18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7" s="89" t="str">
        <f t="shared" si="1"/>
        <v>"C:\Program Files (x86)\AstroGrep\AstroGrep.exe" /e /r /s /spath="%USERPROFILE%\AppData\Local\Temp\OnboardLogs" /stypes="*4032*201706082*"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4032</v>
      </c>
      <c r="V37" s="31">
        <f t="shared" si="3"/>
        <v>42894.977673611109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{"issue":{"subject":"Wi-MAX data drop","project_id":79,"tracker_id":40,"status_id":1,"priority_id":2,"assigned_to_id":23,"start_date":"2017-06-08","description":"","custom_fields":[{"id":1,"name":"Subdivision","value":"NW"},{"id":4,"name":"Milepost","value":"2.9691"},{"id":17,"name":"Train ID","value":"833-08"},{"id":16,"name":"Locomotive ID","value":"4032"},{"id":130,"name":"Impact","value":""},{"id":150,"name":"Time of Event (Mountain Time)","value":"17:27:51"},{"id":151,"name":"Denver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/cygdrive/c/Users/stu/AppData/Local/Temp/OnboardLogs/RTDC4032 --include="*4032*201706082*"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"%USERPROFILE%\AppData\Local\Temp\OnboardLogs"\RTDC4032\*4032*201706082* &gt;&gt; 2017-06-08-SliceDisagreementCheck.txt</v>
      </c>
      <c r="AE37" s="148" t="str">
        <f t="shared" si="9"/>
        <v>start /low /b %USERPROFILE%\Documents\GitHub\eaglep3\Utilities\DownloadLogsFromS3.py --loco 4032 --day 2017-06-08</v>
      </c>
      <c r="AF37" s="1"/>
    </row>
    <row r="38" spans="1:32" x14ac:dyDescent="0.25">
      <c r="A38" s="31">
        <v>42894.351215277777</v>
      </c>
      <c r="B38" s="30" t="s">
        <v>613</v>
      </c>
      <c r="C38" s="30" t="s">
        <v>621</v>
      </c>
      <c r="D38" s="30" t="s">
        <v>49</v>
      </c>
      <c r="E38" s="30" t="s">
        <v>183</v>
      </c>
      <c r="F38" s="42">
        <v>0</v>
      </c>
      <c r="G38" s="42">
        <v>44</v>
      </c>
      <c r="H38" s="42">
        <v>131</v>
      </c>
      <c r="I38" s="42">
        <v>102</v>
      </c>
      <c r="J38" s="30" t="s">
        <v>184</v>
      </c>
      <c r="K38" s="42">
        <v>1</v>
      </c>
      <c r="L38" s="134" t="s">
        <v>51</v>
      </c>
      <c r="M38" s="135">
        <f t="shared" si="0"/>
        <v>53.328000000000003</v>
      </c>
      <c r="N38" s="136" t="str">
        <f>VLOOKUP(C38,'Trips&amp;Operators'!$C$1:$G$99999,5,FALSE)</f>
        <v>DAVIS WENDY</v>
      </c>
      <c r="O38" s="210" t="s">
        <v>182</v>
      </c>
      <c r="P38" s="137"/>
      <c r="Q38" s="30"/>
      <c r="R38" s="84" t="str">
        <f>VLOOKUP(C38,'Train Runs'!$A$13:$AE$9934,31,0)</f>
        <v>aws s3 cp s3://rtdc.mdm.uploadarchive.raw/RTDC4007/ "%USERPROFILE%\AppData\Local\Temp\OnboardLogs"\RTDC4007\2017-06-08 --exclude "*" --recursive --include "*20170608*" &amp; "%USERPROFILE%\Documents\GitHub\mrs-test-scripts\Headless Mode &amp; Sideloading\WalkAndUnGZ.bat" "%USERPROFILE%\AppData\Local\Temp\OnboardLogs"\RTDC4007\2017-06-08 &amp; aws s3 cp s3://rtdc.mdm.uploadarchive.raw/RTDC4007/ "%USERPROFILE%\AppData\Local\Temp\OnboardLogs"\RTDC4007\2017-06-09 --exclude "*" --recursive --include "*20170609*" &amp; "%USERPROFILE%\Documents\GitHub\mrs-test-scripts\Headless Mode &amp; Sideloading\WalkAndUnGZ.bat" "%USERPROFILE%\AppData\Local\Temp\OnboardLogs"\RTDC4007\2017-06-09</v>
      </c>
      <c r="S38" s="87" t="str">
        <f>VLOOKUP(C38,'Train Runs'!$A$13:$AE$9934,22,0)</f>
        <v>https://d0f6bd738d7f1b3e5a7ca70fe4ff75f0.us-east-1.aws.found.io/app/kibana#/discover/Steve-Slow-Train-Analysis-(2080s-and-2083s)?_g=(refreshInterval:(display:Off,pause:!f,section:0,value:0),time:(from:'2017-06-08T07:06:22-0600',mode:absolute,to:'2017-06-08T09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8" s="89" t="str">
        <f t="shared" si="1"/>
        <v>"C:\Program Files (x86)\AstroGrep\AstroGrep.exe" /e /r /s /spath="%USERPROFILE%\AppData\Local\Temp\OnboardLogs" /stypes="*4007*201706081*" /stext=" 14:.+((SYSTEM_STATE.+slice.+state.+changed )|(ment ac)|(multiple cpu faults)|(system.+state.+changed )|(\[timeout)|(PRM\|1\|D)|(kpr)|(kdp)|(train st.+moving)|(\|lc)|(penalty))"</v>
      </c>
      <c r="U38" s="9" t="str">
        <f t="shared" si="2"/>
        <v>4007</v>
      </c>
      <c r="V38" s="31">
        <f t="shared" si="3"/>
        <v>42894.601215277777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{"issue":{"subject":"","project_id":79,"tracker_id":40,"status_id":1,"priority_id":2,"assigned_to_id":23,"start_date":"2017-06-08","description":"","custom_fields":[{"id":1,"name":"Subdivision","value":"NW"},{"id":4,"name":"Milepost","value":"0.0001"},{"id":17,"name":"Train ID","value":"810-08"},{"id":16,"name":"Locomotive ID","value":"4007"},{"id":130,"name":"Impact","value":""},{"id":150,"name":"Time of Event (Mountain Time)","value":"08:25:45"},{"id":151,"name":"Denver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/cygdrive/c/Users/stu/AppData/Local/Temp/OnboardLogs/RTDC4007 --include="*4007*201706081*"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"%USERPROFILE%\AppData\Local\Temp\OnboardLogs"\RTDC4007\*4007*201706081* &gt;&gt; 2017-06-08-SliceDisagreementCheck.txt</v>
      </c>
      <c r="AE38" s="148" t="str">
        <f t="shared" si="9"/>
        <v>start /low /b %USERPROFILE%\Documents\GitHub\eaglep3\Utilities\DownloadLogsFromS3.py --loco 4007 --day 2017-06-08</v>
      </c>
      <c r="AF38" s="1"/>
    </row>
    <row r="39" spans="1:32" x14ac:dyDescent="0.25">
      <c r="A39" s="31">
        <v>42894.226504629631</v>
      </c>
      <c r="B39" s="30" t="s">
        <v>613</v>
      </c>
      <c r="C39" s="30" t="s">
        <v>614</v>
      </c>
      <c r="D39" s="30" t="s">
        <v>49</v>
      </c>
      <c r="E39" s="30" t="s">
        <v>183</v>
      </c>
      <c r="F39" s="42">
        <v>0</v>
      </c>
      <c r="G39" s="42">
        <v>18</v>
      </c>
      <c r="H39" s="42">
        <v>650</v>
      </c>
      <c r="I39" s="42">
        <v>633</v>
      </c>
      <c r="J39" s="30" t="s">
        <v>184</v>
      </c>
      <c r="K39" s="42">
        <v>575</v>
      </c>
      <c r="L39" s="134" t="s">
        <v>51</v>
      </c>
      <c r="M39" s="135">
        <f t="shared" si="0"/>
        <v>30.623999999999999</v>
      </c>
      <c r="N39" s="136" t="e">
        <f>VLOOKUP(C39,'Trips&amp;Operators'!$C$1:$G$99999,5,FALSE)</f>
        <v>#N/A</v>
      </c>
      <c r="O39" s="210" t="s">
        <v>182</v>
      </c>
      <c r="P39" s="137"/>
      <c r="Q39" s="30"/>
      <c r="R39" s="84" t="str">
        <f>VLOOKUP(C39,'Train Runs'!$A$13:$AE$9934,31,0)</f>
        <v>aws s3 cp s3://rtdc.mdm.uploadarchive.raw/RTDC4007/ "%USERPROFILE%\AppData\Local\Temp\OnboardLogs"\RTDC4007\2017-06-08 --exclude "*" --recursive --include "*20170608*" &amp; "%USERPROFILE%\Documents\GitHub\mrs-test-scripts\Headless Mode &amp; Sideloading\WalkAndUnGZ.bat" "%USERPROFILE%\AppData\Local\Temp\OnboardLogs"\RTDC4007\2017-06-08 &amp; aws s3 cp s3://rtdc.mdm.uploadarchive.raw/RTDC4007/ "%USERPROFILE%\AppData\Local\Temp\OnboardLogs"\RTDC4007\2017-06-09 --exclude "*" --recursive --include "*20170609*" &amp; "%USERPROFILE%\Documents\GitHub\mrs-test-scripts\Headless Mode &amp; Sideloading\WalkAndUnGZ.bat" "%USERPROFILE%\AppData\Local\Temp\OnboardLogs"\RTDC4007\2017-06-09</v>
      </c>
      <c r="S39" s="87" t="str">
        <f>VLOOKUP(C39,'Train Runs'!$A$13:$AE$9934,22,0)</f>
        <v>https://d0f6bd738d7f1b3e5a7ca70fe4ff75f0.us-east-1.aws.found.io/app/kibana#/discover/Steve-Slow-Train-Analysis-(2080s-and-2083s)?_g=(refreshInterval:(display:Off,pause:!f,section:0,value:0),time:(from:'2017-06-09T00:10:23-0600',mode:absolute,to:'2017-06-08T06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9" s="89" t="str">
        <f t="shared" si="1"/>
        <v>"C:\Program Files (x86)\AstroGrep\AstroGrep.exe" /e /r /s /spath="%USERPROFILE%\AppData\Local\Temp\OnboardLogs" /stypes="*4007*201706081*" /stext=" 11:.+((SYSTEM_STATE.+slice.+state.+changed )|(ment ac)|(multiple cpu faults)|(system.+state.+changed )|(\[timeout)|(PRM\|1\|D)|(kpr)|(kdp)|(train st.+moving)|(\|lc)|(penalty))"</v>
      </c>
      <c r="U39" s="9" t="str">
        <f t="shared" si="2"/>
        <v>4007</v>
      </c>
      <c r="V39" s="31">
        <f t="shared" si="3"/>
        <v>42894.476504629631</v>
      </c>
      <c r="W39" s="45" t="str">
        <f t="shared" si="4"/>
        <v>NW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{"issue":{"subject":"","project_id":79,"tracker_id":40,"status_id":1,"priority_id":2,"assigned_to_id":23,"start_date":"2017-06-08","description":"","custom_fields":[{"id":1,"name":"Subdivision","value":"NW"},{"id":4,"name":"Milepost","value":"0.0575"},{"id":17,"name":"Train ID","value":"800-08"},{"id":16,"name":"Locomotive ID","value":"4007"},{"id":130,"name":"Impact","value":""},{"id":150,"name":"Time of Event (Mountain Time)","value":"05:26:10"},{"id":151,"name":"Denver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/cygdrive/c/Users/stu/AppData/Local/Temp/OnboardLogs/RTDC4007 --include="*4007*201706081*"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"%USERPROFILE%\AppData\Local\Temp\OnboardLogs"\RTDC4007\*4007*201706081* &gt;&gt; 2017-06-08-SliceDisagreementCheck.txt</v>
      </c>
      <c r="AE39" s="148" t="str">
        <f t="shared" si="9"/>
        <v>start /low /b %USERPROFILE%\Documents\GitHub\eaglep3\Utilities\DownloadLogsFromS3.py --loco 4007 --day 2017-06-08</v>
      </c>
      <c r="AF39" s="1"/>
    </row>
    <row r="40" spans="1:32" x14ac:dyDescent="0.25">
      <c r="A40" s="31">
        <v>42894.267812500002</v>
      </c>
      <c r="B40" s="30" t="s">
        <v>613</v>
      </c>
      <c r="C40" s="30" t="s">
        <v>616</v>
      </c>
      <c r="D40" s="30" t="s">
        <v>49</v>
      </c>
      <c r="E40" s="30" t="s">
        <v>183</v>
      </c>
      <c r="F40" s="42">
        <v>0</v>
      </c>
      <c r="G40" s="42">
        <v>28</v>
      </c>
      <c r="H40" s="42">
        <v>647</v>
      </c>
      <c r="I40" s="42">
        <v>631</v>
      </c>
      <c r="J40" s="30" t="s">
        <v>184</v>
      </c>
      <c r="K40" s="42">
        <v>575</v>
      </c>
      <c r="L40" s="134" t="s">
        <v>51</v>
      </c>
      <c r="M40" s="135">
        <f t="shared" si="0"/>
        <v>29.568000000000001</v>
      </c>
      <c r="N40" s="136" t="str">
        <f>VLOOKUP(C40,'Trips&amp;Operators'!$C$1:$G$99999,5,FALSE)</f>
        <v>DAVIS WENDY</v>
      </c>
      <c r="O40" s="210" t="s">
        <v>182</v>
      </c>
      <c r="P40" s="137"/>
      <c r="Q40" s="30"/>
      <c r="R40" s="84" t="str">
        <f>VLOOKUP(C40,'Train Runs'!$A$13:$AE$9934,31,0)</f>
        <v>aws s3 cp s3://rtdc.mdm.uploadarchive.raw/RTDC4007/ "%USERPROFILE%\AppData\Local\Temp\OnboardLogs"\RTDC4007\2017-06-08 --exclude "*" --recursive --include "*20170608*" &amp; "%USERPROFILE%\Documents\GitHub\mrs-test-scripts\Headless Mode &amp; Sideloading\WalkAndUnGZ.bat" "%USERPROFILE%\AppData\Local\Temp\OnboardLogs"\RTDC4007\2017-06-08 &amp; aws s3 cp s3://rtdc.mdm.uploadarchive.raw/RTDC4007/ "%USERPROFILE%\AppData\Local\Temp\OnboardLogs"\RTDC4007\2017-06-09 --exclude "*" --recursive --include "*20170609*" &amp; "%USERPROFILE%\Documents\GitHub\mrs-test-scripts\Headless Mode &amp; Sideloading\WalkAndUnGZ.bat" "%USERPROFILE%\AppData\Local\Temp\OnboardLogs"\RTDC4007\2017-06-09</v>
      </c>
      <c r="S40" s="87" t="str">
        <f>VLOOKUP(C40,'Train Runs'!$A$13:$AE$9934,22,0)</f>
        <v>https://d0f6bd738d7f1b3e5a7ca70fe4ff75f0.us-east-1.aws.found.io/app/kibana#/discover/Steve-Slow-Train-Analysis-(2080s-and-2083s)?_g=(refreshInterval:(display:Off,pause:!f,section:0,value:0),time:(from:'2017-06-08T05:06:21-0600',mode:absolute,to:'2017-06-08T07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0" s="89" t="str">
        <f t="shared" si="1"/>
        <v>"C:\Program Files (x86)\AstroGrep\AstroGrep.exe" /e /r /s /spath="%USERPROFILE%\AppData\Local\Temp\OnboardLogs" /stypes="*4007*201706081*" /stext=" 12:.+((SYSTEM_STATE.+slice.+state.+changed )|(ment ac)|(multiple cpu faults)|(system.+state.+changed )|(\[timeout)|(PRM\|1\|D)|(kpr)|(kdp)|(train st.+moving)|(\|lc)|(penalty))"</v>
      </c>
      <c r="U40" s="9" t="str">
        <f t="shared" si="2"/>
        <v>4007</v>
      </c>
      <c r="V40" s="31">
        <f t="shared" si="3"/>
        <v>42894.517812500002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{"issue":{"subject":"","project_id":79,"tracker_id":40,"status_id":1,"priority_id":2,"assigned_to_id":23,"start_date":"2017-06-08","description":"","custom_fields":[{"id":1,"name":"Subdivision","value":"NW"},{"id":4,"name":"Milepost","value":"0.0575"},{"id":17,"name":"Train ID","value":"802-08"},{"id":16,"name":"Locomotive ID","value":"4007"},{"id":130,"name":"Impact","value":""},{"id":150,"name":"Time of Event (Mountain Time)","value":"06:25:39"},{"id":151,"name":"Denver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/cygdrive/c/Users/stu/AppData/Local/Temp/OnboardLogs/RTDC4007 --include="*4007*201706081*"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"%USERPROFILE%\AppData\Local\Temp\OnboardLogs"\RTDC4007\*4007*201706081* &gt;&gt; 2017-06-08-SliceDisagreementCheck.txt</v>
      </c>
      <c r="AE40" s="148" t="str">
        <f t="shared" si="9"/>
        <v>start /low /b %USERPROFILE%\Documents\GitHub\eaglep3\Utilities\DownloadLogsFromS3.py --loco 4007 --day 2017-06-08</v>
      </c>
      <c r="AF40" s="1"/>
    </row>
    <row r="41" spans="1:32" x14ac:dyDescent="0.25">
      <c r="A41" s="31">
        <v>42894.579652777778</v>
      </c>
      <c r="B41" s="30" t="s">
        <v>544</v>
      </c>
      <c r="C41" s="30" t="s">
        <v>627</v>
      </c>
      <c r="D41" s="30" t="s">
        <v>49</v>
      </c>
      <c r="E41" s="30" t="s">
        <v>183</v>
      </c>
      <c r="F41" s="42">
        <v>0</v>
      </c>
      <c r="G41" s="42">
        <v>23</v>
      </c>
      <c r="H41" s="42">
        <v>629</v>
      </c>
      <c r="I41" s="42">
        <v>614</v>
      </c>
      <c r="J41" s="30" t="s">
        <v>184</v>
      </c>
      <c r="K41" s="42">
        <v>575</v>
      </c>
      <c r="L41" s="134" t="s">
        <v>51</v>
      </c>
      <c r="M41" s="135">
        <f t="shared" si="0"/>
        <v>20.591999999999999</v>
      </c>
      <c r="N41" s="136" t="str">
        <f>VLOOKUP(C41,'Trips&amp;Operators'!$C$1:$G$99999,5,FALSE)</f>
        <v>STAMBAUGH JAMES</v>
      </c>
      <c r="O41" s="210" t="s">
        <v>182</v>
      </c>
      <c r="P41" s="137"/>
      <c r="Q41" s="30"/>
      <c r="R41" s="84" t="str">
        <f>VLOOKUP(C41,'Train Runs'!$A$13:$AE$9934,31,0)</f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S41" s="87" t="str">
        <f>VLOOKUP(C41,'Train Runs'!$A$13:$AE$9934,22,0)</f>
        <v>https://d0f6bd738d7f1b3e5a7ca70fe4ff75f0.us-east-1.aws.found.io/app/kibana#/discover/Steve-Slow-Train-Analysis-(2080s-and-2083s)?_g=(refreshInterval:(display:Off,pause:!f,section:0,value:0),time:(from:'2017-06-08T12:36:10-0600',mode:absolute,to:'2017-06-08T14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1" s="89" t="str">
        <f t="shared" si="1"/>
        <v>"C:\Program Files (x86)\AstroGrep\AstroGrep.exe" /e /r /s /spath="%USERPROFILE%\AppData\Local\Temp\OnboardLogs" /stypes="*4031*201706081*" /stext=" 19:.+((SYSTEM_STATE.+slice.+state.+changed )|(ment ac)|(multiple cpu faults)|(system.+state.+changed )|(\[timeout)|(PRM\|1\|D)|(kpr)|(kdp)|(train st.+moving)|(\|lc)|(penalty))"</v>
      </c>
      <c r="U41" s="9" t="str">
        <f t="shared" si="2"/>
        <v>4031</v>
      </c>
      <c r="V41" s="31">
        <f t="shared" si="3"/>
        <v>42894.829652777778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{"issue":{"subject":"","project_id":79,"tracker_id":40,"status_id":1,"priority_id":2,"assigned_to_id":23,"start_date":"2017-06-08","description":"","custom_fields":[{"id":1,"name":"Subdivision","value":"NW"},{"id":4,"name":"Milepost","value":"0.0575"},{"id":17,"name":"Train ID","value":"822-08"},{"id":16,"name":"Locomotive ID","value":"4031"},{"id":130,"name":"Impact","value":""},{"id":150,"name":"Time of Event (Mountain Time)","value":"13:54:42"},{"id":151,"name":"Denver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/cygdrive/c/Users/stu/AppData/Local/Temp/OnboardLogs/RTDC4031 --include="*4031*201706081*"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"%USERPROFILE%\AppData\Local\Temp\OnboardLogs"\RTDC4031\*4031*201706081* &gt;&gt; 2017-06-08-SliceDisagreementCheck.txt</v>
      </c>
      <c r="AE41" s="148" t="str">
        <f t="shared" si="9"/>
        <v>start /low /b %USERPROFILE%\Documents\GitHub\eaglep3\Utilities\DownloadLogsFromS3.py --loco 4031 --day 2017-06-08</v>
      </c>
      <c r="AF41" s="1"/>
    </row>
    <row r="42" spans="1:32" x14ac:dyDescent="0.25">
      <c r="A42" s="31">
        <v>42894.705324074072</v>
      </c>
      <c r="B42" s="30" t="s">
        <v>544</v>
      </c>
      <c r="C42" s="30" t="s">
        <v>635</v>
      </c>
      <c r="D42" s="30" t="s">
        <v>49</v>
      </c>
      <c r="E42" s="30" t="s">
        <v>183</v>
      </c>
      <c r="F42" s="42">
        <v>0</v>
      </c>
      <c r="G42" s="42">
        <v>86</v>
      </c>
      <c r="H42" s="42">
        <v>897</v>
      </c>
      <c r="I42" s="42">
        <v>815</v>
      </c>
      <c r="J42" s="30" t="s">
        <v>184</v>
      </c>
      <c r="K42" s="42">
        <v>575</v>
      </c>
      <c r="L42" s="134" t="s">
        <v>51</v>
      </c>
      <c r="M42" s="135">
        <f t="shared" si="0"/>
        <v>126.72</v>
      </c>
      <c r="N42" s="136" t="str">
        <f>VLOOKUP(C42,'Trips&amp;Operators'!$C$1:$G$99999,5,FALSE)</f>
        <v>STAMBAUGH JAMES</v>
      </c>
      <c r="O42" s="210" t="s">
        <v>182</v>
      </c>
      <c r="P42" s="137"/>
      <c r="Q42" s="30"/>
      <c r="R42" s="84" t="str">
        <f>VLOOKUP(C42,'Train Runs'!$A$13:$AE$9934,31,0)</f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S42" s="87" t="str">
        <f>VLOOKUP(C42,'Train Runs'!$A$13:$AE$9934,22,0)</f>
        <v>https://d0f6bd738d7f1b3e5a7ca70fe4ff75f0.us-east-1.aws.found.io/app/kibana#/discover/Steve-Slow-Train-Analysis-(2080s-and-2083s)?_g=(refreshInterval:(display:Off,pause:!f,section:0,value:0),time:(from:'2017-06-08T15:36:58-0600',mode:absolute,to:'2017-06-08T17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2" s="89" t="str">
        <f t="shared" si="1"/>
        <v>"C:\Program Files (x86)\AstroGrep\AstroGrep.exe" /e /r /s /spath="%USERPROFILE%\AppData\Local\Temp\OnboardLogs" /stypes="*4031*201706082*" /stext=" 22:.+((SYSTEM_STATE.+slice.+state.+changed )|(ment ac)|(multiple cpu faults)|(system.+state.+changed )|(\[timeout)|(PRM\|1\|D)|(kpr)|(kdp)|(train st.+moving)|(\|lc)|(penalty))"</v>
      </c>
      <c r="U42" s="9" t="str">
        <f t="shared" si="2"/>
        <v>4031</v>
      </c>
      <c r="V42" s="31">
        <f t="shared" si="3"/>
        <v>42894.955324074072</v>
      </c>
      <c r="W42" s="45" t="str">
        <f t="shared" si="4"/>
        <v>NW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{"issue":{"subject":"","project_id":79,"tracker_id":40,"status_id":1,"priority_id":2,"assigned_to_id":23,"start_date":"2017-06-08","description":"","custom_fields":[{"id":1,"name":"Subdivision","value":"NW"},{"id":4,"name":"Milepost","value":"0.0575"},{"id":17,"name":"Train ID","value":"830-08"},{"id":16,"name":"Locomotive ID","value":"4031"},{"id":130,"name":"Impact","value":""},{"id":150,"name":"Time of Event (Mountain Time)","value":"16:55:40"},{"id":151,"name":"Denver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/cygdrive/c/Users/stu/AppData/Local/Temp/OnboardLogs/RTDC4031 --include="*4031*201706082*"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"%USERPROFILE%\AppData\Local\Temp\OnboardLogs"\RTDC4031\*4031*201706082* &gt;&gt; 2017-06-08-SliceDisagreementCheck.txt</v>
      </c>
      <c r="AE42" s="148" t="str">
        <f t="shared" si="9"/>
        <v>start /low /b %USERPROFILE%\Documents\GitHub\eaglep3\Utilities\DownloadLogsFromS3.py --loco 4031 --day 2017-06-08</v>
      </c>
      <c r="AF42" s="1"/>
    </row>
    <row r="43" spans="1:32" x14ac:dyDescent="0.25">
      <c r="A43" s="31">
        <v>42894.746388888889</v>
      </c>
      <c r="B43" s="30" t="s">
        <v>544</v>
      </c>
      <c r="C43" s="30" t="s">
        <v>642</v>
      </c>
      <c r="D43" s="30" t="s">
        <v>49</v>
      </c>
      <c r="E43" s="30" t="s">
        <v>183</v>
      </c>
      <c r="F43" s="42">
        <v>0</v>
      </c>
      <c r="G43" s="42">
        <v>163</v>
      </c>
      <c r="H43" s="42">
        <v>1336</v>
      </c>
      <c r="I43" s="42">
        <v>1139</v>
      </c>
      <c r="J43" s="30" t="s">
        <v>184</v>
      </c>
      <c r="K43" s="42">
        <v>575</v>
      </c>
      <c r="L43" s="134" t="s">
        <v>51</v>
      </c>
      <c r="M43" s="135">
        <f t="shared" si="0"/>
        <v>297.79199999999997</v>
      </c>
      <c r="N43" s="136" t="str">
        <f>VLOOKUP(C43,'Trips&amp;Operators'!$C$1:$G$99999,5,FALSE)</f>
        <v>STAMBAUGH JAMES</v>
      </c>
      <c r="O43" s="210" t="s">
        <v>182</v>
      </c>
      <c r="P43" s="137"/>
      <c r="Q43" s="30"/>
      <c r="R43" s="84" t="str">
        <f>VLOOKUP(C43,'Train Runs'!$A$13:$AE$9934,31,0)</f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S43" s="87" t="str">
        <f>VLOOKUP(C43,'Train Runs'!$A$13:$AE$9934,22,0)</f>
        <v>https://d0f6bd738d7f1b3e5a7ca70fe4ff75f0.us-east-1.aws.found.io/app/kibana#/discover/Steve-Slow-Train-Analysis-(2080s-and-2083s)?_g=(refreshInterval:(display:Off,pause:!f,section:0,value:0),time:(from:'2017-06-08T16:37:00-0600',mode:absolute,to:'2017-06-08T18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3" s="89" t="str">
        <f t="shared" si="1"/>
        <v>"C:\Program Files (x86)\AstroGrep\AstroGrep.exe" /e /r /s /spath="%USERPROFILE%\AppData\Local\Temp\OnboardLogs" /stypes="*4031*201706082*" /stext=" 23:.+((SYSTEM_STATE.+slice.+state.+changed )|(ment ac)|(multiple cpu faults)|(system.+state.+changed )|(\[timeout)|(PRM\|1\|D)|(kpr)|(kdp)|(train st.+moving)|(\|lc)|(penalty))"</v>
      </c>
      <c r="U43" s="9" t="str">
        <f t="shared" si="2"/>
        <v>4031</v>
      </c>
      <c r="V43" s="31">
        <f t="shared" si="3"/>
        <v>42894.996388888889</v>
      </c>
      <c r="W43" s="45" t="str">
        <f t="shared" si="4"/>
        <v>NW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{"issue":{"subject":"","project_id":79,"tracker_id":40,"status_id":1,"priority_id":2,"assigned_to_id":23,"start_date":"2017-06-08","description":"","custom_fields":[{"id":1,"name":"Subdivision","value":"NW"},{"id":4,"name":"Milepost","value":"0.0575"},{"id":17,"name":"Train ID","value":"834-08"},{"id":16,"name":"Locomotive ID","value":"4031"},{"id":130,"name":"Impact","value":""},{"id":150,"name":"Time of Event (Mountain Time)","value":"17:54:48"},{"id":151,"name":"Denver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-hrE -A400 "Enforcement Action" /cygdrive/c/Users/stu/AppData/Local/Temp/OnboardLogs/RTDC4031 --include="*4031*201706082*"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"%USERPROFILE%\AppData\Local\Temp\OnboardLogs"\RTDC4031\*4031*201706082* &gt;&gt; 2017-06-08-SliceDisagreementCheck.txt</v>
      </c>
      <c r="AE43" s="148" t="str">
        <f t="shared" si="9"/>
        <v>start /low /b %USERPROFILE%\Documents\GitHub\eaglep3\Utilities\DownloadLogsFromS3.py --loco 4031 --day 2017-06-08</v>
      </c>
      <c r="AF43" s="1"/>
    </row>
    <row r="44" spans="1:32" x14ac:dyDescent="0.25">
      <c r="A44" s="31">
        <v>42894.746967592589</v>
      </c>
      <c r="B44" s="30" t="s">
        <v>544</v>
      </c>
      <c r="C44" s="30" t="s">
        <v>642</v>
      </c>
      <c r="D44" s="30" t="s">
        <v>49</v>
      </c>
      <c r="E44" s="30" t="s">
        <v>183</v>
      </c>
      <c r="F44" s="42">
        <v>0</v>
      </c>
      <c r="G44" s="42">
        <v>82</v>
      </c>
      <c r="H44" s="42">
        <v>951</v>
      </c>
      <c r="I44" s="42">
        <v>869</v>
      </c>
      <c r="J44" s="30" t="s">
        <v>184</v>
      </c>
      <c r="K44" s="42">
        <v>575</v>
      </c>
      <c r="L44" s="134" t="s">
        <v>51</v>
      </c>
      <c r="M44" s="135">
        <f t="shared" si="0"/>
        <v>155.232</v>
      </c>
      <c r="N44" s="136" t="str">
        <f>VLOOKUP(C44,'Trips&amp;Operators'!$C$1:$G$99999,5,FALSE)</f>
        <v>STAMBAUGH JAMES</v>
      </c>
      <c r="O44" s="210" t="s">
        <v>182</v>
      </c>
      <c r="P44" s="137"/>
      <c r="Q44" s="30"/>
      <c r="R44" s="84" t="str">
        <f>VLOOKUP(C44,'Train Runs'!$A$13:$AE$9934,31,0)</f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S44" s="87" t="str">
        <f>VLOOKUP(C44,'Train Runs'!$A$13:$AE$9934,22,0)</f>
        <v>https://d0f6bd738d7f1b3e5a7ca70fe4ff75f0.us-east-1.aws.found.io/app/kibana#/discover/Steve-Slow-Train-Analysis-(2080s-and-2083s)?_g=(refreshInterval:(display:Off,pause:!f,section:0,value:0),time:(from:'2017-06-08T16:37:00-0600',mode:absolute,to:'2017-06-08T18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4" s="89" t="str">
        <f t="shared" si="1"/>
        <v>"C:\Program Files (x86)\AstroGrep\AstroGrep.exe" /e /r /s /spath="%USERPROFILE%\AppData\Local\Temp\OnboardLogs" /stypes="*4031*201706082*" /stext=" 23:.+((SYSTEM_STATE.+slice.+state.+changed )|(ment ac)|(multiple cpu faults)|(system.+state.+changed )|(\[timeout)|(PRM\|1\|D)|(kpr)|(kdp)|(train st.+moving)|(\|lc)|(penalty))"</v>
      </c>
      <c r="U44" s="9" t="str">
        <f t="shared" si="2"/>
        <v>4031</v>
      </c>
      <c r="V44" s="31">
        <f t="shared" si="3"/>
        <v>42894.996967592589</v>
      </c>
      <c r="W44" s="45" t="str">
        <f t="shared" si="4"/>
        <v>NW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{"issue":{"subject":"","project_id":79,"tracker_id":40,"status_id":1,"priority_id":2,"assigned_to_id":23,"start_date":"2017-06-08","description":"","custom_fields":[{"id":1,"name":"Subdivision","value":"NW"},{"id":4,"name":"Milepost","value":"0.0575"},{"id":17,"name":"Train ID","value":"834-08"},{"id":16,"name":"Locomotive ID","value":"4031"},{"id":130,"name":"Impact","value":""},{"id":150,"name":"Time of Event (Mountain Time)","value":"17:55:38"},{"id":151,"name":"Denver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-hrE -A400 "Enforcement Action" /cygdrive/c/Users/stu/AppData/Local/Temp/OnboardLogs/RTDC4031 --include="*4031*201706082*"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"%USERPROFILE%\AppData\Local\Temp\OnboardLogs"\RTDC4031\*4031*201706082* &gt;&gt; 2017-06-08-SliceDisagreementCheck.txt</v>
      </c>
      <c r="AE44" s="148" t="str">
        <f t="shared" si="9"/>
        <v>start /low /b %USERPROFILE%\Documents\GitHub\eaglep3\Utilities\DownloadLogsFromS3.py --loco 4031 --day 2017-06-08</v>
      </c>
      <c r="AF44" s="1"/>
    </row>
    <row r="45" spans="1:32" x14ac:dyDescent="0.25">
      <c r="A45" s="31">
        <v>42894.821747685186</v>
      </c>
      <c r="B45" s="30" t="s">
        <v>618</v>
      </c>
      <c r="C45" s="30" t="s">
        <v>646</v>
      </c>
      <c r="D45" s="30" t="s">
        <v>98</v>
      </c>
      <c r="E45" s="30" t="s">
        <v>202</v>
      </c>
      <c r="F45" s="42">
        <v>200</v>
      </c>
      <c r="G45" s="42">
        <v>255</v>
      </c>
      <c r="H45" s="42">
        <v>6127</v>
      </c>
      <c r="I45" s="42">
        <v>6558</v>
      </c>
      <c r="J45" s="30" t="s">
        <v>203</v>
      </c>
      <c r="K45" s="42">
        <v>4790</v>
      </c>
      <c r="L45" s="134" t="s">
        <v>50</v>
      </c>
      <c r="M45" s="135">
        <f t="shared" si="0"/>
        <v>-933.50400000000002</v>
      </c>
      <c r="N45" s="136" t="str">
        <f>VLOOKUP(C45,'Trips&amp;Operators'!$C$1:$G$99999,5,FALSE)</f>
        <v>HOLCOMB KAMDEN</v>
      </c>
      <c r="O45" s="210" t="s">
        <v>182</v>
      </c>
      <c r="P45" s="137"/>
      <c r="Q45" s="30"/>
      <c r="R45" s="84" t="str">
        <f>VLOOKUP(C45,'Train Runs'!$A$13:$AE$9934,31,0)</f>
        <v>aws s3 cp s3://rtdc.mdm.uploadarchive.raw/RTDC4026/ "%USERPROFILE%\AppData\Local\Temp\OnboardLogs"\RTDC4026\2017-06-08 --exclude "*" --recursive --include "*20170608*" &amp; "%USERPROFILE%\Documents\GitHub\mrs-test-scripts\Headless Mode &amp; Sideloading\WalkAndUnGZ.bat" "%USERPROFILE%\AppData\Local\Temp\OnboardLogs"\RTDC4026\2017-06-08 &amp; aws s3 cp s3://rtdc.mdm.uploadarchive.raw/RTDC4026/ "%USERPROFILE%\AppData\Local\Temp\OnboardLogs"\RTDC4026\2017-06-09 --exclude "*" --recursive --include "*20170609*" &amp; "%USERPROFILE%\Documents\GitHub\mrs-test-scripts\Headless Mode &amp; Sideloading\WalkAndUnGZ.bat" "%USERPROFILE%\AppData\Local\Temp\OnboardLogs"\RTDC4026\2017-06-09</v>
      </c>
      <c r="S45" s="87" t="str">
        <f>VLOOKUP(C45,'Train Runs'!$A$13:$AE$9934,22,0)</f>
        <v>https://d0f6bd738d7f1b3e5a7ca70fe4ff75f0.us-east-1.aws.found.io/app/kibana#/discover/Steve-Slow-Train-Analysis-(2080s-and-2083s)?_g=(refreshInterval:(display:Off,pause:!f,section:0,value:0),time:(from:'2017-06-08T18:39:13-0600',mode:absolute,to:'2017-06-08T20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5" s="89" t="str">
        <f t="shared" si="1"/>
        <v>"C:\Program Files (x86)\AstroGrep\AstroGrep.exe" /e /r /s /spath="%USERPROFILE%\AppData\Local\Temp\OnboardLogs" /stypes="*4026*201706090*" /stext=" 01:.+((SYSTEM_STATE.+slice.+state.+changed )|(ment ac)|(multiple cpu faults)|(system.+state.+changed )|(\[timeout)|(PRM\|1\|D)|(kpr)|(kdp)|(train st.+moving)|(\|lc)|(penalty))"</v>
      </c>
      <c r="U45" s="9" t="str">
        <f t="shared" si="2"/>
        <v>4026</v>
      </c>
      <c r="V45" s="31">
        <f t="shared" si="3"/>
        <v>42895.071747685186</v>
      </c>
      <c r="W45" s="45" t="str">
        <f t="shared" si="4"/>
        <v>Other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{"issue":{"subject":"","project_id":79,"tracker_id":40,"status_id":1,"priority_id":2,"assigned_to_id":23,"start_date":"2017-06-08","description":"","custom_fields":[{"id":1,"name":"Subdivision","value":"Other"},{"id":4,"name":"Milepost","value":"0.479"},{"id":17,"name":"Train ID","value":"305-08"},{"id":16,"name":"Locomotive ID","value":"4026"},{"id":130,"name":"Impact","value":""},{"id":150,"name":"Time of Event (Mountain Time)","value":"19:43:19"},{"id":151,"name":"Denver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-hrE -A400 "Enforcement Action" /cygdrive/c/Users/stu/AppData/Local/Temp/OnboardLogs/RTDC4026 --include="*4026*201706090*"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"%USERPROFILE%\AppData\Local\Temp\OnboardLogs"\RTDC4026\*4026*201706090* &gt;&gt; 2017-06-08-SliceDisagreementCheck.txt</v>
      </c>
      <c r="AE45" s="148" t="str">
        <f t="shared" si="9"/>
        <v>start /low /b %USERPROFILE%\Documents\GitHub\eaglep3\Utilities\DownloadLogsFromS3.py --loco 4026 --day 2017-06-09</v>
      </c>
      <c r="AF45" s="1"/>
    </row>
    <row r="46" spans="1:32" x14ac:dyDescent="0.25">
      <c r="A46" s="31">
        <v>42894.11990740741</v>
      </c>
      <c r="B46" s="30" t="s">
        <v>371</v>
      </c>
      <c r="C46" s="30" t="s">
        <v>609</v>
      </c>
      <c r="D46" s="30" t="s">
        <v>98</v>
      </c>
      <c r="E46" s="30" t="s">
        <v>366</v>
      </c>
      <c r="F46" s="42">
        <v>0</v>
      </c>
      <c r="G46" s="42">
        <v>166</v>
      </c>
      <c r="H46" s="42">
        <v>21723</v>
      </c>
      <c r="I46" s="42">
        <v>21432</v>
      </c>
      <c r="J46" s="30" t="s">
        <v>367</v>
      </c>
      <c r="K46" s="42">
        <v>24161</v>
      </c>
      <c r="L46" s="134" t="s">
        <v>51</v>
      </c>
      <c r="M46" s="135">
        <f t="shared" si="0"/>
        <v>-1440.9119999999998</v>
      </c>
      <c r="N46" s="136" t="str">
        <f>VLOOKUP(C46,'Trips&amp;Operators'!$C$1:$G$99999,5,FALSE)</f>
        <v>SPECTOR MICHAEL</v>
      </c>
      <c r="O46" s="210" t="s">
        <v>182</v>
      </c>
      <c r="P46" s="137"/>
      <c r="Q46" s="30"/>
      <c r="R46" s="84" t="str">
        <f>VLOOKUP(C46,'Train Runs'!$A$13:$AE$9934,31,0)</f>
        <v>aws s3 cp s3://rtdc.mdm.uploadarchive.raw/RTDC4021/ "%USERPROFILE%\AppData\Local\Temp\OnboardLogs"\RTDC4021\2017-06-08 --exclude "*" --recursive --include "*20170608*" &amp; "%USERPROFILE%\Documents\GitHub\mrs-test-scripts\Headless Mode &amp; Sideloading\WalkAndUnGZ.bat" "%USERPROFILE%\AppData\Local\Temp\OnboardLogs"\RTDC4021\2017-06-08 &amp; aws s3 cp s3://rtdc.mdm.uploadarchive.raw/RTDC4021/ "%USERPROFILE%\AppData\Local\Temp\OnboardLogs"\RTDC4021\2017-06-09 --exclude "*" --recursive --include "*20170609*" &amp; "%USERPROFILE%\Documents\GitHub\mrs-test-scripts\Headless Mode &amp; Sideloading\WalkAndUnGZ.bat" "%USERPROFILE%\AppData\Local\Temp\OnboardLogs"\RTDC4021\2017-06-09</v>
      </c>
      <c r="S46" s="87" t="str">
        <f>VLOOKUP(C46,'Train Runs'!$A$13:$AE$9934,22,0)</f>
        <v>https://d0f6bd738d7f1b3e5a7ca70fe4ff75f0.us-east-1.aws.found.io/app/kibana#/discover/Steve-Slow-Train-Analysis-(2080s-and-2083s)?_g=(refreshInterval:(display:Off,pause:!f,section:0,value:0),time:(from:'2017-06-08T01:45:03-0600',mode:absolute,to:'2017-06-08T03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6" s="89" t="str">
        <f t="shared" si="1"/>
        <v>"C:\Program Files (x86)\AstroGrep\AstroGrep.exe" /e /r /s /spath="%USERPROFILE%\AppData\Local\Temp\OnboardLogs" /stypes="*4021*201706080*" /stext=" 08:.+((SYSTEM_STATE.+slice.+state.+changed )|(ment ac)|(multiple cpu faults)|(system.+state.+changed )|(\[timeout)|(PRM\|1\|D)|(kpr)|(kdp)|(train st.+moving)|(\|lc)|(penalty))"</v>
      </c>
      <c r="U46" s="9" t="str">
        <f t="shared" si="2"/>
        <v>4021</v>
      </c>
      <c r="V46" s="31">
        <f t="shared" si="3"/>
        <v>42894.36990740741</v>
      </c>
      <c r="W46" s="45" t="str">
        <f t="shared" si="4"/>
        <v>Other</v>
      </c>
      <c r="X46" s="45" t="str">
        <f t="shared" si="5"/>
        <v>KEEP</v>
      </c>
      <c r="Y46" s="99" t="str">
        <f t="shared" si="6"/>
        <v>echo {"issue":{"subject":"","project_id":79,"tracker_id":40,"status_id":1,"priority_id":2,"assigned_to_id":23,"start_date":"2017-06-08","description":"","custom_fields":[{"id":1,"name":"Subdivision","value":"Other"},{"id":4,"name":"Milepost","value":"2.4161"},{"id":17,"name":"Train ID","value":"50-08"},{"id":16,"name":"Locomotive ID","value":"4021"},{"id":130,"name":"Impact","value":""},{"id":150,"name":"Time of Event (Mountain Time)","value":"02:52:40"},{"id":151,"name":"Denver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7"/>
        <v>grep -hrE -A400 "Enforcement Action" /cygdrive/c/Users/stu/AppData/Local/Temp/OnboardLogs/RTDC4021 --include="*4021*201706080*"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"%USERPROFILE%\AppData\Local\Temp\OnboardLogs"\RTDC4021\*4021*201706080* &gt;&gt; 2017-06-08-SliceDisagreementCheck.txt</v>
      </c>
      <c r="AE46" s="148" t="str">
        <f t="shared" si="9"/>
        <v>start /low /b %USERPROFILE%\Documents\GitHub\eaglep3\Utilities\DownloadLogsFromS3.py --loco 4021 --day 2017-06-08</v>
      </c>
      <c r="AF46" s="1"/>
    </row>
    <row r="47" spans="1:32" x14ac:dyDescent="0.25">
      <c r="A47" s="31">
        <v>42894.181342592594</v>
      </c>
      <c r="B47" s="30" t="s">
        <v>610</v>
      </c>
      <c r="C47" s="30" t="s">
        <v>611</v>
      </c>
      <c r="D47" s="30" t="s">
        <v>98</v>
      </c>
      <c r="E47" s="30" t="s">
        <v>366</v>
      </c>
      <c r="F47" s="42">
        <v>0</v>
      </c>
      <c r="G47" s="42">
        <v>88</v>
      </c>
      <c r="H47" s="42">
        <v>23343</v>
      </c>
      <c r="I47" s="42">
        <v>23207</v>
      </c>
      <c r="J47" s="30" t="s">
        <v>367</v>
      </c>
      <c r="K47" s="42">
        <v>24161</v>
      </c>
      <c r="L47" s="134" t="s">
        <v>51</v>
      </c>
      <c r="M47" s="135">
        <f t="shared" si="0"/>
        <v>-503.71199999999999</v>
      </c>
      <c r="N47" s="136" t="str">
        <f>VLOOKUP(C47,'Trips&amp;Operators'!$C$1:$G$99999,5,FALSE)</f>
        <v>GUZMAN DANNY</v>
      </c>
      <c r="O47" s="210" t="s">
        <v>182</v>
      </c>
      <c r="P47" s="137"/>
      <c r="Q47" s="30"/>
      <c r="R47" s="84" t="str">
        <f>VLOOKUP(C47,'Train Runs'!$A$13:$AE$9934,31,0)</f>
        <v>aws s3 cp s3://rtdc.mdm.uploadarchive.raw/RTDC4029/ "%USERPROFILE%\AppData\Local\Temp\OnboardLogs"\RTDC4029\2017-06-08 --exclude "*" --recursive --include "*20170608*" &amp; "%USERPROFILE%\Documents\GitHub\mrs-test-scripts\Headless Mode &amp; Sideloading\WalkAndUnGZ.bat" "%USERPROFILE%\AppData\Local\Temp\OnboardLogs"\RTDC4029\2017-06-08 &amp; aws s3 cp s3://rtdc.mdm.uploadarchive.raw/RTDC4029/ "%USERPROFILE%\AppData\Local\Temp\OnboardLogs"\RTDC4029\2017-06-09 --exclude "*" --recursive --include "*20170609*" &amp; "%USERPROFILE%\Documents\GitHub\mrs-test-scripts\Headless Mode &amp; Sideloading\WalkAndUnGZ.bat" "%USERPROFILE%\AppData\Local\Temp\OnboardLogs"\RTDC4029\2017-06-09</v>
      </c>
      <c r="S47" s="87" t="str">
        <f>VLOOKUP(C47,'Train Runs'!$A$13:$AE$9934,22,0)</f>
        <v>https://d0f6bd738d7f1b3e5a7ca70fe4ff75f0.us-east-1.aws.found.io/app/kibana#/discover/Steve-Slow-Train-Analysis-(2080s-and-2083s)?_g=(refreshInterval:(display:Off,pause:!f,section:0,value:0),time:(from:'2017-06-08T03:22:19-0600',mode:absolute,to:'2017-06-08T05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7" s="89" t="str">
        <f t="shared" si="1"/>
        <v>"C:\Program Files (x86)\AstroGrep\AstroGrep.exe" /e /r /s /spath="%USERPROFILE%\AppData\Local\Temp\OnboardLogs" /stypes="*4029*201706081*" /stext=" 10:.+((SYSTEM_STATE.+slice.+state.+changed )|(ment ac)|(multiple cpu faults)|(system.+state.+changed )|(\[timeout)|(PRM\|1\|D)|(kpr)|(kdp)|(train st.+moving)|(\|lc)|(penalty))"</v>
      </c>
      <c r="U47" s="9" t="str">
        <f t="shared" si="2"/>
        <v>4029</v>
      </c>
      <c r="V47" s="31">
        <f t="shared" si="3"/>
        <v>42894.431342592594</v>
      </c>
      <c r="W47" s="45" t="str">
        <f t="shared" si="4"/>
        <v>Other</v>
      </c>
      <c r="X47" s="45" t="str">
        <f t="shared" si="5"/>
        <v>KEEP</v>
      </c>
      <c r="Y47" s="99" t="str">
        <f t="shared" si="6"/>
        <v>echo {"issue":{"subject":"","project_id":79,"tracker_id":40,"status_id":1,"priority_id":2,"assigned_to_id":23,"start_date":"2017-06-08","description":"","custom_fields":[{"id":1,"name":"Subdivision","value":"Other"},{"id":4,"name":"Milepost","value":"2.4161"},{"id":17,"name":"Train ID","value":"308-08"},{"id":16,"name":"Locomotive ID","value":"4029"},{"id":130,"name":"Impact","value":""},{"id":150,"name":"Time of Event (Mountain Time)","value":"04:21:08"},{"id":151,"name":"Denver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7"/>
        <v>grep -hrE -A400 "Enforcement Action" /cygdrive/c/Users/stu/AppData/Local/Temp/OnboardLogs/RTDC4029 --include="*4029*201706081*"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"%USERPROFILE%\AppData\Local\Temp\OnboardLogs"\RTDC4029\*4029*201706081* &gt;&gt; 2017-06-08-SliceDisagreementCheck.txt</v>
      </c>
      <c r="AE47" s="148" t="str">
        <f t="shared" si="9"/>
        <v>start /low /b %USERPROFILE%\Documents\GitHub\eaglep3\Utilities\DownloadLogsFromS3.py --loco 4029 --day 2017-06-08</v>
      </c>
      <c r="AF47" s="1"/>
    </row>
    <row r="48" spans="1:32" x14ac:dyDescent="0.25">
      <c r="A48" s="31">
        <v>42894.94494212963</v>
      </c>
      <c r="B48" s="30" t="s">
        <v>544</v>
      </c>
      <c r="C48" s="30" t="s">
        <v>649</v>
      </c>
      <c r="D48" s="30" t="s">
        <v>98</v>
      </c>
      <c r="E48" s="30" t="s">
        <v>366</v>
      </c>
      <c r="F48" s="42">
        <v>0</v>
      </c>
      <c r="G48" s="42">
        <v>70</v>
      </c>
      <c r="H48" s="42">
        <v>58289</v>
      </c>
      <c r="I48" s="42">
        <v>58258</v>
      </c>
      <c r="J48" s="30" t="s">
        <v>367</v>
      </c>
      <c r="K48" s="42">
        <v>58472</v>
      </c>
      <c r="L48" s="134" t="s">
        <v>51</v>
      </c>
      <c r="M48" s="135">
        <f t="shared" si="0"/>
        <v>-112.992</v>
      </c>
      <c r="N48" s="136" t="str">
        <f>VLOOKUP(C48,'Trips&amp;Operators'!$C$1:$G$99999,5,FALSE)</f>
        <v>HAITHCOX MICHAEL</v>
      </c>
      <c r="O48" s="210" t="s">
        <v>182</v>
      </c>
      <c r="P48" s="137"/>
      <c r="Q48" s="30"/>
      <c r="R48" s="84" t="str">
        <f>VLOOKUP(C48,'Train Runs'!$A$13:$AE$9934,31,0)</f>
        <v>aws s3 cp s3://rtdc.mdm.uploadarchive.raw/RTDC4031/ "%USERPROFILE%\AppData\Local\Temp\OnboardLogs"\RTDC4031\2017-06-08 --exclude "*" --recursive --include "*20170608*" &amp; "%USERPROFILE%\Documents\GitHub\mrs-test-scripts\Headless Mode &amp; Sideloading\WalkAndUnGZ.bat" "%USERPROFILE%\AppData\Local\Temp\OnboardLogs"\RTDC4031\2017-06-08 &amp; aws s3 cp s3://rtdc.mdm.uploadarchive.raw/RTDC4031/ "%USERPROFILE%\AppData\Local\Temp\OnboardLogs"\RTDC4031\2017-06-09 --exclude "*" --recursive --include "*20170609*" &amp; "%USERPROFILE%\Documents\GitHub\mrs-test-scripts\Headless Mode &amp; Sideloading\WalkAndUnGZ.bat" "%USERPROFILE%\AppData\Local\Temp\OnboardLogs"\RTDC4031\2017-06-09</v>
      </c>
      <c r="S48" s="87" t="str">
        <f>VLOOKUP(C48,'Train Runs'!$A$13:$AE$9934,22,0)</f>
        <v>https://d0f6bd738d7f1b3e5a7ca70fe4ff75f0.us-east-1.aws.found.io/app/kibana#/discover/Steve-Slow-Train-Analysis-(2080s-and-2083s)?_g=(refreshInterval:(display:Off,pause:!f,section:0,value:0),time:(from:'2017-06-08T21:38:26-0600',mode:absolute,to:'2017-06-08T23:40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8" s="89" t="str">
        <f t="shared" si="1"/>
        <v>"C:\Program Files (x86)\AstroGrep\AstroGrep.exe" /e /r /s /spath="%USERPROFILE%\AppData\Local\Temp\OnboardLogs" /stypes="*4031*201706090*" /stext=" 04:.+((SYSTEM_STATE.+slice.+state.+changed )|(ment ac)|(multiple cpu faults)|(system.+state.+changed )|(\[timeout)|(PRM\|1\|D)|(kpr)|(kdp)|(train st.+moving)|(\|lc)|(penalty))"</v>
      </c>
      <c r="U48" s="9" t="str">
        <f t="shared" si="2"/>
        <v>4031</v>
      </c>
      <c r="V48" s="31">
        <f t="shared" si="3"/>
        <v>42895.19494212963</v>
      </c>
      <c r="W48" s="45" t="str">
        <f t="shared" si="4"/>
        <v>Other</v>
      </c>
      <c r="X48" s="45" t="str">
        <f t="shared" si="5"/>
        <v>KEEP</v>
      </c>
      <c r="Y48" s="99" t="str">
        <f t="shared" si="6"/>
        <v>echo {"issue":{"subject":"","project_id":79,"tracker_id":40,"status_id":1,"priority_id":2,"assigned_to_id":23,"start_date":"2017-06-08","description":"","custom_fields":[{"id":1,"name":"Subdivision","value":"Other"},{"id":4,"name":"Milepost","value":"5.8472"},{"id":17,"name":"Train ID","value":"908-08"},{"id":16,"name":"Locomotive ID","value":"4031"},{"id":130,"name":"Impact","value":""},{"id":150,"name":"Time of Event (Mountain Time)","value":"22:40:43"},{"id":151,"name":"Denver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7"/>
        <v>grep -hrE -A400 "Enforcement Action" /cygdrive/c/Users/stu/AppData/Local/Temp/OnboardLogs/RTDC4031 --include="*4031*201706090*"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"%USERPROFILE%\AppData\Local\Temp\OnboardLogs"\RTDC4031\*4031*201706090* &gt;&gt; 2017-06-08-SliceDisagreementCheck.txt</v>
      </c>
      <c r="AE48" s="148" t="str">
        <f t="shared" si="9"/>
        <v>start /low /b %USERPROFILE%\Documents\GitHub\eaglep3\Utilities\DownloadLogsFromS3.py --loco 4031 --day 2017-06-09</v>
      </c>
      <c r="AF48" s="1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Z76"/>
      <c r="AC76"/>
      <c r="AE76"/>
    </row>
    <row r="77" spans="1:31" x14ac:dyDescent="0.25">
      <c r="A77"/>
      <c r="D77"/>
      <c r="E77"/>
      <c r="F77"/>
      <c r="G77"/>
      <c r="H77"/>
      <c r="I77"/>
      <c r="J77"/>
      <c r="K77"/>
      <c r="L77"/>
      <c r="M77"/>
      <c r="N77"/>
      <c r="O77"/>
      <c r="P77"/>
      <c r="R77"/>
      <c r="S77"/>
      <c r="T77"/>
      <c r="V77"/>
      <c r="Z77"/>
      <c r="AC77"/>
      <c r="AE77"/>
    </row>
  </sheetData>
  <autoFilter ref="A6:AC77">
    <sortState ref="A7:AC77">
      <sortCondition ref="W7:W48"/>
      <sortCondition ref="E7:E48"/>
      <sortCondition ref="K7:K48"/>
      <sortCondition ref="F7:F48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8:O1048576 O7:O4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AA7:AA48</xm:sqref>
        </x14:dataValidation>
        <x14:dataValidation type="list" allowBlank="1" showInputMessage="1" showErrorMessage="1">
          <x14:formula1>
            <xm:f>'Redmine List Values'!$C$2:$C$15</xm:f>
          </x14:formula1>
          <xm:sqref>AB7:AB48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1"/>
  <sheetViews>
    <sheetView workbookViewId="0"/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2017-06-08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/>
      <c r="B3" s="42" t="str">
        <f>A3&amp;"-"&amp;IF(DAY(Variables!$A$2)&lt;10,0,"")&amp;DAY(Variables!$A$2)</f>
        <v>-08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3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" s="30" t="e">
        <f>VLOOKUP(B3,'Train Runs'!$A$13:$A$99931,1,FALSE)</f>
        <v>#N/A</v>
      </c>
    </row>
    <row r="4" spans="1:10" x14ac:dyDescent="0.25">
      <c r="A4" s="202"/>
      <c r="B4" s="42" t="str">
        <f>A4&amp;"-"&amp;IF(DAY(Variables!$A$2)&lt;10,0,"")&amp;DAY(Variables!$A$2)</f>
        <v>-08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" s="30" t="e">
        <f>VLOOKUP(B4,'Train Runs'!$A$13:$A$99931,1,FALSE)</f>
        <v>#N/A</v>
      </c>
    </row>
    <row r="5" spans="1:10" x14ac:dyDescent="0.25">
      <c r="A5" s="202"/>
      <c r="B5" s="42" t="str">
        <f>A5&amp;"-"&amp;IF(DAY(Variables!$A$2)&lt;10,0,"")&amp;DAY(Variables!$A$2)</f>
        <v>-08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" s="30" t="e">
        <f>VLOOKUP(B5,'Train Runs'!$A$13:$A$99931,1,FALSE)</f>
        <v>#N/A</v>
      </c>
    </row>
    <row r="6" spans="1:10" x14ac:dyDescent="0.25">
      <c r="A6" s="202"/>
      <c r="B6" s="42" t="str">
        <f>A6&amp;"-"&amp;IF(DAY(Variables!$A$2)&lt;10,0,"")&amp;DAY(Variables!$A$2)</f>
        <v>-08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" s="30" t="e">
        <f>VLOOKUP(B6,'Train Runs'!$A$13:$A$99931,1,FALSE)</f>
        <v>#N/A</v>
      </c>
    </row>
    <row r="7" spans="1:10" x14ac:dyDescent="0.25">
      <c r="A7" s="202"/>
      <c r="B7" s="42" t="str">
        <f>A7&amp;"-"&amp;IF(DAY(Variables!$A$2)&lt;10,0,"")&amp;DAY(Variables!$A$2)</f>
        <v>-08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" s="30" t="e">
        <f>VLOOKUP(B7,'Train Runs'!$A$13:$A$99931,1,FALSE)</f>
        <v>#N/A</v>
      </c>
    </row>
    <row r="8" spans="1:10" x14ac:dyDescent="0.25">
      <c r="A8" s="202"/>
      <c r="B8" s="42" t="str">
        <f>A8&amp;"-"&amp;IF(DAY(Variables!$A$2)&lt;10,0,"")&amp;DAY(Variables!$A$2)</f>
        <v>-08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" s="30" t="e">
        <f>VLOOKUP(B8,'Train Runs'!$A$13:$A$99931,1,FALSE)</f>
        <v>#N/A</v>
      </c>
    </row>
    <row r="9" spans="1:10" x14ac:dyDescent="0.25">
      <c r="A9" s="202"/>
      <c r="B9" s="42" t="str">
        <f>A9&amp;"-"&amp;IF(DAY(Variables!$A$2)&lt;10,0,"")&amp;DAY(Variables!$A$2)</f>
        <v>-08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" s="30" t="e">
        <f>VLOOKUP(B9,'Train Runs'!$A$13:$A$99931,1,FALSE)</f>
        <v>#N/A</v>
      </c>
    </row>
    <row r="10" spans="1:10" x14ac:dyDescent="0.25">
      <c r="A10" s="202"/>
      <c r="B10" s="42" t="str">
        <f>A10&amp;"-"&amp;IF(DAY(Variables!$A$2)&lt;10,0,"")&amp;DAY(Variables!$A$2)</f>
        <v>-08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" s="30" t="e">
        <f>VLOOKUP(B10,'Train Runs'!$A$13:$A$99931,1,FALSE)</f>
        <v>#N/A</v>
      </c>
    </row>
    <row r="11" spans="1:10" x14ac:dyDescent="0.25">
      <c r="A11" s="202"/>
      <c r="B11" s="42" t="str">
        <f>A11&amp;"-"&amp;IF(DAY(Variables!$A$2)&lt;10,0,"")&amp;DAY(Variables!$A$2)</f>
        <v>-08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" s="30" t="e">
        <f>VLOOKUP(B11,'Train Runs'!$A$13:$A$99931,1,FALSE)</f>
        <v>#N/A</v>
      </c>
    </row>
    <row r="12" spans="1:10" x14ac:dyDescent="0.25">
      <c r="A12" s="202"/>
      <c r="B12" s="42" t="str">
        <f>A12&amp;"-"&amp;IF(DAY(Variables!$A$2)&lt;10,0,"")&amp;DAY(Variables!$A$2)</f>
        <v>-08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2" s="30" t="e">
        <f>VLOOKUP(B12,'Train Runs'!$A$13:$A$99931,1,FALSE)</f>
        <v>#N/A</v>
      </c>
    </row>
    <row r="13" spans="1:10" x14ac:dyDescent="0.25">
      <c r="A13" s="202"/>
      <c r="B13" s="42" t="str">
        <f>A13&amp;"-"&amp;IF(DAY(Variables!$A$2)&lt;10,0,"")&amp;DAY(Variables!$A$2)</f>
        <v>-08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3" s="30" t="e">
        <f>VLOOKUP(B13,'Train Runs'!$A$13:$A$99931,1,FALSE)</f>
        <v>#N/A</v>
      </c>
    </row>
    <row r="14" spans="1:10" x14ac:dyDescent="0.25">
      <c r="A14" s="202"/>
      <c r="B14" s="42" t="str">
        <f>A14&amp;"-"&amp;IF(DAY(Variables!$A$2)&lt;10,0,"")&amp;DAY(Variables!$A$2)</f>
        <v>-08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4" s="30" t="e">
        <f>VLOOKUP(B14,'Train Runs'!$A$13:$A$99931,1,FALSE)</f>
        <v>#N/A</v>
      </c>
    </row>
    <row r="15" spans="1:10" x14ac:dyDescent="0.25">
      <c r="A15" s="202"/>
      <c r="B15" s="42" t="str">
        <f>A15&amp;"-"&amp;IF(DAY(Variables!$A$2)&lt;10,0,"")&amp;DAY(Variables!$A$2)</f>
        <v>-08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5" s="30" t="e">
        <f>VLOOKUP(B15,'Train Runs'!$A$13:$A$99931,1,FALSE)</f>
        <v>#N/A</v>
      </c>
    </row>
    <row r="16" spans="1:10" x14ac:dyDescent="0.25">
      <c r="A16" s="202"/>
      <c r="B16" s="42" t="str">
        <f>A16&amp;"-"&amp;IF(DAY(Variables!$A$2)&lt;10,0,"")&amp;DAY(Variables!$A$2)</f>
        <v>-08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6" s="30" t="e">
        <f>VLOOKUP(B16,'Train Runs'!$A$13:$A$99931,1,FALSE)</f>
        <v>#N/A</v>
      </c>
    </row>
    <row r="17" spans="1:10" x14ac:dyDescent="0.25">
      <c r="A17" s="202"/>
      <c r="B17" s="42" t="str">
        <f>A17&amp;"-"&amp;IF(DAY(Variables!$A$2)&lt;10,0,"")&amp;DAY(Variables!$A$2)</f>
        <v>-08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7" s="30" t="e">
        <f>VLOOKUP(B17,'Train Runs'!$A$13:$A$99931,1,FALSE)</f>
        <v>#N/A</v>
      </c>
    </row>
    <row r="18" spans="1:10" x14ac:dyDescent="0.25">
      <c r="A18" s="202"/>
      <c r="B18" s="42" t="str">
        <f>A18&amp;"-"&amp;IF(DAY(Variables!$A$2)&lt;10,0,"")&amp;DAY(Variables!$A$2)</f>
        <v>-08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8" s="30" t="e">
        <f>VLOOKUP(B18,'Train Runs'!$A$13:$A$99931,1,FALSE)</f>
        <v>#N/A</v>
      </c>
    </row>
    <row r="19" spans="1:10" x14ac:dyDescent="0.25">
      <c r="A19" s="202"/>
      <c r="B19" s="42" t="str">
        <f>A19&amp;"-"&amp;IF(DAY(Variables!$A$2)&lt;10,0,"")&amp;DAY(Variables!$A$2)</f>
        <v>-08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9" s="30" t="e">
        <f>VLOOKUP(B19,'Train Runs'!$A$13:$A$99931,1,FALSE)</f>
        <v>#N/A</v>
      </c>
    </row>
    <row r="20" spans="1:10" x14ac:dyDescent="0.25">
      <c r="A20" s="202"/>
      <c r="B20" s="42" t="str">
        <f>A20&amp;"-"&amp;IF(DAY(Variables!$A$2)&lt;10,0,"")&amp;DAY(Variables!$A$2)</f>
        <v>-08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0" s="30" t="e">
        <f>VLOOKUP(B20,'Train Runs'!$A$13:$A$99931,1,FALSE)</f>
        <v>#N/A</v>
      </c>
    </row>
    <row r="21" spans="1:10" x14ac:dyDescent="0.25">
      <c r="A21" s="202"/>
      <c r="B21" s="42" t="str">
        <f>A21&amp;"-"&amp;IF(DAY(Variables!$A$2)&lt;10,0,"")&amp;DAY(Variables!$A$2)</f>
        <v>-08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1" s="30" t="e">
        <f>VLOOKUP(B21,'Train Runs'!$A$13:$A$99931,1,FALSE)</f>
        <v>#N/A</v>
      </c>
    </row>
    <row r="22" spans="1:10" x14ac:dyDescent="0.25">
      <c r="A22" s="202"/>
      <c r="B22" s="42" t="str">
        <f>A22&amp;"-"&amp;IF(DAY(Variables!$A$2)&lt;10,0,"")&amp;DAY(Variables!$A$2)</f>
        <v>-08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2" s="30" t="e">
        <f>VLOOKUP(B22,'Train Runs'!$A$13:$A$99931,1,FALSE)</f>
        <v>#N/A</v>
      </c>
    </row>
    <row r="23" spans="1:10" x14ac:dyDescent="0.25">
      <c r="A23" s="202"/>
      <c r="B23" s="42" t="str">
        <f>A23&amp;"-"&amp;IF(DAY(Variables!$A$2)&lt;10,0,"")&amp;DAY(Variables!$A$2)</f>
        <v>-08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3" s="30" t="e">
        <f>VLOOKUP(B23,'Train Runs'!$A$13:$A$99931,1,FALSE)</f>
        <v>#N/A</v>
      </c>
    </row>
    <row r="24" spans="1:10" x14ac:dyDescent="0.25">
      <c r="A24" s="202"/>
      <c r="B24" s="42" t="str">
        <f>A24&amp;"-"&amp;IF(DAY(Variables!$A$2)&lt;10,0,"")&amp;DAY(Variables!$A$2)</f>
        <v>-08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4" s="30" t="e">
        <f>VLOOKUP(B24,'Train Runs'!$A$13:$A$99931,1,FALSE)</f>
        <v>#N/A</v>
      </c>
    </row>
    <row r="25" spans="1:10" x14ac:dyDescent="0.25">
      <c r="A25" s="202"/>
      <c r="B25" s="42" t="str">
        <f>A25&amp;"-"&amp;IF(DAY(Variables!$A$2)&lt;10,0,"")&amp;DAY(Variables!$A$2)</f>
        <v>-08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5" s="30" t="e">
        <f>VLOOKUP(B25,'Train Runs'!$A$13:$A$99931,1,FALSE)</f>
        <v>#N/A</v>
      </c>
    </row>
    <row r="26" spans="1:10" x14ac:dyDescent="0.25">
      <c r="A26" s="202"/>
      <c r="B26" s="42" t="str">
        <f>A26&amp;"-"&amp;IF(DAY(Variables!$A$2)&lt;10,0,"")&amp;DAY(Variables!$A$2)</f>
        <v>-08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6" s="30" t="e">
        <f>VLOOKUP(B26,'Train Runs'!$A$13:$A$99931,1,FALSE)</f>
        <v>#N/A</v>
      </c>
    </row>
    <row r="27" spans="1:10" x14ac:dyDescent="0.25">
      <c r="A27" s="202"/>
      <c r="B27" s="42" t="str">
        <f>A27&amp;"-"&amp;IF(DAY(Variables!$A$2)&lt;10,0,"")&amp;DAY(Variables!$A$2)</f>
        <v>-08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7" s="30" t="e">
        <f>VLOOKUP(B27,'Train Runs'!$A$13:$A$99931,1,FALSE)</f>
        <v>#N/A</v>
      </c>
    </row>
    <row r="28" spans="1:10" x14ac:dyDescent="0.25">
      <c r="A28" s="202"/>
      <c r="B28" s="42" t="str">
        <f>A28&amp;"-"&amp;IF(DAY(Variables!$A$2)&lt;10,0,"")&amp;DAY(Variables!$A$2)</f>
        <v>-08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8" s="30" t="e">
        <f>VLOOKUP(B28,'Train Runs'!$A$13:$A$99931,1,FALSE)</f>
        <v>#N/A</v>
      </c>
    </row>
    <row r="29" spans="1:10" x14ac:dyDescent="0.25">
      <c r="A29" s="202"/>
      <c r="B29" s="42" t="str">
        <f>A29&amp;"-"&amp;IF(DAY(Variables!$A$2)&lt;10,0,"")&amp;DAY(Variables!$A$2)</f>
        <v>-08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9" s="30" t="e">
        <f>VLOOKUP(B29,'Train Runs'!$A$13:$A$99931,1,FALSE)</f>
        <v>#N/A</v>
      </c>
    </row>
    <row r="30" spans="1:10" x14ac:dyDescent="0.25">
      <c r="A30" s="202"/>
      <c r="B30" s="42" t="str">
        <f>A30&amp;"-"&amp;IF(DAY(Variables!$A$2)&lt;10,0,"")&amp;DAY(Variables!$A$2)</f>
        <v>-08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0" s="30" t="e">
        <f>VLOOKUP(B30,'Train Runs'!$A$13:$A$99931,1,FALSE)</f>
        <v>#N/A</v>
      </c>
    </row>
    <row r="31" spans="1:10" x14ac:dyDescent="0.25">
      <c r="A31" s="202"/>
      <c r="B31" s="42" t="str">
        <f>A31&amp;"-"&amp;IF(DAY(Variables!$A$2)&lt;10,0,"")&amp;DAY(Variables!$A$2)</f>
        <v>-08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1" s="30" t="e">
        <f>VLOOKUP(B31,'Train Runs'!$A$13:$A$99931,1,FALSE)</f>
        <v>#N/A</v>
      </c>
    </row>
    <row r="32" spans="1:10" x14ac:dyDescent="0.25">
      <c r="A32" s="202"/>
      <c r="B32" s="42" t="str">
        <f>A32&amp;"-"&amp;IF(DAY(Variables!$A$2)&lt;10,0,"")&amp;DAY(Variables!$A$2)</f>
        <v>-08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2" s="30" t="e">
        <f>VLOOKUP(B32,'Train Runs'!$A$13:$A$99931,1,FALSE)</f>
        <v>#N/A</v>
      </c>
    </row>
    <row r="33" spans="1:10" x14ac:dyDescent="0.25">
      <c r="A33" s="202"/>
      <c r="B33" s="42" t="str">
        <f>A33&amp;"-"&amp;IF(DAY(Variables!$A$2)&lt;10,0,"")&amp;DAY(Variables!$A$2)</f>
        <v>-08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3" s="30" t="e">
        <f>VLOOKUP(B33,'Train Runs'!$A$13:$A$99931,1,FALSE)</f>
        <v>#N/A</v>
      </c>
    </row>
    <row r="34" spans="1:10" x14ac:dyDescent="0.25">
      <c r="A34" s="202"/>
      <c r="B34" s="42" t="str">
        <f>A34&amp;"-"&amp;IF(DAY(Variables!$A$2)&lt;10,0,"")&amp;DAY(Variables!$A$2)</f>
        <v>-08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4" s="30" t="e">
        <f>VLOOKUP(B34,'Train Runs'!$A$13:$A$99931,1,FALSE)</f>
        <v>#N/A</v>
      </c>
    </row>
    <row r="35" spans="1:10" x14ac:dyDescent="0.25">
      <c r="A35" s="202"/>
      <c r="B35" s="42" t="str">
        <f>A35&amp;"-"&amp;IF(DAY(Variables!$A$2)&lt;10,0,"")&amp;DAY(Variables!$A$2)</f>
        <v>-08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ref="I35:I5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5" s="30" t="e">
        <f>VLOOKUP(B35,'Train Runs'!$A$13:$A$99931,1,FALSE)</f>
        <v>#N/A</v>
      </c>
    </row>
    <row r="36" spans="1:10" x14ac:dyDescent="0.25">
      <c r="A36" s="202"/>
      <c r="B36" s="42" t="str">
        <f>A36&amp;"-"&amp;IF(DAY(Variables!$A$2)&lt;10,0,"")&amp;DAY(Variables!$A$2)</f>
        <v>-08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6" s="30" t="e">
        <f>VLOOKUP(B36,'Train Runs'!$A$13:$A$99931,1,FALSE)</f>
        <v>#N/A</v>
      </c>
    </row>
    <row r="37" spans="1:10" x14ac:dyDescent="0.25">
      <c r="A37" s="202"/>
      <c r="B37" s="42" t="str">
        <f>A37&amp;"-"&amp;IF(DAY(Variables!$A$2)&lt;10,0,"")&amp;DAY(Variables!$A$2)</f>
        <v>-08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7" s="30" t="e">
        <f>VLOOKUP(B37,'Train Runs'!$A$13:$A$99931,1,FALSE)</f>
        <v>#N/A</v>
      </c>
    </row>
    <row r="38" spans="1:10" x14ac:dyDescent="0.25">
      <c r="A38" s="202"/>
      <c r="B38" s="42" t="str">
        <f>A38&amp;"-"&amp;IF(DAY(Variables!$A$2)&lt;10,0,"")&amp;DAY(Variables!$A$2)</f>
        <v>-08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8" s="30" t="e">
        <f>VLOOKUP(B38,'Train Runs'!$A$13:$A$99931,1,FALSE)</f>
        <v>#N/A</v>
      </c>
    </row>
    <row r="39" spans="1:10" x14ac:dyDescent="0.25">
      <c r="A39" s="202"/>
      <c r="B39" s="42" t="str">
        <f>A39&amp;"-"&amp;IF(DAY(Variables!$A$2)&lt;10,0,"")&amp;DAY(Variables!$A$2)</f>
        <v>-08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9" s="30" t="e">
        <f>VLOOKUP(B39,'Train Runs'!$A$13:$A$99931,1,FALSE)</f>
        <v>#N/A</v>
      </c>
    </row>
    <row r="40" spans="1:10" x14ac:dyDescent="0.25">
      <c r="A40" s="202"/>
      <c r="B40" s="42" t="str">
        <f>A40&amp;"-"&amp;IF(DAY(Variables!$A$2)&lt;10,0,"")&amp;DAY(Variables!$A$2)</f>
        <v>-08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0" s="30" t="e">
        <f>VLOOKUP(B40,'Train Runs'!$A$13:$A$99931,1,FALSE)</f>
        <v>#N/A</v>
      </c>
    </row>
    <row r="41" spans="1:10" x14ac:dyDescent="0.25">
      <c r="A41" s="202"/>
      <c r="B41" s="42" t="str">
        <f>A41&amp;"-"&amp;IF(DAY(Variables!$A$2)&lt;10,0,"")&amp;DAY(Variables!$A$2)</f>
        <v>-08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1" s="30" t="e">
        <f>VLOOKUP(B41,'Train Runs'!$A$13:$A$99931,1,FALSE)</f>
        <v>#N/A</v>
      </c>
    </row>
    <row r="42" spans="1:10" x14ac:dyDescent="0.25">
      <c r="A42" s="202"/>
      <c r="B42" s="42" t="str">
        <f>A42&amp;"-"&amp;IF(DAY(Variables!$A$2)&lt;10,0,"")&amp;DAY(Variables!$A$2)</f>
        <v>-08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2" s="30" t="e">
        <f>VLOOKUP(B42,'Train Runs'!$A$13:$A$99931,1,FALSE)</f>
        <v>#N/A</v>
      </c>
    </row>
    <row r="43" spans="1:10" x14ac:dyDescent="0.25">
      <c r="A43" s="202"/>
      <c r="B43" s="42" t="str">
        <f>A43&amp;"-"&amp;IF(DAY(Variables!$A$2)&lt;10,0,"")&amp;DAY(Variables!$A$2)</f>
        <v>-08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3" s="30" t="e">
        <f>VLOOKUP(B43,'Train Runs'!$A$13:$A$99931,1,FALSE)</f>
        <v>#N/A</v>
      </c>
    </row>
    <row r="44" spans="1:10" x14ac:dyDescent="0.25">
      <c r="A44" s="202"/>
      <c r="B44" s="42" t="str">
        <f>A44&amp;"-"&amp;IF(DAY(Variables!$A$2)&lt;10,0,"")&amp;DAY(Variables!$A$2)</f>
        <v>-08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4" s="30" t="e">
        <f>VLOOKUP(B44,'Train Runs'!$A$13:$A$99931,1,FALSE)</f>
        <v>#N/A</v>
      </c>
    </row>
    <row r="45" spans="1:10" x14ac:dyDescent="0.25">
      <c r="A45" s="202"/>
      <c r="B45" s="42" t="str">
        <f>A45&amp;"-"&amp;IF(DAY(Variables!$A$2)&lt;10,0,"")&amp;DAY(Variables!$A$2)</f>
        <v>-08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5" s="30" t="e">
        <f>VLOOKUP(B45,'Train Runs'!$A$13:$A$99931,1,FALSE)</f>
        <v>#N/A</v>
      </c>
    </row>
    <row r="46" spans="1:10" x14ac:dyDescent="0.25">
      <c r="A46" s="202"/>
      <c r="B46" s="42" t="str">
        <f>A46&amp;"-"&amp;IF(DAY(Variables!$A$2)&lt;10,0,"")&amp;DAY(Variables!$A$2)</f>
        <v>-08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6" s="30" t="e">
        <f>VLOOKUP(B46,'Train Runs'!$A$13:$A$99931,1,FALSE)</f>
        <v>#N/A</v>
      </c>
    </row>
    <row r="47" spans="1:10" x14ac:dyDescent="0.25">
      <c r="A47" s="202"/>
      <c r="B47" s="42" t="str">
        <f>A47&amp;"-"&amp;IF(DAY(Variables!$A$2)&lt;10,0,"")&amp;DAY(Variables!$A$2)</f>
        <v>-08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7" s="30" t="e">
        <f>VLOOKUP(B47,'Train Runs'!$A$13:$A$99931,1,FALSE)</f>
        <v>#N/A</v>
      </c>
    </row>
    <row r="48" spans="1:10" x14ac:dyDescent="0.25">
      <c r="A48" s="202"/>
      <c r="B48" s="42" t="str">
        <f>A48&amp;"-"&amp;IF(DAY(Variables!$A$2)&lt;10,0,"")&amp;DAY(Variables!$A$2)</f>
        <v>-08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8" s="30" t="e">
        <f>VLOOKUP(B48,'Train Runs'!$A$13:$A$99931,1,FALSE)</f>
        <v>#N/A</v>
      </c>
    </row>
    <row r="49" spans="1:10" x14ac:dyDescent="0.25">
      <c r="A49" s="202"/>
      <c r="B49" s="42" t="str">
        <f>A49&amp;"-"&amp;IF(DAY(Variables!$A$2)&lt;10,0,"")&amp;DAY(Variables!$A$2)</f>
        <v>-08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9" s="30" t="e">
        <f>VLOOKUP(B49,'Train Runs'!$A$13:$A$99931,1,FALSE)</f>
        <v>#N/A</v>
      </c>
    </row>
    <row r="50" spans="1:10" x14ac:dyDescent="0.25">
      <c r="A50" s="202"/>
      <c r="B50" s="42" t="str">
        <f>A50&amp;"-"&amp;IF(DAY(Variables!$A$2)&lt;10,0,"")&amp;DAY(Variables!$A$2)</f>
        <v>-08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0" s="30" t="e">
        <f>VLOOKUP(B50,'Train Runs'!$A$13:$A$99931,1,FALSE)</f>
        <v>#N/A</v>
      </c>
    </row>
    <row r="51" spans="1:10" x14ac:dyDescent="0.25">
      <c r="A51" s="202"/>
      <c r="B51" s="42" t="str">
        <f>A51&amp;"-"&amp;IF(DAY(Variables!$A$2)&lt;10,0,"")&amp;DAY(Variables!$A$2)</f>
        <v>-08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1" s="30" t="e">
        <f>VLOOKUP(B51,'Train Runs'!$A$13:$A$99931,1,FALSE)</f>
        <v>#N/A</v>
      </c>
    </row>
    <row r="52" spans="1:10" x14ac:dyDescent="0.25">
      <c r="A52" s="202"/>
      <c r="B52" s="42" t="str">
        <f>A52&amp;"-"&amp;IF(DAY(Variables!$A$2)&lt;10,0,"")&amp;DAY(Variables!$A$2)</f>
        <v>-08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2" s="30" t="e">
        <f>VLOOKUP(B52,'Train Runs'!$A$13:$A$99931,1,FALSE)</f>
        <v>#N/A</v>
      </c>
    </row>
    <row r="53" spans="1:10" x14ac:dyDescent="0.25">
      <c r="A53" s="202"/>
      <c r="B53" s="42" t="str">
        <f>A53&amp;"-"&amp;IF(DAY(Variables!$A$2)&lt;10,0,"")&amp;DAY(Variables!$A$2)</f>
        <v>-08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3" s="30" t="e">
        <f>VLOOKUP(B53,'Train Runs'!$A$13:$A$99931,1,FALSE)</f>
        <v>#N/A</v>
      </c>
    </row>
    <row r="54" spans="1:10" x14ac:dyDescent="0.25">
      <c r="A54" s="202"/>
      <c r="B54" s="42" t="str">
        <f>A54&amp;"-"&amp;IF(DAY(Variables!$A$2)&lt;10,0,"")&amp;DAY(Variables!$A$2)</f>
        <v>-08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4" s="30" t="e">
        <f>VLOOKUP(B54,'Train Runs'!$A$13:$A$99931,1,FALSE)</f>
        <v>#N/A</v>
      </c>
    </row>
    <row r="55" spans="1:10" x14ac:dyDescent="0.25">
      <c r="A55" s="202"/>
      <c r="B55" s="42" t="str">
        <f>A55&amp;"-"&amp;IF(DAY(Variables!$A$2)&lt;10,0,"")&amp;DAY(Variables!$A$2)</f>
        <v>-08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5" s="30" t="e">
        <f>VLOOKUP(B55,'Train Runs'!$A$13:$A$99931,1,FALSE)</f>
        <v>#N/A</v>
      </c>
    </row>
    <row r="56" spans="1:10" x14ac:dyDescent="0.25">
      <c r="A56" s="202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202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202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202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202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202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202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202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202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</sheetData>
  <autoFilter ref="A2:J63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42894.04755787037</v>
      </c>
      <c r="B2" s="20" t="s">
        <v>545</v>
      </c>
      <c r="C2" s="20" t="s">
        <v>565</v>
      </c>
      <c r="D2" s="141">
        <v>2090000</v>
      </c>
      <c r="E2" s="20" t="s">
        <v>482</v>
      </c>
      <c r="F2" s="20" t="s">
        <v>194</v>
      </c>
      <c r="G2" s="8" t="str">
        <f>E2&amp;" "&amp;F2</f>
        <v>HAITHCOX MICHAEL</v>
      </c>
    </row>
    <row r="3" spans="1:7" x14ac:dyDescent="0.25">
      <c r="A3" s="8">
        <v>42894.052349537036</v>
      </c>
      <c r="B3" s="20" t="s">
        <v>490</v>
      </c>
      <c r="C3" s="20" t="s">
        <v>566</v>
      </c>
      <c r="D3" s="141">
        <v>2630000</v>
      </c>
      <c r="E3" s="20" t="s">
        <v>463</v>
      </c>
      <c r="F3" s="20" t="s">
        <v>464</v>
      </c>
      <c r="G3" s="8" t="str">
        <f t="shared" ref="G3:G66" si="0">E3&amp;" "&amp;F3</f>
        <v>SAFIEF AEIMEN</v>
      </c>
    </row>
    <row r="4" spans="1:7" x14ac:dyDescent="0.25">
      <c r="A4" s="8">
        <v>42894.069918981484</v>
      </c>
      <c r="B4" s="20" t="s">
        <v>481</v>
      </c>
      <c r="C4" s="20" t="s">
        <v>567</v>
      </c>
      <c r="D4" s="141">
        <v>2230000</v>
      </c>
      <c r="E4" s="20" t="s">
        <v>344</v>
      </c>
      <c r="F4" s="20" t="s">
        <v>194</v>
      </c>
      <c r="G4" s="8" t="str">
        <f t="shared" si="0"/>
        <v>SMITH MICHAEL</v>
      </c>
    </row>
    <row r="5" spans="1:7" x14ac:dyDescent="0.25">
      <c r="A5" s="8">
        <v>42894.090208333335</v>
      </c>
      <c r="B5" s="20" t="s">
        <v>489</v>
      </c>
      <c r="C5" s="20" t="s">
        <v>568</v>
      </c>
      <c r="D5" s="141">
        <v>2630000</v>
      </c>
      <c r="E5" s="20" t="s">
        <v>463</v>
      </c>
      <c r="F5" s="20" t="s">
        <v>464</v>
      </c>
      <c r="G5" s="8" t="str">
        <f t="shared" si="0"/>
        <v>SAFIEF AEIMEN</v>
      </c>
    </row>
    <row r="6" spans="1:7" x14ac:dyDescent="0.25">
      <c r="A6" s="8">
        <v>42894.115393518521</v>
      </c>
      <c r="B6" s="20" t="s">
        <v>371</v>
      </c>
      <c r="C6" s="20" t="s">
        <v>609</v>
      </c>
      <c r="D6" s="141">
        <v>1090000</v>
      </c>
      <c r="E6" s="20" t="s">
        <v>491</v>
      </c>
      <c r="F6" s="20" t="s">
        <v>194</v>
      </c>
      <c r="G6" s="8" t="str">
        <f t="shared" si="0"/>
        <v>SPECTOR MICHAEL</v>
      </c>
    </row>
    <row r="7" spans="1:7" x14ac:dyDescent="0.25">
      <c r="A7" s="8">
        <v>42894.116087962961</v>
      </c>
      <c r="B7" s="20" t="s">
        <v>375</v>
      </c>
      <c r="C7" s="20" t="s">
        <v>650</v>
      </c>
      <c r="D7" s="141">
        <v>1110000</v>
      </c>
      <c r="E7" s="20" t="s">
        <v>492</v>
      </c>
      <c r="F7" s="20" t="s">
        <v>493</v>
      </c>
      <c r="G7" s="8" t="str">
        <f t="shared" si="0"/>
        <v>STARKS ANGELINA</v>
      </c>
    </row>
    <row r="8" spans="1:7" x14ac:dyDescent="0.25">
      <c r="A8" s="8">
        <v>42894.130347222221</v>
      </c>
      <c r="B8" s="20" t="s">
        <v>343</v>
      </c>
      <c r="C8" s="20" t="s">
        <v>651</v>
      </c>
      <c r="D8" s="141">
        <v>1090000</v>
      </c>
      <c r="E8" s="20" t="s">
        <v>491</v>
      </c>
      <c r="F8" s="20" t="s">
        <v>194</v>
      </c>
      <c r="G8" s="8" t="str">
        <f t="shared" si="0"/>
        <v>SPECTOR MICHAEL</v>
      </c>
    </row>
    <row r="9" spans="1:7" ht="15.75" thickBot="1" x14ac:dyDescent="0.3">
      <c r="A9" s="24">
        <v>42894.138252314813</v>
      </c>
      <c r="B9" s="20" t="s">
        <v>519</v>
      </c>
      <c r="C9" s="20" t="s">
        <v>652</v>
      </c>
      <c r="D9" s="141">
        <v>3040000</v>
      </c>
      <c r="E9" s="20" t="s">
        <v>388</v>
      </c>
      <c r="F9" s="20" t="s">
        <v>389</v>
      </c>
      <c r="G9" s="8" t="str">
        <f t="shared" si="0"/>
        <v>WILLIAMS DONTE</v>
      </c>
    </row>
    <row r="10" spans="1:7" x14ac:dyDescent="0.25">
      <c r="A10" s="8">
        <v>42894.150694444441</v>
      </c>
      <c r="B10" s="20" t="s">
        <v>520</v>
      </c>
      <c r="C10" s="20" t="s">
        <v>653</v>
      </c>
      <c r="D10" s="141">
        <v>3040000</v>
      </c>
      <c r="E10" s="20" t="s">
        <v>388</v>
      </c>
      <c r="F10" s="20" t="s">
        <v>389</v>
      </c>
      <c r="G10" s="8" t="str">
        <f t="shared" si="0"/>
        <v>WILLIAMS DONTE</v>
      </c>
    </row>
    <row r="11" spans="1:7" x14ac:dyDescent="0.25">
      <c r="A11" s="8">
        <v>42894.161793981482</v>
      </c>
      <c r="B11" s="20" t="s">
        <v>644</v>
      </c>
      <c r="C11" s="20" t="s">
        <v>654</v>
      </c>
      <c r="D11" s="141">
        <v>940000</v>
      </c>
      <c r="E11" s="20" t="s">
        <v>552</v>
      </c>
      <c r="F11" s="20" t="s">
        <v>553</v>
      </c>
      <c r="G11" s="8" t="str">
        <f t="shared" si="0"/>
        <v>BONDS REYNALDO</v>
      </c>
    </row>
    <row r="12" spans="1:7" x14ac:dyDescent="0.25">
      <c r="A12" s="8">
        <v>42894.164988425924</v>
      </c>
      <c r="B12" s="20" t="s">
        <v>371</v>
      </c>
      <c r="C12" s="20" t="s">
        <v>655</v>
      </c>
      <c r="D12" s="141">
        <v>1090000</v>
      </c>
      <c r="E12" s="20" t="s">
        <v>491</v>
      </c>
      <c r="F12" s="20" t="s">
        <v>194</v>
      </c>
      <c r="G12" s="8" t="str">
        <f t="shared" si="0"/>
        <v>SPECTOR MICHAEL</v>
      </c>
    </row>
    <row r="13" spans="1:7" x14ac:dyDescent="0.25">
      <c r="A13" s="8">
        <v>42894.168900462966</v>
      </c>
      <c r="B13" s="20" t="s">
        <v>461</v>
      </c>
      <c r="C13" s="20" t="s">
        <v>656</v>
      </c>
      <c r="D13" s="141">
        <v>1100000</v>
      </c>
      <c r="E13" s="20" t="s">
        <v>550</v>
      </c>
      <c r="F13" s="20" t="s">
        <v>551</v>
      </c>
      <c r="G13" s="8" t="str">
        <f t="shared" si="0"/>
        <v>GEBRETEKLE DAGNEW</v>
      </c>
    </row>
    <row r="14" spans="1:7" x14ac:dyDescent="0.25">
      <c r="A14" s="8">
        <v>42894.172789351855</v>
      </c>
      <c r="B14" s="20" t="s">
        <v>522</v>
      </c>
      <c r="C14" s="20" t="s">
        <v>657</v>
      </c>
      <c r="D14" s="141">
        <v>940000</v>
      </c>
      <c r="E14" s="20" t="s">
        <v>552</v>
      </c>
      <c r="F14" s="20" t="s">
        <v>553</v>
      </c>
      <c r="G14" s="8" t="str">
        <f t="shared" si="0"/>
        <v>BONDS REYNALDO</v>
      </c>
    </row>
    <row r="15" spans="1:7" x14ac:dyDescent="0.25">
      <c r="A15" s="8">
        <v>42894.178715277776</v>
      </c>
      <c r="B15" s="20" t="s">
        <v>610</v>
      </c>
      <c r="C15" s="20" t="s">
        <v>611</v>
      </c>
      <c r="D15" s="141">
        <v>2970000</v>
      </c>
      <c r="E15" s="20" t="s">
        <v>385</v>
      </c>
      <c r="F15" s="20" t="s">
        <v>386</v>
      </c>
      <c r="G15" s="8" t="str">
        <f t="shared" si="0"/>
        <v>GUZMAN DANNY</v>
      </c>
    </row>
    <row r="16" spans="1:7" x14ac:dyDescent="0.25">
      <c r="A16" s="8">
        <v>42894.182453703703</v>
      </c>
      <c r="B16" s="20" t="s">
        <v>610</v>
      </c>
      <c r="C16" s="20" t="s">
        <v>611</v>
      </c>
      <c r="D16" s="141">
        <v>2970000</v>
      </c>
      <c r="E16" s="20" t="s">
        <v>385</v>
      </c>
      <c r="F16" s="20" t="s">
        <v>386</v>
      </c>
      <c r="G16" s="8" t="str">
        <f t="shared" si="0"/>
        <v>GUZMAN DANNY</v>
      </c>
    </row>
    <row r="17" spans="1:7" x14ac:dyDescent="0.25">
      <c r="A17" s="8">
        <v>42894.183472222219</v>
      </c>
      <c r="B17" s="20" t="s">
        <v>462</v>
      </c>
      <c r="C17" s="20" t="s">
        <v>658</v>
      </c>
      <c r="D17" s="141">
        <v>1100000</v>
      </c>
      <c r="E17" s="20" t="s">
        <v>550</v>
      </c>
      <c r="F17" s="20" t="s">
        <v>551</v>
      </c>
      <c r="G17" s="8" t="str">
        <f t="shared" si="0"/>
        <v>GEBRETEKLE DAGNEW</v>
      </c>
    </row>
    <row r="18" spans="1:7" x14ac:dyDescent="0.25">
      <c r="A18" s="8">
        <v>42894.185057870367</v>
      </c>
      <c r="B18" s="20" t="s">
        <v>519</v>
      </c>
      <c r="C18" s="20" t="s">
        <v>659</v>
      </c>
      <c r="D18" s="141">
        <v>3040000</v>
      </c>
      <c r="E18" s="20" t="s">
        <v>388</v>
      </c>
      <c r="F18" s="20" t="s">
        <v>389</v>
      </c>
      <c r="G18" s="8" t="str">
        <f t="shared" si="0"/>
        <v>WILLIAMS DONTE</v>
      </c>
    </row>
    <row r="19" spans="1:7" x14ac:dyDescent="0.25">
      <c r="A19" s="8">
        <v>42894.194409722222</v>
      </c>
      <c r="B19" s="20" t="s">
        <v>660</v>
      </c>
      <c r="C19" s="20" t="s">
        <v>661</v>
      </c>
      <c r="D19" s="141">
        <v>2970000</v>
      </c>
      <c r="E19" s="20" t="s">
        <v>385</v>
      </c>
      <c r="F19" s="20" t="s">
        <v>386</v>
      </c>
      <c r="G19" s="8" t="str">
        <f t="shared" si="0"/>
        <v>GUZMAN DANNY</v>
      </c>
    </row>
    <row r="20" spans="1:7" x14ac:dyDescent="0.25">
      <c r="A20" s="8">
        <v>42894.199641203704</v>
      </c>
      <c r="B20" s="20" t="s">
        <v>406</v>
      </c>
      <c r="C20" s="20" t="s">
        <v>662</v>
      </c>
      <c r="D20" s="141">
        <v>1990000</v>
      </c>
      <c r="E20" s="20" t="s">
        <v>425</v>
      </c>
      <c r="F20" s="20" t="s">
        <v>548</v>
      </c>
      <c r="G20" s="8" t="str">
        <f t="shared" si="0"/>
        <v>DAVIS WENDY</v>
      </c>
    </row>
    <row r="21" spans="1:7" x14ac:dyDescent="0.25">
      <c r="A21" s="8">
        <v>42894.204965277779</v>
      </c>
      <c r="B21" s="20" t="s">
        <v>343</v>
      </c>
      <c r="C21" s="20" t="s">
        <v>612</v>
      </c>
      <c r="D21" s="141">
        <v>1110000</v>
      </c>
      <c r="E21" s="20" t="s">
        <v>492</v>
      </c>
      <c r="F21" s="20" t="s">
        <v>493</v>
      </c>
      <c r="G21" s="8" t="str">
        <f t="shared" si="0"/>
        <v>STARKS ANGELINA</v>
      </c>
    </row>
    <row r="22" spans="1:7" x14ac:dyDescent="0.25">
      <c r="A22" s="26">
        <v>42894.205081018517</v>
      </c>
      <c r="B22" s="20" t="s">
        <v>434</v>
      </c>
      <c r="C22" s="20" t="s">
        <v>663</v>
      </c>
      <c r="D22" s="141">
        <v>890000</v>
      </c>
      <c r="E22" s="20" t="s">
        <v>496</v>
      </c>
      <c r="F22" s="20" t="s">
        <v>497</v>
      </c>
      <c r="G22" s="8" t="str">
        <f t="shared" si="0"/>
        <v>LOZA FIDEL</v>
      </c>
    </row>
    <row r="23" spans="1:7" x14ac:dyDescent="0.25">
      <c r="A23" s="8">
        <v>42894.213391203702</v>
      </c>
      <c r="B23" s="20" t="s">
        <v>644</v>
      </c>
      <c r="C23" s="20" t="s">
        <v>664</v>
      </c>
      <c r="D23" s="141">
        <v>940000</v>
      </c>
      <c r="E23" s="20" t="s">
        <v>552</v>
      </c>
      <c r="F23" s="20" t="s">
        <v>553</v>
      </c>
      <c r="G23" s="8" t="str">
        <f t="shared" si="0"/>
        <v>BONDS REYNALDO</v>
      </c>
    </row>
    <row r="24" spans="1:7" x14ac:dyDescent="0.25">
      <c r="A24" s="8">
        <v>42894.214363425926</v>
      </c>
      <c r="B24" s="20" t="s">
        <v>461</v>
      </c>
      <c r="C24" s="20" t="s">
        <v>665</v>
      </c>
      <c r="D24" s="141">
        <v>1100000</v>
      </c>
      <c r="E24" s="20" t="s">
        <v>550</v>
      </c>
      <c r="F24" s="20" t="s">
        <v>551</v>
      </c>
      <c r="G24" s="8" t="str">
        <f t="shared" si="0"/>
        <v>GEBRETEKLE DAGNEW</v>
      </c>
    </row>
    <row r="25" spans="1:7" x14ac:dyDescent="0.25">
      <c r="A25" s="8">
        <v>42894.218124999999</v>
      </c>
      <c r="B25" s="20" t="s">
        <v>438</v>
      </c>
      <c r="C25" s="20" t="s">
        <v>666</v>
      </c>
      <c r="D25" s="141">
        <v>890000</v>
      </c>
      <c r="E25" s="20" t="s">
        <v>496</v>
      </c>
      <c r="F25" s="20" t="s">
        <v>497</v>
      </c>
      <c r="G25" s="8" t="str">
        <f t="shared" si="0"/>
        <v>LOZA FIDEL</v>
      </c>
    </row>
    <row r="26" spans="1:7" x14ac:dyDescent="0.25">
      <c r="A26" s="8">
        <v>42894.219270833331</v>
      </c>
      <c r="B26" s="20" t="s">
        <v>640</v>
      </c>
      <c r="C26" s="20" t="s">
        <v>667</v>
      </c>
      <c r="D26" s="141">
        <v>1540000</v>
      </c>
      <c r="E26" s="20" t="s">
        <v>494</v>
      </c>
      <c r="F26" s="20" t="s">
        <v>495</v>
      </c>
      <c r="G26" s="8" t="str">
        <f t="shared" si="0"/>
        <v>HELVIE ADAM</v>
      </c>
    </row>
    <row r="27" spans="1:7" x14ac:dyDescent="0.25">
      <c r="A27" s="8">
        <v>42894.226030092592</v>
      </c>
      <c r="B27" s="20" t="s">
        <v>610</v>
      </c>
      <c r="C27" s="20" t="s">
        <v>668</v>
      </c>
      <c r="D27" s="141">
        <v>2970000</v>
      </c>
      <c r="E27" s="20" t="s">
        <v>385</v>
      </c>
      <c r="F27" s="20" t="s">
        <v>386</v>
      </c>
      <c r="G27" s="8" t="str">
        <f t="shared" si="0"/>
        <v>GUZMAN DANNY</v>
      </c>
    </row>
    <row r="28" spans="1:7" x14ac:dyDescent="0.25">
      <c r="A28" s="8">
        <v>42894.226944444446</v>
      </c>
      <c r="B28" s="20" t="s">
        <v>520</v>
      </c>
      <c r="C28" s="20" t="s">
        <v>615</v>
      </c>
      <c r="D28" s="141">
        <v>3040000</v>
      </c>
      <c r="E28" s="20" t="s">
        <v>388</v>
      </c>
      <c r="F28" s="20" t="s">
        <v>389</v>
      </c>
      <c r="G28" s="8" t="str">
        <f t="shared" si="0"/>
        <v>WILLIAMS DONTE</v>
      </c>
    </row>
    <row r="29" spans="1:7" x14ac:dyDescent="0.25">
      <c r="A29" s="8">
        <v>42894.234629629631</v>
      </c>
      <c r="B29" s="20" t="s">
        <v>618</v>
      </c>
      <c r="C29" s="20" t="s">
        <v>669</v>
      </c>
      <c r="D29" s="141">
        <v>1540000</v>
      </c>
      <c r="E29" s="20" t="s">
        <v>494</v>
      </c>
      <c r="F29" s="20" t="s">
        <v>495</v>
      </c>
      <c r="G29" s="8" t="str">
        <f t="shared" si="0"/>
        <v>HELVIE ADAM</v>
      </c>
    </row>
    <row r="30" spans="1:7" x14ac:dyDescent="0.25">
      <c r="A30" s="8">
        <v>42894.238749999997</v>
      </c>
      <c r="B30" s="20" t="s">
        <v>371</v>
      </c>
      <c r="C30" s="20" t="s">
        <v>670</v>
      </c>
      <c r="D30" s="141">
        <v>1110000</v>
      </c>
      <c r="E30" s="20" t="s">
        <v>492</v>
      </c>
      <c r="F30" s="20" t="s">
        <v>493</v>
      </c>
      <c r="G30" s="8" t="str">
        <f t="shared" si="0"/>
        <v>STARKS ANGELINA</v>
      </c>
    </row>
    <row r="31" spans="1:7" x14ac:dyDescent="0.25">
      <c r="A31" s="8">
        <v>42894.241087962961</v>
      </c>
      <c r="B31" s="20" t="s">
        <v>406</v>
      </c>
      <c r="C31" s="20" t="s">
        <v>671</v>
      </c>
      <c r="D31" s="141">
        <v>1990000</v>
      </c>
      <c r="E31" s="20" t="s">
        <v>425</v>
      </c>
      <c r="F31" s="20" t="s">
        <v>548</v>
      </c>
      <c r="G31" s="8" t="str">
        <f t="shared" si="0"/>
        <v>DAVIS WENDY</v>
      </c>
    </row>
    <row r="32" spans="1:7" x14ac:dyDescent="0.25">
      <c r="A32" s="8">
        <v>42894.247430555559</v>
      </c>
      <c r="B32" s="20" t="s">
        <v>522</v>
      </c>
      <c r="C32" s="20" t="s">
        <v>672</v>
      </c>
      <c r="D32" s="141">
        <v>940000</v>
      </c>
      <c r="E32" s="20" t="s">
        <v>552</v>
      </c>
      <c r="F32" s="20" t="s">
        <v>553</v>
      </c>
      <c r="G32" s="8" t="str">
        <f t="shared" si="0"/>
        <v>BONDS REYNALDO</v>
      </c>
    </row>
    <row r="33" spans="1:7" x14ac:dyDescent="0.25">
      <c r="A33" s="8">
        <v>42894.250011574077</v>
      </c>
      <c r="B33" s="20" t="s">
        <v>378</v>
      </c>
      <c r="C33" s="20" t="s">
        <v>673</v>
      </c>
      <c r="D33" s="141">
        <v>1090000</v>
      </c>
      <c r="E33" s="20" t="s">
        <v>491</v>
      </c>
      <c r="F33" s="20" t="s">
        <v>194</v>
      </c>
      <c r="G33" s="8" t="str">
        <f t="shared" si="0"/>
        <v>SPECTOR MICHAEL</v>
      </c>
    </row>
    <row r="34" spans="1:7" x14ac:dyDescent="0.25">
      <c r="A34" s="8">
        <v>42894.252013888887</v>
      </c>
      <c r="B34" s="20" t="s">
        <v>544</v>
      </c>
      <c r="C34" s="20" t="s">
        <v>674</v>
      </c>
      <c r="D34" s="141">
        <v>2730000</v>
      </c>
      <c r="E34" s="20" t="s">
        <v>523</v>
      </c>
      <c r="F34" s="20" t="s">
        <v>524</v>
      </c>
      <c r="G34" s="8" t="str">
        <f t="shared" si="0"/>
        <v>YANG JAN</v>
      </c>
    </row>
    <row r="35" spans="1:7" x14ac:dyDescent="0.25">
      <c r="A35" s="8">
        <v>42894.254687499997</v>
      </c>
      <c r="B35" s="20" t="s">
        <v>613</v>
      </c>
      <c r="C35" s="20" t="s">
        <v>616</v>
      </c>
      <c r="D35" s="141">
        <v>1990000</v>
      </c>
      <c r="E35" s="20" t="s">
        <v>425</v>
      </c>
      <c r="F35" s="20" t="s">
        <v>548</v>
      </c>
      <c r="G35" s="8" t="str">
        <f t="shared" si="0"/>
        <v>DAVIS WENDY</v>
      </c>
    </row>
    <row r="36" spans="1:7" x14ac:dyDescent="0.25">
      <c r="A36" s="8">
        <v>42894.256192129629</v>
      </c>
      <c r="B36" s="20" t="s">
        <v>434</v>
      </c>
      <c r="C36" s="20" t="s">
        <v>675</v>
      </c>
      <c r="D36" s="141">
        <v>890000</v>
      </c>
      <c r="E36" s="20" t="s">
        <v>496</v>
      </c>
      <c r="F36" s="20" t="s">
        <v>497</v>
      </c>
      <c r="G36" s="8" t="str">
        <f t="shared" si="0"/>
        <v>LOZA FIDEL</v>
      </c>
    </row>
    <row r="37" spans="1:7" x14ac:dyDescent="0.25">
      <c r="A37" s="8">
        <v>42894.257638888892</v>
      </c>
      <c r="B37" s="20" t="s">
        <v>462</v>
      </c>
      <c r="C37" s="20" t="s">
        <v>676</v>
      </c>
      <c r="D37" s="141">
        <v>1100000</v>
      </c>
      <c r="E37" s="20" t="s">
        <v>550</v>
      </c>
      <c r="F37" s="20" t="s">
        <v>551</v>
      </c>
      <c r="G37" s="8" t="str">
        <f t="shared" si="0"/>
        <v>GEBRETEKLE DAGNEW</v>
      </c>
    </row>
    <row r="38" spans="1:7" x14ac:dyDescent="0.25">
      <c r="A38" s="8">
        <v>42894.260868055557</v>
      </c>
      <c r="B38" s="20" t="s">
        <v>519</v>
      </c>
      <c r="C38" s="20" t="s">
        <v>677</v>
      </c>
      <c r="D38" s="141">
        <v>3040000</v>
      </c>
      <c r="E38" s="20" t="s">
        <v>388</v>
      </c>
      <c r="F38" s="20" t="s">
        <v>389</v>
      </c>
      <c r="G38" s="8" t="str">
        <f t="shared" si="0"/>
        <v>WILLIAMS DONTE</v>
      </c>
    </row>
    <row r="39" spans="1:7" x14ac:dyDescent="0.25">
      <c r="A39" s="8">
        <v>42894.263773148145</v>
      </c>
      <c r="B39" s="20" t="s">
        <v>549</v>
      </c>
      <c r="C39" s="20" t="s">
        <v>678</v>
      </c>
      <c r="D39" s="141">
        <v>2730000</v>
      </c>
      <c r="E39" s="20" t="s">
        <v>523</v>
      </c>
      <c r="F39" s="20" t="s">
        <v>524</v>
      </c>
      <c r="G39" s="8" t="str">
        <f t="shared" si="0"/>
        <v>YANG JAN</v>
      </c>
    </row>
    <row r="40" spans="1:7" x14ac:dyDescent="0.25">
      <c r="A40" s="8">
        <v>42894.267384259256</v>
      </c>
      <c r="B40" s="25" t="s">
        <v>660</v>
      </c>
      <c r="C40" s="20" t="s">
        <v>679</v>
      </c>
      <c r="D40" s="141">
        <v>2970000</v>
      </c>
      <c r="E40" s="20" t="s">
        <v>385</v>
      </c>
      <c r="F40" s="20" t="s">
        <v>386</v>
      </c>
      <c r="G40" s="8" t="str">
        <f t="shared" si="0"/>
        <v>GUZMAN DANNY</v>
      </c>
    </row>
    <row r="41" spans="1:7" x14ac:dyDescent="0.25">
      <c r="A41" s="8">
        <v>42894.276689814818</v>
      </c>
      <c r="B41" s="20" t="s">
        <v>640</v>
      </c>
      <c r="C41" s="20" t="s">
        <v>680</v>
      </c>
      <c r="D41" s="141">
        <v>1540000</v>
      </c>
      <c r="E41" s="20" t="s">
        <v>494</v>
      </c>
      <c r="F41" s="20" t="s">
        <v>495</v>
      </c>
      <c r="G41" s="8" t="str">
        <f t="shared" si="0"/>
        <v>HELVIE ADAM</v>
      </c>
    </row>
    <row r="42" spans="1:7" x14ac:dyDescent="0.25">
      <c r="A42" s="8">
        <v>42894.276886574073</v>
      </c>
      <c r="B42" s="20" t="s">
        <v>544</v>
      </c>
      <c r="C42" s="20" t="s">
        <v>681</v>
      </c>
      <c r="D42" s="141">
        <v>2730000</v>
      </c>
      <c r="E42" s="20" t="s">
        <v>523</v>
      </c>
      <c r="F42" s="20" t="s">
        <v>524</v>
      </c>
      <c r="G42" s="8" t="str">
        <f t="shared" si="0"/>
        <v>YANG JAN</v>
      </c>
    </row>
    <row r="43" spans="1:7" x14ac:dyDescent="0.25">
      <c r="A43" s="8">
        <v>42894.27888888889</v>
      </c>
      <c r="B43" s="20" t="s">
        <v>343</v>
      </c>
      <c r="C43" s="20" t="s">
        <v>617</v>
      </c>
      <c r="D43" s="141">
        <v>1110000</v>
      </c>
      <c r="E43" s="20" t="s">
        <v>492</v>
      </c>
      <c r="F43" s="20" t="s">
        <v>493</v>
      </c>
      <c r="G43" s="8" t="str">
        <f t="shared" si="0"/>
        <v>STARKS ANGELINA</v>
      </c>
    </row>
    <row r="44" spans="1:7" x14ac:dyDescent="0.25">
      <c r="A44" s="8">
        <v>42894.283935185187</v>
      </c>
      <c r="B44" s="20" t="s">
        <v>406</v>
      </c>
      <c r="C44" s="20" t="s">
        <v>682</v>
      </c>
      <c r="D44" s="141">
        <v>1990000</v>
      </c>
      <c r="E44" s="20" t="s">
        <v>425</v>
      </c>
      <c r="F44" s="20" t="s">
        <v>548</v>
      </c>
      <c r="G44" s="8" t="str">
        <f t="shared" si="0"/>
        <v>DAVIS WENDY</v>
      </c>
    </row>
    <row r="45" spans="1:7" x14ac:dyDescent="0.25">
      <c r="A45" s="8">
        <v>42894.284583333334</v>
      </c>
      <c r="B45" s="20" t="s">
        <v>406</v>
      </c>
      <c r="C45" s="20" t="s">
        <v>682</v>
      </c>
      <c r="D45" s="141">
        <v>1990000</v>
      </c>
      <c r="E45" s="20" t="s">
        <v>425</v>
      </c>
      <c r="F45" s="20" t="s">
        <v>548</v>
      </c>
      <c r="G45" s="8" t="str">
        <f t="shared" si="0"/>
        <v>DAVIS WENDY</v>
      </c>
    </row>
    <row r="46" spans="1:7" x14ac:dyDescent="0.25">
      <c r="A46" s="8">
        <v>42894.286712962959</v>
      </c>
      <c r="B46" s="20" t="s">
        <v>461</v>
      </c>
      <c r="C46" s="20" t="s">
        <v>683</v>
      </c>
      <c r="D46" s="141">
        <v>1100000</v>
      </c>
      <c r="E46" s="20" t="s">
        <v>550</v>
      </c>
      <c r="F46" s="20" t="s">
        <v>551</v>
      </c>
      <c r="G46" s="8" t="str">
        <f t="shared" si="0"/>
        <v>GEBRETEKLE DAGNEW</v>
      </c>
    </row>
    <row r="47" spans="1:7" x14ac:dyDescent="0.25">
      <c r="A47" s="8">
        <v>42894.287916666668</v>
      </c>
      <c r="B47" s="20" t="s">
        <v>438</v>
      </c>
      <c r="C47" s="20" t="s">
        <v>684</v>
      </c>
      <c r="D47" s="141">
        <v>890000</v>
      </c>
      <c r="E47" s="20" t="s">
        <v>496</v>
      </c>
      <c r="F47" s="20" t="s">
        <v>497</v>
      </c>
      <c r="G47" s="8" t="str">
        <f t="shared" si="0"/>
        <v>LOZA FIDEL</v>
      </c>
    </row>
    <row r="48" spans="1:7" x14ac:dyDescent="0.25">
      <c r="A48" s="8">
        <v>42894.288182870368</v>
      </c>
      <c r="B48" s="20" t="s">
        <v>644</v>
      </c>
      <c r="C48" s="20" t="s">
        <v>685</v>
      </c>
      <c r="D48" s="141">
        <v>940000</v>
      </c>
      <c r="E48" s="20" t="s">
        <v>552</v>
      </c>
      <c r="F48" s="20" t="s">
        <v>553</v>
      </c>
      <c r="G48" s="8" t="str">
        <f t="shared" si="0"/>
        <v>BONDS REYNALDO</v>
      </c>
    </row>
    <row r="49" spans="1:7" x14ac:dyDescent="0.25">
      <c r="A49" s="8">
        <v>42894.291388888887</v>
      </c>
      <c r="B49" s="20" t="s">
        <v>549</v>
      </c>
      <c r="C49" s="20" t="s">
        <v>681</v>
      </c>
      <c r="D49" s="141">
        <v>2730000</v>
      </c>
      <c r="E49" s="20" t="s">
        <v>523</v>
      </c>
      <c r="F49" s="20" t="s">
        <v>524</v>
      </c>
      <c r="G49" s="8" t="str">
        <f t="shared" si="0"/>
        <v>YANG JAN</v>
      </c>
    </row>
    <row r="50" spans="1:7" x14ac:dyDescent="0.25">
      <c r="A50" s="8">
        <v>42894.295902777776</v>
      </c>
      <c r="B50" s="20" t="s">
        <v>613</v>
      </c>
      <c r="C50" s="20" t="s">
        <v>686</v>
      </c>
      <c r="D50" s="141">
        <v>1990000</v>
      </c>
      <c r="E50" s="20" t="s">
        <v>425</v>
      </c>
      <c r="F50" s="20" t="s">
        <v>548</v>
      </c>
      <c r="G50" s="8" t="str">
        <f t="shared" si="0"/>
        <v>DAVIS WENDY</v>
      </c>
    </row>
    <row r="51" spans="1:7" x14ac:dyDescent="0.25">
      <c r="A51" s="8">
        <v>42894.298518518517</v>
      </c>
      <c r="B51" s="20" t="s">
        <v>610</v>
      </c>
      <c r="C51" s="20" t="s">
        <v>687</v>
      </c>
      <c r="D51" s="141">
        <v>2970000</v>
      </c>
      <c r="E51" s="20" t="s">
        <v>385</v>
      </c>
      <c r="F51" s="20" t="s">
        <v>386</v>
      </c>
      <c r="G51" s="8" t="str">
        <f t="shared" si="0"/>
        <v>GUZMAN DANNY</v>
      </c>
    </row>
    <row r="52" spans="1:7" x14ac:dyDescent="0.25">
      <c r="A52" s="8">
        <v>42894.299224537041</v>
      </c>
      <c r="B52" s="20" t="s">
        <v>520</v>
      </c>
      <c r="C52" s="20" t="s">
        <v>620</v>
      </c>
      <c r="D52" s="141">
        <v>3040000</v>
      </c>
      <c r="E52" s="20" t="s">
        <v>388</v>
      </c>
      <c r="F52" s="20" t="s">
        <v>389</v>
      </c>
      <c r="G52" s="8" t="str">
        <f t="shared" si="0"/>
        <v>WILLIAMS DONTE</v>
      </c>
    </row>
    <row r="53" spans="1:7" x14ac:dyDescent="0.25">
      <c r="A53" s="8">
        <v>42894.299305555556</v>
      </c>
      <c r="B53" s="20" t="s">
        <v>549</v>
      </c>
      <c r="C53" s="20" t="s">
        <v>688</v>
      </c>
      <c r="D53" s="141">
        <v>2730000</v>
      </c>
      <c r="E53" s="20" t="s">
        <v>523</v>
      </c>
      <c r="F53" s="20" t="s">
        <v>524</v>
      </c>
      <c r="G53" s="8" t="str">
        <f t="shared" si="0"/>
        <v>YANG JAN</v>
      </c>
    </row>
    <row r="54" spans="1:7" x14ac:dyDescent="0.25">
      <c r="A54" s="8">
        <v>42894.311793981484</v>
      </c>
      <c r="B54" s="20" t="s">
        <v>618</v>
      </c>
      <c r="C54" s="20" t="s">
        <v>619</v>
      </c>
      <c r="D54" s="141">
        <v>1540000</v>
      </c>
      <c r="E54" s="20" t="s">
        <v>494</v>
      </c>
      <c r="F54" s="20" t="s">
        <v>495</v>
      </c>
      <c r="G54" s="8" t="str">
        <f t="shared" si="0"/>
        <v>HELVIE ADAM</v>
      </c>
    </row>
    <row r="55" spans="1:7" x14ac:dyDescent="0.25">
      <c r="A55" s="8">
        <v>42894.315520833334</v>
      </c>
      <c r="B55" s="20" t="s">
        <v>371</v>
      </c>
      <c r="C55" s="20" t="s">
        <v>622</v>
      </c>
      <c r="D55" s="141">
        <v>1110000</v>
      </c>
      <c r="E55" s="20" t="s">
        <v>492</v>
      </c>
      <c r="F55" s="20" t="s">
        <v>493</v>
      </c>
      <c r="G55" s="8" t="str">
        <f t="shared" si="0"/>
        <v>STARKS ANGELINA</v>
      </c>
    </row>
    <row r="56" spans="1:7" x14ac:dyDescent="0.25">
      <c r="A56" s="8">
        <v>42894.318020833336</v>
      </c>
      <c r="B56" s="20" t="s">
        <v>544</v>
      </c>
      <c r="C56" s="20" t="s">
        <v>689</v>
      </c>
      <c r="D56" s="141">
        <v>2730000</v>
      </c>
      <c r="E56" s="20" t="s">
        <v>523</v>
      </c>
      <c r="F56" s="20" t="s">
        <v>524</v>
      </c>
      <c r="G56" s="8" t="str">
        <f t="shared" si="0"/>
        <v>YANG JAN</v>
      </c>
    </row>
    <row r="57" spans="1:7" x14ac:dyDescent="0.25">
      <c r="A57" s="8">
        <v>42894.320787037039</v>
      </c>
      <c r="B57" s="20" t="s">
        <v>522</v>
      </c>
      <c r="C57" s="20" t="s">
        <v>690</v>
      </c>
      <c r="D57" s="141">
        <v>1200000</v>
      </c>
      <c r="E57" s="20" t="s">
        <v>691</v>
      </c>
      <c r="F57" s="20" t="s">
        <v>692</v>
      </c>
      <c r="G57" s="8" t="str">
        <f t="shared" si="0"/>
        <v>CUSHING HARRY</v>
      </c>
    </row>
    <row r="58" spans="1:7" x14ac:dyDescent="0.25">
      <c r="A58" s="8">
        <v>42894.325914351852</v>
      </c>
      <c r="B58" s="20" t="s">
        <v>406</v>
      </c>
      <c r="C58" s="20" t="s">
        <v>693</v>
      </c>
      <c r="D58" s="141">
        <v>1990000</v>
      </c>
      <c r="E58" s="20" t="s">
        <v>425</v>
      </c>
      <c r="F58" s="20" t="s">
        <v>548</v>
      </c>
      <c r="G58" s="8" t="str">
        <f t="shared" si="0"/>
        <v>DAVIS WENDY</v>
      </c>
    </row>
    <row r="59" spans="1:7" x14ac:dyDescent="0.25">
      <c r="A59" s="8">
        <v>42894.328599537039</v>
      </c>
      <c r="B59" s="20" t="s">
        <v>434</v>
      </c>
      <c r="C59" s="20" t="s">
        <v>694</v>
      </c>
      <c r="D59" s="141">
        <v>890000</v>
      </c>
      <c r="E59" s="20" t="s">
        <v>496</v>
      </c>
      <c r="F59" s="20" t="s">
        <v>497</v>
      </c>
      <c r="G59" s="8" t="str">
        <f t="shared" si="0"/>
        <v>LOZA FIDEL</v>
      </c>
    </row>
    <row r="60" spans="1:7" x14ac:dyDescent="0.25">
      <c r="A60" s="8">
        <v>42894.330462962964</v>
      </c>
      <c r="B60" s="20" t="s">
        <v>462</v>
      </c>
      <c r="C60" s="20" t="s">
        <v>695</v>
      </c>
      <c r="D60" s="141">
        <v>1100000</v>
      </c>
      <c r="E60" s="20" t="s">
        <v>550</v>
      </c>
      <c r="F60" s="20" t="s">
        <v>551</v>
      </c>
      <c r="G60" s="8" t="str">
        <f t="shared" si="0"/>
        <v>GEBRETEKLE DAGNEW</v>
      </c>
    </row>
    <row r="61" spans="1:7" x14ac:dyDescent="0.25">
      <c r="A61" s="8">
        <v>42894.333599537036</v>
      </c>
      <c r="B61" s="20" t="s">
        <v>519</v>
      </c>
      <c r="C61" s="20" t="s">
        <v>696</v>
      </c>
      <c r="D61" s="141">
        <v>3040000</v>
      </c>
      <c r="E61" s="20" t="s">
        <v>388</v>
      </c>
      <c r="F61" s="20" t="s">
        <v>389</v>
      </c>
      <c r="G61" s="8" t="str">
        <f t="shared" si="0"/>
        <v>WILLIAMS DONTE</v>
      </c>
    </row>
    <row r="62" spans="1:7" x14ac:dyDescent="0.25">
      <c r="A62" s="8">
        <v>42894.335763888892</v>
      </c>
      <c r="B62" s="20" t="s">
        <v>549</v>
      </c>
      <c r="C62" s="20" t="s">
        <v>697</v>
      </c>
      <c r="D62" s="141">
        <v>2730000</v>
      </c>
      <c r="E62" s="20" t="s">
        <v>523</v>
      </c>
      <c r="F62" s="20" t="s">
        <v>524</v>
      </c>
      <c r="G62" s="8" t="str">
        <f t="shared" si="0"/>
        <v>YANG JAN</v>
      </c>
    </row>
    <row r="63" spans="1:7" x14ac:dyDescent="0.25">
      <c r="A63" s="8">
        <v>42894.338090277779</v>
      </c>
      <c r="B63" s="20" t="s">
        <v>613</v>
      </c>
      <c r="C63" s="20" t="s">
        <v>621</v>
      </c>
      <c r="D63" s="141">
        <v>1990000</v>
      </c>
      <c r="E63" s="20" t="s">
        <v>425</v>
      </c>
      <c r="F63" s="20" t="s">
        <v>548</v>
      </c>
      <c r="G63" s="8" t="str">
        <f t="shared" si="0"/>
        <v>DAVIS WENDY</v>
      </c>
    </row>
    <row r="64" spans="1:7" x14ac:dyDescent="0.25">
      <c r="A64" s="26">
        <v>42894.340289351851</v>
      </c>
      <c r="B64" s="20" t="s">
        <v>660</v>
      </c>
      <c r="C64" s="20" t="s">
        <v>698</v>
      </c>
      <c r="D64" s="141">
        <v>2970000</v>
      </c>
      <c r="E64" s="20" t="s">
        <v>385</v>
      </c>
      <c r="F64" s="20" t="s">
        <v>386</v>
      </c>
      <c r="G64" s="8" t="str">
        <f t="shared" si="0"/>
        <v>GUZMAN DANNY</v>
      </c>
    </row>
    <row r="65" spans="1:7" x14ac:dyDescent="0.25">
      <c r="A65" s="8">
        <v>42894.350439814814</v>
      </c>
      <c r="B65" s="20" t="s">
        <v>640</v>
      </c>
      <c r="C65" s="20" t="s">
        <v>699</v>
      </c>
      <c r="D65" s="141">
        <v>1540000</v>
      </c>
      <c r="E65" s="20" t="s">
        <v>494</v>
      </c>
      <c r="F65" s="20" t="s">
        <v>495</v>
      </c>
      <c r="G65" s="8" t="str">
        <f t="shared" si="0"/>
        <v>HELVIE ADAM</v>
      </c>
    </row>
    <row r="66" spans="1:7" x14ac:dyDescent="0.25">
      <c r="A66" s="8">
        <v>42894.35255787037</v>
      </c>
      <c r="B66" s="20" t="s">
        <v>406</v>
      </c>
      <c r="C66" s="20" t="s">
        <v>700</v>
      </c>
      <c r="D66" s="141">
        <v>1990000</v>
      </c>
      <c r="E66" s="20" t="s">
        <v>425</v>
      </c>
      <c r="F66" s="20" t="s">
        <v>548</v>
      </c>
      <c r="G66" s="8" t="str">
        <f t="shared" si="0"/>
        <v>DAVIS WENDY</v>
      </c>
    </row>
    <row r="67" spans="1:7" x14ac:dyDescent="0.25">
      <c r="A67" s="8">
        <v>42894.353449074071</v>
      </c>
      <c r="B67" s="20" t="s">
        <v>343</v>
      </c>
      <c r="C67" s="20" t="s">
        <v>701</v>
      </c>
      <c r="D67" s="141">
        <v>1110000</v>
      </c>
      <c r="E67" s="20" t="s">
        <v>492</v>
      </c>
      <c r="F67" s="20" t="s">
        <v>493</v>
      </c>
      <c r="G67" s="8" t="str">
        <f t="shared" ref="G67:G130" si="1">E67&amp;" "&amp;F67</f>
        <v>STARKS ANGELINA</v>
      </c>
    </row>
    <row r="68" spans="1:7" x14ac:dyDescent="0.25">
      <c r="A68" s="8">
        <v>42894.357060185182</v>
      </c>
      <c r="B68" s="20" t="s">
        <v>644</v>
      </c>
      <c r="C68" s="20" t="s">
        <v>702</v>
      </c>
      <c r="D68" s="141">
        <v>1200000</v>
      </c>
      <c r="E68" s="20" t="s">
        <v>691</v>
      </c>
      <c r="F68" s="20" t="s">
        <v>692</v>
      </c>
      <c r="G68" s="8" t="str">
        <f t="shared" si="1"/>
        <v>CUSHING HARRY</v>
      </c>
    </row>
    <row r="69" spans="1:7" x14ac:dyDescent="0.25">
      <c r="A69" s="8">
        <v>42894.359282407408</v>
      </c>
      <c r="B69" s="20" t="s">
        <v>544</v>
      </c>
      <c r="C69" s="20" t="s">
        <v>703</v>
      </c>
      <c r="D69" s="141">
        <v>2730000</v>
      </c>
      <c r="E69" s="20" t="s">
        <v>523</v>
      </c>
      <c r="F69" s="20" t="s">
        <v>524</v>
      </c>
      <c r="G69" s="8" t="str">
        <f t="shared" si="1"/>
        <v>YANG JAN</v>
      </c>
    </row>
    <row r="70" spans="1:7" x14ac:dyDescent="0.25">
      <c r="A70" s="8">
        <v>42894.361307870371</v>
      </c>
      <c r="B70" s="20" t="s">
        <v>461</v>
      </c>
      <c r="C70" s="20" t="s">
        <v>704</v>
      </c>
      <c r="D70" s="141">
        <v>1100000</v>
      </c>
      <c r="E70" s="20" t="s">
        <v>550</v>
      </c>
      <c r="F70" s="20" t="s">
        <v>551</v>
      </c>
      <c r="G70" s="8" t="str">
        <f t="shared" si="1"/>
        <v>GEBRETEKLE DAGNEW</v>
      </c>
    </row>
    <row r="71" spans="1:7" x14ac:dyDescent="0.25">
      <c r="A71" s="8">
        <v>42894.362476851849</v>
      </c>
      <c r="B71" s="20" t="s">
        <v>438</v>
      </c>
      <c r="C71" s="20" t="s">
        <v>705</v>
      </c>
      <c r="D71" s="141">
        <v>890000</v>
      </c>
      <c r="E71" s="20" t="s">
        <v>496</v>
      </c>
      <c r="F71" s="20" t="s">
        <v>497</v>
      </c>
      <c r="G71" s="8" t="str">
        <f t="shared" si="1"/>
        <v>LOZA FIDEL</v>
      </c>
    </row>
    <row r="72" spans="1:7" x14ac:dyDescent="0.25">
      <c r="A72" s="8">
        <v>42894.372789351852</v>
      </c>
      <c r="B72" s="20" t="s">
        <v>610</v>
      </c>
      <c r="C72" s="20" t="s">
        <v>706</v>
      </c>
      <c r="D72" s="141">
        <v>2970000</v>
      </c>
      <c r="E72" s="20" t="s">
        <v>385</v>
      </c>
      <c r="F72" s="20" t="s">
        <v>386</v>
      </c>
      <c r="G72" s="8" t="str">
        <f t="shared" si="1"/>
        <v>GUZMAN DANNY</v>
      </c>
    </row>
    <row r="73" spans="1:7" x14ac:dyDescent="0.25">
      <c r="A73" s="8">
        <v>42894.373576388891</v>
      </c>
      <c r="B73" s="20" t="s">
        <v>520</v>
      </c>
      <c r="C73" s="20" t="s">
        <v>707</v>
      </c>
      <c r="D73" s="141">
        <v>3040000</v>
      </c>
      <c r="E73" s="20" t="s">
        <v>388</v>
      </c>
      <c r="F73" s="20" t="s">
        <v>389</v>
      </c>
      <c r="G73" s="8" t="str">
        <f t="shared" si="1"/>
        <v>WILLIAMS DONTE</v>
      </c>
    </row>
    <row r="74" spans="1:7" x14ac:dyDescent="0.25">
      <c r="A74" s="8">
        <v>42894.381157407406</v>
      </c>
      <c r="B74" s="20" t="s">
        <v>549</v>
      </c>
      <c r="C74" s="20" t="s">
        <v>708</v>
      </c>
      <c r="D74" s="141">
        <v>2730000</v>
      </c>
      <c r="E74" s="20" t="s">
        <v>523</v>
      </c>
      <c r="F74" s="20" t="s">
        <v>524</v>
      </c>
      <c r="G74" s="8" t="str">
        <f t="shared" si="1"/>
        <v>YANG JAN</v>
      </c>
    </row>
    <row r="75" spans="1:7" x14ac:dyDescent="0.25">
      <c r="A75" s="8">
        <v>42894.385277777779</v>
      </c>
      <c r="B75" s="20" t="s">
        <v>618</v>
      </c>
      <c r="C75" s="20" t="s">
        <v>709</v>
      </c>
      <c r="D75" s="141">
        <v>1540000</v>
      </c>
      <c r="E75" s="20" t="s">
        <v>494</v>
      </c>
      <c r="F75" s="20" t="s">
        <v>495</v>
      </c>
      <c r="G75" s="8" t="str">
        <f t="shared" si="1"/>
        <v>HELVIE ADAM</v>
      </c>
    </row>
    <row r="76" spans="1:7" x14ac:dyDescent="0.25">
      <c r="A76" s="8">
        <v>42894.391828703701</v>
      </c>
      <c r="B76" s="20" t="s">
        <v>522</v>
      </c>
      <c r="C76" s="20" t="s">
        <v>710</v>
      </c>
      <c r="D76" s="141">
        <v>940000</v>
      </c>
      <c r="E76" s="20" t="s">
        <v>552</v>
      </c>
      <c r="F76" s="20" t="s">
        <v>553</v>
      </c>
      <c r="G76" s="8" t="str">
        <f t="shared" si="1"/>
        <v>BONDS REYNALDO</v>
      </c>
    </row>
    <row r="77" spans="1:7" x14ac:dyDescent="0.25">
      <c r="A77" s="8">
        <v>42894.392210648148</v>
      </c>
      <c r="B77" s="20" t="s">
        <v>371</v>
      </c>
      <c r="C77" s="20" t="s">
        <v>623</v>
      </c>
      <c r="D77" s="141">
        <v>1110000</v>
      </c>
      <c r="E77" s="20" t="s">
        <v>492</v>
      </c>
      <c r="F77" s="20" t="s">
        <v>493</v>
      </c>
      <c r="G77" s="8" t="str">
        <f t="shared" si="1"/>
        <v>STARKS ANGELINA</v>
      </c>
    </row>
    <row r="78" spans="1:7" x14ac:dyDescent="0.25">
      <c r="A78" s="8">
        <v>42894.40053240741</v>
      </c>
      <c r="B78" s="20" t="s">
        <v>434</v>
      </c>
      <c r="C78" s="20" t="s">
        <v>711</v>
      </c>
      <c r="D78" s="141">
        <v>890000</v>
      </c>
      <c r="E78" s="20" t="s">
        <v>496</v>
      </c>
      <c r="F78" s="20" t="s">
        <v>497</v>
      </c>
      <c r="G78" s="8" t="str">
        <f t="shared" si="1"/>
        <v>LOZA FIDEL</v>
      </c>
    </row>
    <row r="79" spans="1:7" x14ac:dyDescent="0.25">
      <c r="A79" s="8">
        <v>42894.40084490741</v>
      </c>
      <c r="B79" s="20" t="s">
        <v>462</v>
      </c>
      <c r="C79" s="20" t="s">
        <v>712</v>
      </c>
      <c r="D79" s="141">
        <v>1100000</v>
      </c>
      <c r="E79" s="20" t="s">
        <v>550</v>
      </c>
      <c r="F79" s="20" t="s">
        <v>551</v>
      </c>
      <c r="G79" s="8" t="str">
        <f t="shared" si="1"/>
        <v>GEBRETEKLE DAGNEW</v>
      </c>
    </row>
    <row r="80" spans="1:7" x14ac:dyDescent="0.25">
      <c r="A80" s="8">
        <v>42894.401956018519</v>
      </c>
      <c r="B80" s="20" t="s">
        <v>544</v>
      </c>
      <c r="C80" s="20" t="s">
        <v>713</v>
      </c>
      <c r="D80" s="141">
        <v>2730000</v>
      </c>
      <c r="E80" s="20" t="s">
        <v>523</v>
      </c>
      <c r="F80" s="20" t="s">
        <v>524</v>
      </c>
      <c r="G80" s="8" t="str">
        <f t="shared" si="1"/>
        <v>YANG JAN</v>
      </c>
    </row>
    <row r="81" spans="1:7" x14ac:dyDescent="0.25">
      <c r="A81" s="8">
        <v>42894.403877314813</v>
      </c>
      <c r="B81" s="20" t="s">
        <v>519</v>
      </c>
      <c r="C81" s="20" t="s">
        <v>714</v>
      </c>
      <c r="D81" s="141">
        <v>3040000</v>
      </c>
      <c r="E81" s="20" t="s">
        <v>388</v>
      </c>
      <c r="F81" s="20" t="s">
        <v>389</v>
      </c>
      <c r="G81" s="8" t="str">
        <f t="shared" si="1"/>
        <v>WILLIAMS DONTE</v>
      </c>
    </row>
    <row r="82" spans="1:7" x14ac:dyDescent="0.25">
      <c r="A82" s="8">
        <v>42894.412418981483</v>
      </c>
      <c r="B82" s="20" t="s">
        <v>660</v>
      </c>
      <c r="C82" s="20" t="s">
        <v>715</v>
      </c>
      <c r="D82" s="141">
        <v>2970000</v>
      </c>
      <c r="E82" s="20" t="s">
        <v>385</v>
      </c>
      <c r="F82" s="20" t="s">
        <v>386</v>
      </c>
      <c r="G82" s="8" t="str">
        <f t="shared" si="1"/>
        <v>GUZMAN DANNY</v>
      </c>
    </row>
    <row r="83" spans="1:7" x14ac:dyDescent="0.25">
      <c r="A83" s="8">
        <v>42894.416967592595</v>
      </c>
      <c r="B83" s="20" t="s">
        <v>549</v>
      </c>
      <c r="C83" s="20" t="s">
        <v>716</v>
      </c>
      <c r="D83" s="141">
        <v>2730000</v>
      </c>
      <c r="E83" s="20" t="s">
        <v>523</v>
      </c>
      <c r="F83" s="20" t="s">
        <v>524</v>
      </c>
      <c r="G83" s="8" t="str">
        <f t="shared" si="1"/>
        <v>YANG JAN</v>
      </c>
    </row>
    <row r="84" spans="1:7" x14ac:dyDescent="0.25">
      <c r="A84" s="8">
        <v>42894.422314814816</v>
      </c>
      <c r="B84" s="20" t="s">
        <v>640</v>
      </c>
      <c r="C84" s="20" t="s">
        <v>717</v>
      </c>
      <c r="D84" s="141">
        <v>1540000</v>
      </c>
      <c r="E84" s="20" t="s">
        <v>494</v>
      </c>
      <c r="F84" s="20" t="s">
        <v>495</v>
      </c>
      <c r="G84" s="8" t="str">
        <f t="shared" si="1"/>
        <v>HELVIE ADAM</v>
      </c>
    </row>
    <row r="85" spans="1:7" x14ac:dyDescent="0.25">
      <c r="A85" s="8">
        <v>42894.425358796296</v>
      </c>
      <c r="B85" s="20" t="s">
        <v>343</v>
      </c>
      <c r="C85" s="20" t="s">
        <v>718</v>
      </c>
      <c r="D85" s="141">
        <v>1990000</v>
      </c>
      <c r="E85" s="20" t="s">
        <v>425</v>
      </c>
      <c r="F85" s="20" t="s">
        <v>548</v>
      </c>
      <c r="G85" s="8" t="str">
        <f t="shared" si="1"/>
        <v>DAVIS WENDY</v>
      </c>
    </row>
    <row r="86" spans="1:7" x14ac:dyDescent="0.25">
      <c r="A86" s="8">
        <v>42894.432245370372</v>
      </c>
      <c r="B86" s="20" t="s">
        <v>461</v>
      </c>
      <c r="C86" s="20" t="s">
        <v>719</v>
      </c>
      <c r="D86" s="141">
        <v>1100000</v>
      </c>
      <c r="E86" s="20" t="s">
        <v>550</v>
      </c>
      <c r="F86" s="20" t="s">
        <v>551</v>
      </c>
      <c r="G86" s="8" t="str">
        <f t="shared" si="1"/>
        <v>GEBRETEKLE DAGNEW</v>
      </c>
    </row>
    <row r="87" spans="1:7" x14ac:dyDescent="0.25">
      <c r="A87" s="8">
        <v>42894.43277777778</v>
      </c>
      <c r="B87" s="20" t="s">
        <v>644</v>
      </c>
      <c r="C87" s="20" t="s">
        <v>720</v>
      </c>
      <c r="D87" s="141">
        <v>940000</v>
      </c>
      <c r="E87" s="20" t="s">
        <v>552</v>
      </c>
      <c r="F87" s="20" t="s">
        <v>553</v>
      </c>
      <c r="G87" s="8" t="str">
        <f t="shared" si="1"/>
        <v>BONDS REYNALDO</v>
      </c>
    </row>
    <row r="88" spans="1:7" x14ac:dyDescent="0.25">
      <c r="A88" s="8">
        <v>42894.432789351849</v>
      </c>
      <c r="B88" s="20" t="s">
        <v>438</v>
      </c>
      <c r="C88" s="20" t="s">
        <v>721</v>
      </c>
      <c r="D88" s="141">
        <v>890000</v>
      </c>
      <c r="E88" s="20" t="s">
        <v>496</v>
      </c>
      <c r="F88" s="20" t="s">
        <v>497</v>
      </c>
      <c r="G88" s="8" t="str">
        <f t="shared" si="1"/>
        <v>LOZA FIDEL</v>
      </c>
    </row>
    <row r="89" spans="1:7" x14ac:dyDescent="0.25">
      <c r="A89" s="8">
        <v>42894.443055555559</v>
      </c>
      <c r="B89" s="20" t="s">
        <v>544</v>
      </c>
      <c r="C89" s="20" t="s">
        <v>722</v>
      </c>
      <c r="D89" s="141">
        <v>2730000</v>
      </c>
      <c r="E89" s="20" t="s">
        <v>523</v>
      </c>
      <c r="F89" s="20" t="s">
        <v>524</v>
      </c>
      <c r="G89" s="8" t="str">
        <f t="shared" si="1"/>
        <v>YANG JAN</v>
      </c>
    </row>
    <row r="90" spans="1:7" x14ac:dyDescent="0.25">
      <c r="A90" s="8">
        <v>42894.4455787037</v>
      </c>
      <c r="B90" s="20" t="s">
        <v>610</v>
      </c>
      <c r="C90" s="20" t="s">
        <v>723</v>
      </c>
      <c r="D90" s="141">
        <v>2970000</v>
      </c>
      <c r="E90" s="20" t="s">
        <v>385</v>
      </c>
      <c r="F90" s="20" t="s">
        <v>386</v>
      </c>
      <c r="G90" s="8" t="str">
        <f t="shared" si="1"/>
        <v>GUZMAN DANNY</v>
      </c>
    </row>
    <row r="91" spans="1:7" x14ac:dyDescent="0.25">
      <c r="A91" s="8">
        <v>42894.446446759262</v>
      </c>
      <c r="B91" s="20" t="s">
        <v>520</v>
      </c>
      <c r="C91" s="20" t="s">
        <v>724</v>
      </c>
      <c r="D91" s="141">
        <v>1290000</v>
      </c>
      <c r="E91" s="20" t="s">
        <v>558</v>
      </c>
      <c r="F91" s="20" t="s">
        <v>559</v>
      </c>
      <c r="G91" s="8" t="str">
        <f t="shared" si="1"/>
        <v>COOLAHAN JOHN</v>
      </c>
    </row>
    <row r="92" spans="1:7" x14ac:dyDescent="0.25">
      <c r="A92" s="8">
        <v>42894.450752314813</v>
      </c>
      <c r="B92" s="20" t="s">
        <v>725</v>
      </c>
      <c r="C92" s="20" t="s">
        <v>673</v>
      </c>
      <c r="D92" s="141">
        <v>2040000</v>
      </c>
      <c r="E92" s="20" t="s">
        <v>466</v>
      </c>
      <c r="F92" s="20" t="s">
        <v>467</v>
      </c>
      <c r="G92" s="8" t="str">
        <f t="shared" si="1"/>
        <v>MOSES BRADLEY</v>
      </c>
    </row>
    <row r="93" spans="1:7" x14ac:dyDescent="0.25">
      <c r="A93" s="8">
        <v>42894.451388888891</v>
      </c>
      <c r="B93" s="20" t="s">
        <v>725</v>
      </c>
      <c r="C93" s="20" t="s">
        <v>673</v>
      </c>
      <c r="D93" s="141">
        <v>2040000</v>
      </c>
      <c r="E93" s="20" t="s">
        <v>466</v>
      </c>
      <c r="F93" s="20" t="s">
        <v>467</v>
      </c>
      <c r="G93" s="8" t="str">
        <f t="shared" si="1"/>
        <v>MOSES BRADLEY</v>
      </c>
    </row>
    <row r="94" spans="1:7" x14ac:dyDescent="0.25">
      <c r="A94" s="8">
        <v>42894.452546296299</v>
      </c>
      <c r="B94" s="20" t="s">
        <v>725</v>
      </c>
      <c r="C94" s="20" t="s">
        <v>673</v>
      </c>
      <c r="D94" s="141">
        <v>2040000</v>
      </c>
      <c r="E94" s="20" t="s">
        <v>466</v>
      </c>
      <c r="F94" s="20" t="s">
        <v>467</v>
      </c>
      <c r="G94" s="8" t="str">
        <f t="shared" si="1"/>
        <v>MOSES BRADLEY</v>
      </c>
    </row>
    <row r="95" spans="1:7" x14ac:dyDescent="0.25">
      <c r="A95" s="8">
        <v>42894.454328703701</v>
      </c>
      <c r="B95" s="20" t="s">
        <v>618</v>
      </c>
      <c r="C95" s="20" t="s">
        <v>726</v>
      </c>
      <c r="D95" s="141">
        <v>1540000</v>
      </c>
      <c r="E95" s="20" t="s">
        <v>494</v>
      </c>
      <c r="F95" s="20" t="s">
        <v>495</v>
      </c>
      <c r="G95" s="8" t="str">
        <f t="shared" si="1"/>
        <v>HELVIE ADAM</v>
      </c>
    </row>
    <row r="96" spans="1:7" x14ac:dyDescent="0.25">
      <c r="A96" s="8">
        <v>42894.458194444444</v>
      </c>
      <c r="B96" s="20" t="s">
        <v>549</v>
      </c>
      <c r="C96" s="20" t="s">
        <v>727</v>
      </c>
      <c r="D96" s="141">
        <v>2730000</v>
      </c>
      <c r="E96" s="20" t="s">
        <v>523</v>
      </c>
      <c r="F96" s="20" t="s">
        <v>524</v>
      </c>
      <c r="G96" s="8" t="str">
        <f t="shared" si="1"/>
        <v>YANG JAN</v>
      </c>
    </row>
    <row r="97" spans="1:7" x14ac:dyDescent="0.25">
      <c r="A97" s="8">
        <v>42894.464513888888</v>
      </c>
      <c r="B97" s="20" t="s">
        <v>371</v>
      </c>
      <c r="C97" s="20" t="s">
        <v>728</v>
      </c>
      <c r="D97" s="141">
        <v>1990000</v>
      </c>
      <c r="E97" s="20" t="s">
        <v>425</v>
      </c>
      <c r="F97" s="20" t="s">
        <v>548</v>
      </c>
      <c r="G97" s="8" t="str">
        <f t="shared" si="1"/>
        <v>DAVIS WENDY</v>
      </c>
    </row>
    <row r="98" spans="1:7" x14ac:dyDescent="0.25">
      <c r="A98" s="8">
        <v>42894.466562499998</v>
      </c>
      <c r="B98" s="20" t="s">
        <v>522</v>
      </c>
      <c r="C98" s="20" t="s">
        <v>729</v>
      </c>
      <c r="D98" s="141">
        <v>880000</v>
      </c>
      <c r="E98" s="20" t="s">
        <v>525</v>
      </c>
      <c r="F98" s="20" t="s">
        <v>194</v>
      </c>
      <c r="G98" s="8" t="str">
        <f t="shared" si="1"/>
        <v>STEWART MICHAEL</v>
      </c>
    </row>
    <row r="99" spans="1:7" x14ac:dyDescent="0.25">
      <c r="A99" s="8">
        <v>42894.472777777781</v>
      </c>
      <c r="B99" s="20" t="s">
        <v>434</v>
      </c>
      <c r="C99" s="20" t="s">
        <v>624</v>
      </c>
      <c r="D99" s="141">
        <v>890000</v>
      </c>
      <c r="E99" s="20" t="s">
        <v>496</v>
      </c>
      <c r="F99" s="20" t="s">
        <v>497</v>
      </c>
      <c r="G99" s="8" t="str">
        <f t="shared" si="1"/>
        <v>LOZA FIDEL</v>
      </c>
    </row>
    <row r="100" spans="1:7" x14ac:dyDescent="0.25">
      <c r="A100" s="8">
        <v>42894.476203703707</v>
      </c>
      <c r="B100" s="20" t="s">
        <v>462</v>
      </c>
      <c r="C100" s="20" t="s">
        <v>730</v>
      </c>
      <c r="D100" s="141">
        <v>1830000</v>
      </c>
      <c r="E100" s="20" t="s">
        <v>731</v>
      </c>
      <c r="F100" s="20" t="s">
        <v>732</v>
      </c>
      <c r="G100" s="8" t="str">
        <f t="shared" si="1"/>
        <v>YORK EDGAR</v>
      </c>
    </row>
    <row r="101" spans="1:7" x14ac:dyDescent="0.25">
      <c r="A101" s="8">
        <v>42894.478159722225</v>
      </c>
      <c r="B101" s="20" t="s">
        <v>407</v>
      </c>
      <c r="C101" s="20" t="s">
        <v>733</v>
      </c>
      <c r="D101" s="141">
        <v>940000</v>
      </c>
      <c r="E101" s="20" t="s">
        <v>552</v>
      </c>
      <c r="F101" s="20" t="s">
        <v>553</v>
      </c>
      <c r="G101" s="8" t="str">
        <f t="shared" si="1"/>
        <v>BONDS REYNALDO</v>
      </c>
    </row>
    <row r="102" spans="1:7" x14ac:dyDescent="0.25">
      <c r="A102" s="8">
        <v>42894.483032407406</v>
      </c>
      <c r="B102" s="20" t="s">
        <v>519</v>
      </c>
      <c r="C102" s="20" t="s">
        <v>734</v>
      </c>
      <c r="D102" s="141">
        <v>1290000</v>
      </c>
      <c r="E102" s="20" t="s">
        <v>558</v>
      </c>
      <c r="F102" s="20" t="s">
        <v>559</v>
      </c>
      <c r="G102" s="8" t="str">
        <f t="shared" si="1"/>
        <v>COOLAHAN JOHN</v>
      </c>
    </row>
    <row r="103" spans="1:7" x14ac:dyDescent="0.25">
      <c r="A103" s="8">
        <v>42894.484849537039</v>
      </c>
      <c r="B103" s="20" t="s">
        <v>544</v>
      </c>
      <c r="C103" s="20" t="s">
        <v>735</v>
      </c>
      <c r="D103" s="141">
        <v>2730000</v>
      </c>
      <c r="E103" s="20" t="s">
        <v>523</v>
      </c>
      <c r="F103" s="20" t="s">
        <v>524</v>
      </c>
      <c r="G103" s="8" t="str">
        <f t="shared" si="1"/>
        <v>YANG JAN</v>
      </c>
    </row>
    <row r="104" spans="1:7" x14ac:dyDescent="0.25">
      <c r="A104" s="8">
        <v>42894.486342592594</v>
      </c>
      <c r="B104" s="20" t="s">
        <v>660</v>
      </c>
      <c r="C104" s="20" t="s">
        <v>736</v>
      </c>
      <c r="D104" s="141">
        <v>1300000</v>
      </c>
      <c r="E104" s="20" t="s">
        <v>498</v>
      </c>
      <c r="F104" s="20" t="s">
        <v>499</v>
      </c>
      <c r="G104" s="8" t="str">
        <f t="shared" si="1"/>
        <v>LEVIN SCOTT</v>
      </c>
    </row>
    <row r="105" spans="1:7" x14ac:dyDescent="0.25">
      <c r="A105" s="8">
        <v>42894.495752314811</v>
      </c>
      <c r="B105" s="20" t="s">
        <v>640</v>
      </c>
      <c r="C105" s="20" t="s">
        <v>737</v>
      </c>
      <c r="D105" s="141">
        <v>1540000</v>
      </c>
      <c r="E105" s="20" t="s">
        <v>494</v>
      </c>
      <c r="F105" s="20" t="s">
        <v>495</v>
      </c>
      <c r="G105" s="8" t="str">
        <f t="shared" si="1"/>
        <v>HELVIE ADAM</v>
      </c>
    </row>
    <row r="106" spans="1:7" x14ac:dyDescent="0.25">
      <c r="A106" s="8">
        <v>42894.496678240743</v>
      </c>
      <c r="B106" s="20" t="s">
        <v>343</v>
      </c>
      <c r="C106" s="20" t="s">
        <v>738</v>
      </c>
      <c r="D106" s="141">
        <v>2370000</v>
      </c>
      <c r="E106" s="20" t="s">
        <v>556</v>
      </c>
      <c r="F106" s="20" t="s">
        <v>557</v>
      </c>
      <c r="G106" s="8" t="str">
        <f t="shared" si="1"/>
        <v>DELGADO DIANAH</v>
      </c>
    </row>
    <row r="107" spans="1:7" x14ac:dyDescent="0.25">
      <c r="A107" s="8">
        <v>42894.499328703707</v>
      </c>
      <c r="B107" s="20" t="s">
        <v>549</v>
      </c>
      <c r="C107" s="20" t="s">
        <v>739</v>
      </c>
      <c r="D107" s="141">
        <v>2730000</v>
      </c>
      <c r="E107" s="20" t="s">
        <v>523</v>
      </c>
      <c r="F107" s="20" t="s">
        <v>524</v>
      </c>
      <c r="G107" s="8" t="str">
        <f t="shared" si="1"/>
        <v>YANG JAN</v>
      </c>
    </row>
    <row r="108" spans="1:7" x14ac:dyDescent="0.25">
      <c r="A108" s="8">
        <v>42894.505057870374</v>
      </c>
      <c r="B108" s="20" t="s">
        <v>461</v>
      </c>
      <c r="C108" s="20" t="s">
        <v>740</v>
      </c>
      <c r="D108" s="141">
        <v>1830000</v>
      </c>
      <c r="E108" s="20" t="s">
        <v>731</v>
      </c>
      <c r="F108" s="20" t="s">
        <v>732</v>
      </c>
      <c r="G108" s="8" t="str">
        <f t="shared" si="1"/>
        <v>YORK EDGAR</v>
      </c>
    </row>
    <row r="109" spans="1:7" x14ac:dyDescent="0.25">
      <c r="A109" s="8">
        <v>42894.506574074076</v>
      </c>
      <c r="B109" s="20" t="s">
        <v>644</v>
      </c>
      <c r="C109" s="20" t="s">
        <v>741</v>
      </c>
      <c r="D109" s="141">
        <v>880000</v>
      </c>
      <c r="E109" s="20" t="s">
        <v>525</v>
      </c>
      <c r="F109" s="20" t="s">
        <v>194</v>
      </c>
      <c r="G109" s="8" t="str">
        <f t="shared" si="1"/>
        <v>STEWART MICHAEL</v>
      </c>
    </row>
    <row r="110" spans="1:7" x14ac:dyDescent="0.25">
      <c r="A110" s="8">
        <v>42894.507997685185</v>
      </c>
      <c r="B110" s="20" t="s">
        <v>438</v>
      </c>
      <c r="C110" s="20" t="s">
        <v>742</v>
      </c>
      <c r="D110" s="141">
        <v>2350000</v>
      </c>
      <c r="E110" s="20" t="s">
        <v>560</v>
      </c>
      <c r="F110" s="20" t="s">
        <v>561</v>
      </c>
      <c r="G110" s="8" t="str">
        <f t="shared" si="1"/>
        <v>BERLING GARY</v>
      </c>
    </row>
    <row r="111" spans="1:7" x14ac:dyDescent="0.25">
      <c r="A111" s="8">
        <v>42894.516597222224</v>
      </c>
      <c r="B111" s="20" t="s">
        <v>520</v>
      </c>
      <c r="C111" s="20" t="s">
        <v>743</v>
      </c>
      <c r="D111" s="141">
        <v>2040000</v>
      </c>
      <c r="E111" s="20" t="s">
        <v>466</v>
      </c>
      <c r="F111" s="20" t="s">
        <v>467</v>
      </c>
      <c r="G111" s="8" t="str">
        <f t="shared" si="1"/>
        <v>MOSES BRADLEY</v>
      </c>
    </row>
    <row r="112" spans="1:7" x14ac:dyDescent="0.25">
      <c r="A112" s="8">
        <v>42894.525856481479</v>
      </c>
      <c r="B112" s="20" t="s">
        <v>544</v>
      </c>
      <c r="C112" s="20" t="s">
        <v>744</v>
      </c>
      <c r="D112" s="141">
        <v>2730000</v>
      </c>
      <c r="E112" s="20" t="s">
        <v>523</v>
      </c>
      <c r="F112" s="20" t="s">
        <v>524</v>
      </c>
      <c r="G112" s="8" t="str">
        <f t="shared" si="1"/>
        <v>YANG JAN</v>
      </c>
    </row>
    <row r="113" spans="1:7" x14ac:dyDescent="0.25">
      <c r="A113" s="8">
        <v>42894.526759259257</v>
      </c>
      <c r="B113" s="20" t="s">
        <v>610</v>
      </c>
      <c r="C113" s="20" t="s">
        <v>745</v>
      </c>
      <c r="D113" s="141">
        <v>1300000</v>
      </c>
      <c r="E113" s="20" t="s">
        <v>498</v>
      </c>
      <c r="F113" s="20" t="s">
        <v>499</v>
      </c>
      <c r="G113" s="8" t="str">
        <f t="shared" si="1"/>
        <v>LEVIN SCOTT</v>
      </c>
    </row>
    <row r="114" spans="1:7" x14ac:dyDescent="0.25">
      <c r="A114" s="8">
        <v>42894.52820601852</v>
      </c>
      <c r="B114" s="20" t="s">
        <v>618</v>
      </c>
      <c r="C114" s="20" t="s">
        <v>625</v>
      </c>
      <c r="D114" s="141">
        <v>2420000</v>
      </c>
      <c r="E114" s="20" t="s">
        <v>554</v>
      </c>
      <c r="F114" s="20" t="s">
        <v>555</v>
      </c>
      <c r="G114" s="8" t="str">
        <f t="shared" si="1"/>
        <v>HOLCOMB KAMDEN</v>
      </c>
    </row>
    <row r="115" spans="1:7" x14ac:dyDescent="0.25">
      <c r="A115" s="8">
        <v>42894.535578703704</v>
      </c>
      <c r="B115" s="20" t="s">
        <v>371</v>
      </c>
      <c r="C115" s="20" t="s">
        <v>746</v>
      </c>
      <c r="D115" s="141">
        <v>2370000</v>
      </c>
      <c r="E115" s="20" t="s">
        <v>556</v>
      </c>
      <c r="F115" s="20" t="s">
        <v>557</v>
      </c>
      <c r="G115" s="8" t="str">
        <f t="shared" si="1"/>
        <v>DELGADO DIANAH</v>
      </c>
    </row>
    <row r="116" spans="1:7" x14ac:dyDescent="0.25">
      <c r="A116" s="8">
        <v>42894.538923611108</v>
      </c>
      <c r="B116" s="20" t="s">
        <v>522</v>
      </c>
      <c r="C116" s="20" t="s">
        <v>747</v>
      </c>
      <c r="D116" s="141">
        <v>880000</v>
      </c>
      <c r="E116" s="20" t="s">
        <v>525</v>
      </c>
      <c r="F116" s="20" t="s">
        <v>194</v>
      </c>
      <c r="G116" s="8" t="str">
        <f t="shared" si="1"/>
        <v>STEWART MICHAEL</v>
      </c>
    </row>
    <row r="117" spans="1:7" x14ac:dyDescent="0.25">
      <c r="A117" s="8">
        <v>42894.541724537034</v>
      </c>
      <c r="B117" s="20" t="s">
        <v>549</v>
      </c>
      <c r="C117" s="20" t="s">
        <v>748</v>
      </c>
      <c r="D117" s="141">
        <v>2000000</v>
      </c>
      <c r="E117" s="20" t="s">
        <v>424</v>
      </c>
      <c r="F117" s="20" t="s">
        <v>191</v>
      </c>
      <c r="G117" s="8" t="str">
        <f t="shared" si="1"/>
        <v>STAMBAUGH JAMES</v>
      </c>
    </row>
    <row r="118" spans="1:7" x14ac:dyDescent="0.25">
      <c r="A118" s="8">
        <v>42894.54283564815</v>
      </c>
      <c r="B118" s="20" t="s">
        <v>434</v>
      </c>
      <c r="C118" s="20" t="s">
        <v>626</v>
      </c>
      <c r="D118" s="141">
        <v>2350000</v>
      </c>
      <c r="E118" s="20" t="s">
        <v>560</v>
      </c>
      <c r="F118" s="20" t="s">
        <v>561</v>
      </c>
      <c r="G118" s="8" t="str">
        <f t="shared" si="1"/>
        <v>BERLING GARY</v>
      </c>
    </row>
    <row r="119" spans="1:7" x14ac:dyDescent="0.25">
      <c r="A119" s="8">
        <v>42894.546481481484</v>
      </c>
      <c r="B119" s="20" t="s">
        <v>462</v>
      </c>
      <c r="C119" s="20" t="s">
        <v>749</v>
      </c>
      <c r="D119" s="141">
        <v>1830000</v>
      </c>
      <c r="E119" s="20" t="s">
        <v>731</v>
      </c>
      <c r="F119" s="20" t="s">
        <v>732</v>
      </c>
      <c r="G119" s="8" t="str">
        <f t="shared" si="1"/>
        <v>YORK EDGAR</v>
      </c>
    </row>
    <row r="120" spans="1:7" x14ac:dyDescent="0.25">
      <c r="A120" s="8">
        <v>42894.556956018518</v>
      </c>
      <c r="B120" s="20" t="s">
        <v>519</v>
      </c>
      <c r="C120" s="20" t="s">
        <v>628</v>
      </c>
      <c r="D120" s="141">
        <v>2040000</v>
      </c>
      <c r="E120" s="20" t="s">
        <v>466</v>
      </c>
      <c r="F120" s="20" t="s">
        <v>467</v>
      </c>
      <c r="G120" s="8" t="str">
        <f t="shared" si="1"/>
        <v>MOSES BRADLEY</v>
      </c>
    </row>
    <row r="121" spans="1:7" x14ac:dyDescent="0.25">
      <c r="A121" s="8">
        <v>42894.56045138889</v>
      </c>
      <c r="B121" s="20" t="s">
        <v>660</v>
      </c>
      <c r="C121" s="20" t="s">
        <v>750</v>
      </c>
      <c r="D121" s="141">
        <v>1300000</v>
      </c>
      <c r="E121" s="20" t="s">
        <v>498</v>
      </c>
      <c r="F121" s="20" t="s">
        <v>499</v>
      </c>
      <c r="G121" s="8" t="str">
        <f t="shared" si="1"/>
        <v>LEVIN SCOTT</v>
      </c>
    </row>
    <row r="122" spans="1:7" x14ac:dyDescent="0.25">
      <c r="A122" s="8">
        <v>42894.567152777781</v>
      </c>
      <c r="B122" s="25" t="s">
        <v>544</v>
      </c>
      <c r="C122" s="20" t="s">
        <v>627</v>
      </c>
      <c r="D122" s="141">
        <v>2000000</v>
      </c>
      <c r="E122" s="20" t="s">
        <v>424</v>
      </c>
      <c r="F122" s="20" t="s">
        <v>191</v>
      </c>
      <c r="G122" s="8" t="str">
        <f t="shared" si="1"/>
        <v>STAMBAUGH JAMES</v>
      </c>
    </row>
    <row r="123" spans="1:7" x14ac:dyDescent="0.25">
      <c r="A123" s="8">
        <v>42894.567835648151</v>
      </c>
      <c r="B123" s="20" t="s">
        <v>640</v>
      </c>
      <c r="C123" s="20" t="s">
        <v>751</v>
      </c>
      <c r="D123" s="141">
        <v>2420000</v>
      </c>
      <c r="E123" s="20" t="s">
        <v>554</v>
      </c>
      <c r="F123" s="20" t="s">
        <v>555</v>
      </c>
      <c r="G123" s="8" t="str">
        <f t="shared" si="1"/>
        <v>HOLCOMB KAMDEN</v>
      </c>
    </row>
    <row r="124" spans="1:7" x14ac:dyDescent="0.25">
      <c r="A124" s="8">
        <v>42894.568807870368</v>
      </c>
      <c r="B124" s="20" t="s">
        <v>343</v>
      </c>
      <c r="C124" s="20" t="s">
        <v>752</v>
      </c>
      <c r="D124" s="141">
        <v>2370000</v>
      </c>
      <c r="E124" s="20" t="s">
        <v>556</v>
      </c>
      <c r="F124" s="20" t="s">
        <v>557</v>
      </c>
      <c r="G124" s="8" t="str">
        <f t="shared" si="1"/>
        <v>DELGADO DIANAH</v>
      </c>
    </row>
    <row r="125" spans="1:7" x14ac:dyDescent="0.25">
      <c r="A125" s="8">
        <v>42894.578032407408</v>
      </c>
      <c r="B125" s="20" t="s">
        <v>461</v>
      </c>
      <c r="C125" s="20" t="s">
        <v>630</v>
      </c>
      <c r="D125" s="141">
        <v>1830000</v>
      </c>
      <c r="E125" s="20" t="s">
        <v>731</v>
      </c>
      <c r="F125" s="20" t="s">
        <v>732</v>
      </c>
      <c r="G125" s="8" t="str">
        <f t="shared" si="1"/>
        <v>YORK EDGAR</v>
      </c>
    </row>
    <row r="126" spans="1:7" x14ac:dyDescent="0.25">
      <c r="A126" s="8">
        <v>42894.579189814816</v>
      </c>
      <c r="B126" s="20" t="s">
        <v>644</v>
      </c>
      <c r="C126" s="20" t="s">
        <v>753</v>
      </c>
      <c r="D126" s="141">
        <v>880000</v>
      </c>
      <c r="E126" s="20" t="s">
        <v>525</v>
      </c>
      <c r="F126" s="20" t="s">
        <v>194</v>
      </c>
      <c r="G126" s="8" t="str">
        <f t="shared" si="1"/>
        <v>STEWART MICHAEL</v>
      </c>
    </row>
    <row r="127" spans="1:7" x14ac:dyDescent="0.25">
      <c r="A127" s="8">
        <v>42894.580092592594</v>
      </c>
      <c r="B127" s="20" t="s">
        <v>438</v>
      </c>
      <c r="C127" s="20" t="s">
        <v>754</v>
      </c>
      <c r="D127" s="141">
        <v>2350000</v>
      </c>
      <c r="E127" s="20" t="s">
        <v>560</v>
      </c>
      <c r="F127" s="20" t="s">
        <v>561</v>
      </c>
      <c r="G127" s="8" t="str">
        <f t="shared" si="1"/>
        <v>BERLING GARY</v>
      </c>
    </row>
    <row r="128" spans="1:7" x14ac:dyDescent="0.25">
      <c r="A128" s="8">
        <v>42894.590960648151</v>
      </c>
      <c r="B128" s="20" t="s">
        <v>520</v>
      </c>
      <c r="C128" s="20" t="s">
        <v>755</v>
      </c>
      <c r="D128" s="141">
        <v>1290000</v>
      </c>
      <c r="E128" s="20" t="s">
        <v>558</v>
      </c>
      <c r="F128" s="20" t="s">
        <v>559</v>
      </c>
      <c r="G128" s="8" t="str">
        <f t="shared" si="1"/>
        <v>COOLAHAN JOHN</v>
      </c>
    </row>
    <row r="129" spans="1:7" x14ac:dyDescent="0.25">
      <c r="A129" s="8">
        <v>42894.592974537038</v>
      </c>
      <c r="B129" s="20" t="s">
        <v>549</v>
      </c>
      <c r="C129" s="20" t="s">
        <v>629</v>
      </c>
      <c r="D129" s="141">
        <v>2000000</v>
      </c>
      <c r="E129" s="20" t="s">
        <v>424</v>
      </c>
      <c r="F129" s="20" t="s">
        <v>191</v>
      </c>
      <c r="G129" s="8" t="str">
        <f t="shared" si="1"/>
        <v>STAMBAUGH JAMES</v>
      </c>
    </row>
    <row r="130" spans="1:7" x14ac:dyDescent="0.25">
      <c r="A130" s="8">
        <v>42894.599756944444</v>
      </c>
      <c r="B130" s="20" t="s">
        <v>610</v>
      </c>
      <c r="C130" s="20" t="s">
        <v>756</v>
      </c>
      <c r="D130" s="141">
        <v>1300000</v>
      </c>
      <c r="E130" s="20" t="s">
        <v>498</v>
      </c>
      <c r="F130" s="20" t="s">
        <v>499</v>
      </c>
      <c r="G130" s="8" t="str">
        <f t="shared" si="1"/>
        <v>LEVIN SCOTT</v>
      </c>
    </row>
    <row r="131" spans="1:7" x14ac:dyDescent="0.25">
      <c r="A131" s="8">
        <v>42894.600081018521</v>
      </c>
      <c r="B131" s="20" t="s">
        <v>618</v>
      </c>
      <c r="C131" s="20" t="s">
        <v>631</v>
      </c>
      <c r="D131" s="141">
        <v>2420000</v>
      </c>
      <c r="E131" s="20" t="s">
        <v>554</v>
      </c>
      <c r="F131" s="20" t="s">
        <v>555</v>
      </c>
      <c r="G131" s="8" t="str">
        <f t="shared" ref="G131:G194" si="2">E131&amp;" "&amp;F131</f>
        <v>HOLCOMB KAMDEN</v>
      </c>
    </row>
    <row r="132" spans="1:7" x14ac:dyDescent="0.25">
      <c r="A132" s="8">
        <v>42894.60733796296</v>
      </c>
      <c r="B132" s="20" t="s">
        <v>371</v>
      </c>
      <c r="C132" s="20" t="s">
        <v>757</v>
      </c>
      <c r="D132" s="141">
        <v>2370000</v>
      </c>
      <c r="E132" s="20" t="s">
        <v>556</v>
      </c>
      <c r="F132" s="20" t="s">
        <v>557</v>
      </c>
      <c r="G132" s="8" t="str">
        <f t="shared" si="2"/>
        <v>DELGADO DIANAH</v>
      </c>
    </row>
    <row r="133" spans="1:7" x14ac:dyDescent="0.25">
      <c r="A133" s="8">
        <v>42894.612175925926</v>
      </c>
      <c r="B133" s="20" t="s">
        <v>522</v>
      </c>
      <c r="C133" s="20" t="s">
        <v>758</v>
      </c>
      <c r="D133" s="141">
        <v>880000</v>
      </c>
      <c r="E133" s="20" t="s">
        <v>525</v>
      </c>
      <c r="F133" s="20" t="s">
        <v>194</v>
      </c>
      <c r="G133" s="8" t="str">
        <f t="shared" si="2"/>
        <v>STEWART MICHAEL</v>
      </c>
    </row>
    <row r="134" spans="1:7" x14ac:dyDescent="0.25">
      <c r="A134" s="8">
        <v>42894.612974537034</v>
      </c>
      <c r="B134" s="20" t="s">
        <v>544</v>
      </c>
      <c r="C134" s="20" t="s">
        <v>759</v>
      </c>
      <c r="D134" s="141">
        <v>2000000</v>
      </c>
      <c r="E134" s="20" t="s">
        <v>424</v>
      </c>
      <c r="F134" s="20" t="s">
        <v>191</v>
      </c>
      <c r="G134" s="8" t="str">
        <f t="shared" si="2"/>
        <v>STAMBAUGH JAMES</v>
      </c>
    </row>
    <row r="135" spans="1:7" x14ac:dyDescent="0.25">
      <c r="A135" s="8">
        <v>42894.616238425922</v>
      </c>
      <c r="B135" s="20" t="s">
        <v>434</v>
      </c>
      <c r="C135" s="20" t="s">
        <v>760</v>
      </c>
      <c r="D135" s="141">
        <v>2350000</v>
      </c>
      <c r="E135" s="20" t="s">
        <v>560</v>
      </c>
      <c r="F135" s="20" t="s">
        <v>561</v>
      </c>
      <c r="G135" s="8" t="str">
        <f t="shared" si="2"/>
        <v>BERLING GARY</v>
      </c>
    </row>
    <row r="136" spans="1:7" x14ac:dyDescent="0.25">
      <c r="A136" s="8">
        <v>42894.619687500002</v>
      </c>
      <c r="B136" s="20" t="s">
        <v>462</v>
      </c>
      <c r="C136" s="20" t="s">
        <v>761</v>
      </c>
      <c r="D136" s="141">
        <v>1830000</v>
      </c>
      <c r="E136" s="20" t="s">
        <v>731</v>
      </c>
      <c r="F136" s="20" t="s">
        <v>732</v>
      </c>
      <c r="G136" s="8" t="str">
        <f t="shared" si="2"/>
        <v>YORK EDGAR</v>
      </c>
    </row>
    <row r="137" spans="1:7" x14ac:dyDescent="0.25">
      <c r="A137" s="8">
        <v>42894.625520833331</v>
      </c>
      <c r="B137" s="20" t="s">
        <v>549</v>
      </c>
      <c r="C137" s="20" t="s">
        <v>762</v>
      </c>
      <c r="D137" s="141">
        <v>2000000</v>
      </c>
      <c r="E137" s="20" t="s">
        <v>424</v>
      </c>
      <c r="F137" s="20" t="s">
        <v>191</v>
      </c>
      <c r="G137" s="8" t="str">
        <f t="shared" si="2"/>
        <v>STAMBAUGH JAMES</v>
      </c>
    </row>
    <row r="138" spans="1:7" x14ac:dyDescent="0.25">
      <c r="A138" s="8">
        <v>42894.63076388889</v>
      </c>
      <c r="B138" s="20" t="s">
        <v>519</v>
      </c>
      <c r="C138" s="20" t="s">
        <v>632</v>
      </c>
      <c r="D138" s="141">
        <v>1290000</v>
      </c>
      <c r="E138" s="20" t="s">
        <v>558</v>
      </c>
      <c r="F138" s="20" t="s">
        <v>559</v>
      </c>
      <c r="G138" s="8" t="str">
        <f t="shared" si="2"/>
        <v>COOLAHAN JOHN</v>
      </c>
    </row>
    <row r="139" spans="1:7" x14ac:dyDescent="0.25">
      <c r="A139" s="8">
        <v>42894.633726851855</v>
      </c>
      <c r="B139" s="20" t="s">
        <v>660</v>
      </c>
      <c r="C139" s="20" t="s">
        <v>763</v>
      </c>
      <c r="D139" s="141">
        <v>1300000</v>
      </c>
      <c r="E139" s="20" t="s">
        <v>498</v>
      </c>
      <c r="F139" s="20" t="s">
        <v>499</v>
      </c>
      <c r="G139" s="8" t="str">
        <f t="shared" si="2"/>
        <v>LEVIN SCOTT</v>
      </c>
    </row>
    <row r="140" spans="1:7" x14ac:dyDescent="0.25">
      <c r="A140" s="8">
        <v>42894.637627314813</v>
      </c>
      <c r="B140" s="20" t="s">
        <v>640</v>
      </c>
      <c r="C140" s="20" t="s">
        <v>764</v>
      </c>
      <c r="D140" s="141">
        <v>2420000</v>
      </c>
      <c r="E140" s="20" t="s">
        <v>554</v>
      </c>
      <c r="F140" s="20" t="s">
        <v>555</v>
      </c>
      <c r="G140" s="8" t="str">
        <f t="shared" si="2"/>
        <v>HOLCOMB KAMDEN</v>
      </c>
    </row>
    <row r="141" spans="1:7" x14ac:dyDescent="0.25">
      <c r="A141" s="8">
        <v>42894.641400462962</v>
      </c>
      <c r="B141" s="20" t="s">
        <v>343</v>
      </c>
      <c r="C141" s="20" t="s">
        <v>765</v>
      </c>
      <c r="D141" s="141">
        <v>2370000</v>
      </c>
      <c r="E141" s="20" t="s">
        <v>556</v>
      </c>
      <c r="F141" s="20" t="s">
        <v>557</v>
      </c>
      <c r="G141" s="8" t="str">
        <f t="shared" si="2"/>
        <v>DELGADO DIANAH</v>
      </c>
    </row>
    <row r="142" spans="1:7" x14ac:dyDescent="0.25">
      <c r="A142" s="8">
        <v>42894.642118055555</v>
      </c>
      <c r="B142" s="20" t="s">
        <v>613</v>
      </c>
      <c r="C142" s="20" t="s">
        <v>766</v>
      </c>
      <c r="D142" s="141">
        <v>2090000</v>
      </c>
      <c r="E142" s="20" t="s">
        <v>482</v>
      </c>
      <c r="F142" s="20" t="s">
        <v>194</v>
      </c>
      <c r="G142" s="8" t="str">
        <f t="shared" si="2"/>
        <v>HAITHCOX MICHAEL</v>
      </c>
    </row>
    <row r="143" spans="1:7" x14ac:dyDescent="0.25">
      <c r="A143" s="8">
        <v>42894.650243055556</v>
      </c>
      <c r="B143" s="20" t="s">
        <v>544</v>
      </c>
      <c r="C143" s="20" t="s">
        <v>767</v>
      </c>
      <c r="D143" s="141">
        <v>2000000</v>
      </c>
      <c r="E143" s="20" t="s">
        <v>424</v>
      </c>
      <c r="F143" s="20" t="s">
        <v>191</v>
      </c>
      <c r="G143" s="8" t="str">
        <f t="shared" si="2"/>
        <v>STAMBAUGH JAMES</v>
      </c>
    </row>
    <row r="144" spans="1:7" x14ac:dyDescent="0.25">
      <c r="A144" s="8">
        <v>42894.65116898148</v>
      </c>
      <c r="B144" s="20" t="s">
        <v>461</v>
      </c>
      <c r="C144" s="20" t="s">
        <v>768</v>
      </c>
      <c r="D144" s="141">
        <v>1830000</v>
      </c>
      <c r="E144" s="20" t="s">
        <v>731</v>
      </c>
      <c r="F144" s="20" t="s">
        <v>732</v>
      </c>
      <c r="G144" s="8" t="str">
        <f t="shared" si="2"/>
        <v>YORK EDGAR</v>
      </c>
    </row>
    <row r="145" spans="1:7" x14ac:dyDescent="0.25">
      <c r="A145" s="8">
        <v>42894.651261574072</v>
      </c>
      <c r="B145" s="20" t="s">
        <v>644</v>
      </c>
      <c r="C145" s="20" t="s">
        <v>769</v>
      </c>
      <c r="D145" s="141">
        <v>880000</v>
      </c>
      <c r="E145" s="20" t="s">
        <v>525</v>
      </c>
      <c r="F145" s="20" t="s">
        <v>194</v>
      </c>
      <c r="G145" s="8" t="str">
        <f t="shared" si="2"/>
        <v>STEWART MICHAEL</v>
      </c>
    </row>
    <row r="146" spans="1:7" x14ac:dyDescent="0.25">
      <c r="A146" s="8">
        <v>42894.653333333335</v>
      </c>
      <c r="B146" s="20" t="s">
        <v>406</v>
      </c>
      <c r="C146" s="20" t="s">
        <v>770</v>
      </c>
      <c r="D146" s="141">
        <v>2090000</v>
      </c>
      <c r="E146" s="20" t="s">
        <v>482</v>
      </c>
      <c r="F146" s="20" t="s">
        <v>194</v>
      </c>
      <c r="G146" s="8" t="str">
        <f t="shared" si="2"/>
        <v>HAITHCOX MICHAEL</v>
      </c>
    </row>
    <row r="147" spans="1:7" x14ac:dyDescent="0.25">
      <c r="A147" s="8">
        <v>42894.653773148151</v>
      </c>
      <c r="B147" s="20" t="s">
        <v>438</v>
      </c>
      <c r="C147" s="20" t="s">
        <v>771</v>
      </c>
      <c r="D147" s="141">
        <v>2350000</v>
      </c>
      <c r="E147" s="20" t="s">
        <v>560</v>
      </c>
      <c r="F147" s="20" t="s">
        <v>561</v>
      </c>
      <c r="G147" s="8" t="str">
        <f t="shared" si="2"/>
        <v>BERLING GARY</v>
      </c>
    </row>
    <row r="148" spans="1:7" x14ac:dyDescent="0.25">
      <c r="A148" s="8">
        <v>42894.663263888891</v>
      </c>
      <c r="B148" s="20" t="s">
        <v>520</v>
      </c>
      <c r="C148" s="20" t="s">
        <v>772</v>
      </c>
      <c r="D148" s="141">
        <v>1290000</v>
      </c>
      <c r="E148" s="20" t="s">
        <v>558</v>
      </c>
      <c r="F148" s="20" t="s">
        <v>559</v>
      </c>
      <c r="G148" s="8" t="str">
        <f t="shared" si="2"/>
        <v>COOLAHAN JOHN</v>
      </c>
    </row>
    <row r="149" spans="1:7" x14ac:dyDescent="0.25">
      <c r="A149" s="8">
        <v>42894.66646990741</v>
      </c>
      <c r="B149" s="20" t="s">
        <v>549</v>
      </c>
      <c r="C149" s="20" t="s">
        <v>773</v>
      </c>
      <c r="D149" s="141">
        <v>2000000</v>
      </c>
      <c r="E149" s="20" t="s">
        <v>424</v>
      </c>
      <c r="F149" s="20" t="s">
        <v>191</v>
      </c>
      <c r="G149" s="8" t="str">
        <f t="shared" si="2"/>
        <v>STAMBAUGH JAMES</v>
      </c>
    </row>
    <row r="150" spans="1:7" x14ac:dyDescent="0.25">
      <c r="A150" s="8">
        <v>42894.672129629631</v>
      </c>
      <c r="B150" s="20" t="s">
        <v>613</v>
      </c>
      <c r="C150" s="20" t="s">
        <v>774</v>
      </c>
      <c r="D150" s="141">
        <v>2090000</v>
      </c>
      <c r="E150" s="20" t="s">
        <v>482</v>
      </c>
      <c r="F150" s="20" t="s">
        <v>194</v>
      </c>
      <c r="G150" s="8" t="str">
        <f t="shared" si="2"/>
        <v>HAITHCOX MICHAEL</v>
      </c>
    </row>
    <row r="151" spans="1:7" x14ac:dyDescent="0.25">
      <c r="A151" s="8">
        <v>42894.673414351855</v>
      </c>
      <c r="B151" s="20" t="s">
        <v>618</v>
      </c>
      <c r="C151" s="20" t="s">
        <v>775</v>
      </c>
      <c r="D151" s="141">
        <v>2420000</v>
      </c>
      <c r="E151" s="20" t="s">
        <v>554</v>
      </c>
      <c r="F151" s="20" t="s">
        <v>555</v>
      </c>
      <c r="G151" s="8" t="str">
        <f t="shared" si="2"/>
        <v>HOLCOMB KAMDEN</v>
      </c>
    </row>
    <row r="152" spans="1:7" x14ac:dyDescent="0.25">
      <c r="A152" s="8">
        <v>42894.673645833333</v>
      </c>
      <c r="B152" s="20" t="s">
        <v>610</v>
      </c>
      <c r="C152" s="20" t="s">
        <v>633</v>
      </c>
      <c r="D152" s="141">
        <v>1300000</v>
      </c>
      <c r="E152" s="20" t="s">
        <v>498</v>
      </c>
      <c r="F152" s="20" t="s">
        <v>499</v>
      </c>
      <c r="G152" s="8" t="str">
        <f t="shared" si="2"/>
        <v>LEVIN SCOTT</v>
      </c>
    </row>
    <row r="153" spans="1:7" x14ac:dyDescent="0.25">
      <c r="A153" s="8">
        <v>42894.680914351855</v>
      </c>
      <c r="B153" s="20" t="s">
        <v>371</v>
      </c>
      <c r="C153" s="20" t="s">
        <v>634</v>
      </c>
      <c r="D153" s="141">
        <v>2370000</v>
      </c>
      <c r="E153" s="20" t="s">
        <v>556</v>
      </c>
      <c r="F153" s="20" t="s">
        <v>557</v>
      </c>
      <c r="G153" s="8" t="str">
        <f t="shared" si="2"/>
        <v>DELGADO DIANAH</v>
      </c>
    </row>
    <row r="154" spans="1:7" x14ac:dyDescent="0.25">
      <c r="A154" s="8">
        <v>42894.684490740743</v>
      </c>
      <c r="B154" s="20" t="s">
        <v>522</v>
      </c>
      <c r="C154" s="20" t="s">
        <v>776</v>
      </c>
      <c r="D154" s="141">
        <v>880000</v>
      </c>
      <c r="E154" s="20" t="s">
        <v>525</v>
      </c>
      <c r="F154" s="20" t="s">
        <v>194</v>
      </c>
      <c r="G154" s="8" t="str">
        <f t="shared" si="2"/>
        <v>STEWART MICHAEL</v>
      </c>
    </row>
    <row r="155" spans="1:7" x14ac:dyDescent="0.25">
      <c r="A155" s="8">
        <v>42894.687430555554</v>
      </c>
      <c r="B155" s="20" t="s">
        <v>406</v>
      </c>
      <c r="C155" s="20" t="s">
        <v>636</v>
      </c>
      <c r="D155" s="141">
        <v>2090000</v>
      </c>
      <c r="E155" s="20" t="s">
        <v>482</v>
      </c>
      <c r="F155" s="20" t="s">
        <v>194</v>
      </c>
      <c r="G155" s="8" t="str">
        <f t="shared" si="2"/>
        <v>HAITHCOX MICHAEL</v>
      </c>
    </row>
    <row r="156" spans="1:7" x14ac:dyDescent="0.25">
      <c r="A156" s="8">
        <v>42894.690416666665</v>
      </c>
      <c r="B156" s="20" t="s">
        <v>434</v>
      </c>
      <c r="C156" s="20" t="s">
        <v>637</v>
      </c>
      <c r="D156" s="141">
        <v>2350000</v>
      </c>
      <c r="E156" s="20" t="s">
        <v>560</v>
      </c>
      <c r="F156" s="20" t="s">
        <v>561</v>
      </c>
      <c r="G156" s="8" t="str">
        <f t="shared" si="2"/>
        <v>BERLING GARY</v>
      </c>
    </row>
    <row r="157" spans="1:7" x14ac:dyDescent="0.25">
      <c r="A157" s="8">
        <v>42894.692199074074</v>
      </c>
      <c r="B157" s="20" t="s">
        <v>462</v>
      </c>
      <c r="C157" s="20" t="s">
        <v>777</v>
      </c>
      <c r="D157" s="141">
        <v>1830000</v>
      </c>
      <c r="E157" s="20" t="s">
        <v>731</v>
      </c>
      <c r="F157" s="20" t="s">
        <v>732</v>
      </c>
      <c r="G157" s="8" t="str">
        <f t="shared" si="2"/>
        <v>YORK EDGAR</v>
      </c>
    </row>
    <row r="158" spans="1:7" x14ac:dyDescent="0.25">
      <c r="A158" s="8">
        <v>42894.692824074074</v>
      </c>
      <c r="B158" s="20" t="s">
        <v>544</v>
      </c>
      <c r="C158" s="20" t="s">
        <v>635</v>
      </c>
      <c r="D158" s="141">
        <v>2000000</v>
      </c>
      <c r="E158" s="20" t="s">
        <v>424</v>
      </c>
      <c r="F158" s="20" t="s">
        <v>191</v>
      </c>
      <c r="G158" s="8" t="str">
        <f t="shared" si="2"/>
        <v>STAMBAUGH JAMES</v>
      </c>
    </row>
    <row r="159" spans="1:7" x14ac:dyDescent="0.25">
      <c r="A159" s="8">
        <v>42894.697280092594</v>
      </c>
      <c r="B159" s="20" t="s">
        <v>378</v>
      </c>
      <c r="C159" s="20" t="s">
        <v>778</v>
      </c>
      <c r="D159" s="141">
        <v>1340000</v>
      </c>
      <c r="E159" s="20" t="s">
        <v>779</v>
      </c>
      <c r="F159" s="20" t="s">
        <v>780</v>
      </c>
      <c r="G159" s="8" t="str">
        <f t="shared" si="2"/>
        <v>BEAM ROSS</v>
      </c>
    </row>
    <row r="160" spans="1:7" x14ac:dyDescent="0.25">
      <c r="A160" s="8">
        <v>42894.703229166669</v>
      </c>
      <c r="B160" s="20" t="s">
        <v>519</v>
      </c>
      <c r="C160" s="20" t="s">
        <v>639</v>
      </c>
      <c r="D160" s="141">
        <v>1290000</v>
      </c>
      <c r="E160" s="20" t="s">
        <v>558</v>
      </c>
      <c r="F160" s="20" t="s">
        <v>559</v>
      </c>
      <c r="G160" s="8" t="str">
        <f t="shared" si="2"/>
        <v>COOLAHAN JOHN</v>
      </c>
    </row>
    <row r="161" spans="1:7" x14ac:dyDescent="0.25">
      <c r="A161" s="8">
        <v>42894.705578703702</v>
      </c>
      <c r="B161" s="20" t="s">
        <v>660</v>
      </c>
      <c r="C161" s="20" t="s">
        <v>781</v>
      </c>
      <c r="D161" s="141">
        <v>1300000</v>
      </c>
      <c r="E161" s="20" t="s">
        <v>498</v>
      </c>
      <c r="F161" s="20" t="s">
        <v>499</v>
      </c>
      <c r="G161" s="8" t="str">
        <f t="shared" si="2"/>
        <v>LEVIN SCOTT</v>
      </c>
    </row>
    <row r="162" spans="1:7" x14ac:dyDescent="0.25">
      <c r="A162" s="8">
        <v>42894.707280092596</v>
      </c>
      <c r="B162" s="20" t="s">
        <v>549</v>
      </c>
      <c r="C162" s="20" t="s">
        <v>638</v>
      </c>
      <c r="D162" s="141">
        <v>2000000</v>
      </c>
      <c r="E162" s="20" t="s">
        <v>424</v>
      </c>
      <c r="F162" s="20" t="s">
        <v>191</v>
      </c>
      <c r="G162" s="8" t="str">
        <f t="shared" si="2"/>
        <v>STAMBAUGH JAMES</v>
      </c>
    </row>
    <row r="163" spans="1:7" x14ac:dyDescent="0.25">
      <c r="A163" s="8">
        <v>42894.714479166665</v>
      </c>
      <c r="B163" s="20" t="s">
        <v>613</v>
      </c>
      <c r="C163" s="20" t="s">
        <v>782</v>
      </c>
      <c r="D163" s="141">
        <v>2090000</v>
      </c>
      <c r="E163" s="20" t="s">
        <v>482</v>
      </c>
      <c r="F163" s="20" t="s">
        <v>194</v>
      </c>
      <c r="G163" s="8" t="str">
        <f t="shared" si="2"/>
        <v>HAITHCOX MICHAEL</v>
      </c>
    </row>
    <row r="164" spans="1:7" x14ac:dyDescent="0.25">
      <c r="A164" s="8">
        <v>42894.714861111112</v>
      </c>
      <c r="B164" s="20" t="s">
        <v>640</v>
      </c>
      <c r="C164" s="20" t="s">
        <v>641</v>
      </c>
      <c r="D164" s="141">
        <v>2420000</v>
      </c>
      <c r="E164" s="20" t="s">
        <v>554</v>
      </c>
      <c r="F164" s="20" t="s">
        <v>555</v>
      </c>
      <c r="G164" s="8" t="str">
        <f t="shared" si="2"/>
        <v>HOLCOMB KAMDEN</v>
      </c>
    </row>
    <row r="165" spans="1:7" x14ac:dyDescent="0.25">
      <c r="A165" s="8">
        <v>42894.715416666666</v>
      </c>
      <c r="B165" s="20" t="s">
        <v>343</v>
      </c>
      <c r="C165" s="20" t="s">
        <v>783</v>
      </c>
      <c r="D165" s="141">
        <v>2370000</v>
      </c>
      <c r="E165" s="20" t="s">
        <v>556</v>
      </c>
      <c r="F165" s="20" t="s">
        <v>557</v>
      </c>
      <c r="G165" s="8" t="str">
        <f t="shared" si="2"/>
        <v>DELGADO DIANAH</v>
      </c>
    </row>
    <row r="166" spans="1:7" x14ac:dyDescent="0.25">
      <c r="A166" s="8">
        <v>42894.724444444444</v>
      </c>
      <c r="B166" s="20" t="s">
        <v>644</v>
      </c>
      <c r="C166" s="20" t="s">
        <v>784</v>
      </c>
      <c r="D166" s="141">
        <v>880000</v>
      </c>
      <c r="E166" s="20" t="s">
        <v>525</v>
      </c>
      <c r="F166" s="20" t="s">
        <v>194</v>
      </c>
      <c r="G166" s="8" t="str">
        <f t="shared" si="2"/>
        <v>STEWART MICHAEL</v>
      </c>
    </row>
    <row r="167" spans="1:7" x14ac:dyDescent="0.25">
      <c r="A167" s="8">
        <v>42894.726446759261</v>
      </c>
      <c r="B167" s="20" t="s">
        <v>438</v>
      </c>
      <c r="C167" s="20" t="s">
        <v>785</v>
      </c>
      <c r="D167" s="141">
        <v>2350000</v>
      </c>
      <c r="E167" s="20" t="s">
        <v>560</v>
      </c>
      <c r="F167" s="20" t="s">
        <v>561</v>
      </c>
      <c r="G167" s="8" t="str">
        <f t="shared" si="2"/>
        <v>BERLING GARY</v>
      </c>
    </row>
    <row r="168" spans="1:7" x14ac:dyDescent="0.25">
      <c r="A168" s="8">
        <v>42894.728622685187</v>
      </c>
      <c r="B168" s="20" t="s">
        <v>521</v>
      </c>
      <c r="C168" s="20" t="s">
        <v>786</v>
      </c>
      <c r="D168" s="141">
        <v>2040000</v>
      </c>
      <c r="E168" s="20" t="s">
        <v>466</v>
      </c>
      <c r="F168" s="20" t="s">
        <v>467</v>
      </c>
      <c r="G168" s="8" t="str">
        <f t="shared" si="2"/>
        <v>MOSES BRADLEY</v>
      </c>
    </row>
    <row r="169" spans="1:7" x14ac:dyDescent="0.25">
      <c r="A169" s="8">
        <v>42894.728761574072</v>
      </c>
      <c r="B169" s="20" t="s">
        <v>406</v>
      </c>
      <c r="C169" s="20" t="s">
        <v>787</v>
      </c>
      <c r="D169" s="141">
        <v>2090000</v>
      </c>
      <c r="E169" s="20" t="s">
        <v>482</v>
      </c>
      <c r="F169" s="20" t="s">
        <v>194</v>
      </c>
      <c r="G169" s="8" t="str">
        <f t="shared" si="2"/>
        <v>HAITHCOX MICHAEL</v>
      </c>
    </row>
    <row r="170" spans="1:7" x14ac:dyDescent="0.25">
      <c r="A170" s="8">
        <v>42894.734201388892</v>
      </c>
      <c r="B170" s="20" t="s">
        <v>461</v>
      </c>
      <c r="C170" s="20" t="s">
        <v>788</v>
      </c>
      <c r="D170" s="141">
        <v>1830000</v>
      </c>
      <c r="E170" s="20" t="s">
        <v>731</v>
      </c>
      <c r="F170" s="20" t="s">
        <v>732</v>
      </c>
      <c r="G170" s="8" t="str">
        <f t="shared" si="2"/>
        <v>YORK EDGAR</v>
      </c>
    </row>
    <row r="171" spans="1:7" x14ac:dyDescent="0.25">
      <c r="A171" s="8">
        <v>42894.734317129631</v>
      </c>
      <c r="B171" s="20" t="s">
        <v>544</v>
      </c>
      <c r="C171" s="20" t="s">
        <v>642</v>
      </c>
      <c r="D171" s="141">
        <v>2000000</v>
      </c>
      <c r="E171" s="20" t="s">
        <v>424</v>
      </c>
      <c r="F171" s="20" t="s">
        <v>191</v>
      </c>
      <c r="G171" s="8" t="str">
        <f t="shared" si="2"/>
        <v>STAMBAUGH JAMES</v>
      </c>
    </row>
    <row r="172" spans="1:7" x14ac:dyDescent="0.25">
      <c r="A172" s="8">
        <v>42894.735601851855</v>
      </c>
      <c r="B172" s="20" t="s">
        <v>362</v>
      </c>
      <c r="C172" s="20" t="s">
        <v>789</v>
      </c>
      <c r="D172" s="141">
        <v>3030000</v>
      </c>
      <c r="E172" s="20" t="s">
        <v>387</v>
      </c>
      <c r="F172" s="20" t="s">
        <v>372</v>
      </c>
      <c r="G172" s="8" t="str">
        <f t="shared" si="2"/>
        <v>BIRENBAUM THOMAS</v>
      </c>
    </row>
    <row r="173" spans="1:7" x14ac:dyDescent="0.25">
      <c r="A173" s="8">
        <v>42894.736944444441</v>
      </c>
      <c r="B173" s="20" t="s">
        <v>520</v>
      </c>
      <c r="C173" s="20" t="s">
        <v>790</v>
      </c>
      <c r="D173" s="141">
        <v>2230000</v>
      </c>
      <c r="E173" s="20" t="s">
        <v>344</v>
      </c>
      <c r="F173" s="20" t="s">
        <v>194</v>
      </c>
      <c r="G173" s="8" t="str">
        <f t="shared" si="2"/>
        <v>SMITH MICHAEL</v>
      </c>
    </row>
    <row r="174" spans="1:7" x14ac:dyDescent="0.25">
      <c r="A174" s="8">
        <v>42894.737870370373</v>
      </c>
      <c r="B174" s="20" t="s">
        <v>362</v>
      </c>
      <c r="C174" s="20" t="s">
        <v>789</v>
      </c>
      <c r="D174" s="141">
        <v>3030000</v>
      </c>
      <c r="E174" s="20" t="s">
        <v>387</v>
      </c>
      <c r="F174" s="20" t="s">
        <v>372</v>
      </c>
      <c r="G174" s="8" t="str">
        <f t="shared" si="2"/>
        <v>BIRENBAUM THOMAS</v>
      </c>
    </row>
    <row r="175" spans="1:7" x14ac:dyDescent="0.25">
      <c r="A175" s="8">
        <v>42894.744513888887</v>
      </c>
      <c r="B175" s="20" t="s">
        <v>423</v>
      </c>
      <c r="C175" s="20" t="s">
        <v>789</v>
      </c>
      <c r="D175" s="141">
        <v>3030000</v>
      </c>
      <c r="E175" s="20" t="s">
        <v>387</v>
      </c>
      <c r="F175" s="20" t="s">
        <v>372</v>
      </c>
      <c r="G175" s="8" t="str">
        <f t="shared" si="2"/>
        <v>BIRENBAUM THOMAS</v>
      </c>
    </row>
    <row r="176" spans="1:7" x14ac:dyDescent="0.25">
      <c r="A176" s="8">
        <v>42894.745300925926</v>
      </c>
      <c r="B176" s="20" t="s">
        <v>618</v>
      </c>
      <c r="C176" s="20" t="s">
        <v>791</v>
      </c>
      <c r="D176" s="141">
        <v>2420000</v>
      </c>
      <c r="E176" s="20" t="s">
        <v>554</v>
      </c>
      <c r="F176" s="20" t="s">
        <v>555</v>
      </c>
      <c r="G176" s="8" t="str">
        <f t="shared" si="2"/>
        <v>HOLCOMB KAMDEN</v>
      </c>
    </row>
    <row r="177" spans="1:7" x14ac:dyDescent="0.25">
      <c r="A177" s="8">
        <v>42894.746319444443</v>
      </c>
      <c r="B177" s="20" t="s">
        <v>610</v>
      </c>
      <c r="C177" s="20" t="s">
        <v>792</v>
      </c>
      <c r="D177" s="141">
        <v>1300000</v>
      </c>
      <c r="E177" s="20" t="s">
        <v>498</v>
      </c>
      <c r="F177" s="20" t="s">
        <v>499</v>
      </c>
      <c r="G177" s="8" t="str">
        <f t="shared" si="2"/>
        <v>LEVIN SCOTT</v>
      </c>
    </row>
    <row r="178" spans="1:7" x14ac:dyDescent="0.25">
      <c r="A178" s="8">
        <v>42894.748807870368</v>
      </c>
      <c r="B178" s="20" t="s">
        <v>549</v>
      </c>
      <c r="C178" s="20" t="s">
        <v>793</v>
      </c>
      <c r="D178" s="141">
        <v>2000000</v>
      </c>
      <c r="E178" s="20" t="s">
        <v>424</v>
      </c>
      <c r="F178" s="20" t="s">
        <v>191</v>
      </c>
      <c r="G178" s="8" t="str">
        <f t="shared" si="2"/>
        <v>STAMBAUGH JAMES</v>
      </c>
    </row>
    <row r="179" spans="1:7" x14ac:dyDescent="0.25">
      <c r="A179" s="8">
        <v>42894.753958333335</v>
      </c>
      <c r="B179" s="20" t="s">
        <v>371</v>
      </c>
      <c r="C179" s="20" t="s">
        <v>794</v>
      </c>
      <c r="D179" s="141">
        <v>2370000</v>
      </c>
      <c r="E179" s="20" t="s">
        <v>556</v>
      </c>
      <c r="F179" s="20" t="s">
        <v>557</v>
      </c>
      <c r="G179" s="8" t="str">
        <f t="shared" si="2"/>
        <v>DELGADO DIANAH</v>
      </c>
    </row>
    <row r="180" spans="1:7" x14ac:dyDescent="0.25">
      <c r="A180" s="8">
        <v>42894.755983796298</v>
      </c>
      <c r="B180" s="20" t="s">
        <v>613</v>
      </c>
      <c r="C180" s="20" t="s">
        <v>795</v>
      </c>
      <c r="D180" s="141">
        <v>2090000</v>
      </c>
      <c r="E180" s="20" t="s">
        <v>482</v>
      </c>
      <c r="F180" s="20" t="s">
        <v>194</v>
      </c>
      <c r="G180" s="8" t="str">
        <f t="shared" si="2"/>
        <v>HAITHCOX MICHAEL</v>
      </c>
    </row>
    <row r="181" spans="1:7" x14ac:dyDescent="0.25">
      <c r="A181" s="8">
        <v>42894.75744212963</v>
      </c>
      <c r="B181" s="20" t="s">
        <v>522</v>
      </c>
      <c r="C181" s="20" t="s">
        <v>796</v>
      </c>
      <c r="D181" s="141">
        <v>2620000</v>
      </c>
      <c r="E181" s="20" t="s">
        <v>797</v>
      </c>
      <c r="F181" s="20" t="s">
        <v>798</v>
      </c>
      <c r="G181" s="8" t="str">
        <f t="shared" si="2"/>
        <v>PERKINS DARREN</v>
      </c>
    </row>
    <row r="182" spans="1:7" x14ac:dyDescent="0.25">
      <c r="A182" s="8">
        <v>42894.763715277775</v>
      </c>
      <c r="B182" s="20" t="s">
        <v>434</v>
      </c>
      <c r="C182" s="20" t="s">
        <v>643</v>
      </c>
      <c r="D182" s="141">
        <v>2350000</v>
      </c>
      <c r="E182" s="20" t="s">
        <v>560</v>
      </c>
      <c r="F182" s="20" t="s">
        <v>561</v>
      </c>
      <c r="G182" s="8" t="str">
        <f t="shared" si="2"/>
        <v>BERLING GARY</v>
      </c>
    </row>
    <row r="183" spans="1:7" x14ac:dyDescent="0.25">
      <c r="A183" s="8">
        <v>42894.766388888886</v>
      </c>
      <c r="B183" s="20" t="s">
        <v>462</v>
      </c>
      <c r="C183" s="20" t="s">
        <v>799</v>
      </c>
      <c r="D183" s="141">
        <v>3000000</v>
      </c>
      <c r="E183" s="20" t="s">
        <v>439</v>
      </c>
      <c r="F183" s="20" t="s">
        <v>440</v>
      </c>
      <c r="G183" s="8" t="str">
        <f t="shared" si="2"/>
        <v>FORTUNATO FRANK</v>
      </c>
    </row>
    <row r="184" spans="1:7" x14ac:dyDescent="0.25">
      <c r="A184" s="8">
        <v>42894.770115740743</v>
      </c>
      <c r="B184" s="20" t="s">
        <v>406</v>
      </c>
      <c r="C184" s="20" t="s">
        <v>800</v>
      </c>
      <c r="D184" s="141">
        <v>2090000</v>
      </c>
      <c r="E184" s="20" t="s">
        <v>482</v>
      </c>
      <c r="F184" s="20" t="s">
        <v>194</v>
      </c>
      <c r="G184" s="8" t="str">
        <f t="shared" si="2"/>
        <v>HAITHCOX MICHAEL</v>
      </c>
    </row>
    <row r="185" spans="1:7" x14ac:dyDescent="0.25">
      <c r="A185" s="8">
        <v>42894.773009259261</v>
      </c>
      <c r="B185" s="20" t="s">
        <v>519</v>
      </c>
      <c r="C185" s="20" t="s">
        <v>801</v>
      </c>
      <c r="D185" s="141">
        <v>2230000</v>
      </c>
      <c r="E185" s="20" t="s">
        <v>344</v>
      </c>
      <c r="F185" s="20" t="s">
        <v>194</v>
      </c>
      <c r="G185" s="8" t="str">
        <f t="shared" si="2"/>
        <v>SMITH MICHAEL</v>
      </c>
    </row>
    <row r="186" spans="1:7" x14ac:dyDescent="0.25">
      <c r="A186" s="8">
        <v>42894.775810185187</v>
      </c>
      <c r="B186" s="20" t="s">
        <v>544</v>
      </c>
      <c r="C186" s="20" t="s">
        <v>802</v>
      </c>
      <c r="D186" s="141">
        <v>2000000</v>
      </c>
      <c r="E186" s="20" t="s">
        <v>424</v>
      </c>
      <c r="F186" s="20" t="s">
        <v>191</v>
      </c>
      <c r="G186" s="8" t="str">
        <f t="shared" si="2"/>
        <v>STAMBAUGH JAMES</v>
      </c>
    </row>
    <row r="187" spans="1:7" x14ac:dyDescent="0.25">
      <c r="A187" s="8">
        <v>42894.776701388888</v>
      </c>
      <c r="B187" s="20" t="s">
        <v>660</v>
      </c>
      <c r="C187" s="20" t="s">
        <v>803</v>
      </c>
      <c r="D187" s="141">
        <v>1300000</v>
      </c>
      <c r="E187" s="20" t="s">
        <v>498</v>
      </c>
      <c r="F187" s="20" t="s">
        <v>499</v>
      </c>
      <c r="G187" s="8" t="str">
        <f t="shared" si="2"/>
        <v>LEVIN SCOTT</v>
      </c>
    </row>
    <row r="188" spans="1:7" x14ac:dyDescent="0.25">
      <c r="A188" s="8">
        <v>42894.785636574074</v>
      </c>
      <c r="B188" s="20" t="s">
        <v>640</v>
      </c>
      <c r="C188" s="20" t="s">
        <v>804</v>
      </c>
      <c r="D188" s="141">
        <v>2420000</v>
      </c>
      <c r="E188" s="20" t="s">
        <v>554</v>
      </c>
      <c r="F188" s="20" t="s">
        <v>555</v>
      </c>
      <c r="G188" s="8" t="str">
        <f t="shared" si="2"/>
        <v>HOLCOMB KAMDEN</v>
      </c>
    </row>
    <row r="189" spans="1:7" x14ac:dyDescent="0.25">
      <c r="A189" s="8">
        <v>42894.787326388891</v>
      </c>
      <c r="B189" s="20" t="s">
        <v>343</v>
      </c>
      <c r="C189" s="20" t="s">
        <v>805</v>
      </c>
      <c r="D189" s="141">
        <v>3030000</v>
      </c>
      <c r="E189" s="20" t="s">
        <v>387</v>
      </c>
      <c r="F189" s="20" t="s">
        <v>372</v>
      </c>
      <c r="G189" s="8" t="str">
        <f t="shared" si="2"/>
        <v>BIRENBAUM THOMAS</v>
      </c>
    </row>
    <row r="190" spans="1:7" x14ac:dyDescent="0.25">
      <c r="A190" s="8">
        <v>42894.791030092594</v>
      </c>
      <c r="B190" s="20" t="s">
        <v>549</v>
      </c>
      <c r="C190" s="20" t="s">
        <v>806</v>
      </c>
      <c r="D190" s="141">
        <v>2000000</v>
      </c>
      <c r="E190" s="20" t="s">
        <v>424</v>
      </c>
      <c r="F190" s="20" t="s">
        <v>191</v>
      </c>
      <c r="G190" s="8" t="str">
        <f t="shared" si="2"/>
        <v>STAMBAUGH JAMES</v>
      </c>
    </row>
    <row r="191" spans="1:7" x14ac:dyDescent="0.25">
      <c r="A191" s="8">
        <v>42894.792268518519</v>
      </c>
      <c r="B191" s="20" t="s">
        <v>644</v>
      </c>
      <c r="C191" s="20" t="s">
        <v>645</v>
      </c>
      <c r="D191" s="141">
        <v>2620000</v>
      </c>
      <c r="E191" s="20" t="s">
        <v>797</v>
      </c>
      <c r="F191" s="20" t="s">
        <v>798</v>
      </c>
      <c r="G191" s="8" t="str">
        <f t="shared" si="2"/>
        <v>PERKINS DARREN</v>
      </c>
    </row>
    <row r="192" spans="1:7" x14ac:dyDescent="0.25">
      <c r="A192" s="8">
        <v>42894.798194444447</v>
      </c>
      <c r="B192" s="20" t="s">
        <v>613</v>
      </c>
      <c r="C192" s="20" t="s">
        <v>807</v>
      </c>
      <c r="D192" s="141">
        <v>2090000</v>
      </c>
      <c r="E192" s="20" t="s">
        <v>482</v>
      </c>
      <c r="F192" s="20" t="s">
        <v>194</v>
      </c>
      <c r="G192" s="8" t="str">
        <f t="shared" si="2"/>
        <v>HAITHCOX MICHAEL</v>
      </c>
    </row>
    <row r="193" spans="1:7" x14ac:dyDescent="0.25">
      <c r="A193" s="8">
        <v>42894.798819444448</v>
      </c>
      <c r="B193" s="20" t="s">
        <v>438</v>
      </c>
      <c r="C193" s="20" t="s">
        <v>808</v>
      </c>
      <c r="D193" s="141">
        <v>2350000</v>
      </c>
      <c r="E193" s="20" t="s">
        <v>560</v>
      </c>
      <c r="F193" s="20" t="s">
        <v>561</v>
      </c>
      <c r="G193" s="8" t="str">
        <f t="shared" si="2"/>
        <v>BERLING GARY</v>
      </c>
    </row>
    <row r="194" spans="1:7" x14ac:dyDescent="0.25">
      <c r="A194" s="8">
        <v>42894.802870370368</v>
      </c>
      <c r="B194" s="20" t="s">
        <v>461</v>
      </c>
      <c r="C194" s="20" t="s">
        <v>809</v>
      </c>
      <c r="D194" s="141">
        <v>3000000</v>
      </c>
      <c r="E194" s="20" t="s">
        <v>439</v>
      </c>
      <c r="F194" s="20" t="s">
        <v>440</v>
      </c>
      <c r="G194" s="8" t="str">
        <f t="shared" si="2"/>
        <v>FORTUNATO FRANK</v>
      </c>
    </row>
    <row r="195" spans="1:7" x14ac:dyDescent="0.25">
      <c r="A195" s="8">
        <v>42894.810347222221</v>
      </c>
      <c r="B195" s="20" t="s">
        <v>520</v>
      </c>
      <c r="C195" s="20" t="s">
        <v>810</v>
      </c>
      <c r="D195" s="141">
        <v>3130000</v>
      </c>
      <c r="E195" s="20" t="s">
        <v>390</v>
      </c>
      <c r="F195" s="20" t="s">
        <v>391</v>
      </c>
      <c r="G195" s="8" t="str">
        <f t="shared" ref="G195:G258" si="3">E195&amp;" "&amp;F195</f>
        <v>ZEWDU DEREJE</v>
      </c>
    </row>
    <row r="196" spans="1:7" x14ac:dyDescent="0.25">
      <c r="A196" s="8">
        <v>42894.817060185182</v>
      </c>
      <c r="B196" s="20" t="s">
        <v>544</v>
      </c>
      <c r="C196" s="20" t="s">
        <v>811</v>
      </c>
      <c r="D196" s="141">
        <v>2000000</v>
      </c>
      <c r="E196" s="20" t="s">
        <v>424</v>
      </c>
      <c r="F196" s="20" t="s">
        <v>191</v>
      </c>
      <c r="G196" s="8" t="str">
        <f t="shared" si="3"/>
        <v>STAMBAUGH JAMES</v>
      </c>
    </row>
    <row r="197" spans="1:7" x14ac:dyDescent="0.25">
      <c r="A197" s="8">
        <v>42894.81925925926</v>
      </c>
      <c r="B197" s="20" t="s">
        <v>618</v>
      </c>
      <c r="C197" s="20" t="s">
        <v>646</v>
      </c>
      <c r="D197" s="141">
        <v>2420000</v>
      </c>
      <c r="E197" s="20" t="s">
        <v>554</v>
      </c>
      <c r="F197" s="20" t="s">
        <v>555</v>
      </c>
      <c r="G197" s="8" t="str">
        <f t="shared" si="3"/>
        <v>HOLCOMB KAMDEN</v>
      </c>
    </row>
    <row r="198" spans="1:7" x14ac:dyDescent="0.25">
      <c r="A198" s="8">
        <v>42894.822534722225</v>
      </c>
      <c r="B198" s="20" t="s">
        <v>371</v>
      </c>
      <c r="C198" s="20" t="s">
        <v>812</v>
      </c>
      <c r="D198" s="141">
        <v>3030000</v>
      </c>
      <c r="E198" s="20" t="s">
        <v>387</v>
      </c>
      <c r="F198" s="20" t="s">
        <v>372</v>
      </c>
      <c r="G198" s="8" t="str">
        <f t="shared" si="3"/>
        <v>BIRENBAUM THOMAS</v>
      </c>
    </row>
    <row r="199" spans="1:7" x14ac:dyDescent="0.25">
      <c r="A199" s="8">
        <v>42894.829687500001</v>
      </c>
      <c r="B199" s="20" t="s">
        <v>522</v>
      </c>
      <c r="C199" s="20" t="s">
        <v>647</v>
      </c>
      <c r="D199" s="141">
        <v>2620000</v>
      </c>
      <c r="E199" s="20" t="s">
        <v>797</v>
      </c>
      <c r="F199" s="20" t="s">
        <v>798</v>
      </c>
      <c r="G199" s="8" t="str">
        <f t="shared" si="3"/>
        <v>PERKINS DARREN</v>
      </c>
    </row>
    <row r="200" spans="1:7" x14ac:dyDescent="0.25">
      <c r="A200" s="8">
        <v>42894.840486111112</v>
      </c>
      <c r="B200" s="20" t="s">
        <v>519</v>
      </c>
      <c r="C200" s="20" t="s">
        <v>813</v>
      </c>
      <c r="D200" s="141">
        <v>3130000</v>
      </c>
      <c r="E200" s="20" t="s">
        <v>390</v>
      </c>
      <c r="F200" s="20" t="s">
        <v>391</v>
      </c>
      <c r="G200" s="8" t="str">
        <f t="shared" si="3"/>
        <v>ZEWDU DEREJE</v>
      </c>
    </row>
    <row r="201" spans="1:7" x14ac:dyDescent="0.25">
      <c r="A201" s="8">
        <v>42894.84202546296</v>
      </c>
      <c r="B201" s="20" t="s">
        <v>462</v>
      </c>
      <c r="C201" s="20" t="s">
        <v>814</v>
      </c>
      <c r="D201" s="141">
        <v>3000000</v>
      </c>
      <c r="E201" s="20" t="s">
        <v>439</v>
      </c>
      <c r="F201" s="20" t="s">
        <v>440</v>
      </c>
      <c r="G201" s="8" t="str">
        <f t="shared" si="3"/>
        <v>FORTUNATO FRANK</v>
      </c>
    </row>
    <row r="202" spans="1:7" x14ac:dyDescent="0.25">
      <c r="A202" s="26">
        <v>42894.844293981485</v>
      </c>
      <c r="B202" s="20" t="s">
        <v>549</v>
      </c>
      <c r="C202" s="20" t="s">
        <v>815</v>
      </c>
      <c r="D202" s="141">
        <v>2000000</v>
      </c>
      <c r="E202" s="20" t="s">
        <v>424</v>
      </c>
      <c r="F202" s="20" t="s">
        <v>191</v>
      </c>
      <c r="G202" s="8" t="str">
        <f t="shared" si="3"/>
        <v>STAMBAUGH JAMES</v>
      </c>
    </row>
    <row r="203" spans="1:7" x14ac:dyDescent="0.25">
      <c r="A203" s="8">
        <v>42894.853298611109</v>
      </c>
      <c r="B203" s="20" t="s">
        <v>522</v>
      </c>
      <c r="C203" s="20" t="s">
        <v>647</v>
      </c>
      <c r="D203" s="141">
        <v>2620000</v>
      </c>
      <c r="E203" s="20" t="s">
        <v>797</v>
      </c>
      <c r="F203" s="20" t="s">
        <v>798</v>
      </c>
      <c r="G203" s="8" t="str">
        <f t="shared" si="3"/>
        <v>PERKINS DARREN</v>
      </c>
    </row>
    <row r="204" spans="1:7" x14ac:dyDescent="0.25">
      <c r="A204" s="8">
        <v>42894.859467592592</v>
      </c>
      <c r="B204" s="20" t="s">
        <v>544</v>
      </c>
      <c r="C204" s="20" t="s">
        <v>816</v>
      </c>
      <c r="D204" s="141">
        <v>2000000</v>
      </c>
      <c r="E204" s="20" t="s">
        <v>424</v>
      </c>
      <c r="F204" s="20" t="s">
        <v>191</v>
      </c>
      <c r="G204" s="8" t="str">
        <f t="shared" si="3"/>
        <v>STAMBAUGH JAMES</v>
      </c>
    </row>
    <row r="205" spans="1:7" x14ac:dyDescent="0.25">
      <c r="A205" s="8">
        <v>42894.861944444441</v>
      </c>
      <c r="B205" s="20" t="s">
        <v>343</v>
      </c>
      <c r="C205" s="20" t="s">
        <v>648</v>
      </c>
      <c r="D205" s="141">
        <v>3090000</v>
      </c>
      <c r="E205" s="20" t="s">
        <v>381</v>
      </c>
      <c r="F205" s="20" t="s">
        <v>382</v>
      </c>
      <c r="G205" s="8" t="str">
        <f t="shared" si="3"/>
        <v>LAMAR NEKESHA</v>
      </c>
    </row>
    <row r="206" spans="1:7" x14ac:dyDescent="0.25">
      <c r="A206" s="8">
        <v>42894.875023148146</v>
      </c>
      <c r="B206" s="20" t="s">
        <v>462</v>
      </c>
      <c r="C206" s="20" t="s">
        <v>814</v>
      </c>
      <c r="D206" s="141">
        <v>3000000</v>
      </c>
      <c r="E206" s="20" t="s">
        <v>439</v>
      </c>
      <c r="F206" s="20" t="s">
        <v>440</v>
      </c>
      <c r="G206" s="8" t="str">
        <f t="shared" si="3"/>
        <v>FORTUNATO FRANK</v>
      </c>
    </row>
    <row r="207" spans="1:7" x14ac:dyDescent="0.25">
      <c r="A207" s="8">
        <v>42894.878576388888</v>
      </c>
      <c r="B207" s="20" t="s">
        <v>549</v>
      </c>
      <c r="C207" s="20" t="s">
        <v>817</v>
      </c>
      <c r="D207" s="141">
        <v>2090000</v>
      </c>
      <c r="E207" s="20" t="s">
        <v>482</v>
      </c>
      <c r="F207" s="20" t="s">
        <v>194</v>
      </c>
      <c r="G207" s="8" t="str">
        <f t="shared" si="3"/>
        <v>HAITHCOX MICHAEL</v>
      </c>
    </row>
    <row r="208" spans="1:7" x14ac:dyDescent="0.25">
      <c r="A208" s="8">
        <v>42894.882002314815</v>
      </c>
      <c r="B208" s="20" t="s">
        <v>520</v>
      </c>
      <c r="C208" s="20" t="s">
        <v>818</v>
      </c>
      <c r="D208" s="141">
        <v>2230000</v>
      </c>
      <c r="E208" s="20" t="s">
        <v>344</v>
      </c>
      <c r="F208" s="20" t="s">
        <v>194</v>
      </c>
      <c r="G208" s="8" t="str">
        <f t="shared" si="3"/>
        <v>SMITH MICHAEL</v>
      </c>
    </row>
    <row r="209" spans="1:7" x14ac:dyDescent="0.25">
      <c r="A209" s="8">
        <v>42894.883287037039</v>
      </c>
      <c r="B209" s="20" t="s">
        <v>644</v>
      </c>
      <c r="C209" s="20" t="s">
        <v>819</v>
      </c>
      <c r="D209" s="141">
        <v>2630000</v>
      </c>
      <c r="E209" s="20" t="s">
        <v>463</v>
      </c>
      <c r="F209" s="20" t="s">
        <v>464</v>
      </c>
      <c r="G209" s="8" t="str">
        <f t="shared" si="3"/>
        <v>SAFIEF AEIMEN</v>
      </c>
    </row>
    <row r="210" spans="1:7" x14ac:dyDescent="0.25">
      <c r="A210" s="8">
        <v>42894.888726851852</v>
      </c>
      <c r="B210" s="20" t="s">
        <v>461</v>
      </c>
      <c r="C210" s="20" t="s">
        <v>820</v>
      </c>
      <c r="D210" s="141">
        <v>3000000</v>
      </c>
      <c r="E210" s="20" t="s">
        <v>439</v>
      </c>
      <c r="F210" s="20" t="s">
        <v>440</v>
      </c>
      <c r="G210" s="8" t="str">
        <f t="shared" si="3"/>
        <v>FORTUNATO FRANK</v>
      </c>
    </row>
    <row r="211" spans="1:7" x14ac:dyDescent="0.25">
      <c r="A211" s="8">
        <v>42894.890821759262</v>
      </c>
      <c r="B211" s="20" t="s">
        <v>362</v>
      </c>
      <c r="C211" s="20" t="s">
        <v>821</v>
      </c>
      <c r="D211" s="141">
        <v>3030000</v>
      </c>
      <c r="E211" s="20" t="s">
        <v>387</v>
      </c>
      <c r="F211" s="20" t="s">
        <v>372</v>
      </c>
      <c r="G211" s="8" t="str">
        <f t="shared" si="3"/>
        <v>BIRENBAUM THOMAS</v>
      </c>
    </row>
    <row r="212" spans="1:7" x14ac:dyDescent="0.25">
      <c r="A212" s="8">
        <v>42894.902048611111</v>
      </c>
      <c r="B212" s="20" t="s">
        <v>423</v>
      </c>
      <c r="C212" s="20" t="s">
        <v>821</v>
      </c>
      <c r="D212" s="141">
        <v>3030000</v>
      </c>
      <c r="E212" s="20" t="s">
        <v>387</v>
      </c>
      <c r="F212" s="20" t="s">
        <v>372</v>
      </c>
      <c r="G212" s="8" t="str">
        <f t="shared" si="3"/>
        <v>BIRENBAUM THOMAS</v>
      </c>
    </row>
    <row r="213" spans="1:7" x14ac:dyDescent="0.25">
      <c r="A213" s="8">
        <v>42894.902361111112</v>
      </c>
      <c r="B213" s="20" t="s">
        <v>544</v>
      </c>
      <c r="C213" s="20" t="s">
        <v>822</v>
      </c>
      <c r="D213" s="141">
        <v>2090000</v>
      </c>
      <c r="E213" s="20" t="s">
        <v>482</v>
      </c>
      <c r="F213" s="20" t="s">
        <v>194</v>
      </c>
      <c r="G213" s="8" t="str">
        <f t="shared" si="3"/>
        <v>HAITHCOX MICHAEL</v>
      </c>
    </row>
    <row r="214" spans="1:7" x14ac:dyDescent="0.25">
      <c r="A214" s="8">
        <v>42894.907534722224</v>
      </c>
      <c r="B214" s="20" t="s">
        <v>362</v>
      </c>
      <c r="C214" s="20" t="s">
        <v>823</v>
      </c>
      <c r="D214" s="141">
        <v>3030000</v>
      </c>
      <c r="E214" s="20" t="s">
        <v>387</v>
      </c>
      <c r="F214" s="20" t="s">
        <v>372</v>
      </c>
      <c r="G214" s="8" t="str">
        <f t="shared" si="3"/>
        <v>BIRENBAUM THOMAS</v>
      </c>
    </row>
    <row r="215" spans="1:7" x14ac:dyDescent="0.25">
      <c r="A215" s="8">
        <v>42894.908564814818</v>
      </c>
      <c r="B215" s="20" t="s">
        <v>362</v>
      </c>
      <c r="C215" s="20" t="s">
        <v>823</v>
      </c>
      <c r="D215" s="141">
        <v>3030000</v>
      </c>
      <c r="E215" s="20" t="s">
        <v>387</v>
      </c>
      <c r="F215" s="20" t="s">
        <v>372</v>
      </c>
      <c r="G215" s="8" t="str">
        <f t="shared" si="3"/>
        <v>BIRENBAUM THOMAS</v>
      </c>
    </row>
    <row r="216" spans="1:7" x14ac:dyDescent="0.25">
      <c r="A216" s="8">
        <v>42894.91134259259</v>
      </c>
      <c r="B216" s="20" t="s">
        <v>371</v>
      </c>
      <c r="C216" s="20" t="s">
        <v>824</v>
      </c>
      <c r="D216" s="141">
        <v>3090000</v>
      </c>
      <c r="E216" s="20" t="s">
        <v>381</v>
      </c>
      <c r="F216" s="20" t="s">
        <v>382</v>
      </c>
      <c r="G216" s="8" t="str">
        <f t="shared" si="3"/>
        <v>LAMAR NEKESHA</v>
      </c>
    </row>
    <row r="217" spans="1:7" x14ac:dyDescent="0.25">
      <c r="A217" s="8">
        <v>42894.91578703704</v>
      </c>
      <c r="B217" s="20" t="s">
        <v>549</v>
      </c>
      <c r="C217" s="20" t="s">
        <v>822</v>
      </c>
      <c r="D217" s="141">
        <v>2090000</v>
      </c>
      <c r="E217" s="20" t="s">
        <v>482</v>
      </c>
      <c r="F217" s="20" t="s">
        <v>194</v>
      </c>
      <c r="G217" s="8" t="str">
        <f t="shared" si="3"/>
        <v>HAITHCOX MICHAEL</v>
      </c>
    </row>
    <row r="218" spans="1:7" x14ac:dyDescent="0.25">
      <c r="A218" s="8">
        <v>42894.916747685187</v>
      </c>
      <c r="B218" s="20" t="s">
        <v>549</v>
      </c>
      <c r="C218" s="20" t="s">
        <v>825</v>
      </c>
      <c r="D218" s="141">
        <v>2090000</v>
      </c>
      <c r="E218" s="20" t="s">
        <v>482</v>
      </c>
      <c r="F218" s="20" t="s">
        <v>194</v>
      </c>
      <c r="G218" s="8" t="str">
        <f t="shared" si="3"/>
        <v>HAITHCOX MICHAEL</v>
      </c>
    </row>
    <row r="219" spans="1:7" x14ac:dyDescent="0.25">
      <c r="A219" s="8">
        <v>42894.924895833334</v>
      </c>
      <c r="B219" s="20" t="s">
        <v>462</v>
      </c>
      <c r="C219" s="20" t="s">
        <v>826</v>
      </c>
      <c r="D219" s="141">
        <v>3000000</v>
      </c>
      <c r="E219" s="20" t="s">
        <v>439</v>
      </c>
      <c r="F219" s="20" t="s">
        <v>440</v>
      </c>
      <c r="G219" s="8" t="str">
        <f t="shared" si="3"/>
        <v>FORTUNATO FRANK</v>
      </c>
    </row>
    <row r="220" spans="1:7" x14ac:dyDescent="0.25">
      <c r="A220" s="8">
        <v>42894.928784722222</v>
      </c>
      <c r="B220" s="20" t="s">
        <v>519</v>
      </c>
      <c r="C220" s="20" t="s">
        <v>827</v>
      </c>
      <c r="D220" s="141">
        <v>2230000</v>
      </c>
      <c r="E220" s="20" t="s">
        <v>344</v>
      </c>
      <c r="F220" s="20" t="s">
        <v>194</v>
      </c>
      <c r="G220" s="8" t="str">
        <f t="shared" si="3"/>
        <v>SMITH MICHAEL</v>
      </c>
    </row>
    <row r="221" spans="1:7" x14ac:dyDescent="0.25">
      <c r="A221" s="8">
        <v>42894.943738425929</v>
      </c>
      <c r="B221" s="20" t="s">
        <v>544</v>
      </c>
      <c r="C221" s="20" t="s">
        <v>649</v>
      </c>
      <c r="D221" s="141">
        <v>2090000</v>
      </c>
      <c r="E221" s="20" t="s">
        <v>482</v>
      </c>
      <c r="F221" s="20" t="s">
        <v>194</v>
      </c>
      <c r="G221" s="8" t="str">
        <f t="shared" si="3"/>
        <v>HAITHCOX MICHAEL</v>
      </c>
    </row>
    <row r="222" spans="1:7" x14ac:dyDescent="0.25">
      <c r="A222" s="8">
        <v>42894.949745370373</v>
      </c>
      <c r="B222" s="20" t="s">
        <v>423</v>
      </c>
      <c r="C222" s="20" t="s">
        <v>828</v>
      </c>
      <c r="D222" s="141">
        <v>3030000</v>
      </c>
      <c r="E222" s="20" t="s">
        <v>387</v>
      </c>
      <c r="F222" s="20" t="s">
        <v>372</v>
      </c>
      <c r="G222" s="8" t="str">
        <f t="shared" si="3"/>
        <v>BIRENBAUM THOMAS</v>
      </c>
    </row>
    <row r="223" spans="1:7" x14ac:dyDescent="0.25">
      <c r="A223" s="8">
        <v>42894.952349537038</v>
      </c>
      <c r="B223" s="20" t="s">
        <v>343</v>
      </c>
      <c r="C223" s="20" t="s">
        <v>829</v>
      </c>
      <c r="D223" s="141">
        <v>3090000</v>
      </c>
      <c r="E223" s="20" t="s">
        <v>381</v>
      </c>
      <c r="F223" s="20" t="s">
        <v>382</v>
      </c>
      <c r="G223" s="8" t="str">
        <f t="shared" si="3"/>
        <v>LAMAR NEKESHA</v>
      </c>
    </row>
    <row r="224" spans="1:7" x14ac:dyDescent="0.25">
      <c r="A224" s="8">
        <v>42894.96199074074</v>
      </c>
      <c r="B224" t="s">
        <v>522</v>
      </c>
      <c r="C224" t="s">
        <v>830</v>
      </c>
      <c r="D224" s="141">
        <v>2630000</v>
      </c>
      <c r="E224" t="s">
        <v>463</v>
      </c>
      <c r="F224" s="20" t="s">
        <v>464</v>
      </c>
      <c r="G224" s="8" t="str">
        <f t="shared" si="3"/>
        <v>SAFIEF AEIMEN</v>
      </c>
    </row>
    <row r="225" spans="1:7" x14ac:dyDescent="0.25">
      <c r="A225" s="8">
        <v>42894.965949074074</v>
      </c>
      <c r="B225" t="s">
        <v>644</v>
      </c>
      <c r="C225" t="s">
        <v>831</v>
      </c>
      <c r="D225" s="141">
        <v>2630000</v>
      </c>
      <c r="E225" t="s">
        <v>463</v>
      </c>
      <c r="F225" s="20" t="s">
        <v>464</v>
      </c>
      <c r="G225" s="8" t="str">
        <f t="shared" si="3"/>
        <v>SAFIEF AEIMEN</v>
      </c>
    </row>
    <row r="226" spans="1:7" x14ac:dyDescent="0.25">
      <c r="A226" s="8">
        <v>42894.966238425928</v>
      </c>
      <c r="B226" t="s">
        <v>461</v>
      </c>
      <c r="C226" t="s">
        <v>832</v>
      </c>
      <c r="D226" s="141">
        <v>3000000</v>
      </c>
      <c r="E226" t="s">
        <v>439</v>
      </c>
      <c r="F226" s="20" t="s">
        <v>440</v>
      </c>
      <c r="G226" s="8" t="str">
        <f t="shared" si="3"/>
        <v>FORTUNATO FRANK</v>
      </c>
    </row>
    <row r="227" spans="1:7" x14ac:dyDescent="0.25">
      <c r="A227" s="8">
        <v>42894.971041666664</v>
      </c>
      <c r="B227" t="s">
        <v>520</v>
      </c>
      <c r="C227" t="s">
        <v>833</v>
      </c>
      <c r="D227" s="141">
        <v>2230000</v>
      </c>
      <c r="E227" t="s">
        <v>344</v>
      </c>
      <c r="F227" s="20" t="s">
        <v>194</v>
      </c>
      <c r="G227" s="8" t="str">
        <f t="shared" si="3"/>
        <v>SMITH MICHAEL</v>
      </c>
    </row>
    <row r="228" spans="1:7" x14ac:dyDescent="0.25">
      <c r="A228" s="8">
        <v>42894.988275462965</v>
      </c>
      <c r="B228" t="s">
        <v>522</v>
      </c>
      <c r="C228" t="s">
        <v>834</v>
      </c>
      <c r="D228" s="141">
        <v>2630000</v>
      </c>
      <c r="E228" t="s">
        <v>463</v>
      </c>
      <c r="F228" s="20" t="s">
        <v>464</v>
      </c>
      <c r="G228" s="8" t="str">
        <f t="shared" si="3"/>
        <v>SAFIEF AEIMEN</v>
      </c>
    </row>
    <row r="229" spans="1:7" x14ac:dyDescent="0.25">
      <c r="A229" s="8">
        <v>42894.989189814813</v>
      </c>
      <c r="B229" t="s">
        <v>522</v>
      </c>
      <c r="C229" t="s">
        <v>834</v>
      </c>
      <c r="D229" s="141">
        <v>2630000</v>
      </c>
      <c r="E229" t="s">
        <v>463</v>
      </c>
      <c r="F229" s="20" t="s">
        <v>464</v>
      </c>
      <c r="G229" s="8" t="str">
        <f t="shared" si="3"/>
        <v>SAFIEF AEIMEN</v>
      </c>
    </row>
    <row r="230" spans="1:7" x14ac:dyDescent="0.25">
      <c r="A230" s="8">
        <v>42894.991087962961</v>
      </c>
      <c r="B230" t="s">
        <v>522</v>
      </c>
      <c r="C230" t="s">
        <v>834</v>
      </c>
      <c r="D230" s="141">
        <v>2630000</v>
      </c>
      <c r="E230" t="s">
        <v>463</v>
      </c>
      <c r="F230" s="20" t="s">
        <v>464</v>
      </c>
      <c r="G230" s="8" t="str">
        <f t="shared" si="3"/>
        <v>SAFIEF AEIMEN</v>
      </c>
    </row>
    <row r="231" spans="1:7" x14ac:dyDescent="0.25">
      <c r="A231" s="8">
        <v>42894.991585648146</v>
      </c>
      <c r="B231" t="s">
        <v>371</v>
      </c>
      <c r="C231" t="s">
        <v>835</v>
      </c>
      <c r="D231" s="141">
        <v>3090000</v>
      </c>
      <c r="E231" t="s">
        <v>381</v>
      </c>
      <c r="F231" s="20" t="s">
        <v>382</v>
      </c>
      <c r="G231" s="8" t="str">
        <f t="shared" si="3"/>
        <v>LAMAR NEKESHA</v>
      </c>
    </row>
    <row r="232" spans="1:7" x14ac:dyDescent="0.25">
      <c r="A232" s="8">
        <v>42895.006574074076</v>
      </c>
      <c r="B232" t="s">
        <v>462</v>
      </c>
      <c r="C232" t="s">
        <v>836</v>
      </c>
      <c r="D232" s="141">
        <v>3000000</v>
      </c>
      <c r="E232" t="s">
        <v>439</v>
      </c>
      <c r="F232" s="20" t="s">
        <v>440</v>
      </c>
      <c r="G232" s="8" t="str">
        <f t="shared" si="3"/>
        <v>FORTUNATO FRANK</v>
      </c>
    </row>
    <row r="233" spans="1:7" x14ac:dyDescent="0.25">
      <c r="A233" s="8">
        <v>42895.01253472222</v>
      </c>
      <c r="B233" t="s">
        <v>519</v>
      </c>
      <c r="C233" t="s">
        <v>837</v>
      </c>
      <c r="D233" s="141">
        <v>2230000</v>
      </c>
      <c r="E233" t="s">
        <v>344</v>
      </c>
      <c r="F233" s="20" t="s">
        <v>194</v>
      </c>
      <c r="G233" s="8" t="str">
        <f t="shared" si="3"/>
        <v>SMITH MICHAEL</v>
      </c>
    </row>
    <row r="234" spans="1:7" x14ac:dyDescent="0.25">
      <c r="A234" s="8">
        <v>42895.027800925927</v>
      </c>
      <c r="B234" t="s">
        <v>343</v>
      </c>
      <c r="C234" t="s">
        <v>838</v>
      </c>
      <c r="D234" s="141">
        <v>3090000</v>
      </c>
      <c r="E234" t="s">
        <v>381</v>
      </c>
      <c r="F234" s="20" t="s">
        <v>382</v>
      </c>
      <c r="G234" s="8" t="str">
        <f t="shared" si="3"/>
        <v>LAMAR NEKESHA</v>
      </c>
    </row>
    <row r="235" spans="1:7" x14ac:dyDescent="0.25">
      <c r="A235" s="8">
        <v>42895.029675925929</v>
      </c>
      <c r="B235" t="s">
        <v>644</v>
      </c>
      <c r="C235" t="s">
        <v>393</v>
      </c>
      <c r="D235" s="141">
        <v>2630000</v>
      </c>
      <c r="E235" t="s">
        <v>463</v>
      </c>
      <c r="F235" s="20" t="s">
        <v>464</v>
      </c>
      <c r="G235" s="8" t="str">
        <f t="shared" si="3"/>
        <v>SAFIEF AEIMEN</v>
      </c>
    </row>
    <row r="236" spans="1:7" x14ac:dyDescent="0.25">
      <c r="A236" s="8">
        <v>42895.048900462964</v>
      </c>
      <c r="B236" t="s">
        <v>520</v>
      </c>
      <c r="C236" t="s">
        <v>394</v>
      </c>
      <c r="D236" s="141">
        <v>2230000</v>
      </c>
      <c r="E236" t="s">
        <v>344</v>
      </c>
      <c r="F236" s="20" t="s">
        <v>194</v>
      </c>
      <c r="G236" s="8" t="str">
        <f t="shared" si="3"/>
        <v>SMITH MICHAEL</v>
      </c>
    </row>
    <row r="237" spans="1:7" x14ac:dyDescent="0.25">
      <c r="A237" s="8">
        <v>42895.049328703702</v>
      </c>
      <c r="B237" t="s">
        <v>461</v>
      </c>
      <c r="C237" t="s">
        <v>379</v>
      </c>
      <c r="D237" s="141">
        <v>3000000</v>
      </c>
      <c r="E237" t="s">
        <v>439</v>
      </c>
      <c r="F237" s="20" t="s">
        <v>440</v>
      </c>
      <c r="G237" s="8" t="str">
        <f t="shared" si="3"/>
        <v>FORTUNATO FRANK</v>
      </c>
    </row>
    <row r="238" spans="1:7" x14ac:dyDescent="0.25">
      <c r="A238" s="8">
        <v>42895.050335648149</v>
      </c>
      <c r="B238" t="s">
        <v>520</v>
      </c>
      <c r="C238" t="s">
        <v>394</v>
      </c>
      <c r="D238" s="141">
        <v>2230000</v>
      </c>
      <c r="E238" t="s">
        <v>344</v>
      </c>
      <c r="F238" s="20" t="s">
        <v>194</v>
      </c>
      <c r="G238" s="8" t="str">
        <f t="shared" si="3"/>
        <v>SMITH MICHAEL</v>
      </c>
    </row>
    <row r="239" spans="1:7" x14ac:dyDescent="0.25">
      <c r="A239" s="8">
        <v>42895.069918981484</v>
      </c>
      <c r="B239" t="s">
        <v>522</v>
      </c>
      <c r="C239" t="s">
        <v>395</v>
      </c>
      <c r="D239" s="141">
        <v>2630000</v>
      </c>
      <c r="E239" t="s">
        <v>463</v>
      </c>
      <c r="F239" s="20" t="s">
        <v>464</v>
      </c>
      <c r="G239" s="8" t="str">
        <f t="shared" si="3"/>
        <v>SAFIEF AEIMEN</v>
      </c>
    </row>
    <row r="240" spans="1:7" x14ac:dyDescent="0.25">
      <c r="A240" s="8">
        <v>42895.090324074074</v>
      </c>
      <c r="B240" t="s">
        <v>462</v>
      </c>
      <c r="C240" t="s">
        <v>396</v>
      </c>
      <c r="D240" s="141">
        <v>3000000</v>
      </c>
      <c r="E240" t="s">
        <v>439</v>
      </c>
      <c r="F240" s="20" t="s">
        <v>440</v>
      </c>
      <c r="G240" s="8" t="str">
        <f t="shared" si="3"/>
        <v>FORTUNATO FRANK</v>
      </c>
    </row>
    <row r="241" spans="1:7" x14ac:dyDescent="0.25">
      <c r="A241" s="8">
        <v>42895.090925925928</v>
      </c>
      <c r="B241" t="s">
        <v>462</v>
      </c>
      <c r="C241" t="s">
        <v>396</v>
      </c>
      <c r="D241" s="141">
        <v>3000000</v>
      </c>
      <c r="E241" t="s">
        <v>439</v>
      </c>
      <c r="F241" s="20" t="s">
        <v>440</v>
      </c>
      <c r="G241" s="8" t="str">
        <f t="shared" si="3"/>
        <v>FORTUNATO FRANK</v>
      </c>
    </row>
    <row r="242" spans="1:7" x14ac:dyDescent="0.25">
      <c r="A242" s="8">
        <v>42895.09202546296</v>
      </c>
      <c r="B242" t="s">
        <v>462</v>
      </c>
      <c r="C242" t="s">
        <v>396</v>
      </c>
      <c r="D242" s="141">
        <v>3000000</v>
      </c>
      <c r="E242" t="s">
        <v>439</v>
      </c>
      <c r="F242" s="20" t="s">
        <v>440</v>
      </c>
      <c r="G242" s="8" t="str">
        <f t="shared" si="3"/>
        <v>FORTUNATO FRANK</v>
      </c>
    </row>
    <row r="243" spans="1:7" x14ac:dyDescent="0.25">
      <c r="A243" s="8">
        <v>42894.007395833331</v>
      </c>
      <c r="B243" t="s">
        <v>546</v>
      </c>
      <c r="C243" t="s">
        <v>562</v>
      </c>
      <c r="D243" s="141">
        <v>2090000</v>
      </c>
      <c r="E243" t="s">
        <v>482</v>
      </c>
      <c r="F243" s="20" t="s">
        <v>194</v>
      </c>
      <c r="G243" s="8" t="str">
        <f t="shared" si="3"/>
        <v>HAITHCOX MICHAEL</v>
      </c>
    </row>
    <row r="244" spans="1:7" x14ac:dyDescent="0.25">
      <c r="A244" s="8">
        <v>42894.019490740742</v>
      </c>
      <c r="B244" t="s">
        <v>489</v>
      </c>
      <c r="C244" t="s">
        <v>563</v>
      </c>
      <c r="D244" s="141">
        <v>2630000</v>
      </c>
      <c r="E244" t="s">
        <v>463</v>
      </c>
      <c r="F244" s="20" t="s">
        <v>464</v>
      </c>
      <c r="G244" s="8" t="str">
        <f t="shared" si="3"/>
        <v>SAFIEF AEIMEN</v>
      </c>
    </row>
    <row r="245" spans="1:7" x14ac:dyDescent="0.25">
      <c r="A245" s="8">
        <v>42894.02783564815</v>
      </c>
      <c r="B245" t="s">
        <v>477</v>
      </c>
      <c r="C245" t="s">
        <v>564</v>
      </c>
      <c r="D245" s="141">
        <v>3000000</v>
      </c>
      <c r="E245" t="s">
        <v>439</v>
      </c>
      <c r="F245" s="20" t="s">
        <v>440</v>
      </c>
      <c r="G245" s="8" t="str">
        <f t="shared" si="3"/>
        <v>FORTUNATO FRANK</v>
      </c>
    </row>
    <row r="246" spans="1:7" x14ac:dyDescent="0.25">
      <c r="A246" s="8">
        <v>42894.028009259258</v>
      </c>
      <c r="B246" t="s">
        <v>543</v>
      </c>
      <c r="C246" t="s">
        <v>547</v>
      </c>
      <c r="D246" s="141">
        <v>2230000</v>
      </c>
      <c r="E246" t="s">
        <v>344</v>
      </c>
      <c r="F246" s="20" t="s">
        <v>194</v>
      </c>
      <c r="G246" s="8" t="str">
        <f t="shared" si="3"/>
        <v>SMITH MICHAEL</v>
      </c>
    </row>
    <row r="247" spans="1:7" x14ac:dyDescent="0.25">
      <c r="A247" s="8">
        <v>42894.04755787037</v>
      </c>
      <c r="B247" t="s">
        <v>545</v>
      </c>
      <c r="C247" t="s">
        <v>565</v>
      </c>
      <c r="D247" s="141">
        <v>2090000</v>
      </c>
      <c r="E247" t="s">
        <v>482</v>
      </c>
      <c r="F247" s="20" t="s">
        <v>194</v>
      </c>
      <c r="G247" s="8" t="str">
        <f t="shared" si="3"/>
        <v>HAITHCOX MICHAEL</v>
      </c>
    </row>
    <row r="248" spans="1:7" x14ac:dyDescent="0.25">
      <c r="A248" s="8">
        <v>42894.052349537036</v>
      </c>
      <c r="B248" t="s">
        <v>490</v>
      </c>
      <c r="C248" t="s">
        <v>566</v>
      </c>
      <c r="D248" s="141">
        <v>2630000</v>
      </c>
      <c r="E248" t="s">
        <v>463</v>
      </c>
      <c r="F248" s="20" t="s">
        <v>464</v>
      </c>
      <c r="G248" s="8" t="str">
        <f t="shared" si="3"/>
        <v>SAFIEF AEIMEN</v>
      </c>
    </row>
    <row r="249" spans="1:7" x14ac:dyDescent="0.25">
      <c r="A249" s="8">
        <v>42894.069918981484</v>
      </c>
      <c r="B249" t="s">
        <v>481</v>
      </c>
      <c r="C249" t="s">
        <v>567</v>
      </c>
      <c r="D249" s="141">
        <v>2230000</v>
      </c>
      <c r="E249" t="s">
        <v>344</v>
      </c>
      <c r="F249" s="20" t="s">
        <v>194</v>
      </c>
      <c r="G249" s="8" t="str">
        <f t="shared" si="3"/>
        <v>SMITH MICHAEL</v>
      </c>
    </row>
    <row r="250" spans="1:7" x14ac:dyDescent="0.25">
      <c r="A250" s="8">
        <v>42894.090208333335</v>
      </c>
      <c r="B250" t="s">
        <v>489</v>
      </c>
      <c r="C250" t="s">
        <v>568</v>
      </c>
      <c r="D250" s="141">
        <v>2630000</v>
      </c>
      <c r="E250" t="s">
        <v>463</v>
      </c>
      <c r="F250" s="20" t="s">
        <v>464</v>
      </c>
      <c r="G250" s="8" t="str">
        <f t="shared" si="3"/>
        <v>SAFIEF AEIMEN</v>
      </c>
    </row>
    <row r="251" spans="1:7" x14ac:dyDescent="0.25">
      <c r="A251" s="8">
        <v>42893.057488425926</v>
      </c>
      <c r="B251" t="s">
        <v>375</v>
      </c>
      <c r="C251" t="s">
        <v>526</v>
      </c>
      <c r="D251" s="141">
        <v>2610000</v>
      </c>
      <c r="E251" t="s">
        <v>428</v>
      </c>
      <c r="F251" s="20" t="s">
        <v>429</v>
      </c>
      <c r="G251" s="8" t="str">
        <f t="shared" si="3"/>
        <v>MAGEE KENYA</v>
      </c>
    </row>
    <row r="252" spans="1:7" x14ac:dyDescent="0.25">
      <c r="A252" s="8">
        <v>42893.071006944447</v>
      </c>
      <c r="B252" t="s">
        <v>520</v>
      </c>
      <c r="C252" t="s">
        <v>527</v>
      </c>
      <c r="D252" s="141">
        <v>3000000</v>
      </c>
      <c r="E252" t="s">
        <v>439</v>
      </c>
      <c r="F252" s="20" t="s">
        <v>440</v>
      </c>
      <c r="G252" s="8" t="str">
        <f t="shared" si="3"/>
        <v>FORTUNATO FRANK</v>
      </c>
    </row>
    <row r="253" spans="1:7" x14ac:dyDescent="0.25">
      <c r="A253" s="8">
        <v>42893.07167824074</v>
      </c>
      <c r="B253" t="s">
        <v>520</v>
      </c>
      <c r="C253" t="s">
        <v>527</v>
      </c>
      <c r="D253" s="141">
        <v>3000000</v>
      </c>
      <c r="E253" t="s">
        <v>439</v>
      </c>
      <c r="F253" s="20" t="s">
        <v>440</v>
      </c>
      <c r="G253" s="8" t="str">
        <f t="shared" si="3"/>
        <v>FORTUNATO FRANK</v>
      </c>
    </row>
    <row r="254" spans="1:7" x14ac:dyDescent="0.25">
      <c r="A254" s="8">
        <v>42893.074675925927</v>
      </c>
      <c r="B254" t="s">
        <v>520</v>
      </c>
      <c r="C254" t="s">
        <v>527</v>
      </c>
      <c r="D254" s="141">
        <v>3000000</v>
      </c>
      <c r="E254" t="s">
        <v>439</v>
      </c>
      <c r="F254" s="20" t="s">
        <v>440</v>
      </c>
      <c r="G254" s="8" t="str">
        <f t="shared" si="3"/>
        <v>FORTUNATO FRANK</v>
      </c>
    </row>
    <row r="255" spans="1:7" x14ac:dyDescent="0.25">
      <c r="A255" s="8">
        <v>42893.090601851851</v>
      </c>
      <c r="B255" t="s">
        <v>378</v>
      </c>
      <c r="C255" t="s">
        <v>528</v>
      </c>
      <c r="D255" s="141">
        <v>2610000</v>
      </c>
      <c r="E255" t="s">
        <v>428</v>
      </c>
      <c r="F255" s="20" t="s">
        <v>429</v>
      </c>
      <c r="G255" s="8" t="str">
        <f t="shared" si="3"/>
        <v>MAGEE KENYA</v>
      </c>
    </row>
    <row r="256" spans="1:7" x14ac:dyDescent="0.25">
      <c r="A256" s="8">
        <v>42892.071006944447</v>
      </c>
      <c r="B256" t="s">
        <v>481</v>
      </c>
      <c r="C256" t="s">
        <v>500</v>
      </c>
      <c r="D256" s="141">
        <v>2090000</v>
      </c>
      <c r="E256" t="s">
        <v>482</v>
      </c>
      <c r="F256" s="20" t="s">
        <v>194</v>
      </c>
      <c r="G256" s="8" t="str">
        <f t="shared" si="3"/>
        <v>HAITHCOX MICHAEL</v>
      </c>
    </row>
    <row r="257" spans="1:7" x14ac:dyDescent="0.25">
      <c r="A257" s="8">
        <v>42892.090775462966</v>
      </c>
      <c r="B257" t="s">
        <v>362</v>
      </c>
      <c r="C257" t="s">
        <v>501</v>
      </c>
      <c r="D257" s="141">
        <v>2970000</v>
      </c>
      <c r="E257" t="s">
        <v>385</v>
      </c>
      <c r="F257" s="20" t="s">
        <v>386</v>
      </c>
      <c r="G257" s="8" t="str">
        <f t="shared" si="3"/>
        <v>GUZMAN DANNY</v>
      </c>
    </row>
    <row r="258" spans="1:7" x14ac:dyDescent="0.25">
      <c r="A258" s="8">
        <v>42892.09138888889</v>
      </c>
      <c r="B258" t="s">
        <v>362</v>
      </c>
      <c r="C258" t="s">
        <v>501</v>
      </c>
      <c r="D258" s="141">
        <v>2970000</v>
      </c>
      <c r="E258" t="s">
        <v>385</v>
      </c>
      <c r="F258" s="20" t="s">
        <v>386</v>
      </c>
      <c r="G258" s="8" t="str">
        <f t="shared" si="3"/>
        <v>GUZMAN DANNY</v>
      </c>
    </row>
    <row r="259" spans="1:7" x14ac:dyDescent="0.25">
      <c r="A259" s="8">
        <v>42892.092372685183</v>
      </c>
      <c r="B259" t="s">
        <v>362</v>
      </c>
      <c r="C259" t="s">
        <v>501</v>
      </c>
      <c r="D259" s="141">
        <v>2970000</v>
      </c>
      <c r="E259" t="s">
        <v>385</v>
      </c>
      <c r="F259" s="20" t="s">
        <v>386</v>
      </c>
      <c r="G259" s="8" t="str">
        <f t="shared" ref="G259:G322" si="4">E259&amp;" "&amp;F259</f>
        <v>GUZMAN DANNY</v>
      </c>
    </row>
    <row r="260" spans="1:7" x14ac:dyDescent="0.25">
      <c r="A260" s="8">
        <v>42888.081956018519</v>
      </c>
      <c r="B260" t="s">
        <v>370</v>
      </c>
      <c r="C260" t="s">
        <v>471</v>
      </c>
      <c r="D260" s="141">
        <v>2630000</v>
      </c>
      <c r="E260" t="s">
        <v>463</v>
      </c>
      <c r="F260" s="20" t="s">
        <v>464</v>
      </c>
      <c r="G260" s="8" t="str">
        <f t="shared" si="4"/>
        <v>SAFIEF AEIMEN</v>
      </c>
    </row>
    <row r="261" spans="1:7" x14ac:dyDescent="0.25">
      <c r="A261" s="8">
        <v>42888.082962962966</v>
      </c>
      <c r="B261" t="s">
        <v>461</v>
      </c>
      <c r="C261" t="s">
        <v>472</v>
      </c>
      <c r="D261" s="141">
        <v>910000</v>
      </c>
      <c r="E261" t="s">
        <v>473</v>
      </c>
      <c r="F261" s="20" t="s">
        <v>474</v>
      </c>
      <c r="G261" s="8" t="str">
        <f t="shared" si="4"/>
        <v>SUR JEREMY</v>
      </c>
    </row>
    <row r="262" spans="1:7" x14ac:dyDescent="0.25">
      <c r="A262" s="8">
        <v>42888.086365740739</v>
      </c>
      <c r="B262" t="s">
        <v>461</v>
      </c>
      <c r="C262" t="s">
        <v>472</v>
      </c>
      <c r="D262" s="141">
        <v>910000</v>
      </c>
      <c r="E262" t="s">
        <v>473</v>
      </c>
      <c r="F262" s="20" t="s">
        <v>474</v>
      </c>
      <c r="G262" s="8" t="str">
        <f t="shared" si="4"/>
        <v>SUR JEREMY</v>
      </c>
    </row>
    <row r="263" spans="1:7" x14ac:dyDescent="0.25">
      <c r="A263" s="8">
        <v>42888.089062500003</v>
      </c>
      <c r="B263" t="s">
        <v>406</v>
      </c>
      <c r="C263" t="s">
        <v>475</v>
      </c>
      <c r="D263" s="141">
        <v>3000000</v>
      </c>
      <c r="E263" t="s">
        <v>439</v>
      </c>
      <c r="F263" s="20" t="s">
        <v>440</v>
      </c>
      <c r="G263" s="8" t="str">
        <f t="shared" si="4"/>
        <v>FORTUNATO FRANK</v>
      </c>
    </row>
    <row r="264" spans="1:7" x14ac:dyDescent="0.25">
      <c r="A264" s="8">
        <v>42888.097442129627</v>
      </c>
      <c r="B264" t="s">
        <v>462</v>
      </c>
      <c r="C264" t="s">
        <v>472</v>
      </c>
      <c r="D264" s="141">
        <v>910000</v>
      </c>
      <c r="E264" t="s">
        <v>473</v>
      </c>
      <c r="F264" s="20" t="s">
        <v>474</v>
      </c>
      <c r="G264" s="8" t="str">
        <f t="shared" si="4"/>
        <v>SUR JEREMY</v>
      </c>
    </row>
    <row r="265" spans="1:7" x14ac:dyDescent="0.25">
      <c r="A265" s="8">
        <v>42878.991388888891</v>
      </c>
      <c r="B265" t="s">
        <v>423</v>
      </c>
      <c r="C265" t="s">
        <v>443</v>
      </c>
      <c r="D265" s="141">
        <v>2140000</v>
      </c>
      <c r="E265" t="s">
        <v>420</v>
      </c>
      <c r="F265" s="20" t="s">
        <v>421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378</v>
      </c>
      <c r="C266" t="s">
        <v>442</v>
      </c>
      <c r="D266" s="141">
        <v>2000000</v>
      </c>
      <c r="E266" t="s">
        <v>424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437</v>
      </c>
      <c r="C267" t="s">
        <v>444</v>
      </c>
      <c r="D267" s="141">
        <v>3000000</v>
      </c>
      <c r="E267" t="s">
        <v>439</v>
      </c>
      <c r="F267" s="20" t="s">
        <v>440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404</v>
      </c>
      <c r="C268" t="s">
        <v>436</v>
      </c>
      <c r="D268" s="141">
        <v>2680000</v>
      </c>
      <c r="E268" t="s">
        <v>426</v>
      </c>
      <c r="F268" s="20" t="s">
        <v>427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445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438</v>
      </c>
      <c r="C270" t="s">
        <v>446</v>
      </c>
      <c r="D270" s="141">
        <v>2610000</v>
      </c>
      <c r="E270" t="s">
        <v>428</v>
      </c>
      <c r="F270" s="20" t="s">
        <v>429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362</v>
      </c>
      <c r="C271" t="s">
        <v>447</v>
      </c>
      <c r="D271" s="141">
        <v>2140000</v>
      </c>
      <c r="E271" t="s">
        <v>420</v>
      </c>
      <c r="F271" s="20" t="s">
        <v>421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435</v>
      </c>
      <c r="C272" t="s">
        <v>448</v>
      </c>
      <c r="D272" s="141">
        <v>3000000</v>
      </c>
      <c r="E272" t="s">
        <v>439</v>
      </c>
      <c r="F272" s="20" t="s">
        <v>440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405</v>
      </c>
      <c r="C273" t="s">
        <v>441</v>
      </c>
      <c r="D273" s="141">
        <v>2680000</v>
      </c>
      <c r="E273" t="s">
        <v>426</v>
      </c>
      <c r="F273" s="20" t="s">
        <v>427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449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434</v>
      </c>
      <c r="C275" t="s">
        <v>450</v>
      </c>
      <c r="D275" s="141">
        <v>2610000</v>
      </c>
      <c r="E275" t="s">
        <v>428</v>
      </c>
      <c r="F275" s="20" t="s">
        <v>429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437</v>
      </c>
      <c r="C276" t="s">
        <v>451</v>
      </c>
      <c r="D276" s="141">
        <v>3000000</v>
      </c>
      <c r="E276" t="s">
        <v>439</v>
      </c>
      <c r="F276" s="20" t="s">
        <v>440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438</v>
      </c>
      <c r="C277" t="s">
        <v>452</v>
      </c>
      <c r="D277" s="141">
        <v>2610000</v>
      </c>
      <c r="E277" t="s">
        <v>428</v>
      </c>
      <c r="F277" s="20" t="s">
        <v>429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408</v>
      </c>
      <c r="C278" t="s">
        <v>409</v>
      </c>
      <c r="D278" s="141">
        <v>2970000</v>
      </c>
      <c r="E278" t="s">
        <v>385</v>
      </c>
      <c r="F278" s="20" t="s">
        <v>386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407</v>
      </c>
      <c r="C279" t="s">
        <v>413</v>
      </c>
      <c r="D279" s="141">
        <v>1810000</v>
      </c>
      <c r="E279" t="s">
        <v>373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414</v>
      </c>
      <c r="D280" s="141">
        <v>3090000</v>
      </c>
      <c r="E280" t="s">
        <v>381</v>
      </c>
      <c r="F280" s="20" t="s">
        <v>382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405</v>
      </c>
      <c r="C281" t="s">
        <v>410</v>
      </c>
      <c r="D281" s="141">
        <v>3010000</v>
      </c>
      <c r="E281" t="s">
        <v>399</v>
      </c>
      <c r="F281" s="20" t="s">
        <v>400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411</v>
      </c>
      <c r="C282" t="s">
        <v>412</v>
      </c>
      <c r="D282" s="141">
        <v>2970000</v>
      </c>
      <c r="E282" t="s">
        <v>385</v>
      </c>
      <c r="F282" s="20" t="s">
        <v>386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404</v>
      </c>
      <c r="C283" t="s">
        <v>410</v>
      </c>
      <c r="D283" s="141">
        <v>3010000</v>
      </c>
      <c r="E283" t="s">
        <v>399</v>
      </c>
      <c r="F283" s="20" t="s">
        <v>400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406</v>
      </c>
      <c r="C284" t="s">
        <v>415</v>
      </c>
      <c r="D284" s="141">
        <v>3030000</v>
      </c>
      <c r="E284" t="s">
        <v>387</v>
      </c>
      <c r="F284" s="20" t="s">
        <v>372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404</v>
      </c>
      <c r="C285" t="s">
        <v>410</v>
      </c>
      <c r="D285" s="141">
        <v>3010000</v>
      </c>
      <c r="E285" t="s">
        <v>399</v>
      </c>
      <c r="F285" s="20" t="s">
        <v>400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408</v>
      </c>
      <c r="C286" t="s">
        <v>409</v>
      </c>
      <c r="D286" s="141">
        <v>2970000</v>
      </c>
      <c r="E286" t="s">
        <v>385</v>
      </c>
      <c r="F286" s="20" t="s">
        <v>386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411</v>
      </c>
      <c r="C287" t="s">
        <v>412</v>
      </c>
      <c r="D287" s="141">
        <v>2970000</v>
      </c>
      <c r="E287" t="s">
        <v>385</v>
      </c>
      <c r="F287" s="20" t="s">
        <v>386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416</v>
      </c>
      <c r="D288" s="141">
        <v>3090000</v>
      </c>
      <c r="E288" t="s">
        <v>381</v>
      </c>
      <c r="F288" s="20" t="s">
        <v>382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408</v>
      </c>
      <c r="C289" t="s">
        <v>409</v>
      </c>
      <c r="D289" s="141">
        <v>2970000</v>
      </c>
      <c r="E289" t="s">
        <v>385</v>
      </c>
      <c r="F289" s="20" t="s">
        <v>386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405</v>
      </c>
      <c r="C290" t="s">
        <v>410</v>
      </c>
      <c r="D290" s="141">
        <v>3010000</v>
      </c>
      <c r="E290" t="s">
        <v>399</v>
      </c>
      <c r="F290" s="20" t="s">
        <v>400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405</v>
      </c>
      <c r="C291" t="s">
        <v>410</v>
      </c>
      <c r="D291" s="141">
        <v>3010000</v>
      </c>
      <c r="E291" t="s">
        <v>399</v>
      </c>
      <c r="F291" s="20" t="s">
        <v>400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405</v>
      </c>
      <c r="C292" t="s">
        <v>410</v>
      </c>
      <c r="D292" s="141">
        <v>3010000</v>
      </c>
      <c r="E292" t="s">
        <v>399</v>
      </c>
      <c r="F292" s="20" t="s">
        <v>400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405</v>
      </c>
      <c r="C293" t="s">
        <v>410</v>
      </c>
      <c r="D293" s="141">
        <v>3010000</v>
      </c>
      <c r="E293" t="s">
        <v>399</v>
      </c>
      <c r="F293" s="20" t="s">
        <v>400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411</v>
      </c>
      <c r="C294" t="s">
        <v>412</v>
      </c>
      <c r="D294" s="141">
        <v>2970000</v>
      </c>
      <c r="E294" t="s">
        <v>385</v>
      </c>
      <c r="F294" s="20" t="s">
        <v>386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392</v>
      </c>
      <c r="D295" s="141">
        <v>1800000</v>
      </c>
      <c r="E295" t="s">
        <v>383</v>
      </c>
      <c r="F295" s="20" t="s">
        <v>384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371</v>
      </c>
      <c r="C296" t="s">
        <v>393</v>
      </c>
      <c r="D296" s="141">
        <v>3030000</v>
      </c>
      <c r="E296" t="s">
        <v>387</v>
      </c>
      <c r="F296" s="20" t="s">
        <v>372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380</v>
      </c>
      <c r="C297" t="s">
        <v>376</v>
      </c>
      <c r="D297" s="141">
        <v>2970000</v>
      </c>
      <c r="E297" t="s">
        <v>385</v>
      </c>
      <c r="F297" s="20" t="s">
        <v>386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362</v>
      </c>
      <c r="C298" t="s">
        <v>394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374</v>
      </c>
      <c r="C299" t="s">
        <v>376</v>
      </c>
      <c r="D299" s="141">
        <v>2970000</v>
      </c>
      <c r="E299" t="s">
        <v>385</v>
      </c>
      <c r="F299" s="20" t="s">
        <v>386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375</v>
      </c>
      <c r="C300" t="s">
        <v>379</v>
      </c>
      <c r="D300" s="141">
        <v>3130000</v>
      </c>
      <c r="E300" t="s">
        <v>390</v>
      </c>
      <c r="F300" s="20" t="s">
        <v>391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374</v>
      </c>
      <c r="C301" t="s">
        <v>376</v>
      </c>
      <c r="D301" s="141">
        <v>2970000</v>
      </c>
      <c r="E301" t="s">
        <v>385</v>
      </c>
      <c r="F301" s="20" t="s">
        <v>386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369</v>
      </c>
      <c r="C302" t="s">
        <v>377</v>
      </c>
      <c r="D302" s="141">
        <v>3040000</v>
      </c>
      <c r="E302" t="s">
        <v>388</v>
      </c>
      <c r="F302" s="20" t="s">
        <v>389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369</v>
      </c>
      <c r="C303" t="s">
        <v>377</v>
      </c>
      <c r="D303" s="141">
        <v>3040000</v>
      </c>
      <c r="E303" t="s">
        <v>388</v>
      </c>
      <c r="F303" s="20" t="s">
        <v>389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395</v>
      </c>
      <c r="D304" s="141">
        <v>3030000</v>
      </c>
      <c r="E304" t="s">
        <v>387</v>
      </c>
      <c r="F304" s="20" t="s">
        <v>372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380</v>
      </c>
      <c r="C305" t="s">
        <v>376</v>
      </c>
      <c r="D305" s="141">
        <v>2970000</v>
      </c>
      <c r="E305" t="s">
        <v>385</v>
      </c>
      <c r="F305" s="20" t="s">
        <v>386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374</v>
      </c>
      <c r="C306" t="s">
        <v>376</v>
      </c>
      <c r="D306" s="141">
        <v>2970000</v>
      </c>
      <c r="E306" t="s">
        <v>385</v>
      </c>
      <c r="F306" s="20" t="s">
        <v>386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370</v>
      </c>
      <c r="C307" t="s">
        <v>377</v>
      </c>
      <c r="D307" s="141">
        <v>3040000</v>
      </c>
      <c r="E307" t="s">
        <v>388</v>
      </c>
      <c r="F307" s="20" t="s">
        <v>389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378</v>
      </c>
      <c r="C308" t="s">
        <v>396</v>
      </c>
      <c r="D308" s="141">
        <v>3130000</v>
      </c>
      <c r="E308" t="s">
        <v>390</v>
      </c>
      <c r="F308" s="20" t="s">
        <v>391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369</v>
      </c>
      <c r="C309" t="s">
        <v>377</v>
      </c>
      <c r="D309" s="141">
        <v>3040000</v>
      </c>
      <c r="E309" t="s">
        <v>388</v>
      </c>
      <c r="F309" s="20" t="s">
        <v>389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380</v>
      </c>
      <c r="C310" t="s">
        <v>376</v>
      </c>
      <c r="D310" s="141">
        <v>2970000</v>
      </c>
      <c r="E310" t="s">
        <v>385</v>
      </c>
      <c r="F310" s="20" t="s">
        <v>386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374</v>
      </c>
      <c r="C311" t="s">
        <v>376</v>
      </c>
      <c r="D311" s="141">
        <v>2970000</v>
      </c>
      <c r="E311" t="s">
        <v>385</v>
      </c>
      <c r="F311" s="20" t="s">
        <v>386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502</v>
      </c>
      <c r="K1" s="178" t="s">
        <v>161</v>
      </c>
      <c r="L1" s="178" t="s">
        <v>159</v>
      </c>
      <c r="M1" s="178" t="s">
        <v>154</v>
      </c>
      <c r="N1" s="178" t="s">
        <v>164</v>
      </c>
      <c r="O1" s="178" t="s">
        <v>158</v>
      </c>
      <c r="P1" s="178" t="s">
        <v>165</v>
      </c>
      <c r="Q1" s="178" t="s">
        <v>162</v>
      </c>
      <c r="R1"/>
    </row>
    <row r="2" spans="1:18" x14ac:dyDescent="0.25">
      <c r="A2" s="179">
        <v>62.06</v>
      </c>
      <c r="B2" s="179">
        <v>0.11</v>
      </c>
      <c r="C2" s="179">
        <v>55.27</v>
      </c>
      <c r="D2" s="8">
        <v>42894</v>
      </c>
      <c r="E2" s="179">
        <v>0.78</v>
      </c>
      <c r="F2" s="179" t="s">
        <v>569</v>
      </c>
      <c r="G2" s="179">
        <v>326.10000000000002</v>
      </c>
      <c r="H2" s="179">
        <v>0</v>
      </c>
      <c r="I2" s="179">
        <v>0</v>
      </c>
      <c r="J2" s="179"/>
      <c r="K2" s="179">
        <v>1016.38</v>
      </c>
      <c r="L2" s="179" t="s">
        <v>570</v>
      </c>
      <c r="M2" s="179">
        <v>62.06</v>
      </c>
      <c r="N2" s="179">
        <v>1496901600</v>
      </c>
      <c r="O2" s="179">
        <v>3.74</v>
      </c>
      <c r="P2" s="179">
        <v>308</v>
      </c>
      <c r="Q2" s="179">
        <v>1.94</v>
      </c>
      <c r="R2"/>
    </row>
    <row r="3" spans="1:18" x14ac:dyDescent="0.25">
      <c r="A3" s="179">
        <v>60.47</v>
      </c>
      <c r="B3" s="179">
        <v>0.09</v>
      </c>
      <c r="C3" s="179">
        <v>54.85</v>
      </c>
      <c r="D3" s="8">
        <v>42894.041666666664</v>
      </c>
      <c r="E3" s="179">
        <v>0.82</v>
      </c>
      <c r="F3" s="179" t="s">
        <v>569</v>
      </c>
      <c r="G3" s="179">
        <v>325.76</v>
      </c>
      <c r="H3" s="179">
        <v>0</v>
      </c>
      <c r="I3" s="179">
        <v>0</v>
      </c>
      <c r="J3" s="179"/>
      <c r="K3" s="179">
        <v>1016.02</v>
      </c>
      <c r="L3" s="179" t="s">
        <v>570</v>
      </c>
      <c r="M3" s="179">
        <v>60.47</v>
      </c>
      <c r="N3" s="179">
        <v>1496905200</v>
      </c>
      <c r="O3" s="179">
        <v>3.88</v>
      </c>
      <c r="P3" s="179">
        <v>93</v>
      </c>
      <c r="Q3" s="179">
        <v>0.73</v>
      </c>
      <c r="R3"/>
    </row>
    <row r="4" spans="1:18" x14ac:dyDescent="0.25">
      <c r="A4" s="179">
        <v>58.85</v>
      </c>
      <c r="B4" s="179">
        <v>7.0000000000000007E-2</v>
      </c>
      <c r="C4" s="179">
        <v>53.59</v>
      </c>
      <c r="D4" s="8">
        <v>42894.083333333336</v>
      </c>
      <c r="E4" s="179">
        <v>0.83</v>
      </c>
      <c r="F4" s="179" t="s">
        <v>569</v>
      </c>
      <c r="G4" s="179">
        <v>325.43</v>
      </c>
      <c r="H4" s="179">
        <v>0</v>
      </c>
      <c r="I4" s="179">
        <v>0</v>
      </c>
      <c r="J4" s="179"/>
      <c r="K4" s="179">
        <v>1015.7</v>
      </c>
      <c r="L4" s="179" t="s">
        <v>570</v>
      </c>
      <c r="M4" s="179">
        <v>58.85</v>
      </c>
      <c r="N4" s="179">
        <v>1496908800</v>
      </c>
      <c r="O4" s="179">
        <v>4.0199999999999996</v>
      </c>
      <c r="P4" s="179">
        <v>228</v>
      </c>
      <c r="Q4" s="179">
        <v>1.44</v>
      </c>
      <c r="R4"/>
    </row>
    <row r="5" spans="1:18" x14ac:dyDescent="0.25">
      <c r="A5" s="179">
        <v>58.07</v>
      </c>
      <c r="B5" s="179">
        <v>0.08</v>
      </c>
      <c r="C5" s="179">
        <v>53.23</v>
      </c>
      <c r="D5" s="8">
        <v>42894.125</v>
      </c>
      <c r="E5" s="179">
        <v>0.84</v>
      </c>
      <c r="F5" s="179" t="s">
        <v>569</v>
      </c>
      <c r="G5" s="179">
        <v>325.08999999999997</v>
      </c>
      <c r="H5" s="179">
        <v>0</v>
      </c>
      <c r="I5" s="179">
        <v>0</v>
      </c>
      <c r="J5" s="179"/>
      <c r="K5" s="179">
        <v>1015.3</v>
      </c>
      <c r="L5" s="179" t="s">
        <v>570</v>
      </c>
      <c r="M5" s="179">
        <v>58.07</v>
      </c>
      <c r="N5" s="179">
        <v>1496912400</v>
      </c>
      <c r="O5" s="179">
        <v>9.84</v>
      </c>
      <c r="P5" s="179">
        <v>208</v>
      </c>
      <c r="Q5" s="179">
        <v>2.23</v>
      </c>
      <c r="R5"/>
    </row>
    <row r="6" spans="1:18" x14ac:dyDescent="0.25">
      <c r="A6" s="179">
        <v>56.97</v>
      </c>
      <c r="B6" s="179">
        <v>7.0000000000000007E-2</v>
      </c>
      <c r="C6" s="179">
        <v>51.36</v>
      </c>
      <c r="D6" s="8">
        <v>42894.166666666664</v>
      </c>
      <c r="E6" s="179">
        <v>0.81</v>
      </c>
      <c r="F6" s="179" t="s">
        <v>569</v>
      </c>
      <c r="G6" s="179">
        <v>324.95999999999998</v>
      </c>
      <c r="H6" s="179">
        <v>0</v>
      </c>
      <c r="I6" s="179">
        <v>0</v>
      </c>
      <c r="J6" s="179"/>
      <c r="K6" s="179">
        <v>1015.36</v>
      </c>
      <c r="L6" s="179" t="s">
        <v>570</v>
      </c>
      <c r="M6" s="179">
        <v>56.97</v>
      </c>
      <c r="N6" s="179">
        <v>1496916000</v>
      </c>
      <c r="O6" s="179">
        <v>4.13</v>
      </c>
      <c r="P6" s="179">
        <v>217</v>
      </c>
      <c r="Q6" s="179">
        <v>3.04</v>
      </c>
      <c r="R6"/>
    </row>
    <row r="7" spans="1:18" x14ac:dyDescent="0.25">
      <c r="A7" s="179">
        <v>55.15</v>
      </c>
      <c r="B7" s="179">
        <v>0.08</v>
      </c>
      <c r="C7" s="179">
        <v>49.04</v>
      </c>
      <c r="D7" s="8">
        <v>42894.208333333336</v>
      </c>
      <c r="E7" s="179">
        <v>0.8</v>
      </c>
      <c r="F7" s="179" t="s">
        <v>569</v>
      </c>
      <c r="G7" s="179">
        <v>324.83999999999997</v>
      </c>
      <c r="H7" s="179">
        <v>0</v>
      </c>
      <c r="I7" s="179">
        <v>0</v>
      </c>
      <c r="J7" s="179"/>
      <c r="K7" s="179">
        <v>1015.58</v>
      </c>
      <c r="L7" s="179" t="s">
        <v>570</v>
      </c>
      <c r="M7" s="179">
        <v>55.15</v>
      </c>
      <c r="N7" s="179">
        <v>1496919600</v>
      </c>
      <c r="O7" s="179">
        <v>5.2</v>
      </c>
      <c r="P7" s="179">
        <v>203</v>
      </c>
      <c r="Q7" s="179">
        <v>2.3199999999999998</v>
      </c>
      <c r="R7"/>
    </row>
    <row r="8" spans="1:18" x14ac:dyDescent="0.25">
      <c r="A8" s="179">
        <v>54.96</v>
      </c>
      <c r="B8" s="179">
        <v>0.09</v>
      </c>
      <c r="C8" s="179">
        <v>47.87</v>
      </c>
      <c r="D8" s="8">
        <v>42894.25</v>
      </c>
      <c r="E8" s="179">
        <v>0.77</v>
      </c>
      <c r="F8" s="179" t="s">
        <v>571</v>
      </c>
      <c r="G8" s="179">
        <v>324.29000000000002</v>
      </c>
      <c r="H8" s="179">
        <v>0</v>
      </c>
      <c r="I8" s="179">
        <v>0</v>
      </c>
      <c r="J8" s="179"/>
      <c r="K8" s="179">
        <v>1015.5</v>
      </c>
      <c r="L8" s="179" t="s">
        <v>570</v>
      </c>
      <c r="M8" s="179">
        <v>54.96</v>
      </c>
      <c r="N8" s="179">
        <v>1496923200</v>
      </c>
      <c r="O8" s="179">
        <v>4.78</v>
      </c>
      <c r="P8" s="179">
        <v>208</v>
      </c>
      <c r="Q8" s="179">
        <v>1.94</v>
      </c>
      <c r="R8"/>
    </row>
    <row r="9" spans="1:18" x14ac:dyDescent="0.25">
      <c r="A9" s="179">
        <v>58.28</v>
      </c>
      <c r="B9" s="179">
        <v>0.08</v>
      </c>
      <c r="C9" s="179">
        <v>48.95</v>
      </c>
      <c r="D9" s="8">
        <v>42894.291666666664</v>
      </c>
      <c r="E9" s="179">
        <v>0.71</v>
      </c>
      <c r="F9" s="179" t="s">
        <v>571</v>
      </c>
      <c r="G9" s="179">
        <v>323.14999999999998</v>
      </c>
      <c r="H9" s="179">
        <v>0</v>
      </c>
      <c r="I9" s="179">
        <v>0</v>
      </c>
      <c r="J9" s="179"/>
      <c r="K9" s="179">
        <v>1014.68</v>
      </c>
      <c r="L9" s="179" t="s">
        <v>570</v>
      </c>
      <c r="M9" s="179">
        <v>58.28</v>
      </c>
      <c r="N9" s="179">
        <v>1496926800</v>
      </c>
      <c r="O9" s="179">
        <v>3.82</v>
      </c>
      <c r="P9" s="179">
        <v>179</v>
      </c>
      <c r="Q9" s="179">
        <v>1.62</v>
      </c>
      <c r="R9"/>
    </row>
    <row r="10" spans="1:18" x14ac:dyDescent="0.25">
      <c r="A10" s="179">
        <v>64.23</v>
      </c>
      <c r="B10" s="179">
        <v>0.06</v>
      </c>
      <c r="C10" s="179">
        <v>50.28</v>
      </c>
      <c r="D10" s="8">
        <v>42894.333333333336</v>
      </c>
      <c r="E10" s="179">
        <v>0.61</v>
      </c>
      <c r="F10" s="179" t="s">
        <v>571</v>
      </c>
      <c r="G10" s="179">
        <v>321.57</v>
      </c>
      <c r="H10" s="179">
        <v>0</v>
      </c>
      <c r="I10" s="179">
        <v>0</v>
      </c>
      <c r="J10" s="179"/>
      <c r="K10" s="179">
        <v>1013.47</v>
      </c>
      <c r="L10" s="179" t="s">
        <v>570</v>
      </c>
      <c r="M10" s="179">
        <v>64.23</v>
      </c>
      <c r="N10" s="179">
        <v>1496930400</v>
      </c>
      <c r="O10" s="179">
        <v>3.45</v>
      </c>
      <c r="P10" s="179">
        <v>293</v>
      </c>
      <c r="Q10" s="179">
        <v>0.13</v>
      </c>
      <c r="R10"/>
    </row>
    <row r="11" spans="1:18" x14ac:dyDescent="0.25">
      <c r="A11" s="179">
        <v>68.25</v>
      </c>
      <c r="B11" s="179">
        <v>0.09</v>
      </c>
      <c r="C11" s="179">
        <v>51.36</v>
      </c>
      <c r="D11" s="8">
        <v>42894.375</v>
      </c>
      <c r="E11" s="179">
        <v>0.55000000000000004</v>
      </c>
      <c r="F11" s="179" t="s">
        <v>571</v>
      </c>
      <c r="G11" s="179">
        <v>319.58999999999997</v>
      </c>
      <c r="H11" s="179">
        <v>0</v>
      </c>
      <c r="I11" s="179">
        <v>0</v>
      </c>
      <c r="J11" s="179"/>
      <c r="K11" s="179">
        <v>1012.45</v>
      </c>
      <c r="L11" s="179" t="s">
        <v>570</v>
      </c>
      <c r="M11" s="179">
        <v>68.25</v>
      </c>
      <c r="N11" s="179">
        <v>1496934000</v>
      </c>
      <c r="O11" s="179">
        <v>3.31</v>
      </c>
      <c r="P11" s="179">
        <v>342</v>
      </c>
      <c r="Q11" s="179">
        <v>1.72</v>
      </c>
      <c r="R11"/>
    </row>
    <row r="12" spans="1:18" x14ac:dyDescent="0.25">
      <c r="A12" s="179">
        <v>72.83</v>
      </c>
      <c r="B12" s="179">
        <v>0.1</v>
      </c>
      <c r="C12" s="179">
        <v>52.77</v>
      </c>
      <c r="D12" s="8">
        <v>42894.416666666664</v>
      </c>
      <c r="E12" s="179">
        <v>0.49</v>
      </c>
      <c r="F12" s="179" t="s">
        <v>571</v>
      </c>
      <c r="G12" s="179">
        <v>316.77999999999997</v>
      </c>
      <c r="H12" s="179">
        <v>0</v>
      </c>
      <c r="I12" s="179">
        <v>0</v>
      </c>
      <c r="J12" s="179"/>
      <c r="K12" s="179">
        <v>1011.79</v>
      </c>
      <c r="L12" s="179" t="s">
        <v>570</v>
      </c>
      <c r="M12" s="179">
        <v>72.83</v>
      </c>
      <c r="N12" s="179">
        <v>1496937600</v>
      </c>
      <c r="O12" s="179">
        <v>10</v>
      </c>
      <c r="P12" s="179">
        <v>13</v>
      </c>
      <c r="Q12" s="179">
        <v>1.89</v>
      </c>
      <c r="R12"/>
    </row>
    <row r="13" spans="1:18" x14ac:dyDescent="0.25">
      <c r="A13" s="179">
        <v>75.47</v>
      </c>
      <c r="B13" s="179">
        <v>0.12</v>
      </c>
      <c r="C13" s="179">
        <v>52.25</v>
      </c>
      <c r="D13" s="8">
        <v>42894.458333333336</v>
      </c>
      <c r="E13" s="179">
        <v>0.44</v>
      </c>
      <c r="F13" s="179" t="s">
        <v>571</v>
      </c>
      <c r="G13" s="179">
        <v>313.56</v>
      </c>
      <c r="H13" s="179">
        <v>0</v>
      </c>
      <c r="I13" s="179">
        <v>0</v>
      </c>
      <c r="J13" s="179"/>
      <c r="K13" s="179">
        <v>1011.24</v>
      </c>
      <c r="L13" s="179" t="s">
        <v>570</v>
      </c>
      <c r="M13" s="179">
        <v>75.47</v>
      </c>
      <c r="N13" s="179">
        <v>1496941200</v>
      </c>
      <c r="O13" s="179">
        <v>3.38</v>
      </c>
      <c r="P13" s="179">
        <v>35</v>
      </c>
      <c r="Q13" s="179">
        <v>2.2999999999999998</v>
      </c>
      <c r="R13"/>
    </row>
    <row r="14" spans="1:18" x14ac:dyDescent="0.25">
      <c r="A14" s="179">
        <v>78.75</v>
      </c>
      <c r="B14" s="179">
        <v>0.13</v>
      </c>
      <c r="C14" s="179">
        <v>51.62</v>
      </c>
      <c r="D14" s="8">
        <v>42894.5</v>
      </c>
      <c r="E14" s="179">
        <v>0.39</v>
      </c>
      <c r="F14" s="179" t="s">
        <v>571</v>
      </c>
      <c r="G14" s="179">
        <v>311.24</v>
      </c>
      <c r="H14" s="179">
        <v>0</v>
      </c>
      <c r="I14" s="179">
        <v>0</v>
      </c>
      <c r="J14" s="179"/>
      <c r="K14" s="179">
        <v>1010.64</v>
      </c>
      <c r="L14" s="179" t="s">
        <v>570</v>
      </c>
      <c r="M14" s="179">
        <v>78.75</v>
      </c>
      <c r="N14" s="179">
        <v>1496944800</v>
      </c>
      <c r="O14" s="179">
        <v>10</v>
      </c>
      <c r="P14" s="179">
        <v>40</v>
      </c>
      <c r="Q14" s="179">
        <v>2.29</v>
      </c>
      <c r="R14"/>
    </row>
    <row r="15" spans="1:18" x14ac:dyDescent="0.25">
      <c r="A15" s="179">
        <v>80.63</v>
      </c>
      <c r="B15" s="179">
        <v>0.15</v>
      </c>
      <c r="C15" s="179">
        <v>50.67</v>
      </c>
      <c r="D15" s="8">
        <v>42894.541666666664</v>
      </c>
      <c r="E15" s="179">
        <v>0.34</v>
      </c>
      <c r="F15" s="179" t="s">
        <v>571</v>
      </c>
      <c r="G15" s="179">
        <v>310.64</v>
      </c>
      <c r="H15" s="179">
        <v>0</v>
      </c>
      <c r="I15" s="179">
        <v>0</v>
      </c>
      <c r="J15" s="179"/>
      <c r="K15" s="179">
        <v>1009.86</v>
      </c>
      <c r="L15" s="179" t="s">
        <v>570</v>
      </c>
      <c r="M15" s="179">
        <v>81.72</v>
      </c>
      <c r="N15" s="179">
        <v>1496948400</v>
      </c>
      <c r="O15" s="179">
        <v>3.55</v>
      </c>
      <c r="P15" s="179">
        <v>81</v>
      </c>
      <c r="Q15" s="179">
        <v>2.35</v>
      </c>
      <c r="R15"/>
    </row>
    <row r="16" spans="1:18" x14ac:dyDescent="0.25">
      <c r="A16" s="179">
        <v>82.59</v>
      </c>
      <c r="B16" s="179">
        <v>0.13</v>
      </c>
      <c r="C16" s="179">
        <v>50.04</v>
      </c>
      <c r="D16" s="8">
        <v>42894.583333333336</v>
      </c>
      <c r="E16" s="179">
        <v>0.3</v>
      </c>
      <c r="F16" s="179" t="s">
        <v>571</v>
      </c>
      <c r="G16" s="179">
        <v>310.94</v>
      </c>
      <c r="H16" s="179">
        <v>0</v>
      </c>
      <c r="I16" s="179">
        <v>0</v>
      </c>
      <c r="J16" s="179"/>
      <c r="K16" s="179">
        <v>1009.02</v>
      </c>
      <c r="L16" s="179" t="s">
        <v>570</v>
      </c>
      <c r="M16" s="179">
        <v>84.66</v>
      </c>
      <c r="N16" s="179">
        <v>1496952000</v>
      </c>
      <c r="O16" s="179">
        <v>10</v>
      </c>
      <c r="P16" s="179">
        <v>65</v>
      </c>
      <c r="Q16" s="179">
        <v>2.3199999999999998</v>
      </c>
      <c r="R16"/>
    </row>
    <row r="17" spans="1:18" x14ac:dyDescent="0.25">
      <c r="A17" s="179">
        <v>83.99</v>
      </c>
      <c r="B17" s="179">
        <v>0.18</v>
      </c>
      <c r="C17" s="179">
        <v>48.98</v>
      </c>
      <c r="D17" s="8">
        <v>42894.625</v>
      </c>
      <c r="E17" s="179">
        <v>0.27</v>
      </c>
      <c r="F17" s="179" t="s">
        <v>571</v>
      </c>
      <c r="G17" s="179">
        <v>310.93</v>
      </c>
      <c r="H17" s="179">
        <v>0</v>
      </c>
      <c r="I17" s="179">
        <v>0</v>
      </c>
      <c r="J17" s="179"/>
      <c r="K17" s="179">
        <v>1008.29</v>
      </c>
      <c r="L17" s="179" t="s">
        <v>570</v>
      </c>
      <c r="M17" s="179">
        <v>86.61</v>
      </c>
      <c r="N17" s="179">
        <v>1496955600</v>
      </c>
      <c r="O17" s="179">
        <v>3.74</v>
      </c>
      <c r="P17" s="179">
        <v>85</v>
      </c>
      <c r="Q17" s="179">
        <v>3.04</v>
      </c>
      <c r="R17"/>
    </row>
    <row r="18" spans="1:18" x14ac:dyDescent="0.25">
      <c r="A18" s="179">
        <v>83.64</v>
      </c>
      <c r="B18" s="179">
        <v>0.32</v>
      </c>
      <c r="C18" s="179">
        <v>48.03</v>
      </c>
      <c r="D18" s="8">
        <v>42894.666666666664</v>
      </c>
      <c r="E18" s="179">
        <v>0.27</v>
      </c>
      <c r="F18" s="179" t="s">
        <v>483</v>
      </c>
      <c r="G18" s="179">
        <v>310.19</v>
      </c>
      <c r="H18" s="179">
        <v>0</v>
      </c>
      <c r="I18" s="179">
        <v>0</v>
      </c>
      <c r="J18" s="179"/>
      <c r="K18" s="179">
        <v>1007.71</v>
      </c>
      <c r="L18" s="179" t="s">
        <v>484</v>
      </c>
      <c r="M18" s="179">
        <v>86.32</v>
      </c>
      <c r="N18" s="179">
        <v>1496959200</v>
      </c>
      <c r="O18" s="179">
        <v>3.66</v>
      </c>
      <c r="P18" s="179">
        <v>81</v>
      </c>
      <c r="Q18" s="179">
        <v>2.39</v>
      </c>
      <c r="R18"/>
    </row>
    <row r="19" spans="1:18" x14ac:dyDescent="0.25">
      <c r="A19" s="179">
        <v>80.959999999999994</v>
      </c>
      <c r="B19" s="179">
        <v>0.49</v>
      </c>
      <c r="C19" s="179">
        <v>46.35</v>
      </c>
      <c r="D19" s="8">
        <v>42894.708333333336</v>
      </c>
      <c r="E19" s="179">
        <v>0.28000000000000003</v>
      </c>
      <c r="F19" s="179" t="s">
        <v>483</v>
      </c>
      <c r="G19" s="179">
        <v>309.13</v>
      </c>
      <c r="H19" s="179">
        <v>0</v>
      </c>
      <c r="I19" s="179">
        <v>0</v>
      </c>
      <c r="J19" s="179"/>
      <c r="K19" s="179">
        <v>1007.27</v>
      </c>
      <c r="L19" s="179" t="s">
        <v>484</v>
      </c>
      <c r="M19" s="179">
        <v>82.89</v>
      </c>
      <c r="N19" s="179">
        <v>1496962800</v>
      </c>
      <c r="O19" s="179">
        <v>3.6</v>
      </c>
      <c r="P19" s="179">
        <v>72</v>
      </c>
      <c r="Q19" s="179">
        <v>1.37</v>
      </c>
      <c r="R19"/>
    </row>
    <row r="20" spans="1:18" x14ac:dyDescent="0.25">
      <c r="A20" s="179">
        <v>80.28</v>
      </c>
      <c r="B20" s="179">
        <v>0.61</v>
      </c>
      <c r="C20" s="179">
        <v>48.3</v>
      </c>
      <c r="D20" s="8">
        <v>42894.75</v>
      </c>
      <c r="E20" s="179">
        <v>0.31</v>
      </c>
      <c r="F20" s="179" t="s">
        <v>483</v>
      </c>
      <c r="G20" s="179">
        <v>307.86</v>
      </c>
      <c r="H20" s="179">
        <v>1.8E-3</v>
      </c>
      <c r="I20" s="179">
        <v>0.04</v>
      </c>
      <c r="J20" s="179" t="s">
        <v>504</v>
      </c>
      <c r="K20" s="179">
        <v>1007.11</v>
      </c>
      <c r="L20" s="179" t="s">
        <v>505</v>
      </c>
      <c r="M20" s="179">
        <v>81.540000000000006</v>
      </c>
      <c r="N20" s="179">
        <v>1496966400</v>
      </c>
      <c r="O20" s="179">
        <v>3.71</v>
      </c>
      <c r="P20" s="179">
        <v>60</v>
      </c>
      <c r="Q20" s="179">
        <v>2.98</v>
      </c>
      <c r="R20"/>
    </row>
    <row r="21" spans="1:18" x14ac:dyDescent="0.25">
      <c r="A21" s="179">
        <v>78.55</v>
      </c>
      <c r="B21" s="179">
        <v>0.46</v>
      </c>
      <c r="C21" s="179">
        <v>49.82</v>
      </c>
      <c r="D21" s="8">
        <v>42894.791666666664</v>
      </c>
      <c r="E21" s="179">
        <v>0.37</v>
      </c>
      <c r="F21" s="179" t="s">
        <v>483</v>
      </c>
      <c r="G21" s="179">
        <v>306.26</v>
      </c>
      <c r="H21" s="179">
        <v>0</v>
      </c>
      <c r="I21" s="179">
        <v>0</v>
      </c>
      <c r="J21" s="179"/>
      <c r="K21" s="179">
        <v>1007.24</v>
      </c>
      <c r="L21" s="179" t="s">
        <v>484</v>
      </c>
      <c r="M21" s="179">
        <v>78.55</v>
      </c>
      <c r="N21" s="179">
        <v>1496970000</v>
      </c>
      <c r="O21" s="179">
        <v>4.16</v>
      </c>
      <c r="P21" s="179">
        <v>82</v>
      </c>
      <c r="Q21" s="179">
        <v>1.63</v>
      </c>
      <c r="R21"/>
    </row>
    <row r="22" spans="1:18" x14ac:dyDescent="0.25">
      <c r="A22" s="179">
        <v>77.12</v>
      </c>
      <c r="B22" s="179">
        <v>0.31</v>
      </c>
      <c r="C22" s="179">
        <v>48.1</v>
      </c>
      <c r="D22" s="8">
        <v>42894.833333333336</v>
      </c>
      <c r="E22" s="179">
        <v>0.36</v>
      </c>
      <c r="F22" s="179" t="s">
        <v>483</v>
      </c>
      <c r="G22" s="179">
        <v>304.45</v>
      </c>
      <c r="H22" s="179">
        <v>0</v>
      </c>
      <c r="I22" s="179">
        <v>0</v>
      </c>
      <c r="J22" s="179"/>
      <c r="K22" s="179">
        <v>1007.7</v>
      </c>
      <c r="L22" s="179" t="s">
        <v>484</v>
      </c>
      <c r="M22" s="179">
        <v>77.12</v>
      </c>
      <c r="N22" s="179">
        <v>1496973600</v>
      </c>
      <c r="O22" s="179">
        <v>5.04</v>
      </c>
      <c r="P22" s="179">
        <v>225</v>
      </c>
      <c r="Q22" s="179">
        <v>1.43</v>
      </c>
      <c r="R22"/>
    </row>
    <row r="23" spans="1:18" x14ac:dyDescent="0.25">
      <c r="A23" s="179">
        <v>73.31</v>
      </c>
      <c r="B23" s="179">
        <v>0.19</v>
      </c>
      <c r="C23" s="179">
        <v>49.22</v>
      </c>
      <c r="D23" s="8">
        <v>42894.875</v>
      </c>
      <c r="E23" s="179">
        <v>0.43</v>
      </c>
      <c r="F23" s="179" t="s">
        <v>569</v>
      </c>
      <c r="G23" s="179">
        <v>302.85000000000002</v>
      </c>
      <c r="H23" s="179">
        <v>0</v>
      </c>
      <c r="I23" s="179">
        <v>0</v>
      </c>
      <c r="J23" s="179"/>
      <c r="K23" s="179">
        <v>1008.07</v>
      </c>
      <c r="L23" s="179" t="s">
        <v>570</v>
      </c>
      <c r="M23" s="179">
        <v>73.31</v>
      </c>
      <c r="N23" s="179">
        <v>1496977200</v>
      </c>
      <c r="O23" s="179">
        <v>6.33</v>
      </c>
      <c r="P23" s="179">
        <v>194</v>
      </c>
      <c r="Q23" s="179">
        <v>2.44</v>
      </c>
      <c r="R23"/>
    </row>
    <row r="24" spans="1:18" x14ac:dyDescent="0.25">
      <c r="A24" s="179">
        <v>70.709999999999994</v>
      </c>
      <c r="B24" s="179">
        <v>0.26</v>
      </c>
      <c r="C24" s="179">
        <v>51.05</v>
      </c>
      <c r="D24" s="8">
        <v>42894.916666666664</v>
      </c>
      <c r="E24" s="179">
        <v>0.5</v>
      </c>
      <c r="F24" s="179" t="s">
        <v>503</v>
      </c>
      <c r="G24" s="179">
        <v>301.62</v>
      </c>
      <c r="H24" s="179">
        <v>0</v>
      </c>
      <c r="I24" s="179">
        <v>0</v>
      </c>
      <c r="J24" s="179"/>
      <c r="K24" s="179">
        <v>1008.17</v>
      </c>
      <c r="L24" s="179" t="s">
        <v>484</v>
      </c>
      <c r="M24" s="179">
        <v>70.709999999999994</v>
      </c>
      <c r="N24" s="179">
        <v>1496980800</v>
      </c>
      <c r="O24" s="179">
        <v>5.72</v>
      </c>
      <c r="P24" s="179">
        <v>170</v>
      </c>
      <c r="Q24" s="179">
        <v>2.83</v>
      </c>
      <c r="R24"/>
    </row>
    <row r="25" spans="1:18" x14ac:dyDescent="0.25">
      <c r="A25" s="179">
        <v>68.150000000000006</v>
      </c>
      <c r="B25" s="179">
        <v>0.27</v>
      </c>
      <c r="C25" s="179">
        <v>51.33</v>
      </c>
      <c r="D25" s="8">
        <v>42894.958333333336</v>
      </c>
      <c r="E25" s="179">
        <v>0.55000000000000004</v>
      </c>
      <c r="F25" s="179" t="s">
        <v>503</v>
      </c>
      <c r="G25" s="179">
        <v>300.61</v>
      </c>
      <c r="H25" s="179">
        <v>0</v>
      </c>
      <c r="I25" s="179">
        <v>0</v>
      </c>
      <c r="J25" s="179"/>
      <c r="K25" s="179">
        <v>1008.14</v>
      </c>
      <c r="L25" s="179" t="s">
        <v>484</v>
      </c>
      <c r="M25" s="179">
        <v>68.150000000000006</v>
      </c>
      <c r="N25" s="179">
        <v>1496984400</v>
      </c>
      <c r="O25" s="179">
        <v>10</v>
      </c>
      <c r="P25" s="179">
        <v>169</v>
      </c>
      <c r="Q25" s="179">
        <v>3.32</v>
      </c>
      <c r="R25"/>
    </row>
    <row r="26" spans="1:18" x14ac:dyDescent="0.25">
      <c r="A26" s="179">
        <v>66.739999999999995</v>
      </c>
      <c r="B26" s="179">
        <v>0.24</v>
      </c>
      <c r="C26" s="179">
        <v>50.76</v>
      </c>
      <c r="D26" s="8">
        <v>42895</v>
      </c>
      <c r="E26" s="179">
        <v>0.56000000000000005</v>
      </c>
      <c r="F26" s="179" t="s">
        <v>569</v>
      </c>
      <c r="G26" s="179">
        <v>299.81</v>
      </c>
      <c r="H26" s="179">
        <v>0</v>
      </c>
      <c r="I26" s="179">
        <v>0</v>
      </c>
      <c r="J26" s="179"/>
      <c r="K26" s="179">
        <v>1008.08</v>
      </c>
      <c r="L26" s="179" t="s">
        <v>570</v>
      </c>
      <c r="M26" s="179">
        <v>66.739999999999995</v>
      </c>
      <c r="N26" s="179">
        <v>1496988000</v>
      </c>
      <c r="O26" s="179">
        <v>3.91</v>
      </c>
      <c r="P26" s="179">
        <v>192</v>
      </c>
      <c r="Q26" s="179">
        <v>3.15</v>
      </c>
      <c r="R26"/>
    </row>
    <row r="27" spans="1:18" x14ac:dyDescent="0.25">
      <c r="A27" s="179">
        <v>64.7</v>
      </c>
      <c r="B27" s="179">
        <v>0.26</v>
      </c>
      <c r="C27" s="179">
        <v>49.34</v>
      </c>
      <c r="D27" s="8">
        <v>42895.041666666664</v>
      </c>
      <c r="E27" s="179">
        <v>0.56999999999999995</v>
      </c>
      <c r="F27" s="179" t="s">
        <v>503</v>
      </c>
      <c r="G27" s="179">
        <v>299.42</v>
      </c>
      <c r="H27" s="179">
        <v>0</v>
      </c>
      <c r="I27" s="179">
        <v>0</v>
      </c>
      <c r="J27" s="179"/>
      <c r="K27" s="179">
        <v>1008.09</v>
      </c>
      <c r="L27" s="179" t="s">
        <v>484</v>
      </c>
      <c r="M27" s="179">
        <v>64.7</v>
      </c>
      <c r="N27" s="179">
        <v>1496991600</v>
      </c>
      <c r="O27" s="179">
        <v>3.81</v>
      </c>
      <c r="P27" s="179">
        <v>189</v>
      </c>
      <c r="Q27" s="179">
        <v>2.83</v>
      </c>
      <c r="R27"/>
    </row>
    <row r="28" spans="1:18" x14ac:dyDescent="0.25">
      <c r="A28" s="179">
        <v>63.51</v>
      </c>
      <c r="B28" s="179">
        <v>0.22</v>
      </c>
      <c r="C28" s="179">
        <v>48.3</v>
      </c>
      <c r="D28" s="8">
        <v>42895.083333333336</v>
      </c>
      <c r="E28" s="179">
        <v>0.57999999999999996</v>
      </c>
      <c r="F28" s="179" t="s">
        <v>569</v>
      </c>
      <c r="G28" s="179">
        <v>299.02999999999997</v>
      </c>
      <c r="H28" s="179">
        <v>0</v>
      </c>
      <c r="I28" s="179">
        <v>0</v>
      </c>
      <c r="J28" s="179"/>
      <c r="K28" s="179">
        <v>1008.08</v>
      </c>
      <c r="L28" s="179" t="s">
        <v>570</v>
      </c>
      <c r="M28" s="179">
        <v>63.51</v>
      </c>
      <c r="N28" s="179">
        <v>1496995200</v>
      </c>
      <c r="O28" s="179">
        <v>3.78</v>
      </c>
      <c r="P28" s="179">
        <v>206</v>
      </c>
      <c r="Q28" s="179">
        <v>2.76</v>
      </c>
      <c r="R28"/>
    </row>
    <row r="29" spans="1:18" x14ac:dyDescent="0.25">
      <c r="A29" s="179">
        <v>63.41</v>
      </c>
      <c r="B29" s="179">
        <v>0.25</v>
      </c>
      <c r="C29" s="179">
        <v>48</v>
      </c>
      <c r="D29" s="8">
        <v>42895.125</v>
      </c>
      <c r="E29" s="179">
        <v>0.56999999999999995</v>
      </c>
      <c r="F29" s="179" t="s">
        <v>503</v>
      </c>
      <c r="G29" s="179">
        <v>298.64999999999998</v>
      </c>
      <c r="H29" s="179">
        <v>0</v>
      </c>
      <c r="I29" s="179">
        <v>0</v>
      </c>
      <c r="J29" s="179"/>
      <c r="K29" s="179">
        <v>1008.07</v>
      </c>
      <c r="L29" s="179" t="s">
        <v>484</v>
      </c>
      <c r="M29" s="179">
        <v>63.41</v>
      </c>
      <c r="N29" s="179">
        <v>1496998800</v>
      </c>
      <c r="O29" s="179">
        <v>10</v>
      </c>
      <c r="P29" s="179">
        <v>192</v>
      </c>
      <c r="Q29" s="179">
        <v>2.35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6"/>
  <sheetViews>
    <sheetView workbookViewId="0">
      <selection activeCell="D13" sqref="D13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42894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454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455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1007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1008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1009</v>
      </c>
      <c r="J20" s="143" t="s">
        <v>87</v>
      </c>
      <c r="M20" s="157" t="s">
        <v>365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1010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1011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1012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1013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1014</v>
      </c>
      <c r="J25" s="143" t="s">
        <v>148</v>
      </c>
      <c r="M25" s="157" t="b">
        <v>1</v>
      </c>
    </row>
    <row r="26" spans="3:24" x14ac:dyDescent="0.25">
      <c r="C26" t="s">
        <v>1015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C:\Users\stu\Documents\GitHub\eaglep3-reporting\EC\2017-06-08-refined-times.txt</v>
      </c>
    </row>
    <row r="27" spans="3:24" x14ac:dyDescent="0.25">
      <c r="C27" t="s">
        <v>1016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C:\Users\stu\Documents\GitHub\eaglep3-reporting\EC\2017-06-08-Enforcements.txt</v>
      </c>
    </row>
    <row r="28" spans="3:24" x14ac:dyDescent="0.25">
      <c r="C28" t="s">
        <v>1017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C:\Users\stu\Documents\GitHub\eaglep3-reporting\EC\2017-06-08-Runs-refined.txt</v>
      </c>
    </row>
    <row r="29" spans="3:24" x14ac:dyDescent="0.25">
      <c r="C29" t="s">
        <v>1018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C:\Users\stu\Documents\GitHub\eaglep3-reporting\EC\2017-06-08-Trips.txt</v>
      </c>
    </row>
    <row r="30" spans="3:24" x14ac:dyDescent="0.25">
      <c r="C30" t="s">
        <v>1019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C:\Users\stu\Documents\GitHub\eaglep3-reporting\EC\2017-06-08-Weather.txt</v>
      </c>
    </row>
    <row r="31" spans="3:24" x14ac:dyDescent="0.25">
      <c r="C31" t="s">
        <v>1020</v>
      </c>
      <c r="J31" s="143" t="s">
        <v>198</v>
      </c>
      <c r="M31" s="157" t="s">
        <v>199</v>
      </c>
    </row>
    <row r="32" spans="3:24" x14ac:dyDescent="0.25">
      <c r="C32" t="s">
        <v>1021</v>
      </c>
    </row>
    <row r="33" spans="3:3" x14ac:dyDescent="0.25">
      <c r="C33" t="s">
        <v>1022</v>
      </c>
    </row>
    <row r="34" spans="3:3" x14ac:dyDescent="0.25">
      <c r="C34" t="s">
        <v>1023</v>
      </c>
    </row>
    <row r="35" spans="3:3" x14ac:dyDescent="0.25">
      <c r="C35" t="s">
        <v>1024</v>
      </c>
    </row>
    <row r="36" spans="3:3" x14ac:dyDescent="0.25">
      <c r="C36" t="s">
        <v>1025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2017-06-09T15:38:07Z</dcterms:modified>
</cp:coreProperties>
</file>