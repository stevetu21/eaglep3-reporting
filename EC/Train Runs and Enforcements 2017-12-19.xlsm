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9" i="1" l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2" i="1"/>
  <c r="AM202" i="1"/>
  <c r="AN202" i="1"/>
  <c r="AO202" i="1"/>
  <c r="K203" i="1"/>
  <c r="L203" i="1"/>
  <c r="M203" i="1"/>
  <c r="N203" i="1"/>
  <c r="V203" i="1"/>
  <c r="Y203" i="1"/>
  <c r="Z203" i="1"/>
  <c r="AA203" i="1" s="1"/>
  <c r="AB203" i="1"/>
  <c r="AC203" i="1"/>
  <c r="AD203" i="1"/>
  <c r="T203" i="1" s="1"/>
  <c r="AE203" i="1"/>
  <c r="AF203" i="1"/>
  <c r="AH203" i="1"/>
  <c r="AM203" i="1"/>
  <c r="AN203" i="1"/>
  <c r="AO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4" i="1"/>
  <c r="AM204" i="1"/>
  <c r="AN204" i="1"/>
  <c r="AO204" i="1"/>
  <c r="K205" i="1"/>
  <c r="L205" i="1"/>
  <c r="M205" i="1"/>
  <c r="N205" i="1"/>
  <c r="V205" i="1"/>
  <c r="Y205" i="1"/>
  <c r="Z205" i="1"/>
  <c r="AA205" i="1" s="1"/>
  <c r="AB205" i="1"/>
  <c r="AC205" i="1"/>
  <c r="AD205" i="1"/>
  <c r="T205" i="1" s="1"/>
  <c r="AE205" i="1"/>
  <c r="AF205" i="1"/>
  <c r="AH205" i="1"/>
  <c r="AM205" i="1"/>
  <c r="AN205" i="1"/>
  <c r="AO205" i="1"/>
  <c r="K206" i="1"/>
  <c r="L206" i="1"/>
  <c r="M206" i="1"/>
  <c r="N206" i="1"/>
  <c r="V206" i="1"/>
  <c r="Y206" i="1"/>
  <c r="Z206" i="1"/>
  <c r="AA206" i="1" s="1"/>
  <c r="AB206" i="1"/>
  <c r="AC206" i="1"/>
  <c r="AD206" i="1"/>
  <c r="T206" i="1" s="1"/>
  <c r="AE206" i="1"/>
  <c r="AF206" i="1"/>
  <c r="AH206" i="1"/>
  <c r="AM206" i="1"/>
  <c r="AN206" i="1"/>
  <c r="AO206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K208" i="1"/>
  <c r="L208" i="1"/>
  <c r="M208" i="1"/>
  <c r="N208" i="1"/>
  <c r="V208" i="1"/>
  <c r="Y208" i="1"/>
  <c r="Z208" i="1"/>
  <c r="AA208" i="1" s="1"/>
  <c r="AB208" i="1"/>
  <c r="AC208" i="1"/>
  <c r="AD208" i="1"/>
  <c r="T208" i="1" s="1"/>
  <c r="AE208" i="1"/>
  <c r="AF208" i="1"/>
  <c r="AH208" i="1"/>
  <c r="AM208" i="1"/>
  <c r="AN208" i="1"/>
  <c r="AO208" i="1"/>
  <c r="X125" i="1"/>
  <c r="X128" i="1"/>
  <c r="X129" i="1"/>
  <c r="X137" i="1"/>
  <c r="X141" i="1"/>
  <c r="X147" i="1"/>
  <c r="X15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6" i="1"/>
  <c r="L156" i="1"/>
  <c r="M156" i="1"/>
  <c r="N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AO146" i="1"/>
  <c r="K127" i="1"/>
  <c r="L127" i="1"/>
  <c r="M127" i="1"/>
  <c r="N127" i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AO128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P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S10" i="3" s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R14" i="3" s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/>
  <c r="V44" i="1"/>
  <c r="Y44" i="1"/>
  <c r="AA44" i="1" s="1"/>
  <c r="Z44" i="1"/>
  <c r="AB44" i="1"/>
  <c r="AC44" i="1"/>
  <c r="AD44" i="1"/>
  <c r="X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S9" i="3" s="1"/>
  <c r="Y60" i="1"/>
  <c r="Z60" i="1"/>
  <c r="AA60" i="1" s="1"/>
  <c r="AB60" i="1"/>
  <c r="AC60" i="1"/>
  <c r="AD60" i="1"/>
  <c r="T60" i="1" s="1"/>
  <c r="AE60" i="1"/>
  <c r="R9" i="3" s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P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X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S8" i="3" s="1"/>
  <c r="Y74" i="1"/>
  <c r="Z74" i="1"/>
  <c r="AA74" i="1" s="1"/>
  <c r="AB74" i="1"/>
  <c r="AC74" i="1"/>
  <c r="AD74" i="1"/>
  <c r="T74" i="1" s="1"/>
  <c r="AE74" i="1"/>
  <c r="R8" i="3" s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R18" i="3" s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S22" i="3" s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X127" i="1" s="1"/>
  <c r="AE126" i="1"/>
  <c r="AF126" i="1"/>
  <c r="AH126" i="1"/>
  <c r="AM126" i="1"/>
  <c r="AN126" i="1"/>
  <c r="AO126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X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S12" i="3" s="1"/>
  <c r="Y136" i="1"/>
  <c r="Z136" i="1"/>
  <c r="AB136" i="1"/>
  <c r="AC136" i="1"/>
  <c r="AD136" i="1"/>
  <c r="X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S7" i="3" s="1"/>
  <c r="Y144" i="1"/>
  <c r="AA144" i="1" s="1"/>
  <c r="Z144" i="1"/>
  <c r="AB144" i="1"/>
  <c r="AC144" i="1"/>
  <c r="AD144" i="1"/>
  <c r="T144" i="1" s="1"/>
  <c r="AE144" i="1"/>
  <c r="R13" i="3" s="1"/>
  <c r="AF144" i="1"/>
  <c r="AH144" i="1"/>
  <c r="AM144" i="1"/>
  <c r="AN144" i="1"/>
  <c r="AO144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/>
  <c r="V150" i="1"/>
  <c r="Y150" i="1"/>
  <c r="AA150" i="1" s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P155" i="1" s="1"/>
  <c r="V155" i="1"/>
  <c r="S15" i="3" s="1"/>
  <c r="Y155" i="1"/>
  <c r="Z155" i="1"/>
  <c r="AB155" i="1"/>
  <c r="AC155" i="1"/>
  <c r="AD155" i="1"/>
  <c r="T155" i="1" s="1"/>
  <c r="AE155" i="1"/>
  <c r="R15" i="3" s="1"/>
  <c r="AF155" i="1"/>
  <c r="AH155" i="1"/>
  <c r="AM155" i="1"/>
  <c r="AN155" i="1"/>
  <c r="AO155" i="1"/>
  <c r="K158" i="1"/>
  <c r="L158" i="1"/>
  <c r="M158" i="1"/>
  <c r="V158" i="1"/>
  <c r="S20" i="3" s="1"/>
  <c r="Y158" i="1"/>
  <c r="Z158" i="1"/>
  <c r="AB158" i="1"/>
  <c r="AC158" i="1"/>
  <c r="AD158" i="1"/>
  <c r="T158" i="1" s="1"/>
  <c r="AE158" i="1"/>
  <c r="R20" i="3" s="1"/>
  <c r="AF158" i="1"/>
  <c r="AH158" i="1"/>
  <c r="AM158" i="1"/>
  <c r="AN158" i="1"/>
  <c r="AO158" i="1"/>
  <c r="K159" i="1"/>
  <c r="L159" i="1"/>
  <c r="M159" i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5" i="1"/>
  <c r="AM175" i="1"/>
  <c r="AN175" i="1"/>
  <c r="AO17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6" i="1"/>
  <c r="AM176" i="1"/>
  <c r="AN176" i="1"/>
  <c r="AO17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7" i="1"/>
  <c r="AM177" i="1"/>
  <c r="AN177" i="1"/>
  <c r="AO17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78" i="1"/>
  <c r="AM178" i="1"/>
  <c r="AN178" i="1"/>
  <c r="AO17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79" i="1"/>
  <c r="AM179" i="1"/>
  <c r="AN179" i="1"/>
  <c r="AO17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0" i="1"/>
  <c r="AM180" i="1"/>
  <c r="AN180" i="1"/>
  <c r="AO18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1" i="1"/>
  <c r="AM181" i="1"/>
  <c r="AN181" i="1"/>
  <c r="AO18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2" i="1"/>
  <c r="AM182" i="1"/>
  <c r="AN182" i="1"/>
  <c r="AO18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3" i="1"/>
  <c r="AM183" i="1"/>
  <c r="AN183" i="1"/>
  <c r="AO18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4" i="1"/>
  <c r="AM184" i="1"/>
  <c r="AN184" i="1"/>
  <c r="AO18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5" i="1"/>
  <c r="AM185" i="1"/>
  <c r="AN185" i="1"/>
  <c r="AO18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6" i="1"/>
  <c r="AM186" i="1"/>
  <c r="AN186" i="1"/>
  <c r="AO18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7" i="1"/>
  <c r="AM187" i="1"/>
  <c r="AN187" i="1"/>
  <c r="AO187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88" i="1"/>
  <c r="AM188" i="1"/>
  <c r="AN188" i="1"/>
  <c r="AO18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9" i="1"/>
  <c r="AM189" i="1"/>
  <c r="AN189" i="1"/>
  <c r="AO189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0" i="1"/>
  <c r="AM190" i="1"/>
  <c r="AN190" i="1"/>
  <c r="AO19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1" i="1"/>
  <c r="AM191" i="1"/>
  <c r="AN191" i="1"/>
  <c r="AO191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2" i="1"/>
  <c r="AM192" i="1"/>
  <c r="AN192" i="1"/>
  <c r="AO19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3" i="1"/>
  <c r="AM193" i="1"/>
  <c r="AN193" i="1"/>
  <c r="AO193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194" i="1"/>
  <c r="AM194" i="1"/>
  <c r="AN194" i="1"/>
  <c r="AO194" i="1"/>
  <c r="K180" i="1"/>
  <c r="L180" i="1"/>
  <c r="M180" i="1"/>
  <c r="N180" i="1" s="1"/>
  <c r="V180" i="1"/>
  <c r="Y180" i="1"/>
  <c r="AA180" i="1" s="1"/>
  <c r="Z180" i="1"/>
  <c r="AB180" i="1"/>
  <c r="AC180" i="1"/>
  <c r="AD180" i="1"/>
  <c r="T180" i="1" s="1"/>
  <c r="AE180" i="1"/>
  <c r="AF180" i="1"/>
  <c r="AH195" i="1"/>
  <c r="AM195" i="1"/>
  <c r="AN195" i="1"/>
  <c r="AO19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96" i="1"/>
  <c r="AM196" i="1"/>
  <c r="AN196" i="1"/>
  <c r="AO19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7" i="1"/>
  <c r="AM197" i="1"/>
  <c r="AN197" i="1"/>
  <c r="AO197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198" i="1"/>
  <c r="AM198" i="1"/>
  <c r="AN198" i="1"/>
  <c r="AO19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9" i="1"/>
  <c r="AM199" i="1"/>
  <c r="AN199" i="1"/>
  <c r="AO19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0" i="1"/>
  <c r="AM200" i="1"/>
  <c r="AN200" i="1"/>
  <c r="AO20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1" i="1"/>
  <c r="AM201" i="1"/>
  <c r="AN201" i="1"/>
  <c r="AO201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09" i="1"/>
  <c r="AM209" i="1"/>
  <c r="AN209" i="1"/>
  <c r="AO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0" i="1"/>
  <c r="AM210" i="1"/>
  <c r="AN210" i="1"/>
  <c r="AO210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1" i="1"/>
  <c r="AM211" i="1"/>
  <c r="AN211" i="1"/>
  <c r="AO211" i="1"/>
  <c r="K190" i="1"/>
  <c r="L190" i="1"/>
  <c r="M190" i="1"/>
  <c r="N190" i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AO212" i="1"/>
  <c r="K191" i="1"/>
  <c r="L191" i="1"/>
  <c r="M191" i="1"/>
  <c r="N191" i="1"/>
  <c r="V191" i="1"/>
  <c r="Y191" i="1"/>
  <c r="Z191" i="1"/>
  <c r="AB191" i="1"/>
  <c r="AC191" i="1"/>
  <c r="AD191" i="1"/>
  <c r="X191" i="1" s="1"/>
  <c r="AE191" i="1"/>
  <c r="AF191" i="1"/>
  <c r="AH213" i="1"/>
  <c r="AM213" i="1"/>
  <c r="AN213" i="1"/>
  <c r="AO213" i="1"/>
  <c r="K192" i="1"/>
  <c r="L192" i="1"/>
  <c r="M192" i="1"/>
  <c r="N192" i="1"/>
  <c r="V192" i="1"/>
  <c r="Y192" i="1"/>
  <c r="AA192" i="1" s="1"/>
  <c r="Z192" i="1"/>
  <c r="AB192" i="1"/>
  <c r="AC192" i="1"/>
  <c r="AD192" i="1"/>
  <c r="T192" i="1" s="1"/>
  <c r="AE192" i="1"/>
  <c r="AF192" i="1"/>
  <c r="AH214" i="1"/>
  <c r="AM214" i="1"/>
  <c r="AN214" i="1"/>
  <c r="AO214" i="1"/>
  <c r="K193" i="1"/>
  <c r="L193" i="1"/>
  <c r="M193" i="1"/>
  <c r="N193" i="1" s="1"/>
  <c r="V193" i="1"/>
  <c r="AB193" i="1"/>
  <c r="AC193" i="1"/>
  <c r="AD193" i="1"/>
  <c r="X193" i="1" s="1"/>
  <c r="AE193" i="1"/>
  <c r="AF193" i="1"/>
  <c r="AH215" i="1"/>
  <c r="AM215" i="1"/>
  <c r="AN215" i="1"/>
  <c r="AO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AO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AN217" i="1"/>
  <c r="AO217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218" i="1"/>
  <c r="AM218" i="1"/>
  <c r="AN218" i="1"/>
  <c r="AO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AN219" i="1"/>
  <c r="AO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AM220" i="1"/>
  <c r="AN220" i="1"/>
  <c r="AO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AO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AO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AO22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24" i="1"/>
  <c r="AM224" i="1"/>
  <c r="AN224" i="1"/>
  <c r="AO22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25" i="1"/>
  <c r="AM225" i="1"/>
  <c r="AN225" i="1"/>
  <c r="AO22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26" i="1"/>
  <c r="AM226" i="1"/>
  <c r="AN226" i="1"/>
  <c r="AO226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27" i="1"/>
  <c r="AM227" i="1"/>
  <c r="AN227" i="1"/>
  <c r="AO22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AO230" i="1"/>
  <c r="K224" i="1"/>
  <c r="L224" i="1"/>
  <c r="M224" i="1"/>
  <c r="N224" i="1" s="1"/>
  <c r="T224" i="1"/>
  <c r="V224" i="1"/>
  <c r="Y224" i="1"/>
  <c r="Z224" i="1"/>
  <c r="AB224" i="1"/>
  <c r="AC224" i="1"/>
  <c r="AD224" i="1"/>
  <c r="AE224" i="1"/>
  <c r="AF224" i="1"/>
  <c r="AH231" i="1"/>
  <c r="AM231" i="1"/>
  <c r="AN231" i="1"/>
  <c r="AO231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32" i="1"/>
  <c r="AM232" i="1"/>
  <c r="AN232" i="1"/>
  <c r="AO232" i="1"/>
  <c r="M11" i="3"/>
  <c r="R11" i="3"/>
  <c r="S11" i="3"/>
  <c r="U11" i="3"/>
  <c r="T11" i="3" s="1"/>
  <c r="V11" i="3"/>
  <c r="X11" i="3"/>
  <c r="M10" i="3"/>
  <c r="R10" i="3"/>
  <c r="U10" i="3"/>
  <c r="AC10" i="3" s="1"/>
  <c r="V10" i="3"/>
  <c r="X10" i="3"/>
  <c r="M23" i="3"/>
  <c r="R23" i="3"/>
  <c r="S23" i="3"/>
  <c r="U23" i="3"/>
  <c r="AC23" i="3" s="1"/>
  <c r="V23" i="3"/>
  <c r="X23" i="3"/>
  <c r="M14" i="3"/>
  <c r="S14" i="3"/>
  <c r="U14" i="3"/>
  <c r="AC14" i="3" s="1"/>
  <c r="V14" i="3"/>
  <c r="X14" i="3"/>
  <c r="M21" i="3"/>
  <c r="R21" i="3"/>
  <c r="S21" i="3"/>
  <c r="U21" i="3"/>
  <c r="AC21" i="3" s="1"/>
  <c r="V21" i="3"/>
  <c r="X21" i="3"/>
  <c r="M9" i="3"/>
  <c r="U9" i="3"/>
  <c r="AC9" i="3" s="1"/>
  <c r="V9" i="3"/>
  <c r="X9" i="3"/>
  <c r="M8" i="3"/>
  <c r="U8" i="3"/>
  <c r="T8" i="3" s="1"/>
  <c r="V8" i="3"/>
  <c r="X8" i="3"/>
  <c r="M19" i="3"/>
  <c r="R19" i="3"/>
  <c r="S19" i="3"/>
  <c r="U19" i="3"/>
  <c r="V19" i="3"/>
  <c r="X19" i="3"/>
  <c r="M17" i="3"/>
  <c r="R17" i="3"/>
  <c r="S17" i="3"/>
  <c r="U17" i="3"/>
  <c r="AC17" i="3" s="1"/>
  <c r="V17" i="3"/>
  <c r="X17" i="3"/>
  <c r="M18" i="3"/>
  <c r="S18" i="3"/>
  <c r="U18" i="3"/>
  <c r="AC18" i="3" s="1"/>
  <c r="V18" i="3"/>
  <c r="X18" i="3"/>
  <c r="M22" i="3"/>
  <c r="R22" i="3"/>
  <c r="U22" i="3"/>
  <c r="T22" i="3" s="1"/>
  <c r="V22" i="3"/>
  <c r="X22" i="3"/>
  <c r="AD18" i="3"/>
  <c r="M16" i="3"/>
  <c r="R16" i="3"/>
  <c r="S16" i="3"/>
  <c r="U16" i="3"/>
  <c r="AC16" i="3" s="1"/>
  <c r="V16" i="3"/>
  <c r="X16" i="3"/>
  <c r="M12" i="3"/>
  <c r="R12" i="3"/>
  <c r="U12" i="3"/>
  <c r="AC12" i="3" s="1"/>
  <c r="V12" i="3"/>
  <c r="X12" i="3"/>
  <c r="M7" i="3"/>
  <c r="R7" i="3"/>
  <c r="U7" i="3"/>
  <c r="T7" i="3" s="1"/>
  <c r="V7" i="3"/>
  <c r="X7" i="3"/>
  <c r="M13" i="3"/>
  <c r="S13" i="3"/>
  <c r="U13" i="3"/>
  <c r="AC13" i="3" s="1"/>
  <c r="V13" i="3"/>
  <c r="X13" i="3"/>
  <c r="M15" i="3"/>
  <c r="U15" i="3"/>
  <c r="AC15" i="3" s="1"/>
  <c r="V15" i="3"/>
  <c r="X15" i="3"/>
  <c r="M20" i="3"/>
  <c r="U20" i="3"/>
  <c r="AC20" i="3" s="1"/>
  <c r="V20" i="3"/>
  <c r="X20" i="3"/>
  <c r="AG202" i="1"/>
  <c r="AG203" i="1"/>
  <c r="AG204" i="1"/>
  <c r="AG205" i="1"/>
  <c r="AG206" i="1"/>
  <c r="AG207" i="1"/>
  <c r="AG208" i="1"/>
  <c r="AG157" i="1"/>
  <c r="AG156" i="1"/>
  <c r="AG152" i="1"/>
  <c r="AG145" i="1"/>
  <c r="AG146" i="1"/>
  <c r="AG127" i="1"/>
  <c r="AG128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5" i="1"/>
  <c r="AG93" i="1"/>
  <c r="AG101" i="1"/>
  <c r="AG109" i="1"/>
  <c r="AG117" i="1"/>
  <c r="AG125" i="1"/>
  <c r="AG135" i="1"/>
  <c r="AG141" i="1"/>
  <c r="AG147" i="1"/>
  <c r="AG151" i="1"/>
  <c r="AG158" i="1"/>
  <c r="AG211" i="1"/>
  <c r="AG215" i="1"/>
  <c r="AG219" i="1"/>
  <c r="AG229" i="1"/>
  <c r="AG163" i="1"/>
  <c r="AG167" i="1"/>
  <c r="AG171" i="1"/>
  <c r="AG175" i="1"/>
  <c r="AG179" i="1"/>
  <c r="AG183" i="1"/>
  <c r="AG187" i="1"/>
  <c r="AG191" i="1"/>
  <c r="AG195" i="1"/>
  <c r="AG199" i="1"/>
  <c r="AG231" i="1"/>
  <c r="AG222" i="1"/>
  <c r="AG106" i="1"/>
  <c r="AG104" i="1"/>
  <c r="AG138" i="1"/>
  <c r="AG86" i="1"/>
  <c r="AG94" i="1"/>
  <c r="AG102" i="1"/>
  <c r="AG136" i="1"/>
  <c r="AG65" i="1"/>
  <c r="AG77" i="1"/>
  <c r="AG87" i="1"/>
  <c r="AG103" i="1"/>
  <c r="AG119" i="1"/>
  <c r="AG137" i="1"/>
  <c r="AG148" i="1"/>
  <c r="AG159" i="1"/>
  <c r="AG216" i="1"/>
  <c r="AG160" i="1"/>
  <c r="AG168" i="1"/>
  <c r="AG176" i="1"/>
  <c r="AG184" i="1"/>
  <c r="AG192" i="1"/>
  <c r="AG200" i="1"/>
  <c r="AG223" i="1"/>
  <c r="AG112" i="1"/>
  <c r="AG108" i="1"/>
  <c r="AG96" i="1"/>
  <c r="AG116" i="1"/>
  <c r="AG14" i="1"/>
  <c r="AG18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9" i="1"/>
  <c r="AG73" i="1"/>
  <c r="AG81" i="1"/>
  <c r="AG95" i="1"/>
  <c r="AG111" i="1"/>
  <c r="AG129" i="1"/>
  <c r="AG142" i="1"/>
  <c r="AG153" i="1"/>
  <c r="AG212" i="1"/>
  <c r="AG226" i="1"/>
  <c r="AG164" i="1"/>
  <c r="AG172" i="1"/>
  <c r="AG180" i="1"/>
  <c r="AG188" i="1"/>
  <c r="AG196" i="1"/>
  <c r="AG232" i="1"/>
  <c r="AG114" i="1"/>
  <c r="AG88" i="1"/>
  <c r="AG110" i="1"/>
  <c r="AG19" i="1"/>
  <c r="AG27" i="1"/>
  <c r="AG35" i="1"/>
  <c r="AG43" i="1"/>
  <c r="AG51" i="1"/>
  <c r="AG59" i="1"/>
  <c r="AG67" i="1"/>
  <c r="AG75" i="1"/>
  <c r="AG83" i="1"/>
  <c r="AG99" i="1"/>
  <c r="AG115" i="1"/>
  <c r="AG133" i="1"/>
  <c r="AG144" i="1"/>
  <c r="AG155" i="1"/>
  <c r="AG214" i="1"/>
  <c r="AG228" i="1"/>
  <c r="AG166" i="1"/>
  <c r="AG174" i="1"/>
  <c r="AG182" i="1"/>
  <c r="AG190" i="1"/>
  <c r="AG198" i="1"/>
  <c r="AG221" i="1"/>
  <c r="AG132" i="1"/>
  <c r="AG84" i="1"/>
  <c r="AG100" i="1"/>
  <c r="AG22" i="1"/>
  <c r="AG30" i="1"/>
  <c r="AG38" i="1"/>
  <c r="AG46" i="1"/>
  <c r="AG54" i="1"/>
  <c r="AG62" i="1"/>
  <c r="AG70" i="1"/>
  <c r="AG78" i="1"/>
  <c r="AG89" i="1"/>
  <c r="AG105" i="1"/>
  <c r="AG121" i="1"/>
  <c r="AG139" i="1"/>
  <c r="AG149" i="1"/>
  <c r="AG209" i="1"/>
  <c r="AG217" i="1"/>
  <c r="AG161" i="1"/>
  <c r="AG169" i="1"/>
  <c r="AG177" i="1"/>
  <c r="AG185" i="1"/>
  <c r="AG193" i="1"/>
  <c r="AG201" i="1"/>
  <c r="AG224" i="1"/>
  <c r="AG120" i="1"/>
  <c r="AG90" i="1"/>
  <c r="AG118" i="1"/>
  <c r="AG23" i="1"/>
  <c r="AG31" i="1"/>
  <c r="AG39" i="1"/>
  <c r="AG47" i="1"/>
  <c r="AG55" i="1"/>
  <c r="AG63" i="1"/>
  <c r="AG71" i="1"/>
  <c r="AG79" i="1"/>
  <c r="AG91" i="1"/>
  <c r="AG107" i="1"/>
  <c r="AG123" i="1"/>
  <c r="AG140" i="1"/>
  <c r="AG150" i="1"/>
  <c r="AG210" i="1"/>
  <c r="AG218" i="1"/>
  <c r="AG162" i="1"/>
  <c r="AG170" i="1"/>
  <c r="AG178" i="1"/>
  <c r="AG186" i="1"/>
  <c r="AG194" i="1"/>
  <c r="AG230" i="1"/>
  <c r="AG225" i="1"/>
  <c r="AG130" i="1"/>
  <c r="AG92" i="1"/>
  <c r="AG126" i="1"/>
  <c r="AG15" i="1"/>
  <c r="AG26" i="1"/>
  <c r="AG34" i="1"/>
  <c r="AG42" i="1"/>
  <c r="AG50" i="1"/>
  <c r="AG58" i="1"/>
  <c r="AG66" i="1"/>
  <c r="AG74" i="1"/>
  <c r="AG82" i="1"/>
  <c r="AG97" i="1"/>
  <c r="AG113" i="1"/>
  <c r="AG131" i="1"/>
  <c r="AG143" i="1"/>
  <c r="AG154" i="1"/>
  <c r="AG213" i="1"/>
  <c r="AG227" i="1"/>
  <c r="AG165" i="1"/>
  <c r="AG173" i="1"/>
  <c r="AG181" i="1"/>
  <c r="AG189" i="1"/>
  <c r="AG197" i="1"/>
  <c r="AG220" i="1"/>
  <c r="AG122" i="1"/>
  <c r="AG124" i="1"/>
  <c r="AG98" i="1"/>
  <c r="AG134" i="1"/>
  <c r="W23" i="3"/>
  <c r="W15" i="3"/>
  <c r="W14" i="3"/>
  <c r="W10" i="3"/>
  <c r="W13" i="3"/>
  <c r="W9" i="3"/>
  <c r="W18" i="3"/>
  <c r="W8" i="3"/>
  <c r="W19" i="3"/>
  <c r="W12" i="3"/>
  <c r="W16" i="3"/>
  <c r="W7" i="3"/>
  <c r="W11" i="3"/>
  <c r="W21" i="3"/>
  <c r="W20" i="3"/>
  <c r="W17" i="3"/>
  <c r="W22" i="3"/>
  <c r="AE17" i="3" l="1"/>
  <c r="AD11" i="3"/>
  <c r="AD19" i="3"/>
  <c r="AE11" i="3"/>
  <c r="AA223" i="1"/>
  <c r="AA230" i="1"/>
  <c r="AA176" i="1"/>
  <c r="AA166" i="1"/>
  <c r="AA162" i="1"/>
  <c r="AA228" i="1"/>
  <c r="AA218" i="1"/>
  <c r="W218" i="1" s="1"/>
  <c r="AA153" i="1"/>
  <c r="AA139" i="1"/>
  <c r="AA121" i="1"/>
  <c r="AA105" i="1"/>
  <c r="AA85" i="1"/>
  <c r="AA54" i="1"/>
  <c r="AA49" i="1"/>
  <c r="AA48" i="1"/>
  <c r="W48" i="1" s="1"/>
  <c r="AA39" i="1"/>
  <c r="AA34" i="1"/>
  <c r="AA30" i="1"/>
  <c r="AA26" i="1"/>
  <c r="AA22" i="1"/>
  <c r="AA18" i="1"/>
  <c r="AA152" i="1"/>
  <c r="X153" i="1"/>
  <c r="X148" i="1"/>
  <c r="X142" i="1"/>
  <c r="X126" i="1"/>
  <c r="X157" i="1"/>
  <c r="AA224" i="1"/>
  <c r="X231" i="1"/>
  <c r="X199" i="1"/>
  <c r="X195" i="1"/>
  <c r="AA226" i="1"/>
  <c r="AA216" i="1"/>
  <c r="AA212" i="1"/>
  <c r="AA148" i="1"/>
  <c r="W148" i="1" s="1"/>
  <c r="AA131" i="1"/>
  <c r="X78" i="1"/>
  <c r="X70" i="1"/>
  <c r="X155" i="1"/>
  <c r="X150" i="1"/>
  <c r="X144" i="1"/>
  <c r="X140" i="1"/>
  <c r="X210" i="1"/>
  <c r="AA201" i="1"/>
  <c r="AA213" i="1"/>
  <c r="AA151" i="1"/>
  <c r="AA125" i="1"/>
  <c r="W125" i="1" s="1"/>
  <c r="AA109" i="1"/>
  <c r="AA93" i="1"/>
  <c r="X83" i="1"/>
  <c r="AA80" i="1"/>
  <c r="W80" i="1" s="1"/>
  <c r="X79" i="1"/>
  <c r="X75" i="1"/>
  <c r="AA72" i="1"/>
  <c r="X71" i="1"/>
  <c r="T69" i="1"/>
  <c r="AA62" i="1"/>
  <c r="AA58" i="1"/>
  <c r="X56" i="1"/>
  <c r="AA53" i="1"/>
  <c r="AA52" i="1"/>
  <c r="AA42" i="1"/>
  <c r="X154" i="1"/>
  <c r="X149" i="1"/>
  <c r="X143" i="1"/>
  <c r="X209" i="1"/>
  <c r="AI208" i="1"/>
  <c r="U208" i="1"/>
  <c r="S208" i="1" s="1"/>
  <c r="AI207" i="1"/>
  <c r="U207" i="1"/>
  <c r="S207" i="1" s="1"/>
  <c r="S206" i="1"/>
  <c r="AI206" i="1"/>
  <c r="U206" i="1"/>
  <c r="AI205" i="1"/>
  <c r="U205" i="1"/>
  <c r="S205" i="1" s="1"/>
  <c r="AI204" i="1"/>
  <c r="U204" i="1"/>
  <c r="S204" i="1" s="1"/>
  <c r="AI203" i="1"/>
  <c r="U203" i="1"/>
  <c r="S203" i="1" s="1"/>
  <c r="AI202" i="1"/>
  <c r="U202" i="1"/>
  <c r="S202" i="1" s="1"/>
  <c r="W208" i="1"/>
  <c r="W207" i="1"/>
  <c r="W206" i="1"/>
  <c r="W205" i="1"/>
  <c r="W204" i="1"/>
  <c r="W203" i="1"/>
  <c r="W202" i="1"/>
  <c r="X208" i="1"/>
  <c r="X207" i="1"/>
  <c r="X206" i="1"/>
  <c r="X205" i="1"/>
  <c r="X204" i="1"/>
  <c r="X203" i="1"/>
  <c r="X202" i="1"/>
  <c r="AA200" i="1"/>
  <c r="X197" i="1"/>
  <c r="AA184" i="1"/>
  <c r="W184" i="1" s="1"/>
  <c r="X181" i="1"/>
  <c r="AA188" i="1"/>
  <c r="X185" i="1"/>
  <c r="AA172" i="1"/>
  <c r="W172" i="1" s="1"/>
  <c r="AA168" i="1"/>
  <c r="AA164" i="1"/>
  <c r="AA160" i="1"/>
  <c r="X156" i="1"/>
  <c r="T157" i="1"/>
  <c r="X158" i="1"/>
  <c r="AA156" i="1"/>
  <c r="W156" i="1" s="1"/>
  <c r="AA157" i="1"/>
  <c r="W157" i="1" s="1"/>
  <c r="X152" i="1"/>
  <c r="X146" i="1"/>
  <c r="X145" i="1"/>
  <c r="AI157" i="1"/>
  <c r="U157" i="1"/>
  <c r="S157" i="1" s="1"/>
  <c r="AI156" i="1"/>
  <c r="U156" i="1"/>
  <c r="S156" i="1" s="1"/>
  <c r="AI152" i="1"/>
  <c r="U152" i="1"/>
  <c r="S152" i="1" s="1"/>
  <c r="W152" i="1"/>
  <c r="AD22" i="3"/>
  <c r="AC11" i="3"/>
  <c r="AI146" i="1"/>
  <c r="U146" i="1"/>
  <c r="S146" i="1" s="1"/>
  <c r="AI145" i="1"/>
  <c r="U145" i="1"/>
  <c r="S145" i="1" s="1"/>
  <c r="W145" i="1"/>
  <c r="W146" i="1"/>
  <c r="AI128" i="1"/>
  <c r="U128" i="1"/>
  <c r="S128" i="1" s="1"/>
  <c r="AI127" i="1"/>
  <c r="U127" i="1"/>
  <c r="S127" i="1" s="1"/>
  <c r="W128" i="1"/>
  <c r="W127" i="1"/>
  <c r="AD21" i="3"/>
  <c r="T14" i="3"/>
  <c r="AE21" i="3"/>
  <c r="T220" i="1"/>
  <c r="AA40" i="1"/>
  <c r="AA38" i="1"/>
  <c r="AA33" i="1"/>
  <c r="AA29" i="1"/>
  <c r="AA25" i="1"/>
  <c r="AA21" i="1"/>
  <c r="AA17" i="1"/>
  <c r="X224" i="1"/>
  <c r="AA221" i="1"/>
  <c r="AA220" i="1"/>
  <c r="X172" i="1"/>
  <c r="X170" i="1"/>
  <c r="X169" i="1"/>
  <c r="AA165" i="1"/>
  <c r="W165" i="1" s="1"/>
  <c r="AA161" i="1"/>
  <c r="W161" i="1" s="1"/>
  <c r="AA227" i="1"/>
  <c r="AA217" i="1"/>
  <c r="AA209" i="1"/>
  <c r="AA158" i="1"/>
  <c r="AA155" i="1"/>
  <c r="AA140" i="1"/>
  <c r="AA133" i="1"/>
  <c r="AA123" i="1"/>
  <c r="AA115" i="1"/>
  <c r="AA107" i="1"/>
  <c r="AA89" i="1"/>
  <c r="X82" i="1"/>
  <c r="X80" i="1"/>
  <c r="T77" i="1"/>
  <c r="AA71" i="1"/>
  <c r="AA70" i="1"/>
  <c r="W70" i="1" s="1"/>
  <c r="AA68" i="1"/>
  <c r="X64" i="1"/>
  <c r="X53" i="1"/>
  <c r="X51" i="1"/>
  <c r="X49" i="1"/>
  <c r="X47" i="1"/>
  <c r="X45" i="1"/>
  <c r="X43" i="1"/>
  <c r="T197" i="1"/>
  <c r="T193" i="1"/>
  <c r="U193" i="1" s="1"/>
  <c r="S193" i="1" s="1"/>
  <c r="T189" i="1"/>
  <c r="T185" i="1"/>
  <c r="U185" i="1" s="1"/>
  <c r="S185" i="1" s="1"/>
  <c r="T181" i="1"/>
  <c r="T177" i="1"/>
  <c r="U177" i="1" s="1"/>
  <c r="S177" i="1" s="1"/>
  <c r="T173" i="1"/>
  <c r="AA35" i="1"/>
  <c r="AA31" i="1"/>
  <c r="AA27" i="1"/>
  <c r="AA23" i="1"/>
  <c r="AA19" i="1"/>
  <c r="AA15" i="1"/>
  <c r="AA232" i="1"/>
  <c r="X201" i="1"/>
  <c r="AA198" i="1"/>
  <c r="W198" i="1" s="1"/>
  <c r="AA194" i="1"/>
  <c r="AA190" i="1"/>
  <c r="AA186" i="1"/>
  <c r="W186" i="1" s="1"/>
  <c r="AA182" i="1"/>
  <c r="AA178" i="1"/>
  <c r="AA174" i="1"/>
  <c r="AA171" i="1"/>
  <c r="W171" i="1" s="1"/>
  <c r="AA170" i="1"/>
  <c r="AA167" i="1"/>
  <c r="AA163" i="1"/>
  <c r="W163" i="1" s="1"/>
  <c r="AA229" i="1"/>
  <c r="AA219" i="1"/>
  <c r="W219" i="1" s="1"/>
  <c r="AA215" i="1"/>
  <c r="AA214" i="1"/>
  <c r="AA149" i="1"/>
  <c r="AA143" i="1"/>
  <c r="AA142" i="1"/>
  <c r="AA137" i="1"/>
  <c r="AA129" i="1"/>
  <c r="AA119" i="1"/>
  <c r="W119" i="1" s="1"/>
  <c r="AA111" i="1"/>
  <c r="AA97" i="1"/>
  <c r="AA79" i="1"/>
  <c r="AA78" i="1"/>
  <c r="AA76" i="1"/>
  <c r="X74" i="1"/>
  <c r="X72" i="1"/>
  <c r="AA51" i="1"/>
  <c r="AA47" i="1"/>
  <c r="AA43" i="1"/>
  <c r="AA37" i="1"/>
  <c r="AA36" i="1"/>
  <c r="AA32" i="1"/>
  <c r="AA28" i="1"/>
  <c r="AA24" i="1"/>
  <c r="AA20" i="1"/>
  <c r="W20" i="1" s="1"/>
  <c r="AA16" i="1"/>
  <c r="T225" i="1"/>
  <c r="X225" i="1"/>
  <c r="T221" i="1"/>
  <c r="U221" i="1" s="1"/>
  <c r="S221" i="1" s="1"/>
  <c r="X221" i="1"/>
  <c r="T230" i="1"/>
  <c r="X230" i="1"/>
  <c r="AA197" i="1"/>
  <c r="AA193" i="1"/>
  <c r="AA189" i="1"/>
  <c r="W189" i="1" s="1"/>
  <c r="AA185" i="1"/>
  <c r="AA181" i="1"/>
  <c r="W181" i="1" s="1"/>
  <c r="AA177" i="1"/>
  <c r="AA173" i="1"/>
  <c r="X171" i="1"/>
  <c r="AA147" i="1"/>
  <c r="W147" i="1" s="1"/>
  <c r="X198" i="1"/>
  <c r="X194" i="1"/>
  <c r="X190" i="1"/>
  <c r="X186" i="1"/>
  <c r="X182" i="1"/>
  <c r="X178" i="1"/>
  <c r="X174" i="1"/>
  <c r="T169" i="1"/>
  <c r="U169" i="1" s="1"/>
  <c r="S169" i="1" s="1"/>
  <c r="AA222" i="1"/>
  <c r="AA231" i="1"/>
  <c r="AA199" i="1"/>
  <c r="W199" i="1" s="1"/>
  <c r="AA195" i="1"/>
  <c r="AA191" i="1"/>
  <c r="AA187" i="1"/>
  <c r="AA183" i="1"/>
  <c r="W183" i="1" s="1"/>
  <c r="AA179" i="1"/>
  <c r="W179" i="1" s="1"/>
  <c r="AA175" i="1"/>
  <c r="T171" i="1"/>
  <c r="AA169" i="1"/>
  <c r="W169" i="1" s="1"/>
  <c r="X168" i="1"/>
  <c r="AA141" i="1"/>
  <c r="AA138" i="1"/>
  <c r="AA132" i="1"/>
  <c r="AA130" i="1"/>
  <c r="AA122" i="1"/>
  <c r="AA120" i="1"/>
  <c r="AA114" i="1"/>
  <c r="AA112" i="1"/>
  <c r="W112" i="1" s="1"/>
  <c r="AA106" i="1"/>
  <c r="AA104" i="1"/>
  <c r="AA103" i="1"/>
  <c r="AA95" i="1"/>
  <c r="W95" i="1" s="1"/>
  <c r="AA87" i="1"/>
  <c r="AA81" i="1"/>
  <c r="T78" i="1"/>
  <c r="T76" i="1"/>
  <c r="AA73" i="1"/>
  <c r="T70" i="1"/>
  <c r="T68" i="1"/>
  <c r="AA63" i="1"/>
  <c r="W63" i="1" s="1"/>
  <c r="AA59" i="1"/>
  <c r="X54" i="1"/>
  <c r="T52" i="1"/>
  <c r="X50" i="1"/>
  <c r="T48" i="1"/>
  <c r="X46" i="1"/>
  <c r="T44" i="1"/>
  <c r="T80" i="1"/>
  <c r="U80" i="1" s="1"/>
  <c r="S80" i="1" s="1"/>
  <c r="T72" i="1"/>
  <c r="T53" i="1"/>
  <c r="T49" i="1"/>
  <c r="T45" i="1"/>
  <c r="AA14" i="1"/>
  <c r="AA99" i="1"/>
  <c r="AA91" i="1"/>
  <c r="AA83" i="1"/>
  <c r="AA77" i="1"/>
  <c r="AA75" i="1"/>
  <c r="AA69" i="1"/>
  <c r="AA67" i="1"/>
  <c r="AA61" i="1"/>
  <c r="AA57" i="1"/>
  <c r="AI134" i="1"/>
  <c r="AI116" i="1"/>
  <c r="AI136" i="1"/>
  <c r="AI126" i="1"/>
  <c r="AI118" i="1"/>
  <c r="AI110" i="1"/>
  <c r="AI102" i="1"/>
  <c r="AI100" i="1"/>
  <c r="AI98" i="1"/>
  <c r="AI96" i="1"/>
  <c r="AI94" i="1"/>
  <c r="AI92" i="1"/>
  <c r="AI90" i="1"/>
  <c r="AI88" i="1"/>
  <c r="AI86" i="1"/>
  <c r="AI84" i="1"/>
  <c r="AI124" i="1"/>
  <c r="AI108" i="1"/>
  <c r="AI138" i="1"/>
  <c r="AI130" i="1"/>
  <c r="AI120" i="1"/>
  <c r="AI112" i="1"/>
  <c r="AI104" i="1"/>
  <c r="AI132" i="1"/>
  <c r="AI122" i="1"/>
  <c r="AI114" i="1"/>
  <c r="AI106" i="1"/>
  <c r="U225" i="1"/>
  <c r="S225" i="1" s="1"/>
  <c r="AI232" i="1"/>
  <c r="U224" i="1"/>
  <c r="S224" i="1" s="1"/>
  <c r="AI231" i="1"/>
  <c r="U223" i="1"/>
  <c r="S223" i="1" s="1"/>
  <c r="AI230" i="1"/>
  <c r="AI229" i="1"/>
  <c r="AI228" i="1"/>
  <c r="U220" i="1"/>
  <c r="S220" i="1" s="1"/>
  <c r="AI227" i="1"/>
  <c r="U232" i="1"/>
  <c r="S232" i="1" s="1"/>
  <c r="AI226" i="1"/>
  <c r="AI225" i="1"/>
  <c r="U230" i="1"/>
  <c r="S230" i="1" s="1"/>
  <c r="AI224" i="1"/>
  <c r="U201" i="1"/>
  <c r="S201" i="1" s="1"/>
  <c r="AI223" i="1"/>
  <c r="U200" i="1"/>
  <c r="S200" i="1" s="1"/>
  <c r="AI222" i="1"/>
  <c r="AI221" i="1"/>
  <c r="U198" i="1"/>
  <c r="S198" i="1" s="1"/>
  <c r="AI220" i="1"/>
  <c r="U197" i="1"/>
  <c r="S197" i="1" s="1"/>
  <c r="AI219" i="1"/>
  <c r="U196" i="1"/>
  <c r="S196" i="1" s="1"/>
  <c r="AI218" i="1"/>
  <c r="AI217" i="1"/>
  <c r="U194" i="1"/>
  <c r="S194" i="1" s="1"/>
  <c r="AI216" i="1"/>
  <c r="AI215" i="1"/>
  <c r="U192" i="1"/>
  <c r="S192" i="1" s="1"/>
  <c r="AI214" i="1"/>
  <c r="AI213" i="1"/>
  <c r="U190" i="1"/>
  <c r="S190" i="1" s="1"/>
  <c r="AI212" i="1"/>
  <c r="U189" i="1"/>
  <c r="S189" i="1" s="1"/>
  <c r="AI211" i="1"/>
  <c r="U188" i="1"/>
  <c r="S188" i="1" s="1"/>
  <c r="AI210" i="1"/>
  <c r="AI209" i="1"/>
  <c r="U186" i="1"/>
  <c r="S186" i="1" s="1"/>
  <c r="AI201" i="1"/>
  <c r="AI200" i="1"/>
  <c r="U184" i="1"/>
  <c r="S184" i="1" s="1"/>
  <c r="AI199" i="1"/>
  <c r="AI198" i="1"/>
  <c r="U182" i="1"/>
  <c r="S182" i="1" s="1"/>
  <c r="AI197" i="1"/>
  <c r="U181" i="1"/>
  <c r="S181" i="1" s="1"/>
  <c r="AI196" i="1"/>
  <c r="U180" i="1"/>
  <c r="S180" i="1" s="1"/>
  <c r="AI195" i="1"/>
  <c r="AI194" i="1"/>
  <c r="U178" i="1"/>
  <c r="S178" i="1" s="1"/>
  <c r="AI193" i="1"/>
  <c r="AI192" i="1"/>
  <c r="U176" i="1"/>
  <c r="S176" i="1" s="1"/>
  <c r="AI191" i="1"/>
  <c r="AI190" i="1"/>
  <c r="U174" i="1"/>
  <c r="S174" i="1" s="1"/>
  <c r="AI189" i="1"/>
  <c r="U173" i="1"/>
  <c r="S173" i="1" s="1"/>
  <c r="AI188" i="1"/>
  <c r="U172" i="1"/>
  <c r="S172" i="1" s="1"/>
  <c r="AI187" i="1"/>
  <c r="U171" i="1"/>
  <c r="S171" i="1" s="1"/>
  <c r="AI186" i="1"/>
  <c r="U170" i="1"/>
  <c r="S170" i="1" s="1"/>
  <c r="AI185" i="1"/>
  <c r="AI184" i="1"/>
  <c r="U168" i="1"/>
  <c r="S168" i="1" s="1"/>
  <c r="AI183" i="1"/>
  <c r="U167" i="1"/>
  <c r="S167" i="1" s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U210" i="1"/>
  <c r="S210" i="1" s="1"/>
  <c r="AI161" i="1"/>
  <c r="U209" i="1"/>
  <c r="S209" i="1" s="1"/>
  <c r="AI160" i="1"/>
  <c r="U159" i="1"/>
  <c r="S159" i="1" s="1"/>
  <c r="AI159" i="1"/>
  <c r="U158" i="1"/>
  <c r="AI158" i="1"/>
  <c r="U155" i="1"/>
  <c r="S155" i="1" s="1"/>
  <c r="AI155" i="1"/>
  <c r="U154" i="1"/>
  <c r="S154" i="1" s="1"/>
  <c r="AI154" i="1"/>
  <c r="U153" i="1"/>
  <c r="S153" i="1" s="1"/>
  <c r="AI153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AI139" i="1"/>
  <c r="AI137" i="1"/>
  <c r="AI135" i="1"/>
  <c r="AI133" i="1"/>
  <c r="AI131" i="1"/>
  <c r="AI129" i="1"/>
  <c r="AI125" i="1"/>
  <c r="AI123" i="1"/>
  <c r="AI121" i="1"/>
  <c r="AI119" i="1"/>
  <c r="AI117" i="1"/>
  <c r="AI115" i="1"/>
  <c r="AI113" i="1"/>
  <c r="AI111" i="1"/>
  <c r="AI109" i="1"/>
  <c r="AI107" i="1"/>
  <c r="AI105" i="1"/>
  <c r="AI103" i="1"/>
  <c r="AI101" i="1"/>
  <c r="AI99" i="1"/>
  <c r="AI97" i="1"/>
  <c r="AI95" i="1"/>
  <c r="AI93" i="1"/>
  <c r="AI91" i="1"/>
  <c r="AI89" i="1"/>
  <c r="AI87" i="1"/>
  <c r="AI85" i="1"/>
  <c r="AI83" i="1"/>
  <c r="U82" i="1"/>
  <c r="S82" i="1" s="1"/>
  <c r="AI82" i="1"/>
  <c r="AI81" i="1"/>
  <c r="AI80" i="1"/>
  <c r="AI79" i="1"/>
  <c r="U78" i="1"/>
  <c r="S78" i="1" s="1"/>
  <c r="AI78" i="1"/>
  <c r="U77" i="1"/>
  <c r="S77" i="1" s="1"/>
  <c r="AI77" i="1"/>
  <c r="U76" i="1"/>
  <c r="S76" i="1" s="1"/>
  <c r="AI76" i="1"/>
  <c r="AI75" i="1"/>
  <c r="U74" i="1"/>
  <c r="S74" i="1" s="1"/>
  <c r="AI74" i="1"/>
  <c r="AI73" i="1"/>
  <c r="U72" i="1"/>
  <c r="S72" i="1" s="1"/>
  <c r="AI72" i="1"/>
  <c r="AI71" i="1"/>
  <c r="U70" i="1"/>
  <c r="S70" i="1" s="1"/>
  <c r="AI70" i="1"/>
  <c r="U69" i="1"/>
  <c r="S69" i="1" s="1"/>
  <c r="AI69" i="1"/>
  <c r="U68" i="1"/>
  <c r="S68" i="1" s="1"/>
  <c r="AI68" i="1"/>
  <c r="AI67" i="1"/>
  <c r="U66" i="1"/>
  <c r="S66" i="1" s="1"/>
  <c r="AI66" i="1"/>
  <c r="AI65" i="1"/>
  <c r="U64" i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U54" i="1"/>
  <c r="S54" i="1" s="1"/>
  <c r="AI54" i="1"/>
  <c r="U53" i="1"/>
  <c r="S53" i="1" s="1"/>
  <c r="AI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U44" i="1"/>
  <c r="S44" i="1" s="1"/>
  <c r="AI44" i="1"/>
  <c r="U43" i="1"/>
  <c r="S43" i="1" s="1"/>
  <c r="AI43" i="1"/>
  <c r="AI42" i="1"/>
  <c r="W42" i="1"/>
  <c r="U41" i="1"/>
  <c r="S41" i="1" s="1"/>
  <c r="AI41" i="1"/>
  <c r="AI40" i="1"/>
  <c r="U39" i="1"/>
  <c r="S39" i="1" s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5" i="1"/>
  <c r="W194" i="1"/>
  <c r="W182" i="1"/>
  <c r="W168" i="1"/>
  <c r="W221" i="1"/>
  <c r="W170" i="1"/>
  <c r="W230" i="1"/>
  <c r="W190" i="1"/>
  <c r="W178" i="1"/>
  <c r="W174" i="1"/>
  <c r="W223" i="1"/>
  <c r="W232" i="1"/>
  <c r="W200" i="1"/>
  <c r="W196" i="1"/>
  <c r="W192" i="1"/>
  <c r="W188" i="1"/>
  <c r="W180" i="1"/>
  <c r="W176" i="1"/>
  <c r="W231" i="1"/>
  <c r="T161" i="1"/>
  <c r="U161" i="1" s="1"/>
  <c r="S161" i="1" s="1"/>
  <c r="X161" i="1"/>
  <c r="T229" i="1"/>
  <c r="U229" i="1" s="1"/>
  <c r="S229" i="1" s="1"/>
  <c r="X229" i="1"/>
  <c r="T227" i="1"/>
  <c r="U227" i="1" s="1"/>
  <c r="S227" i="1" s="1"/>
  <c r="X227" i="1"/>
  <c r="W213" i="1"/>
  <c r="W143" i="1"/>
  <c r="X223" i="1"/>
  <c r="X184" i="1"/>
  <c r="X180" i="1"/>
  <c r="W166" i="1"/>
  <c r="W164" i="1"/>
  <c r="W162" i="1"/>
  <c r="W160" i="1"/>
  <c r="W228" i="1"/>
  <c r="W226" i="1"/>
  <c r="W212" i="1"/>
  <c r="W159" i="1"/>
  <c r="W153" i="1"/>
  <c r="W142" i="1"/>
  <c r="W222" i="1"/>
  <c r="T165" i="1"/>
  <c r="U165" i="1" s="1"/>
  <c r="S165" i="1" s="1"/>
  <c r="X165" i="1"/>
  <c r="T163" i="1"/>
  <c r="U163" i="1" s="1"/>
  <c r="S163" i="1" s="1"/>
  <c r="X163" i="1"/>
  <c r="T219" i="1"/>
  <c r="U219" i="1" s="1"/>
  <c r="S219" i="1" s="1"/>
  <c r="X219" i="1"/>
  <c r="W209" i="1"/>
  <c r="W154" i="1"/>
  <c r="W149" i="1"/>
  <c r="W72" i="1"/>
  <c r="W224" i="1"/>
  <c r="W220" i="1"/>
  <c r="X232" i="1"/>
  <c r="W201" i="1"/>
  <c r="X200" i="1"/>
  <c r="W197" i="1"/>
  <c r="X196" i="1"/>
  <c r="W193" i="1"/>
  <c r="X192" i="1"/>
  <c r="X188" i="1"/>
  <c r="W185" i="1"/>
  <c r="W177" i="1"/>
  <c r="X176" i="1"/>
  <c r="T222" i="1"/>
  <c r="U222" i="1" s="1"/>
  <c r="S222" i="1" s="1"/>
  <c r="T231" i="1"/>
  <c r="U231" i="1" s="1"/>
  <c r="S231" i="1" s="1"/>
  <c r="T199" i="1"/>
  <c r="U199" i="1" s="1"/>
  <c r="S199" i="1" s="1"/>
  <c r="T195" i="1"/>
  <c r="U195" i="1" s="1"/>
  <c r="S195" i="1" s="1"/>
  <c r="T191" i="1"/>
  <c r="U191" i="1" s="1"/>
  <c r="S191" i="1" s="1"/>
  <c r="T187" i="1"/>
  <c r="U187" i="1" s="1"/>
  <c r="S187" i="1" s="1"/>
  <c r="T183" i="1"/>
  <c r="U183" i="1" s="1"/>
  <c r="S183" i="1" s="1"/>
  <c r="T179" i="1"/>
  <c r="U179" i="1" s="1"/>
  <c r="S179" i="1" s="1"/>
  <c r="T175" i="1"/>
  <c r="U175" i="1" s="1"/>
  <c r="S175" i="1" s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228" i="1"/>
  <c r="U228" i="1" s="1"/>
  <c r="S228" i="1" s="1"/>
  <c r="X228" i="1"/>
  <c r="T226" i="1"/>
  <c r="U226" i="1" s="1"/>
  <c r="S226" i="1" s="1"/>
  <c r="X226" i="1"/>
  <c r="W211" i="1"/>
  <c r="W158" i="1"/>
  <c r="W151" i="1"/>
  <c r="W141" i="1"/>
  <c r="W195" i="1"/>
  <c r="W191" i="1"/>
  <c r="W187" i="1"/>
  <c r="W175" i="1"/>
  <c r="W173" i="1"/>
  <c r="W167" i="1"/>
  <c r="W229" i="1"/>
  <c r="W227" i="1"/>
  <c r="W217" i="1"/>
  <c r="W216" i="1"/>
  <c r="W215" i="1"/>
  <c r="W214" i="1"/>
  <c r="W210" i="1"/>
  <c r="W155" i="1"/>
  <c r="W150" i="1"/>
  <c r="W144" i="1"/>
  <c r="W140" i="1"/>
  <c r="T218" i="1"/>
  <c r="U218" i="1" s="1"/>
  <c r="S218" i="1" s="1"/>
  <c r="X218" i="1"/>
  <c r="T217" i="1"/>
  <c r="U217" i="1" s="1"/>
  <c r="S217" i="1" s="1"/>
  <c r="X217" i="1"/>
  <c r="W123" i="1"/>
  <c r="W115" i="1"/>
  <c r="X167" i="1"/>
  <c r="W135" i="1"/>
  <c r="W132" i="1"/>
  <c r="W122" i="1"/>
  <c r="W117" i="1"/>
  <c r="W114" i="1"/>
  <c r="W109" i="1"/>
  <c r="W106" i="1"/>
  <c r="X61" i="1"/>
  <c r="T61" i="1"/>
  <c r="U61" i="1" s="1"/>
  <c r="S61" i="1" s="1"/>
  <c r="X62" i="1"/>
  <c r="T216" i="1"/>
  <c r="U216" i="1" s="1"/>
  <c r="S216" i="1" s="1"/>
  <c r="X216" i="1"/>
  <c r="T215" i="1"/>
  <c r="U215" i="1" s="1"/>
  <c r="S215" i="1" s="1"/>
  <c r="X215" i="1"/>
  <c r="W138" i="1"/>
  <c r="W133" i="1"/>
  <c r="W130" i="1"/>
  <c r="W120" i="1"/>
  <c r="W107" i="1"/>
  <c r="W104" i="1"/>
  <c r="X81" i="1"/>
  <c r="T81" i="1"/>
  <c r="U81" i="1" s="1"/>
  <c r="S81" i="1" s="1"/>
  <c r="X73" i="1"/>
  <c r="T73" i="1"/>
  <c r="U73" i="1" s="1"/>
  <c r="S73" i="1" s="1"/>
  <c r="T38" i="1"/>
  <c r="U38" i="1" s="1"/>
  <c r="S38" i="1" s="1"/>
  <c r="X38" i="1"/>
  <c r="X39" i="1"/>
  <c r="W35" i="1"/>
  <c r="W137" i="1"/>
  <c r="AA134" i="1"/>
  <c r="W134" i="1" s="1"/>
  <c r="W129" i="1"/>
  <c r="AA124" i="1"/>
  <c r="W124" i="1" s="1"/>
  <c r="AA116" i="1"/>
  <c r="W116" i="1" s="1"/>
  <c r="W111" i="1"/>
  <c r="AA108" i="1"/>
  <c r="W108" i="1" s="1"/>
  <c r="W103" i="1"/>
  <c r="W101" i="1"/>
  <c r="W99" i="1"/>
  <c r="W97" i="1"/>
  <c r="W93" i="1"/>
  <c r="W91" i="1"/>
  <c r="W89" i="1"/>
  <c r="W87" i="1"/>
  <c r="W85" i="1"/>
  <c r="W83" i="1"/>
  <c r="W82" i="1"/>
  <c r="W75" i="1"/>
  <c r="W74" i="1"/>
  <c r="W67" i="1"/>
  <c r="W66" i="1"/>
  <c r="W59" i="1"/>
  <c r="W58" i="1"/>
  <c r="W139" i="1"/>
  <c r="AA136" i="1"/>
  <c r="W136" i="1" s="1"/>
  <c r="W131" i="1"/>
  <c r="AA126" i="1"/>
  <c r="W126" i="1" s="1"/>
  <c r="W121" i="1"/>
  <c r="AA118" i="1"/>
  <c r="W118" i="1" s="1"/>
  <c r="W113" i="1"/>
  <c r="AA110" i="1"/>
  <c r="W110" i="1" s="1"/>
  <c r="W105" i="1"/>
  <c r="W78" i="1"/>
  <c r="W76" i="1"/>
  <c r="W68" i="1"/>
  <c r="T137" i="1"/>
  <c r="U137" i="1" s="1"/>
  <c r="S137" i="1" s="1"/>
  <c r="T131" i="1"/>
  <c r="U131" i="1" s="1"/>
  <c r="S131" i="1" s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79" i="1"/>
  <c r="U79" i="1" s="1"/>
  <c r="S79" i="1" s="1"/>
  <c r="W77" i="1"/>
  <c r="T71" i="1"/>
  <c r="U71" i="1" s="1"/>
  <c r="S71" i="1" s="1"/>
  <c r="W69" i="1"/>
  <c r="X67" i="1"/>
  <c r="T67" i="1"/>
  <c r="U67" i="1" s="1"/>
  <c r="S67" i="1" s="1"/>
  <c r="W65" i="1"/>
  <c r="W64" i="1"/>
  <c r="X59" i="1"/>
  <c r="T59" i="1"/>
  <c r="U59" i="1" s="1"/>
  <c r="S59" i="1" s="1"/>
  <c r="W57" i="1"/>
  <c r="W56" i="1"/>
  <c r="T139" i="1"/>
  <c r="U139" i="1" s="1"/>
  <c r="S139" i="1" s="1"/>
  <c r="T135" i="1"/>
  <c r="U135" i="1" s="1"/>
  <c r="S135" i="1" s="1"/>
  <c r="T133" i="1"/>
  <c r="U133" i="1" s="1"/>
  <c r="S133" i="1" s="1"/>
  <c r="T129" i="1"/>
  <c r="U129" i="1" s="1"/>
  <c r="S129" i="1" s="1"/>
  <c r="T125" i="1"/>
  <c r="U125" i="1" s="1"/>
  <c r="S125" i="1" s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AA102" i="1"/>
  <c r="W102" i="1" s="1"/>
  <c r="AA100" i="1"/>
  <c r="W100" i="1" s="1"/>
  <c r="AA98" i="1"/>
  <c r="W98" i="1" s="1"/>
  <c r="AA96" i="1"/>
  <c r="W96" i="1" s="1"/>
  <c r="AA94" i="1"/>
  <c r="W94" i="1" s="1"/>
  <c r="AA92" i="1"/>
  <c r="W92" i="1" s="1"/>
  <c r="AA90" i="1"/>
  <c r="W90" i="1" s="1"/>
  <c r="AA88" i="1"/>
  <c r="W88" i="1" s="1"/>
  <c r="AA86" i="1"/>
  <c r="W86" i="1" s="1"/>
  <c r="AA84" i="1"/>
  <c r="W84" i="1" s="1"/>
  <c r="W79" i="1"/>
  <c r="W71" i="1"/>
  <c r="X65" i="1"/>
  <c r="T65" i="1"/>
  <c r="U65" i="1" s="1"/>
  <c r="S65" i="1" s="1"/>
  <c r="W62" i="1"/>
  <c r="X60" i="1"/>
  <c r="X57" i="1"/>
  <c r="T57" i="1"/>
  <c r="U57" i="1" s="1"/>
  <c r="S57" i="1" s="1"/>
  <c r="W55" i="1"/>
  <c r="W54" i="1"/>
  <c r="W52" i="1"/>
  <c r="W50" i="1"/>
  <c r="W46" i="1"/>
  <c r="W44" i="1"/>
  <c r="W40" i="1"/>
  <c r="X214" i="1"/>
  <c r="X213" i="1"/>
  <c r="X212" i="1"/>
  <c r="X211" i="1"/>
  <c r="X159" i="1"/>
  <c r="T138" i="1"/>
  <c r="U138" i="1" s="1"/>
  <c r="S138" i="1" s="1"/>
  <c r="T136" i="1"/>
  <c r="U136" i="1" s="1"/>
  <c r="S136" i="1" s="1"/>
  <c r="T134" i="1"/>
  <c r="U134" i="1" s="1"/>
  <c r="S134" i="1" s="1"/>
  <c r="T132" i="1"/>
  <c r="U132" i="1" s="1"/>
  <c r="S132" i="1" s="1"/>
  <c r="T130" i="1"/>
  <c r="U130" i="1" s="1"/>
  <c r="S130" i="1" s="1"/>
  <c r="T126" i="1"/>
  <c r="U126" i="1" s="1"/>
  <c r="S126" i="1" s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3" i="1"/>
  <c r="U83" i="1" s="1"/>
  <c r="S83" i="1" s="1"/>
  <c r="W81" i="1"/>
  <c r="T75" i="1"/>
  <c r="U75" i="1" s="1"/>
  <c r="S75" i="1" s="1"/>
  <c r="W73" i="1"/>
  <c r="X63" i="1"/>
  <c r="T63" i="1"/>
  <c r="U63" i="1" s="1"/>
  <c r="S63" i="1" s="1"/>
  <c r="W61" i="1"/>
  <c r="W60" i="1"/>
  <c r="X58" i="1"/>
  <c r="X55" i="1"/>
  <c r="T55" i="1"/>
  <c r="U55" i="1" s="1"/>
  <c r="S55" i="1" s="1"/>
  <c r="W53" i="1"/>
  <c r="W51" i="1"/>
  <c r="W49" i="1"/>
  <c r="W47" i="1"/>
  <c r="W45" i="1"/>
  <c r="W43" i="1"/>
  <c r="W38" i="1"/>
  <c r="W37" i="1"/>
  <c r="X40" i="1"/>
  <c r="T40" i="1"/>
  <c r="U40" i="1" s="1"/>
  <c r="S40" i="1" s="1"/>
  <c r="W36" i="1"/>
  <c r="T35" i="1"/>
  <c r="U35" i="1" s="1"/>
  <c r="S35" i="1" s="1"/>
  <c r="X35" i="1"/>
  <c r="X42" i="1"/>
  <c r="T42" i="1"/>
  <c r="U42" i="1" s="1"/>
  <c r="S42" i="1" s="1"/>
  <c r="X41" i="1"/>
  <c r="W39" i="1"/>
  <c r="T36" i="1"/>
  <c r="U36" i="1" s="1"/>
  <c r="S36" i="1" s="1"/>
  <c r="X36" i="1"/>
  <c r="W41" i="1"/>
  <c r="T37" i="1"/>
  <c r="U37" i="1" s="1"/>
  <c r="S37" i="1" s="1"/>
  <c r="X37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19" i="1"/>
  <c r="W18" i="1"/>
  <c r="W17" i="1"/>
  <c r="W16" i="1"/>
  <c r="W15" i="1"/>
  <c r="W14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X15" i="1"/>
  <c r="T14" i="1"/>
  <c r="U14" i="1" s="1"/>
  <c r="S14" i="1" s="1"/>
  <c r="T12" i="3"/>
  <c r="AC22" i="3"/>
  <c r="AD17" i="3"/>
  <c r="T18" i="3"/>
  <c r="AC19" i="3"/>
  <c r="AD13" i="3"/>
  <c r="AD15" i="3"/>
  <c r="AD12" i="3"/>
  <c r="AD9" i="3"/>
  <c r="AE15" i="3"/>
  <c r="AD8" i="3"/>
  <c r="AC7" i="3"/>
  <c r="AC8" i="3"/>
  <c r="Y8" i="3"/>
  <c r="Y11" i="3"/>
  <c r="Y14" i="3"/>
  <c r="Y7" i="3"/>
  <c r="Y22" i="3"/>
  <c r="Y18" i="3"/>
  <c r="Y15" i="3"/>
  <c r="Y16" i="3"/>
  <c r="Y17" i="3"/>
  <c r="Y9" i="3"/>
  <c r="Y23" i="3"/>
  <c r="Y12" i="3"/>
  <c r="Y20" i="3"/>
  <c r="Y13" i="3"/>
  <c r="Y19" i="3"/>
  <c r="Y21" i="3"/>
  <c r="Y10" i="3"/>
  <c r="AE14" i="3"/>
  <c r="T9" i="3"/>
  <c r="AE10" i="3"/>
  <c r="T23" i="3"/>
  <c r="AE23" i="3"/>
  <c r="T15" i="3"/>
  <c r="T20" i="3"/>
  <c r="AD23" i="3"/>
  <c r="T13" i="3"/>
  <c r="AD20" i="3"/>
  <c r="AE19" i="3"/>
  <c r="AD16" i="3"/>
  <c r="T19" i="3"/>
  <c r="AD14" i="3"/>
  <c r="AE13" i="3"/>
  <c r="T21" i="3"/>
  <c r="AD10" i="3"/>
  <c r="AE9" i="3"/>
  <c r="T10" i="3"/>
  <c r="AE20" i="3"/>
  <c r="T16" i="3"/>
  <c r="AE16" i="3"/>
  <c r="T17" i="3"/>
  <c r="AE22" i="3"/>
  <c r="AE18" i="3"/>
  <c r="AE12" i="3"/>
  <c r="AE8" i="3"/>
  <c r="S24" i="3"/>
  <c r="M24" i="3"/>
  <c r="R24" i="3"/>
  <c r="U24" i="3"/>
  <c r="AC24" i="3" s="1"/>
  <c r="V24" i="3"/>
  <c r="X24" i="3"/>
  <c r="W24" i="3"/>
  <c r="AE24" i="3" l="1"/>
  <c r="AD24" i="3"/>
  <c r="T24" i="3"/>
  <c r="Y24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N20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11" i="3" s="1"/>
  <c r="G18" i="4"/>
  <c r="G19" i="4"/>
  <c r="G20" i="4"/>
  <c r="G21" i="4"/>
  <c r="G22" i="4"/>
  <c r="G23" i="4"/>
  <c r="G24" i="4"/>
  <c r="G25" i="4"/>
  <c r="G26" i="4"/>
  <c r="G27" i="4"/>
  <c r="G28" i="4"/>
  <c r="G29" i="4"/>
  <c r="N10" i="3" s="1"/>
  <c r="G30" i="4"/>
  <c r="G31" i="4"/>
  <c r="G32" i="4"/>
  <c r="G33" i="4"/>
  <c r="G34" i="4"/>
  <c r="G35" i="4"/>
  <c r="G36" i="4"/>
  <c r="G37" i="4"/>
  <c r="G38" i="4"/>
  <c r="N23" i="3" s="1"/>
  <c r="G39" i="4"/>
  <c r="G40" i="4"/>
  <c r="G41" i="4"/>
  <c r="G42" i="4"/>
  <c r="G43" i="4"/>
  <c r="N14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24" i="3" s="1"/>
  <c r="G61" i="4"/>
  <c r="G62" i="4"/>
  <c r="G63" i="4"/>
  <c r="G64" i="4"/>
  <c r="G65" i="4"/>
  <c r="G66" i="4"/>
  <c r="G67" i="4"/>
  <c r="N21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9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8" i="3" s="1"/>
  <c r="G104" i="4"/>
  <c r="G105" i="4"/>
  <c r="G106" i="4"/>
  <c r="G107" i="4"/>
  <c r="N19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22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16" i="3" s="1"/>
  <c r="G185" i="4"/>
  <c r="G186" i="4"/>
  <c r="G187" i="4"/>
  <c r="G188" i="4"/>
  <c r="G189" i="4"/>
  <c r="G190" i="4"/>
  <c r="G191" i="4"/>
  <c r="G192" i="4"/>
  <c r="G193" i="4"/>
  <c r="G194" i="4"/>
  <c r="G195" i="4"/>
  <c r="G196" i="4"/>
  <c r="N12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13" i="3"/>
  <c r="N15" i="3"/>
  <c r="N18" i="3"/>
  <c r="N1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<sst xmlns="http://schemas.openxmlformats.org/spreadsheetml/2006/main" count="2725" uniqueCount="1094">
  <si>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</si>
  <si>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</si>
  <si>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</si>
  <si>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</si>
  <si>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</si>
  <si>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</si>
  <si>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</si>
  <si>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</si>
  <si>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</si>
  <si>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</si>
  <si>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</si>
  <si>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</si>
  <si>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</si>
  <si>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</si>
  <si>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</si>
  <si>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</si>
  <si>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</si>
  <si>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</si>
  <si>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</si>
  <si>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</si>
  <si>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</si>
  <si>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</si>
  <si>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</si>
  <si>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</si>
  <si>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</si>
  <si>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</si>
  <si>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</si>
  <si>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</si>
  <si>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</si>
  <si>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</si>
  <si>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</si>
  <si>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</si>
  <si>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</si>
  <si>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</si>
  <si>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</si>
  <si>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</si>
  <si>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</si>
  <si>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</si>
  <si>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</si>
  <si>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</si>
  <si>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</si>
  <si>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</si>
  <si>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</si>
  <si>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</si>
  <si>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</si>
  <si>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</si>
  <si>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</si>
  <si>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</si>
  <si>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</si>
  <si>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</si>
  <si>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</si>
  <si>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</si>
  <si>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</si>
  <si>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</si>
  <si>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</si>
  <si>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</si>
  <si>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</si>
  <si>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</si>
  <si>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</si>
  <si>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</si>
  <si>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</si>
  <si>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</si>
  <si>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</si>
  <si>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</si>
  <si>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</si>
  <si>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</si>
  <si>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</si>
  <si>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</si>
  <si>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</si>
  <si>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</si>
  <si>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</si>
  <si>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</si>
  <si>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</si>
  <si>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</si>
  <si>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</si>
  <si>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</si>
  <si>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</si>
  <si>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</si>
  <si>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</si>
  <si>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</si>
  <si>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</si>
  <si>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</si>
  <si>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</si>
  <si>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</si>
  <si>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</si>
  <si>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</si>
  <si>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</si>
  <si>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</si>
  <si>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</si>
  <si>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</si>
  <si>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</si>
  <si>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</si>
  <si>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</si>
  <si>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</si>
  <si>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</si>
  <si>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</si>
  <si>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</si>
  <si>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</si>
  <si>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</si>
  <si>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</si>
  <si>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</si>
  <si>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</si>
  <si>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</si>
  <si>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</si>
  <si>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</si>
  <si>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</si>
  <si>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</si>
  <si>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</si>
  <si>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</si>
  <si>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</si>
  <si>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</si>
  <si>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</si>
  <si>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</si>
  <si>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</si>
  <si>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</si>
  <si>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</si>
  <si>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</si>
  <si>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</si>
  <si>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</si>
  <si>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</si>
  <si>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</si>
  <si>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</si>
  <si>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</si>
  <si>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</si>
  <si>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</si>
  <si>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</si>
  <si>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</si>
  <si>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</si>
  <si>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</si>
  <si>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</si>
  <si>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</si>
  <si>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</si>
  <si>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</si>
  <si>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</si>
  <si>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</si>
  <si>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</si>
  <si>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</si>
  <si>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</si>
  <si>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</si>
  <si>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</si>
  <si>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</si>
  <si>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</si>
  <si>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</si>
  <si>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</si>
  <si>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</si>
  <si>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</si>
  <si>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</si>
  <si>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</si>
  <si>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</si>
  <si>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</si>
  <si>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</si>
  <si>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</si>
  <si>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</si>
  <si>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</si>
  <si>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</si>
  <si>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</si>
  <si>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</si>
  <si>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</si>
  <si>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</si>
  <si>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</si>
  <si>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</si>
  <si>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</si>
  <si>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</si>
  <si>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</si>
  <si>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</si>
  <si>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</si>
  <si>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</si>
  <si>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</si>
  <si>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</si>
  <si>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</si>
  <si>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</si>
  <si>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</si>
  <si>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</si>
  <si>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</si>
  <si>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</si>
  <si>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</si>
  <si>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</si>
  <si>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</si>
  <si>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</si>
  <si>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</si>
  <si>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</si>
  <si>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</si>
  <si>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</si>
  <si>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</si>
  <si>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</si>
  <si>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</si>
  <si>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</si>
  <si>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</si>
  <si>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</si>
  <si>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</si>
  <si>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</si>
  <si>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</si>
  <si>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</si>
  <si>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</si>
  <si>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</si>
  <si>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</si>
  <si>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</si>
  <si>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</si>
  <si>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</si>
  <si>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</si>
  <si>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</si>
  <si>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</si>
  <si>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</si>
  <si>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</si>
  <si>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</si>
  <si>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</si>
  <si>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</si>
  <si>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</si>
  <si>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</si>
  <si>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</si>
  <si>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</si>
  <si>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</si>
  <si>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</si>
  <si>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</si>
  <si>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</si>
  <si>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</si>
  <si>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</si>
  <si>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</si>
  <si>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</si>
  <si>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</si>
  <si>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</si>
  <si>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</si>
  <si>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</si>
  <si>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</si>
  <si>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</si>
  <si>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</si>
  <si>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</si>
  <si>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</si>
  <si>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</si>
  <si>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</si>
  <si>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</si>
  <si>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</si>
  <si>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</si>
  <si>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</si>
  <si>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</si>
  <si>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</si>
  <si>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</si>
  <si>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</si>
  <si>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</si>
  <si>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</si>
  <si>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</si>
  <si>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</si>
  <si>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</si>
  <si>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</si>
  <si>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</si>
  <si>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</si>
  <si>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</si>
  <si>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</si>
  <si>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</si>
  <si>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</si>
  <si>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</si>
  <si>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</si>
  <si>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</si>
  <si>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</si>
  <si>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</si>
  <si>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</si>
  <si>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</si>
  <si>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</si>
  <si>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</si>
  <si>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</si>
  <si>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</si>
  <si>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</si>
  <si>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</si>
  <si>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</si>
  <si>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</si>
  <si>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</si>
  <si>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</si>
  <si>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</si>
  <si>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</si>
  <si>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</si>
  <si>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</si>
  <si>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</si>
  <si>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</si>
  <si>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</si>
  <si>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</si>
  <si>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</si>
  <si>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</si>
  <si>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</si>
  <si>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</si>
  <si>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</si>
  <si>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</si>
  <si>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</si>
  <si>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</si>
  <si>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</si>
  <si>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</si>
  <si>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</si>
  <si>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</si>
  <si>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</si>
  <si>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</si>
  <si>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</si>
  <si>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</si>
  <si>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</si>
  <si>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</si>
  <si>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</si>
  <si>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</si>
  <si>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</si>
  <si>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</si>
  <si>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</si>
  <si>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</si>
  <si>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</si>
  <si>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</si>
  <si>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</si>
  <si>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</si>
  <si>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</si>
  <si>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</si>
  <si>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</si>
  <si>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</si>
  <si>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</si>
  <si>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</si>
  <si>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</si>
  <si>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</si>
  <si>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</si>
  <si>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</si>
  <si>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</si>
  <si>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</si>
  <si>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</si>
  <si>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</si>
  <si>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</si>
  <si>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</si>
  <si>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</si>
  <si>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</si>
  <si>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</si>
  <si>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</si>
  <si>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</si>
  <si>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</si>
  <si>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</si>
  <si>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</si>
  <si>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</si>
  <si>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</si>
  <si>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</si>
  <si>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</si>
  <si>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</si>
  <si>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</si>
  <si>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</si>
  <si>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</si>
  <si>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</si>
  <si>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</si>
  <si>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</si>
  <si>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</si>
  <si>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</si>
  <si>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</si>
  <si>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</si>
  <si>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</si>
  <si>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</si>
  <si>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</si>
  <si>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</si>
  <si>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</si>
  <si>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</si>
  <si>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</si>
  <si>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</si>
  <si>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</si>
  <si>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</si>
  <si>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</si>
  <si>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</si>
  <si>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</si>
  <si>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</si>
  <si>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</si>
  <si>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</si>
  <si>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</si>
  <si>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</si>
  <si>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</si>
  <si>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</si>
  <si>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</si>
  <si>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</si>
  <si>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</si>
  <si>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</si>
  <si>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</si>
  <si>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</si>
  <si>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</si>
  <si>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</si>
  <si>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</si>
  <si>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</si>
  <si>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</si>
  <si>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</si>
  <si>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</si>
  <si>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</si>
  <si>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</si>
  <si>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</si>
  <si>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</si>
  <si>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</si>
  <si>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</si>
  <si>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</si>
  <si>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</si>
  <si>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</si>
  <si>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</si>
  <si>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</si>
  <si>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</si>
  <si>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</si>
  <si>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</si>
  <si>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</si>
  <si>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</si>
  <si>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</si>
  <si>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</si>
  <si>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</si>
  <si>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</si>
  <si>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</si>
  <si>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</si>
  <si>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</si>
  <si>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</si>
  <si>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</si>
  <si>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</si>
  <si>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</si>
  <si>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</si>
  <si>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</si>
  <si>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</si>
  <si>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</si>
  <si>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</si>
  <si>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</si>
  <si>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</si>
  <si>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</si>
  <si>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</si>
  <si>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</si>
  <si>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</si>
  <si>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</si>
  <si>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</si>
  <si>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</si>
  <si>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</si>
  <si>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</si>
  <si>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</si>
  <si>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</si>
  <si>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</si>
  <si>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</si>
  <si>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</si>
  <si>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</si>
  <si>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</si>
  <si>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</si>
  <si>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</si>
  <si>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</si>
  <si>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</si>
  <si>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</si>
  <si>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</si>
  <si>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</si>
  <si>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</si>
  <si>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</si>
  <si>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</si>
  <si>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</si>
  <si>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</si>
  <si>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</si>
  <si>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</si>
  <si>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</si>
  <si>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</si>
  <si>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</si>
  <si>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</si>
  <si>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</si>
  <si>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</si>
  <si>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</si>
  <si>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</si>
  <si>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</si>
  <si>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</si>
  <si>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</si>
  <si>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</si>
  <si>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</si>
  <si>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</si>
  <si>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</si>
  <si>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</si>
  <si>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</si>
  <si>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</si>
  <si>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</si>
  <si>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</si>
  <si>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</si>
  <si>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</si>
  <si>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</si>
  <si>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</si>
  <si>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</si>
  <si>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</si>
  <si>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</si>
  <si>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204:502</t>
  </si>
  <si>
    <t>204:196</t>
  </si>
  <si>
    <t>Wi-MAX data drop</t>
  </si>
  <si>
    <t>HAMMOND</t>
  </si>
  <si>
    <t>JUSTYNN</t>
  </si>
  <si>
    <t>309-17</t>
  </si>
  <si>
    <t>311-17</t>
  </si>
  <si>
    <t>313-17</t>
  </si>
  <si>
    <t>204:515</t>
  </si>
  <si>
    <t>rtdc.l.rtdc.4056:itc</t>
  </si>
  <si>
    <t>rtdc.l.rtdc.4054:itc</t>
  </si>
  <si>
    <t>rtdc.l.rtdc.4053:itc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</si>
  <si>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</si>
  <si>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</si>
  <si>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</si>
  <si>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</si>
  <si>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</si>
  <si>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</si>
  <si>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</si>
  <si>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</si>
  <si>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</si>
  <si>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</si>
  <si>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</si>
  <si>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204:225</t>
  </si>
  <si>
    <t>rtdc.l.rtdc.4015:itc</t>
  </si>
  <si>
    <t>rtdc.l.rtdc.4006:itc</t>
  </si>
  <si>
    <t>rtdc.l.rtdc.4016:itc</t>
  </si>
  <si>
    <t>rtdc.l.rtdc.4005:itc</t>
  </si>
  <si>
    <t>244-22</t>
  </si>
  <si>
    <t>309-22</t>
  </si>
  <si>
    <t>311-22</t>
  </si>
  <si>
    <t>clear-day</t>
  </si>
  <si>
    <t>204:513</t>
  </si>
  <si>
    <t>204:442</t>
  </si>
  <si>
    <t>204:233270</t>
  </si>
  <si>
    <t>204:191</t>
  </si>
  <si>
    <t>204:520</t>
  </si>
  <si>
    <t>204:189</t>
  </si>
  <si>
    <t>rtdc.l.rtdc.4009:itc</t>
  </si>
  <si>
    <t>LESTER</t>
  </si>
  <si>
    <t>LAMAR</t>
  </si>
  <si>
    <t>NEKESHA</t>
  </si>
  <si>
    <t>DELGADO</t>
  </si>
  <si>
    <t>DIANAH</t>
  </si>
  <si>
    <t>204:233297</t>
  </si>
  <si>
    <t>204:201</t>
  </si>
  <si>
    <t>204:458</t>
  </si>
  <si>
    <t>204:511</t>
  </si>
  <si>
    <t>204:508</t>
  </si>
  <si>
    <t>rtdc.l.rtdc.4044:itc</t>
  </si>
  <si>
    <t>rtdc.l.rtdc.4043:itc</t>
  </si>
  <si>
    <t>204:233257</t>
  </si>
  <si>
    <t>204:220</t>
  </si>
  <si>
    <t>204:194</t>
  </si>
  <si>
    <t>DAVIS</t>
  </si>
  <si>
    <t>204:198</t>
  </si>
  <si>
    <t>204:517</t>
  </si>
  <si>
    <t>204:457</t>
  </si>
  <si>
    <t>204:462</t>
  </si>
  <si>
    <t>204:221</t>
  </si>
  <si>
    <t>204:233314</t>
  </si>
  <si>
    <t>204:183</t>
  </si>
  <si>
    <t>204:232984</t>
  </si>
  <si>
    <t>204:232991</t>
  </si>
  <si>
    <t>204:233261</t>
  </si>
  <si>
    <t>204:150</t>
  </si>
  <si>
    <t>rtdc.l.rtdc.4021:itc</t>
  </si>
  <si>
    <t>204:158</t>
  </si>
  <si>
    <t>204:504</t>
  </si>
  <si>
    <t>204:233295</t>
  </si>
  <si>
    <t>204:232953</t>
  </si>
  <si>
    <t>204:233308</t>
  </si>
  <si>
    <t>204:192</t>
  </si>
  <si>
    <t>204:482</t>
  </si>
  <si>
    <t>204:233221</t>
  </si>
  <si>
    <t>204:232938</t>
  </si>
  <si>
    <t>204:155</t>
  </si>
  <si>
    <t>204:564</t>
  </si>
  <si>
    <t>204:233293</t>
  </si>
  <si>
    <t>204:160</t>
  </si>
  <si>
    <t>204:232959</t>
  </si>
  <si>
    <t>TRACK WARRANT AUTHORITY</t>
  </si>
  <si>
    <t>Form based authority (4)</t>
  </si>
  <si>
    <t>rtdc.l.rtdc.4058:itc</t>
  </si>
  <si>
    <t>STEWART</t>
  </si>
  <si>
    <t>DAVID</t>
  </si>
  <si>
    <t>204:232986</t>
  </si>
  <si>
    <t>204:232996</t>
  </si>
  <si>
    <t>204:145</t>
  </si>
  <si>
    <t>204:233289</t>
  </si>
  <si>
    <t>204:451</t>
  </si>
  <si>
    <t>204:233266</t>
  </si>
  <si>
    <t>204:232961</t>
  </si>
  <si>
    <t>204:522</t>
  </si>
  <si>
    <t>204:497</t>
  </si>
  <si>
    <t>204:232973</t>
  </si>
  <si>
    <t>204:181</t>
  </si>
  <si>
    <t>204:449</t>
  </si>
  <si>
    <t>204:200</t>
  </si>
  <si>
    <t>204:233307</t>
  </si>
  <si>
    <t>204:232936</t>
  </si>
  <si>
    <t>204:233274</t>
  </si>
  <si>
    <t>204:232964</t>
  </si>
  <si>
    <t>204:242</t>
  </si>
  <si>
    <t>204:448</t>
  </si>
  <si>
    <t>204:441</t>
  </si>
  <si>
    <t>300:58937</t>
  </si>
  <si>
    <t>204:138</t>
  </si>
  <si>
    <t>204:435</t>
  </si>
  <si>
    <t>204:144</t>
  </si>
  <si>
    <t>204:540</t>
  </si>
  <si>
    <t>204:484</t>
  </si>
  <si>
    <t>204:233278</t>
  </si>
  <si>
    <t>204:232948</t>
  </si>
  <si>
    <t>204:232947</t>
  </si>
  <si>
    <t>204:232884</t>
  </si>
  <si>
    <t>204:557</t>
  </si>
  <si>
    <t>204:232943</t>
  </si>
  <si>
    <t>204:232909</t>
  </si>
  <si>
    <t>300:23299</t>
  </si>
  <si>
    <t>300:23314</t>
  </si>
  <si>
    <t>204:154</t>
  </si>
  <si>
    <t>300:23302</t>
  </si>
  <si>
    <t>204:169</t>
  </si>
  <si>
    <t>204:126</t>
  </si>
  <si>
    <t>311-18</t>
  </si>
  <si>
    <t>SPECTOR</t>
  </si>
  <si>
    <t>DAVIDSON</t>
  </si>
  <si>
    <t>MACDONALD</t>
  </si>
  <si>
    <t>THOMAS</t>
  </si>
  <si>
    <t>YANAI</t>
  </si>
  <si>
    <t>IAN</t>
  </si>
  <si>
    <t>BIRENBAUM</t>
  </si>
  <si>
    <t>LEVERE</t>
  </si>
  <si>
    <t>CRAIG</t>
  </si>
  <si>
    <t>ROBINSON</t>
  </si>
  <si>
    <t>KADDIBA</t>
  </si>
  <si>
    <t>241-18</t>
  </si>
  <si>
    <t>243-18</t>
  </si>
  <si>
    <t>240-18</t>
  </si>
  <si>
    <t>313-18</t>
  </si>
  <si>
    <t>242-18</t>
  </si>
  <si>
    <t>307-18</t>
  </si>
  <si>
    <t>244-18</t>
  </si>
  <si>
    <t>309-18</t>
  </si>
  <si>
    <t>204:233245</t>
  </si>
  <si>
    <t>204:233312</t>
  </si>
  <si>
    <t>204:232998</t>
  </si>
  <si>
    <t>204:524</t>
  </si>
  <si>
    <t>204:214</t>
  </si>
  <si>
    <t>204:232983</t>
  </si>
  <si>
    <t>204:152</t>
  </si>
  <si>
    <t>204:231</t>
  </si>
  <si>
    <t>204:232977</t>
  </si>
  <si>
    <t>204:233282</t>
  </si>
  <si>
    <t>204:233306</t>
  </si>
  <si>
    <t>204:233240</t>
  </si>
  <si>
    <t>204:528</t>
  </si>
  <si>
    <t>204:539</t>
  </si>
  <si>
    <t>204:437</t>
  </si>
  <si>
    <t>204:495</t>
  </si>
  <si>
    <t>204:546</t>
  </si>
  <si>
    <t>204:233310</t>
  </si>
  <si>
    <t>204:172</t>
  </si>
  <si>
    <t>204:460</t>
  </si>
  <si>
    <t>204:232934</t>
  </si>
  <si>
    <t>204:232932</t>
  </si>
  <si>
    <t>204:243</t>
  </si>
  <si>
    <t>204:232940</t>
  </si>
  <si>
    <t>204:249</t>
  </si>
  <si>
    <t>204:233201</t>
  </si>
  <si>
    <t>204:252</t>
  </si>
  <si>
    <t>204:232969</t>
  </si>
  <si>
    <t>204:562</t>
  </si>
  <si>
    <t>204:232944</t>
  </si>
  <si>
    <t>204:233242</t>
  </si>
  <si>
    <t>204:233238</t>
  </si>
  <si>
    <t>204:232929</t>
  </si>
  <si>
    <t>204:260</t>
  </si>
  <si>
    <t>204:232957</t>
  </si>
  <si>
    <t>204:232928</t>
  </si>
  <si>
    <t>204:212</t>
  </si>
  <si>
    <t>204:233246</t>
  </si>
  <si>
    <t>204:531</t>
  </si>
  <si>
    <t>204:232976</t>
  </si>
  <si>
    <t>204:232949</t>
  </si>
  <si>
    <t>300:23304</t>
  </si>
  <si>
    <t>204:575</t>
  </si>
  <si>
    <t>300:23308</t>
  </si>
  <si>
    <t>204:588</t>
  </si>
  <si>
    <t>300:58920</t>
  </si>
  <si>
    <t>300:58935</t>
  </si>
  <si>
    <t>300:58615</t>
  </si>
  <si>
    <t>300:58613</t>
  </si>
  <si>
    <t>204:135</t>
  </si>
  <si>
    <t>300:58926</t>
  </si>
  <si>
    <t>300:58929</t>
  </si>
  <si>
    <t>300:58621</t>
  </si>
  <si>
    <t>300:58606</t>
  </si>
  <si>
    <t>300:58656</t>
  </si>
  <si>
    <t>204:133</t>
  </si>
  <si>
    <t>204:439</t>
  </si>
  <si>
    <t>300:58623</t>
  </si>
  <si>
    <t>300:58933</t>
  </si>
  <si>
    <t>300:58617</t>
  </si>
  <si>
    <t>204:164</t>
  </si>
  <si>
    <t>300:58928</t>
  </si>
  <si>
    <t>300:58941</t>
  </si>
  <si>
    <t>300-19</t>
  </si>
  <si>
    <t>105-19</t>
  </si>
  <si>
    <t>108-19</t>
  </si>
  <si>
    <t>119-19</t>
  </si>
  <si>
    <t>rtdc.l.rtdc.4031:itc</t>
  </si>
  <si>
    <t>118-19</t>
  </si>
  <si>
    <t>808-19</t>
  </si>
  <si>
    <t>139-19</t>
  </si>
  <si>
    <t>147-19</t>
  </si>
  <si>
    <t>817-19</t>
  </si>
  <si>
    <t>160-19</t>
  </si>
  <si>
    <t>rtdc.l.rtdc.4064:itc</t>
  </si>
  <si>
    <t>169-19</t>
  </si>
  <si>
    <t>191-19</t>
  </si>
  <si>
    <t>195-19</t>
  </si>
  <si>
    <t>rtdc.l.rtdc.4027:itc</t>
  </si>
  <si>
    <t>208-19</t>
  </si>
  <si>
    <t>214-19</t>
  </si>
  <si>
    <t>222-19</t>
  </si>
  <si>
    <t>230-19</t>
  </si>
  <si>
    <t>241-19</t>
  </si>
  <si>
    <t>244-19</t>
  </si>
  <si>
    <t>Early Arrival</t>
  </si>
  <si>
    <t>51-19</t>
  </si>
  <si>
    <t>101-19</t>
  </si>
  <si>
    <t>rtdc.l.rtdc.4039:itc</t>
  </si>
  <si>
    <t>302-19</t>
  </si>
  <si>
    <t>ACKERMAN</t>
  </si>
  <si>
    <t>JARED</t>
  </si>
  <si>
    <t>52-19</t>
  </si>
  <si>
    <t>rtdc.l.rtdc.4040:itc</t>
  </si>
  <si>
    <t>103-19</t>
  </si>
  <si>
    <t>102-19</t>
  </si>
  <si>
    <t>304-19</t>
  </si>
  <si>
    <t>306-19</t>
  </si>
  <si>
    <t>107-19</t>
  </si>
  <si>
    <t>MAINTENANCE</t>
  </si>
  <si>
    <t>VEHICLE</t>
  </si>
  <si>
    <t>308-19</t>
  </si>
  <si>
    <t>104-19</t>
  </si>
  <si>
    <t>109-19</t>
  </si>
  <si>
    <t>rtdc.l.rtdc.4063:itc</t>
  </si>
  <si>
    <t>310-19</t>
  </si>
  <si>
    <t>901-19</t>
  </si>
  <si>
    <t>111-19</t>
  </si>
  <si>
    <t>rtdc.l.rtdc.4057:itc</t>
  </si>
  <si>
    <t>800-19</t>
  </si>
  <si>
    <t>113-19</t>
  </si>
  <si>
    <t>106-19</t>
  </si>
  <si>
    <t>312-19</t>
  </si>
  <si>
    <t>115-19</t>
  </si>
  <si>
    <t>rtdc.l.rtdc.4032:itc</t>
  </si>
  <si>
    <t>117-19</t>
  </si>
  <si>
    <t>801-19</t>
  </si>
  <si>
    <t>902-19</t>
  </si>
  <si>
    <t>FORTUNATO</t>
  </si>
  <si>
    <t>FRANK</t>
  </si>
  <si>
    <t>112-19</t>
  </si>
  <si>
    <t>110-19</t>
  </si>
  <si>
    <t>803-19</t>
  </si>
  <si>
    <t>114-19</t>
  </si>
  <si>
    <t>802-19</t>
  </si>
  <si>
    <t>121-19</t>
  </si>
  <si>
    <t>116-19</t>
  </si>
  <si>
    <t>123-19</t>
  </si>
  <si>
    <t>804-19</t>
  </si>
  <si>
    <t>805-19</t>
  </si>
  <si>
    <t>125-19</t>
  </si>
  <si>
    <t>120-19</t>
  </si>
  <si>
    <t>127-19</t>
  </si>
  <si>
    <t>122-19</t>
  </si>
  <si>
    <t>806-19</t>
  </si>
  <si>
    <t>807-19</t>
  </si>
  <si>
    <t>129-19</t>
  </si>
  <si>
    <t>126-19</t>
  </si>
  <si>
    <t>131-19</t>
  </si>
  <si>
    <t>124-19</t>
  </si>
  <si>
    <t>809-19</t>
  </si>
  <si>
    <t>128-19</t>
  </si>
  <si>
    <t>133-19</t>
  </si>
  <si>
    <t>135-19</t>
  </si>
  <si>
    <t>810-19</t>
  </si>
  <si>
    <t>811-19</t>
  </si>
  <si>
    <t>130-19</t>
  </si>
  <si>
    <t>137-19</t>
  </si>
  <si>
    <t>132-19</t>
  </si>
  <si>
    <t>812-19</t>
  </si>
  <si>
    <t>141-19</t>
  </si>
  <si>
    <t>136-19</t>
  </si>
  <si>
    <t>134-19</t>
  </si>
  <si>
    <t>143-19</t>
  </si>
  <si>
    <t>903-19</t>
  </si>
  <si>
    <t>813-19</t>
  </si>
  <si>
    <t>140-19</t>
  </si>
  <si>
    <t>138-19</t>
  </si>
  <si>
    <t>145-19</t>
  </si>
  <si>
    <t>142-19</t>
  </si>
  <si>
    <t>814-19</t>
  </si>
  <si>
    <t>149-19</t>
  </si>
  <si>
    <t>144-19</t>
  </si>
  <si>
    <t>151-19</t>
  </si>
  <si>
    <t>153-19</t>
  </si>
  <si>
    <t>815-19</t>
  </si>
  <si>
    <t>146-19</t>
  </si>
  <si>
    <t>155-19</t>
  </si>
  <si>
    <t>150-19</t>
  </si>
  <si>
    <t>148-19</t>
  </si>
  <si>
    <t>816-19</t>
  </si>
  <si>
    <t>152-19</t>
  </si>
  <si>
    <t>157-19</t>
  </si>
  <si>
    <t>154-19</t>
  </si>
  <si>
    <t>159-19</t>
  </si>
  <si>
    <t>156-19</t>
  </si>
  <si>
    <t>161-19</t>
  </si>
  <si>
    <t>163-19</t>
  </si>
  <si>
    <t>818-19</t>
  </si>
  <si>
    <t>165-19</t>
  </si>
  <si>
    <t>158-19</t>
  </si>
  <si>
    <t>162-19</t>
  </si>
  <si>
    <t>167-19</t>
  </si>
  <si>
    <t>819-19</t>
  </si>
  <si>
    <t>164-19</t>
  </si>
  <si>
    <t>171-19</t>
  </si>
  <si>
    <t>820-19</t>
  </si>
  <si>
    <t>166-19</t>
  </si>
  <si>
    <t>173-19</t>
  </si>
  <si>
    <t>168-19</t>
  </si>
  <si>
    <t>175-19</t>
  </si>
  <si>
    <t>170-19</t>
  </si>
  <si>
    <t>821-19</t>
  </si>
  <si>
    <t>177-19</t>
  </si>
  <si>
    <t>179-19</t>
  </si>
  <si>
    <t>172-19</t>
  </si>
  <si>
    <t>822-19</t>
  </si>
  <si>
    <t>174-19</t>
  </si>
  <si>
    <t>181-19</t>
  </si>
  <si>
    <t>176-19</t>
  </si>
  <si>
    <t>183-19</t>
  </si>
  <si>
    <t>823-19</t>
  </si>
  <si>
    <t>178-19</t>
  </si>
  <si>
    <t>185-19</t>
  </si>
  <si>
    <t>180-19</t>
  </si>
  <si>
    <t>187-19</t>
  </si>
  <si>
    <t>824-19</t>
  </si>
  <si>
    <t>182-19</t>
  </si>
  <si>
    <t>189-19</t>
  </si>
  <si>
    <t>184-19</t>
  </si>
  <si>
    <t>825-19</t>
  </si>
  <si>
    <t>193-19</t>
  </si>
  <si>
    <t>186-19</t>
  </si>
  <si>
    <t>188-19</t>
  </si>
  <si>
    <t>904-19</t>
  </si>
  <si>
    <t>190-19</t>
  </si>
  <si>
    <t>826-19</t>
  </si>
  <si>
    <t>827-19</t>
  </si>
  <si>
    <t>197-19</t>
  </si>
  <si>
    <t>192-19</t>
  </si>
  <si>
    <t>828-19</t>
  </si>
  <si>
    <t>199-19</t>
  </si>
  <si>
    <t>829-19</t>
  </si>
  <si>
    <t>194-19</t>
  </si>
  <si>
    <t>201-19</t>
  </si>
  <si>
    <t>75-19</t>
  </si>
  <si>
    <t>NEWELL</t>
  </si>
  <si>
    <t>196-19</t>
  </si>
  <si>
    <t>203-19</t>
  </si>
  <si>
    <t>830-19</t>
  </si>
  <si>
    <t>198-19</t>
  </si>
  <si>
    <t>831-19</t>
  </si>
  <si>
    <t>205-19</t>
  </si>
  <si>
    <t>88-19</t>
  </si>
  <si>
    <t>207-19</t>
  </si>
  <si>
    <t>832-19</t>
  </si>
  <si>
    <t>200-19</t>
  </si>
  <si>
    <t>202-19</t>
  </si>
  <si>
    <t>833-19</t>
  </si>
  <si>
    <t>209-19</t>
  </si>
  <si>
    <t>204-19</t>
  </si>
  <si>
    <t>834-19</t>
  </si>
  <si>
    <t>211-19</t>
  </si>
  <si>
    <t>835-19</t>
  </si>
  <si>
    <t>206-19</t>
  </si>
  <si>
    <t>213-19</t>
  </si>
  <si>
    <t>215-19</t>
  </si>
  <si>
    <t>76-19</t>
  </si>
  <si>
    <t>WEST</t>
  </si>
  <si>
    <t>BRYAN</t>
  </si>
  <si>
    <t>836-19</t>
  </si>
  <si>
    <t>837-19</t>
  </si>
  <si>
    <t>210-19</t>
  </si>
  <si>
    <t>217-19</t>
  </si>
  <si>
    <t>212-19</t>
  </si>
  <si>
    <t>838-19</t>
  </si>
  <si>
    <t>219-19</t>
  </si>
  <si>
    <t>ANDERS</t>
  </si>
  <si>
    <t>STEVEN</t>
  </si>
  <si>
    <t>839-19</t>
  </si>
  <si>
    <t>301-19</t>
  </si>
  <si>
    <t>216-19</t>
  </si>
  <si>
    <t>906-19</t>
  </si>
  <si>
    <t>221-19</t>
  </si>
  <si>
    <t>841-19</t>
  </si>
  <si>
    <t>218-19</t>
  </si>
  <si>
    <t>303-19</t>
  </si>
  <si>
    <t>220-19</t>
  </si>
  <si>
    <t>840-19</t>
  </si>
  <si>
    <t>223-19</t>
  </si>
  <si>
    <t>305-19</t>
  </si>
  <si>
    <t>225-19</t>
  </si>
  <si>
    <t>ZEWDU</t>
  </si>
  <si>
    <t>DEREJE</t>
  </si>
  <si>
    <t>843-19</t>
  </si>
  <si>
    <t>227-19</t>
  </si>
  <si>
    <t>842-19</t>
  </si>
  <si>
    <t>224-19</t>
  </si>
  <si>
    <t>226-19</t>
  </si>
  <si>
    <t>229-19</t>
  </si>
  <si>
    <t>845-19</t>
  </si>
  <si>
    <t>228-19</t>
  </si>
  <si>
    <t>844-19</t>
  </si>
  <si>
    <t>231-19</t>
  </si>
  <si>
    <t>233-19</t>
  </si>
  <si>
    <t>847-19</t>
  </si>
  <si>
    <t>232-19</t>
  </si>
  <si>
    <t>846-19</t>
  </si>
  <si>
    <t>235-19</t>
  </si>
  <si>
    <t>237-19</t>
  </si>
  <si>
    <t>234-19</t>
  </si>
  <si>
    <t>849-19</t>
  </si>
  <si>
    <t>239-19</t>
  </si>
  <si>
    <t>236-19</t>
  </si>
  <si>
    <t>908-19</t>
  </si>
  <si>
    <t>238-19</t>
  </si>
  <si>
    <t>243-19</t>
  </si>
  <si>
    <t>240-19</t>
  </si>
  <si>
    <t>313-19</t>
  </si>
  <si>
    <t>242-19</t>
  </si>
  <si>
    <t>307-19</t>
  </si>
  <si>
    <t>309-19</t>
  </si>
  <si>
    <t>311-19</t>
  </si>
  <si>
    <t>partly-cloudy-night</t>
  </si>
  <si>
    <t>Partly Cloudy</t>
  </si>
  <si>
    <t>204:673</t>
  </si>
  <si>
    <t>204:64704</t>
  </si>
  <si>
    <t>204:130</t>
  </si>
  <si>
    <t>204:477</t>
  </si>
  <si>
    <t>204:232978</t>
  </si>
  <si>
    <t>204:147</t>
  </si>
  <si>
    <t>204:216</t>
  </si>
  <si>
    <t>204:444</t>
  </si>
  <si>
    <t>204:233303</t>
  </si>
  <si>
    <t>204:233317</t>
  </si>
  <si>
    <t>204:211</t>
  </si>
  <si>
    <t>204:464</t>
  </si>
  <si>
    <t>204:233336</t>
  </si>
  <si>
    <t>204:149</t>
  </si>
  <si>
    <t>204:233230</t>
  </si>
  <si>
    <t>204:232979</t>
  </si>
  <si>
    <t>204:509</t>
  </si>
  <si>
    <t>204:467</t>
  </si>
  <si>
    <t>204:233002</t>
  </si>
  <si>
    <t>204:233311</t>
  </si>
  <si>
    <t>204:232967</t>
  </si>
  <si>
    <t>204:236</t>
  </si>
  <si>
    <t>204:447</t>
  </si>
  <si>
    <t>204:233321</t>
  </si>
  <si>
    <t>204:232994</t>
  </si>
  <si>
    <t>204:143</t>
  </si>
  <si>
    <t>204:232911</t>
  </si>
  <si>
    <t>204:234</t>
  </si>
  <si>
    <t>204:232972</t>
  </si>
  <si>
    <t>204:453</t>
  </si>
  <si>
    <t>204:233291</t>
  </si>
  <si>
    <t>204:232980</t>
  </si>
  <si>
    <t>204:548</t>
  </si>
  <si>
    <t>204:233225</t>
  </si>
  <si>
    <t>204:232902</t>
  </si>
  <si>
    <t>204:488</t>
  </si>
  <si>
    <t>204:233366</t>
  </si>
  <si>
    <t>204:233062</t>
  </si>
  <si>
    <t>204:19133</t>
  </si>
  <si>
    <t>204:233305</t>
  </si>
  <si>
    <t>204:446</t>
  </si>
  <si>
    <t>204:232945</t>
  </si>
  <si>
    <t>204:498</t>
  </si>
  <si>
    <t>204:233243</t>
  </si>
  <si>
    <t>204:232917</t>
  </si>
  <si>
    <t>204:263</t>
  </si>
  <si>
    <t>204:491</t>
  </si>
  <si>
    <t>204:233276</t>
  </si>
  <si>
    <t>204:232913</t>
  </si>
  <si>
    <t>204:238</t>
  </si>
  <si>
    <t>204:438</t>
  </si>
  <si>
    <t>204:233374</t>
  </si>
  <si>
    <t>204:207</t>
  </si>
  <si>
    <t>204:233253</t>
  </si>
  <si>
    <t>204:232923</t>
  </si>
  <si>
    <t>204:245</t>
  </si>
  <si>
    <t>204:240</t>
  </si>
  <si>
    <t>204:233259</t>
  </si>
  <si>
    <t>204:209</t>
  </si>
  <si>
    <t>204:233216</t>
  </si>
  <si>
    <t>204:232898</t>
  </si>
  <si>
    <t>204:232919</t>
  </si>
  <si>
    <t>204:553</t>
  </si>
  <si>
    <t>204:233247</t>
  </si>
  <si>
    <t>204:232930</t>
  </si>
  <si>
    <t>204:2009</t>
  </si>
  <si>
    <t>204:233219</t>
  </si>
  <si>
    <t>204:254</t>
  </si>
  <si>
    <t>204:233174</t>
  </si>
  <si>
    <t>204:1043</t>
  </si>
  <si>
    <t>204:233195</t>
  </si>
  <si>
    <t>204:232856</t>
  </si>
  <si>
    <t>204:233191</t>
  </si>
  <si>
    <t>204:232872</t>
  </si>
  <si>
    <t>204:232946</t>
  </si>
  <si>
    <t>204:549</t>
  </si>
  <si>
    <t>204:233193</t>
  </si>
  <si>
    <t>204:233227</t>
  </si>
  <si>
    <t>204:233182</t>
  </si>
  <si>
    <t>204:232863</t>
  </si>
  <si>
    <t>204:233327</t>
  </si>
  <si>
    <t>204:233025</t>
  </si>
  <si>
    <t>204:232</t>
  </si>
  <si>
    <t>204:597</t>
  </si>
  <si>
    <t>204:233232</t>
  </si>
  <si>
    <t>204:529</t>
  </si>
  <si>
    <t>204:64627</t>
  </si>
  <si>
    <t>204:233017</t>
  </si>
  <si>
    <t>204:110361</t>
  </si>
  <si>
    <t>204:64161</t>
  </si>
  <si>
    <t>204:1361</t>
  </si>
  <si>
    <t>300:23394</t>
  </si>
  <si>
    <t>300:23478</t>
  </si>
  <si>
    <t>204:167</t>
  </si>
  <si>
    <t>204:555</t>
  </si>
  <si>
    <t>300:22965</t>
  </si>
  <si>
    <t>300:22408</t>
  </si>
  <si>
    <t>300:23728</t>
  </si>
  <si>
    <t>300:23048</t>
  </si>
  <si>
    <t>204:579</t>
  </si>
  <si>
    <t>300:23295</t>
  </si>
  <si>
    <t>204:415</t>
  </si>
  <si>
    <t>204:3576</t>
  </si>
  <si>
    <t>204:3241</t>
  </si>
  <si>
    <t>204:1188</t>
  </si>
  <si>
    <t>204:1494</t>
  </si>
  <si>
    <t>300:23312</t>
  </si>
  <si>
    <t>300:23561</t>
  </si>
  <si>
    <t>204:1298</t>
  </si>
  <si>
    <t>300:58624</t>
  </si>
  <si>
    <t>300:58609</t>
  </si>
  <si>
    <t>300:58984</t>
  </si>
  <si>
    <t>300:58677</t>
  </si>
  <si>
    <t>204:4533</t>
  </si>
  <si>
    <t>204:120</t>
  </si>
  <si>
    <t>300:58976</t>
  </si>
  <si>
    <t>300:58664</t>
  </si>
  <si>
    <t>204:470</t>
  </si>
  <si>
    <t>204:4565</t>
  </si>
  <si>
    <t>300:58982</t>
  </si>
  <si>
    <t>300:58662</t>
  </si>
  <si>
    <t>204:137</t>
  </si>
  <si>
    <t>300:58990</t>
  </si>
  <si>
    <t>300:58675</t>
  </si>
  <si>
    <t>300:58971</t>
  </si>
  <si>
    <t>204:151</t>
  </si>
  <si>
    <t>300:59003</t>
  </si>
  <si>
    <t>300:58688</t>
  </si>
  <si>
    <t>204:204</t>
  </si>
  <si>
    <t>204:162</t>
  </si>
  <si>
    <t>300:59014</t>
  </si>
  <si>
    <t>204:428</t>
  </si>
  <si>
    <t>300:58636</t>
  </si>
  <si>
    <t>300:58931</t>
  </si>
  <si>
    <t>204:148</t>
  </si>
  <si>
    <t>300:58666</t>
  </si>
  <si>
    <t>300:58596</t>
  </si>
  <si>
    <t>300:58918</t>
  </si>
  <si>
    <t>204:1156</t>
  </si>
  <si>
    <t>204:3532</t>
  </si>
  <si>
    <t>204:1196</t>
  </si>
  <si>
    <t>204:3221</t>
  </si>
  <si>
    <t>300:30366</t>
  </si>
  <si>
    <t>300:23800</t>
  </si>
  <si>
    <t>204:1155</t>
  </si>
  <si>
    <t>300:23656</t>
  </si>
  <si>
    <t>204:142</t>
  </si>
  <si>
    <t>300:58594</t>
  </si>
  <si>
    <t>300:28793</t>
  </si>
  <si>
    <t>start /low /b %USERPROFILE%\Documents\GitHub\eaglep3\Utilities\DownloadLogsFromS3.py --loco 4040 --day 2017-12-19</t>
  </si>
  <si>
    <t>start /low /b %USERPROFILE%\Documents\GitHub\eaglep3\Utilities\DownloadLogsFromS3.py --loco 4028 --day 2017-12-19</t>
  </si>
  <si>
    <t>start /low /b %USERPROFILE%\Documents\GitHub\eaglep3\Utilities\DownloadLogsFromS3.py --loco 4018 --day 2017-12-20</t>
  </si>
  <si>
    <t>start /low /b %USERPROFILE%\Documents\GitHub\eaglep3\Utilities\DownloadLogsFromS3.py --loco 4013 --day 2017-12-20</t>
  </si>
  <si>
    <t>start /low /b %USERPROFILE%\Documents\GitHub\eaglep3\Utilities\DownloadLogsFromS3.py --loco 4053 --day 2017-12-19</t>
  </si>
  <si>
    <t>start /low /b %USERPROFILE%\Documents\GitHub\eaglep3\Utilities\DownloadLogsFromS3.py --loco 4058 --day 2017-12-19</t>
  </si>
  <si>
    <t>start /low /b %USERPROFILE%\Documents\GitHub\eaglep3\Utilities\DownloadLogsFromS3.py --loco 4055 --day 2017-12-20</t>
  </si>
  <si>
    <t>start /low /b %USERPROFILE%\Documents\GitHub\eaglep3\Utilities\DownloadLogsFromS3.py --loco 4031 --day 2017-12-19</t>
  </si>
  <si>
    <t>start /low /b %USERPROFILE%\Documents\GitHub\eaglep3\Utilities\DownloadLogsFromS3.py --loco 4018 --day 2017-12-19</t>
  </si>
  <si>
    <t>start /low /b %USERPROFILE%\Documents\GitHub\eaglep3\Utilities\DownloadLogsFromS3.py --loco 4013 --day 2017-12-19</t>
  </si>
  <si>
    <t>start /low /b %USERPROFILE%\Documents\GitHub\eaglep3\Utilities\DownloadLogsFromS3.py --loco 4059 --day 2017-12-20</t>
  </si>
  <si>
    <t>start /low /b %USERPROFILE%\Documents\GitHub\eaglep3\Utilities\DownloadLogsFromS3.py --loco 4014 --day 2017-12-19</t>
  </si>
  <si>
    <t>start /low /b %USERPROFILE%\Documents\GitHub\eaglep3\Utilities\DownloadLogsFromS3.py --loco 4064 --day 2017-12-19</t>
  </si>
  <si>
    <t>start /low /b %USERPROFILE%\Documents\GitHub\eaglep3\Utilities\DownloadLogsFromS3.py --loco 4056 --day 2017-12-19</t>
  </si>
  <si>
    <t>Poor GPS @ DUS</t>
  </si>
  <si>
    <t>:.+((SYSTEM_STATE.+slice.+state.+changed )|(ment ac)|(multiple cpu faults)|(system.+state.+changed )|(\[timeout)|(PRM\|1\|D)|(kpr)|(kdp)|(train st.+moving)|(\|gpps)|(penalty))</t>
  </si>
  <si>
    <t>Observed poor GPS @ DUS</t>
  </si>
  <si>
    <t>Minor Onboard in-route failure prevented track selection</t>
  </si>
  <si>
    <t>204:280</t>
  </si>
  <si>
    <t>204:232859</t>
  </si>
  <si>
    <t>204:233329</t>
  </si>
  <si>
    <t>300:58707</t>
  </si>
  <si>
    <t>300:58939</t>
  </si>
  <si>
    <t>204:157</t>
  </si>
  <si>
    <t>204:424</t>
  </si>
  <si>
    <t>Premature downgrade at EC0629XH 57-1T 1N</t>
  </si>
  <si>
    <t>Observed poor GPS @ Wewatta</t>
  </si>
  <si>
    <t>Chambers unhealthy banner due to train stop at 40th</t>
  </si>
  <si>
    <t>Brief Wi-MAX data drop caused unhealthy banners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</si>
</sst>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4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COUNTIFS($N$13:$N$9577,"&gt;0",$AG$13:$AG$9577,I1)</f>
        <v>140</v>
      </c>
      <c r="K5" s="39"/>
      <c r="L5" s="171"/>
      <c r="M5" s="40">
        <f>AVERAGEIFS($N$13:$N$9577,$AG$13:$AG$9577,I1)</f>
        <v>36.844642857688349</v>
      </c>
      <c r="N5" s="38">
        <f t="array" ref="N5">MIN(IF($AG$13:$AG$9577=I1,IF(ISNUMBER($N$13:$N$9577),IF($N$13:$N$9577&gt;0,$N$13:$N$9577))))</f>
        <v>33.583333336282521</v>
      </c>
      <c r="O5" s="3">
        <f t="array" ref="O5">MAX(IF($AG$13:$AG$9577=I1,IF(ISNUMBER($N$13:$N$9577),IF($N$13:$N$9577&gt;0,$N$13:$N$9577))))</f>
        <v>41.066666669212282</v>
      </c>
      <c r="P5" s="2"/>
      <c r="R5" s="162" t="s">
        <v>17</v>
      </c>
      <c r="S5" s="206">
        <f>COUNTIFS($N$13:$N$9577,"&gt;0",$AG$13:$AG$9577,R1)</f>
        <v>49</v>
      </c>
      <c r="T5" s="171"/>
      <c r="U5" s="194"/>
      <c r="V5" s="210">
        <f>AVERAGEIFS($N$13:$N$9577,$AG$13:$AG$9577,R1)</f>
        <v>13.802721087953874</v>
      </c>
      <c r="W5" s="211">
        <f t="array" ref="W5">MIN(IF($AG$13:$AG$9577=R1,IF(ISNUMBER($N$13:$N$9577),IF($N$13:$N$9577&gt;0,$N$13:$N$9577))))</f>
        <v>11.149999997578561</v>
      </c>
      <c r="X5" s="199">
        <f t="array" ref="X5">MAX(IF($AG$13:$AG$9577=R1,IF(ISNUMBER($N$13:$N$9577),IF($N$13:$N$9577&gt;0,$N$13:$N$9577))))</f>
        <v>20.51666667452082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COUNT($O$13:$O$335)</f>
        <v>0</v>
      </c>
      <c r="K6" s="39"/>
      <c r="L6" s="171"/>
      <c r="M6" s="40">
        <f>IFERROR(AVERAGE($O$13:$O$335),0)</f>
        <v>0</v>
      </c>
      <c r="N6" s="38">
        <f>MIN($O$13:$O$335)</f>
        <v>0</v>
      </c>
      <c r="O6" s="3">
        <f>MAX($O$13:$O$335)</f>
        <v>0</v>
      </c>
      <c r="P6" s="2"/>
      <c r="R6" s="163" t="s">
        <v>43</v>
      </c>
      <c r="S6" s="206">
        <f>COUNT($O$13:$O$335)</f>
        <v>0</v>
      </c>
      <c r="T6" s="171"/>
      <c r="U6" s="194"/>
      <c r="V6" s="210">
        <f>IFERROR(AVERAGE($O$13:$O$335),0)</f>
        <v>0</v>
      </c>
      <c r="W6" s="211">
        <f>MIN($O$13:$O$335)</f>
        <v>0</v>
      </c>
      <c r="X6" s="199">
        <f>MAX($O$13:$O$335)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COUNTIFS($P$13:$P$9577,"&gt;0",$AG$13:$AG$9577,I1)</f>
        <v>4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COUNTIFS($P$13:$P$9577,"&gt;0",$AG$13:$AG$9577,R1)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1"/>
      <c r="M8" s="40">
        <f>M5</f>
        <v>36.844642857688349</v>
      </c>
      <c r="N8" s="38">
        <f>N5</f>
        <v>33.583333336282521</v>
      </c>
      <c r="O8" s="3">
        <f>O5</f>
        <v>41.066666669212282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13.802721087953874</v>
      </c>
      <c r="W8" s="211">
        <f>W5</f>
        <v>11.149999997578561</v>
      </c>
      <c r="X8" s="199">
        <f>X5</f>
        <v>20.51666667452082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- 2017-12-19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AVERAGE(S13:S131)</f>
        <v>0.99358974358974361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698</v>
      </c>
      <c r="B13" s="7">
        <v>4056</v>
      </c>
      <c r="C13" s="21" t="s">
        <v>192</v>
      </c>
      <c r="D13" s="21" t="s">
        <v>916</v>
      </c>
      <c r="E13" s="13">
        <v>43088.127997685187</v>
      </c>
      <c r="F13" s="13">
        <v>43088.135891203703</v>
      </c>
      <c r="G13" s="7">
        <v>56</v>
      </c>
      <c r="H13" s="21" t="s">
        <v>544</v>
      </c>
      <c r="I13" s="13">
        <v>43088.159212962964</v>
      </c>
      <c r="J13" s="7">
        <v>0</v>
      </c>
      <c r="K13" s="89" t="str">
        <f t="shared" ref="K13:K44" si="0">IF(ISEVEN(B13),(B13-1)&amp;"/"&amp;B13,B13&amp;"/"&amp;(B13+1))</f>
        <v>4055/4056</v>
      </c>
      <c r="L13" s="184" t="str">
        <f>VLOOKUP(A13,'Trips&amp;Operators'!$C$1:$G$99911,5,FALSE)</f>
        <v>YORK EDGAR</v>
      </c>
      <c r="M13" s="6">
        <f t="shared" ref="M13:M44" si="1">I13-F13</f>
        <v>2.3321759261307307E-2</v>
      </c>
      <c r="N13" s="7">
        <f>24*60*SUM($M13:$M13)</f>
        <v>33.583333336282521</v>
      </c>
      <c r="O13" s="7"/>
      <c r="P13" s="7"/>
      <c r="Q13" s="22"/>
      <c r="R13" s="166"/>
      <c r="S13" s="249">
        <f>1/IF(AG13="EC",12,1)*SUM(U13:U13)</f>
        <v>1</v>
      </c>
      <c r="T13" s="173" t="str">
        <f t="shared" ref="T13:T44" si="2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-19T02:04:19-0700',mode:absolute,to:'2017-12-19T04:49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203" t="str">
        <f>IF(AA13&lt;VLOOKUP(AG13,Variables!$AC$3:$AD$8,2,FALSE),"Y","N")</f>
        <v>N</v>
      </c>
      <c r="X13" s="203" t="e">
        <f t="shared" ref="X13:X44" si="4">VALUE(LEFT(AD13,4))-VALUE(LEFT(AD12,4))</f>
        <v>#VALUE!</v>
      </c>
      <c r="Y13" s="203">
        <f t="shared" ref="Y13:Y44" si="5">RIGHT(D13,LEN(D13)-4)/10000</f>
        <v>6.7299999999999999E-2</v>
      </c>
      <c r="Z13" s="203">
        <f t="shared" ref="Z13:Z44" si="6">RIGHT(H13,LEN(H13)-4)/10000</f>
        <v>23.3293</v>
      </c>
      <c r="AA13" s="203">
        <f t="shared" ref="AA13:AA44" si="7">ABS(Z13-Y13)</f>
        <v>23.262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44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/stypes="app*4056*20171219*" /stext=" 10:.+((SYSTEM_STATE.+slice.+state.+changed )|(ment ac)|(multiple cpu faults)|(system.+state.+changed )|(\[timeout)|(PRM\|1\|D)|(kpr)|(kdp)|(train st.+moving)|(\|gpps)|(penalty))"</v>
      </c>
      <c r="AG13" s="181" t="str">
        <f t="shared" ref="AG13:AG44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4056 --swversion DE.1.0.9.0 --startMP 204:673 --initTime 2017-12-19T03:04:19 --startdatetime 2017-12-19T03:15:41 --delay 56 --endMP 204:233293 --enddatetime 2017-12-19T03:49:16 --enforcementcount 0 &gt;&gt;%USERPROFILE%\Documents\GitHub\eaglep3-reporting\EC\2017-12-19-refined-times.txt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{"issue":{"subject":"","project_id":79,"tracker_id":40,"status_id":1,"priority_id":2,"assigned_to_id":338,"start_date":"2017-12-19","description":"","custom_fields":[{"id":1,"name":"Subdivision","value":"EC"},{"id":4,"name":"Milepost","value":"23.3293"},{"id":17,"name":"Train ID","value":"101-19"},{"id":16,"name":"Locomotive ID","value":"4056"},{"id":130,"name":"Impact","value":""},{"id":150,"name":"Time of Event (Mountain Time)","value":"03:49:16"},{"id":151,"name":"Denver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4">"start /low /b "&amp;dls3logs&amp;" --loco "&amp;B13&amp;" --day "&amp;TEXT(F13,"YYYY-MM-DD")</f>
        <v>start /low /b %USERPROFILE%\Documents\GitHub\eaglep3\Utilities\DownloadLogsFromS3.py --loco 4056 --day 2017-12-19</v>
      </c>
      <c r="AN13" s="150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10:49:16"},{"id":29,"name":"Sharepoint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-19T02:04:19-0700',mode:absolute,to:'2017-12-19T04:49:16-0700'))&amp;_a=(columns:!('Message%20ID',Summary),filters:!(),index:'emp_*',interval:auto,query:(query_string:(analyze_wildcard:!t,query:'%22rtdc.l.rtdc.4056%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706</v>
      </c>
      <c r="B14" s="225">
        <v>4055</v>
      </c>
      <c r="C14" s="227" t="s">
        <v>192</v>
      </c>
      <c r="D14" s="227" t="s">
        <v>561</v>
      </c>
      <c r="E14" s="226">
        <v>43088.160185185188</v>
      </c>
      <c r="F14" s="226">
        <v>43088.175208333334</v>
      </c>
      <c r="G14" s="225">
        <v>60</v>
      </c>
      <c r="H14" s="227" t="s">
        <v>617</v>
      </c>
      <c r="I14" s="226">
        <v>43088.202256944445</v>
      </c>
      <c r="J14" s="225">
        <v>0</v>
      </c>
      <c r="K14" s="237" t="str">
        <f t="shared" si="0"/>
        <v>4055/4056</v>
      </c>
      <c r="L14" s="245" t="str">
        <f>VLOOKUP(A14,'Trips&amp;Operators'!$C$1:$G$99911,5,FALSE)</f>
        <v>YORK EDGAR</v>
      </c>
      <c r="M14" s="224">
        <f t="shared" si="1"/>
        <v>2.7048611111240461E-2</v>
      </c>
      <c r="N14" s="225">
        <f>24*60*SUM($M14:$M14)</f>
        <v>38.950000000186265</v>
      </c>
      <c r="O14" s="225"/>
      <c r="P14" s="225"/>
      <c r="Q14" s="228"/>
      <c r="R14" s="242"/>
      <c r="S14" s="249">
        <f>1/IF(AG14="EC",12,1)*SUM(U14:U14)</f>
        <v>1</v>
      </c>
      <c r="T14" s="242" t="str">
        <f t="shared" si="2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3"/>
        <v>https://d0f6bd738d7f1b3e5a7ca70fe4ff75f0.us-east-1.aws.found.io/app/kibana#/discover/Steve-Slow-Train-Analysis-(2080s-and-2083s)?_g=(refreshInterval:(display:Off,pause:!f,section:0,value:0),time:(from:'2017-12-19T02:50:40-0700',mode:absolute,to:'2017-12-19T05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247" t="str">
        <f>IF(AA14&lt;VLOOKUP(AG14,Variables!$AC$3:$AD$8,2,FALSE),"Y","N")</f>
        <v>N</v>
      </c>
      <c r="X14" s="247">
        <f t="shared" si="4"/>
        <v>1</v>
      </c>
      <c r="Y14" s="247">
        <f t="shared" si="5"/>
        <v>23.2973</v>
      </c>
      <c r="Z14" s="247">
        <f t="shared" si="6"/>
        <v>1.52E-2</v>
      </c>
      <c r="AA14" s="247">
        <f t="shared" si="7"/>
        <v>23.2821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8"/>
        <v>102</v>
      </c>
      <c r="AE14" s="235" t="str">
        <f t="shared" si="9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4" s="234" t="str">
        <f t="shared" si="10"/>
        <v>"C:\Program Files (x86)\AstroGrep\AstroGrep.exe" /e /r /s /spath="%USERPROFILE%\AppData\Local\Temp\OnboardLogs" /stypes="app*4055*20171219*" /stext=" 11:.+((SYSTEM_STATE.+slice.+state.+changed )|(ment ac)|(multiple cpu faults)|(system.+state.+changed )|(\[timeout)|(PRM\|1\|D)|(kpr)|(kdp)|(train st.+moving)|(\|gpps)|(penalty))"</v>
      </c>
      <c r="AG14" s="244" t="str">
        <f t="shared" si="11"/>
        <v>EC</v>
      </c>
      <c r="AH14" s="23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4055 --swversion DE.1.0.9.0 --startMP 204:232973 --initTime 2017-12-19T03:50:40 --startdatetime 2017-12-19T04:12:18 --delay 60 --endMP 204:152 --enddatetime 2017-12-19T04:51:15 --enforcementcount 0 &gt;&gt;%USERPROFILE%\Documents\GitHub\eaglep3-reporting\EC\2017-12-19-refined-times.txt</v>
      </c>
      <c r="AI14" s="238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{"issue":{"subject":"","project_id":79,"tracker_id":40,"status_id":1,"priority_id":2,"assigned_to_id":338,"start_date":"2017-12-19","description":"","custom_fields":[{"id":1,"name":"Subdivision","value":"EC"},{"id":4,"name":"Milepost","value":"0.0152"},{"id":17,"name":"Train ID","value":"102-19"},{"id":16,"name":"Locomotive ID","value":"4055"},{"id":130,"name":"Impact","value":""},{"id":150,"name":"Time of Event (Mountain Time)","value":"04:51:15"},{"id":151,"name":"Denver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19">"start /low /b "&amp;dls3logs&amp;" --loco "&amp;B14&amp;" --day "&amp;TEXT(F14,"YYYY-MM-DD")</f>
        <v>start /low /b %USERPROFILE%\Documents\GitHub\eaglep3\Utilities\DownloadLogsFromS3.py --loco 4055 --day 2017-12-19</v>
      </c>
      <c r="AN14" s="24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-19T02:50:40-0700',mode:absolute,to:'2017-12-19T05:51:15-0700'))&amp;_a=(columns:!('Message%20ID',Summary),filters:!(),index:'emp_*',interval:auto,query:(query_string:(analyze_wildcard:!t,query:'%22rtdc.l.rtdc.4055%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705</v>
      </c>
      <c r="B15" s="225">
        <v>4040</v>
      </c>
      <c r="C15" s="227" t="s">
        <v>192</v>
      </c>
      <c r="D15" s="227" t="s">
        <v>563</v>
      </c>
      <c r="E15" s="226">
        <v>43088.1484375</v>
      </c>
      <c r="F15" s="226">
        <v>43088.168287037035</v>
      </c>
      <c r="G15" s="225">
        <v>122</v>
      </c>
      <c r="H15" s="227" t="s">
        <v>630</v>
      </c>
      <c r="I15" s="226">
        <v>43088.184108796297</v>
      </c>
      <c r="J15" s="225">
        <v>0</v>
      </c>
      <c r="K15" s="237" t="str">
        <f t="shared" si="0"/>
        <v>4039/4040</v>
      </c>
      <c r="L15" s="245" t="str">
        <f>VLOOKUP(A15,'Trips&amp;Operators'!$C$1:$G$99911,5,FALSE)</f>
        <v>ACKERMAN JARED</v>
      </c>
      <c r="M15" s="224">
        <f t="shared" si="1"/>
        <v>1.5821759261598345E-2</v>
      </c>
      <c r="N15" s="225"/>
      <c r="O15" s="225"/>
      <c r="P15" s="225"/>
      <c r="Q15" s="228"/>
      <c r="R15" s="242"/>
      <c r="S15" s="249"/>
      <c r="T15" s="242" t="str">
        <f t="shared" si="2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48" t="str">
        <f t="shared" si="3"/>
        <v>https://d0f6bd738d7f1b3e5a7ca70fe4ff75f0.us-east-1.aws.found.io/app/kibana#/discover/Steve-Slow-Train-Analysis-(2080s-and-2083s)?_g=(refreshInterval:(display:Off,pause:!f,section:0,value:0),time:(from:'2017-12-19T02:33:45-0700',mode:absolute,to:'2017-12-19T05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47" t="str">
        <f>IF(AA15&lt;VLOOKUP(AG15,Variables!$AC$3:$AD$8,2,FALSE),"Y","N")</f>
        <v>Y</v>
      </c>
      <c r="X15" s="247">
        <f t="shared" si="4"/>
        <v>1</v>
      </c>
      <c r="Y15" s="247">
        <f t="shared" si="5"/>
        <v>4.4900000000000002E-2</v>
      </c>
      <c r="Z15" s="247">
        <f t="shared" si="6"/>
        <v>4.5999999999999999E-2</v>
      </c>
      <c r="AA15" s="247">
        <f t="shared" si="7"/>
        <v>1.0999999999999968E-3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8"/>
        <v>103</v>
      </c>
      <c r="AE15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15" s="234" t="str">
        <f t="shared" si="10"/>
        <v>"C:\Program Files (x86)\AstroGrep\AstroGrep.exe" /e /r /s /spath="%USERPROFILE%\AppData\Local\Temp\OnboardLogs" /stypes="app*4040*20171219*" /stext=" 11:.+((SYSTEM_STATE.+slice.+state.+changed )|(ment ac)|(multiple cpu faults)|(system.+state.+changed )|(\[timeout)|(PRM\|1\|D)|(kpr)|(kdp)|(train st.+moving)|(\|gpps)|(penalty))"</v>
      </c>
      <c r="AG15" s="244" t="str">
        <f t="shared" si="11"/>
        <v>EC</v>
      </c>
      <c r="AH15" s="236" t="str">
        <f t="shared" si="17"/>
        <v>"%USERPROFILE%\Documents\GitHub\eaglep3\Utilities\RefineRTDCRunTimes.py" --tripid 103-19 --locoid 4040 --swversion DE.1.0.9.0 --startMP 204:449 --initTime 2017-12-19T03:33:45 --startdatetime 2017-12-19T04:02:20 --delay 122 --endMP 204:460 --enddatetime 2017-12-19T04:25:07 --enforcementcount 0 &gt;&gt;%USERPROFILE%\Documents\GitHub\eaglep3-reporting\EC\2017-12-19-refined-times.txt</v>
      </c>
      <c r="AI1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{"issue":{"subject":"","project_id":79,"tracker_id":40,"status_id":1,"priority_id":2,"assigned_to_id":338,"start_date":"2017-12-19","description":"","custom_fields":[{"id":1,"name":"Subdivision","value":"EC"},{"id":4,"name":"Milepost","value":"0.046"},{"id":17,"name":"Train ID","value":"103-19"},{"id":16,"name":"Locomotive ID","value":"4040"},{"id":130,"name":"Impact","value":""},{"id":150,"name":"Time of Event (Mountain Time)","value":"04:25:07"},{"id":151,"name":"Denver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19"/>
        <v>start /low /b %USERPROFILE%\Documents\GitHub\eaglep3\Utilities\DownloadLogsFromS3.py --loco 4040 --day 2017-12-19</v>
      </c>
      <c r="AN1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1"/>
        <v>https://d0f6bd738d7f1b3e5a7ca70fe4ff75f0.us-east-1.aws.found.io/app/kibana#/discover/Steve-Slow-Train-Analysis-(2080s-and-2083s)?_g=(refreshInterval:(display:Off,pause:!f,section:0,value:0),time:(from:'2017-12-19T02:33:45-0700',mode:absolute,to:'2017-12-19T05:25:07-0700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705</v>
      </c>
      <c r="B16" s="225">
        <v>4040</v>
      </c>
      <c r="C16" s="227" t="s">
        <v>192</v>
      </c>
      <c r="D16" s="227" t="s">
        <v>917</v>
      </c>
      <c r="E16" s="226">
        <v>43088.167141203703</v>
      </c>
      <c r="F16" s="226">
        <v>43088.168287037035</v>
      </c>
      <c r="G16" s="225">
        <v>63</v>
      </c>
      <c r="H16" s="227" t="s">
        <v>621</v>
      </c>
      <c r="I16" s="226">
        <v>43088.184108796297</v>
      </c>
      <c r="J16" s="225">
        <v>0</v>
      </c>
      <c r="K16" s="237" t="str">
        <f t="shared" si="0"/>
        <v>4039/4040</v>
      </c>
      <c r="L16" s="245" t="str">
        <f>VLOOKUP(A16,'Trips&amp;Operators'!$C$1:$G$99911,5,FALSE)</f>
        <v>ACKERMAN JARED</v>
      </c>
      <c r="M16" s="224">
        <f t="shared" si="1"/>
        <v>1.5821759261598345E-2</v>
      </c>
      <c r="N16" s="225"/>
      <c r="O16" s="225"/>
      <c r="P16" s="225">
        <f>24*60*SUM($M16:$M16)</f>
        <v>22.783333336701617</v>
      </c>
      <c r="Q16" s="228"/>
      <c r="R16" s="242" t="s">
        <v>1079</v>
      </c>
      <c r="S16" s="249">
        <f t="shared" ref="S16:S63" si="22">1/IF(AG16="EC",12,1)*SUM(U16:U16)</f>
        <v>0.25</v>
      </c>
      <c r="T16" s="242" t="str">
        <f t="shared" si="2"/>
        <v>NorthBound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3</v>
      </c>
      <c r="V16" s="248" t="str">
        <f t="shared" si="3"/>
        <v>https://d0f6bd738d7f1b3e5a7ca70fe4ff75f0.us-east-1.aws.found.io/app/kibana#/discover/Steve-Slow-Train-Analysis-(2080s-and-2083s)?_g=(refreshInterval:(display:Off,pause:!f,section:0,value:0),time:(from:'2017-12-19T03:00:41-0700',mode:absolute,to:'2017-12-19T05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" s="247" t="str">
        <f>IF(AA16&lt;VLOOKUP(AG16,Variables!$AC$3:$AD$8,2,FALSE),"Y","N")</f>
        <v>Y</v>
      </c>
      <c r="X16" s="247">
        <f t="shared" si="4"/>
        <v>0</v>
      </c>
      <c r="Y16" s="247">
        <f t="shared" si="5"/>
        <v>6.4703999999999997</v>
      </c>
      <c r="Z16" s="247">
        <f t="shared" si="6"/>
        <v>23.3306</v>
      </c>
      <c r="AA16" s="247">
        <f t="shared" si="7"/>
        <v>16.860199999999999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8"/>
        <v>103</v>
      </c>
      <c r="AE16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16" s="234" t="str">
        <f t="shared" si="10"/>
        <v>"C:\Program Files (x86)\AstroGrep\AstroGrep.exe" /e /r /s /spath="%USERPROFILE%\AppData\Local\Temp\OnboardLogs" /stypes="app*4040*20171219*" /stext=" 11:.+((SYSTEM_STATE.+slice.+state.+changed )|(ment ac)|(multiple cpu faults)|(system.+state.+changed )|(\[timeout)|(PRM\|1\|D)|(kpr)|(kdp)|(train st.+moving)|(\|gpps)|(penalty))"</v>
      </c>
      <c r="AG16" s="244" t="str">
        <f t="shared" si="11"/>
        <v>EC</v>
      </c>
      <c r="AH16" s="236" t="str">
        <f t="shared" si="17"/>
        <v>"%USERPROFILE%\Documents\GitHub\eaglep3\Utilities\RefineRTDCRunTimes.py" --tripid 103-19 --locoid 4040 --swversion DE.1.0.9.0 --startMP 204:64704 --initTime 2017-12-19T04:00:41 --startdatetime 2017-12-19T04:02:20 --delay 63 --endMP 204:233306 --enddatetime 2017-12-19T04:25:07 --enforcementcount 0 &gt;&gt;%USERPROFILE%\Documents\GitHub\eaglep3-reporting\EC\2017-12-19-refined-times.txt</v>
      </c>
      <c r="AI16" s="238" t="str">
        <f t="shared" si="18"/>
        <v>echo {"issue":{"subject":"Poor GPS @ DUS","project_id":79,"tracker_id":40,"status_id":1,"priority_id":2,"assigned_to_id":338,"start_date":"2017-12-19","description":"","custom_fields":[{"id":1,"name":"Subdivision","value":"EC"},{"id":4,"name":"Milepost","value":"23.3306"},{"id":17,"name":"Train ID","value":"103-19"},{"id":16,"name":"Locomotive ID","value":"4040"},{"id":130,"name":"Impact","value":""},{"id":150,"name":"Time of Event (Mountain Time)","value":"04:25:07"},{"id":151,"name":"Denver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19"/>
        <v>start /low /b %USERPROFILE%\Documents\GitHub\eaglep3\Utilities\DownloadLogsFromS3.py --loco 4040 --day 2017-12-19</v>
      </c>
      <c r="AN16" s="241" t="str">
        <f t="shared" si="20"/>
        <v>echo {"issue":{"subject":"Poor GPS @ DUS","project_id":30,"tracker_id":4,"status_id":1,"priority_id":1,"assigned_to_id":10,"start_date":"2017-12-19","description":"","custom_fields":[{"id":30,"name":"Category","value":"Issue"},{"id":3,"name":"Functional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1"/>
        <v>https://d0f6bd738d7f1b3e5a7ca70fe4ff75f0.us-east-1.aws.found.io/app/kibana#/discover/Steve-Slow-Train-Analysis-(2080s-and-2083s)?_g=(refreshInterval:(display:Off,pause:!f,section:0,value:0),time:(from:'2017-12-19T03:00:41-0700',mode:absolute,to:'2017-12-19T05:25:07-0700'))&amp;_a=(columns:!('Message%20ID',Summary),filters:!(),index:'emp_*',interval:auto,query:(query_string:(analyze_wildcard:!t,query:'%22rtdc.l.rtdc.4040%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713</v>
      </c>
      <c r="B17" s="225">
        <v>4039</v>
      </c>
      <c r="C17" s="227" t="s">
        <v>192</v>
      </c>
      <c r="D17" s="227" t="s">
        <v>616</v>
      </c>
      <c r="E17" s="226">
        <v>43088.189560185187</v>
      </c>
      <c r="F17" s="226">
        <v>43088.195983796293</v>
      </c>
      <c r="G17" s="225">
        <v>75</v>
      </c>
      <c r="H17" s="227" t="s">
        <v>918</v>
      </c>
      <c r="I17" s="226">
        <v>43088.222951388889</v>
      </c>
      <c r="J17" s="225">
        <v>0</v>
      </c>
      <c r="K17" s="237" t="str">
        <f t="shared" si="0"/>
        <v>4039/4040</v>
      </c>
      <c r="L17" s="245" t="str">
        <f>VLOOKUP(A17,'Trips&amp;Operators'!$C$1:$G$99911,5,FALSE)</f>
        <v>ACKERMAN JARED</v>
      </c>
      <c r="M17" s="224">
        <f t="shared" si="1"/>
        <v>2.6967592595610768E-2</v>
      </c>
      <c r="N17" s="225">
        <f t="shared" ref="N17:N63" si="23">24*60*SUM($M17:$M17)</f>
        <v>38.833333337679505</v>
      </c>
      <c r="O17" s="225"/>
      <c r="P17" s="225"/>
      <c r="Q17" s="228"/>
      <c r="R17" s="242"/>
      <c r="S17" s="249">
        <f t="shared" si="22"/>
        <v>1</v>
      </c>
      <c r="T17" s="242" t="str">
        <f t="shared" si="2"/>
        <v>Southbound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3"/>
        <v>https://d0f6bd738d7f1b3e5a7ca70fe4ff75f0.us-east-1.aws.found.io/app/kibana#/discover/Steve-Slow-Train-Analysis-(2080s-and-2083s)?_g=(refreshInterval:(display:Off,pause:!f,section:0,value:0),time:(from:'2017-12-19T03:32:58-0700',mode:absolute,to:'2017-12-19T06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" s="247" t="str">
        <f>IF(AA17&lt;VLOOKUP(AG17,Variables!$AC$3:$AD$8,2,FALSE),"Y","N")</f>
        <v>N</v>
      </c>
      <c r="X17" s="247">
        <f t="shared" si="4"/>
        <v>1</v>
      </c>
      <c r="Y17" s="247">
        <f t="shared" si="5"/>
        <v>23.298300000000001</v>
      </c>
      <c r="Z17" s="247">
        <f t="shared" si="6"/>
        <v>1.2999999999999999E-2</v>
      </c>
      <c r="AA17" s="247">
        <f t="shared" si="7"/>
        <v>23.285299999999999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8"/>
        <v>104</v>
      </c>
      <c r="AE17" s="235" t="str">
        <f t="shared" si="9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17" s="234" t="str">
        <f t="shared" si="10"/>
        <v>"C:\Program Files (x86)\AstroGrep\AstroGrep.exe" /e /r /s /spath="%USERPROFILE%\AppData\Local\Temp\OnboardLogs" /stypes="app*4039*20171219*" /stext=" 12:.+((SYSTEM_STATE.+slice.+state.+changed )|(ment ac)|(multiple cpu faults)|(system.+state.+changed )|(\[timeout)|(PRM\|1\|D)|(kpr)|(kdp)|(train st.+moving)|(\|gpps)|(penalty))"</v>
      </c>
      <c r="AG17" s="244" t="str">
        <f t="shared" si="11"/>
        <v>EC</v>
      </c>
      <c r="AH17" s="236" t="str">
        <f t="shared" si="17"/>
        <v>"%USERPROFILE%\Documents\GitHub\eaglep3\Utilities\RefineRTDCRunTimes.py" --tripid 104-19 --locoid 4039 --swversion DE.1.0.9.0 --startMP 204:232983 --initTime 2017-12-19T04:32:58 --startdatetime 2017-12-19T04:42:13 --delay 75 --endMP 204:130 --enddatetime 2017-12-19T05:21:03 --enforcementcount 0 &gt;&gt;%USERPROFILE%\Documents\GitHub\eaglep3-reporting\EC\2017-12-19-refined-times.txt</v>
      </c>
      <c r="AI1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{"issue":{"subject":"","project_id":79,"tracker_id":40,"status_id":1,"priority_id":2,"assigned_to_id":338,"start_date":"2017-12-19","description":"","custom_fields":[{"id":1,"name":"Subdivision","value":"EC"},{"id":4,"name":"Milepost","value":"0.013"},{"id":17,"name":"Train ID","value":"104-19"},{"id":16,"name":"Locomotive ID","value":"4039"},{"id":130,"name":"Impact","value":""},{"id":150,"name":"Time of Event (Mountain Time)","value":"05:21:03"},{"id":151,"name":"Denver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19"/>
        <v>start /low /b %USERPROFILE%\Documents\GitHub\eaglep3\Utilities\DownloadLogsFromS3.py --loco 4039 --day 2017-12-19</v>
      </c>
      <c r="AN1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1"/>
        <v>https://d0f6bd738d7f1b3e5a7ca70fe4ff75f0.us-east-1.aws.found.io/app/kibana#/discover/Steve-Slow-Train-Analysis-(2080s-and-2083s)?_g=(refreshInterval:(display:Off,pause:!f,section:0,value:0),time:(from:'2017-12-19T03:32:58-0700',mode:absolute,to:'2017-12-19T06:21:03-0700'))&amp;_a=(columns:!('Message%20ID',Summary),filters:!(),index:'emp_*',interval:auto,query:(query_string:(analyze_wildcard:!t,query:'%22rtdc.l.rtdc.4039%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675</v>
      </c>
      <c r="B18" s="225">
        <v>4018</v>
      </c>
      <c r="C18" s="227" t="s">
        <v>192</v>
      </c>
      <c r="D18" s="227" t="s">
        <v>539</v>
      </c>
      <c r="E18" s="226">
        <v>43088.174571759257</v>
      </c>
      <c r="F18" s="226">
        <v>43088.177314814813</v>
      </c>
      <c r="G18" s="225">
        <v>99</v>
      </c>
      <c r="H18" s="227" t="s">
        <v>578</v>
      </c>
      <c r="I18" s="226">
        <v>43088.203402777777</v>
      </c>
      <c r="J18" s="225">
        <v>0</v>
      </c>
      <c r="K18" s="237" t="str">
        <f t="shared" si="0"/>
        <v>4017/4018</v>
      </c>
      <c r="L18" s="245" t="str">
        <f>VLOOKUP(A18,'Trips&amp;Operators'!$C$1:$G$99911,5,FALSE)</f>
        <v>THOMPSON LESTER</v>
      </c>
      <c r="M18" s="224">
        <f t="shared" si="1"/>
        <v>2.6087962964083999E-2</v>
      </c>
      <c r="N18" s="225">
        <f t="shared" si="23"/>
        <v>37.566666668280959</v>
      </c>
      <c r="O18" s="225"/>
      <c r="P18" s="225"/>
      <c r="Q18" s="228"/>
      <c r="R18" s="242"/>
      <c r="S18" s="249">
        <f t="shared" si="22"/>
        <v>1</v>
      </c>
      <c r="T18" s="242" t="str">
        <f t="shared" si="2"/>
        <v>NorthBound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3"/>
        <v>https://d0f6bd738d7f1b3e5a7ca70fe4ff75f0.us-east-1.aws.found.io/app/kibana#/discover/Steve-Slow-Train-Analysis-(2080s-and-2083s)?_g=(refreshInterval:(display:Off,pause:!f,section:0,value:0),time:(from:'2017-12-19T03:11:23-0700',mode:absolute,to:'2017-12-19T05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" s="247" t="str">
        <f>IF(AA18&lt;VLOOKUP(AG18,Variables!$AC$3:$AD$8,2,FALSE),"Y","N")</f>
        <v>N</v>
      </c>
      <c r="X18" s="247">
        <f t="shared" si="4"/>
        <v>1</v>
      </c>
      <c r="Y18" s="247">
        <f t="shared" si="5"/>
        <v>4.82E-2</v>
      </c>
      <c r="Z18" s="247">
        <f t="shared" si="6"/>
        <v>23.3278</v>
      </c>
      <c r="AA18" s="247">
        <f t="shared" si="7"/>
        <v>23.279599999999999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8"/>
        <v>105</v>
      </c>
      <c r="AE18" s="235" t="str">
        <f t="shared" si="9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8" s="234" t="str">
        <f t="shared" si="10"/>
        <v>"C:\Program Files (x86)\AstroGrep\AstroGrep.exe" /e /r /s /spath="%USERPROFILE%\AppData\Local\Temp\OnboardLogs" /stypes="app*4018*20171219*" /stext=" 11:.+((SYSTEM_STATE.+slice.+state.+changed )|(ment ac)|(multiple cpu faults)|(system.+state.+changed )|(\[timeout)|(PRM\|1\|D)|(kpr)|(kdp)|(train st.+moving)|(\|gpps)|(penalty))"</v>
      </c>
      <c r="AG18" s="244" t="str">
        <f t="shared" si="11"/>
        <v>EC</v>
      </c>
      <c r="AH18" s="236" t="str">
        <f t="shared" si="17"/>
        <v>"%USERPROFILE%\Documents\GitHub\eaglep3\Utilities\RefineRTDCRunTimes.py" --tripid 105-19 --locoid 4018 --swversion DE.1.0.9.0 --startMP 204:482 --initTime 2017-12-19T04:11:23 --startdatetime 2017-12-19T04:15:20 --delay 99 --endMP 204:233278 --enddatetime 2017-12-19T04:52:54 --enforcementcount 0 &gt;&gt;%USERPROFILE%\Documents\GitHub\eaglep3-reporting\EC\2017-12-19-refined-times.txt</v>
      </c>
      <c r="AI1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{"issue":{"subject":"","project_id":79,"tracker_id":40,"status_id":1,"priority_id":2,"assigned_to_id":338,"start_date":"2017-12-19","description":"","custom_fields":[{"id":1,"name":"Subdivision","value":"EC"},{"id":4,"name":"Milepost","value":"23.3278"},{"id":17,"name":"Train ID","value":"105-19"},{"id":16,"name":"Locomotive ID","value":"4018"},{"id":130,"name":"Impact","value":""},{"id":150,"name":"Time of Event (Mountain Time)","value":"04:52:54"},{"id":151,"name":"Denver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19"/>
        <v>start /low /b %USERPROFILE%\Documents\GitHub\eaglep3\Utilities\DownloadLogsFromS3.py --loco 4018 --day 2017-12-19</v>
      </c>
      <c r="AN1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1"/>
        <v>https://d0f6bd738d7f1b3e5a7ca70fe4ff75f0.us-east-1.aws.found.io/app/kibana#/discover/Steve-Slow-Train-Analysis-(2080s-and-2083s)?_g=(refreshInterval:(display:Off,pause:!f,section:0,value:0),time:(from:'2017-12-19T03:11:23-0700',mode:absolute,to:'2017-12-19T05:52:54-0700'))&amp;_a=(columns:!('Message%20ID',Summary),filters:!(),index:'emp_*',interval:auto,query:(query_string:(analyze_wildcard:!t,query:'%22rtdc.l.rtdc.4018%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722</v>
      </c>
      <c r="B19" s="225">
        <v>4017</v>
      </c>
      <c r="C19" s="227" t="s">
        <v>192</v>
      </c>
      <c r="D19" s="227" t="s">
        <v>650</v>
      </c>
      <c r="E19" s="226">
        <v>43088.213796296295</v>
      </c>
      <c r="F19" s="226">
        <v>43088.216886574075</v>
      </c>
      <c r="G19" s="225">
        <v>55</v>
      </c>
      <c r="H19" s="227" t="s">
        <v>527</v>
      </c>
      <c r="I19" s="226">
        <v>43088.243356481478</v>
      </c>
      <c r="J19" s="225">
        <v>0</v>
      </c>
      <c r="K19" s="237" t="str">
        <f t="shared" si="0"/>
        <v>4017/4018</v>
      </c>
      <c r="L19" s="245" t="str">
        <f>VLOOKUP(A19,'Trips&amp;Operators'!$C$1:$G$99911,5,FALSE)</f>
        <v>THOMPSON LESTER</v>
      </c>
      <c r="M19" s="224">
        <f t="shared" si="1"/>
        <v>2.6469907403225079E-2</v>
      </c>
      <c r="N19" s="225">
        <f t="shared" si="23"/>
        <v>38.116666660644114</v>
      </c>
      <c r="O19" s="225"/>
      <c r="P19" s="225"/>
      <c r="Q19" s="228"/>
      <c r="R19" s="242"/>
      <c r="S19" s="249">
        <f t="shared" si="22"/>
        <v>1</v>
      </c>
      <c r="T19" s="242" t="str">
        <f t="shared" si="2"/>
        <v>Southbound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3"/>
        <v>https://d0f6bd738d7f1b3e5a7ca70fe4ff75f0.us-east-1.aws.found.io/app/kibana#/discover/Steve-Slow-Train-Analysis-(2080s-and-2083s)?_g=(refreshInterval:(display:Off,pause:!f,section:0,value:0),time:(from:'2017-12-19T04:07:52-0700',mode:absolute,to:'2017-12-19T06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" s="247" t="str">
        <f>IF(AA19&lt;VLOOKUP(AG19,Variables!$AC$3:$AD$8,2,FALSE),"Y","N")</f>
        <v>N</v>
      </c>
      <c r="X19" s="247">
        <f t="shared" si="4"/>
        <v>1</v>
      </c>
      <c r="Y19" s="247">
        <f t="shared" si="5"/>
        <v>23.297599999999999</v>
      </c>
      <c r="Z19" s="247">
        <f t="shared" si="6"/>
        <v>1.83E-2</v>
      </c>
      <c r="AA19" s="247">
        <f t="shared" si="7"/>
        <v>23.279299999999999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8"/>
        <v>106</v>
      </c>
      <c r="AE19" s="235" t="str">
        <f t="shared" si="9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9" s="234" t="str">
        <f t="shared" si="10"/>
        <v>"C:\Program Files (x86)\AstroGrep\AstroGrep.exe" /e /r /s /spath="%USERPROFILE%\AppData\Local\Temp\OnboardLogs" /stypes="app*4017*20171219*" /stext=" 12:.+((SYSTEM_STATE.+slice.+state.+changed )|(ment ac)|(multiple cpu faults)|(system.+state.+changed )|(\[timeout)|(PRM\|1\|D)|(kpr)|(kdp)|(train st.+moving)|(\|gpps)|(penalty))"</v>
      </c>
      <c r="AG19" s="244" t="str">
        <f t="shared" si="11"/>
        <v>EC</v>
      </c>
      <c r="AH19" s="236" t="str">
        <f t="shared" si="17"/>
        <v>"%USERPROFILE%\Documents\GitHub\eaglep3\Utilities\RefineRTDCRunTimes.py" --tripid 106-19 --locoid 4017 --swversion DE.1.0.9.0 --startMP 204:232976 --initTime 2017-12-19T05:07:52 --startdatetime 2017-12-19T05:12:19 --delay 55 --endMP 204:183 --enddatetime 2017-12-19T05:50:26 --enforcementcount 0 &gt;&gt;%USERPROFILE%\Documents\GitHub\eaglep3-reporting\EC\2017-12-19-refined-times.txt</v>
      </c>
      <c r="AI1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{"issue":{"subject":"","project_id":79,"tracker_id":40,"status_id":1,"priority_id":2,"assigned_to_id":338,"start_date":"2017-12-19","description":"","custom_fields":[{"id":1,"name":"Subdivision","value":"EC"},{"id":4,"name":"Milepost","value":"0.0183"},{"id":17,"name":"Train ID","value":"106-19"},{"id":16,"name":"Locomotive ID","value":"4017"},{"id":130,"name":"Impact","value":""},{"id":150,"name":"Time of Event (Mountain Time)","value":"05:50:26"},{"id":151,"name":"Denver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19"/>
        <v>start /low /b %USERPROFILE%\Documents\GitHub\eaglep3\Utilities\DownloadLogsFromS3.py --loco 4017 --day 2017-12-19</v>
      </c>
      <c r="AN1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1"/>
        <v>https://d0f6bd738d7f1b3e5a7ca70fe4ff75f0.us-east-1.aws.found.io/app/kibana#/discover/Steve-Slow-Train-Analysis-(2080s-and-2083s)?_g=(refreshInterval:(display:Off,pause:!f,section:0,value:0),time:(from:'2017-12-19T04:07:52-0700',mode:absolute,to:'2017-12-19T06:50:26-0700'))&amp;_a=(columns:!('Message%20ID',Summary),filters:!(),index:'emp_*',interval:auto,query:(query_string:(analyze_wildcard:!t,query:'%22rtdc.l.rtdc.4017%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709</v>
      </c>
      <c r="B20" s="225">
        <v>4014</v>
      </c>
      <c r="C20" s="227" t="s">
        <v>192</v>
      </c>
      <c r="D20" s="227" t="s">
        <v>919</v>
      </c>
      <c r="E20" s="226">
        <v>43088.182569444441</v>
      </c>
      <c r="F20" s="226">
        <v>43088.189050925925</v>
      </c>
      <c r="G20" s="225">
        <v>105</v>
      </c>
      <c r="H20" s="227" t="s">
        <v>526</v>
      </c>
      <c r="I20" s="226">
        <v>43088.212569444448</v>
      </c>
      <c r="J20" s="225">
        <v>0</v>
      </c>
      <c r="K20" s="237" t="str">
        <f t="shared" si="0"/>
        <v>4013/4014</v>
      </c>
      <c r="L20" s="245" t="str">
        <f>VLOOKUP(A20,'Trips&amp;Operators'!$C$1:$G$99911,5,FALSE)</f>
        <v>MAINTENANCE VEHICLE</v>
      </c>
      <c r="M20" s="224">
        <f t="shared" si="1"/>
        <v>2.3518518522905651E-2</v>
      </c>
      <c r="N20" s="225">
        <f t="shared" si="23"/>
        <v>33.866666672984138</v>
      </c>
      <c r="O20" s="225"/>
      <c r="P20" s="225"/>
      <c r="Q20" s="228"/>
      <c r="R20" s="242"/>
      <c r="S20" s="249">
        <f t="shared" si="22"/>
        <v>1</v>
      </c>
      <c r="T20" s="242" t="str">
        <f t="shared" si="2"/>
        <v>NorthBound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3"/>
        <v>https://d0f6bd738d7f1b3e5a7ca70fe4ff75f0.us-east-1.aws.found.io/app/kibana#/discover/Steve-Slow-Train-Analysis-(2080s-and-2083s)?_g=(refreshInterval:(display:Off,pause:!f,section:0,value:0),time:(from:'2017-12-19T03:22:54-0700',mode:absolute,to:'2017-12-19T06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" s="247" t="str">
        <f>IF(AA20&lt;VLOOKUP(AG20,Variables!$AC$3:$AD$8,2,FALSE),"Y","N")</f>
        <v>N</v>
      </c>
      <c r="X20" s="247">
        <f t="shared" si="4"/>
        <v>1</v>
      </c>
      <c r="Y20" s="247">
        <f t="shared" si="5"/>
        <v>4.7699999999999999E-2</v>
      </c>
      <c r="Z20" s="247">
        <f t="shared" si="6"/>
        <v>23.331399999999999</v>
      </c>
      <c r="AA20" s="247">
        <f t="shared" si="7"/>
        <v>23.2837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8"/>
        <v>107</v>
      </c>
      <c r="AE20" s="235" t="str">
        <f t="shared" si="9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20" s="234" t="str">
        <f t="shared" si="10"/>
        <v>"C:\Program Files (x86)\AstroGrep\AstroGrep.exe" /e /r /s /spath="%USERPROFILE%\AppData\Local\Temp\OnboardLogs" /stypes="app*4014*20171219*" /stext=" 12:.+((SYSTEM_STATE.+slice.+state.+changed )|(ment ac)|(multiple cpu faults)|(system.+state.+changed )|(\[timeout)|(PRM\|1\|D)|(kpr)|(kdp)|(train st.+moving)|(\|gpps)|(penalty))"</v>
      </c>
      <c r="AG20" s="244" t="str">
        <f t="shared" si="11"/>
        <v>EC</v>
      </c>
      <c r="AH20" s="236" t="str">
        <f t="shared" si="17"/>
        <v>"%USERPROFILE%\Documents\GitHub\eaglep3\Utilities\RefineRTDCRunTimes.py" --tripid 107-19 --locoid 4014 --swversion DE.1.0.9.0 --startMP 204:477 --initTime 2017-12-19T04:22:54 --startdatetime 2017-12-19T04:32:14 --delay 105 --endMP 204:233314 --enddatetime 2017-12-19T05:06:06 --enforcementcount 0 &gt;&gt;%USERPROFILE%\Documents\GitHub\eaglep3-reporting\EC\2017-12-19-refined-times.txt</v>
      </c>
      <c r="AI20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{"issue":{"subject":"","project_id":79,"tracker_id":40,"status_id":1,"priority_id":2,"assigned_to_id":338,"start_date":"2017-12-19","description":"","custom_fields":[{"id":1,"name":"Subdivision","value":"EC"},{"id":4,"name":"Milepost","value":"23.3314"},{"id":17,"name":"Train ID","value":"107-19"},{"id":16,"name":"Locomotive ID","value":"4014"},{"id":130,"name":"Impact","value":""},{"id":150,"name":"Time of Event (Mountain Time)","value":"05:06:06"},{"id":151,"name":"Denver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19"/>
        <v>start /low /b %USERPROFILE%\Documents\GitHub\eaglep3\Utilities\DownloadLogsFromS3.py --loco 4014 --day 2017-12-19</v>
      </c>
      <c r="AN20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1"/>
        <v>https://d0f6bd738d7f1b3e5a7ca70fe4ff75f0.us-east-1.aws.found.io/app/kibana#/discover/Steve-Slow-Train-Analysis-(2080s-and-2083s)?_g=(refreshInterval:(display:Off,pause:!f,section:0,value:0),time:(from:'2017-12-19T03:22:54-0700',mode:absolute,to:'2017-12-19T06:06:06-0700'))&amp;_a=(columns:!('Message%20ID',Summary),filters:!(),index:'emp_*',interval:auto,query:(query_string:(analyze_wildcard:!t,query:'%22rtdc.l.rtdc.4014%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676</v>
      </c>
      <c r="B21" s="225">
        <v>4013</v>
      </c>
      <c r="C21" s="227" t="s">
        <v>192</v>
      </c>
      <c r="D21" s="227" t="s">
        <v>920</v>
      </c>
      <c r="E21" s="226">
        <v>43088.218981481485</v>
      </c>
      <c r="F21" s="226">
        <v>43088.22724537037</v>
      </c>
      <c r="G21" s="225">
        <v>327</v>
      </c>
      <c r="H21" s="227" t="s">
        <v>921</v>
      </c>
      <c r="I21" s="226">
        <v>43088.252789351849</v>
      </c>
      <c r="J21" s="225">
        <v>0</v>
      </c>
      <c r="K21" s="237" t="str">
        <f t="shared" si="0"/>
        <v>4013/4014</v>
      </c>
      <c r="L21" s="245" t="str">
        <f>VLOOKUP(A21,'Trips&amp;Operators'!$C$1:$G$99911,5,FALSE)</f>
        <v>DELGADO DIANAH</v>
      </c>
      <c r="M21" s="224">
        <f t="shared" si="1"/>
        <v>2.5543981479131617E-2</v>
      </c>
      <c r="N21" s="225">
        <f t="shared" si="23"/>
        <v>36.783333329949528</v>
      </c>
      <c r="O21" s="225"/>
      <c r="P21" s="225"/>
      <c r="Q21" s="228"/>
      <c r="R21" s="242"/>
      <c r="S21" s="249">
        <f t="shared" si="22"/>
        <v>1</v>
      </c>
      <c r="T21" s="242" t="str">
        <f t="shared" si="2"/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3"/>
        <v>https://d0f6bd738d7f1b3e5a7ca70fe4ff75f0.us-east-1.aws.found.io/app/kibana#/discover/Steve-Slow-Train-Analysis-(2080s-and-2083s)?_g=(refreshInterval:(display:Off,pause:!f,section:0,value:0),time:(from:'2017-12-19T04:15:20-0700',mode:absolute,to:'2017-12-19T07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" s="247" t="str">
        <f>IF(AA21&lt;VLOOKUP(AG21,Variables!$AC$3:$AD$8,2,FALSE),"Y","N")</f>
        <v>N</v>
      </c>
      <c r="X21" s="247">
        <f t="shared" si="4"/>
        <v>1</v>
      </c>
      <c r="Y21" s="247">
        <f t="shared" si="5"/>
        <v>23.297799999999999</v>
      </c>
      <c r="Z21" s="247">
        <f t="shared" si="6"/>
        <v>1.47E-2</v>
      </c>
      <c r="AA21" s="247">
        <f t="shared" si="7"/>
        <v>23.283099999999997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8"/>
        <v>108</v>
      </c>
      <c r="AE21" s="235" t="str">
        <f t="shared" si="9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21" s="234" t="str">
        <f t="shared" si="10"/>
        <v>"C:\Program Files (x86)\AstroGrep\AstroGrep.exe" /e /r /s /spath="%USERPROFILE%\AppData\Local\Temp\OnboardLogs" /stypes="app*4013*20171219*" /stext=" 13:.+((SYSTEM_STATE.+slice.+state.+changed )|(ment ac)|(multiple cpu faults)|(system.+state.+changed )|(\[timeout)|(PRM\|1\|D)|(kpr)|(kdp)|(train st.+moving)|(\|gpps)|(penalty))"</v>
      </c>
      <c r="AG21" s="244" t="str">
        <f t="shared" si="11"/>
        <v>EC</v>
      </c>
      <c r="AH21" s="236" t="str">
        <f t="shared" si="17"/>
        <v>"%USERPROFILE%\Documents\GitHub\eaglep3\Utilities\RefineRTDCRunTimes.py" --tripid 108-19 --locoid 4013 --swversion DE.1.0.9.0 --startMP 204:232978 --initTime 2017-12-19T05:15:20 --startdatetime 2017-12-19T05:27:14 --delay 327 --endMP 204:147 --enddatetime 2017-12-19T06:04:01 --enforcementcount 0 &gt;&gt;%USERPROFILE%\Documents\GitHub\eaglep3-reporting\EC\2017-12-19-refined-times.txt</v>
      </c>
      <c r="AI2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{"issue":{"subject":"","project_id":79,"tracker_id":40,"status_id":1,"priority_id":2,"assigned_to_id":338,"start_date":"2017-12-19","description":"","custom_fields":[{"id":1,"name":"Subdivision","value":"EC"},{"id":4,"name":"Milepost","value":"0.0147"},{"id":17,"name":"Train ID","value":"108-19"},{"id":16,"name":"Locomotive ID","value":"4013"},{"id":130,"name":"Impact","value":""},{"id":150,"name":"Time of Event (Mountain Time)","value":"06:04:01"},{"id":151,"name":"Denver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19"/>
        <v>start /low /b %USERPROFILE%\Documents\GitHub\eaglep3\Utilities\DownloadLogsFromS3.py --loco 4013 --day 2017-12-19</v>
      </c>
      <c r="AN2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1"/>
        <v>https://d0f6bd738d7f1b3e5a7ca70fe4ff75f0.us-east-1.aws.found.io/app/kibana#/discover/Steve-Slow-Train-Analysis-(2080s-and-2083s)?_g=(refreshInterval:(display:Off,pause:!f,section:0,value:0),time:(from:'2017-12-19T04:15:20-0700',mode:absolute,to:'2017-12-19T07:04:01-0700'))&amp;_a=(columns:!('Message%20ID',Summary),filters:!(),index:'emp_*',interval:auto,query:(query_string:(analyze_wildcard:!t,query:'%22rtdc.l.rtdc.4013%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714</v>
      </c>
      <c r="B22" s="225">
        <v>4028</v>
      </c>
      <c r="C22" s="227" t="s">
        <v>192</v>
      </c>
      <c r="D22" s="227" t="s">
        <v>514</v>
      </c>
      <c r="E22" s="226">
        <v>43088.194745370369</v>
      </c>
      <c r="F22" s="226">
        <v>43088.198125000003</v>
      </c>
      <c r="G22" s="225">
        <v>73</v>
      </c>
      <c r="H22" s="227" t="s">
        <v>537</v>
      </c>
      <c r="I22" s="226">
        <v>43088.222905092596</v>
      </c>
      <c r="J22" s="225">
        <v>0</v>
      </c>
      <c r="K22" s="237" t="str">
        <f t="shared" si="0"/>
        <v>4027/4028</v>
      </c>
      <c r="L22" s="245" t="str">
        <f>VLOOKUP(A22,'Trips&amp;Operators'!$C$1:$G$99911,5,FALSE)</f>
        <v>LAMAR NEKESHA</v>
      </c>
      <c r="M22" s="224">
        <f t="shared" si="1"/>
        <v>2.4780092593573499E-2</v>
      </c>
      <c r="N22" s="225">
        <f t="shared" si="23"/>
        <v>35.683333334745839</v>
      </c>
      <c r="O22" s="225"/>
      <c r="P22" s="225"/>
      <c r="Q22" s="228"/>
      <c r="R22" s="242"/>
      <c r="S22" s="249">
        <f t="shared" si="22"/>
        <v>1</v>
      </c>
      <c r="T22" s="242" t="str">
        <f t="shared" si="2"/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3"/>
        <v>https://d0f6bd738d7f1b3e5a7ca70fe4ff75f0.us-east-1.aws.found.io/app/kibana#/discover/Steve-Slow-Train-Analysis-(2080s-and-2083s)?_g=(refreshInterval:(display:Off,pause:!f,section:0,value:0),time:(from:'2017-12-19T03:40:26-0700',mode:absolute,to:'2017-12-19T06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" s="247" t="str">
        <f>IF(AA22&lt;VLOOKUP(AG22,Variables!$AC$3:$AD$8,2,FALSE),"Y","N")</f>
        <v>N</v>
      </c>
      <c r="X22" s="247">
        <f t="shared" si="4"/>
        <v>1</v>
      </c>
      <c r="Y22" s="247">
        <f t="shared" si="5"/>
        <v>5.0799999999999998E-2</v>
      </c>
      <c r="Z22" s="247">
        <f t="shared" si="6"/>
        <v>23.3308</v>
      </c>
      <c r="AA22" s="247">
        <f t="shared" si="7"/>
        <v>23.28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8"/>
        <v>109</v>
      </c>
      <c r="AE22" s="235" t="str">
        <f t="shared" si="9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22" s="234" t="str">
        <f t="shared" si="10"/>
        <v>"C:\Program Files (x86)\AstroGrep\AstroGrep.exe" /e /r /s /spath="%USERPROFILE%\AppData\Local\Temp\OnboardLogs" /stypes="app*4028*20171219*" /stext=" 12:.+((SYSTEM_STATE.+slice.+state.+changed )|(ment ac)|(multiple cpu faults)|(system.+state.+changed )|(\[timeout)|(PRM\|1\|D)|(kpr)|(kdp)|(train st.+moving)|(\|gpps)|(penalty))"</v>
      </c>
      <c r="AG22" s="244" t="str">
        <f t="shared" si="11"/>
        <v>EC</v>
      </c>
      <c r="AH22" s="236" t="str">
        <f t="shared" si="17"/>
        <v>"%USERPROFILE%\Documents\GitHub\eaglep3\Utilities\RefineRTDCRunTimes.py" --tripid 109-19 --locoid 4028 --swversion DE.1.0.9.0 --startMP 204:508 --initTime 2017-12-19T04:40:26 --startdatetime 2017-12-19T04:45:18 --delay 73 --endMP 204:233308 --enddatetime 2017-12-19T05:20:59 --enforcementcount 0 &gt;&gt;%USERPROFILE%\Documents\GitHub\eaglep3-reporting\EC\2017-12-19-refined-times.txt</v>
      </c>
      <c r="AI2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{"issue":{"subject":"","project_id":79,"tracker_id":40,"status_id":1,"priority_id":2,"assigned_to_id":338,"start_date":"2017-12-19","description":"","custom_fields":[{"id":1,"name":"Subdivision","value":"EC"},{"id":4,"name":"Milepost","value":"23.3308"},{"id":17,"name":"Train ID","value":"109-19"},{"id":16,"name":"Locomotive ID","value":"4028"},{"id":130,"name":"Impact","value":""},{"id":150,"name":"Time of Event (Mountain Time)","value":"05:20:59"},{"id":151,"name":"Denver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19"/>
        <v>start /low /b %USERPROFILE%\Documents\GitHub\eaglep3\Utilities\DownloadLogsFromS3.py --loco 4028 --day 2017-12-19</v>
      </c>
      <c r="AN2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1"/>
        <v>https://d0f6bd738d7f1b3e5a7ca70fe4ff75f0.us-east-1.aws.found.io/app/kibana#/discover/Steve-Slow-Train-Analysis-(2080s-and-2083s)?_g=(refreshInterval:(display:Off,pause:!f,section:0,value:0),time:(from:'2017-12-19T03:40:26-0700',mode:absolute,to:'2017-12-19T06:20:59-0700'))&amp;_a=(columns:!('Message%20ID',Summary),filters:!(),index:'emp_*',interval:auto,query:(query_string:(analyze_wildcard:!t,query:'%22rtdc.l.rtdc.4028%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732</v>
      </c>
      <c r="B23" s="225">
        <v>4027</v>
      </c>
      <c r="C23" s="227" t="s">
        <v>192</v>
      </c>
      <c r="D23" s="227" t="s">
        <v>529</v>
      </c>
      <c r="E23" s="226">
        <v>43088.236458333333</v>
      </c>
      <c r="F23" s="226">
        <v>43088.23777777778</v>
      </c>
      <c r="G23" s="225">
        <v>46</v>
      </c>
      <c r="H23" s="227" t="s">
        <v>922</v>
      </c>
      <c r="I23" s="226">
        <v>43088.263333333336</v>
      </c>
      <c r="J23" s="225">
        <v>0</v>
      </c>
      <c r="K23" s="237" t="str">
        <f t="shared" si="0"/>
        <v>4027/4028</v>
      </c>
      <c r="L23" s="245" t="str">
        <f>VLOOKUP(A23,'Trips&amp;Operators'!$C$1:$G$99911,5,FALSE)</f>
        <v>LAMAR NEKESHA</v>
      </c>
      <c r="M23" s="224">
        <f t="shared" si="1"/>
        <v>2.5555555555911269E-2</v>
      </c>
      <c r="N23" s="225">
        <f t="shared" si="23"/>
        <v>36.800000000512227</v>
      </c>
      <c r="O23" s="225"/>
      <c r="P23" s="225"/>
      <c r="Q23" s="228"/>
      <c r="R23" s="242"/>
      <c r="S23" s="249">
        <f t="shared" si="22"/>
        <v>1</v>
      </c>
      <c r="T23" s="242" t="str">
        <f t="shared" si="2"/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3"/>
        <v>https://d0f6bd738d7f1b3e5a7ca70fe4ff75f0.us-east-1.aws.found.io/app/kibana#/discover/Steve-Slow-Train-Analysis-(2080s-and-2083s)?_g=(refreshInterval:(display:Off,pause:!f,section:0,value:0),time:(from:'2017-12-19T04:40:30-0700',mode:absolute,to:'2017-12-19T07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247" t="str">
        <f>IF(AA23&lt;VLOOKUP(AG23,Variables!$AC$3:$AD$8,2,FALSE),"Y","N")</f>
        <v>N</v>
      </c>
      <c r="X23" s="247">
        <f t="shared" si="4"/>
        <v>1</v>
      </c>
      <c r="Y23" s="247">
        <f t="shared" si="5"/>
        <v>23.299099999999999</v>
      </c>
      <c r="Z23" s="247">
        <f t="shared" si="6"/>
        <v>2.1600000000000001E-2</v>
      </c>
      <c r="AA23" s="247">
        <f t="shared" si="7"/>
        <v>23.2775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8"/>
        <v>110</v>
      </c>
      <c r="AE23" s="235" t="str">
        <f t="shared" si="9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23" s="234" t="str">
        <f t="shared" si="10"/>
        <v>"C:\Program Files (x86)\AstroGrep\AstroGrep.exe" /e /r /s /spath="%USERPROFILE%\AppData\Local\Temp\OnboardLogs" /stypes="app*4027*20171219*" /stext=" 13:.+((SYSTEM_STATE.+slice.+state.+changed )|(ment ac)|(multiple cpu faults)|(system.+state.+changed )|(\[timeout)|(PRM\|1\|D)|(kpr)|(kdp)|(train st.+moving)|(\|gpps)|(penalty))"</v>
      </c>
      <c r="AG23" s="244" t="str">
        <f t="shared" si="11"/>
        <v>EC</v>
      </c>
      <c r="AH23" s="236" t="str">
        <f t="shared" si="17"/>
        <v>"%USERPROFILE%\Documents\GitHub\eaglep3\Utilities\RefineRTDCRunTimes.py" --tripid 110-19 --locoid 4027 --swversion DE.1.0.9.0 --startMP 204:232991 --initTime 2017-12-19T05:40:30 --startdatetime 2017-12-19T05:42:24 --delay 46 --endMP 204:216 --enddatetime 2017-12-19T06:19:12 --enforcementcount 0 &gt;&gt;%USERPROFILE%\Documents\GitHub\eaglep3-reporting\EC\2017-12-19-refined-times.txt</v>
      </c>
      <c r="AI2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{"issue":{"subject":"","project_id":79,"tracker_id":40,"status_id":1,"priority_id":2,"assigned_to_id":338,"start_date":"2017-12-19","description":"","custom_fields":[{"id":1,"name":"Subdivision","value":"EC"},{"id":4,"name":"Milepost","value":"0.0216"},{"id":17,"name":"Train ID","value":"110-19"},{"id":16,"name":"Locomotive ID","value":"4027"},{"id":130,"name":"Impact","value":""},{"id":150,"name":"Time of Event (Mountain Time)","value":"06:19:12"},{"id":151,"name":"Denver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19"/>
        <v>start /low /b %USERPROFILE%\Documents\GitHub\eaglep3\Utilities\DownloadLogsFromS3.py --loco 4027 --day 2017-12-19</v>
      </c>
      <c r="AN2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1"/>
        <v>https://d0f6bd738d7f1b3e5a7ca70fe4ff75f0.us-east-1.aws.found.io/app/kibana#/discover/Steve-Slow-Train-Analysis-(2080s-and-2083s)?_g=(refreshInterval:(display:Off,pause:!f,section:0,value:0),time:(from:'2017-12-19T04:40:30-0700',mode:absolute,to:'2017-12-19T07:19:12-0700'))&amp;_a=(columns:!('Message%20ID',Summary),filters:!(),index:'emp_*',interval:auto,query:(query_string:(analyze_wildcard:!t,query:'%22rtdc.l.rtdc.4027%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718</v>
      </c>
      <c r="B24" s="225">
        <v>4056</v>
      </c>
      <c r="C24" s="227" t="s">
        <v>192</v>
      </c>
      <c r="D24" s="227" t="s">
        <v>923</v>
      </c>
      <c r="E24" s="226">
        <v>43088.204039351855</v>
      </c>
      <c r="F24" s="226">
        <v>43088.208645833336</v>
      </c>
      <c r="G24" s="225">
        <v>48</v>
      </c>
      <c r="H24" s="227" t="s">
        <v>924</v>
      </c>
      <c r="I24" s="226">
        <v>43088.233657407407</v>
      </c>
      <c r="J24" s="225">
        <v>0</v>
      </c>
      <c r="K24" s="237" t="str">
        <f t="shared" si="0"/>
        <v>4055/4056</v>
      </c>
      <c r="L24" s="245" t="str">
        <f>VLOOKUP(A24,'Trips&amp;Operators'!$C$1:$G$99911,5,FALSE)</f>
        <v>YORK EDGAR</v>
      </c>
      <c r="M24" s="224">
        <f t="shared" si="1"/>
        <v>2.5011574070958886E-2</v>
      </c>
      <c r="N24" s="225">
        <f t="shared" si="23"/>
        <v>36.016666662180796</v>
      </c>
      <c r="O24" s="225"/>
      <c r="P24" s="225"/>
      <c r="Q24" s="228"/>
      <c r="R24" s="242"/>
      <c r="S24" s="249">
        <f t="shared" si="22"/>
        <v>1</v>
      </c>
      <c r="T24" s="242" t="str">
        <f t="shared" si="2"/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3"/>
        <v>https://d0f6bd738d7f1b3e5a7ca70fe4ff75f0.us-east-1.aws.found.io/app/kibana#/discover/Steve-Slow-Train-Analysis-(2080s-and-2083s)?_g=(refreshInterval:(display:Off,pause:!f,section:0,value:0),time:(from:'2017-12-19T03:53:49-0700',mode:absolute,to:'2017-12-19T06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" s="247" t="str">
        <f>IF(AA24&lt;VLOOKUP(AG24,Variables!$AC$3:$AD$8,2,FALSE),"Y","N")</f>
        <v>N</v>
      </c>
      <c r="X24" s="247">
        <f t="shared" si="4"/>
        <v>1</v>
      </c>
      <c r="Y24" s="247">
        <f t="shared" si="5"/>
        <v>4.4400000000000002E-2</v>
      </c>
      <c r="Z24" s="247">
        <f t="shared" si="6"/>
        <v>23.330300000000001</v>
      </c>
      <c r="AA24" s="247">
        <f t="shared" si="7"/>
        <v>23.285900000000002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8"/>
        <v>111</v>
      </c>
      <c r="AE24" s="235" t="str">
        <f t="shared" si="9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24" s="234" t="str">
        <f t="shared" si="10"/>
        <v>"C:\Program Files (x86)\AstroGrep\AstroGrep.exe" /e /r /s /spath="%USERPROFILE%\AppData\Local\Temp\OnboardLogs" /stypes="app*4056*20171219*" /stext=" 12:.+((SYSTEM_STATE.+slice.+state.+changed )|(ment ac)|(multiple cpu faults)|(system.+state.+changed )|(\[timeout)|(PRM\|1\|D)|(kpr)|(kdp)|(train st.+moving)|(\|gpps)|(penalty))"</v>
      </c>
      <c r="AG24" s="244" t="str">
        <f t="shared" si="11"/>
        <v>EC</v>
      </c>
      <c r="AH24" s="236" t="str">
        <f t="shared" si="17"/>
        <v>"%USERPROFILE%\Documents\GitHub\eaglep3\Utilities\RefineRTDCRunTimes.py" --tripid 111-19 --locoid 4056 --swversion DE.1.0.9.0 --startMP 204:444 --initTime 2017-12-19T04:53:49 --startdatetime 2017-12-19T05:00:27 --delay 48 --endMP 204:233303 --enddatetime 2017-12-19T05:36:28 --enforcementcount 0 &gt;&gt;%USERPROFILE%\Documents\GitHub\eaglep3-reporting\EC\2017-12-19-refined-times.txt</v>
      </c>
      <c r="AI2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{"issue":{"subject":"","project_id":79,"tracker_id":40,"status_id":1,"priority_id":2,"assigned_to_id":338,"start_date":"2017-12-19","description":"","custom_fields":[{"id":1,"name":"Subdivision","value":"EC"},{"id":4,"name":"Milepost","value":"23.3303"},{"id":17,"name":"Train ID","value":"111-19"},{"id":16,"name":"Locomotive ID","value":"4056"},{"id":130,"name":"Impact","value":""},{"id":150,"name":"Time of Event (Mountain Time)","value":"05:36:28"},{"id":151,"name":"Denver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19"/>
        <v>start /low /b %USERPROFILE%\Documents\GitHub\eaglep3\Utilities\DownloadLogsFromS3.py --loco 4056 --day 2017-12-19</v>
      </c>
      <c r="AN2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1"/>
        <v>https://d0f6bd738d7f1b3e5a7ca70fe4ff75f0.us-east-1.aws.found.io/app/kibana#/discover/Steve-Slow-Train-Analysis-(2080s-and-2083s)?_g=(refreshInterval:(display:Off,pause:!f,section:0,value:0),time:(from:'2017-12-19T03:53:49-0700',mode:absolute,to:'2017-12-19T06:36:28-0700'))&amp;_a=(columns:!('Message%20ID',Summary),filters:!(),index:'emp_*',interval:auto,query:(query_string:(analyze_wildcard:!t,query:'%22rtdc.l.rtdc.4056%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731</v>
      </c>
      <c r="B25" s="225">
        <v>4055</v>
      </c>
      <c r="C25" s="227" t="s">
        <v>192</v>
      </c>
      <c r="D25" s="227" t="s">
        <v>558</v>
      </c>
      <c r="E25" s="226">
        <v>43088.235081018516</v>
      </c>
      <c r="F25" s="226">
        <v>43088.248101851852</v>
      </c>
      <c r="G25" s="225">
        <v>45</v>
      </c>
      <c r="H25" s="227" t="s">
        <v>589</v>
      </c>
      <c r="I25" s="226">
        <v>43088.273414351854</v>
      </c>
      <c r="J25" s="225">
        <v>0</v>
      </c>
      <c r="K25" s="237" t="str">
        <f t="shared" si="0"/>
        <v>4055/4056</v>
      </c>
      <c r="L25" s="245" t="str">
        <f>VLOOKUP(A25,'Trips&amp;Operators'!$C$1:$G$99911,5,FALSE)</f>
        <v>YORK EDGAR</v>
      </c>
      <c r="M25" s="224">
        <f t="shared" si="1"/>
        <v>2.531250000174623E-2</v>
      </c>
      <c r="N25" s="225">
        <f t="shared" si="23"/>
        <v>36.450000002514571</v>
      </c>
      <c r="O25" s="225"/>
      <c r="P25" s="225"/>
      <c r="Q25" s="228"/>
      <c r="R25" s="242"/>
      <c r="S25" s="249">
        <f t="shared" si="22"/>
        <v>1</v>
      </c>
      <c r="T25" s="242" t="str">
        <f t="shared" si="2"/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3"/>
        <v>https://d0f6bd738d7f1b3e5a7ca70fe4ff75f0.us-east-1.aws.found.io/app/kibana#/discover/Steve-Slow-Train-Analysis-(2080s-and-2083s)?_g=(refreshInterval:(display:Off,pause:!f,section:0,value:0),time:(from:'2017-12-19T04:38:31-0700',mode:absolute,to:'2017-12-19T07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5" s="247" t="str">
        <f>IF(AA25&lt;VLOOKUP(AG25,Variables!$AC$3:$AD$8,2,FALSE),"Y","N")</f>
        <v>N</v>
      </c>
      <c r="X25" s="247">
        <f t="shared" si="4"/>
        <v>1</v>
      </c>
      <c r="Y25" s="247">
        <f t="shared" si="5"/>
        <v>23.296099999999999</v>
      </c>
      <c r="Z25" s="247">
        <f t="shared" si="6"/>
        <v>1.6899999999999998E-2</v>
      </c>
      <c r="AA25" s="247">
        <f t="shared" si="7"/>
        <v>23.279199999999999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8"/>
        <v>112</v>
      </c>
      <c r="AE25" s="235" t="str">
        <f t="shared" si="9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25" s="234" t="str">
        <f t="shared" si="10"/>
        <v>"C:\Program Files (x86)\AstroGrep\AstroGrep.exe" /e /r /s /spath="%USERPROFILE%\AppData\Local\Temp\OnboardLogs" /stypes="app*4055*20171219*" /stext=" 13:.+((SYSTEM_STATE.+slice.+state.+changed )|(ment ac)|(multiple cpu faults)|(system.+state.+changed )|(\[timeout)|(PRM\|1\|D)|(kpr)|(kdp)|(train st.+moving)|(\|gpps)|(penalty))"</v>
      </c>
      <c r="AG25" s="244" t="str">
        <f t="shared" si="11"/>
        <v>EC</v>
      </c>
      <c r="AH25" s="236" t="str">
        <f t="shared" si="17"/>
        <v>"%USERPROFILE%\Documents\GitHub\eaglep3\Utilities\RefineRTDCRunTimes.py" --tripid 112-19 --locoid 4055 --swversion DE.1.0.9.0 --startMP 204:232961 --initTime 2017-12-19T05:38:31 --startdatetime 2017-12-19T05:57:16 --delay 45 --endMP 204:169 --enddatetime 2017-12-19T06:33:43 --enforcementcount 0 &gt;&gt;%USERPROFILE%\Documents\GitHub\eaglep3-reporting\EC\2017-12-19-refined-times.txt</v>
      </c>
      <c r="AI2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{"issue":{"subject":"","project_id":79,"tracker_id":40,"status_id":1,"priority_id":2,"assigned_to_id":338,"start_date":"2017-12-19","description":"","custom_fields":[{"id":1,"name":"Subdivision","value":"EC"},{"id":4,"name":"Milepost","value":"0.0169"},{"id":17,"name":"Train ID","value":"112-19"},{"id":16,"name":"Locomotive ID","value":"4055"},{"id":130,"name":"Impact","value":""},{"id":150,"name":"Time of Event (Mountain Time)","value":"06:33:43"},{"id":151,"name":"Denver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19"/>
        <v>start /low /b %USERPROFILE%\Documents\GitHub\eaglep3\Utilities\DownloadLogsFromS3.py --loco 4055 --day 2017-12-19</v>
      </c>
      <c r="AN2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1"/>
        <v>https://d0f6bd738d7f1b3e5a7ca70fe4ff75f0.us-east-1.aws.found.io/app/kibana#/discover/Steve-Slow-Train-Analysis-(2080s-and-2083s)?_g=(refreshInterval:(display:Off,pause:!f,section:0,value:0),time:(from:'2017-12-19T04:38:31-0700',mode:absolute,to:'2017-12-19T07:33:43-0700'))&amp;_a=(columns:!('Message%20ID',Summary),filters:!(),index:'emp_*',interval:auto,query:(query_string:(analyze_wildcard:!t,query:'%22rtdc.l.rtdc.4055%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721</v>
      </c>
      <c r="B26" s="225">
        <v>4064</v>
      </c>
      <c r="C26" s="227" t="s">
        <v>192</v>
      </c>
      <c r="D26" s="227" t="s">
        <v>630</v>
      </c>
      <c r="E26" s="226">
        <v>43088.212673611109</v>
      </c>
      <c r="F26" s="226">
        <v>43088.218958333331</v>
      </c>
      <c r="G26" s="225">
        <v>70</v>
      </c>
      <c r="H26" s="227" t="s">
        <v>925</v>
      </c>
      <c r="I26" s="226">
        <v>43088.243495370371</v>
      </c>
      <c r="J26" s="225">
        <v>0</v>
      </c>
      <c r="K26" s="237" t="str">
        <f t="shared" si="0"/>
        <v>4063/4064</v>
      </c>
      <c r="L26" s="245" t="str">
        <f>VLOOKUP(A26,'Trips&amp;Operators'!$C$1:$G$99911,5,FALSE)</f>
        <v>YANAI IAN</v>
      </c>
      <c r="M26" s="224">
        <f t="shared" si="1"/>
        <v>2.453703703940846E-2</v>
      </c>
      <c r="N26" s="225">
        <f t="shared" si="23"/>
        <v>35.333333336748183</v>
      </c>
      <c r="O26" s="225"/>
      <c r="P26" s="225"/>
      <c r="Q26" s="228"/>
      <c r="R26" s="242"/>
      <c r="S26" s="249">
        <f t="shared" si="22"/>
        <v>1</v>
      </c>
      <c r="T26" s="242" t="str">
        <f t="shared" si="2"/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3"/>
        <v>https://d0f6bd738d7f1b3e5a7ca70fe4ff75f0.us-east-1.aws.found.io/app/kibana#/discover/Steve-Slow-Train-Analysis-(2080s-and-2083s)?_g=(refreshInterval:(display:Off,pause:!f,section:0,value:0),time:(from:'2017-12-19T04:06:15-0700',mode:absolute,to:'2017-12-19T06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6" s="247" t="str">
        <f>IF(AA26&lt;VLOOKUP(AG26,Variables!$AC$3:$AD$8,2,FALSE),"Y","N")</f>
        <v>N</v>
      </c>
      <c r="X26" s="247">
        <f t="shared" si="4"/>
        <v>1</v>
      </c>
      <c r="Y26" s="247">
        <f t="shared" si="5"/>
        <v>4.5999999999999999E-2</v>
      </c>
      <c r="Z26" s="247">
        <f t="shared" si="6"/>
        <v>23.331700000000001</v>
      </c>
      <c r="AA26" s="247">
        <f t="shared" si="7"/>
        <v>23.285700000000002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8"/>
        <v>113</v>
      </c>
      <c r="AE26" s="235" t="str">
        <f t="shared" si="9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26" s="234" t="str">
        <f t="shared" si="10"/>
        <v>"C:\Program Files (x86)\AstroGrep\AstroGrep.exe" /e /r /s /spath="%USERPROFILE%\AppData\Local\Temp\OnboardLogs" /stypes="app*4064*20171219*" /stext=" 12:.+((SYSTEM_STATE.+slice.+state.+changed )|(ment ac)|(multiple cpu faults)|(system.+state.+changed )|(\[timeout)|(PRM\|1\|D)|(kpr)|(kdp)|(train st.+moving)|(\|gpps)|(penalty))"</v>
      </c>
      <c r="AG26" s="244" t="str">
        <f t="shared" si="11"/>
        <v>EC</v>
      </c>
      <c r="AH26" s="236" t="str">
        <f t="shared" si="17"/>
        <v>"%USERPROFILE%\Documents\GitHub\eaglep3\Utilities\RefineRTDCRunTimes.py" --tripid 113-19 --locoid 4064 --swversion DE.1.0.9.0 --startMP 204:460 --initTime 2017-12-19T05:06:15 --startdatetime 2017-12-19T05:15:18 --delay 70 --endMP 204:233317 --enddatetime 2017-12-19T05:50:38 --enforcementcount 0 &gt;&gt;%USERPROFILE%\Documents\GitHub\eaglep3-reporting\EC\2017-12-19-refined-times.txt</v>
      </c>
      <c r="AI2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{"issue":{"subject":"","project_id":79,"tracker_id":40,"status_id":1,"priority_id":2,"assigned_to_id":338,"start_date":"2017-12-19","description":"","custom_fields":[{"id":1,"name":"Subdivision","value":"EC"},{"id":4,"name":"Milepost","value":"23.3317"},{"id":17,"name":"Train ID","value":"113-19"},{"id":16,"name":"Locomotive ID","value":"4064"},{"id":130,"name":"Impact","value":""},{"id":150,"name":"Time of Event (Mountain Time)","value":"05:50:38"},{"id":151,"name":"Denver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19"/>
        <v>start /low /b %USERPROFILE%\Documents\GitHub\eaglep3\Utilities\DownloadLogsFromS3.py --loco 4064 --day 2017-12-19</v>
      </c>
      <c r="AN2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1"/>
        <v>https://d0f6bd738d7f1b3e5a7ca70fe4ff75f0.us-east-1.aws.found.io/app/kibana#/discover/Steve-Slow-Train-Analysis-(2080s-and-2083s)?_g=(refreshInterval:(display:Off,pause:!f,section:0,value:0),time:(from:'2017-12-19T04:06:15-0700',mode:absolute,to:'2017-12-19T06:50:38-0700'))&amp;_a=(columns:!('Message%20ID',Summary),filters:!(),index:'emp_*',interval:auto,query:(query_string:(analyze_wildcard:!t,query:'%22rtdc.l.rtdc.4064%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734</v>
      </c>
      <c r="B27" s="225">
        <v>4063</v>
      </c>
      <c r="C27" s="227" t="s">
        <v>192</v>
      </c>
      <c r="D27" s="227" t="s">
        <v>553</v>
      </c>
      <c r="E27" s="226">
        <v>43088.245034722226</v>
      </c>
      <c r="F27" s="226">
        <v>43088.258506944447</v>
      </c>
      <c r="G27" s="225">
        <v>58</v>
      </c>
      <c r="H27" s="227" t="s">
        <v>926</v>
      </c>
      <c r="I27" s="226">
        <v>43088.283784722225</v>
      </c>
      <c r="J27" s="225">
        <v>0</v>
      </c>
      <c r="K27" s="237" t="str">
        <f t="shared" si="0"/>
        <v>4063/4064</v>
      </c>
      <c r="L27" s="245" t="str">
        <f>VLOOKUP(A27,'Trips&amp;Operators'!$C$1:$G$99911,5,FALSE)</f>
        <v>YANAI IAN</v>
      </c>
      <c r="M27" s="224">
        <f t="shared" si="1"/>
        <v>2.527777777868323E-2</v>
      </c>
      <c r="N27" s="225">
        <f t="shared" si="23"/>
        <v>36.400000001303852</v>
      </c>
      <c r="O27" s="225"/>
      <c r="P27" s="225"/>
      <c r="Q27" s="228"/>
      <c r="R27" s="242"/>
      <c r="S27" s="249">
        <f t="shared" si="22"/>
        <v>1</v>
      </c>
      <c r="T27" s="242" t="str">
        <f t="shared" si="2"/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3"/>
        <v>https://d0f6bd738d7f1b3e5a7ca70fe4ff75f0.us-east-1.aws.found.io/app/kibana#/discover/Steve-Slow-Train-Analysis-(2080s-and-2083s)?_g=(refreshInterval:(display:Off,pause:!f,section:0,value:0),time:(from:'2017-12-19T04:52:51-0700',mode:absolute,to:'2017-12-19T07:48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7" s="247" t="str">
        <f>IF(AA27&lt;VLOOKUP(AG27,Variables!$AC$3:$AD$8,2,FALSE),"Y","N")</f>
        <v>N</v>
      </c>
      <c r="X27" s="247">
        <f t="shared" si="4"/>
        <v>1</v>
      </c>
      <c r="Y27" s="247">
        <f t="shared" si="5"/>
        <v>23.299600000000002</v>
      </c>
      <c r="Z27" s="247">
        <f t="shared" si="6"/>
        <v>2.1100000000000001E-2</v>
      </c>
      <c r="AA27" s="247">
        <f t="shared" si="7"/>
        <v>23.278500000000001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8"/>
        <v>114</v>
      </c>
      <c r="AE27" s="235" t="str">
        <f t="shared" si="9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27" s="234" t="str">
        <f t="shared" si="10"/>
        <v>"C:\Program Files (x86)\AstroGrep\AstroGrep.exe" /e /r /s /spath="%USERPROFILE%\AppData\Local\Temp\OnboardLogs" /stypes="app*4063*20171219*" /stext=" 13:.+((SYSTEM_STATE.+slice.+state.+changed )|(ment ac)|(multiple cpu faults)|(system.+state.+changed )|(\[timeout)|(PRM\|1\|D)|(kpr)|(kdp)|(train st.+moving)|(\|gpps)|(penalty))"</v>
      </c>
      <c r="AG27" s="244" t="str">
        <f t="shared" si="11"/>
        <v>EC</v>
      </c>
      <c r="AH27" s="236" t="str">
        <f t="shared" si="17"/>
        <v>"%USERPROFILE%\Documents\GitHub\eaglep3\Utilities\RefineRTDCRunTimes.py" --tripid 114-19 --locoid 4063 --swversion DE.1.0.9.0 --startMP 204:232996 --initTime 2017-12-19T05:52:51 --startdatetime 2017-12-19T06:12:15 --delay 58 --endMP 204:211 --enddatetime 2017-12-19T06:48:39 --enforcementcount 0 &gt;&gt;%USERPROFILE%\Documents\GitHub\eaglep3-reporting\EC\2017-12-19-refined-times.txt</v>
      </c>
      <c r="AI2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{"issue":{"subject":"","project_id":79,"tracker_id":40,"status_id":1,"priority_id":2,"assigned_to_id":338,"start_date":"2017-12-19","description":"","custom_fields":[{"id":1,"name":"Subdivision","value":"EC"},{"id":4,"name":"Milepost","value":"0.0211"},{"id":17,"name":"Train ID","value":"114-19"},{"id":16,"name":"Locomotive ID","value":"4063"},{"id":130,"name":"Impact","value":""},{"id":150,"name":"Time of Event (Mountain Time)","value":"06:48:39"},{"id":151,"name":"Denver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19"/>
        <v>start /low /b %USERPROFILE%\Documents\GitHub\eaglep3\Utilities\DownloadLogsFromS3.py --loco 4063 --day 2017-12-19</v>
      </c>
      <c r="AN2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1"/>
        <v>https://d0f6bd738d7f1b3e5a7ca70fe4ff75f0.us-east-1.aws.found.io/app/kibana#/discover/Steve-Slow-Train-Analysis-(2080s-and-2083s)?_g=(refreshInterval:(display:Off,pause:!f,section:0,value:0),time:(from:'2017-12-19T04:52:51-0700',mode:absolute,to:'2017-12-19T07:48:39-0700'))&amp;_a=(columns:!('Message%20ID',Summary),filters:!(),index:'emp_*',interval:auto,query:(query_string:(analyze_wildcard:!t,query:'%22rtdc.l.rtdc.4063%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724</v>
      </c>
      <c r="B28" s="225">
        <v>4040</v>
      </c>
      <c r="C28" s="227" t="s">
        <v>192</v>
      </c>
      <c r="D28" s="227" t="s">
        <v>927</v>
      </c>
      <c r="E28" s="226">
        <v>43088.224386574075</v>
      </c>
      <c r="F28" s="226">
        <v>43088.229363425926</v>
      </c>
      <c r="G28" s="225">
        <v>71</v>
      </c>
      <c r="H28" s="227" t="s">
        <v>928</v>
      </c>
      <c r="I28" s="226">
        <v>43088.255069444444</v>
      </c>
      <c r="J28" s="225">
        <v>0</v>
      </c>
      <c r="K28" s="237" t="str">
        <f t="shared" si="0"/>
        <v>4039/4040</v>
      </c>
      <c r="L28" s="245" t="str">
        <f>VLOOKUP(A28,'Trips&amp;Operators'!$C$1:$G$99911,5,FALSE)</f>
        <v>ACKERMAN JARED</v>
      </c>
      <c r="M28" s="224">
        <f t="shared" si="1"/>
        <v>2.5706018517666962E-2</v>
      </c>
      <c r="N28" s="225">
        <f t="shared" si="23"/>
        <v>37.016666665440425</v>
      </c>
      <c r="O28" s="225"/>
      <c r="P28" s="225"/>
      <c r="Q28" s="228"/>
      <c r="R28" s="242"/>
      <c r="S28" s="249">
        <f t="shared" si="22"/>
        <v>1</v>
      </c>
      <c r="T28" s="242" t="str">
        <f t="shared" si="2"/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3"/>
        <v>https://d0f6bd738d7f1b3e5a7ca70fe4ff75f0.us-east-1.aws.found.io/app/kibana#/discover/Steve-Slow-Train-Analysis-(2080s-and-2083s)?_g=(refreshInterval:(display:Off,pause:!f,section:0,value:0),time:(from:'2017-12-19T04:23:07-0700',mode:absolute,to:'2017-12-19T07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8" s="247" t="str">
        <f>IF(AA28&lt;VLOOKUP(AG28,Variables!$AC$3:$AD$8,2,FALSE),"Y","N")</f>
        <v>N</v>
      </c>
      <c r="X28" s="247">
        <f t="shared" si="4"/>
        <v>1</v>
      </c>
      <c r="Y28" s="247">
        <f t="shared" si="5"/>
        <v>4.6399999999999997E-2</v>
      </c>
      <c r="Z28" s="247">
        <f t="shared" si="6"/>
        <v>23.333600000000001</v>
      </c>
      <c r="AA28" s="247">
        <f t="shared" si="7"/>
        <v>23.287200000000002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8"/>
        <v>115</v>
      </c>
      <c r="AE28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28" s="234" t="str">
        <f t="shared" si="10"/>
        <v>"C:\Program Files (x86)\AstroGrep\AstroGrep.exe" /e /r /s /spath="%USERPROFILE%\AppData\Local\Temp\OnboardLogs" /stypes="app*4040*20171219*" /stext=" 13:.+((SYSTEM_STATE.+slice.+state.+changed )|(ment ac)|(multiple cpu faults)|(system.+state.+changed )|(\[timeout)|(PRM\|1\|D)|(kpr)|(kdp)|(train st.+moving)|(\|gpps)|(penalty))"</v>
      </c>
      <c r="AG28" s="244" t="str">
        <f t="shared" si="11"/>
        <v>EC</v>
      </c>
      <c r="AH28" s="236" t="str">
        <f t="shared" si="17"/>
        <v>"%USERPROFILE%\Documents\GitHub\eaglep3\Utilities\RefineRTDCRunTimes.py" --tripid 115-19 --locoid 4040 --swversion DE.1.0.9.0 --startMP 204:464 --initTime 2017-12-19T05:23:07 --startdatetime 2017-12-19T05:30:17 --delay 71 --endMP 204:233336 --enddatetime 2017-12-19T06:07:18 --enforcementcount 0 &gt;&gt;%USERPROFILE%\Documents\GitHub\eaglep3-reporting\EC\2017-12-19-refined-times.txt</v>
      </c>
      <c r="AI2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{"issue":{"subject":"","project_id":79,"tracker_id":40,"status_id":1,"priority_id":2,"assigned_to_id":338,"start_date":"2017-12-19","description":"","custom_fields":[{"id":1,"name":"Subdivision","value":"EC"},{"id":4,"name":"Milepost","value":"23.3336"},{"id":17,"name":"Train ID","value":"115-19"},{"id":16,"name":"Locomotive ID","value":"4040"},{"id":130,"name":"Impact","value":""},{"id":150,"name":"Time of Event (Mountain Time)","value":"06:07:18"},{"id":151,"name":"Denver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19"/>
        <v>start /low /b %USERPROFILE%\Documents\GitHub\eaglep3\Utilities\DownloadLogsFromS3.py --loco 4040 --day 2017-12-19</v>
      </c>
      <c r="AN2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1"/>
        <v>https://d0f6bd738d7f1b3e5a7ca70fe4ff75f0.us-east-1.aws.found.io/app/kibana#/discover/Steve-Slow-Train-Analysis-(2080s-and-2083s)?_g=(refreshInterval:(display:Off,pause:!f,section:0,value:0),time:(from:'2017-12-19T04:23:07-0700',mode:absolute,to:'2017-12-19T07:07:18-0700'))&amp;_a=(columns:!('Message%20ID',Summary),filters:!(),index:'emp_*',interval:auto,query:(query_string:(analyze_wildcard:!t,query:'%22rtdc.l.rtdc.4040%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737</v>
      </c>
      <c r="B29" s="225">
        <v>4039</v>
      </c>
      <c r="C29" s="227" t="s">
        <v>192</v>
      </c>
      <c r="D29" s="227" t="s">
        <v>552</v>
      </c>
      <c r="E29" s="226">
        <v>43088.262106481481</v>
      </c>
      <c r="F29" s="226">
        <v>43088.268912037034</v>
      </c>
      <c r="G29" s="225">
        <v>99</v>
      </c>
      <c r="H29" s="227" t="s">
        <v>929</v>
      </c>
      <c r="I29" s="226">
        <v>43088.296539351853</v>
      </c>
      <c r="J29" s="225">
        <v>0</v>
      </c>
      <c r="K29" s="237" t="str">
        <f t="shared" si="0"/>
        <v>4039/4040</v>
      </c>
      <c r="L29" s="245" t="str">
        <f>VLOOKUP(A29,'Trips&amp;Operators'!$C$1:$G$99911,5,FALSE)</f>
        <v>ACKERMAN JARED</v>
      </c>
      <c r="M29" s="224">
        <f t="shared" si="1"/>
        <v>2.7627314819255844E-2</v>
      </c>
      <c r="N29" s="225">
        <f t="shared" si="23"/>
        <v>39.783333339728415</v>
      </c>
      <c r="O29" s="225"/>
      <c r="P29" s="225"/>
      <c r="Q29" s="228"/>
      <c r="R29" s="242"/>
      <c r="S29" s="249">
        <f t="shared" si="22"/>
        <v>1</v>
      </c>
      <c r="T29" s="242" t="str">
        <f t="shared" si="2"/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3"/>
        <v>https://d0f6bd738d7f1b3e5a7ca70fe4ff75f0.us-east-1.aws.found.io/app/kibana#/discover/Steve-Slow-Train-Analysis-(2080s-and-2083s)?_g=(refreshInterval:(display:Off,pause:!f,section:0,value:0),time:(from:'2017-12-19T05:17:26-0700',mode:absolute,to:'2017-12-19T08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9" s="247" t="str">
        <f>IF(AA29&lt;VLOOKUP(AG29,Variables!$AC$3:$AD$8,2,FALSE),"Y","N")</f>
        <v>N</v>
      </c>
      <c r="X29" s="247">
        <f t="shared" si="4"/>
        <v>1</v>
      </c>
      <c r="Y29" s="247">
        <f t="shared" si="5"/>
        <v>23.2986</v>
      </c>
      <c r="Z29" s="247">
        <f t="shared" si="6"/>
        <v>1.49E-2</v>
      </c>
      <c r="AA29" s="247">
        <f t="shared" si="7"/>
        <v>23.2837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8"/>
        <v>116</v>
      </c>
      <c r="AE29" s="235" t="str">
        <f t="shared" si="9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29" s="234" t="str">
        <f t="shared" si="10"/>
        <v>"C:\Program Files (x86)\AstroGrep\AstroGrep.exe" /e /r /s /spath="%USERPROFILE%\AppData\Local\Temp\OnboardLogs" /stypes="app*4039*20171219*" /stext=" 14:.+((SYSTEM_STATE.+slice.+state.+changed )|(ment ac)|(multiple cpu faults)|(system.+state.+changed )|(\[timeout)|(PRM\|1\|D)|(kpr)|(kdp)|(train st.+moving)|(\|gpps)|(penalty))"</v>
      </c>
      <c r="AG29" s="244" t="str">
        <f t="shared" si="11"/>
        <v>EC</v>
      </c>
      <c r="AH29" s="236" t="str">
        <f t="shared" si="17"/>
        <v>"%USERPROFILE%\Documents\GitHub\eaglep3\Utilities\RefineRTDCRunTimes.py" --tripid 116-19 --locoid 4039 --swversion DE.1.0.9.0 --startMP 204:232986 --initTime 2017-12-19T06:17:26 --startdatetime 2017-12-19T06:27:14 --delay 99 --endMP 204:149 --enddatetime 2017-12-19T07:07:01 --enforcementcount 0 &gt;&gt;%USERPROFILE%\Documents\GitHub\eaglep3-reporting\EC\2017-12-19-refined-times.txt</v>
      </c>
      <c r="AI2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{"issue":{"subject":"","project_id":79,"tracker_id":40,"status_id":1,"priority_id":2,"assigned_to_id":338,"start_date":"2017-12-19","description":"","custom_fields":[{"id":1,"name":"Subdivision","value":"EC"},{"id":4,"name":"Milepost","value":"0.0149"},{"id":17,"name":"Train ID","value":"116-19"},{"id":16,"name":"Locomotive ID","value":"4039"},{"id":130,"name":"Impact","value":""},{"id":150,"name":"Time of Event (Mountain Time)","value":"07:07:01"},{"id":151,"name":"Denver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19"/>
        <v>start /low /b %USERPROFILE%\Documents\GitHub\eaglep3\Utilities\DownloadLogsFromS3.py --loco 4039 --day 2017-12-19</v>
      </c>
      <c r="AN2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1"/>
        <v>https://d0f6bd738d7f1b3e5a7ca70fe4ff75f0.us-east-1.aws.found.io/app/kibana#/discover/Steve-Slow-Train-Analysis-(2080s-and-2083s)?_g=(refreshInterval:(display:Off,pause:!f,section:0,value:0),time:(from:'2017-12-19T05:17:26-0700',mode:absolute,to:'2017-12-19T08:07:01-0700'))&amp;_a=(columns:!('Message%20ID',Summary),filters:!(),index:'emp_*',interval:auto,query:(query_string:(analyze_wildcard:!t,query:'%22rtdc.l.rtdc.4039%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726</v>
      </c>
      <c r="B30" s="225">
        <v>4032</v>
      </c>
      <c r="C30" s="227" t="s">
        <v>192</v>
      </c>
      <c r="D30" s="227" t="s">
        <v>576</v>
      </c>
      <c r="E30" s="226">
        <v>43088.225740740738</v>
      </c>
      <c r="F30" s="226">
        <v>43088.240740740737</v>
      </c>
      <c r="G30" s="225">
        <v>920</v>
      </c>
      <c r="H30" s="227" t="s">
        <v>641</v>
      </c>
      <c r="I30" s="226">
        <v>43088.265069444446</v>
      </c>
      <c r="J30" s="225">
        <v>0</v>
      </c>
      <c r="K30" s="237" t="str">
        <f t="shared" si="0"/>
        <v>4031/4032</v>
      </c>
      <c r="L30" s="245" t="str">
        <f>VLOOKUP(A30,'Trips&amp;Operators'!$C$1:$G$99911,5,FALSE)</f>
        <v>MACDONALD THOMAS</v>
      </c>
      <c r="M30" s="224">
        <f t="shared" si="1"/>
        <v>2.4328703708306421E-2</v>
      </c>
      <c r="N30" s="225">
        <f t="shared" si="23"/>
        <v>35.033333339961246</v>
      </c>
      <c r="O30" s="225"/>
      <c r="P30" s="225"/>
      <c r="Q30" s="228"/>
      <c r="R30" s="242" t="s">
        <v>1081</v>
      </c>
      <c r="S30" s="249">
        <f t="shared" si="22"/>
        <v>1</v>
      </c>
      <c r="T30" s="242" t="str">
        <f t="shared" si="2"/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3"/>
        <v>https://d0f6bd738d7f1b3e5a7ca70fe4ff75f0.us-east-1.aws.found.io/app/kibana#/discover/Steve-Slow-Train-Analysis-(2080s-and-2083s)?_g=(refreshInterval:(display:Off,pause:!f,section:0,value:0),time:(from:'2017-12-19T04:25:04-0700',mode:absolute,to:'2017-12-19T07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0" s="247" t="str">
        <f>IF(AA30&lt;VLOOKUP(AG30,Variables!$AC$3:$AD$8,2,FALSE),"Y","N")</f>
        <v>N</v>
      </c>
      <c r="X30" s="247">
        <f t="shared" si="4"/>
        <v>1</v>
      </c>
      <c r="Y30" s="247">
        <f t="shared" si="5"/>
        <v>5.3999999999999999E-2</v>
      </c>
      <c r="Z30" s="247">
        <f t="shared" si="6"/>
        <v>23.324200000000001</v>
      </c>
      <c r="AA30" s="247">
        <f t="shared" si="7"/>
        <v>23.270200000000003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8"/>
        <v>117</v>
      </c>
      <c r="AE30" s="235" t="str">
        <f t="shared" si="9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30" s="234" t="str">
        <f t="shared" si="10"/>
        <v>"C:\Program Files (x86)\AstroGrep\AstroGrep.exe" /e /r /s /spath="%USERPROFILE%\AppData\Local\Temp\OnboardLogs" /stypes="app*4032*20171219*" /stext=" 13:.+((SYSTEM_STATE.+slice.+state.+changed )|(ment ac)|(multiple cpu faults)|(system.+state.+changed )|(\[timeout)|(PRM\|1\|D)|(kpr)|(kdp)|(train st.+moving)|(\|gpps)|(penalty))"</v>
      </c>
      <c r="AG30" s="244" t="str">
        <f t="shared" si="11"/>
        <v>EC</v>
      </c>
      <c r="AH30" s="236" t="str">
        <f t="shared" si="17"/>
        <v>"%USERPROFILE%\Documents\GitHub\eaglep3\Utilities\RefineRTDCRunTimes.py" --tripid 117-19 --locoid 4032 --swversion DE.1.0.9.0 --startMP 204:540 --initTime 2017-12-19T05:25:04 --startdatetime 2017-12-19T05:46:40 --delay 920 --endMP 204:233242 --enddatetime 2017-12-19T06:21:42 --enforcementcount 0 &gt;&gt;%USERPROFILE%\Documents\GitHub\eaglep3-reporting\EC\2017-12-19-refined-times.txt</v>
      </c>
      <c r="AI30" s="238" t="str">
        <f t="shared" si="18"/>
        <v>echo {"issue":{"subject":"Observed poor GPS @ DUS","project_id":79,"tracker_id":40,"status_id":1,"priority_id":2,"assigned_to_id":338,"start_date":"2017-12-19","description":"","custom_fields":[{"id":1,"name":"Subdivision","value":"EC"},{"id":4,"name":"Milepost","value":"23.3242"},{"id":17,"name":"Train ID","value":"117-19"},{"id":16,"name":"Locomotive ID","value":"4032"},{"id":130,"name":"Impact","value":""},{"id":150,"name":"Time of Event (Mountain Time)","value":"06:21:42"},{"id":151,"name":"Denver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19"/>
        <v>start /low /b %USERPROFILE%\Documents\GitHub\eaglep3\Utilities\DownloadLogsFromS3.py --loco 4032 --day 2017-12-19</v>
      </c>
      <c r="AN30" s="241" t="str">
        <f t="shared" si="20"/>
        <v>echo {"issue":{"subject":"Observed poor GPS @ DUS","project_id":30,"tracker_id":4,"status_id":1,"priority_id":1,"assigned_to_id":10,"start_date":"2017-12-19","description":"","custom_fields":[{"id":30,"name":"Category","value":"Issue"},{"id":3,"name":"Functional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1"/>
        <v>https://d0f6bd738d7f1b3e5a7ca70fe4ff75f0.us-east-1.aws.found.io/app/kibana#/discover/Steve-Slow-Train-Analysis-(2080s-and-2083s)?_g=(refreshInterval:(display:Off,pause:!f,section:0,value:0),time:(from:'2017-12-19T04:25:04-0700',mode:absolute,to:'2017-12-19T07:21:42-0700'))&amp;_a=(columns:!('Message%20ID',Summary),filters:!(),index:'emp_*',interval:auto,query:(query_string:(analyze_wildcard:!t,query:'%22rtdc.l.rtdc.4032%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679</v>
      </c>
      <c r="B31" s="225">
        <v>4031</v>
      </c>
      <c r="C31" s="227" t="s">
        <v>192</v>
      </c>
      <c r="D31" s="227" t="s">
        <v>646</v>
      </c>
      <c r="E31" s="226">
        <v>43088.266736111109</v>
      </c>
      <c r="F31" s="226">
        <v>43088.279351851852</v>
      </c>
      <c r="G31" s="225">
        <v>95</v>
      </c>
      <c r="H31" s="227" t="s">
        <v>564</v>
      </c>
      <c r="I31" s="226">
        <v>43088.305069444446</v>
      </c>
      <c r="J31" s="225">
        <v>0</v>
      </c>
      <c r="K31" s="237" t="str">
        <f t="shared" si="0"/>
        <v>4031/4032</v>
      </c>
      <c r="L31" s="245" t="str">
        <f>VLOOKUP(A31,'Trips&amp;Operators'!$C$1:$G$99911,5,FALSE)</f>
        <v>MACDONALD THOMAS</v>
      </c>
      <c r="M31" s="224">
        <f t="shared" si="1"/>
        <v>2.5717592594446614E-2</v>
      </c>
      <c r="N31" s="225">
        <f t="shared" si="23"/>
        <v>37.033333336003125</v>
      </c>
      <c r="O31" s="225"/>
      <c r="P31" s="225"/>
      <c r="Q31" s="228"/>
      <c r="R31" s="242"/>
      <c r="S31" s="249">
        <f t="shared" si="22"/>
        <v>1</v>
      </c>
      <c r="T31" s="242" t="str">
        <f t="shared" si="2"/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3"/>
        <v>https://d0f6bd738d7f1b3e5a7ca70fe4ff75f0.us-east-1.aws.found.io/app/kibana#/discover/Steve-Slow-Train-Analysis-(2080s-and-2083s)?_g=(refreshInterval:(display:Off,pause:!f,section:0,value:0),time:(from:'2017-12-19T05:24:06-0700',mode:absolute,to:'2017-12-19T08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247" t="str">
        <f>IF(AA31&lt;VLOOKUP(AG31,Variables!$AC$3:$AD$8,2,FALSE),"Y","N")</f>
        <v>N</v>
      </c>
      <c r="X31" s="247">
        <f t="shared" si="4"/>
        <v>1</v>
      </c>
      <c r="Y31" s="247">
        <f t="shared" si="5"/>
        <v>23.2928</v>
      </c>
      <c r="Z31" s="247">
        <f t="shared" si="6"/>
        <v>0.02</v>
      </c>
      <c r="AA31" s="247">
        <f t="shared" si="7"/>
        <v>23.2728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8"/>
        <v>118</v>
      </c>
      <c r="AE31" s="235" t="str">
        <f t="shared" si="9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31" s="234" t="str">
        <f t="shared" si="10"/>
        <v>"C:\Program Files (x86)\AstroGrep\AstroGrep.exe" /e /r /s /spath="%USERPROFILE%\AppData\Local\Temp\OnboardLogs" /stypes="app*4031*20171219*" /stext=" 14:.+((SYSTEM_STATE.+slice.+state.+changed )|(ment ac)|(multiple cpu faults)|(system.+state.+changed )|(\[timeout)|(PRM\|1\|D)|(kpr)|(kdp)|(train st.+moving)|(\|gpps)|(penalty))"</v>
      </c>
      <c r="AG31" s="244" t="str">
        <f t="shared" si="11"/>
        <v>EC</v>
      </c>
      <c r="AH31" s="236" t="str">
        <f t="shared" si="17"/>
        <v>"%USERPROFILE%\Documents\GitHub\eaglep3\Utilities\RefineRTDCRunTimes.py" --tripid 118-19 --locoid 4031 --swversion DE.1.0.9.0 --startMP 204:232928 --initTime 2017-12-19T06:24:06 --startdatetime 2017-12-19T06:42:16 --delay 95 --endMP 204:200 --enddatetime 2017-12-19T07:19:18 --enforcementcount 0 &gt;&gt;%USERPROFILE%\Documents\GitHub\eaglep3-reporting\EC\2017-12-19-refined-times.txt</v>
      </c>
      <c r="AI3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{"issue":{"subject":"","project_id":79,"tracker_id":40,"status_id":1,"priority_id":2,"assigned_to_id":338,"start_date":"2017-12-19","description":"","custom_fields":[{"id":1,"name":"Subdivision","value":"EC"},{"id":4,"name":"Milepost","value":"0.02"},{"id":17,"name":"Train ID","value":"118-19"},{"id":16,"name":"Locomotive ID","value":"4031"},{"id":130,"name":"Impact","value":""},{"id":150,"name":"Time of Event (Mountain Time)","value":"07:19:18"},{"id":151,"name":"Denver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19"/>
        <v>start /low /b %USERPROFILE%\Documents\GitHub\eaglep3\Utilities\DownloadLogsFromS3.py --loco 4031 --day 2017-12-19</v>
      </c>
      <c r="AN3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1"/>
        <v>https://d0f6bd738d7f1b3e5a7ca70fe4ff75f0.us-east-1.aws.found.io/app/kibana#/discover/Steve-Slow-Train-Analysis-(2080s-and-2083s)?_g=(refreshInterval:(display:Off,pause:!f,section:0,value:0),time:(from:'2017-12-19T05:24:06-0700',mode:absolute,to:'2017-12-19T08:19:18-0700'))&amp;_a=(columns:!('Message%20ID',Summary),filters:!(),index:'emp_*',interval:auto,query:(query_string:(analyze_wildcard:!t,query:'%22rtdc.l.rtdc.4031%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677</v>
      </c>
      <c r="B32" s="225">
        <v>4018</v>
      </c>
      <c r="C32" s="227" t="s">
        <v>192</v>
      </c>
      <c r="D32" s="227" t="s">
        <v>577</v>
      </c>
      <c r="E32" s="226">
        <v>43088.246238425927</v>
      </c>
      <c r="F32" s="226">
        <v>43088.250150462962</v>
      </c>
      <c r="G32" s="225">
        <v>58</v>
      </c>
      <c r="H32" s="227" t="s">
        <v>930</v>
      </c>
      <c r="I32" s="226">
        <v>43088.273773148147</v>
      </c>
      <c r="J32" s="225">
        <v>0</v>
      </c>
      <c r="K32" s="237" t="str">
        <f t="shared" si="0"/>
        <v>4017/4018</v>
      </c>
      <c r="L32" s="245" t="str">
        <f>VLOOKUP(A32,'Trips&amp;Operators'!$C$1:$G$99911,5,FALSE)</f>
        <v>BIRENBAUM THOMAS</v>
      </c>
      <c r="M32" s="224">
        <f t="shared" si="1"/>
        <v>2.3622685184818693E-2</v>
      </c>
      <c r="N32" s="225">
        <f t="shared" si="23"/>
        <v>34.016666666138917</v>
      </c>
      <c r="O32" s="225"/>
      <c r="P32" s="225"/>
      <c r="Q32" s="228"/>
      <c r="R32" s="242"/>
      <c r="S32" s="249">
        <f t="shared" si="22"/>
        <v>1</v>
      </c>
      <c r="T32" s="242" t="str">
        <f t="shared" si="2"/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3"/>
        <v>https://d0f6bd738d7f1b3e5a7ca70fe4ff75f0.us-east-1.aws.found.io/app/kibana#/discover/Steve-Slow-Train-Analysis-(2080s-and-2083s)?_g=(refreshInterval:(display:Off,pause:!f,section:0,value:0),time:(from:'2017-12-19T04:54:35-0700',mode:absolute,to:'2017-12-19T07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247" t="str">
        <f>IF(AA32&lt;VLOOKUP(AG32,Variables!$AC$3:$AD$8,2,FALSE),"Y","N")</f>
        <v>N</v>
      </c>
      <c r="X32" s="247">
        <f t="shared" si="4"/>
        <v>1</v>
      </c>
      <c r="Y32" s="247">
        <f t="shared" si="5"/>
        <v>4.8399999999999999E-2</v>
      </c>
      <c r="Z32" s="247">
        <f t="shared" si="6"/>
        <v>23.323</v>
      </c>
      <c r="AA32" s="247">
        <f t="shared" si="7"/>
        <v>23.2746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8"/>
        <v>119</v>
      </c>
      <c r="AE32" s="235" t="str">
        <f t="shared" si="9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32" s="234" t="str">
        <f t="shared" si="10"/>
        <v>"C:\Program Files (x86)\AstroGrep\AstroGrep.exe" /e /r /s /spath="%USERPROFILE%\AppData\Local\Temp\OnboardLogs" /stypes="app*4018*20171219*" /stext=" 13:.+((SYSTEM_STATE.+slice.+state.+changed )|(ment ac)|(multiple cpu faults)|(system.+state.+changed )|(\[timeout)|(PRM\|1\|D)|(kpr)|(kdp)|(train st.+moving)|(\|gpps)|(penalty))"</v>
      </c>
      <c r="AG32" s="244" t="str">
        <f t="shared" si="11"/>
        <v>EC</v>
      </c>
      <c r="AH32" s="236" t="str">
        <f t="shared" si="17"/>
        <v>"%USERPROFILE%\Documents\GitHub\eaglep3\Utilities\RefineRTDCRunTimes.py" --tripid 119-19 --locoid 4018 --swversion DE.1.0.9.0 --startMP 204:484 --initTime 2017-12-19T05:54:35 --startdatetime 2017-12-19T06:00:13 --delay 58 --endMP 204:233230 --enddatetime 2017-12-19T06:34:14 --enforcementcount 0 &gt;&gt;%USERPROFILE%\Documents\GitHub\eaglep3-reporting\EC\2017-12-19-refined-times.txt</v>
      </c>
      <c r="AI3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{"issue":{"subject":"","project_id":79,"tracker_id":40,"status_id":1,"priority_id":2,"assigned_to_id":338,"start_date":"2017-12-19","description":"","custom_fields":[{"id":1,"name":"Subdivision","value":"EC"},{"id":4,"name":"Milepost","value":"23.323"},{"id":17,"name":"Train ID","value":"119-19"},{"id":16,"name":"Locomotive ID","value":"4018"},{"id":130,"name":"Impact","value":""},{"id":150,"name":"Time of Event (Mountain Time)","value":"06:34:14"},{"id":151,"name":"Denver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19"/>
        <v>start /low /b %USERPROFILE%\Documents\GitHub\eaglep3\Utilities\DownloadLogsFromS3.py --loco 4018 --day 2017-12-19</v>
      </c>
      <c r="AN3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1"/>
        <v>https://d0f6bd738d7f1b3e5a7ca70fe4ff75f0.us-east-1.aws.found.io/app/kibana#/discover/Steve-Slow-Train-Analysis-(2080s-and-2083s)?_g=(refreshInterval:(display:Off,pause:!f,section:0,value:0),time:(from:'2017-12-19T04:54:35-0700',mode:absolute,to:'2017-12-19T07:34:14-0700'))&amp;_a=(columns:!('Message%20ID',Summary),filters:!(),index:'emp_*',interval:auto,query:(query_string:(analyze_wildcard:!t,query:'%22rtdc.l.rtdc.4018%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742</v>
      </c>
      <c r="B33" s="225">
        <v>4017</v>
      </c>
      <c r="C33" s="227" t="s">
        <v>192</v>
      </c>
      <c r="D33" s="227" t="s">
        <v>584</v>
      </c>
      <c r="E33" s="226">
        <v>43088.27584490741</v>
      </c>
      <c r="F33" s="226">
        <v>43088.289733796293</v>
      </c>
      <c r="G33" s="225">
        <v>56</v>
      </c>
      <c r="H33" s="227" t="s">
        <v>573</v>
      </c>
      <c r="I33" s="226">
        <v>43088.315243055556</v>
      </c>
      <c r="J33" s="225">
        <v>0</v>
      </c>
      <c r="K33" s="237" t="str">
        <f t="shared" si="0"/>
        <v>4017/4018</v>
      </c>
      <c r="L33" s="245" t="str">
        <f>VLOOKUP(A33,'Trips&amp;Operators'!$C$1:$G$99911,5,FALSE)</f>
        <v>BIRENBAUM THOMAS</v>
      </c>
      <c r="M33" s="224">
        <f t="shared" si="1"/>
        <v>2.5509259263344575E-2</v>
      </c>
      <c r="N33" s="225">
        <f t="shared" si="23"/>
        <v>36.733333339216188</v>
      </c>
      <c r="O33" s="225"/>
      <c r="P33" s="225"/>
      <c r="Q33" s="228"/>
      <c r="R33" s="242"/>
      <c r="S33" s="249">
        <f t="shared" si="22"/>
        <v>1</v>
      </c>
      <c r="T33" s="242" t="str">
        <f t="shared" si="2"/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3"/>
        <v>https://d0f6bd738d7f1b3e5a7ca70fe4ff75f0.us-east-1.aws.found.io/app/kibana#/discover/Steve-Slow-Train-Analysis-(2080s-and-2083s)?_g=(refreshInterval:(display:Off,pause:!f,section:0,value:0),time:(from:'2017-12-19T05:37:13-0700',mode:absolute,to:'2017-12-19T08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247" t="str">
        <f>IF(AA33&lt;VLOOKUP(AG33,Variables!$AC$3:$AD$8,2,FALSE),"Y","N")</f>
        <v>N</v>
      </c>
      <c r="X33" s="247">
        <f t="shared" si="4"/>
        <v>1</v>
      </c>
      <c r="Y33" s="247">
        <f t="shared" si="5"/>
        <v>23.290900000000001</v>
      </c>
      <c r="Z33" s="247">
        <f t="shared" si="6"/>
        <v>1.38E-2</v>
      </c>
      <c r="AA33" s="247">
        <f t="shared" si="7"/>
        <v>23.277100000000001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8"/>
        <v>120</v>
      </c>
      <c r="AE33" s="235" t="str">
        <f t="shared" si="9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33" s="234" t="str">
        <f t="shared" si="10"/>
        <v>"C:\Program Files (x86)\AstroGrep\AstroGrep.exe" /e /r /s /spath="%USERPROFILE%\AppData\Local\Temp\OnboardLogs" /stypes="app*4017*20171219*" /stext=" 14:.+((SYSTEM_STATE.+slice.+state.+changed )|(ment ac)|(multiple cpu faults)|(system.+state.+changed )|(\[timeout)|(PRM\|1\|D)|(kpr)|(kdp)|(train st.+moving)|(\|gpps)|(penalty))"</v>
      </c>
      <c r="AG33" s="244" t="str">
        <f t="shared" si="11"/>
        <v>EC</v>
      </c>
      <c r="AH33" s="236" t="str">
        <f t="shared" si="17"/>
        <v>"%USERPROFILE%\Documents\GitHub\eaglep3\Utilities\RefineRTDCRunTimes.py" --tripid 120-19 --locoid 4017 --swversion DE.1.0.9.0 --startMP 204:232909 --initTime 2017-12-19T06:37:13 --startdatetime 2017-12-19T06:57:13 --delay 56 --endMP 204:138 --enddatetime 2017-12-19T07:33:57 --enforcementcount 0 &gt;&gt;%USERPROFILE%\Documents\GitHub\eaglep3-reporting\EC\2017-12-19-refined-times.txt</v>
      </c>
      <c r="AI3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{"issue":{"subject":"","project_id":79,"tracker_id":40,"status_id":1,"priority_id":2,"assigned_to_id":338,"start_date":"2017-12-19","description":"","custom_fields":[{"id":1,"name":"Subdivision","value":"EC"},{"id":4,"name":"Milepost","value":"0.0138"},{"id":17,"name":"Train ID","value":"120-19"},{"id":16,"name":"Locomotive ID","value":"4017"},{"id":130,"name":"Impact","value":""},{"id":150,"name":"Time of Event (Mountain Time)","value":"07:33:57"},{"id":151,"name":"Denver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19"/>
        <v>start /low /b %USERPROFILE%\Documents\GitHub\eaglep3\Utilities\DownloadLogsFromS3.py --loco 4017 --day 2017-12-19</v>
      </c>
      <c r="AN3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1"/>
        <v>https://d0f6bd738d7f1b3e5a7ca70fe4ff75f0.us-east-1.aws.found.io/app/kibana#/discover/Steve-Slow-Train-Analysis-(2080s-and-2083s)?_g=(refreshInterval:(display:Off,pause:!f,section:0,value:0),time:(from:'2017-12-19T05:37:13-0700',mode:absolute,to:'2017-12-19T08:33:57-0700'))&amp;_a=(columns:!('Message%20ID',Summary),filters:!(),index:'emp_*',interval:auto,query:(query_string:(analyze_wildcard:!t,query:'%22rtdc.l.rtdc.4017%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736</v>
      </c>
      <c r="B34" s="225">
        <v>4014</v>
      </c>
      <c r="C34" s="227" t="s">
        <v>192</v>
      </c>
      <c r="D34" s="227" t="s">
        <v>523</v>
      </c>
      <c r="E34" s="226">
        <v>43088.254224537035</v>
      </c>
      <c r="F34" s="226">
        <v>43088.260578703703</v>
      </c>
      <c r="G34" s="225">
        <v>66</v>
      </c>
      <c r="H34" s="227" t="s">
        <v>544</v>
      </c>
      <c r="I34" s="226">
        <v>43088.285057870373</v>
      </c>
      <c r="J34" s="225">
        <v>0</v>
      </c>
      <c r="K34" s="237" t="str">
        <f t="shared" si="0"/>
        <v>4013/4014</v>
      </c>
      <c r="L34" s="245" t="str">
        <f>VLOOKUP(A34,'Trips&amp;Operators'!$C$1:$G$99911,5,FALSE)</f>
        <v>DELGADO DIANAH</v>
      </c>
      <c r="M34" s="224">
        <f t="shared" si="1"/>
        <v>2.4479166670062114E-2</v>
      </c>
      <c r="N34" s="225">
        <f t="shared" si="23"/>
        <v>35.250000004889444</v>
      </c>
      <c r="O34" s="225"/>
      <c r="P34" s="225"/>
      <c r="Q34" s="228"/>
      <c r="R34" s="242"/>
      <c r="S34" s="249">
        <f t="shared" si="22"/>
        <v>1</v>
      </c>
      <c r="T34" s="242" t="str">
        <f t="shared" si="2"/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3"/>
        <v>https://d0f6bd738d7f1b3e5a7ca70fe4ff75f0.us-east-1.aws.found.io/app/kibana#/discover/Steve-Slow-Train-Analysis-(2080s-and-2083s)?_g=(refreshInterval:(display:Off,pause:!f,section:0,value:0),time:(from:'2017-12-19T05:06:05-0700',mode:absolute,to:'2017-12-19T07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4" s="247" t="str">
        <f>IF(AA34&lt;VLOOKUP(AG34,Variables!$AC$3:$AD$8,2,FALSE),"Y","N")</f>
        <v>N</v>
      </c>
      <c r="X34" s="247">
        <f t="shared" si="4"/>
        <v>1</v>
      </c>
      <c r="Y34" s="247">
        <f t="shared" si="5"/>
        <v>4.5699999999999998E-2</v>
      </c>
      <c r="Z34" s="247">
        <f t="shared" si="6"/>
        <v>23.3293</v>
      </c>
      <c r="AA34" s="247">
        <f t="shared" si="7"/>
        <v>23.2836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8"/>
        <v>121</v>
      </c>
      <c r="AE34" s="235" t="str">
        <f t="shared" si="9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34" s="234" t="str">
        <f t="shared" si="10"/>
        <v>"C:\Program Files (x86)\AstroGrep\AstroGrep.exe" /e /r /s /spath="%USERPROFILE%\AppData\Local\Temp\OnboardLogs" /stypes="app*4014*20171219*" /stext=" 13:.+((SYSTEM_STATE.+slice.+state.+changed )|(ment ac)|(multiple cpu faults)|(system.+state.+changed )|(\[timeout)|(PRM\|1\|D)|(kpr)|(kdp)|(train st.+moving)|(\|gpps)|(penalty))"</v>
      </c>
      <c r="AG34" s="244" t="str">
        <f t="shared" si="11"/>
        <v>EC</v>
      </c>
      <c r="AH34" s="236" t="str">
        <f t="shared" si="17"/>
        <v>"%USERPROFILE%\Documents\GitHub\eaglep3\Utilities\RefineRTDCRunTimes.py" --tripid 121-19 --locoid 4014 --swversion DE.1.0.9.0 --startMP 204:457 --initTime 2017-12-19T06:06:05 --startdatetime 2017-12-19T06:15:14 --delay 66 --endMP 204:233293 --enddatetime 2017-12-19T06:50:29 --enforcementcount 0 &gt;&gt;%USERPROFILE%\Documents\GitHub\eaglep3-reporting\EC\2017-12-19-refined-times.txt</v>
      </c>
      <c r="AI3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{"issue":{"subject":"","project_id":79,"tracker_id":40,"status_id":1,"priority_id":2,"assigned_to_id":338,"start_date":"2017-12-19","description":"","custom_fields":[{"id":1,"name":"Subdivision","value":"EC"},{"id":4,"name":"Milepost","value":"23.3293"},{"id":17,"name":"Train ID","value":"121-19"},{"id":16,"name":"Locomotive ID","value":"4014"},{"id":130,"name":"Impact","value":""},{"id":150,"name":"Time of Event (Mountain Time)","value":"06:50:29"},{"id":151,"name":"Denver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19"/>
        <v>start /low /b %USERPROFILE%\Documents\GitHub\eaglep3\Utilities\DownloadLogsFromS3.py --loco 4014 --day 2017-12-19</v>
      </c>
      <c r="AN3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1"/>
        <v>https://d0f6bd738d7f1b3e5a7ca70fe4ff75f0.us-east-1.aws.found.io/app/kibana#/discover/Steve-Slow-Train-Analysis-(2080s-and-2083s)?_g=(refreshInterval:(display:Off,pause:!f,section:0,value:0),time:(from:'2017-12-19T05:06:05-0700',mode:absolute,to:'2017-12-19T07:50:29-0700'))&amp;_a=(columns:!('Message%20ID',Summary),filters:!(),index:'emp_*',interval:auto,query:(query_string:(analyze_wildcard:!t,query:'%22rtdc.l.rtdc.4014%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744</v>
      </c>
      <c r="B35" s="225">
        <v>4013</v>
      </c>
      <c r="C35" s="227" t="s">
        <v>192</v>
      </c>
      <c r="D35" s="227" t="s">
        <v>931</v>
      </c>
      <c r="E35" s="226">
        <v>43088.28633101852</v>
      </c>
      <c r="F35" s="226">
        <v>43088.300196759257</v>
      </c>
      <c r="G35" s="225">
        <v>53</v>
      </c>
      <c r="H35" s="227" t="s">
        <v>929</v>
      </c>
      <c r="I35" s="226">
        <v>43088.325474537036</v>
      </c>
      <c r="J35" s="225">
        <v>0</v>
      </c>
      <c r="K35" s="237" t="str">
        <f t="shared" si="0"/>
        <v>4013/4014</v>
      </c>
      <c r="L35" s="245" t="str">
        <f>VLOOKUP(A35,'Trips&amp;Operators'!$C$1:$G$99911,5,FALSE)</f>
        <v>DELGADO DIANAH</v>
      </c>
      <c r="M35" s="224">
        <f t="shared" si="1"/>
        <v>2.527777777868323E-2</v>
      </c>
      <c r="N35" s="225">
        <f t="shared" si="23"/>
        <v>36.400000001303852</v>
      </c>
      <c r="O35" s="225"/>
      <c r="P35" s="225"/>
      <c r="Q35" s="228"/>
      <c r="R35" s="242"/>
      <c r="S35" s="249">
        <f t="shared" si="22"/>
        <v>1</v>
      </c>
      <c r="T35" s="242" t="str">
        <f t="shared" si="2"/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3"/>
        <v>https://d0f6bd738d7f1b3e5a7ca70fe4ff75f0.us-east-1.aws.found.io/app/kibana#/discover/Steve-Slow-Train-Analysis-(2080s-and-2083s)?_g=(refreshInterval:(display:Off,pause:!f,section:0,value:0),time:(from:'2017-12-19T05:52:19-0700',mode:absolute,to:'2017-12-19T08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5" s="247" t="str">
        <f>IF(AA35&lt;VLOOKUP(AG35,Variables!$AC$3:$AD$8,2,FALSE),"Y","N")</f>
        <v>N</v>
      </c>
      <c r="X35" s="247">
        <f t="shared" si="4"/>
        <v>1</v>
      </c>
      <c r="Y35" s="247">
        <f t="shared" si="5"/>
        <v>23.297899999999998</v>
      </c>
      <c r="Z35" s="247">
        <f t="shared" si="6"/>
        <v>1.49E-2</v>
      </c>
      <c r="AA35" s="247">
        <f t="shared" si="7"/>
        <v>23.282999999999998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8"/>
        <v>122</v>
      </c>
      <c r="AE35" s="235" t="str">
        <f t="shared" si="9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35" s="234" t="str">
        <f t="shared" si="10"/>
        <v>"C:\Program Files (x86)\AstroGrep\AstroGrep.exe" /e /r /s /spath="%USERPROFILE%\AppData\Local\Temp\OnboardLogs" /stypes="app*4013*20171219*" /stext=" 14:.+((SYSTEM_STATE.+slice.+state.+changed )|(ment ac)|(multiple cpu faults)|(system.+state.+changed )|(\[timeout)|(PRM\|1\|D)|(kpr)|(kdp)|(train st.+moving)|(\|gpps)|(penalty))"</v>
      </c>
      <c r="AG35" s="244" t="str">
        <f t="shared" si="11"/>
        <v>EC</v>
      </c>
      <c r="AH35" s="236" t="str">
        <f t="shared" si="17"/>
        <v>"%USERPROFILE%\Documents\GitHub\eaglep3\Utilities\RefineRTDCRunTimes.py" --tripid 122-19 --locoid 4013 --swversion DE.1.0.9.0 --startMP 204:232979 --initTime 2017-12-19T06:52:19 --startdatetime 2017-12-19T07:12:17 --delay 53 --endMP 204:149 --enddatetime 2017-12-19T07:48:41 --enforcementcount 0 &gt;&gt;%USERPROFILE%\Documents\GitHub\eaglep3-reporting\EC\2017-12-19-refined-times.txt</v>
      </c>
      <c r="AI3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{"issue":{"subject":"","project_id":79,"tracker_id":40,"status_id":1,"priority_id":2,"assigned_to_id":338,"start_date":"2017-12-19","description":"","custom_fields":[{"id":1,"name":"Subdivision","value":"EC"},{"id":4,"name":"Milepost","value":"0.0149"},{"id":17,"name":"Train ID","value":"122-19"},{"id":16,"name":"Locomotive ID","value":"4013"},{"id":130,"name":"Impact","value":""},{"id":150,"name":"Time of Event (Mountain Time)","value":"07:48:41"},{"id":151,"name":"Denver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19"/>
        <v>start /low /b %USERPROFILE%\Documents\GitHub\eaglep3\Utilities\DownloadLogsFromS3.py --loco 4013 --day 2017-12-19</v>
      </c>
      <c r="AN3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1"/>
        <v>https://d0f6bd738d7f1b3e5a7ca70fe4ff75f0.us-east-1.aws.found.io/app/kibana#/discover/Steve-Slow-Train-Analysis-(2080s-and-2083s)?_g=(refreshInterval:(display:Off,pause:!f,section:0,value:0),time:(from:'2017-12-19T05:52:19-0700',mode:absolute,to:'2017-12-19T08:48:41-0700'))&amp;_a=(columns:!('Message%20ID',Summary),filters:!(),index:'emp_*',interval:auto,query:(query_string:(analyze_wildcard:!t,query:'%22rtdc.l.rtdc.4013%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738</v>
      </c>
      <c r="B36" s="225">
        <v>4028</v>
      </c>
      <c r="C36" s="227" t="s">
        <v>192</v>
      </c>
      <c r="D36" s="227" t="s">
        <v>932</v>
      </c>
      <c r="E36" s="226">
        <v>43088.266643518517</v>
      </c>
      <c r="F36" s="226">
        <v>43088.27107638889</v>
      </c>
      <c r="G36" s="225">
        <v>65</v>
      </c>
      <c r="H36" s="227" t="s">
        <v>565</v>
      </c>
      <c r="I36" s="226">
        <v>43088.295416666668</v>
      </c>
      <c r="J36" s="225">
        <v>0</v>
      </c>
      <c r="K36" s="237" t="str">
        <f t="shared" si="0"/>
        <v>4027/4028</v>
      </c>
      <c r="L36" s="245" t="str">
        <f>VLOOKUP(A36,'Trips&amp;Operators'!$C$1:$G$99911,5,FALSE)</f>
        <v>LAMAR NEKESHA</v>
      </c>
      <c r="M36" s="224">
        <f t="shared" si="1"/>
        <v>2.4340277777810115E-2</v>
      </c>
      <c r="N36" s="225">
        <f t="shared" si="23"/>
        <v>35.050000000046566</v>
      </c>
      <c r="O36" s="225"/>
      <c r="P36" s="225"/>
      <c r="Q36" s="228"/>
      <c r="R36" s="242"/>
      <c r="S36" s="249">
        <f t="shared" si="22"/>
        <v>1</v>
      </c>
      <c r="T36" s="242" t="str">
        <f t="shared" si="2"/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3"/>
        <v>https://d0f6bd738d7f1b3e5a7ca70fe4ff75f0.us-east-1.aws.found.io/app/kibana#/discover/Steve-Slow-Train-Analysis-(2080s-and-2083s)?_g=(refreshInterval:(display:Off,pause:!f,section:0,value:0),time:(from:'2017-12-19T05:23:58-0700',mode:absolute,to:'2017-12-19T08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6" s="247" t="str">
        <f>IF(AA36&lt;VLOOKUP(AG36,Variables!$AC$3:$AD$8,2,FALSE),"Y","N")</f>
        <v>N</v>
      </c>
      <c r="X36" s="247">
        <f t="shared" si="4"/>
        <v>1</v>
      </c>
      <c r="Y36" s="247">
        <f t="shared" si="5"/>
        <v>5.0900000000000001E-2</v>
      </c>
      <c r="Z36" s="247">
        <f t="shared" si="6"/>
        <v>23.3307</v>
      </c>
      <c r="AA36" s="247">
        <f t="shared" si="7"/>
        <v>23.279800000000002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8"/>
        <v>123</v>
      </c>
      <c r="AE36" s="235" t="str">
        <f t="shared" si="9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36" s="234" t="str">
        <f t="shared" si="10"/>
        <v>"C:\Program Files (x86)\AstroGrep\AstroGrep.exe" /e /r /s /spath="%USERPROFILE%\AppData\Local\Temp\OnboardLogs" /stypes="app*4028*20171219*" /stext=" 14:.+((SYSTEM_STATE.+slice.+state.+changed )|(ment ac)|(multiple cpu faults)|(system.+state.+changed )|(\[timeout)|(PRM\|1\|D)|(kpr)|(kdp)|(train st.+moving)|(\|gpps)|(penalty))"</v>
      </c>
      <c r="AG36" s="244" t="str">
        <f t="shared" si="11"/>
        <v>EC</v>
      </c>
      <c r="AH36" s="236" t="str">
        <f t="shared" si="17"/>
        <v>"%USERPROFILE%\Documents\GitHub\eaglep3\Utilities\RefineRTDCRunTimes.py" --tripid 123-19 --locoid 4028 --swversion DE.1.0.9.0 --startMP 204:509 --initTime 2017-12-19T06:23:58 --startdatetime 2017-12-19T06:30:21 --delay 65 --endMP 204:233307 --enddatetime 2017-12-19T07:05:24 --enforcementcount 0 &gt;&gt;%USERPROFILE%\Documents\GitHub\eaglep3-reporting\EC\2017-12-19-refined-times.txt</v>
      </c>
      <c r="AI3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{"issue":{"subject":"","project_id":79,"tracker_id":40,"status_id":1,"priority_id":2,"assigned_to_id":338,"start_date":"2017-12-19","description":"","custom_fields":[{"id":1,"name":"Subdivision","value":"EC"},{"id":4,"name":"Milepost","value":"23.3307"},{"id":17,"name":"Train ID","value":"123-19"},{"id":16,"name":"Locomotive ID","value":"4028"},{"id":130,"name":"Impact","value":""},{"id":150,"name":"Time of Event (Mountain Time)","value":"07:05:24"},{"id":151,"name":"Denver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19"/>
        <v>start /low /b %USERPROFILE%\Documents\GitHub\eaglep3\Utilities\DownloadLogsFromS3.py --loco 4028 --day 2017-12-19</v>
      </c>
      <c r="AN3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1"/>
        <v>https://d0f6bd738d7f1b3e5a7ca70fe4ff75f0.us-east-1.aws.found.io/app/kibana#/discover/Steve-Slow-Train-Analysis-(2080s-and-2083s)?_g=(refreshInterval:(display:Off,pause:!f,section:0,value:0),time:(from:'2017-12-19T05:23:58-0700',mode:absolute,to:'2017-12-19T08:05:24-0700'))&amp;_a=(columns:!('Message%20ID',Summary),filters:!(),index:'emp_*',interval:auto,query:(query_string:(analyze_wildcard:!t,query:'%22rtdc.l.rtdc.4028%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750</v>
      </c>
      <c r="B37" s="225">
        <v>4027</v>
      </c>
      <c r="C37" s="227" t="s">
        <v>192</v>
      </c>
      <c r="D37" s="227" t="s">
        <v>619</v>
      </c>
      <c r="E37" s="226">
        <v>43088.309016203704</v>
      </c>
      <c r="F37" s="226">
        <v>43088.310636574075</v>
      </c>
      <c r="G37" s="225">
        <v>47</v>
      </c>
      <c r="H37" s="227" t="s">
        <v>511</v>
      </c>
      <c r="I37" s="226">
        <v>43088.336504629631</v>
      </c>
      <c r="J37" s="225">
        <v>0</v>
      </c>
      <c r="K37" s="237" t="str">
        <f t="shared" si="0"/>
        <v>4027/4028</v>
      </c>
      <c r="L37" s="245" t="str">
        <f>VLOOKUP(A37,'Trips&amp;Operators'!$C$1:$G$99911,5,FALSE)</f>
        <v>LAMAR NEKESHA</v>
      </c>
      <c r="M37" s="224">
        <f t="shared" si="1"/>
        <v>2.5868055556202307E-2</v>
      </c>
      <c r="N37" s="225">
        <f t="shared" si="23"/>
        <v>37.250000000931323</v>
      </c>
      <c r="O37" s="225"/>
      <c r="P37" s="225"/>
      <c r="Q37" s="228"/>
      <c r="R37" s="242"/>
      <c r="S37" s="249">
        <f t="shared" si="22"/>
        <v>1</v>
      </c>
      <c r="T37" s="242" t="str">
        <f t="shared" si="2"/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3"/>
        <v>https://d0f6bd738d7f1b3e5a7ca70fe4ff75f0.us-east-1.aws.found.io/app/kibana#/discover/Steve-Slow-Train-Analysis-(2080s-and-2083s)?_g=(refreshInterval:(display:Off,pause:!f,section:0,value:0),time:(from:'2017-12-19T06:24:59-0700',mode:absolute,to:'2017-12-19T09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7" s="247" t="str">
        <f>IF(AA37&lt;VLOOKUP(AG37,Variables!$AC$3:$AD$8,2,FALSE),"Y","N")</f>
        <v>N</v>
      </c>
      <c r="X37" s="247">
        <f t="shared" si="4"/>
        <v>1</v>
      </c>
      <c r="Y37" s="247">
        <f t="shared" si="5"/>
        <v>23.297699999999999</v>
      </c>
      <c r="Z37" s="247">
        <f t="shared" si="6"/>
        <v>2.01E-2</v>
      </c>
      <c r="AA37" s="247">
        <f t="shared" si="7"/>
        <v>23.2776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8"/>
        <v>124</v>
      </c>
      <c r="AE37" s="235" t="str">
        <f t="shared" si="9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37" s="234" t="str">
        <f t="shared" si="10"/>
        <v>"C:\Program Files (x86)\AstroGrep\AstroGrep.exe" /e /r /s /spath="%USERPROFILE%\AppData\Local\Temp\OnboardLogs" /stypes="app*4027*20171219*" /stext=" 15:.+((SYSTEM_STATE.+slice.+state.+changed )|(ment ac)|(multiple cpu faults)|(system.+state.+changed )|(\[timeout)|(PRM\|1\|D)|(kpr)|(kdp)|(train st.+moving)|(\|gpps)|(penalty))"</v>
      </c>
      <c r="AG37" s="244" t="str">
        <f t="shared" si="11"/>
        <v>EC</v>
      </c>
      <c r="AH37" s="236" t="str">
        <f t="shared" si="17"/>
        <v>"%USERPROFILE%\Documents\GitHub\eaglep3\Utilities\RefineRTDCRunTimes.py" --tripid 124-19 --locoid 4027 --swversion DE.1.0.9.0 --startMP 204:232977 --initTime 2017-12-19T07:24:59 --startdatetime 2017-12-19T07:27:19 --delay 47 --endMP 204:201 --enddatetime 2017-12-19T08:04:34 --enforcementcount 0 &gt;&gt;%USERPROFILE%\Documents\GitHub\eaglep3-reporting\EC\2017-12-19-refined-times.txt</v>
      </c>
      <c r="AI3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{"issue":{"subject":"","project_id":79,"tracker_id":40,"status_id":1,"priority_id":2,"assigned_to_id":338,"start_date":"2017-12-19","description":"","custom_fields":[{"id":1,"name":"Subdivision","value":"EC"},{"id":4,"name":"Milepost","value":"0.0201"},{"id":17,"name":"Train ID","value":"124-19"},{"id":16,"name":"Locomotive ID","value":"4027"},{"id":130,"name":"Impact","value":""},{"id":150,"name":"Time of Event (Mountain Time)","value":"08:04:34"},{"id":151,"name":"Denver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19"/>
        <v>start /low /b %USERPROFILE%\Documents\GitHub\eaglep3\Utilities\DownloadLogsFromS3.py --loco 4027 --day 2017-12-19</v>
      </c>
      <c r="AN3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1"/>
        <v>https://d0f6bd738d7f1b3e5a7ca70fe4ff75f0.us-east-1.aws.found.io/app/kibana#/discover/Steve-Slow-Train-Analysis-(2080s-and-2083s)?_g=(refreshInterval:(display:Off,pause:!f,section:0,value:0),time:(from:'2017-12-19T06:24:59-0700',mode:absolute,to:'2017-12-19T09:04:34-0700'))&amp;_a=(columns:!('Message%20ID',Summary),filters:!(),index:'emp_*',interval:auto,query:(query_string:(analyze_wildcard:!t,query:'%22rtdc.l.rtdc.4027%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741</v>
      </c>
      <c r="B38" s="225">
        <v>4056</v>
      </c>
      <c r="C38" s="227" t="s">
        <v>192</v>
      </c>
      <c r="D38" s="227" t="s">
        <v>933</v>
      </c>
      <c r="E38" s="226">
        <v>43088.274756944447</v>
      </c>
      <c r="F38" s="226">
        <v>43088.281423611108</v>
      </c>
      <c r="G38" s="225">
        <v>46</v>
      </c>
      <c r="H38" s="227" t="s">
        <v>628</v>
      </c>
      <c r="I38" s="226">
        <v>43088.30568287037</v>
      </c>
      <c r="J38" s="225">
        <v>0</v>
      </c>
      <c r="K38" s="237" t="str">
        <f t="shared" si="0"/>
        <v>4055/4056</v>
      </c>
      <c r="L38" s="245" t="str">
        <f>VLOOKUP(A38,'Trips&amp;Operators'!$C$1:$G$99911,5,FALSE)</f>
        <v>YORK EDGAR</v>
      </c>
      <c r="M38" s="224">
        <f t="shared" si="1"/>
        <v>2.4259259262180422E-2</v>
      </c>
      <c r="N38" s="225">
        <f t="shared" si="23"/>
        <v>34.933333337539807</v>
      </c>
      <c r="O38" s="225"/>
      <c r="P38" s="225"/>
      <c r="Q38" s="228"/>
      <c r="R38" s="242"/>
      <c r="S38" s="249">
        <f t="shared" si="22"/>
        <v>1</v>
      </c>
      <c r="T38" s="242" t="str">
        <f t="shared" si="2"/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3"/>
        <v>https://d0f6bd738d7f1b3e5a7ca70fe4ff75f0.us-east-1.aws.found.io/app/kibana#/discover/Steve-Slow-Train-Analysis-(2080s-and-2083s)?_g=(refreshInterval:(display:Off,pause:!f,section:0,value:0),time:(from:'2017-12-19T05:35:39-0700',mode:absolute,to:'2017-12-19T08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8" s="247" t="str">
        <f>IF(AA38&lt;VLOOKUP(AG38,Variables!$AC$3:$AD$8,2,FALSE),"Y","N")</f>
        <v>N</v>
      </c>
      <c r="X38" s="247">
        <f t="shared" si="4"/>
        <v>1</v>
      </c>
      <c r="Y38" s="247">
        <f t="shared" si="5"/>
        <v>4.6699999999999998E-2</v>
      </c>
      <c r="Z38" s="247">
        <f t="shared" si="6"/>
        <v>23.331</v>
      </c>
      <c r="AA38" s="247">
        <f t="shared" si="7"/>
        <v>23.284299999999998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8"/>
        <v>125</v>
      </c>
      <c r="AE38" s="235" t="str">
        <f t="shared" si="9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38" s="234" t="str">
        <f t="shared" si="10"/>
        <v>"C:\Program Files (x86)\AstroGrep\AstroGrep.exe" /e /r /s /spath="%USERPROFILE%\AppData\Local\Temp\OnboardLogs" /stypes="app*4056*20171219*" /stext=" 14:.+((SYSTEM_STATE.+slice.+state.+changed )|(ment ac)|(multiple cpu faults)|(system.+state.+changed )|(\[timeout)|(PRM\|1\|D)|(kpr)|(kdp)|(train st.+moving)|(\|gpps)|(penalty))"</v>
      </c>
      <c r="AG38" s="244" t="str">
        <f t="shared" si="11"/>
        <v>EC</v>
      </c>
      <c r="AH38" s="236" t="str">
        <f t="shared" si="17"/>
        <v>"%USERPROFILE%\Documents\GitHub\eaglep3\Utilities\RefineRTDCRunTimes.py" --tripid 125-19 --locoid 4056 --swversion DE.1.0.9.0 --startMP 204:467 --initTime 2017-12-19T06:35:39 --startdatetime 2017-12-19T06:45:15 --delay 46 --endMP 204:233310 --enddatetime 2017-12-19T07:20:11 --enforcementcount 0 &gt;&gt;%USERPROFILE%\Documents\GitHub\eaglep3-reporting\EC\2017-12-19-refined-times.txt</v>
      </c>
      <c r="AI3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{"issue":{"subject":"","project_id":79,"tracker_id":40,"status_id":1,"priority_id":2,"assigned_to_id":338,"start_date":"2017-12-19","description":"","custom_fields":[{"id":1,"name":"Subdivision","value":"EC"},{"id":4,"name":"Milepost","value":"23.331"},{"id":17,"name":"Train ID","value":"125-19"},{"id":16,"name":"Locomotive ID","value":"4056"},{"id":130,"name":"Impact","value":""},{"id":150,"name":"Time of Event (Mountain Time)","value":"07:20:11"},{"id":151,"name":"Denver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19"/>
        <v>start /low /b %USERPROFILE%\Documents\GitHub\eaglep3\Utilities\DownloadLogsFromS3.py --loco 4056 --day 2017-12-19</v>
      </c>
      <c r="AN3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1"/>
        <v>https://d0f6bd738d7f1b3e5a7ca70fe4ff75f0.us-east-1.aws.found.io/app/kibana#/discover/Steve-Slow-Train-Analysis-(2080s-and-2083s)?_g=(refreshInterval:(display:Off,pause:!f,section:0,value:0),time:(from:'2017-12-19T05:35:39-0700',mode:absolute,to:'2017-12-19T08:20:11-0700'))&amp;_a=(columns:!('Message%20ID',Summary),filters:!(),index:'emp_*',interval:auto,query:(query_string:(analyze_wildcard:!t,query:'%22rtdc.l.rtdc.4056%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748</v>
      </c>
      <c r="B39" s="225">
        <v>4055</v>
      </c>
      <c r="C39" s="227" t="s">
        <v>192</v>
      </c>
      <c r="D39" s="227" t="s">
        <v>934</v>
      </c>
      <c r="E39" s="226">
        <v>43088.306643518517</v>
      </c>
      <c r="F39" s="226">
        <v>43088.321250000001</v>
      </c>
      <c r="G39" s="225">
        <v>44</v>
      </c>
      <c r="H39" s="227" t="s">
        <v>545</v>
      </c>
      <c r="I39" s="226">
        <v>43088.346516203703</v>
      </c>
      <c r="J39" s="225">
        <v>0</v>
      </c>
      <c r="K39" s="237" t="str">
        <f t="shared" si="0"/>
        <v>4055/4056</v>
      </c>
      <c r="L39" s="245" t="str">
        <f>VLOOKUP(A39,'Trips&amp;Operators'!$C$1:$G$99911,5,FALSE)</f>
        <v>YORK EDGAR</v>
      </c>
      <c r="M39" s="224">
        <f t="shared" si="1"/>
        <v>2.5266203701903578E-2</v>
      </c>
      <c r="N39" s="225">
        <f t="shared" si="23"/>
        <v>36.383333330741152</v>
      </c>
      <c r="O39" s="225"/>
      <c r="P39" s="225"/>
      <c r="Q39" s="228"/>
      <c r="R39" s="242"/>
      <c r="S39" s="249">
        <f t="shared" si="22"/>
        <v>1</v>
      </c>
      <c r="T39" s="242" t="str">
        <f t="shared" si="2"/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3"/>
        <v>https://d0f6bd738d7f1b3e5a7ca70fe4ff75f0.us-east-1.aws.found.io/app/kibana#/discover/Steve-Slow-Train-Analysis-(2080s-and-2083s)?_g=(refreshInterval:(display:Off,pause:!f,section:0,value:0),time:(from:'2017-12-19T06:21:34-0700',mode:absolute,to:'2017-12-19T09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9" s="247" t="str">
        <f>IF(AA39&lt;VLOOKUP(AG39,Variables!$AC$3:$AD$8,2,FALSE),"Y","N")</f>
        <v>N</v>
      </c>
      <c r="X39" s="247">
        <f t="shared" si="4"/>
        <v>1</v>
      </c>
      <c r="Y39" s="247">
        <f t="shared" si="5"/>
        <v>23.3002</v>
      </c>
      <c r="Z39" s="247">
        <f t="shared" si="6"/>
        <v>1.6E-2</v>
      </c>
      <c r="AA39" s="247">
        <f t="shared" si="7"/>
        <v>23.284200000000002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8"/>
        <v>126</v>
      </c>
      <c r="AE39" s="235" t="str">
        <f t="shared" si="9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39" s="234" t="str">
        <f t="shared" si="10"/>
        <v>"C:\Program Files (x86)\AstroGrep\AstroGrep.exe" /e /r /s /spath="%USERPROFILE%\AppData\Local\Temp\OnboardLogs" /stypes="app*4055*20171219*" /stext=" 15:.+((SYSTEM_STATE.+slice.+state.+changed )|(ment ac)|(multiple cpu faults)|(system.+state.+changed )|(\[timeout)|(PRM\|1\|D)|(kpr)|(kdp)|(train st.+moving)|(\|gpps)|(penalty))"</v>
      </c>
      <c r="AG39" s="244" t="str">
        <f t="shared" si="11"/>
        <v>EC</v>
      </c>
      <c r="AH39" s="236" t="str">
        <f t="shared" si="17"/>
        <v>"%USERPROFILE%\Documents\GitHub\eaglep3\Utilities\RefineRTDCRunTimes.py" --tripid 126-19 --locoid 4055 --swversion DE.1.0.9.0 --startMP 204:233002 --initTime 2017-12-19T07:21:34 --startdatetime 2017-12-19T07:42:36 --delay 44 --endMP 204:160 --enddatetime 2017-12-19T08:18:59 --enforcementcount 0 &gt;&gt;%USERPROFILE%\Documents\GitHub\eaglep3-reporting\EC\2017-12-19-refined-times.txt</v>
      </c>
      <c r="AI3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{"issue":{"subject":"","project_id":79,"tracker_id":40,"status_id":1,"priority_id":2,"assigned_to_id":338,"start_date":"2017-12-19","description":"","custom_fields":[{"id":1,"name":"Subdivision","value":"EC"},{"id":4,"name":"Milepost","value":"0.016"},{"id":17,"name":"Train ID","value":"126-19"},{"id":16,"name":"Locomotive ID","value":"4055"},{"id":130,"name":"Impact","value":""},{"id":150,"name":"Time of Event (Mountain Time)","value":"08:18:59"},{"id":151,"name":"Denver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19"/>
        <v>start /low /b %USERPROFILE%\Documents\GitHub\eaglep3\Utilities\DownloadLogsFromS3.py --loco 4055 --day 2017-12-19</v>
      </c>
      <c r="AN3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1"/>
        <v>https://d0f6bd738d7f1b3e5a7ca70fe4ff75f0.us-east-1.aws.found.io/app/kibana#/discover/Steve-Slow-Train-Analysis-(2080s-and-2083s)?_g=(refreshInterval:(display:Off,pause:!f,section:0,value:0),time:(from:'2017-12-19T06:21:34-0700',mode:absolute,to:'2017-12-19T09:18:59-0700'))&amp;_a=(columns:!('Message%20ID',Summary),filters:!(),index:'emp_*',interval:auto,query:(query_string:(analyze_wildcard:!t,query:'%22rtdc.l.rtdc.4055%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743</v>
      </c>
      <c r="B40" s="225">
        <v>4064</v>
      </c>
      <c r="C40" s="227" t="s">
        <v>192</v>
      </c>
      <c r="D40" s="227" t="s">
        <v>649</v>
      </c>
      <c r="E40" s="226">
        <v>43088.28466435185</v>
      </c>
      <c r="F40" s="226">
        <v>43088.29184027778</v>
      </c>
      <c r="G40" s="225">
        <v>45</v>
      </c>
      <c r="H40" s="227" t="s">
        <v>935</v>
      </c>
      <c r="I40" s="226">
        <v>43088.31554398148</v>
      </c>
      <c r="J40" s="225">
        <v>0</v>
      </c>
      <c r="K40" s="237" t="str">
        <f t="shared" si="0"/>
        <v>4063/4064</v>
      </c>
      <c r="L40" s="245" t="str">
        <f>VLOOKUP(A40,'Trips&amp;Operators'!$C$1:$G$99911,5,FALSE)</f>
        <v>YANAI IAN</v>
      </c>
      <c r="M40" s="224">
        <f t="shared" si="1"/>
        <v>2.3703703700448386E-2</v>
      </c>
      <c r="N40" s="225">
        <f t="shared" si="23"/>
        <v>34.133333328645676</v>
      </c>
      <c r="O40" s="225"/>
      <c r="P40" s="225"/>
      <c r="Q40" s="228"/>
      <c r="R40" s="242"/>
      <c r="S40" s="249">
        <f t="shared" si="22"/>
        <v>1</v>
      </c>
      <c r="T40" s="242" t="str">
        <f t="shared" si="2"/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3"/>
        <v>https://d0f6bd738d7f1b3e5a7ca70fe4ff75f0.us-east-1.aws.found.io/app/kibana#/discover/Steve-Slow-Train-Analysis-(2080s-and-2083s)?_g=(refreshInterval:(display:Off,pause:!f,section:0,value:0),time:(from:'2017-12-19T05:49:55-0700',mode:absolute,to:'2017-12-19T08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0" s="247" t="str">
        <f>IF(AA40&lt;VLOOKUP(AG40,Variables!$AC$3:$AD$8,2,FALSE),"Y","N")</f>
        <v>N</v>
      </c>
      <c r="X40" s="247">
        <f t="shared" si="4"/>
        <v>1</v>
      </c>
      <c r="Y40" s="247">
        <f t="shared" si="5"/>
        <v>5.3100000000000001E-2</v>
      </c>
      <c r="Z40" s="247">
        <f t="shared" si="6"/>
        <v>23.331099999999999</v>
      </c>
      <c r="AA40" s="247">
        <f t="shared" si="7"/>
        <v>23.277999999999999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8"/>
        <v>127</v>
      </c>
      <c r="AE40" s="235" t="str">
        <f t="shared" si="9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40" s="234" t="str">
        <f t="shared" si="10"/>
        <v>"C:\Program Files (x86)\AstroGrep\AstroGrep.exe" /e /r /s /spath="%USERPROFILE%\AppData\Local\Temp\OnboardLogs" /stypes="app*4064*20171219*" /stext=" 14:.+((SYSTEM_STATE.+slice.+state.+changed )|(ment ac)|(multiple cpu faults)|(system.+state.+changed )|(\[timeout)|(PRM\|1\|D)|(kpr)|(kdp)|(train st.+moving)|(\|gpps)|(penalty))"</v>
      </c>
      <c r="AG40" s="244" t="str">
        <f t="shared" si="11"/>
        <v>EC</v>
      </c>
      <c r="AH40" s="236" t="str">
        <f t="shared" si="17"/>
        <v>"%USERPROFILE%\Documents\GitHub\eaglep3\Utilities\RefineRTDCRunTimes.py" --tripid 127-19 --locoid 4064 --swversion DE.1.0.9.0 --startMP 204:531 --initTime 2017-12-19T06:49:55 --startdatetime 2017-12-19T07:00:15 --delay 45 --endMP 204:233311 --enddatetime 2017-12-19T07:34:23 --enforcementcount 0 &gt;&gt;%USERPROFILE%\Documents\GitHub\eaglep3-reporting\EC\2017-12-19-refined-times.txt</v>
      </c>
      <c r="AI40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{"issue":{"subject":"","project_id":79,"tracker_id":40,"status_id":1,"priority_id":2,"assigned_to_id":338,"start_date":"2017-12-19","description":"","custom_fields":[{"id":1,"name":"Subdivision","value":"EC"},{"id":4,"name":"Milepost","value":"23.3311"},{"id":17,"name":"Train ID","value":"127-19"},{"id":16,"name":"Locomotive ID","value":"4064"},{"id":130,"name":"Impact","value":""},{"id":150,"name":"Time of Event (Mountain Time)","value":"07:34:23"},{"id":151,"name":"Denver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19"/>
        <v>start /low /b %USERPROFILE%\Documents\GitHub\eaglep3\Utilities\DownloadLogsFromS3.py --loco 4064 --day 2017-12-19</v>
      </c>
      <c r="AN40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1"/>
        <v>https://d0f6bd738d7f1b3e5a7ca70fe4ff75f0.us-east-1.aws.found.io/app/kibana#/discover/Steve-Slow-Train-Analysis-(2080s-and-2083s)?_g=(refreshInterval:(display:Off,pause:!f,section:0,value:0),time:(from:'2017-12-19T05:49:55-0700',mode:absolute,to:'2017-12-19T08:34:23-0700'))&amp;_a=(columns:!('Message%20ID',Summary),filters:!(),index:'emp_*',interval:auto,query:(query_string:(analyze_wildcard:!t,query:'%22rtdc.l.rtdc.4064%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752</v>
      </c>
      <c r="B41" s="225">
        <v>4063</v>
      </c>
      <c r="C41" s="227" t="s">
        <v>192</v>
      </c>
      <c r="D41" s="227" t="s">
        <v>936</v>
      </c>
      <c r="E41" s="226">
        <v>43088.316493055558</v>
      </c>
      <c r="F41" s="226">
        <v>43088.331412037034</v>
      </c>
      <c r="G41" s="225">
        <v>47</v>
      </c>
      <c r="H41" s="227" t="s">
        <v>937</v>
      </c>
      <c r="I41" s="226">
        <v>43088.356851851851</v>
      </c>
      <c r="J41" s="225">
        <v>0</v>
      </c>
      <c r="K41" s="237" t="str">
        <f t="shared" si="0"/>
        <v>4063/4064</v>
      </c>
      <c r="L41" s="245" t="str">
        <f>VLOOKUP(A41,'Trips&amp;Operators'!$C$1:$G$99911,5,FALSE)</f>
        <v>YANAI IAN</v>
      </c>
      <c r="M41" s="224">
        <f t="shared" si="1"/>
        <v>2.5439814817218576E-2</v>
      </c>
      <c r="N41" s="225">
        <f t="shared" si="23"/>
        <v>36.633333336794749</v>
      </c>
      <c r="O41" s="225"/>
      <c r="P41" s="225"/>
      <c r="Q41" s="228"/>
      <c r="R41" s="242"/>
      <c r="S41" s="249">
        <f t="shared" si="22"/>
        <v>1</v>
      </c>
      <c r="T41" s="242" t="str">
        <f t="shared" si="2"/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3"/>
        <v>https://d0f6bd738d7f1b3e5a7ca70fe4ff75f0.us-east-1.aws.found.io/app/kibana#/discover/Steve-Slow-Train-Analysis-(2080s-and-2083s)?_g=(refreshInterval:(display:Off,pause:!f,section:0,value:0),time:(from:'2017-12-19T06:35:45-0700',mode:absolute,to:'2017-12-19T09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1" s="247" t="str">
        <f>IF(AA41&lt;VLOOKUP(AG41,Variables!$AC$3:$AD$8,2,FALSE),"Y","N")</f>
        <v>N</v>
      </c>
      <c r="X41" s="247">
        <f t="shared" si="4"/>
        <v>1</v>
      </c>
      <c r="Y41" s="247">
        <f t="shared" si="5"/>
        <v>23.296700000000001</v>
      </c>
      <c r="Z41" s="247">
        <f t="shared" si="6"/>
        <v>2.3599999999999999E-2</v>
      </c>
      <c r="AA41" s="247">
        <f t="shared" si="7"/>
        <v>23.273100000000003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8"/>
        <v>128</v>
      </c>
      <c r="AE41" s="235" t="str">
        <f t="shared" si="9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41" s="234" t="str">
        <f t="shared" si="10"/>
        <v>"C:\Program Files (x86)\AstroGrep\AstroGrep.exe" /e /r /s /spath="%USERPROFILE%\AppData\Local\Temp\OnboardLogs" /stypes="app*4063*20171219*" /stext=" 15:.+((SYSTEM_STATE.+slice.+state.+changed )|(ment ac)|(multiple cpu faults)|(system.+state.+changed )|(\[timeout)|(PRM\|1\|D)|(kpr)|(kdp)|(train st.+moving)|(\|gpps)|(penalty))"</v>
      </c>
      <c r="AG41" s="244" t="str">
        <f t="shared" si="11"/>
        <v>EC</v>
      </c>
      <c r="AH41" s="236" t="str">
        <f t="shared" si="17"/>
        <v>"%USERPROFILE%\Documents\GitHub\eaglep3\Utilities\RefineRTDCRunTimes.py" --tripid 128-19 --locoid 4063 --swversion DE.1.0.9.0 --startMP 204:232967 --initTime 2017-12-19T07:35:45 --startdatetime 2017-12-19T07:57:14 --delay 47 --endMP 204:236 --enddatetime 2017-12-19T08:33:52 --enforcementcount 0 &gt;&gt;%USERPROFILE%\Documents\GitHub\eaglep3-reporting\EC\2017-12-19-refined-times.txt</v>
      </c>
      <c r="AI4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{"issue":{"subject":"","project_id":79,"tracker_id":40,"status_id":1,"priority_id":2,"assigned_to_id":338,"start_date":"2017-12-19","description":"","custom_fields":[{"id":1,"name":"Subdivision","value":"EC"},{"id":4,"name":"Milepost","value":"0.0236"},{"id":17,"name":"Train ID","value":"128-19"},{"id":16,"name":"Locomotive ID","value":"4063"},{"id":130,"name":"Impact","value":""},{"id":150,"name":"Time of Event (Mountain Time)","value":"08:33:52"},{"id":151,"name":"Denver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19"/>
        <v>start /low /b %USERPROFILE%\Documents\GitHub\eaglep3\Utilities\DownloadLogsFromS3.py --loco 4063 --day 2017-12-19</v>
      </c>
      <c r="AN4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1"/>
        <v>https://d0f6bd738d7f1b3e5a7ca70fe4ff75f0.us-east-1.aws.found.io/app/kibana#/discover/Steve-Slow-Train-Analysis-(2080s-and-2083s)?_g=(refreshInterval:(display:Off,pause:!f,section:0,value:0),time:(from:'2017-12-19T06:35:45-0700',mode:absolute,to:'2017-12-19T09:33:52-0700'))&amp;_a=(columns:!('Message%20ID',Summary),filters:!(),index:'emp_*',interval:auto,query:(query_string:(analyze_wildcard:!t,query:'%22rtdc.l.rtdc.4063%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747</v>
      </c>
      <c r="B42" s="225">
        <v>4040</v>
      </c>
      <c r="C42" s="227" t="s">
        <v>192</v>
      </c>
      <c r="D42" s="227" t="s">
        <v>938</v>
      </c>
      <c r="E42" s="226">
        <v>43088.298206018517</v>
      </c>
      <c r="F42" s="226">
        <v>43088.302523148152</v>
      </c>
      <c r="G42" s="225">
        <v>72</v>
      </c>
      <c r="H42" s="227" t="s">
        <v>939</v>
      </c>
      <c r="I42" s="226">
        <v>43088.327824074076</v>
      </c>
      <c r="J42" s="225">
        <v>0</v>
      </c>
      <c r="K42" s="237" t="str">
        <f t="shared" si="0"/>
        <v>4039/4040</v>
      </c>
      <c r="L42" s="245" t="str">
        <f>VLOOKUP(A42,'Trips&amp;Operators'!$C$1:$G$99911,5,FALSE)</f>
        <v>ACKERMAN JARED</v>
      </c>
      <c r="M42" s="224">
        <f t="shared" si="1"/>
        <v>2.5300925924966577E-2</v>
      </c>
      <c r="N42" s="225">
        <f t="shared" si="23"/>
        <v>36.433333331951872</v>
      </c>
      <c r="O42" s="225"/>
      <c r="P42" s="225"/>
      <c r="Q42" s="228"/>
      <c r="R42" s="242"/>
      <c r="S42" s="249">
        <f t="shared" si="22"/>
        <v>1</v>
      </c>
      <c r="T42" s="242" t="str">
        <f t="shared" si="2"/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3"/>
        <v>https://d0f6bd738d7f1b3e5a7ca70fe4ff75f0.us-east-1.aws.found.io/app/kibana#/discover/Steve-Slow-Train-Analysis-(2080s-and-2083s)?_g=(refreshInterval:(display:Off,pause:!f,section:0,value:0),time:(from:'2017-12-19T06:09:25-0700',mode:absolute,to:'2017-12-19T08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2" s="247" t="str">
        <f>IF(AA42&lt;VLOOKUP(AG42,Variables!$AC$3:$AD$8,2,FALSE),"Y","N")</f>
        <v>N</v>
      </c>
      <c r="X42" s="247">
        <f t="shared" si="4"/>
        <v>1</v>
      </c>
      <c r="Y42" s="247">
        <f t="shared" si="5"/>
        <v>4.4699999999999997E-2</v>
      </c>
      <c r="Z42" s="247">
        <f t="shared" si="6"/>
        <v>23.332100000000001</v>
      </c>
      <c r="AA42" s="247">
        <f t="shared" si="7"/>
        <v>23.287400000000002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8"/>
        <v>129</v>
      </c>
      <c r="AE42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42" s="234" t="str">
        <f t="shared" si="10"/>
        <v>"C:\Program Files (x86)\AstroGrep\AstroGrep.exe" /e /r /s /spath="%USERPROFILE%\AppData\Local\Temp\OnboardLogs" /stypes="app*4040*20171219*" /stext=" 14:.+((SYSTEM_STATE.+slice.+state.+changed )|(ment ac)|(multiple cpu faults)|(system.+state.+changed )|(\[timeout)|(PRM\|1\|D)|(kpr)|(kdp)|(train st.+moving)|(\|gpps)|(penalty))"</v>
      </c>
      <c r="AG42" s="244" t="str">
        <f t="shared" si="11"/>
        <v>EC</v>
      </c>
      <c r="AH42" s="236" t="str">
        <f t="shared" si="17"/>
        <v>"%USERPROFILE%\Documents\GitHub\eaglep3\Utilities\RefineRTDCRunTimes.py" --tripid 129-19 --locoid 4040 --swversion DE.1.0.9.0 --startMP 204:447 --initTime 2017-12-19T07:09:25 --startdatetime 2017-12-19T07:15:38 --delay 72 --endMP 204:233321 --enddatetime 2017-12-19T07:52:04 --enforcementcount 0 &gt;&gt;%USERPROFILE%\Documents\GitHub\eaglep3-reporting\EC\2017-12-19-refined-times.txt</v>
      </c>
      <c r="AI4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{"issue":{"subject":"","project_id":79,"tracker_id":40,"status_id":1,"priority_id":2,"assigned_to_id":338,"start_date":"2017-12-19","description":"","custom_fields":[{"id":1,"name":"Subdivision","value":"EC"},{"id":4,"name":"Milepost","value":"23.3321"},{"id":17,"name":"Train ID","value":"129-19"},{"id":16,"name":"Locomotive ID","value":"4040"},{"id":130,"name":"Impact","value":""},{"id":150,"name":"Time of Event (Mountain Time)","value":"07:52:04"},{"id":151,"name":"Denver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19"/>
        <v>start /low /b %USERPROFILE%\Documents\GitHub\eaglep3\Utilities\DownloadLogsFromS3.py --loco 4040 --day 2017-12-19</v>
      </c>
      <c r="AN4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1"/>
        <v>https://d0f6bd738d7f1b3e5a7ca70fe4ff75f0.us-east-1.aws.found.io/app/kibana#/discover/Steve-Slow-Train-Analysis-(2080s-and-2083s)?_g=(refreshInterval:(display:Off,pause:!f,section:0,value:0),time:(from:'2017-12-19T06:09:25-0700',mode:absolute,to:'2017-12-19T08:52:04-0700'))&amp;_a=(columns:!('Message%20ID',Summary),filters:!(),index:'emp_*',interval:auto,query:(query_string:(analyze_wildcard:!t,query:'%22rtdc.l.rtdc.4040%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757</v>
      </c>
      <c r="B43" s="225">
        <v>4039</v>
      </c>
      <c r="C43" s="227" t="s">
        <v>192</v>
      </c>
      <c r="D43" s="227" t="s">
        <v>940</v>
      </c>
      <c r="E43" s="226">
        <v>43088.333240740743</v>
      </c>
      <c r="F43" s="226">
        <v>43088.341828703706</v>
      </c>
      <c r="G43" s="225">
        <v>79</v>
      </c>
      <c r="H43" s="227" t="s">
        <v>941</v>
      </c>
      <c r="I43" s="226">
        <v>43088.36886574074</v>
      </c>
      <c r="J43" s="225">
        <v>0</v>
      </c>
      <c r="K43" s="237" t="str">
        <f t="shared" si="0"/>
        <v>4039/4040</v>
      </c>
      <c r="L43" s="245" t="str">
        <f>VLOOKUP(A43,'Trips&amp;Operators'!$C$1:$G$99911,5,FALSE)</f>
        <v>ACKERMAN JARED</v>
      </c>
      <c r="M43" s="224">
        <f t="shared" si="1"/>
        <v>2.7037037034460809E-2</v>
      </c>
      <c r="N43" s="225">
        <f t="shared" si="23"/>
        <v>38.933333329623565</v>
      </c>
      <c r="O43" s="225"/>
      <c r="P43" s="225"/>
      <c r="Q43" s="228"/>
      <c r="R43" s="242"/>
      <c r="S43" s="249">
        <f t="shared" si="22"/>
        <v>1</v>
      </c>
      <c r="T43" s="242" t="str">
        <f t="shared" si="2"/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3"/>
        <v>https://d0f6bd738d7f1b3e5a7ca70fe4ff75f0.us-east-1.aws.found.io/app/kibana#/discover/Steve-Slow-Train-Analysis-(2080s-and-2083s)?_g=(refreshInterval:(display:Off,pause:!f,section:0,value:0),time:(from:'2017-12-19T06:59:52-0700',mode:absolute,to:'2017-12-19T09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3" s="247" t="str">
        <f>IF(AA43&lt;VLOOKUP(AG43,Variables!$AC$3:$AD$8,2,FALSE),"Y","N")</f>
        <v>N</v>
      </c>
      <c r="X43" s="247">
        <f t="shared" si="4"/>
        <v>1</v>
      </c>
      <c r="Y43" s="247">
        <f t="shared" si="5"/>
        <v>23.299399999999999</v>
      </c>
      <c r="Z43" s="247">
        <f t="shared" si="6"/>
        <v>1.43E-2</v>
      </c>
      <c r="AA43" s="247">
        <f t="shared" si="7"/>
        <v>23.2851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8"/>
        <v>130</v>
      </c>
      <c r="AE43" s="235" t="str">
        <f t="shared" si="9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43" s="234" t="str">
        <f t="shared" si="10"/>
        <v>"C:\Program Files (x86)\AstroGrep\AstroGrep.exe" /e /r /s /spath="%USERPROFILE%\AppData\Local\Temp\OnboardLogs" /stypes="app*4039*20171219*" /stext=" 15:.+((SYSTEM_STATE.+slice.+state.+changed )|(ment ac)|(multiple cpu faults)|(system.+state.+changed )|(\[timeout)|(PRM\|1\|D)|(kpr)|(kdp)|(train st.+moving)|(\|gpps)|(penalty))"</v>
      </c>
      <c r="AG43" s="244" t="str">
        <f t="shared" si="11"/>
        <v>EC</v>
      </c>
      <c r="AH43" s="236" t="str">
        <f t="shared" si="17"/>
        <v>"%USERPROFILE%\Documents\GitHub\eaglep3\Utilities\RefineRTDCRunTimes.py" --tripid 130-19 --locoid 4039 --swversion DE.1.0.9.0 --startMP 204:232994 --initTime 2017-12-19T07:59:52 --startdatetime 2017-12-19T08:12:14 --delay 79 --endMP 204:143 --enddatetime 2017-12-19T08:51:10 --enforcementcount 0 &gt;&gt;%USERPROFILE%\Documents\GitHub\eaglep3-reporting\EC\2017-12-19-refined-times.txt</v>
      </c>
      <c r="AI4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{"issue":{"subject":"","project_id":79,"tracker_id":40,"status_id":1,"priority_id":2,"assigned_to_id":338,"start_date":"2017-12-19","description":"","custom_fields":[{"id":1,"name":"Subdivision","value":"EC"},{"id":4,"name":"Milepost","value":"0.0143"},{"id":17,"name":"Train ID","value":"130-19"},{"id":16,"name":"Locomotive ID","value":"4039"},{"id":130,"name":"Impact","value":""},{"id":150,"name":"Time of Event (Mountain Time)","value":"08:51:10"},{"id":151,"name":"Denver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19"/>
        <v>start /low /b %USERPROFILE%\Documents\GitHub\eaglep3\Utilities\DownloadLogsFromS3.py --loco 4039 --day 2017-12-19</v>
      </c>
      <c r="AN4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1"/>
        <v>https://d0f6bd738d7f1b3e5a7ca70fe4ff75f0.us-east-1.aws.found.io/app/kibana#/discover/Steve-Slow-Train-Analysis-(2080s-and-2083s)?_g=(refreshInterval:(display:Off,pause:!f,section:0,value:0),time:(from:'2017-12-19T06:59:52-0700',mode:absolute,to:'2017-12-19T09:51:10-0700'))&amp;_a=(columns:!('Message%20ID',Summary),filters:!(),index:'emp_*',interval:auto,query:(query_string:(analyze_wildcard:!t,query:'%22rtdc.l.rtdc.4039%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749</v>
      </c>
      <c r="B44" s="225">
        <v>4032</v>
      </c>
      <c r="C44" s="227" t="s">
        <v>192</v>
      </c>
      <c r="D44" s="227" t="s">
        <v>498</v>
      </c>
      <c r="E44" s="226">
        <v>43088.308703703704</v>
      </c>
      <c r="F44" s="226">
        <v>43088.312777777777</v>
      </c>
      <c r="G44" s="225">
        <v>61</v>
      </c>
      <c r="H44" s="227" t="s">
        <v>642</v>
      </c>
      <c r="I44" s="226">
        <v>43088.337048611109</v>
      </c>
      <c r="J44" s="225">
        <v>0</v>
      </c>
      <c r="K44" s="237" t="str">
        <f t="shared" si="0"/>
        <v>4031/4032</v>
      </c>
      <c r="L44" s="245" t="str">
        <f>VLOOKUP(A44,'Trips&amp;Operators'!$C$1:$G$99911,5,FALSE)</f>
        <v>MACDONALD THOMAS</v>
      </c>
      <c r="M44" s="224">
        <f t="shared" si="1"/>
        <v>2.4270833331684116E-2</v>
      </c>
      <c r="N44" s="225">
        <f t="shared" si="23"/>
        <v>34.949999997625127</v>
      </c>
      <c r="O44" s="225"/>
      <c r="P44" s="225"/>
      <c r="Q44" s="228"/>
      <c r="R44" s="242"/>
      <c r="S44" s="249">
        <f t="shared" si="22"/>
        <v>1</v>
      </c>
      <c r="T44" s="242" t="str">
        <f t="shared" si="2"/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3"/>
        <v>https://d0f6bd738d7f1b3e5a7ca70fe4ff75f0.us-east-1.aws.found.io/app/kibana#/discover/Steve-Slow-Train-Analysis-(2080s-and-2083s)?_g=(refreshInterval:(display:Off,pause:!f,section:0,value:0),time:(from:'2017-12-19T06:24:32-0700',mode:absolute,to:'2017-12-19T09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247" t="str">
        <f>IF(AA44&lt;VLOOKUP(AG44,Variables!$AC$3:$AD$8,2,FALSE),"Y","N")</f>
        <v>N</v>
      </c>
      <c r="X44" s="247">
        <f t="shared" si="4"/>
        <v>1</v>
      </c>
      <c r="Y44" s="247">
        <f t="shared" si="5"/>
        <v>5.1299999999999998E-2</v>
      </c>
      <c r="Z44" s="247">
        <f t="shared" si="6"/>
        <v>23.323799999999999</v>
      </c>
      <c r="AA44" s="247">
        <f t="shared" si="7"/>
        <v>23.272499999999997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8"/>
        <v>131</v>
      </c>
      <c r="AE44" s="235" t="str">
        <f t="shared" si="9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44" s="234" t="str">
        <f t="shared" si="10"/>
        <v>"C:\Program Files (x86)\AstroGrep\AstroGrep.exe" /e /r /s /spath="%USERPROFILE%\AppData\Local\Temp\OnboardLogs" /stypes="app*4032*20171219*" /stext=" 15:.+((SYSTEM_STATE.+slice.+state.+changed )|(ment ac)|(multiple cpu faults)|(system.+state.+changed )|(\[timeout)|(PRM\|1\|D)|(kpr)|(kdp)|(train st.+moving)|(\|gpps)|(penalty))"</v>
      </c>
      <c r="AG44" s="244" t="str">
        <f t="shared" si="11"/>
        <v>EC</v>
      </c>
      <c r="AH44" s="236" t="str">
        <f t="shared" si="17"/>
        <v>"%USERPROFILE%\Documents\GitHub\eaglep3\Utilities\RefineRTDCRunTimes.py" --tripid 131-19 --locoid 4032 --swversion DE.1.0.9.0 --startMP 204:513 --initTime 2017-12-19T07:24:32 --startdatetime 2017-12-19T07:30:24 --delay 61 --endMP 204:233238 --enddatetime 2017-12-19T08:05:21 --enforcementcount 0 &gt;&gt;%USERPROFILE%\Documents\GitHub\eaglep3-reporting\EC\2017-12-19-refined-times.txt</v>
      </c>
      <c r="AI4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{"issue":{"subject":"","project_id":79,"tracker_id":40,"status_id":1,"priority_id":2,"assigned_to_id":338,"start_date":"2017-12-19","description":"","custom_fields":[{"id":1,"name":"Subdivision","value":"EC"},{"id":4,"name":"Milepost","value":"23.3238"},{"id":17,"name":"Train ID","value":"131-19"},{"id":16,"name":"Locomotive ID","value":"4032"},{"id":130,"name":"Impact","value":""},{"id":150,"name":"Time of Event (Mountain Time)","value":"08:05:21"},{"id":151,"name":"Denver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19"/>
        <v>start /low /b %USERPROFILE%\Documents\GitHub\eaglep3\Utilities\DownloadLogsFromS3.py --loco 4032 --day 2017-12-19</v>
      </c>
      <c r="AN4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1"/>
        <v>https://d0f6bd738d7f1b3e5a7ca70fe4ff75f0.us-east-1.aws.found.io/app/kibana#/discover/Steve-Slow-Train-Analysis-(2080s-and-2083s)?_g=(refreshInterval:(display:Off,pause:!f,section:0,value:0),time:(from:'2017-12-19T06:24:32-0700',mode:absolute,to:'2017-12-19T09:05:21-0700'))&amp;_a=(columns:!('Message%20ID',Summary),filters:!(),index:'emp_*',interval:auto,query:(query_string:(analyze_wildcard:!t,query:'%22rtdc.l.rtdc.4032%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759</v>
      </c>
      <c r="B45" s="225">
        <v>4031</v>
      </c>
      <c r="C45" s="227" t="s">
        <v>192</v>
      </c>
      <c r="D45" s="227" t="s">
        <v>942</v>
      </c>
      <c r="E45" s="226">
        <v>43088.340312499997</v>
      </c>
      <c r="F45" s="226">
        <v>43088.352361111109</v>
      </c>
      <c r="G45" s="225">
        <v>229</v>
      </c>
      <c r="H45" s="227" t="s">
        <v>943</v>
      </c>
      <c r="I45" s="226">
        <v>43088.378425925926</v>
      </c>
      <c r="J45" s="225">
        <v>0</v>
      </c>
      <c r="K45" s="237" t="str">
        <f t="shared" ref="K45:K76" si="24">IF(ISEVEN(B45),(B45-1)&amp;"/"&amp;B45,B45&amp;"/"&amp;(B45+1))</f>
        <v>4031/4032</v>
      </c>
      <c r="L45" s="245" t="str">
        <f>VLOOKUP(A45,'Trips&amp;Operators'!$C$1:$G$99911,5,FALSE)</f>
        <v>MACDONALD THOMAS</v>
      </c>
      <c r="M45" s="224">
        <f t="shared" ref="M45:M76" si="25">I45-F45</f>
        <v>2.6064814817800652E-2</v>
      </c>
      <c r="N45" s="225">
        <f t="shared" si="23"/>
        <v>37.533333337632939</v>
      </c>
      <c r="O45" s="225"/>
      <c r="P45" s="225"/>
      <c r="Q45" s="228"/>
      <c r="R45" s="242"/>
      <c r="S45" s="249">
        <f t="shared" si="22"/>
        <v>1</v>
      </c>
      <c r="T45" s="242" t="str">
        <f t="shared" ref="T45:T76" si="26"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3"/>
        <v>https://d0f6bd738d7f1b3e5a7ca70fe4ff75f0.us-east-1.aws.found.io/app/kibana#/discover/Steve-Slow-Train-Analysis-(2080s-and-2083s)?_g=(refreshInterval:(display:Off,pause:!f,section:0,value:0),time:(from:'2017-12-19T07:10:03-0700',mode:absolute,to:'2017-12-19T10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247" t="str">
        <f>IF(AA45&lt;VLOOKUP(AG45,Variables!$AC$3:$AD$8,2,FALSE),"Y","N")</f>
        <v>N</v>
      </c>
      <c r="X45" s="247">
        <f t="shared" ref="X45:X76" si="27">VALUE(LEFT(AD45,4))-VALUE(LEFT(AD44,4))</f>
        <v>1</v>
      </c>
      <c r="Y45" s="247">
        <f t="shared" ref="Y45:Y76" si="28">RIGHT(D45,LEN(D45)-4)/10000</f>
        <v>23.2911</v>
      </c>
      <c r="Z45" s="247">
        <f t="shared" ref="Z45:Z76" si="29">RIGHT(H45,LEN(H45)-4)/10000</f>
        <v>2.3400000000000001E-2</v>
      </c>
      <c r="AA45" s="247">
        <f t="shared" ref="AA45:AA76" si="30">ABS(Z45-Y45)</f>
        <v>23.267700000000001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ref="AD45:AD76" si="31">VALUE(LEFT(A45,LEN(A45)-3))</f>
        <v>132</v>
      </c>
      <c r="AE45" s="235" t="str">
        <f t="shared" si="9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45" s="234" t="str">
        <f t="shared" si="10"/>
        <v>"C:\Program Files (x86)\AstroGrep\AstroGrep.exe" /e /r /s /spath="%USERPROFILE%\AppData\Local\Temp\OnboardLogs" /stypes="app*4031*20171219*" /stext=" 16:.+((SYSTEM_STATE.+slice.+state.+changed )|(ment ac)|(multiple cpu faults)|(system.+state.+changed )|(\[timeout)|(PRM\|1\|D)|(kpr)|(kdp)|(train st.+moving)|(\|gpps)|(penalty))"</v>
      </c>
      <c r="AG45" s="244" t="str">
        <f t="shared" ref="AG45:AG76" si="32">DetSubdiv(A45)</f>
        <v>EC</v>
      </c>
      <c r="AH45" s="236" t="str">
        <f t="shared" si="17"/>
        <v>"%USERPROFILE%\Documents\GitHub\eaglep3\Utilities\RefineRTDCRunTimes.py" --tripid 132-19 --locoid 4031 --swversion DE.1.0.9.0 --startMP 204:232911 --initTime 2017-12-19T08:10:03 --startdatetime 2017-12-19T08:27:24 --delay 229 --endMP 204:234 --enddatetime 2017-12-19T09:04:56 --enforcementcount 0 &gt;&gt;%USERPROFILE%\Documents\GitHub\eaglep3-reporting\EC\2017-12-19-refined-times.txt</v>
      </c>
      <c r="AI4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{"issue":{"subject":"","project_id":79,"tracker_id":40,"status_id":1,"priority_id":2,"assigned_to_id":338,"start_date":"2017-12-19","description":"","custom_fields":[{"id":1,"name":"Subdivision","value":"EC"},{"id":4,"name":"Milepost","value":"0.0234"},{"id":17,"name":"Train ID","value":"132-19"},{"id":16,"name":"Locomotive ID","value":"4031"},{"id":130,"name":"Impact","value":""},{"id":150,"name":"Time of Event (Mountain Time)","value":"09:04:56"},{"id":151,"name":"Denver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19"/>
        <v>start /low /b %USERPROFILE%\Documents\GitHub\eaglep3\Utilities\DownloadLogsFromS3.py --loco 4031 --day 2017-12-19</v>
      </c>
      <c r="AN4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1"/>
        <v>https://d0f6bd738d7f1b3e5a7ca70fe4ff75f0.us-east-1.aws.found.io/app/kibana#/discover/Steve-Slow-Train-Analysis-(2080s-and-2083s)?_g=(refreshInterval:(display:Off,pause:!f,section:0,value:0),time:(from:'2017-12-19T07:10:03-0700',mode:absolute,to:'2017-12-19T10:04:56-0700'))&amp;_a=(columns:!('Message%20ID',Summary),filters:!(),index:'emp_*',interval:auto,query:(query_string:(analyze_wildcard:!t,query:'%22rtdc.l.rtdc.4031%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753</v>
      </c>
      <c r="B46" s="225">
        <v>4018</v>
      </c>
      <c r="C46" s="227" t="s">
        <v>192</v>
      </c>
      <c r="D46" s="227" t="s">
        <v>524</v>
      </c>
      <c r="E46" s="226">
        <v>43088.321006944447</v>
      </c>
      <c r="F46" s="226">
        <v>43088.323136574072</v>
      </c>
      <c r="G46" s="225">
        <v>63</v>
      </c>
      <c r="H46" s="227" t="s">
        <v>555</v>
      </c>
      <c r="I46" s="226">
        <v>43088.348495370374</v>
      </c>
      <c r="J46" s="225">
        <v>0</v>
      </c>
      <c r="K46" s="237" t="str">
        <f t="shared" si="24"/>
        <v>4017/4018</v>
      </c>
      <c r="L46" s="245" t="str">
        <f>VLOOKUP(A46,'Trips&amp;Operators'!$C$1:$G$99911,5,FALSE)</f>
        <v>THOMPSON LESTER</v>
      </c>
      <c r="M46" s="224">
        <f t="shared" si="25"/>
        <v>2.5358796301588882E-2</v>
      </c>
      <c r="N46" s="225">
        <f t="shared" si="23"/>
        <v>36.51666667428799</v>
      </c>
      <c r="O46" s="225"/>
      <c r="P46" s="225"/>
      <c r="Q46" s="228"/>
      <c r="R46" s="242"/>
      <c r="S46" s="249">
        <f t="shared" si="22"/>
        <v>1</v>
      </c>
      <c r="T46" s="242" t="str">
        <f t="shared" si="26"/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3"/>
        <v>https://d0f6bd738d7f1b3e5a7ca70fe4ff75f0.us-east-1.aws.found.io/app/kibana#/discover/Steve-Slow-Train-Analysis-(2080s-and-2083s)?_g=(refreshInterval:(display:Off,pause:!f,section:0,value:0),time:(from:'2017-12-19T06:42:15-0700',mode:absolute,to:'2017-12-19T09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247" t="str">
        <f>IF(AA46&lt;VLOOKUP(AG46,Variables!$AC$3:$AD$8,2,FALSE),"Y","N")</f>
        <v>N</v>
      </c>
      <c r="X46" s="247">
        <f t="shared" si="27"/>
        <v>1</v>
      </c>
      <c r="Y46" s="247">
        <f t="shared" si="28"/>
        <v>4.6199999999999998E-2</v>
      </c>
      <c r="Z46" s="247">
        <f t="shared" si="29"/>
        <v>23.328900000000001</v>
      </c>
      <c r="AA46" s="247">
        <f t="shared" si="30"/>
        <v>23.282700000000002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31"/>
        <v>133</v>
      </c>
      <c r="AE46" s="235" t="str">
        <f t="shared" si="9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46" s="234" t="str">
        <f t="shared" si="10"/>
        <v>"C:\Program Files (x86)\AstroGrep\AstroGrep.exe" /e /r /s /spath="%USERPROFILE%\AppData\Local\Temp\OnboardLogs" /stypes="app*4018*20171219*" /stext=" 15:.+((SYSTEM_STATE.+slice.+state.+changed )|(ment ac)|(multiple cpu faults)|(system.+state.+changed )|(\[timeout)|(PRM\|1\|D)|(kpr)|(kdp)|(train st.+moving)|(\|gpps)|(penalty))"</v>
      </c>
      <c r="AG46" s="244" t="str">
        <f t="shared" si="32"/>
        <v>EC</v>
      </c>
      <c r="AH46" s="236" t="str">
        <f t="shared" si="17"/>
        <v>"%USERPROFILE%\Documents\GitHub\eaglep3\Utilities\RefineRTDCRunTimes.py" --tripid 133-19 --locoid 4018 --swversion DE.1.0.9.0 --startMP 204:462 --initTime 2017-12-19T07:42:15 --startdatetime 2017-12-19T07:45:19 --delay 63 --endMP 204:233289 --enddatetime 2017-12-19T08:21:50 --enforcementcount 0 &gt;&gt;%USERPROFILE%\Documents\GitHub\eaglep3-reporting\EC\2017-12-19-refined-times.txt</v>
      </c>
      <c r="AI4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{"issue":{"subject":"","project_id":79,"tracker_id":40,"status_id":1,"priority_id":2,"assigned_to_id":338,"start_date":"2017-12-19","description":"","custom_fields":[{"id":1,"name":"Subdivision","value":"EC"},{"id":4,"name":"Milepost","value":"23.3289"},{"id":17,"name":"Train ID","value":"133-19"},{"id":16,"name":"Locomotive ID","value":"4018"},{"id":130,"name":"Impact","value":""},{"id":150,"name":"Time of Event (Mountain Time)","value":"08:21:50"},{"id":151,"name":"Denver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19"/>
        <v>start /low /b %USERPROFILE%\Documents\GitHub\eaglep3\Utilities\DownloadLogsFromS3.py --loco 4018 --day 2017-12-19</v>
      </c>
      <c r="AN4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1"/>
        <v>https://d0f6bd738d7f1b3e5a7ca70fe4ff75f0.us-east-1.aws.found.io/app/kibana#/discover/Steve-Slow-Train-Analysis-(2080s-and-2083s)?_g=(refreshInterval:(display:Off,pause:!f,section:0,value:0),time:(from:'2017-12-19T06:42:15-0700',mode:absolute,to:'2017-12-19T09:21:50-0700'))&amp;_a=(columns:!('Message%20ID',Summary),filters:!(),index:'emp_*',interval:auto,query:(query_string:(analyze_wildcard:!t,query:'%22rtdc.l.rtdc.4018%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763</v>
      </c>
      <c r="B47" s="225">
        <v>4017</v>
      </c>
      <c r="C47" s="227" t="s">
        <v>192</v>
      </c>
      <c r="D47" s="227" t="s">
        <v>944</v>
      </c>
      <c r="E47" s="226">
        <v>43088.360555555555</v>
      </c>
      <c r="F47" s="226">
        <v>43088.362743055557</v>
      </c>
      <c r="G47" s="225">
        <v>79</v>
      </c>
      <c r="H47" s="227" t="s">
        <v>538</v>
      </c>
      <c r="I47" s="226">
        <v>43088.388796296298</v>
      </c>
      <c r="J47" s="225">
        <v>0</v>
      </c>
      <c r="K47" s="237" t="str">
        <f t="shared" si="24"/>
        <v>4017/4018</v>
      </c>
      <c r="L47" s="245" t="str">
        <f>VLOOKUP(A47,'Trips&amp;Operators'!$C$1:$G$99911,5,FALSE)</f>
        <v>THOMPSON LESTER</v>
      </c>
      <c r="M47" s="224">
        <f t="shared" si="25"/>
        <v>2.6053240741021E-2</v>
      </c>
      <c r="N47" s="225">
        <f t="shared" si="23"/>
        <v>37.51666666707024</v>
      </c>
      <c r="O47" s="225"/>
      <c r="P47" s="225"/>
      <c r="Q47" s="228"/>
      <c r="R47" s="242"/>
      <c r="S47" s="249">
        <f t="shared" si="22"/>
        <v>1</v>
      </c>
      <c r="T47" s="242" t="str">
        <f t="shared" si="26"/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3"/>
        <v>https://d0f6bd738d7f1b3e5a7ca70fe4ff75f0.us-east-1.aws.found.io/app/kibana#/discover/Steve-Slow-Train-Analysis-(2080s-and-2083s)?_g=(refreshInterval:(display:Off,pause:!f,section:0,value:0),time:(from:'2017-12-19T07:39:12-0700',mode:absolute,to:'2017-12-19T10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247" t="str">
        <f>IF(AA47&lt;VLOOKUP(AG47,Variables!$AC$3:$AD$8,2,FALSE),"Y","N")</f>
        <v>N</v>
      </c>
      <c r="X47" s="247">
        <f t="shared" si="27"/>
        <v>1</v>
      </c>
      <c r="Y47" s="247">
        <f t="shared" si="28"/>
        <v>23.2972</v>
      </c>
      <c r="Z47" s="247">
        <f t="shared" si="29"/>
        <v>1.9199999999999998E-2</v>
      </c>
      <c r="AA47" s="247">
        <f t="shared" si="30"/>
        <v>23.277999999999999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31"/>
        <v>134</v>
      </c>
      <c r="AE47" s="235" t="str">
        <f t="shared" si="9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47" s="234" t="str">
        <f t="shared" si="10"/>
        <v>"C:\Program Files (x86)\AstroGrep\AstroGrep.exe" /e /r /s /spath="%USERPROFILE%\AppData\Local\Temp\OnboardLogs" /stypes="app*4017*20171219*" /stext=" 16:.+((SYSTEM_STATE.+slice.+state.+changed )|(ment ac)|(multiple cpu faults)|(system.+state.+changed )|(\[timeout)|(PRM\|1\|D)|(kpr)|(kdp)|(train st.+moving)|(\|gpps)|(penalty))"</v>
      </c>
      <c r="AG47" s="244" t="str">
        <f t="shared" si="32"/>
        <v>EC</v>
      </c>
      <c r="AH47" s="236" t="str">
        <f t="shared" si="17"/>
        <v>"%USERPROFILE%\Documents\GitHub\eaglep3\Utilities\RefineRTDCRunTimes.py" --tripid 134-19 --locoid 4017 --swversion DE.1.0.9.0 --startMP 204:232972 --initTime 2017-12-19T08:39:12 --startdatetime 2017-12-19T08:42:21 --delay 79 --endMP 204:192 --enddatetime 2017-12-19T09:19:52 --enforcementcount 0 &gt;&gt;%USERPROFILE%\Documents\GitHub\eaglep3-reporting\EC\2017-12-19-refined-times.txt</v>
      </c>
      <c r="AI4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{"issue":{"subject":"","project_id":79,"tracker_id":40,"status_id":1,"priority_id":2,"assigned_to_id":338,"start_date":"2017-12-19","description":"","custom_fields":[{"id":1,"name":"Subdivision","value":"EC"},{"id":4,"name":"Milepost","value":"0.0192"},{"id":17,"name":"Train ID","value":"134-19"},{"id":16,"name":"Locomotive ID","value":"4017"},{"id":130,"name":"Impact","value":""},{"id":150,"name":"Time of Event (Mountain Time)","value":"09:19:52"},{"id":151,"name":"Denver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19"/>
        <v>start /low /b %USERPROFILE%\Documents\GitHub\eaglep3\Utilities\DownloadLogsFromS3.py --loco 4017 --day 2017-12-19</v>
      </c>
      <c r="AN4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1"/>
        <v>https://d0f6bd738d7f1b3e5a7ca70fe4ff75f0.us-east-1.aws.found.io/app/kibana#/discover/Steve-Slow-Train-Analysis-(2080s-and-2083s)?_g=(refreshInterval:(display:Off,pause:!f,section:0,value:0),time:(from:'2017-12-19T07:39:12-0700',mode:absolute,to:'2017-12-19T10:19:52-0700'))&amp;_a=(columns:!('Message%20ID',Summary),filters:!(),index:'emp_*',interval:auto,query:(query_string:(analyze_wildcard:!t,query:'%22rtdc.l.rtdc.4017%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754</v>
      </c>
      <c r="B48" s="225">
        <v>4014</v>
      </c>
      <c r="C48" s="227" t="s">
        <v>192</v>
      </c>
      <c r="D48" s="227" t="s">
        <v>945</v>
      </c>
      <c r="E48" s="226">
        <v>43088.330462962964</v>
      </c>
      <c r="F48" s="226">
        <v>43088.33353009259</v>
      </c>
      <c r="G48" s="225">
        <v>52</v>
      </c>
      <c r="H48" s="227" t="s">
        <v>535</v>
      </c>
      <c r="I48" s="226">
        <v>43088.357152777775</v>
      </c>
      <c r="J48" s="225">
        <v>0</v>
      </c>
      <c r="K48" s="237" t="str">
        <f t="shared" si="24"/>
        <v>4013/4014</v>
      </c>
      <c r="L48" s="245" t="str">
        <f>VLOOKUP(A48,'Trips&amp;Operators'!$C$1:$G$99911,5,FALSE)</f>
        <v>DELGADO DIANAH</v>
      </c>
      <c r="M48" s="224">
        <f t="shared" si="25"/>
        <v>2.3622685184818693E-2</v>
      </c>
      <c r="N48" s="225">
        <f t="shared" si="23"/>
        <v>34.016666666138917</v>
      </c>
      <c r="O48" s="225"/>
      <c r="P48" s="225"/>
      <c r="Q48" s="228"/>
      <c r="R48" s="242"/>
      <c r="S48" s="249">
        <f t="shared" si="22"/>
        <v>1</v>
      </c>
      <c r="T48" s="242" t="str">
        <f t="shared" si="26"/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3"/>
        <v>https://d0f6bd738d7f1b3e5a7ca70fe4ff75f0.us-east-1.aws.found.io/app/kibana#/discover/Steve-Slow-Train-Analysis-(2080s-and-2083s)?_g=(refreshInterval:(display:Off,pause:!f,section:0,value:0),time:(from:'2017-12-19T06:55:52-0700',mode:absolute,to:'2017-12-19T09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247" t="str">
        <f>IF(AA48&lt;VLOOKUP(AG48,Variables!$AC$3:$AD$8,2,FALSE),"Y","N")</f>
        <v>N</v>
      </c>
      <c r="X48" s="247">
        <f t="shared" si="27"/>
        <v>1</v>
      </c>
      <c r="Y48" s="247">
        <f t="shared" si="28"/>
        <v>4.53E-2</v>
      </c>
      <c r="Z48" s="247">
        <f t="shared" si="29"/>
        <v>23.329499999999999</v>
      </c>
      <c r="AA48" s="247">
        <f t="shared" si="30"/>
        <v>23.284199999999998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31"/>
        <v>135</v>
      </c>
      <c r="AE48" s="235" t="str">
        <f t="shared" si="9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48" s="234" t="str">
        <f t="shared" si="10"/>
        <v>"C:\Program Files (x86)\AstroGrep\AstroGrep.exe" /e /r /s /spath="%USERPROFILE%\AppData\Local\Temp\OnboardLogs" /stypes="app*4014*20171219*" /stext=" 15:.+((SYSTEM_STATE.+slice.+state.+changed )|(ment ac)|(multiple cpu faults)|(system.+state.+changed )|(\[timeout)|(PRM\|1\|D)|(kpr)|(kdp)|(train st.+moving)|(\|gpps)|(penalty))"</v>
      </c>
      <c r="AG48" s="244" t="str">
        <f t="shared" si="32"/>
        <v>EC</v>
      </c>
      <c r="AH48" s="236" t="str">
        <f t="shared" si="17"/>
        <v>"%USERPROFILE%\Documents\GitHub\eaglep3\Utilities\RefineRTDCRunTimes.py" --tripid 135-19 --locoid 4014 --swversion DE.1.0.9.0 --startMP 204:453 --initTime 2017-12-19T07:55:52 --startdatetime 2017-12-19T08:00:17 --delay 52 --endMP 204:233295 --enddatetime 2017-12-19T08:34:18 --enforcementcount 0 &gt;&gt;%USERPROFILE%\Documents\GitHub\eaglep3-reporting\EC\2017-12-19-refined-times.txt</v>
      </c>
      <c r="AI4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{"issue":{"subject":"","project_id":79,"tracker_id":40,"status_id":1,"priority_id":2,"assigned_to_id":338,"start_date":"2017-12-19","description":"","custom_fields":[{"id":1,"name":"Subdivision","value":"EC"},{"id":4,"name":"Milepost","value":"23.3295"},{"id":17,"name":"Train ID","value":"135-19"},{"id":16,"name":"Locomotive ID","value":"4014"},{"id":130,"name":"Impact","value":""},{"id":150,"name":"Time of Event (Mountain Time)","value":"08:34:18"},{"id":151,"name":"Denver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19"/>
        <v>start /low /b %USERPROFILE%\Documents\GitHub\eaglep3\Utilities\DownloadLogsFromS3.py --loco 4014 --day 2017-12-19</v>
      </c>
      <c r="AN4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1"/>
        <v>https://d0f6bd738d7f1b3e5a7ca70fe4ff75f0.us-east-1.aws.found.io/app/kibana#/discover/Steve-Slow-Train-Analysis-(2080s-and-2083s)?_g=(refreshInterval:(display:Off,pause:!f,section:0,value:0),time:(from:'2017-12-19T06:55:52-0700',mode:absolute,to:'2017-12-19T09:34:18-0700'))&amp;_a=(columns:!('Message%20ID',Summary),filters:!(),index:'emp_*',interval:auto,query:(query_string:(analyze_wildcard:!t,query:'%22rtdc.l.rtdc.4014%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762</v>
      </c>
      <c r="B49" s="225">
        <v>4013</v>
      </c>
      <c r="C49" s="227" t="s">
        <v>192</v>
      </c>
      <c r="D49" s="227" t="s">
        <v>528</v>
      </c>
      <c r="E49" s="226">
        <v>43088.358564814815</v>
      </c>
      <c r="F49" s="226">
        <v>43088.373078703706</v>
      </c>
      <c r="G49" s="225">
        <v>881</v>
      </c>
      <c r="H49" s="227" t="s">
        <v>587</v>
      </c>
      <c r="I49" s="226">
        <v>43088.398368055554</v>
      </c>
      <c r="J49" s="225">
        <v>0</v>
      </c>
      <c r="K49" s="237" t="str">
        <f t="shared" si="24"/>
        <v>4013/4014</v>
      </c>
      <c r="L49" s="245" t="str">
        <f>VLOOKUP(A49,'Trips&amp;Operators'!$C$1:$G$99911,5,FALSE)</f>
        <v>DELGADO DIANAH</v>
      </c>
      <c r="M49" s="224">
        <f t="shared" si="25"/>
        <v>2.5289351848186925E-2</v>
      </c>
      <c r="N49" s="225">
        <f t="shared" si="23"/>
        <v>36.416666661389172</v>
      </c>
      <c r="O49" s="225"/>
      <c r="P49" s="225"/>
      <c r="Q49" s="228"/>
      <c r="R49" s="242"/>
      <c r="S49" s="249">
        <f t="shared" si="22"/>
        <v>1</v>
      </c>
      <c r="T49" s="242" t="str">
        <f t="shared" si="26"/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3"/>
        <v>https://d0f6bd738d7f1b3e5a7ca70fe4ff75f0.us-east-1.aws.found.io/app/kibana#/discover/Steve-Slow-Train-Analysis-(2080s-and-2083s)?_g=(refreshInterval:(display:Off,pause:!f,section:0,value:0),time:(from:'2017-12-19T07:36:20-0700',mode:absolute,to:'2017-12-19T10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247" t="str">
        <f>IF(AA49&lt;VLOOKUP(AG49,Variables!$AC$3:$AD$8,2,FALSE),"Y","N")</f>
        <v>N</v>
      </c>
      <c r="X49" s="247">
        <f t="shared" si="27"/>
        <v>1</v>
      </c>
      <c r="Y49" s="247">
        <f t="shared" si="28"/>
        <v>23.298400000000001</v>
      </c>
      <c r="Z49" s="247">
        <f t="shared" si="29"/>
        <v>1.54E-2</v>
      </c>
      <c r="AA49" s="247">
        <f t="shared" si="30"/>
        <v>23.283000000000001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31"/>
        <v>136</v>
      </c>
      <c r="AE49" s="235" t="str">
        <f t="shared" si="9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49" s="234" t="str">
        <f t="shared" si="10"/>
        <v>"C:\Program Files (x86)\AstroGrep\AstroGrep.exe" /e /r /s /spath="%USERPROFILE%\AppData\Local\Temp\OnboardLogs" /stypes="app*4013*20171219*" /stext=" 16:.+((SYSTEM_STATE.+slice.+state.+changed )|(ment ac)|(multiple cpu faults)|(system.+state.+changed )|(\[timeout)|(PRM\|1\|D)|(kpr)|(kdp)|(train st.+moving)|(\|gpps)|(penalty))"</v>
      </c>
      <c r="AG49" s="244" t="str">
        <f t="shared" si="32"/>
        <v>EC</v>
      </c>
      <c r="AH49" s="236" t="str">
        <f t="shared" si="17"/>
        <v>"%USERPROFILE%\Documents\GitHub\eaglep3\Utilities\RefineRTDCRunTimes.py" --tripid 136-19 --locoid 4013 --swversion DE.1.0.9.0 --startMP 204:232984 --initTime 2017-12-19T08:36:20 --startdatetime 2017-12-19T08:57:14 --delay 881 --endMP 204:154 --enddatetime 2017-12-19T09:33:39 --enforcementcount 0 &gt;&gt;%USERPROFILE%\Documents\GitHub\eaglep3-reporting\EC\2017-12-19-refined-times.txt</v>
      </c>
      <c r="AI4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{"issue":{"subject":"","project_id":79,"tracker_id":40,"status_id":1,"priority_id":2,"assigned_to_id":338,"start_date":"2017-12-19","description":"","custom_fields":[{"id":1,"name":"Subdivision","value":"EC"},{"id":4,"name":"Milepost","value":"0.0154"},{"id":17,"name":"Train ID","value":"136-19"},{"id":16,"name":"Locomotive ID","value":"4013"},{"id":130,"name":"Impact","value":""},{"id":150,"name":"Time of Event (Mountain Time)","value":"09:33:39"},{"id":151,"name":"Denver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19"/>
        <v>start /low /b %USERPROFILE%\Documents\GitHub\eaglep3\Utilities\DownloadLogsFromS3.py --loco 4013 --day 2017-12-19</v>
      </c>
      <c r="AN4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1"/>
        <v>https://d0f6bd738d7f1b3e5a7ca70fe4ff75f0.us-east-1.aws.found.io/app/kibana#/discover/Steve-Slow-Train-Analysis-(2080s-and-2083s)?_g=(refreshInterval:(display:Off,pause:!f,section:0,value:0),time:(from:'2017-12-19T07:36:20-0700',mode:absolute,to:'2017-12-19T10:33:39-0700'))&amp;_a=(columns:!('Message%20ID',Summary),filters:!(),index:'emp_*',interval:auto,query:(query_string:(analyze_wildcard:!t,query:'%22rtdc.l.rtdc.4013%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758</v>
      </c>
      <c r="B50" s="225">
        <v>4028</v>
      </c>
      <c r="C50" s="227" t="s">
        <v>192</v>
      </c>
      <c r="D50" s="227" t="s">
        <v>474</v>
      </c>
      <c r="E50" s="226">
        <v>43088.341736111113</v>
      </c>
      <c r="F50" s="226">
        <v>43088.343935185185</v>
      </c>
      <c r="G50" s="225">
        <v>57</v>
      </c>
      <c r="H50" s="227" t="s">
        <v>946</v>
      </c>
      <c r="I50" s="226">
        <v>43088.368506944447</v>
      </c>
      <c r="J50" s="225">
        <v>0</v>
      </c>
      <c r="K50" s="237" t="str">
        <f t="shared" si="24"/>
        <v>4027/4028</v>
      </c>
      <c r="L50" s="245" t="str">
        <f>VLOOKUP(A50,'Trips&amp;Operators'!$C$1:$G$99911,5,FALSE)</f>
        <v>LAMAR NEKESHA</v>
      </c>
      <c r="M50" s="224">
        <f t="shared" si="25"/>
        <v>2.457175926247146E-2</v>
      </c>
      <c r="N50" s="225">
        <f t="shared" si="23"/>
        <v>35.383333337958902</v>
      </c>
      <c r="O50" s="225"/>
      <c r="P50" s="225"/>
      <c r="Q50" s="228"/>
      <c r="R50" s="242"/>
      <c r="S50" s="249">
        <f t="shared" si="22"/>
        <v>1</v>
      </c>
      <c r="T50" s="242" t="str">
        <f t="shared" si="26"/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3"/>
        <v>https://d0f6bd738d7f1b3e5a7ca70fe4ff75f0.us-east-1.aws.found.io/app/kibana#/discover/Steve-Slow-Train-Analysis-(2080s-and-2083s)?_g=(refreshInterval:(display:Off,pause:!f,section:0,value:0),time:(from:'2017-12-19T07:12:06-0700',mode:absolute,to:'2017-12-19T09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0" s="247" t="str">
        <f>IF(AA50&lt;VLOOKUP(AG50,Variables!$AC$3:$AD$8,2,FALSE),"Y","N")</f>
        <v>N</v>
      </c>
      <c r="X50" s="247">
        <f t="shared" si="27"/>
        <v>1</v>
      </c>
      <c r="Y50" s="247">
        <f t="shared" si="28"/>
        <v>5.1499999999999997E-2</v>
      </c>
      <c r="Z50" s="247">
        <f t="shared" si="29"/>
        <v>23.3291</v>
      </c>
      <c r="AA50" s="247">
        <f t="shared" si="30"/>
        <v>23.2776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31"/>
        <v>137</v>
      </c>
      <c r="AE50" s="235" t="str">
        <f t="shared" si="9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50" s="234" t="str">
        <f t="shared" si="10"/>
        <v>"C:\Program Files (x86)\AstroGrep\AstroGrep.exe" /e /r /s /spath="%USERPROFILE%\AppData\Local\Temp\OnboardLogs" /stypes="app*4028*20171219*" /stext=" 15:.+((SYSTEM_STATE.+slice.+state.+changed )|(ment ac)|(multiple cpu faults)|(system.+state.+changed )|(\[timeout)|(PRM\|1\|D)|(kpr)|(kdp)|(train st.+moving)|(\|gpps)|(penalty))"</v>
      </c>
      <c r="AG50" s="244" t="str">
        <f t="shared" si="32"/>
        <v>EC</v>
      </c>
      <c r="AH50" s="236" t="str">
        <f t="shared" si="17"/>
        <v>"%USERPROFILE%\Documents\GitHub\eaglep3\Utilities\RefineRTDCRunTimes.py" --tripid 137-19 --locoid 4028 --swversion DE.1.0.9.0 --startMP 204:515 --initTime 2017-12-19T08:12:06 --startdatetime 2017-12-19T08:15:16 --delay 57 --endMP 204:233291 --enddatetime 2017-12-19T08:50:39 --enforcementcount 0 &gt;&gt;%USERPROFILE%\Documents\GitHub\eaglep3-reporting\EC\2017-12-19-refined-times.txt</v>
      </c>
      <c r="AI50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{"issue":{"subject":"","project_id":79,"tracker_id":40,"status_id":1,"priority_id":2,"assigned_to_id":338,"start_date":"2017-12-19","description":"","custom_fields":[{"id":1,"name":"Subdivision","value":"EC"},{"id":4,"name":"Milepost","value":"23.3291"},{"id":17,"name":"Train ID","value":"137-19"},{"id":16,"name":"Locomotive ID","value":"4028"},{"id":130,"name":"Impact","value":""},{"id":150,"name":"Time of Event (Mountain Time)","value":"08:50:39"},{"id":151,"name":"Denver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19"/>
        <v>start /low /b %USERPROFILE%\Documents\GitHub\eaglep3\Utilities\DownloadLogsFromS3.py --loco 4028 --day 2017-12-19</v>
      </c>
      <c r="AN50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1"/>
        <v>https://d0f6bd738d7f1b3e5a7ca70fe4ff75f0.us-east-1.aws.found.io/app/kibana#/discover/Steve-Slow-Train-Analysis-(2080s-and-2083s)?_g=(refreshInterval:(display:Off,pause:!f,section:0,value:0),time:(from:'2017-12-19T07:12:06-0700',mode:absolute,to:'2017-12-19T09:50:39-0700'))&amp;_a=(columns:!('Message%20ID',Summary),filters:!(),index:'emp_*',interval:auto,query:(query_string:(analyze_wildcard:!t,query:'%22rtdc.l.rtdc.4028%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768</v>
      </c>
      <c r="B51" s="225">
        <v>4027</v>
      </c>
      <c r="C51" s="227" t="s">
        <v>192</v>
      </c>
      <c r="D51" s="227" t="s">
        <v>940</v>
      </c>
      <c r="E51" s="226">
        <v>43088.38177083333</v>
      </c>
      <c r="F51" s="226">
        <v>43088.383506944447</v>
      </c>
      <c r="G51" s="225">
        <v>53</v>
      </c>
      <c r="H51" s="227" t="s">
        <v>538</v>
      </c>
      <c r="I51" s="226">
        <v>43088.408715277779</v>
      </c>
      <c r="J51" s="225">
        <v>0</v>
      </c>
      <c r="K51" s="237" t="str">
        <f t="shared" si="24"/>
        <v>4027/4028</v>
      </c>
      <c r="L51" s="245" t="str">
        <f>VLOOKUP(A51,'Trips&amp;Operators'!$C$1:$G$99911,5,FALSE)</f>
        <v>LAMAR NEKESHA</v>
      </c>
      <c r="M51" s="224">
        <f t="shared" si="25"/>
        <v>2.5208333332557231E-2</v>
      </c>
      <c r="N51" s="225">
        <f t="shared" si="23"/>
        <v>36.299999998882413</v>
      </c>
      <c r="O51" s="225"/>
      <c r="P51" s="225"/>
      <c r="Q51" s="228"/>
      <c r="R51" s="242"/>
      <c r="S51" s="249">
        <f t="shared" si="22"/>
        <v>1</v>
      </c>
      <c r="T51" s="242" t="str">
        <f t="shared" si="26"/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3"/>
        <v>https://d0f6bd738d7f1b3e5a7ca70fe4ff75f0.us-east-1.aws.found.io/app/kibana#/discover/Steve-Slow-Train-Analysis-(2080s-and-2083s)?_g=(refreshInterval:(display:Off,pause:!f,section:0,value:0),time:(from:'2017-12-19T08:09:45-0700',mode:absolute,to:'2017-12-19T10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247" t="str">
        <f>IF(AA51&lt;VLOOKUP(AG51,Variables!$AC$3:$AD$8,2,FALSE),"Y","N")</f>
        <v>N</v>
      </c>
      <c r="X51" s="247">
        <f t="shared" si="27"/>
        <v>1</v>
      </c>
      <c r="Y51" s="247">
        <f t="shared" si="28"/>
        <v>23.299399999999999</v>
      </c>
      <c r="Z51" s="247">
        <f t="shared" si="29"/>
        <v>1.9199999999999998E-2</v>
      </c>
      <c r="AA51" s="247">
        <f t="shared" si="30"/>
        <v>23.280199999999997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31"/>
        <v>138</v>
      </c>
      <c r="AE51" s="235" t="str">
        <f t="shared" si="9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51" s="234" t="str">
        <f t="shared" si="10"/>
        <v>"C:\Program Files (x86)\AstroGrep\AstroGrep.exe" /e /r /s /spath="%USERPROFILE%\AppData\Local\Temp\OnboardLogs" /stypes="app*4027*20171219*" /stext=" 16:.+((SYSTEM_STATE.+slice.+state.+changed )|(ment ac)|(multiple cpu faults)|(system.+state.+changed )|(\[timeout)|(PRM\|1\|D)|(kpr)|(kdp)|(train st.+moving)|(\|gpps)|(penalty))"</v>
      </c>
      <c r="AG51" s="244" t="str">
        <f t="shared" si="32"/>
        <v>EC</v>
      </c>
      <c r="AH51" s="236" t="str">
        <f t="shared" si="17"/>
        <v>"%USERPROFILE%\Documents\GitHub\eaglep3\Utilities\RefineRTDCRunTimes.py" --tripid 138-19 --locoid 4027 --swversion DE.1.0.9.0 --startMP 204:232994 --initTime 2017-12-19T09:09:45 --startdatetime 2017-12-19T09:12:15 --delay 53 --endMP 204:192 --enddatetime 2017-12-19T09:48:33 --enforcementcount 0 &gt;&gt;%USERPROFILE%\Documents\GitHub\eaglep3-reporting\EC\2017-12-19-refined-times.txt</v>
      </c>
      <c r="AI5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{"issue":{"subject":"","project_id":79,"tracker_id":40,"status_id":1,"priority_id":2,"assigned_to_id":338,"start_date":"2017-12-19","description":"","custom_fields":[{"id":1,"name":"Subdivision","value":"EC"},{"id":4,"name":"Milepost","value":"0.0192"},{"id":17,"name":"Train ID","value":"138-19"},{"id":16,"name":"Locomotive ID","value":"4027"},{"id":130,"name":"Impact","value":""},{"id":150,"name":"Time of Event (Mountain Time)","value":"09:48:33"},{"id":151,"name":"Denver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19"/>
        <v>start /low /b %USERPROFILE%\Documents\GitHub\eaglep3\Utilities\DownloadLogsFromS3.py --loco 4027 --day 2017-12-19</v>
      </c>
      <c r="AN5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1"/>
        <v>https://d0f6bd738d7f1b3e5a7ca70fe4ff75f0.us-east-1.aws.found.io/app/kibana#/discover/Steve-Slow-Train-Analysis-(2080s-and-2083s)?_g=(refreshInterval:(display:Off,pause:!f,section:0,value:0),time:(from:'2017-12-19T08:09:45-0700',mode:absolute,to:'2017-12-19T10:48:33-0700'))&amp;_a=(columns:!('Message%20ID',Summary),filters:!(),index:'emp_*',interval:auto,query:(query_string:(analyze_wildcard:!t,query:'%22rtdc.l.rtdc.4027%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681</v>
      </c>
      <c r="B52" s="225">
        <v>4056</v>
      </c>
      <c r="C52" s="227" t="s">
        <v>192</v>
      </c>
      <c r="D52" s="227" t="s">
        <v>512</v>
      </c>
      <c r="E52" s="226">
        <v>43088.351793981485</v>
      </c>
      <c r="F52" s="226">
        <v>43088.354409722226</v>
      </c>
      <c r="G52" s="225">
        <v>60</v>
      </c>
      <c r="H52" s="227" t="s">
        <v>946</v>
      </c>
      <c r="I52" s="226">
        <v>43088.378518518519</v>
      </c>
      <c r="J52" s="225">
        <v>0</v>
      </c>
      <c r="K52" s="237" t="str">
        <f t="shared" si="24"/>
        <v>4055/4056</v>
      </c>
      <c r="L52" s="245" t="str">
        <f>VLOOKUP(A52,'Trips&amp;Operators'!$C$1:$G$99911,5,FALSE)</f>
        <v>YORK EDGAR</v>
      </c>
      <c r="M52" s="224">
        <f t="shared" si="25"/>
        <v>2.4108796293148771E-2</v>
      </c>
      <c r="N52" s="225">
        <f t="shared" si="23"/>
        <v>34.71666666213423</v>
      </c>
      <c r="O52" s="225"/>
      <c r="P52" s="225"/>
      <c r="Q52" s="228"/>
      <c r="R52" s="242"/>
      <c r="S52" s="249">
        <f t="shared" si="22"/>
        <v>1</v>
      </c>
      <c r="T52" s="242" t="str">
        <f t="shared" si="26"/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3"/>
        <v>https://d0f6bd738d7f1b3e5a7ca70fe4ff75f0.us-east-1.aws.found.io/app/kibana#/discover/Steve-Slow-Train-Analysis-(2080s-and-2083s)?_g=(refreshInterval:(display:Off,pause:!f,section:0,value:0),time:(from:'2017-12-19T07:26:35-0700',mode:absolute,to:'2017-12-19T10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2" s="247" t="str">
        <f>IF(AA52&lt;VLOOKUP(AG52,Variables!$AC$3:$AD$8,2,FALSE),"Y","N")</f>
        <v>N</v>
      </c>
      <c r="X52" s="247">
        <f t="shared" si="27"/>
        <v>1</v>
      </c>
      <c r="Y52" s="247">
        <f t="shared" si="28"/>
        <v>4.58E-2</v>
      </c>
      <c r="Z52" s="247">
        <f t="shared" si="29"/>
        <v>23.3291</v>
      </c>
      <c r="AA52" s="247">
        <f t="shared" si="30"/>
        <v>23.283300000000001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31"/>
        <v>139</v>
      </c>
      <c r="AE52" s="235" t="str">
        <f t="shared" si="9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52" s="234" t="str">
        <f t="shared" si="10"/>
        <v>"C:\Program Files (x86)\AstroGrep\AstroGrep.exe" /e /r /s /spath="%USERPROFILE%\AppData\Local\Temp\OnboardLogs" /stypes="app*4056*20171219*" /stext=" 16:.+((SYSTEM_STATE.+slice.+state.+changed )|(ment ac)|(multiple cpu faults)|(system.+state.+changed )|(\[timeout)|(PRM\|1\|D)|(kpr)|(kdp)|(train st.+moving)|(\|gpps)|(penalty))"</v>
      </c>
      <c r="AG52" s="244" t="str">
        <f t="shared" si="32"/>
        <v>EC</v>
      </c>
      <c r="AH52" s="236" t="str">
        <f t="shared" si="17"/>
        <v>"%USERPROFILE%\Documents\GitHub\eaglep3\Utilities\RefineRTDCRunTimes.py" --tripid 139-19 --locoid 4056 --swversion DE.1.0.9.0 --startMP 204:458 --initTime 2017-12-19T08:26:35 --startdatetime 2017-12-19T08:30:21 --delay 60 --endMP 204:233291 --enddatetime 2017-12-19T09:05:04 --enforcementcount 0 &gt;&gt;%USERPROFILE%\Documents\GitHub\eaglep3-reporting\EC\2017-12-19-refined-times.txt</v>
      </c>
      <c r="AI5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{"issue":{"subject":"","project_id":79,"tracker_id":40,"status_id":1,"priority_id":2,"assigned_to_id":338,"start_date":"2017-12-19","description":"","custom_fields":[{"id":1,"name":"Subdivision","value":"EC"},{"id":4,"name":"Milepost","value":"23.3291"},{"id":17,"name":"Train ID","value":"139-19"},{"id":16,"name":"Locomotive ID","value":"4056"},{"id":130,"name":"Impact","value":""},{"id":150,"name":"Time of Event (Mountain Time)","value":"09:05:04"},{"id":151,"name":"Denver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19"/>
        <v>start /low /b %USERPROFILE%\Documents\GitHub\eaglep3\Utilities\DownloadLogsFromS3.py --loco 4056 --day 2017-12-19</v>
      </c>
      <c r="AN5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1"/>
        <v>https://d0f6bd738d7f1b3e5a7ca70fe4ff75f0.us-east-1.aws.found.io/app/kibana#/discover/Steve-Slow-Train-Analysis-(2080s-and-2083s)?_g=(refreshInterval:(display:Off,pause:!f,section:0,value:0),time:(from:'2017-12-19T07:26:35-0700',mode:absolute,to:'2017-12-19T10:05:04-0700'))&amp;_a=(columns:!('Message%20ID',Summary),filters:!(),index:'emp_*',interval:auto,query:(query_string:(analyze_wildcard:!t,query:'%22rtdc.l.rtdc.4056%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767</v>
      </c>
      <c r="B53" s="225">
        <v>4055</v>
      </c>
      <c r="C53" s="227" t="s">
        <v>192</v>
      </c>
      <c r="D53" s="227" t="s">
        <v>947</v>
      </c>
      <c r="E53" s="226">
        <v>43088.379479166666</v>
      </c>
      <c r="F53" s="226">
        <v>43088.393935185188</v>
      </c>
      <c r="G53" s="225">
        <v>62</v>
      </c>
      <c r="H53" s="227" t="s">
        <v>554</v>
      </c>
      <c r="I53" s="226">
        <v>43088.418819444443</v>
      </c>
      <c r="J53" s="225">
        <v>0</v>
      </c>
      <c r="K53" s="237" t="str">
        <f t="shared" si="24"/>
        <v>4055/4056</v>
      </c>
      <c r="L53" s="245" t="str">
        <f>VLOOKUP(A53,'Trips&amp;Operators'!$C$1:$G$99911,5,FALSE)</f>
        <v>YORK EDGAR</v>
      </c>
      <c r="M53" s="224">
        <f t="shared" si="25"/>
        <v>2.488425925548654E-2</v>
      </c>
      <c r="N53" s="225">
        <f t="shared" si="23"/>
        <v>35.833333327900618</v>
      </c>
      <c r="O53" s="225"/>
      <c r="P53" s="225"/>
      <c r="Q53" s="228"/>
      <c r="R53" s="242"/>
      <c r="S53" s="249">
        <f t="shared" si="22"/>
        <v>1</v>
      </c>
      <c r="T53" s="242" t="str">
        <f t="shared" si="26"/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3"/>
        <v>https://d0f6bd738d7f1b3e5a7ca70fe4ff75f0.us-east-1.aws.found.io/app/kibana#/discover/Steve-Slow-Train-Analysis-(2080s-and-2083s)?_g=(refreshInterval:(display:Off,pause:!f,section:0,value:0),time:(from:'2017-12-19T08:06:27-0700',mode:absolute,to:'2017-12-19T11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3" s="247" t="str">
        <f>IF(AA53&lt;VLOOKUP(AG53,Variables!$AC$3:$AD$8,2,FALSE),"Y","N")</f>
        <v>N</v>
      </c>
      <c r="X53" s="247">
        <f t="shared" si="27"/>
        <v>1</v>
      </c>
      <c r="Y53" s="247">
        <f t="shared" si="28"/>
        <v>23.297999999999998</v>
      </c>
      <c r="Z53" s="247">
        <f t="shared" si="29"/>
        <v>1.4500000000000001E-2</v>
      </c>
      <c r="AA53" s="247">
        <f t="shared" si="30"/>
        <v>23.283499999999997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31"/>
        <v>140</v>
      </c>
      <c r="AE53" s="235" t="str">
        <f t="shared" si="9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53" s="234" t="str">
        <f t="shared" si="10"/>
        <v>"C:\Program Files (x86)\AstroGrep\AstroGrep.exe" /e /r /s /spath="%USERPROFILE%\AppData\Local\Temp\OnboardLogs" /stypes="app*4055*20171219*" /stext=" 17:.+((SYSTEM_STATE.+slice.+state.+changed )|(ment ac)|(multiple cpu faults)|(system.+state.+changed )|(\[timeout)|(PRM\|1\|D)|(kpr)|(kdp)|(train st.+moving)|(\|gpps)|(penalty))"</v>
      </c>
      <c r="AG53" s="244" t="str">
        <f t="shared" si="32"/>
        <v>EC</v>
      </c>
      <c r="AH53" s="236" t="str">
        <f t="shared" si="17"/>
        <v>"%USERPROFILE%\Documents\GitHub\eaglep3\Utilities\RefineRTDCRunTimes.py" --tripid 140-19 --locoid 4055 --swversion DE.1.0.9.0 --startMP 204:232980 --initTime 2017-12-19T09:06:27 --startdatetime 2017-12-19T09:27:16 --delay 62 --endMP 204:145 --enddatetime 2017-12-19T10:03:06 --enforcementcount 0 &gt;&gt;%USERPROFILE%\Documents\GitHub\eaglep3-reporting\EC\2017-12-19-refined-times.txt</v>
      </c>
      <c r="AI5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{"issue":{"subject":"","project_id":79,"tracker_id":40,"status_id":1,"priority_id":2,"assigned_to_id":338,"start_date":"2017-12-19","description":"","custom_fields":[{"id":1,"name":"Subdivision","value":"EC"},{"id":4,"name":"Milepost","value":"0.0145"},{"id":17,"name":"Train ID","value":"140-19"},{"id":16,"name":"Locomotive ID","value":"4055"},{"id":130,"name":"Impact","value":""},{"id":150,"name":"Time of Event (Mountain Time)","value":"10:03:06"},{"id":151,"name":"Denver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19"/>
        <v>start /low /b %USERPROFILE%\Documents\GitHub\eaglep3\Utilities\DownloadLogsFromS3.py --loco 4055 --day 2017-12-19</v>
      </c>
      <c r="AN5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1"/>
        <v>https://d0f6bd738d7f1b3e5a7ca70fe4ff75f0.us-east-1.aws.found.io/app/kibana#/discover/Steve-Slow-Train-Analysis-(2080s-and-2083s)?_g=(refreshInterval:(display:Off,pause:!f,section:0,value:0),time:(from:'2017-12-19T08:06:27-0700',mode:absolute,to:'2017-12-19T11:03:06-0700'))&amp;_a=(columns:!('Message%20ID',Summary),filters:!(),index:'emp_*',interval:auto,query:(query_string:(analyze_wildcard:!t,query:'%22rtdc.l.rtdc.4055%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761</v>
      </c>
      <c r="B54" s="225">
        <v>4064</v>
      </c>
      <c r="C54" s="227" t="s">
        <v>192</v>
      </c>
      <c r="D54" s="227" t="s">
        <v>623</v>
      </c>
      <c r="E54" s="226">
        <v>43088.358171296299</v>
      </c>
      <c r="F54" s="226">
        <v>43088.364756944444</v>
      </c>
      <c r="G54" s="225">
        <v>49</v>
      </c>
      <c r="H54" s="227" t="s">
        <v>621</v>
      </c>
      <c r="I54" s="226">
        <v>43088.389386574076</v>
      </c>
      <c r="J54" s="225">
        <v>0</v>
      </c>
      <c r="K54" s="237" t="str">
        <f t="shared" si="24"/>
        <v>4063/4064</v>
      </c>
      <c r="L54" s="245" t="str">
        <f>VLOOKUP(A54,'Trips&amp;Operators'!$C$1:$G$99911,5,FALSE)</f>
        <v>YANAI IAN</v>
      </c>
      <c r="M54" s="224">
        <f t="shared" si="25"/>
        <v>2.4629629631817807E-2</v>
      </c>
      <c r="N54" s="225">
        <f t="shared" si="23"/>
        <v>35.466666669817641</v>
      </c>
      <c r="O54" s="225"/>
      <c r="P54" s="225"/>
      <c r="Q54" s="228"/>
      <c r="R54" s="242"/>
      <c r="S54" s="249">
        <f t="shared" si="22"/>
        <v>1</v>
      </c>
      <c r="T54" s="242" t="str">
        <f t="shared" si="26"/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3"/>
        <v>https://d0f6bd738d7f1b3e5a7ca70fe4ff75f0.us-east-1.aws.found.io/app/kibana#/discover/Steve-Slow-Train-Analysis-(2080s-and-2083s)?_g=(refreshInterval:(display:Off,pause:!f,section:0,value:0),time:(from:'2017-12-19T07:35:46-0700',mode:absolute,to:'2017-12-19T10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4" s="247" t="str">
        <f>IF(AA54&lt;VLOOKUP(AG54,Variables!$AC$3:$AD$8,2,FALSE),"Y","N")</f>
        <v>N</v>
      </c>
      <c r="X54" s="247">
        <f t="shared" si="27"/>
        <v>1</v>
      </c>
      <c r="Y54" s="247">
        <f t="shared" si="28"/>
        <v>5.28E-2</v>
      </c>
      <c r="Z54" s="247">
        <f t="shared" si="29"/>
        <v>23.3306</v>
      </c>
      <c r="AA54" s="247">
        <f t="shared" si="30"/>
        <v>23.277799999999999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31"/>
        <v>141</v>
      </c>
      <c r="AE54" s="235" t="str">
        <f t="shared" si="9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54" s="234" t="str">
        <f t="shared" si="10"/>
        <v>"C:\Program Files (x86)\AstroGrep\AstroGrep.exe" /e /r /s /spath="%USERPROFILE%\AppData\Local\Temp\OnboardLogs" /stypes="app*4064*20171219*" /stext=" 16:.+((SYSTEM_STATE.+slice.+state.+changed )|(ment ac)|(multiple cpu faults)|(system.+state.+changed )|(\[timeout)|(PRM\|1\|D)|(kpr)|(kdp)|(train st.+moving)|(\|gpps)|(penalty))"</v>
      </c>
      <c r="AG54" s="244" t="str">
        <f t="shared" si="32"/>
        <v>EC</v>
      </c>
      <c r="AH54" s="236" t="str">
        <f t="shared" si="17"/>
        <v>"%USERPROFILE%\Documents\GitHub\eaglep3\Utilities\RefineRTDCRunTimes.py" --tripid 141-19 --locoid 4064 --swversion DE.1.0.9.0 --startMP 204:528 --initTime 2017-12-19T08:35:46 --startdatetime 2017-12-19T08:45:15 --delay 49 --endMP 204:233306 --enddatetime 2017-12-19T09:20:43 --enforcementcount 0 &gt;&gt;%USERPROFILE%\Documents\GitHub\eaglep3-reporting\EC\2017-12-19-refined-times.txt</v>
      </c>
      <c r="AI5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{"issue":{"subject":"","project_id":79,"tracker_id":40,"status_id":1,"priority_id":2,"assigned_to_id":338,"start_date":"2017-12-19","description":"","custom_fields":[{"id":1,"name":"Subdivision","value":"EC"},{"id":4,"name":"Milepost","value":"23.3306"},{"id":17,"name":"Train ID","value":"141-19"},{"id":16,"name":"Locomotive ID","value":"4064"},{"id":130,"name":"Impact","value":""},{"id":150,"name":"Time of Event (Mountain Time)","value":"09:20:43"},{"id":151,"name":"Denver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19"/>
        <v>start /low /b %USERPROFILE%\Documents\GitHub\eaglep3\Utilities\DownloadLogsFromS3.py --loco 4064 --day 2017-12-19</v>
      </c>
      <c r="AN5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1"/>
        <v>https://d0f6bd738d7f1b3e5a7ca70fe4ff75f0.us-east-1.aws.found.io/app/kibana#/discover/Steve-Slow-Train-Analysis-(2080s-and-2083s)?_g=(refreshInterval:(display:Off,pause:!f,section:0,value:0),time:(from:'2017-12-19T07:35:46-0700',mode:absolute,to:'2017-12-19T10:20:43-0700'))&amp;_a=(columns:!('Message%20ID',Summary),filters:!(),index:'emp_*',interval:auto,query:(query_string:(analyze_wildcard:!t,query:'%22rtdc.l.rtdc.4064%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770</v>
      </c>
      <c r="B55" s="225">
        <v>4063</v>
      </c>
      <c r="C55" s="227" t="s">
        <v>192</v>
      </c>
      <c r="D55" s="227" t="s">
        <v>931</v>
      </c>
      <c r="E55" s="226">
        <v>43088.390416666669</v>
      </c>
      <c r="F55" s="226">
        <v>43088.404340277775</v>
      </c>
      <c r="G55" s="225">
        <v>48</v>
      </c>
      <c r="H55" s="227" t="s">
        <v>518</v>
      </c>
      <c r="I55" s="226">
        <v>43088.429513888892</v>
      </c>
      <c r="J55" s="225">
        <v>0</v>
      </c>
      <c r="K55" s="237" t="str">
        <f t="shared" si="24"/>
        <v>4063/4064</v>
      </c>
      <c r="L55" s="245" t="str">
        <f>VLOOKUP(A55,'Trips&amp;Operators'!$C$1:$G$99911,5,FALSE)</f>
        <v>YANAI IAN</v>
      </c>
      <c r="M55" s="224">
        <f t="shared" si="25"/>
        <v>2.5173611116770189E-2</v>
      </c>
      <c r="N55" s="225">
        <f t="shared" si="23"/>
        <v>36.250000008149073</v>
      </c>
      <c r="O55" s="225"/>
      <c r="P55" s="225"/>
      <c r="Q55" s="228"/>
      <c r="R55" s="242"/>
      <c r="S55" s="249">
        <f t="shared" si="22"/>
        <v>1</v>
      </c>
      <c r="T55" s="242" t="str">
        <f t="shared" si="26"/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3"/>
        <v>https://d0f6bd738d7f1b3e5a7ca70fe4ff75f0.us-east-1.aws.found.io/app/kibana#/discover/Steve-Slow-Train-Analysis-(2080s-and-2083s)?_g=(refreshInterval:(display:Off,pause:!f,section:0,value:0),time:(from:'2017-12-19T08:22:12-0700',mode:absolute,to:'2017-12-19T11:18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5" s="247" t="str">
        <f>IF(AA55&lt;VLOOKUP(AG55,Variables!$AC$3:$AD$8,2,FALSE),"Y","N")</f>
        <v>N</v>
      </c>
      <c r="X55" s="247">
        <f t="shared" si="27"/>
        <v>1</v>
      </c>
      <c r="Y55" s="247">
        <f t="shared" si="28"/>
        <v>23.297899999999998</v>
      </c>
      <c r="Z55" s="247">
        <f t="shared" si="29"/>
        <v>2.1999999999999999E-2</v>
      </c>
      <c r="AA55" s="247">
        <f t="shared" si="30"/>
        <v>23.2759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31"/>
        <v>142</v>
      </c>
      <c r="AE55" s="235" t="str">
        <f t="shared" si="9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55" s="234" t="str">
        <f t="shared" si="10"/>
        <v>"C:\Program Files (x86)\AstroGrep\AstroGrep.exe" /e /r /s /spath="%USERPROFILE%\AppData\Local\Temp\OnboardLogs" /stypes="app*4063*20171219*" /stext=" 17:.+((SYSTEM_STATE.+slice.+state.+changed )|(ment ac)|(multiple cpu faults)|(system.+state.+changed )|(\[timeout)|(PRM\|1\|D)|(kpr)|(kdp)|(train st.+moving)|(\|gpps)|(penalty))"</v>
      </c>
      <c r="AG55" s="244" t="str">
        <f t="shared" si="32"/>
        <v>EC</v>
      </c>
      <c r="AH55" s="236" t="str">
        <f t="shared" si="17"/>
        <v>"%USERPROFILE%\Documents\GitHub\eaglep3\Utilities\RefineRTDCRunTimes.py" --tripid 142-19 --locoid 4063 --swversion DE.1.0.9.0 --startMP 204:232979 --initTime 2017-12-19T09:22:12 --startdatetime 2017-12-19T09:42:15 --delay 48 --endMP 204:220 --enddatetime 2017-12-19T10:18:30 --enforcementcount 0 &gt;&gt;%USERPROFILE%\Documents\GitHub\eaglep3-reporting\EC\2017-12-19-refined-times.txt</v>
      </c>
      <c r="AI5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{"issue":{"subject":"","project_id":79,"tracker_id":40,"status_id":1,"priority_id":2,"assigned_to_id":338,"start_date":"2017-12-19","description":"","custom_fields":[{"id":1,"name":"Subdivision","value":"EC"},{"id":4,"name":"Milepost","value":"0.022"},{"id":17,"name":"Train ID","value":"142-19"},{"id":16,"name":"Locomotive ID","value":"4063"},{"id":130,"name":"Impact","value":""},{"id":150,"name":"Time of Event (Mountain Time)","value":"10:18:30"},{"id":151,"name":"Denver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19"/>
        <v>start /low /b %USERPROFILE%\Documents\GitHub\eaglep3\Utilities\DownloadLogsFromS3.py --loco 4063 --day 2017-12-19</v>
      </c>
      <c r="AN5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1"/>
        <v>https://d0f6bd738d7f1b3e5a7ca70fe4ff75f0.us-east-1.aws.found.io/app/kibana#/discover/Steve-Slow-Train-Analysis-(2080s-and-2083s)?_g=(refreshInterval:(display:Off,pause:!f,section:0,value:0),time:(from:'2017-12-19T08:22:12-0700',mode:absolute,to:'2017-12-19T11:18:30-0700'))&amp;_a=(columns:!('Message%20ID',Summary),filters:!(),index:'emp_*',interval:auto,query:(query_string:(analyze_wildcard:!t,query:'%22rtdc.l.rtdc.4063%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764</v>
      </c>
      <c r="B56" s="225">
        <v>4040</v>
      </c>
      <c r="C56" s="227" t="s">
        <v>192</v>
      </c>
      <c r="D56" s="227" t="s">
        <v>626</v>
      </c>
      <c r="E56" s="226">
        <v>43088.370266203703</v>
      </c>
      <c r="F56" s="226">
        <v>43088.375219907408</v>
      </c>
      <c r="G56" s="225">
        <v>77</v>
      </c>
      <c r="H56" s="227" t="s">
        <v>565</v>
      </c>
      <c r="I56" s="226">
        <v>43088.4</v>
      </c>
      <c r="J56" s="225">
        <v>0</v>
      </c>
      <c r="K56" s="237" t="str">
        <f t="shared" si="24"/>
        <v>4039/4040</v>
      </c>
      <c r="L56" s="245" t="str">
        <f>VLOOKUP(A56,'Trips&amp;Operators'!$C$1:$G$99911,5,FALSE)</f>
        <v>ACKERMAN JARED</v>
      </c>
      <c r="M56" s="224">
        <f t="shared" si="25"/>
        <v>2.4780092593573499E-2</v>
      </c>
      <c r="N56" s="225">
        <f t="shared" si="23"/>
        <v>35.683333334745839</v>
      </c>
      <c r="O56" s="225"/>
      <c r="P56" s="225"/>
      <c r="Q56" s="228"/>
      <c r="R56" s="242"/>
      <c r="S56" s="249">
        <f t="shared" si="22"/>
        <v>1</v>
      </c>
      <c r="T56" s="242" t="str">
        <f t="shared" si="26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3"/>
        <v>https://d0f6bd738d7f1b3e5a7ca70fe4ff75f0.us-east-1.aws.found.io/app/kibana#/discover/Steve-Slow-Train-Analysis-(2080s-and-2083s)?_g=(refreshInterval:(display:Off,pause:!f,section:0,value:0),time:(from:'2017-12-19T07:53:11-0700',mode:absolute,to:'2017-12-19T10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247" t="str">
        <f>IF(AA56&lt;VLOOKUP(AG56,Variables!$AC$3:$AD$8,2,FALSE),"Y","N")</f>
        <v>N</v>
      </c>
      <c r="X56" s="247">
        <f t="shared" si="27"/>
        <v>1</v>
      </c>
      <c r="Y56" s="247">
        <f t="shared" si="28"/>
        <v>4.9500000000000002E-2</v>
      </c>
      <c r="Z56" s="247">
        <f t="shared" si="29"/>
        <v>23.3307</v>
      </c>
      <c r="AA56" s="247">
        <f t="shared" si="30"/>
        <v>23.281200000000002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31"/>
        <v>143</v>
      </c>
      <c r="AE56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56" s="234" t="str">
        <f t="shared" si="10"/>
        <v>"C:\Program Files (x86)\AstroGrep\AstroGrep.exe" /e /r /s /spath="%USERPROFILE%\AppData\Local\Temp\OnboardLogs" /stypes="app*4040*20171219*" /stext=" 16:.+((SYSTEM_STATE.+slice.+state.+changed )|(ment ac)|(multiple cpu faults)|(system.+state.+changed )|(\[timeout)|(PRM\|1\|D)|(kpr)|(kdp)|(train st.+moving)|(\|gpps)|(penalty))"</v>
      </c>
      <c r="AG56" s="244" t="str">
        <f t="shared" si="32"/>
        <v>EC</v>
      </c>
      <c r="AH56" s="236" t="str">
        <f t="shared" si="17"/>
        <v>"%USERPROFILE%\Documents\GitHub\eaglep3\Utilities\RefineRTDCRunTimes.py" --tripid 143-19 --locoid 4040 --swversion DE.1.0.9.0 --startMP 204:495 --initTime 2017-12-19T08:53:11 --startdatetime 2017-12-19T09:00:19 --delay 77 --endMP 204:233307 --enddatetime 2017-12-19T09:36:00 --enforcementcount 0 &gt;&gt;%USERPROFILE%\Documents\GitHub\eaglep3-reporting\EC\2017-12-19-refined-times.txt</v>
      </c>
      <c r="AI5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{"issue":{"subject":"","project_id":79,"tracker_id":40,"status_id":1,"priority_id":2,"assigned_to_id":338,"start_date":"2017-12-19","description":"","custom_fields":[{"id":1,"name":"Subdivision","value":"EC"},{"id":4,"name":"Milepost","value":"23.3307"},{"id":17,"name":"Train ID","value":"143-19"},{"id":16,"name":"Locomotive ID","value":"4040"},{"id":130,"name":"Impact","value":""},{"id":150,"name":"Time of Event (Mountain Time)","value":"09:36:00"},{"id":151,"name":"Denver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19"/>
        <v>start /low /b %USERPROFILE%\Documents\GitHub\eaglep3\Utilities\DownloadLogsFromS3.py --loco 4040 --day 2017-12-19</v>
      </c>
      <c r="AN5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1"/>
        <v>https://d0f6bd738d7f1b3e5a7ca70fe4ff75f0.us-east-1.aws.found.io/app/kibana#/discover/Steve-Slow-Train-Analysis-(2080s-and-2083s)?_g=(refreshInterval:(display:Off,pause:!f,section:0,value:0),time:(from:'2017-12-19T07:53:11-0700',mode:absolute,to:'2017-12-19T10:36:00-0700'))&amp;_a=(columns:!('Message%20ID',Summary),filters:!(),index:'emp_*',interval:auto,query:(query_string:(analyze_wildcard:!t,query:'%22rtdc.l.rtdc.4040%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773</v>
      </c>
      <c r="B57" s="225">
        <v>4039</v>
      </c>
      <c r="C57" s="227" t="s">
        <v>192</v>
      </c>
      <c r="D57" s="227" t="s">
        <v>528</v>
      </c>
      <c r="E57" s="226">
        <v>43088.406319444446</v>
      </c>
      <c r="F57" s="226">
        <v>43088.41474537037</v>
      </c>
      <c r="G57" s="225">
        <v>87</v>
      </c>
      <c r="H57" s="227" t="s">
        <v>929</v>
      </c>
      <c r="I57" s="226">
        <v>43088.442280092589</v>
      </c>
      <c r="J57" s="225">
        <v>0</v>
      </c>
      <c r="K57" s="237" t="str">
        <f t="shared" si="24"/>
        <v>4039/4040</v>
      </c>
      <c r="L57" s="245" t="str">
        <f>VLOOKUP(A57,'Trips&amp;Operators'!$C$1:$G$99911,5,FALSE)</f>
        <v>ACKERMAN JARED</v>
      </c>
      <c r="M57" s="224">
        <f t="shared" si="25"/>
        <v>2.753472221957054E-2</v>
      </c>
      <c r="N57" s="225">
        <f t="shared" si="23"/>
        <v>39.649999996181577</v>
      </c>
      <c r="O57" s="225"/>
      <c r="P57" s="225"/>
      <c r="Q57" s="228"/>
      <c r="R57" s="242"/>
      <c r="S57" s="249">
        <f t="shared" si="22"/>
        <v>1</v>
      </c>
      <c r="T57" s="242" t="str">
        <f t="shared" si="26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3"/>
        <v>https://d0f6bd738d7f1b3e5a7ca70fe4ff75f0.us-east-1.aws.found.io/app/kibana#/discover/Steve-Slow-Train-Analysis-(2080s-and-2083s)?_g=(refreshInterval:(display:Off,pause:!f,section:0,value:0),time:(from:'2017-12-19T08:45:06-0700',mode:absolute,to:'2017-12-19T11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247" t="str">
        <f>IF(AA57&lt;VLOOKUP(AG57,Variables!$AC$3:$AD$8,2,FALSE),"Y","N")</f>
        <v>N</v>
      </c>
      <c r="X57" s="247">
        <f t="shared" si="27"/>
        <v>1</v>
      </c>
      <c r="Y57" s="247">
        <f t="shared" si="28"/>
        <v>23.298400000000001</v>
      </c>
      <c r="Z57" s="247">
        <f t="shared" si="29"/>
        <v>1.49E-2</v>
      </c>
      <c r="AA57" s="247">
        <f t="shared" si="30"/>
        <v>23.2835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31"/>
        <v>144</v>
      </c>
      <c r="AE57" s="235" t="str">
        <f t="shared" si="9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57" s="234" t="str">
        <f t="shared" si="10"/>
        <v>"C:\Program Files (x86)\AstroGrep\AstroGrep.exe" /e /r /s /spath="%USERPROFILE%\AppData\Local\Temp\OnboardLogs" /stypes="app*4039*20171219*" /stext=" 17:.+((SYSTEM_STATE.+slice.+state.+changed )|(ment ac)|(multiple cpu faults)|(system.+state.+changed )|(\[timeout)|(PRM\|1\|D)|(kpr)|(kdp)|(train st.+moving)|(\|gpps)|(penalty))"</v>
      </c>
      <c r="AG57" s="244" t="str">
        <f t="shared" si="32"/>
        <v>EC</v>
      </c>
      <c r="AH57" s="236" t="str">
        <f t="shared" si="17"/>
        <v>"%USERPROFILE%\Documents\GitHub\eaglep3\Utilities\RefineRTDCRunTimes.py" --tripid 144-19 --locoid 4039 --swversion DE.1.0.9.0 --startMP 204:232984 --initTime 2017-12-19T09:45:06 --startdatetime 2017-12-19T09:57:14 --delay 87 --endMP 204:149 --enddatetime 2017-12-19T10:36:53 --enforcementcount 0 &gt;&gt;%USERPROFILE%\Documents\GitHub\eaglep3-reporting\EC\2017-12-19-refined-times.txt</v>
      </c>
      <c r="AI5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{"issue":{"subject":"","project_id":79,"tracker_id":40,"status_id":1,"priority_id":2,"assigned_to_id":338,"start_date":"2017-12-19","description":"","custom_fields":[{"id":1,"name":"Subdivision","value":"EC"},{"id":4,"name":"Milepost","value":"0.0149"},{"id":17,"name":"Train ID","value":"144-19"},{"id":16,"name":"Locomotive ID","value":"4039"},{"id":130,"name":"Impact","value":""},{"id":150,"name":"Time of Event (Mountain Time)","value":"10:36:53"},{"id":151,"name":"Denver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19"/>
        <v>start /low /b %USERPROFILE%\Documents\GitHub\eaglep3\Utilities\DownloadLogsFromS3.py --loco 4039 --day 2017-12-19</v>
      </c>
      <c r="AN5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1"/>
        <v>https://d0f6bd738d7f1b3e5a7ca70fe4ff75f0.us-east-1.aws.found.io/app/kibana#/discover/Steve-Slow-Train-Analysis-(2080s-and-2083s)?_g=(refreshInterval:(display:Off,pause:!f,section:0,value:0),time:(from:'2017-12-19T08:45:06-0700',mode:absolute,to:'2017-12-19T11:36:53-0700'))&amp;_a=(columns:!('Message%20ID',Summary),filters:!(),index:'emp_*',interval:auto,query:(query_string:(analyze_wildcard:!t,query:'%22rtdc.l.rtdc.4039%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769</v>
      </c>
      <c r="B58" s="225">
        <v>4032</v>
      </c>
      <c r="C58" s="227" t="s">
        <v>192</v>
      </c>
      <c r="D58" s="227" t="s">
        <v>948</v>
      </c>
      <c r="E58" s="226">
        <v>43088.381921296299</v>
      </c>
      <c r="F58" s="226">
        <v>43088.385648148149</v>
      </c>
      <c r="G58" s="225">
        <v>53</v>
      </c>
      <c r="H58" s="227" t="s">
        <v>949</v>
      </c>
      <c r="I58" s="226">
        <v>43088.410381944443</v>
      </c>
      <c r="J58" s="225">
        <v>0</v>
      </c>
      <c r="K58" s="237" t="str">
        <f t="shared" si="24"/>
        <v>4031/4032</v>
      </c>
      <c r="L58" s="245" t="str">
        <f>VLOOKUP(A58,'Trips&amp;Operators'!$C$1:$G$99911,5,FALSE)</f>
        <v>MACDONALD THOMAS</v>
      </c>
      <c r="M58" s="224">
        <f t="shared" si="25"/>
        <v>2.4733796293730848E-2</v>
      </c>
      <c r="N58" s="225">
        <f t="shared" si="23"/>
        <v>35.61666666297242</v>
      </c>
      <c r="O58" s="225"/>
      <c r="P58" s="225"/>
      <c r="Q58" s="228"/>
      <c r="R58" s="242"/>
      <c r="S58" s="249">
        <f t="shared" si="22"/>
        <v>1</v>
      </c>
      <c r="T58" s="242" t="str">
        <f t="shared" si="26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3"/>
        <v>https://d0f6bd738d7f1b3e5a7ca70fe4ff75f0.us-east-1.aws.found.io/app/kibana#/discover/Steve-Slow-Train-Analysis-(2080s-and-2083s)?_g=(refreshInterval:(display:Off,pause:!f,section:0,value:0),time:(from:'2017-12-19T08:09:58-0700',mode:absolute,to:'2017-12-19T10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247" t="str">
        <f>IF(AA58&lt;VLOOKUP(AG58,Variables!$AC$3:$AD$8,2,FALSE),"Y","N")</f>
        <v>N</v>
      </c>
      <c r="X58" s="247">
        <f t="shared" si="27"/>
        <v>1</v>
      </c>
      <c r="Y58" s="247">
        <f t="shared" si="28"/>
        <v>5.4800000000000001E-2</v>
      </c>
      <c r="Z58" s="247">
        <f t="shared" si="29"/>
        <v>23.322500000000002</v>
      </c>
      <c r="AA58" s="247">
        <f t="shared" si="30"/>
        <v>23.267700000000001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31"/>
        <v>145</v>
      </c>
      <c r="AE58" s="235" t="str">
        <f t="shared" si="9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58" s="234" t="str">
        <f t="shared" si="10"/>
        <v>"C:\Program Files (x86)\AstroGrep\AstroGrep.exe" /e /r /s /spath="%USERPROFILE%\AppData\Local\Temp\OnboardLogs" /stypes="app*4032*20171219*" /stext=" 16:.+((SYSTEM_STATE.+slice.+state.+changed )|(ment ac)|(multiple cpu faults)|(system.+state.+changed )|(\[timeout)|(PRM\|1\|D)|(kpr)|(kdp)|(train st.+moving)|(\|gpps)|(penalty))"</v>
      </c>
      <c r="AG58" s="244" t="str">
        <f t="shared" si="32"/>
        <v>EC</v>
      </c>
      <c r="AH58" s="236" t="str">
        <f t="shared" si="17"/>
        <v>"%USERPROFILE%\Documents\GitHub\eaglep3\Utilities\RefineRTDCRunTimes.py" --tripid 145-19 --locoid 4032 --swversion DE.1.0.9.0 --startMP 204:548 --initTime 2017-12-19T09:09:58 --startdatetime 2017-12-19T09:15:20 --delay 53 --endMP 204:233225 --enddatetime 2017-12-19T09:50:57 --enforcementcount 0 &gt;&gt;%USERPROFILE%\Documents\GitHub\eaglep3-reporting\EC\2017-12-19-refined-times.txt</v>
      </c>
      <c r="AI5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{"issue":{"subject":"","project_id":79,"tracker_id":40,"status_id":1,"priority_id":2,"assigned_to_id":338,"start_date":"2017-12-19","description":"","custom_fields":[{"id":1,"name":"Subdivision","value":"EC"},{"id":4,"name":"Milepost","value":"23.3225"},{"id":17,"name":"Train ID","value":"145-19"},{"id":16,"name":"Locomotive ID","value":"4032"},{"id":130,"name":"Impact","value":""},{"id":150,"name":"Time of Event (Mountain Time)","value":"09:50:57"},{"id":151,"name":"Denver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19"/>
        <v>start /low /b %USERPROFILE%\Documents\GitHub\eaglep3\Utilities\DownloadLogsFromS3.py --loco 4032 --day 2017-12-19</v>
      </c>
      <c r="AN5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1"/>
        <v>https://d0f6bd738d7f1b3e5a7ca70fe4ff75f0.us-east-1.aws.found.io/app/kibana#/discover/Steve-Slow-Train-Analysis-(2080s-and-2083s)?_g=(refreshInterval:(display:Off,pause:!f,section:0,value:0),time:(from:'2017-12-19T08:09:58-0700',mode:absolute,to:'2017-12-19T10:50:57-0700'))&amp;_a=(columns:!('Message%20ID',Summary),filters:!(),index:'emp_*',interval:auto,query:(query_string:(analyze_wildcard:!t,query:'%22rtdc.l.rtdc.4032%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777</v>
      </c>
      <c r="B59" s="225">
        <v>4031</v>
      </c>
      <c r="C59" s="227" t="s">
        <v>192</v>
      </c>
      <c r="D59" s="227" t="s">
        <v>950</v>
      </c>
      <c r="E59" s="226">
        <v>43088.423391203702</v>
      </c>
      <c r="F59" s="226">
        <v>43088.425393518519</v>
      </c>
      <c r="G59" s="225">
        <v>58</v>
      </c>
      <c r="H59" s="227" t="s">
        <v>519</v>
      </c>
      <c r="I59" s="226">
        <v>43088.450613425928</v>
      </c>
      <c r="J59" s="225">
        <v>0</v>
      </c>
      <c r="K59" s="237" t="str">
        <f t="shared" si="24"/>
        <v>4031/4032</v>
      </c>
      <c r="L59" s="245" t="str">
        <f>VLOOKUP(A59,'Trips&amp;Operators'!$C$1:$G$99911,5,FALSE)</f>
        <v>MACDONALD THOMAS</v>
      </c>
      <c r="M59" s="224">
        <f t="shared" si="25"/>
        <v>2.5219907409336884E-2</v>
      </c>
      <c r="N59" s="225">
        <f t="shared" si="23"/>
        <v>36.316666669445112</v>
      </c>
      <c r="O59" s="225"/>
      <c r="P59" s="225"/>
      <c r="Q59" s="228"/>
      <c r="R59" s="242"/>
      <c r="S59" s="249">
        <f t="shared" si="22"/>
        <v>1</v>
      </c>
      <c r="T59" s="242" t="str">
        <f t="shared" si="26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3"/>
        <v>https://d0f6bd738d7f1b3e5a7ca70fe4ff75f0.us-east-1.aws.found.io/app/kibana#/discover/Steve-Slow-Train-Analysis-(2080s-and-2083s)?_g=(refreshInterval:(display:Off,pause:!f,section:0,value:0),time:(from:'2017-12-19T09:09:41-0700',mode:absolute,to:'2017-12-19T11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247" t="str">
        <f>IF(AA59&lt;VLOOKUP(AG59,Variables!$AC$3:$AD$8,2,FALSE),"Y","N")</f>
        <v>N</v>
      </c>
      <c r="X59" s="247">
        <f t="shared" si="27"/>
        <v>1</v>
      </c>
      <c r="Y59" s="247">
        <f t="shared" si="28"/>
        <v>23.290199999999999</v>
      </c>
      <c r="Z59" s="247">
        <f t="shared" si="29"/>
        <v>1.9400000000000001E-2</v>
      </c>
      <c r="AA59" s="247">
        <f t="shared" si="30"/>
        <v>23.270799999999998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31"/>
        <v>146</v>
      </c>
      <c r="AE59" s="235" t="str">
        <f t="shared" si="9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59" s="234" t="str">
        <f t="shared" si="10"/>
        <v>"C:\Program Files (x86)\AstroGrep\AstroGrep.exe" /e /r /s /spath="%USERPROFILE%\AppData\Local\Temp\OnboardLogs" /stypes="app*4031*20171219*" /stext=" 17:.+((SYSTEM_STATE.+slice.+state.+changed )|(ment ac)|(multiple cpu faults)|(system.+state.+changed )|(\[timeout)|(PRM\|1\|D)|(kpr)|(kdp)|(train st.+moving)|(\|gpps)|(penalty))"</v>
      </c>
      <c r="AG59" s="244" t="str">
        <f t="shared" si="32"/>
        <v>EC</v>
      </c>
      <c r="AH59" s="236" t="str">
        <f t="shared" si="17"/>
        <v>"%USERPROFILE%\Documents\GitHub\eaglep3\Utilities\RefineRTDCRunTimes.py" --tripid 146-19 --locoid 4031 --swversion DE.1.0.9.0 --startMP 204:232902 --initTime 2017-12-19T10:09:41 --startdatetime 2017-12-19T10:12:34 --delay 58 --endMP 204:194 --enddatetime 2017-12-19T10:48:53 --enforcementcount 0 &gt;&gt;%USERPROFILE%\Documents\GitHub\eaglep3-reporting\EC\2017-12-19-refined-times.txt</v>
      </c>
      <c r="AI5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{"issue":{"subject":"","project_id":79,"tracker_id":40,"status_id":1,"priority_id":2,"assigned_to_id":338,"start_date":"2017-12-19","description":"","custom_fields":[{"id":1,"name":"Subdivision","value":"EC"},{"id":4,"name":"Milepost","value":"0.0194"},{"id":17,"name":"Train ID","value":"146-19"},{"id":16,"name":"Locomotive ID","value":"4031"},{"id":130,"name":"Impact","value":""},{"id":150,"name":"Time of Event (Mountain Time)","value":"10:48:53"},{"id":151,"name":"Denver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19"/>
        <v>start /low /b %USERPROFILE%\Documents\GitHub\eaglep3\Utilities\DownloadLogsFromS3.py --loco 4031 --day 2017-12-19</v>
      </c>
      <c r="AN5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1"/>
        <v>https://d0f6bd738d7f1b3e5a7ca70fe4ff75f0.us-east-1.aws.found.io/app/kibana#/discover/Steve-Slow-Train-Analysis-(2080s-and-2083s)?_g=(refreshInterval:(display:Off,pause:!f,section:0,value:0),time:(from:'2017-12-19T09:09:41-0700',mode:absolute,to:'2017-12-19T11:48:53-0700'))&amp;_a=(columns:!('Message%20ID',Summary),filters:!(),index:'emp_*',interval:auto,query:(query_string:(analyze_wildcard:!t,query:'%22rtdc.l.rtdc.4031%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682</v>
      </c>
      <c r="B60" s="225">
        <v>4018</v>
      </c>
      <c r="C60" s="227" t="s">
        <v>192</v>
      </c>
      <c r="D60" s="227" t="s">
        <v>951</v>
      </c>
      <c r="E60" s="226">
        <v>43088.394166666665</v>
      </c>
      <c r="F60" s="226">
        <v>43088.396064814813</v>
      </c>
      <c r="G60" s="225">
        <v>67</v>
      </c>
      <c r="H60" s="227" t="s">
        <v>567</v>
      </c>
      <c r="I60" s="226">
        <v>43088.42119212963</v>
      </c>
      <c r="J60" s="225">
        <v>0</v>
      </c>
      <c r="K60" s="237" t="str">
        <f t="shared" si="24"/>
        <v>4017/4018</v>
      </c>
      <c r="L60" s="245" t="str">
        <f>VLOOKUP(A60,'Trips&amp;Operators'!$C$1:$G$99911,5,FALSE)</f>
        <v>THOMPSON LESTER</v>
      </c>
      <c r="M60" s="224">
        <f t="shared" si="25"/>
        <v>2.5127314816927537E-2</v>
      </c>
      <c r="N60" s="225">
        <f t="shared" si="23"/>
        <v>36.183333336375654</v>
      </c>
      <c r="O60" s="225"/>
      <c r="P60" s="225"/>
      <c r="Q60" s="228"/>
      <c r="R60" s="242"/>
      <c r="S60" s="249">
        <f t="shared" si="22"/>
        <v>1</v>
      </c>
      <c r="T60" s="242" t="str">
        <f t="shared" si="26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3"/>
        <v>https://d0f6bd738d7f1b3e5a7ca70fe4ff75f0.us-east-1.aws.found.io/app/kibana#/discover/Steve-Slow-Train-Analysis-(2080s-and-2083s)?_g=(refreshInterval:(display:Off,pause:!f,section:0,value:0),time:(from:'2017-12-19T08:27:36-0700',mode:absolute,to:'2017-12-19T11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247" t="str">
        <f>IF(AA60&lt;VLOOKUP(AG60,Variables!$AC$3:$AD$8,2,FALSE),"Y","N")</f>
        <v>N</v>
      </c>
      <c r="X60" s="247">
        <f t="shared" si="27"/>
        <v>1</v>
      </c>
      <c r="Y60" s="247">
        <f t="shared" si="28"/>
        <v>4.8800000000000003E-2</v>
      </c>
      <c r="Z60" s="247">
        <f t="shared" si="29"/>
        <v>23.327400000000001</v>
      </c>
      <c r="AA60" s="247">
        <f t="shared" si="30"/>
        <v>23.278600000000001</v>
      </c>
      <c r="AB60" s="233" t="str">
        <f>VLOOKUP(A60,Enforcements!$C$7:$K$9,8,0)</f>
        <v>Speed (6)</v>
      </c>
      <c r="AC60" s="232" t="str">
        <f>VLOOKUP(A60,Enforcements!$C$7:$E$9,3,0)</f>
        <v>PERMANENT SPEED RESTRICTION</v>
      </c>
      <c r="AD60" s="243">
        <f t="shared" si="31"/>
        <v>147</v>
      </c>
      <c r="AE60" s="235" t="str">
        <f t="shared" si="9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60" s="234" t="str">
        <f t="shared" si="10"/>
        <v>"C:\Program Files (x86)\AstroGrep\AstroGrep.exe" /e /r /s /spath="%USERPROFILE%\AppData\Local\Temp\OnboardLogs" /stypes="app*4018*20171219*" /stext=" 17:.+((SYSTEM_STATE.+slice.+state.+changed )|(ment ac)|(multiple cpu faults)|(system.+state.+changed )|(\[timeout)|(PRM\|1\|D)|(kpr)|(kdp)|(train st.+moving)|(\|gpps)|(penalty))"</v>
      </c>
      <c r="AG60" s="244" t="str">
        <f t="shared" si="32"/>
        <v>EC</v>
      </c>
      <c r="AH60" s="236" t="str">
        <f t="shared" si="17"/>
        <v>"%USERPROFILE%\Documents\GitHub\eaglep3\Utilities\RefineRTDCRunTimes.py" --tripid 147-19 --locoid 4018 --swversion DE.1.0.9.0 --startMP 204:488 --initTime 2017-12-19T09:27:36 --startdatetime 2017-12-19T09:30:20 --delay 67 --endMP 204:233274 --enddatetime 2017-12-19T10:06:31 --enforcementcount 0 &gt;&gt;%USERPROFILE%\Documents\GitHub\eaglep3-reporting\EC\2017-12-19-refined-times.txt</v>
      </c>
      <c r="AI60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{"issue":{"subject":"","project_id":79,"tracker_id":40,"status_id":1,"priority_id":2,"assigned_to_id":338,"start_date":"2017-12-19","description":"","custom_fields":[{"id":1,"name":"Subdivision","value":"EC"},{"id":4,"name":"Milepost","value":"23.3274"},{"id":17,"name":"Train ID","value":"147-19"},{"id":16,"name":"Locomotive ID","value":"4018"},{"id":130,"name":"Impact","value":""},{"id":150,"name":"Time of Event (Mountain Time)","value":"10:06:31"},{"id":151,"name":"Denver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19"/>
        <v>start /low /b %USERPROFILE%\Documents\GitHub\eaglep3\Utilities\DownloadLogsFromS3.py --loco 4018 --day 2017-12-19</v>
      </c>
      <c r="AN60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1"/>
        <v>https://d0f6bd738d7f1b3e5a7ca70fe4ff75f0.us-east-1.aws.found.io/app/kibana#/discover/Steve-Slow-Train-Analysis-(2080s-and-2083s)?_g=(refreshInterval:(display:Off,pause:!f,section:0,value:0),time:(from:'2017-12-19T08:27:36-0700',mode:absolute,to:'2017-12-19T11:06:31-0700'))&amp;_a=(columns:!('Message%20ID',Summary),filters:!(),index:'emp_*',interval:auto,query:(query_string:(analyze_wildcard:!t,query:'%22rtdc.l.rtdc.4018%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780</v>
      </c>
      <c r="B61" s="225">
        <v>4017</v>
      </c>
      <c r="C61" s="227" t="s">
        <v>192</v>
      </c>
      <c r="D61" s="227" t="s">
        <v>936</v>
      </c>
      <c r="E61" s="226">
        <v>43088.434317129628</v>
      </c>
      <c r="F61" s="226">
        <v>43088.435613425929</v>
      </c>
      <c r="G61" s="225">
        <v>53</v>
      </c>
      <c r="H61" s="227" t="s">
        <v>501</v>
      </c>
      <c r="I61" s="226">
        <v>43088.462210648147</v>
      </c>
      <c r="J61" s="225">
        <v>0</v>
      </c>
      <c r="K61" s="237" t="str">
        <f t="shared" si="24"/>
        <v>4017/4018</v>
      </c>
      <c r="L61" s="245" t="str">
        <f>VLOOKUP(A61,'Trips&amp;Operators'!$C$1:$G$99911,5,FALSE)</f>
        <v>THOMPSON LESTER</v>
      </c>
      <c r="M61" s="224">
        <f t="shared" si="25"/>
        <v>2.6597222218697425E-2</v>
      </c>
      <c r="N61" s="225">
        <f t="shared" si="23"/>
        <v>38.299999994924292</v>
      </c>
      <c r="O61" s="225"/>
      <c r="P61" s="225"/>
      <c r="Q61" s="228"/>
      <c r="R61" s="242"/>
      <c r="S61" s="249">
        <f t="shared" si="22"/>
        <v>1</v>
      </c>
      <c r="T61" s="242" t="str">
        <f t="shared" si="26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3"/>
        <v>https://d0f6bd738d7f1b3e5a7ca70fe4ff75f0.us-east-1.aws.found.io/app/kibana#/discover/Steve-Slow-Train-Analysis-(2080s-and-2083s)?_g=(refreshInterval:(display:Off,pause:!f,section:0,value:0),time:(from:'2017-12-19T09:25:25-0700',mode:absolute,to:'2017-12-19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247" t="str">
        <f>IF(AA61&lt;VLOOKUP(AG61,Variables!$AC$3:$AD$8,2,FALSE),"Y","N")</f>
        <v>N</v>
      </c>
      <c r="X61" s="247">
        <f t="shared" si="27"/>
        <v>1</v>
      </c>
      <c r="Y61" s="247">
        <f t="shared" si="28"/>
        <v>23.296700000000001</v>
      </c>
      <c r="Z61" s="247">
        <f t="shared" si="29"/>
        <v>1.9099999999999999E-2</v>
      </c>
      <c r="AA61" s="247">
        <f t="shared" si="30"/>
        <v>23.2776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31"/>
        <v>148</v>
      </c>
      <c r="AE61" s="235" t="str">
        <f t="shared" si="9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61" s="234" t="str">
        <f t="shared" si="10"/>
        <v>"C:\Program Files (x86)\AstroGrep\AstroGrep.exe" /e /r /s /spath="%USERPROFILE%\AppData\Local\Temp\OnboardLogs" /stypes="app*4017*20171219*" /stext=" 18:.+((SYSTEM_STATE.+slice.+state.+changed )|(ment ac)|(multiple cpu faults)|(system.+state.+changed )|(\[timeout)|(PRM\|1\|D)|(kpr)|(kdp)|(train st.+moving)|(\|gpps)|(penalty))"</v>
      </c>
      <c r="AG61" s="244" t="str">
        <f t="shared" si="32"/>
        <v>EC</v>
      </c>
      <c r="AH61" s="236" t="str">
        <f t="shared" si="17"/>
        <v>"%USERPROFILE%\Documents\GitHub\eaglep3\Utilities\RefineRTDCRunTimes.py" --tripid 148-19 --locoid 4017 --swversion DE.1.0.9.0 --startMP 204:232967 --initTime 2017-12-19T10:25:25 --startdatetime 2017-12-19T10:27:17 --delay 53 --endMP 204:191 --enddatetime 2017-12-19T11:05:35 --enforcementcount 0 &gt;&gt;%USERPROFILE%\Documents\GitHub\eaglep3-reporting\EC\2017-12-19-refined-times.txt</v>
      </c>
      <c r="AI6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{"issue":{"subject":"","project_id":79,"tracker_id":40,"status_id":1,"priority_id":2,"assigned_to_id":338,"start_date":"2017-12-19","description":"","custom_fields":[{"id":1,"name":"Subdivision","value":"EC"},{"id":4,"name":"Milepost","value":"0.0191"},{"id":17,"name":"Train ID","value":"148-19"},{"id":16,"name":"Locomotive ID","value":"4017"},{"id":130,"name":"Impact","value":""},{"id":150,"name":"Time of Event (Mountain Time)","value":"11:05:35"},{"id":151,"name":"Denver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19"/>
        <v>start /low /b %USERPROFILE%\Documents\GitHub\eaglep3\Utilities\DownloadLogsFromS3.py --loco 4017 --day 2017-12-19</v>
      </c>
      <c r="AN6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1"/>
        <v>https://d0f6bd738d7f1b3e5a7ca70fe4ff75f0.us-east-1.aws.found.io/app/kibana#/discover/Steve-Slow-Train-Analysis-(2080s-and-2083s)?_g=(refreshInterval:(display:Off,pause:!f,section:0,value:0),time:(from:'2017-12-19T09:25:25-0700',mode:absolute,to:'2017-12-19T12:05:35-0700'))&amp;_a=(columns:!('Message%20ID',Summary),filters:!(),index:'emp_*',interval:auto,query:(query_string:(analyze_wildcard:!t,query:'%22rtdc.l.rtdc.4017%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772</v>
      </c>
      <c r="B62" s="225">
        <v>4014</v>
      </c>
      <c r="C62" s="227" t="s">
        <v>192</v>
      </c>
      <c r="D62" s="227" t="s">
        <v>499</v>
      </c>
      <c r="E62" s="226">
        <v>43088.400925925926</v>
      </c>
      <c r="F62" s="226">
        <v>43088.4065162037</v>
      </c>
      <c r="G62" s="225">
        <v>268</v>
      </c>
      <c r="H62" s="227" t="s">
        <v>952</v>
      </c>
      <c r="I62" s="226">
        <v>43088.430787037039</v>
      </c>
      <c r="J62" s="225">
        <v>0</v>
      </c>
      <c r="K62" s="237" t="str">
        <f t="shared" si="24"/>
        <v>4013/4014</v>
      </c>
      <c r="L62" s="245" t="str">
        <f>VLOOKUP(A62,'Trips&amp;Operators'!$C$1:$G$99911,5,FALSE)</f>
        <v>DELGADO DIANAH</v>
      </c>
      <c r="M62" s="224">
        <f t="shared" si="25"/>
        <v>2.4270833338960074E-2</v>
      </c>
      <c r="N62" s="225">
        <f t="shared" si="23"/>
        <v>34.950000008102506</v>
      </c>
      <c r="O62" s="225"/>
      <c r="P62" s="225"/>
      <c r="Q62" s="228"/>
      <c r="R62" s="242"/>
      <c r="S62" s="249">
        <f t="shared" si="22"/>
        <v>1</v>
      </c>
      <c r="T62" s="242" t="str">
        <f t="shared" si="26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3"/>
        <v>https://d0f6bd738d7f1b3e5a7ca70fe4ff75f0.us-east-1.aws.found.io/app/kibana#/discover/Steve-Slow-Train-Analysis-(2080s-and-2083s)?_g=(refreshInterval:(display:Off,pause:!f,section:0,value:0),time:(from:'2017-12-19T08:37:20-0700',mode:absolute,to:'2017-12-19T11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247" t="str">
        <f>IF(AA62&lt;VLOOKUP(AG62,Variables!$AC$3:$AD$8,2,FALSE),"Y","N")</f>
        <v>N</v>
      </c>
      <c r="X62" s="247">
        <f t="shared" si="27"/>
        <v>1</v>
      </c>
      <c r="Y62" s="247">
        <f t="shared" si="28"/>
        <v>4.4200000000000003E-2</v>
      </c>
      <c r="Z62" s="247">
        <f t="shared" si="29"/>
        <v>23.336600000000001</v>
      </c>
      <c r="AA62" s="247">
        <f t="shared" si="30"/>
        <v>23.292400000000001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31"/>
        <v>149</v>
      </c>
      <c r="AE62" s="235" t="str">
        <f t="shared" si="9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62" s="234" t="str">
        <f t="shared" si="10"/>
        <v>"C:\Program Files (x86)\AstroGrep\AstroGrep.exe" /e /r /s /spath="%USERPROFILE%\AppData\Local\Temp\OnboardLogs" /stypes="app*4014*20171219*" /stext=" 17:.+((SYSTEM_STATE.+slice.+state.+changed )|(ment ac)|(multiple cpu faults)|(system.+state.+changed )|(\[timeout)|(PRM\|1\|D)|(kpr)|(kdp)|(train st.+moving)|(\|gpps)|(penalty))"</v>
      </c>
      <c r="AG62" s="244" t="str">
        <f t="shared" si="32"/>
        <v>EC</v>
      </c>
      <c r="AH62" s="236" t="str">
        <f t="shared" si="17"/>
        <v>"%USERPROFILE%\Documents\GitHub\eaglep3\Utilities\RefineRTDCRunTimes.py" --tripid 149-19 --locoid 4014 --swversion DE.1.0.9.0 --startMP 204:442 --initTime 2017-12-19T09:37:20 --startdatetime 2017-12-19T09:45:23 --delay 268 --endMP 204:233366 --enddatetime 2017-12-19T10:20:20 --enforcementcount 0 &gt;&gt;%USERPROFILE%\Documents\GitHub\eaglep3-reporting\EC\2017-12-19-refined-times.txt</v>
      </c>
      <c r="AI6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{"issue":{"subject":"","project_id":79,"tracker_id":40,"status_id":1,"priority_id":2,"assigned_to_id":338,"start_date":"2017-12-19","description":"","custom_fields":[{"id":1,"name":"Subdivision","value":"EC"},{"id":4,"name":"Milepost","value":"23.3366"},{"id":17,"name":"Train ID","value":"149-19"},{"id":16,"name":"Locomotive ID","value":"4014"},{"id":130,"name":"Impact","value":""},{"id":150,"name":"Time of Event (Mountain Time)","value":"10:20:20"},{"id":151,"name":"Denver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19"/>
        <v>start /low /b %USERPROFILE%\Documents\GitHub\eaglep3\Utilities\DownloadLogsFromS3.py --loco 4014 --day 2017-12-19</v>
      </c>
      <c r="AN6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1"/>
        <v>https://d0f6bd738d7f1b3e5a7ca70fe4ff75f0.us-east-1.aws.found.io/app/kibana#/discover/Steve-Slow-Train-Analysis-(2080s-and-2083s)?_g=(refreshInterval:(display:Off,pause:!f,section:0,value:0),time:(from:'2017-12-19T08:37:20-0700',mode:absolute,to:'2017-12-19T11:20:20-0700'))&amp;_a=(columns:!('Message%20ID',Summary),filters:!(),index:'emp_*',interval:auto,query:(query_string:(analyze_wildcard:!t,query:'%22rtdc.l.rtdc.4014%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779</v>
      </c>
      <c r="B63" s="225">
        <v>4013</v>
      </c>
      <c r="C63" s="227" t="s">
        <v>192</v>
      </c>
      <c r="D63" s="227" t="s">
        <v>953</v>
      </c>
      <c r="E63" s="226">
        <v>43088.432974537034</v>
      </c>
      <c r="F63" s="226">
        <v>43088.446076388886</v>
      </c>
      <c r="G63" s="225">
        <v>55</v>
      </c>
      <c r="H63" s="227" t="s">
        <v>921</v>
      </c>
      <c r="I63" s="226">
        <v>43088.471006944441</v>
      </c>
      <c r="J63" s="225">
        <v>0</v>
      </c>
      <c r="K63" s="237" t="str">
        <f t="shared" si="24"/>
        <v>4013/4014</v>
      </c>
      <c r="L63" s="245" t="str">
        <f>VLOOKUP(A63,'Trips&amp;Operators'!$C$1:$G$99911,5,FALSE)</f>
        <v>DELGADO DIANAH</v>
      </c>
      <c r="M63" s="224">
        <f t="shared" si="25"/>
        <v>2.4930555555329192E-2</v>
      </c>
      <c r="N63" s="225">
        <f t="shared" si="23"/>
        <v>35.899999999674037</v>
      </c>
      <c r="O63" s="225"/>
      <c r="P63" s="225"/>
      <c r="Q63" s="228"/>
      <c r="R63" s="242"/>
      <c r="S63" s="249">
        <f t="shared" si="22"/>
        <v>1</v>
      </c>
      <c r="T63" s="242" t="str">
        <f t="shared" si="26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3"/>
        <v>https://d0f6bd738d7f1b3e5a7ca70fe4ff75f0.us-east-1.aws.found.io/app/kibana#/discover/Steve-Slow-Train-Analysis-(2080s-and-2083s)?_g=(refreshInterval:(display:Off,pause:!f,section:0,value:0),time:(from:'2017-12-19T09:23:29-0700',mode:absolute,to:'2017-12-19T12:18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247" t="str">
        <f>IF(AA63&lt;VLOOKUP(AG63,Variables!$AC$3:$AD$8,2,FALSE),"Y","N")</f>
        <v>N</v>
      </c>
      <c r="X63" s="247">
        <f t="shared" si="27"/>
        <v>1</v>
      </c>
      <c r="Y63" s="247">
        <f t="shared" si="28"/>
        <v>23.3062</v>
      </c>
      <c r="Z63" s="247">
        <f t="shared" si="29"/>
        <v>1.47E-2</v>
      </c>
      <c r="AA63" s="247">
        <f t="shared" si="30"/>
        <v>23.291499999999999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31"/>
        <v>150</v>
      </c>
      <c r="AE63" s="235" t="str">
        <f t="shared" si="9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63" s="234" t="str">
        <f t="shared" si="10"/>
        <v>"C:\Program Files (x86)\AstroGrep\AstroGrep.exe" /e /r /s /spath="%USERPROFILE%\AppData\Local\Temp\OnboardLogs" /stypes="app*4013*20171219*" /stext=" 18:.+((SYSTEM_STATE.+slice.+state.+changed )|(ment ac)|(multiple cpu faults)|(system.+state.+changed )|(\[timeout)|(PRM\|1\|D)|(kpr)|(kdp)|(train st.+moving)|(\|gpps)|(penalty))"</v>
      </c>
      <c r="AG63" s="244" t="str">
        <f t="shared" si="32"/>
        <v>EC</v>
      </c>
      <c r="AH63" s="236" t="str">
        <f t="shared" si="17"/>
        <v>"%USERPROFILE%\Documents\GitHub\eaglep3\Utilities\RefineRTDCRunTimes.py" --tripid 150-19 --locoid 4013 --swversion DE.1.0.9.0 --startMP 204:233062 --initTime 2017-12-19T10:23:29 --startdatetime 2017-12-19T10:42:21 --delay 55 --endMP 204:147 --enddatetime 2017-12-19T11:18:15 --enforcementcount 0 &gt;&gt;%USERPROFILE%\Documents\GitHub\eaglep3-reporting\EC\2017-12-19-refined-times.txt</v>
      </c>
      <c r="AI6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{"issue":{"subject":"","project_id":79,"tracker_id":40,"status_id":1,"priority_id":2,"assigned_to_id":338,"start_date":"2017-12-19","description":"","custom_fields":[{"id":1,"name":"Subdivision","value":"EC"},{"id":4,"name":"Milepost","value":"0.0147"},{"id":17,"name":"Train ID","value":"150-19"},{"id":16,"name":"Locomotive ID","value":"4013"},{"id":130,"name":"Impact","value":""},{"id":150,"name":"Time of Event (Mountain Time)","value":"11:18:15"},{"id":151,"name":"Denver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19"/>
        <v>start /low /b %USERPROFILE%\Documents\GitHub\eaglep3\Utilities\DownloadLogsFromS3.py --loco 4013 --day 2017-12-19</v>
      </c>
      <c r="AN6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1"/>
        <v>https://d0f6bd738d7f1b3e5a7ca70fe4ff75f0.us-east-1.aws.found.io/app/kibana#/discover/Steve-Slow-Train-Analysis-(2080s-and-2083s)?_g=(refreshInterval:(display:Off,pause:!f,section:0,value:0),time:(from:'2017-12-19T09:23:29-0700',mode:absolute,to:'2017-12-19T12:18:15-0700'))&amp;_a=(columns:!('Message%20ID',Summary),filters:!(),index:'emp_*',interval:auto,query:(query_string:(analyze_wildcard:!t,query:'%22rtdc.l.rtdc.4013%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774</v>
      </c>
      <c r="B64" s="225">
        <v>4028</v>
      </c>
      <c r="C64" s="227" t="s">
        <v>192</v>
      </c>
      <c r="D64" s="227" t="s">
        <v>560</v>
      </c>
      <c r="E64" s="226">
        <v>43088.415034722224</v>
      </c>
      <c r="F64" s="226">
        <v>43088.421736111108</v>
      </c>
      <c r="G64" s="225">
        <v>49</v>
      </c>
      <c r="H64" s="227" t="s">
        <v>560</v>
      </c>
      <c r="I64" s="226">
        <v>43088.441770833335</v>
      </c>
      <c r="J64" s="225">
        <v>0</v>
      </c>
      <c r="K64" s="237" t="str">
        <f t="shared" si="24"/>
        <v>4027/4028</v>
      </c>
      <c r="L64" s="245" t="str">
        <f>VLOOKUP(A64,'Trips&amp;Operators'!$C$1:$G$99911,5,FALSE)</f>
        <v>LAMAR NEKESHA</v>
      </c>
      <c r="M64" s="224">
        <f t="shared" si="25"/>
        <v>2.0034722227137536E-2</v>
      </c>
      <c r="N64" s="225"/>
      <c r="O64" s="225"/>
      <c r="P64" s="225"/>
      <c r="Q64" s="228"/>
      <c r="R64" s="242"/>
      <c r="S64" s="249"/>
      <c r="T64" s="242" t="str">
        <f t="shared" si="26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248" t="str">
        <f t="shared" si="3"/>
        <v>https://d0f6bd738d7f1b3e5a7ca70fe4ff75f0.us-east-1.aws.found.io/app/kibana#/discover/Steve-Slow-Train-Analysis-(2080s-and-2083s)?_g=(refreshInterval:(display:Off,pause:!f,section:0,value:0),time:(from:'2017-12-19T08:57:39-0700',mode:absolute,to:'2017-12-19T11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4" s="247" t="str">
        <f>IF(AA64&lt;VLOOKUP(AG64,Variables!$AC$3:$AD$8,2,FALSE),"Y","N")</f>
        <v>Y</v>
      </c>
      <c r="X64" s="247">
        <f t="shared" si="27"/>
        <v>1</v>
      </c>
      <c r="Y64" s="247">
        <f t="shared" si="28"/>
        <v>4.9700000000000001E-2</v>
      </c>
      <c r="Z64" s="247">
        <f t="shared" si="29"/>
        <v>4.9700000000000001E-2</v>
      </c>
      <c r="AA64" s="247">
        <f t="shared" si="30"/>
        <v>0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31"/>
        <v>151</v>
      </c>
      <c r="AE64" s="235" t="str">
        <f t="shared" si="9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64" s="234" t="str">
        <f t="shared" si="10"/>
        <v>"C:\Program Files (x86)\AstroGrep\AstroGrep.exe" /e /r /s /spath="%USERPROFILE%\AppData\Local\Temp\OnboardLogs" /stypes="app*4028*20171219*" /stext=" 17:.+((SYSTEM_STATE.+slice.+state.+changed )|(ment ac)|(multiple cpu faults)|(system.+state.+changed )|(\[timeout)|(PRM\|1\|D)|(kpr)|(kdp)|(train st.+moving)|(\|gpps)|(penalty))"</v>
      </c>
      <c r="AG64" s="244" t="str">
        <f t="shared" si="32"/>
        <v>EC</v>
      </c>
      <c r="AH64" s="236" t="str">
        <f t="shared" si="17"/>
        <v>"%USERPROFILE%\Documents\GitHub\eaglep3\Utilities\RefineRTDCRunTimes.py" --tripid 151-19 --locoid 4028 --swversion DE.1.0.9.0 --startMP 204:497 --initTime 2017-12-19T09:57:39 --startdatetime 2017-12-19T10:07:18 --delay 49 --endMP 204:497 --enddatetime 2017-12-19T10:36:09 --enforcementcount 0 &gt;&gt;%USERPROFILE%\Documents\GitHub\eaglep3-reporting\EC\2017-12-19-refined-times.txt</v>
      </c>
      <c r="AI6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{"issue":{"subject":"","project_id":79,"tracker_id":40,"status_id":1,"priority_id":2,"assigned_to_id":338,"start_date":"2017-12-19","description":"","custom_fields":[{"id":1,"name":"Subdivision","value":"EC"},{"id":4,"name":"Milepost","value":"0.0497"},{"id":17,"name":"Train ID","value":"151-19"},{"id":16,"name":"Locomotive ID","value":"4028"},{"id":130,"name":"Impact","value":""},{"id":150,"name":"Time of Event (Mountain Time)","value":"10:36:09"},{"id":151,"name":"Denver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19"/>
        <v>start /low /b %USERPROFILE%\Documents\GitHub\eaglep3\Utilities\DownloadLogsFromS3.py --loco 4028 --day 2017-12-19</v>
      </c>
      <c r="AN6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1"/>
        <v>https://d0f6bd738d7f1b3e5a7ca70fe4ff75f0.us-east-1.aws.found.io/app/kibana#/discover/Steve-Slow-Train-Analysis-(2080s-and-2083s)?_g=(refreshInterval:(display:Off,pause:!f,section:0,value:0),time:(from:'2017-12-19T08:57:39-0700',mode:absolute,to:'2017-12-19T11:36:09-0700'))&amp;_a=(columns:!('Message%20ID',Summary),filters:!(),index:'emp_*',interval:auto,query:(query_string:(analyze_wildcard:!t,query:'%22rtdc.l.rtdc.4028%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774</v>
      </c>
      <c r="B65" s="225">
        <v>4028</v>
      </c>
      <c r="C65" s="227" t="s">
        <v>192</v>
      </c>
      <c r="D65" s="227" t="s">
        <v>954</v>
      </c>
      <c r="E65" s="226">
        <v>43088.420046296298</v>
      </c>
      <c r="F65" s="226">
        <v>43088.421736111108</v>
      </c>
      <c r="G65" s="225">
        <v>68</v>
      </c>
      <c r="H65" s="227" t="s">
        <v>955</v>
      </c>
      <c r="I65" s="226">
        <v>43088.441770833335</v>
      </c>
      <c r="J65" s="225">
        <v>0</v>
      </c>
      <c r="K65" s="237" t="str">
        <f t="shared" si="24"/>
        <v>4027/4028</v>
      </c>
      <c r="L65" s="245" t="str">
        <f>VLOOKUP(A65,'Trips&amp;Operators'!$C$1:$G$99911,5,FALSE)</f>
        <v>LAMAR NEKESHA</v>
      </c>
      <c r="M65" s="224">
        <f t="shared" si="25"/>
        <v>2.0034722227137536E-2</v>
      </c>
      <c r="N65" s="225"/>
      <c r="O65" s="225"/>
      <c r="P65" s="225">
        <f>24*60*SUM($M65:$M65)</f>
        <v>28.850000007078052</v>
      </c>
      <c r="Q65" s="228"/>
      <c r="R65" s="242" t="s">
        <v>1082</v>
      </c>
      <c r="S65" s="249">
        <f t="shared" ref="S65:S96" si="33">1/IF(AG65="EC",12,1)*SUM(U65:U65)</f>
        <v>1</v>
      </c>
      <c r="T65" s="242" t="str">
        <f t="shared" si="26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3"/>
        <v>https://d0f6bd738d7f1b3e5a7ca70fe4ff75f0.us-east-1.aws.found.io/app/kibana#/discover/Steve-Slow-Train-Analysis-(2080s-and-2083s)?_g=(refreshInterval:(display:Off,pause:!f,section:0,value:0),time:(from:'2017-12-19T09:04:52-0700',mode:absolute,to:'2017-12-19T11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5" s="247" t="str">
        <f>IF(AA65&lt;VLOOKUP(AG65,Variables!$AC$3:$AD$8,2,FALSE),"Y","N")</f>
        <v>Y</v>
      </c>
      <c r="X65" s="247">
        <f t="shared" si="27"/>
        <v>0</v>
      </c>
      <c r="Y65" s="247">
        <f t="shared" si="28"/>
        <v>1.9133</v>
      </c>
      <c r="Z65" s="247">
        <f t="shared" si="29"/>
        <v>23.330500000000001</v>
      </c>
      <c r="AA65" s="247">
        <f t="shared" si="30"/>
        <v>21.417200000000001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31"/>
        <v>151</v>
      </c>
      <c r="AE65" s="235" t="str">
        <f t="shared" si="9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65" s="234" t="str">
        <f t="shared" si="10"/>
        <v>"C:\Program Files (x86)\AstroGrep\AstroGrep.exe" /e /r /s /spath="%USERPROFILE%\AppData\Local\Temp\OnboardLogs" /stypes="app*4028*20171219*" /stext=" 17:.+((SYSTEM_STATE.+slice.+state.+changed )|(ment ac)|(multiple cpu faults)|(system.+state.+changed )|(\[timeout)|(PRM\|1\|D)|(kpr)|(kdp)|(train st.+moving)|(\|gpps)|(penalty))"</v>
      </c>
      <c r="AG65" s="244" t="str">
        <f t="shared" si="32"/>
        <v>EC</v>
      </c>
      <c r="AH65" s="236" t="str">
        <f t="shared" si="17"/>
        <v>"%USERPROFILE%\Documents\GitHub\eaglep3\Utilities\RefineRTDCRunTimes.py" --tripid 151-19 --locoid 4028 --swversion DE.1.0.9.0 --startMP 204:19133 --initTime 2017-12-19T10:04:52 --startdatetime 2017-12-19T10:07:18 --delay 68 --endMP 204:233305 --enddatetime 2017-12-19T10:36:09 --enforcementcount 0 &gt;&gt;%USERPROFILE%\Documents\GitHub\eaglep3-reporting\EC\2017-12-19-refined-times.txt</v>
      </c>
      <c r="AI65" s="238" t="str">
        <f t="shared" si="18"/>
        <v>echo {"issue":{"subject":"Minor Onboard in-route failure prevented track selection","project_id":79,"tracker_id":40,"status_id":1,"priority_id":2,"assigned_to_id":338,"start_date":"2017-12-19","description":"","custom_fields":[{"id":1,"name":"Subdivision","value":"EC"},{"id":4,"name":"Milepost","value":"23.3305"},{"id":17,"name":"Train ID","value":"151-19"},{"id":16,"name":"Locomotive ID","value":"4028"},{"id":130,"name":"Impact","value":""},{"id":150,"name":"Time of Event (Mountain Time)","value":"10:36:09"},{"id":151,"name":"Denver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19"/>
        <v>start /low /b %USERPROFILE%\Documents\GitHub\eaglep3\Utilities\DownloadLogsFromS3.py --loco 4028 --day 2017-12-19</v>
      </c>
      <c r="AN65" s="241" t="str">
        <f t="shared" si="20"/>
        <v>echo {"issue":{"subject":"Minor Onboard in-route failure prevented track selection","project_id":30,"tracker_id":4,"status_id":1,"priority_id":1,"assigned_to_id":10,"start_date":"2017-12-19","description":"","custom_fields":[{"id":30,"name":"Category","value":"Issue"},{"id":3,"name":"Functional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1"/>
        <v>https://d0f6bd738d7f1b3e5a7ca70fe4ff75f0.us-east-1.aws.found.io/app/kibana#/discover/Steve-Slow-Train-Analysis-(2080s-and-2083s)?_g=(refreshInterval:(display:Off,pause:!f,section:0,value:0),time:(from:'2017-12-19T09:04:52-0700',mode:absolute,to:'2017-12-19T11:36:09-0700'))&amp;_a=(columns:!('Message%20ID',Summary),filters:!(),index:'emp_*',interval:auto,query:(query_string:(analyze_wildcard:!t,query:'%22rtdc.l.rtdc.4028%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782</v>
      </c>
      <c r="B66" s="225">
        <v>4027</v>
      </c>
      <c r="C66" s="227" t="s">
        <v>192</v>
      </c>
      <c r="D66" s="227" t="s">
        <v>638</v>
      </c>
      <c r="E66" s="226">
        <v>43088.443518518521</v>
      </c>
      <c r="F66" s="226">
        <v>43088.456423611111</v>
      </c>
      <c r="G66" s="225">
        <v>49</v>
      </c>
      <c r="H66" s="227" t="s">
        <v>521</v>
      </c>
      <c r="I66" s="226">
        <v>43088.482291666667</v>
      </c>
      <c r="J66" s="225">
        <v>0</v>
      </c>
      <c r="K66" s="237" t="str">
        <f t="shared" si="24"/>
        <v>4027/4028</v>
      </c>
      <c r="L66" s="245" t="str">
        <f>VLOOKUP(A66,'Trips&amp;Operators'!$C$1:$G$99911,5,FALSE)</f>
        <v>LAMAR NEKESHA</v>
      </c>
      <c r="M66" s="224">
        <f t="shared" si="25"/>
        <v>2.5868055556202307E-2</v>
      </c>
      <c r="N66" s="225">
        <f t="shared" ref="N66:N97" si="34">24*60*SUM($M66:$M66)</f>
        <v>37.250000000931323</v>
      </c>
      <c r="O66" s="225"/>
      <c r="P66" s="225"/>
      <c r="Q66" s="228"/>
      <c r="R66" s="242"/>
      <c r="S66" s="249">
        <f t="shared" si="33"/>
        <v>1</v>
      </c>
      <c r="T66" s="242" t="str">
        <f t="shared" si="26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3"/>
        <v>https://d0f6bd738d7f1b3e5a7ca70fe4ff75f0.us-east-1.aws.found.io/app/kibana#/discover/Steve-Slow-Train-Analysis-(2080s-and-2083s)?_g=(refreshInterval:(display:Off,pause:!f,section:0,value:0),time:(from:'2017-12-19T09:38:40-0700',mode:absolute,to:'2017-12-19T12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247" t="str">
        <f>IF(AA66&lt;VLOOKUP(AG66,Variables!$AC$3:$AD$8,2,FALSE),"Y","N")</f>
        <v>N</v>
      </c>
      <c r="X66" s="247">
        <f t="shared" si="27"/>
        <v>1</v>
      </c>
      <c r="Y66" s="247">
        <f t="shared" si="28"/>
        <v>23.296900000000001</v>
      </c>
      <c r="Z66" s="247">
        <f t="shared" si="29"/>
        <v>1.9800000000000002E-2</v>
      </c>
      <c r="AA66" s="247">
        <f t="shared" si="30"/>
        <v>23.277100000000001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31"/>
        <v>152</v>
      </c>
      <c r="AE66" s="235" t="str">
        <f t="shared" si="9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66" s="234" t="str">
        <f t="shared" si="10"/>
        <v>"C:\Program Files (x86)\AstroGrep\AstroGrep.exe" /e /r /s /spath="%USERPROFILE%\AppData\Local\Temp\OnboardLogs" /stypes="app*4027*20171219*" /stext=" 18:.+((SYSTEM_STATE.+slice.+state.+changed )|(ment ac)|(multiple cpu faults)|(system.+state.+changed )|(\[timeout)|(PRM\|1\|D)|(kpr)|(kdp)|(train st.+moving)|(\|gpps)|(penalty))"</v>
      </c>
      <c r="AG66" s="244" t="str">
        <f t="shared" si="32"/>
        <v>EC</v>
      </c>
      <c r="AH66" s="236" t="str">
        <f t="shared" si="17"/>
        <v>"%USERPROFILE%\Documents\GitHub\eaglep3\Utilities\RefineRTDCRunTimes.py" --tripid 152-19 --locoid 4027 --swversion DE.1.0.9.0 --startMP 204:232969 --initTime 2017-12-19T10:38:40 --startdatetime 2017-12-19T10:57:15 --delay 49 --endMP 204:198 --enddatetime 2017-12-19T11:34:30 --enforcementcount 0 &gt;&gt;%USERPROFILE%\Documents\GitHub\eaglep3-reporting\EC\2017-12-19-refined-times.txt</v>
      </c>
      <c r="AI6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{"issue":{"subject":"","project_id":79,"tracker_id":40,"status_id":1,"priority_id":2,"assigned_to_id":338,"start_date":"2017-12-19","description":"","custom_fields":[{"id":1,"name":"Subdivision","value":"EC"},{"id":4,"name":"Milepost","value":"0.0198"},{"id":17,"name":"Train ID","value":"152-19"},{"id":16,"name":"Locomotive ID","value":"4027"},{"id":130,"name":"Impact","value":""},{"id":150,"name":"Time of Event (Mountain Time)","value":"11:34:30"},{"id":151,"name":"Denver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19"/>
        <v>start /low /b %USERPROFILE%\Documents\GitHub\eaglep3\Utilities\DownloadLogsFromS3.py --loco 4027 --day 2017-12-19</v>
      </c>
      <c r="AN6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1"/>
        <v>https://d0f6bd738d7f1b3e5a7ca70fe4ff75f0.us-east-1.aws.found.io/app/kibana#/discover/Steve-Slow-Train-Analysis-(2080s-and-2083s)?_g=(refreshInterval:(display:Off,pause:!f,section:0,value:0),time:(from:'2017-12-19T09:38:40-0700',mode:absolute,to:'2017-12-19T12:34:30-0700'))&amp;_a=(columns:!('Message%20ID',Summary),filters:!(),index:'emp_*',interval:auto,query:(query_string:(analyze_wildcard:!t,query:'%22rtdc.l.rtdc.4027%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775</v>
      </c>
      <c r="B67" s="225">
        <v>4056</v>
      </c>
      <c r="C67" s="227" t="s">
        <v>192</v>
      </c>
      <c r="D67" s="227" t="s">
        <v>956</v>
      </c>
      <c r="E67" s="226">
        <v>43088.421180555553</v>
      </c>
      <c r="F67" s="226">
        <v>43088.427314814813</v>
      </c>
      <c r="G67" s="225">
        <v>90</v>
      </c>
      <c r="H67" s="227" t="s">
        <v>557</v>
      </c>
      <c r="I67" s="226">
        <v>43088.452789351853</v>
      </c>
      <c r="J67" s="225">
        <v>0</v>
      </c>
      <c r="K67" s="237" t="str">
        <f t="shared" si="24"/>
        <v>4055/4056</v>
      </c>
      <c r="L67" s="245" t="str">
        <f>VLOOKUP(A67,'Trips&amp;Operators'!$C$1:$G$99911,5,FALSE)</f>
        <v>DAVIDSON DAVID</v>
      </c>
      <c r="M67" s="224">
        <f t="shared" si="25"/>
        <v>2.5474537040281575E-2</v>
      </c>
      <c r="N67" s="225">
        <f t="shared" si="34"/>
        <v>36.683333338005468</v>
      </c>
      <c r="O67" s="225"/>
      <c r="P67" s="225"/>
      <c r="Q67" s="228"/>
      <c r="R67" s="242"/>
      <c r="S67" s="249">
        <f t="shared" si="33"/>
        <v>1</v>
      </c>
      <c r="T67" s="242" t="str">
        <f t="shared" si="26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3"/>
        <v>https://d0f6bd738d7f1b3e5a7ca70fe4ff75f0.us-east-1.aws.found.io/app/kibana#/discover/Steve-Slow-Train-Analysis-(2080s-and-2083s)?_g=(refreshInterval:(display:Off,pause:!f,section:0,value:0),time:(from:'2017-12-19T09:06:30-0700',mode:absolute,to:'2017-12-19T11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47" t="str">
        <f>IF(AA67&lt;VLOOKUP(AG67,Variables!$AC$3:$AD$8,2,FALSE),"Y","N")</f>
        <v>N</v>
      </c>
      <c r="X67" s="247">
        <f t="shared" si="27"/>
        <v>1</v>
      </c>
      <c r="Y67" s="247">
        <f t="shared" si="28"/>
        <v>4.4600000000000001E-2</v>
      </c>
      <c r="Z67" s="247">
        <f t="shared" si="29"/>
        <v>23.326599999999999</v>
      </c>
      <c r="AA67" s="247">
        <f t="shared" si="30"/>
        <v>23.282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31"/>
        <v>153</v>
      </c>
      <c r="AE67" s="235" t="str">
        <f t="shared" si="9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67" s="234" t="str">
        <f t="shared" si="10"/>
        <v>"C:\Program Files (x86)\AstroGrep\AstroGrep.exe" /e /r /s /spath="%USERPROFILE%\AppData\Local\Temp\OnboardLogs" /stypes="app*4056*20171219*" /stext=" 17:.+((SYSTEM_STATE.+slice.+state.+changed )|(ment ac)|(multiple cpu faults)|(system.+state.+changed )|(\[timeout)|(PRM\|1\|D)|(kpr)|(kdp)|(train st.+moving)|(\|gpps)|(penalty))"</v>
      </c>
      <c r="AG67" s="244" t="str">
        <f t="shared" si="32"/>
        <v>EC</v>
      </c>
      <c r="AH67" s="236" t="str">
        <f t="shared" si="17"/>
        <v>"%USERPROFILE%\Documents\GitHub\eaglep3\Utilities\RefineRTDCRunTimes.py" --tripid 153-19 --locoid 4056 --swversion DE.1.0.9.0 --startMP 204:446 --initTime 2017-12-19T10:06:30 --startdatetime 2017-12-19T10:15:20 --delay 90 --endMP 204:233266 --enddatetime 2017-12-19T10:52:01 --enforcementcount 0 &gt;&gt;%USERPROFILE%\Documents\GitHub\eaglep3-reporting\EC\2017-12-19-refined-times.txt</v>
      </c>
      <c r="AI6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{"issue":{"subject":"","project_id":79,"tracker_id":40,"status_id":1,"priority_id":2,"assigned_to_id":338,"start_date":"2017-12-19","description":"","custom_fields":[{"id":1,"name":"Subdivision","value":"EC"},{"id":4,"name":"Milepost","value":"23.3266"},{"id":17,"name":"Train ID","value":"153-19"},{"id":16,"name":"Locomotive ID","value":"4056"},{"id":130,"name":"Impact","value":""},{"id":150,"name":"Time of Event (Mountain Time)","value":"10:52:01"},{"id":151,"name":"Denver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19"/>
        <v>start /low /b %USERPROFILE%\Documents\GitHub\eaglep3\Utilities\DownloadLogsFromS3.py --loco 4056 --day 2017-12-19</v>
      </c>
      <c r="AN6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1"/>
        <v>https://d0f6bd738d7f1b3e5a7ca70fe4ff75f0.us-east-1.aws.found.io/app/kibana#/discover/Steve-Slow-Train-Analysis-(2080s-and-2083s)?_g=(refreshInterval:(display:Off,pause:!f,section:0,value:0),time:(from:'2017-12-19T09:06:30-0700',mode:absolute,to:'2017-12-19T11:52:01-0700'))&amp;_a=(columns:!('Message%20ID',Summary),filters:!(),index:'emp_*',interval:auto,query:(query_string:(analyze_wildcard:!t,query:'%22rtdc.l.rtdc.4056%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784</v>
      </c>
      <c r="B68" s="225">
        <v>4055</v>
      </c>
      <c r="C68" s="227" t="s">
        <v>192</v>
      </c>
      <c r="D68" s="227" t="s">
        <v>957</v>
      </c>
      <c r="E68" s="226">
        <v>43088.454780092594</v>
      </c>
      <c r="F68" s="226">
        <v>43088.466886574075</v>
      </c>
      <c r="G68" s="225">
        <v>73</v>
      </c>
      <c r="H68" s="227" t="s">
        <v>489</v>
      </c>
      <c r="I68" s="226">
        <v>43088.493368055555</v>
      </c>
      <c r="J68" s="225">
        <v>0</v>
      </c>
      <c r="K68" s="237" t="str">
        <f t="shared" si="24"/>
        <v>4055/4056</v>
      </c>
      <c r="L68" s="245" t="str">
        <f>VLOOKUP(A68,'Trips&amp;Operators'!$C$1:$G$99911,5,FALSE)</f>
        <v>DAVIDSON DAVID</v>
      </c>
      <c r="M68" s="224">
        <f t="shared" si="25"/>
        <v>2.6481481480004732E-2</v>
      </c>
      <c r="N68" s="225">
        <f t="shared" si="34"/>
        <v>38.133333331206813</v>
      </c>
      <c r="O68" s="225"/>
      <c r="P68" s="225"/>
      <c r="Q68" s="228"/>
      <c r="R68" s="242"/>
      <c r="S68" s="249">
        <f t="shared" si="33"/>
        <v>1</v>
      </c>
      <c r="T68" s="242" t="str">
        <f t="shared" si="26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3"/>
        <v>https://d0f6bd738d7f1b3e5a7ca70fe4ff75f0.us-east-1.aws.found.io/app/kibana#/discover/Steve-Slow-Train-Analysis-(2080s-and-2083s)?_g=(refreshInterval:(display:Off,pause:!f,section:0,value:0),time:(from:'2017-12-19T09:54:53-0700',mode:absolute,to:'2017-12-19T12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47" t="str">
        <f>IF(AA68&lt;VLOOKUP(AG68,Variables!$AC$3:$AD$8,2,FALSE),"Y","N")</f>
        <v>N</v>
      </c>
      <c r="X68" s="247">
        <f t="shared" si="27"/>
        <v>1</v>
      </c>
      <c r="Y68" s="247">
        <f t="shared" si="28"/>
        <v>23.294499999999999</v>
      </c>
      <c r="Z68" s="247">
        <f t="shared" si="29"/>
        <v>2.2499999999999999E-2</v>
      </c>
      <c r="AA68" s="247">
        <f t="shared" si="30"/>
        <v>23.271999999999998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31"/>
        <v>154</v>
      </c>
      <c r="AE68" s="235" t="str">
        <f t="shared" si="9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68" s="234" t="str">
        <f t="shared" si="10"/>
        <v>"C:\Program Files (x86)\AstroGrep\AstroGrep.exe" /e /r /s /spath="%USERPROFILE%\AppData\Local\Temp\OnboardLogs" /stypes="app*4055*20171219*" /stext=" 18:.+((SYSTEM_STATE.+slice.+state.+changed )|(ment ac)|(multiple cpu faults)|(system.+state.+changed )|(\[timeout)|(PRM\|1\|D)|(kpr)|(kdp)|(train st.+moving)|(\|gpps)|(penalty))"</v>
      </c>
      <c r="AG68" s="244" t="str">
        <f t="shared" si="32"/>
        <v>EC</v>
      </c>
      <c r="AH68" s="236" t="str">
        <f t="shared" si="17"/>
        <v>"%USERPROFILE%\Documents\GitHub\eaglep3\Utilities\RefineRTDCRunTimes.py" --tripid 154-19 --locoid 4055 --swversion DE.1.0.9.0 --startMP 204:232945 --initTime 2017-12-19T10:54:53 --startdatetime 2017-12-19T11:12:19 --delay 73 --endMP 204:225 --enddatetime 2017-12-19T11:50:27 --enforcementcount 0 &gt;&gt;%USERPROFILE%\Documents\GitHub\eaglep3-reporting\EC\2017-12-19-refined-times.txt</v>
      </c>
      <c r="AI68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{"issue":{"subject":"","project_id":79,"tracker_id":40,"status_id":1,"priority_id":2,"assigned_to_id":338,"start_date":"2017-12-19","description":"","custom_fields":[{"id":1,"name":"Subdivision","value":"EC"},{"id":4,"name":"Milepost","value":"0.0225"},{"id":17,"name":"Train ID","value":"154-19"},{"id":16,"name":"Locomotive ID","value":"4055"},{"id":130,"name":"Impact","value":""},{"id":150,"name":"Time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19"/>
        <v>start /low /b %USERPROFILE%\Documents\GitHub\eaglep3\Utilities\DownloadLogsFromS3.py --loco 4055 --day 2017-12-19</v>
      </c>
      <c r="AN68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1"/>
        <v>https://d0f6bd738d7f1b3e5a7ca70fe4ff75f0.us-east-1.aws.found.io/app/kibana#/discover/Steve-Slow-Train-Analysis-(2080s-and-2083s)?_g=(refreshInterval:(display:Off,pause:!f,section:0,value:0),time:(from:'2017-12-19T09:54:53-0700',mode:absolute,to:'2017-12-19T12:50:27-0700'))&amp;_a=(columns:!('Message%20ID',Summary),filters:!(),index:'emp_*',interval:auto,query:(query_string:(analyze_wildcard:!t,query:'%22rtdc.l.rtdc.4055%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778</v>
      </c>
      <c r="B69" s="225">
        <v>4064</v>
      </c>
      <c r="C69" s="227" t="s">
        <v>192</v>
      </c>
      <c r="D69" s="227" t="s">
        <v>502</v>
      </c>
      <c r="E69" s="226">
        <v>43088.431111111109</v>
      </c>
      <c r="F69" s="226">
        <v>43088.437673611108</v>
      </c>
      <c r="G69" s="225">
        <v>46</v>
      </c>
      <c r="H69" s="227" t="s">
        <v>955</v>
      </c>
      <c r="I69" s="226">
        <v>43088.461597222224</v>
      </c>
      <c r="J69" s="225">
        <v>0</v>
      </c>
      <c r="K69" s="237" t="str">
        <f t="shared" si="24"/>
        <v>4063/4064</v>
      </c>
      <c r="L69" s="245" t="str">
        <f>VLOOKUP(A69,'Trips&amp;Operators'!$C$1:$G$99911,5,FALSE)</f>
        <v>YANAI IAN</v>
      </c>
      <c r="M69" s="224">
        <f t="shared" si="25"/>
        <v>2.3923611115606036E-2</v>
      </c>
      <c r="N69" s="225">
        <f t="shared" si="34"/>
        <v>34.450000006472692</v>
      </c>
      <c r="O69" s="225"/>
      <c r="P69" s="225"/>
      <c r="Q69" s="228"/>
      <c r="R69" s="242"/>
      <c r="S69" s="249">
        <f t="shared" si="33"/>
        <v>1</v>
      </c>
      <c r="T69" s="242" t="str">
        <f t="shared" si="26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3"/>
        <v>https://d0f6bd738d7f1b3e5a7ca70fe4ff75f0.us-east-1.aws.found.io/app/kibana#/discover/Steve-Slow-Train-Analysis-(2080s-and-2083s)?_g=(refreshInterval:(display:Off,pause:!f,section:0,value:0),time:(from:'2017-12-19T09:20:48-0700',mode:absolute,to:'2017-12-19T12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47" t="str">
        <f>IF(AA69&lt;VLOOKUP(AG69,Variables!$AC$3:$AD$8,2,FALSE),"Y","N")</f>
        <v>N</v>
      </c>
      <c r="X69" s="247">
        <f t="shared" si="27"/>
        <v>1</v>
      </c>
      <c r="Y69" s="247">
        <f t="shared" si="28"/>
        <v>5.1999999999999998E-2</v>
      </c>
      <c r="Z69" s="247">
        <f t="shared" si="29"/>
        <v>23.330500000000001</v>
      </c>
      <c r="AA69" s="247">
        <f t="shared" si="30"/>
        <v>23.278500000000001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31"/>
        <v>155</v>
      </c>
      <c r="AE69" s="235" t="str">
        <f t="shared" si="9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69" s="234" t="str">
        <f t="shared" si="10"/>
        <v>"C:\Program Files (x86)\AstroGrep\AstroGrep.exe" /e /r /s /spath="%USERPROFILE%\AppData\Local\Temp\OnboardLogs" /stypes="app*4064*20171219*" /stext=" 18:.+((SYSTEM_STATE.+slice.+state.+changed )|(ment ac)|(multiple cpu faults)|(system.+state.+changed )|(\[timeout)|(PRM\|1\|D)|(kpr)|(kdp)|(train st.+moving)|(\|gpps)|(penalty))"</v>
      </c>
      <c r="AG69" s="244" t="str">
        <f t="shared" si="32"/>
        <v>EC</v>
      </c>
      <c r="AH69" s="236" t="str">
        <f t="shared" si="17"/>
        <v>"%USERPROFILE%\Documents\GitHub\eaglep3\Utilities\RefineRTDCRunTimes.py" --tripid 155-19 --locoid 4064 --swversion DE.1.0.9.0 --startMP 204:520 --initTime 2017-12-19T10:20:48 --startdatetime 2017-12-19T10:30:15 --delay 46 --endMP 204:233305 --enddatetime 2017-12-19T11:04:42 --enforcementcount 0 &gt;&gt;%USERPROFILE%\Documents\GitHub\eaglep3-reporting\EC\2017-12-19-refined-times.txt</v>
      </c>
      <c r="AI69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{"issue":{"subject":"","project_id":79,"tracker_id":40,"status_id":1,"priority_id":2,"assigned_to_id":338,"start_date":"2017-12-19","description":"","custom_fields":[{"id":1,"name":"Subdivision","value":"EC"},{"id":4,"name":"Milepost","value":"23.3305"},{"id":17,"name":"Train ID","value":"155-19"},{"id":16,"name":"Locomotive ID","value":"4064"},{"id":130,"name":"Impact","value":""},{"id":150,"name":"Time of Event (Mountain Time)","value":"11:04:42"},{"id":151,"name":"Denver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19"/>
        <v>start /low /b %USERPROFILE%\Documents\GitHub\eaglep3\Utilities\DownloadLogsFromS3.py --loco 4064 --day 2017-12-19</v>
      </c>
      <c r="AN69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1"/>
        <v>https://d0f6bd738d7f1b3e5a7ca70fe4ff75f0.us-east-1.aws.found.io/app/kibana#/discover/Steve-Slow-Train-Analysis-(2080s-and-2083s)?_g=(refreshInterval:(display:Off,pause:!f,section:0,value:0),time:(from:'2017-12-19T09:20:48-0700',mode:absolute,to:'2017-12-19T12:04:42-0700'))&amp;_a=(columns:!('Message%20ID',Summary),filters:!(),index:'emp_*',interval:auto,query:(query_string:(analyze_wildcard:!t,query:'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786</v>
      </c>
      <c r="B70" s="225">
        <v>4063</v>
      </c>
      <c r="C70" s="227" t="s">
        <v>192</v>
      </c>
      <c r="D70" s="227" t="s">
        <v>528</v>
      </c>
      <c r="E70" s="226">
        <v>43088.462731481479</v>
      </c>
      <c r="F70" s="226">
        <v>43088.47724537037</v>
      </c>
      <c r="G70" s="225">
        <v>51</v>
      </c>
      <c r="H70" s="227" t="s">
        <v>531</v>
      </c>
      <c r="I70" s="226">
        <v>43088.502939814818</v>
      </c>
      <c r="J70" s="225">
        <v>0</v>
      </c>
      <c r="K70" s="237" t="str">
        <f t="shared" si="24"/>
        <v>4063/4064</v>
      </c>
      <c r="L70" s="245" t="str">
        <f>VLOOKUP(A70,'Trips&amp;Operators'!$C$1:$G$99911,5,FALSE)</f>
        <v>YANAI IAN</v>
      </c>
      <c r="M70" s="224">
        <f t="shared" si="25"/>
        <v>2.5694444448163267E-2</v>
      </c>
      <c r="N70" s="225">
        <f t="shared" si="34"/>
        <v>37.000000005355105</v>
      </c>
      <c r="O70" s="225"/>
      <c r="P70" s="225"/>
      <c r="Q70" s="228"/>
      <c r="R70" s="242"/>
      <c r="S70" s="249">
        <f t="shared" si="33"/>
        <v>1</v>
      </c>
      <c r="T70" s="242" t="str">
        <f t="shared" si="26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3"/>
        <v>https://d0f6bd738d7f1b3e5a7ca70fe4ff75f0.us-east-1.aws.found.io/app/kibana#/discover/Steve-Slow-Train-Analysis-(2080s-and-2083s)?_g=(refreshInterval:(display:Off,pause:!f,section:0,value:0),time:(from:'2017-12-19T10:06:20-0700',mode:absolute,to:'2017-12-19T13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47" t="str">
        <f>IF(AA70&lt;VLOOKUP(AG70,Variables!$AC$3:$AD$8,2,FALSE),"Y","N")</f>
        <v>N</v>
      </c>
      <c r="X70" s="247">
        <f t="shared" si="27"/>
        <v>1</v>
      </c>
      <c r="Y70" s="247">
        <f t="shared" si="28"/>
        <v>23.298400000000001</v>
      </c>
      <c r="Z70" s="247">
        <f t="shared" si="29"/>
        <v>1.4999999999999999E-2</v>
      </c>
      <c r="AA70" s="247">
        <f t="shared" si="30"/>
        <v>23.2834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31"/>
        <v>156</v>
      </c>
      <c r="AE70" s="235" t="str">
        <f t="shared" si="9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70" s="234" t="str">
        <f t="shared" si="10"/>
        <v>"C:\Program Files (x86)\AstroGrep\AstroGrep.exe" /e /r /s /spath="%USERPROFILE%\AppData\Local\Temp\OnboardLogs" /stypes="app*4063*20171219*" /stext=" 19:.+((SYSTEM_STATE.+slice.+state.+changed )|(ment ac)|(multiple cpu faults)|(system.+state.+changed )|(\[timeout)|(PRM\|1\|D)|(kpr)|(kdp)|(train st.+moving)|(\|gpps)|(penalty))"</v>
      </c>
      <c r="AG70" s="244" t="str">
        <f t="shared" si="32"/>
        <v>EC</v>
      </c>
      <c r="AH70" s="236" t="str">
        <f t="shared" si="17"/>
        <v>"%USERPROFILE%\Documents\GitHub\eaglep3\Utilities\RefineRTDCRunTimes.py" --tripid 156-19 --locoid 4063 --swversion DE.1.0.9.0 --startMP 204:232984 --initTime 2017-12-19T11:06:20 --startdatetime 2017-12-19T11:27:14 --delay 51 --endMP 204:150 --enddatetime 2017-12-19T12:04:14 --enforcementcount 0 &gt;&gt;%USERPROFILE%\Documents\GitHub\eaglep3-reporting\EC\2017-12-19-refined-times.txt</v>
      </c>
      <c r="AI70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{"issue":{"subject":"","project_id":79,"tracker_id":40,"status_id":1,"priority_id":2,"assigned_to_id":338,"start_date":"2017-12-19","description":"","custom_fields":[{"id":1,"name":"Subdivision","value":"EC"},{"id":4,"name":"Milepost","value":"0.015"},{"id":17,"name":"Train ID","value":"156-19"},{"id":16,"name":"Locomotive ID","value":"4063"},{"id":130,"name":"Impact","value":""},{"id":150,"name":"Time of Event (Mountain Time)","value":"12:04:14"},{"id":151,"name":"Denver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19"/>
        <v>start /low /b %USERPROFILE%\Documents\GitHub\eaglep3\Utilities\DownloadLogsFromS3.py --loco 4063 --day 2017-12-19</v>
      </c>
      <c r="AN70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1"/>
        <v>https://d0f6bd738d7f1b3e5a7ca70fe4ff75f0.us-east-1.aws.found.io/app/kibana#/discover/Steve-Slow-Train-Analysis-(2080s-and-2083s)?_g=(refreshInterval:(display:Off,pause:!f,section:0,value:0),time:(from:'2017-12-19T10:06:20-0700',mode:absolute,to:'2017-12-19T13:04:14-0700'))&amp;_a=(columns:!('Message%20ID',Summary),filters:!(),index:'emp_*',interval:auto,query:(query_string:(analyze_wildcard:!t,query:'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783</v>
      </c>
      <c r="B71" s="225">
        <v>4040</v>
      </c>
      <c r="C71" s="227" t="s">
        <v>192</v>
      </c>
      <c r="D71" s="227" t="s">
        <v>927</v>
      </c>
      <c r="E71" s="226">
        <v>43088.445254629631</v>
      </c>
      <c r="F71" s="226">
        <v>43088.448263888888</v>
      </c>
      <c r="G71" s="225">
        <v>108</v>
      </c>
      <c r="H71" s="227" t="s">
        <v>510</v>
      </c>
      <c r="I71" s="226">
        <v>43088.473321759258</v>
      </c>
      <c r="J71" s="225">
        <v>0</v>
      </c>
      <c r="K71" s="237" t="str">
        <f t="shared" si="24"/>
        <v>4039/4040</v>
      </c>
      <c r="L71" s="245" t="str">
        <f>VLOOKUP(A71,'Trips&amp;Operators'!$C$1:$G$99911,5,FALSE)</f>
        <v>DAVIS MICHAEL</v>
      </c>
      <c r="M71" s="224">
        <f t="shared" si="25"/>
        <v>2.5057870370801538E-2</v>
      </c>
      <c r="N71" s="225">
        <f t="shared" si="34"/>
        <v>36.083333333954215</v>
      </c>
      <c r="O71" s="225"/>
      <c r="P71" s="225"/>
      <c r="Q71" s="228"/>
      <c r="R71" s="242"/>
      <c r="S71" s="249">
        <f t="shared" si="33"/>
        <v>1</v>
      </c>
      <c r="T71" s="242" t="str">
        <f t="shared" si="26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3"/>
        <v>https://d0f6bd738d7f1b3e5a7ca70fe4ff75f0.us-east-1.aws.found.io/app/kibana#/discover/Steve-Slow-Train-Analysis-(2080s-and-2083s)?_g=(refreshInterval:(display:Off,pause:!f,section:0,value:0),time:(from:'2017-12-19T09:41:10-0700',mode:absolute,to:'2017-12-19T12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47" t="str">
        <f>IF(AA71&lt;VLOOKUP(AG71,Variables!$AC$3:$AD$8,2,FALSE),"Y","N")</f>
        <v>N</v>
      </c>
      <c r="X71" s="247">
        <f t="shared" si="27"/>
        <v>1</v>
      </c>
      <c r="Y71" s="247">
        <f t="shared" si="28"/>
        <v>4.6399999999999997E-2</v>
      </c>
      <c r="Z71" s="247">
        <f t="shared" si="29"/>
        <v>23.329699999999999</v>
      </c>
      <c r="AA71" s="247">
        <f t="shared" si="30"/>
        <v>23.283300000000001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31"/>
        <v>157</v>
      </c>
      <c r="AE71" s="235" t="str">
        <f t="shared" si="9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71" s="234" t="str">
        <f t="shared" si="10"/>
        <v>"C:\Program Files (x86)\AstroGrep\AstroGrep.exe" /e /r /s /spath="%USERPROFILE%\AppData\Local\Temp\OnboardLogs" /stypes="app*4040*20171219*" /stext=" 18:.+((SYSTEM_STATE.+slice.+state.+changed )|(ment ac)|(multiple cpu faults)|(system.+state.+changed )|(\[timeout)|(PRM\|1\|D)|(kpr)|(kdp)|(train st.+moving)|(\|gpps)|(penalty))"</v>
      </c>
      <c r="AG71" s="244" t="str">
        <f t="shared" si="32"/>
        <v>EC</v>
      </c>
      <c r="AH71" s="236" t="str">
        <f t="shared" si="17"/>
        <v>"%USERPROFILE%\Documents\GitHub\eaglep3\Utilities\RefineRTDCRunTimes.py" --tripid 157-19 --locoid 4040 --swversion DE.1.0.9.0 --startMP 204:464 --initTime 2017-12-19T10:41:10 --startdatetime 2017-12-19T10:45:30 --delay 108 --endMP 204:233297 --enddatetime 2017-12-19T11:21:35 --enforcementcount 0 &gt;&gt;%USERPROFILE%\Documents\GitHub\eaglep3-reporting\EC\2017-12-19-refined-times.txt</v>
      </c>
      <c r="AI71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{"issue":{"subject":"","project_id":79,"tracker_id":40,"status_id":1,"priority_id":2,"assigned_to_id":338,"start_date":"2017-12-19","description":"","custom_fields":[{"id":1,"name":"Subdivision","value":"EC"},{"id":4,"name":"Milepost","value":"23.3297"},{"id":17,"name":"Train ID","value":"157-19"},{"id":16,"name":"Locomotive ID","value":"4040"},{"id":130,"name":"Impact","value":""},{"id":150,"name":"Time of Event (Mountain Time)","value":"11:21:35"},{"id":151,"name":"Denver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19"/>
        <v>start /low /b %USERPROFILE%\Documents\GitHub\eaglep3\Utilities\DownloadLogsFromS3.py --loco 4040 --day 2017-12-19</v>
      </c>
      <c r="AN71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1"/>
        <v>https://d0f6bd738d7f1b3e5a7ca70fe4ff75f0.us-east-1.aws.found.io/app/kibana#/discover/Steve-Slow-Train-Analysis-(2080s-and-2083s)?_g=(refreshInterval:(display:Off,pause:!f,section:0,value:0),time:(from:'2017-12-19T09:41:10-0700',mode:absolute,to:'2017-12-19T12:21:35-0700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791</v>
      </c>
      <c r="B72" s="225">
        <v>4039</v>
      </c>
      <c r="C72" s="227" t="s">
        <v>192</v>
      </c>
      <c r="D72" s="227" t="s">
        <v>529</v>
      </c>
      <c r="E72" s="226">
        <v>43088.484918981485</v>
      </c>
      <c r="F72" s="226">
        <v>43088.487905092596</v>
      </c>
      <c r="G72" s="225">
        <v>93</v>
      </c>
      <c r="H72" s="227" t="s">
        <v>926</v>
      </c>
      <c r="I72" s="226">
        <v>43088.514317129629</v>
      </c>
      <c r="J72" s="225">
        <v>0</v>
      </c>
      <c r="K72" s="237" t="str">
        <f t="shared" si="24"/>
        <v>4039/4040</v>
      </c>
      <c r="L72" s="245" t="str">
        <f>VLOOKUP(A72,'Trips&amp;Operators'!$C$1:$G$99911,5,FALSE)</f>
        <v>DAVIS MICHAEL</v>
      </c>
      <c r="M72" s="224">
        <f t="shared" si="25"/>
        <v>2.6412037033878732E-2</v>
      </c>
      <c r="N72" s="225">
        <f t="shared" si="34"/>
        <v>38.033333328785375</v>
      </c>
      <c r="O72" s="225"/>
      <c r="P72" s="225"/>
      <c r="Q72" s="228"/>
      <c r="R72" s="242"/>
      <c r="S72" s="249">
        <f t="shared" si="33"/>
        <v>1</v>
      </c>
      <c r="T72" s="242" t="str">
        <f t="shared" si="26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3"/>
        <v>https://d0f6bd738d7f1b3e5a7ca70fe4ff75f0.us-east-1.aws.found.io/app/kibana#/discover/Steve-Slow-Train-Analysis-(2080s-and-2083s)?_g=(refreshInterval:(display:Off,pause:!f,section:0,value:0),time:(from:'2017-12-19T10:38:17-0700',mode:absolute,to:'2017-12-19T13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47" t="str">
        <f>IF(AA72&lt;VLOOKUP(AG72,Variables!$AC$3:$AD$8,2,FALSE),"Y","N")</f>
        <v>N</v>
      </c>
      <c r="X72" s="247">
        <f t="shared" si="27"/>
        <v>1</v>
      </c>
      <c r="Y72" s="247">
        <f t="shared" si="28"/>
        <v>23.299099999999999</v>
      </c>
      <c r="Z72" s="247">
        <f t="shared" si="29"/>
        <v>2.1100000000000001E-2</v>
      </c>
      <c r="AA72" s="247">
        <f t="shared" si="30"/>
        <v>23.277999999999999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31"/>
        <v>158</v>
      </c>
      <c r="AE72" s="235" t="str">
        <f t="shared" si="9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72" s="234" t="str">
        <f t="shared" si="10"/>
        <v>"C:\Program Files (x86)\AstroGrep\AstroGrep.exe" /e /r /s /spath="%USERPROFILE%\AppData\Local\Temp\OnboardLogs" /stypes="app*4039*20171219*" /stext=" 19:.+((SYSTEM_STATE.+slice.+state.+changed )|(ment ac)|(multiple cpu faults)|(system.+state.+changed )|(\[timeout)|(PRM\|1\|D)|(kpr)|(kdp)|(train st.+moving)|(\|gpps)|(penalty))"</v>
      </c>
      <c r="AG72" s="244" t="str">
        <f t="shared" si="32"/>
        <v>EC</v>
      </c>
      <c r="AH72" s="236" t="str">
        <f t="shared" si="17"/>
        <v>"%USERPROFILE%\Documents\GitHub\eaglep3\Utilities\RefineRTDCRunTimes.py" --tripid 158-19 --locoid 4039 --swversion DE.1.0.9.0 --startMP 204:232991 --initTime 2017-12-19T11:38:17 --startdatetime 2017-12-19T11:42:35 --delay 93 --endMP 204:211 --enddatetime 2017-12-19T12:20:37 --enforcementcount 0 &gt;&gt;%USERPROFILE%\Documents\GitHub\eaglep3-reporting\EC\2017-12-19-refined-times.txt</v>
      </c>
      <c r="AI72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{"issue":{"subject":"","project_id":79,"tracker_id":40,"status_id":1,"priority_id":2,"assigned_to_id":338,"start_date":"2017-12-19","description":"","custom_fields":[{"id":1,"name":"Subdivision","value":"EC"},{"id":4,"name":"Milepost","value":"0.0211"},{"id":17,"name":"Train ID","value":"158-19"},{"id":16,"name":"Locomotive ID","value":"4039"},{"id":130,"name":"Impact","value":""},{"id":150,"name":"Time of Event (Mountain Time)","value":"12:20:37"},{"id":151,"name":"Denver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19"/>
        <v>start /low /b %USERPROFILE%\Documents\GitHub\eaglep3\Utilities\DownloadLogsFromS3.py --loco 4039 --day 2017-12-19</v>
      </c>
      <c r="AN72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1"/>
        <v>https://d0f6bd738d7f1b3e5a7ca70fe4ff75f0.us-east-1.aws.found.io/app/kibana#/discover/Steve-Slow-Train-Analysis-(2080s-and-2083s)?_g=(refreshInterval:(display:Off,pause:!f,section:0,value:0),time:(from:'2017-12-19T10:38:17-0700',mode:absolute,to:'2017-12-19T13:20:37-0700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785</v>
      </c>
      <c r="B73" s="225">
        <v>4032</v>
      </c>
      <c r="C73" s="227" t="s">
        <v>192</v>
      </c>
      <c r="D73" s="227" t="s">
        <v>958</v>
      </c>
      <c r="E73" s="226">
        <v>43088.455347222225</v>
      </c>
      <c r="F73" s="226">
        <v>43088.458564814813</v>
      </c>
      <c r="G73" s="225">
        <v>95</v>
      </c>
      <c r="H73" s="227" t="s">
        <v>959</v>
      </c>
      <c r="I73" s="226">
        <v>43088.482731481483</v>
      </c>
      <c r="J73" s="225">
        <v>0</v>
      </c>
      <c r="K73" s="237" t="str">
        <f t="shared" si="24"/>
        <v>4031/4032</v>
      </c>
      <c r="L73" s="245" t="str">
        <f>VLOOKUP(A73,'Trips&amp;Operators'!$C$1:$G$99911,5,FALSE)</f>
        <v>MACDONALD THOMAS</v>
      </c>
      <c r="M73" s="224">
        <f t="shared" si="25"/>
        <v>2.4166666669771075E-2</v>
      </c>
      <c r="N73" s="225">
        <f t="shared" si="34"/>
        <v>34.800000004470348</v>
      </c>
      <c r="O73" s="225"/>
      <c r="P73" s="225"/>
      <c r="Q73" s="228"/>
      <c r="R73" s="242"/>
      <c r="S73" s="249">
        <f t="shared" si="33"/>
        <v>1</v>
      </c>
      <c r="T73" s="242" t="str">
        <f t="shared" si="26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3"/>
        <v>https://d0f6bd738d7f1b3e5a7ca70fe4ff75f0.us-east-1.aws.found.io/app/kibana#/discover/Steve-Slow-Train-Analysis-(2080s-and-2083s)?_g=(refreshInterval:(display:Off,pause:!f,section:0,value:0),time:(from:'2017-12-19T09:55:42-0700',mode:absolute,to:'2017-12-19T12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247" t="str">
        <f>IF(AA73&lt;VLOOKUP(AG73,Variables!$AC$3:$AD$8,2,FALSE),"Y","N")</f>
        <v>N</v>
      </c>
      <c r="X73" s="247">
        <f t="shared" si="27"/>
        <v>1</v>
      </c>
      <c r="Y73" s="247">
        <f t="shared" si="28"/>
        <v>4.9799999999999997E-2</v>
      </c>
      <c r="Z73" s="247">
        <f t="shared" si="29"/>
        <v>23.324300000000001</v>
      </c>
      <c r="AA73" s="247">
        <f t="shared" si="30"/>
        <v>23.2745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31"/>
        <v>159</v>
      </c>
      <c r="AE73" s="235" t="str">
        <f t="shared" si="9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73" s="234" t="str">
        <f t="shared" si="10"/>
        <v>"C:\Program Files (x86)\AstroGrep\AstroGrep.exe" /e /r /s /spath="%USERPROFILE%\AppData\Local\Temp\OnboardLogs" /stypes="app*4032*20171219*" /stext=" 18:.+((SYSTEM_STATE.+slice.+state.+changed )|(ment ac)|(multiple cpu faults)|(system.+state.+changed )|(\[timeout)|(PRM\|1\|D)|(kpr)|(kdp)|(train st.+moving)|(\|gpps)|(penalty))"</v>
      </c>
      <c r="AG73" s="244" t="str">
        <f t="shared" si="32"/>
        <v>EC</v>
      </c>
      <c r="AH73" s="236" t="str">
        <f t="shared" si="17"/>
        <v>"%USERPROFILE%\Documents\GitHub\eaglep3\Utilities\RefineRTDCRunTimes.py" --tripid 159-19 --locoid 4032 --swversion DE.1.0.9.0 --startMP 204:498 --initTime 2017-12-19T10:55:42 --startdatetime 2017-12-19T11:00:20 --delay 95 --endMP 204:233243 --enddatetime 2017-12-19T11:35:08 --enforcementcount 0 &gt;&gt;%USERPROFILE%\Documents\GitHub\eaglep3-reporting\EC\2017-12-19-refined-times.txt</v>
      </c>
      <c r="AI73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{"issue":{"subject":"","project_id":79,"tracker_id":40,"status_id":1,"priority_id":2,"assigned_to_id":338,"start_date":"2017-12-19","description":"","custom_fields":[{"id":1,"name":"Subdivision","value":"EC"},{"id":4,"name":"Milepost","value":"23.3243"},{"id":17,"name":"Train ID","value":"159-19"},{"id":16,"name":"Locomotive ID","value":"4032"},{"id":130,"name":"Impact","value":""},{"id":150,"name":"Time of Event (Mountain Time)","value":"11:35:08"},{"id":151,"name":"Denver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19"/>
        <v>start /low /b %USERPROFILE%\Documents\GitHub\eaglep3\Utilities\DownloadLogsFromS3.py --loco 4032 --day 2017-12-19</v>
      </c>
      <c r="AN73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1"/>
        <v>https://d0f6bd738d7f1b3e5a7ca70fe4ff75f0.us-east-1.aws.found.io/app/kibana#/discover/Steve-Slow-Train-Analysis-(2080s-and-2083s)?_g=(refreshInterval:(display:Off,pause:!f,section:0,value:0),time:(from:'2017-12-19T09:55:42-0700',mode:absolute,to:'2017-12-19T12:35:08-0700'))&amp;_a=(columns:!('Message%20ID',Summary),filters:!(),index:'emp_*',interval:auto,query:(query_string:(analyze_wildcard:!t,query:'%22rtdc.l.rtdc.4032%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684</v>
      </c>
      <c r="B74" s="225">
        <v>4031</v>
      </c>
      <c r="C74" s="227" t="s">
        <v>192</v>
      </c>
      <c r="D74" s="227" t="s">
        <v>960</v>
      </c>
      <c r="E74" s="226">
        <v>43088.494537037041</v>
      </c>
      <c r="F74" s="226">
        <v>43088.498344907406</v>
      </c>
      <c r="G74" s="225">
        <v>70</v>
      </c>
      <c r="H74" s="227" t="s">
        <v>961</v>
      </c>
      <c r="I74" s="226">
        <v>43088.524305555555</v>
      </c>
      <c r="J74" s="225">
        <v>0</v>
      </c>
      <c r="K74" s="237" t="str">
        <f t="shared" si="24"/>
        <v>4031/4032</v>
      </c>
      <c r="L74" s="245" t="str">
        <f>VLOOKUP(A74,'Trips&amp;Operators'!$C$1:$G$99911,5,FALSE)</f>
        <v>MACDONALD THOMAS</v>
      </c>
      <c r="M74" s="224">
        <f t="shared" si="25"/>
        <v>2.5960648148611654E-2</v>
      </c>
      <c r="N74" s="225">
        <f t="shared" si="34"/>
        <v>37.383333334000781</v>
      </c>
      <c r="O74" s="225"/>
      <c r="P74" s="225"/>
      <c r="Q74" s="228"/>
      <c r="R74" s="242"/>
      <c r="S74" s="249">
        <f t="shared" si="33"/>
        <v>1</v>
      </c>
      <c r="T74" s="242" t="str">
        <f t="shared" si="26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3"/>
        <v>https://d0f6bd738d7f1b3e5a7ca70fe4ff75f0.us-east-1.aws.found.io/app/kibana#/discover/Steve-Slow-Train-Analysis-(2080s-and-2083s)?_g=(refreshInterval:(display:Off,pause:!f,section:0,value:0),time:(from:'2017-12-19T10:52:08-0700',mode:absolute,to:'2017-12-19T13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247" t="str">
        <f>IF(AA74&lt;VLOOKUP(AG74,Variables!$AC$3:$AD$8,2,FALSE),"Y","N")</f>
        <v>N</v>
      </c>
      <c r="X74" s="247">
        <f t="shared" si="27"/>
        <v>1</v>
      </c>
      <c r="Y74" s="247">
        <f t="shared" si="28"/>
        <v>23.291699999999999</v>
      </c>
      <c r="Z74" s="247">
        <f t="shared" si="29"/>
        <v>2.63E-2</v>
      </c>
      <c r="AA74" s="247">
        <f t="shared" si="30"/>
        <v>23.2654</v>
      </c>
      <c r="AB74" s="233" t="str">
        <f>VLOOKUP(A74,Enforcements!$C$7:$K$9,8,0)</f>
        <v>Bulletin (2)</v>
      </c>
      <c r="AC74" s="232" t="str">
        <f>VLOOKUP(A74,Enforcements!$C$7:$E$9,3,0)</f>
        <v>GRADE CROSSING</v>
      </c>
      <c r="AD74" s="243">
        <f t="shared" si="31"/>
        <v>160</v>
      </c>
      <c r="AE74" s="235" t="str">
        <f t="shared" si="9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74" s="234" t="str">
        <f t="shared" si="10"/>
        <v>"C:\Program Files (x86)\AstroGrep\AstroGrep.exe" /e /r /s /spath="%USERPROFILE%\AppData\Local\Temp\OnboardLogs" /stypes="app*4031*20171219*" /stext=" 19:.+((SYSTEM_STATE.+slice.+state.+changed )|(ment ac)|(multiple cpu faults)|(system.+state.+changed )|(\[timeout)|(PRM\|1\|D)|(kpr)|(kdp)|(train st.+moving)|(\|gpps)|(penalty))"</v>
      </c>
      <c r="AG74" s="244" t="str">
        <f t="shared" si="32"/>
        <v>EC</v>
      </c>
      <c r="AH74" s="236" t="str">
        <f t="shared" si="17"/>
        <v>"%USERPROFILE%\Documents\GitHub\eaglep3\Utilities\RefineRTDCRunTimes.py" --tripid 160-19 --locoid 4031 --swversion DE.1.0.9.0 --startMP 204:232917 --initTime 2017-12-19T11:52:08 --startdatetime 2017-12-19T11:57:37 --delay 70 --endMP 204:263 --enddatetime 2017-12-19T12:35:00 --enforcementcount 0 &gt;&gt;%USERPROFILE%\Documents\GitHub\eaglep3-reporting\EC\2017-12-19-refined-times.txt</v>
      </c>
      <c r="AI74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{"issue":{"subject":"","project_id":79,"tracker_id":40,"status_id":1,"priority_id":2,"assigned_to_id":338,"start_date":"2017-12-19","description":"","custom_fields":[{"id":1,"name":"Subdivision","value":"EC"},{"id":4,"name":"Milepost","value":"0.0263"},{"id":17,"name":"Train ID","value":"160-19"},{"id":16,"name":"Locomotive ID","value":"4031"},{"id":130,"name":"Impact","value":""},{"id":150,"name":"Time of Event (Mountain Time)","value":"12:35:00"},{"id":151,"name":"Denver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19"/>
        <v>start /low /b %USERPROFILE%\Documents\GitHub\eaglep3\Utilities\DownloadLogsFromS3.py --loco 4031 --day 2017-12-19</v>
      </c>
      <c r="AN74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1"/>
        <v>https://d0f6bd738d7f1b3e5a7ca70fe4ff75f0.us-east-1.aws.found.io/app/kibana#/discover/Steve-Slow-Train-Analysis-(2080s-and-2083s)?_g=(refreshInterval:(display:Off,pause:!f,section:0,value:0),time:(from:'2017-12-19T10:52:08-0700',mode:absolute,to:'2017-12-19T13:35:00-0700'))&amp;_a=(columns:!('Message%20ID',Summary),filters:!(),index:'emp_*',interval:auto,query:(query_string:(analyze_wildcard:!t,query:'%22rtdc.l.rtdc.4031%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787</v>
      </c>
      <c r="B75" s="225">
        <v>4018</v>
      </c>
      <c r="C75" s="227" t="s">
        <v>192</v>
      </c>
      <c r="D75" s="227" t="s">
        <v>962</v>
      </c>
      <c r="E75" s="226">
        <v>43088.464467592596</v>
      </c>
      <c r="F75" s="226">
        <v>43088.468912037039</v>
      </c>
      <c r="G75" s="225">
        <v>126</v>
      </c>
      <c r="H75" s="227" t="s">
        <v>500</v>
      </c>
      <c r="I75" s="226">
        <v>43088.493969907409</v>
      </c>
      <c r="J75" s="225">
        <v>0</v>
      </c>
      <c r="K75" s="237" t="str">
        <f t="shared" si="24"/>
        <v>4017/4018</v>
      </c>
      <c r="L75" s="245" t="str">
        <f>VLOOKUP(A75,'Trips&amp;Operators'!$C$1:$G$99911,5,FALSE)</f>
        <v>ROBINSON KADDIBA</v>
      </c>
      <c r="M75" s="224">
        <f t="shared" si="25"/>
        <v>2.5057870370801538E-2</v>
      </c>
      <c r="N75" s="225">
        <f t="shared" si="34"/>
        <v>36.083333333954215</v>
      </c>
      <c r="O75" s="225"/>
      <c r="P75" s="225"/>
      <c r="Q75" s="228"/>
      <c r="R75" s="242"/>
      <c r="S75" s="249">
        <f t="shared" si="33"/>
        <v>1</v>
      </c>
      <c r="T75" s="242" t="str">
        <f t="shared" si="26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3"/>
        <v>https://d0f6bd738d7f1b3e5a7ca70fe4ff75f0.us-east-1.aws.found.io/app/kibana#/discover/Steve-Slow-Train-Analysis-(2080s-and-2083s)?_g=(refreshInterval:(display:Off,pause:!f,section:0,value:0),time:(from:'2017-12-19T10:08:50-0700',mode:absolute,to:'2017-12-19T12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47" t="str">
        <f>IF(AA75&lt;VLOOKUP(AG75,Variables!$AC$3:$AD$8,2,FALSE),"Y","N")</f>
        <v>N</v>
      </c>
      <c r="X75" s="247">
        <f t="shared" si="27"/>
        <v>1</v>
      </c>
      <c r="Y75" s="247">
        <f t="shared" si="28"/>
        <v>4.9099999999999998E-2</v>
      </c>
      <c r="Z75" s="247">
        <f t="shared" si="29"/>
        <v>23.327000000000002</v>
      </c>
      <c r="AA75" s="247">
        <f t="shared" si="30"/>
        <v>23.277900000000002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31"/>
        <v>161</v>
      </c>
      <c r="AE75" s="235" t="str">
        <f t="shared" si="9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75" s="234" t="str">
        <f t="shared" si="10"/>
        <v>"C:\Program Files (x86)\AstroGrep\AstroGrep.exe" /e /r /s /spath="%USERPROFILE%\AppData\Local\Temp\OnboardLogs" /stypes="app*4018*20171219*" /stext=" 18:.+((SYSTEM_STATE.+slice.+state.+changed )|(ment ac)|(multiple cpu faults)|(system.+state.+changed )|(\[timeout)|(PRM\|1\|D)|(kpr)|(kdp)|(train st.+moving)|(\|gpps)|(penalty))"</v>
      </c>
      <c r="AG75" s="244" t="str">
        <f t="shared" si="32"/>
        <v>EC</v>
      </c>
      <c r="AH75" s="236" t="str">
        <f t="shared" si="17"/>
        <v>"%USERPROFILE%\Documents\GitHub\eaglep3\Utilities\RefineRTDCRunTimes.py" --tripid 161-19 --locoid 4018 --swversion DE.1.0.9.0 --startMP 204:491 --initTime 2017-12-19T11:08:50 --startdatetime 2017-12-19T11:15:14 --delay 126 --endMP 204:233270 --enddatetime 2017-12-19T11:51:19 --enforcementcount 0 &gt;&gt;%USERPROFILE%\Documents\GitHub\eaglep3-reporting\EC\2017-12-19-refined-times.txt</v>
      </c>
      <c r="AI75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{"issue":{"subject":"","project_id":79,"tracker_id":40,"status_id":1,"priority_id":2,"assigned_to_id":338,"start_date":"2017-12-19","description":"","custom_fields":[{"id":1,"name":"Subdivision","value":"EC"},{"id":4,"name":"Milepost","value":"23.327"},{"id":17,"name":"Train ID","value":"161-19"},{"id":16,"name":"Locomotive ID","value":"4018"},{"id":130,"name":"Impact","value":""},{"id":150,"name":"Time of Event (Mountain Time)","value":"11:51:19"},{"id":151,"name":"Denver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19"/>
        <v>start /low /b %USERPROFILE%\Documents\GitHub\eaglep3\Utilities\DownloadLogsFromS3.py --loco 4018 --day 2017-12-19</v>
      </c>
      <c r="AN75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1"/>
        <v>https://d0f6bd738d7f1b3e5a7ca70fe4ff75f0.us-east-1.aws.found.io/app/kibana#/discover/Steve-Slow-Train-Analysis-(2080s-and-2083s)?_g=(refreshInterval:(display:Off,pause:!f,section:0,value:0),time:(from:'2017-12-19T10:08:50-0700',mode:absolute,to:'2017-12-19T12:51:19-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792</v>
      </c>
      <c r="B76" s="225">
        <v>4017</v>
      </c>
      <c r="C76" s="227" t="s">
        <v>192</v>
      </c>
      <c r="D76" s="227" t="s">
        <v>645</v>
      </c>
      <c r="E76" s="226">
        <v>43088.495671296296</v>
      </c>
      <c r="F76" s="226">
        <v>43088.508518518516</v>
      </c>
      <c r="G76" s="225">
        <v>62</v>
      </c>
      <c r="H76" s="227" t="s">
        <v>922</v>
      </c>
      <c r="I76" s="226">
        <v>43088.534814814811</v>
      </c>
      <c r="J76" s="225">
        <v>0</v>
      </c>
      <c r="K76" s="237" t="str">
        <f t="shared" si="24"/>
        <v>4017/4018</v>
      </c>
      <c r="L76" s="245" t="str">
        <f>VLOOKUP(A76,'Trips&amp;Operators'!$C$1:$G$99911,5,FALSE)</f>
        <v>ROBINSON KADDIBA</v>
      </c>
      <c r="M76" s="224">
        <f t="shared" si="25"/>
        <v>2.6296296295186039E-2</v>
      </c>
      <c r="N76" s="225">
        <f t="shared" si="34"/>
        <v>37.866666665067896</v>
      </c>
      <c r="O76" s="225"/>
      <c r="P76" s="225"/>
      <c r="Q76" s="228"/>
      <c r="R76" s="242"/>
      <c r="S76" s="249">
        <f t="shared" si="33"/>
        <v>1</v>
      </c>
      <c r="T76" s="242" t="str">
        <f t="shared" si="26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3"/>
        <v>https://d0f6bd738d7f1b3e5a7ca70fe4ff75f0.us-east-1.aws.found.io/app/kibana#/discover/Steve-Slow-Train-Analysis-(2080s-and-2083s)?_g=(refreshInterval:(display:Off,pause:!f,section:0,value:0),time:(from:'2017-12-19T10:53:46-0700',mode:absolute,to:'2017-12-19T13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47" t="str">
        <f>IF(AA76&lt;VLOOKUP(AG76,Variables!$AC$3:$AD$8,2,FALSE),"Y","N")</f>
        <v>N</v>
      </c>
      <c r="X76" s="247">
        <f t="shared" si="27"/>
        <v>1</v>
      </c>
      <c r="Y76" s="247">
        <f t="shared" si="28"/>
        <v>23.2957</v>
      </c>
      <c r="Z76" s="247">
        <f t="shared" si="29"/>
        <v>2.1600000000000001E-2</v>
      </c>
      <c r="AA76" s="247">
        <f t="shared" si="30"/>
        <v>23.274100000000001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31"/>
        <v>162</v>
      </c>
      <c r="AE76" s="235" t="str">
        <f t="shared" si="9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76" s="234" t="str">
        <f t="shared" si="10"/>
        <v>"C:\Program Files (x86)\AstroGrep\AstroGrep.exe" /e /r /s /spath="%USERPROFILE%\AppData\Local\Temp\OnboardLogs" /stypes="app*4017*20171219*" /stext=" 19:.+((SYSTEM_STATE.+slice.+state.+changed )|(ment ac)|(multiple cpu faults)|(system.+state.+changed )|(\[timeout)|(PRM\|1\|D)|(kpr)|(kdp)|(train st.+moving)|(\|gpps)|(penalty))"</v>
      </c>
      <c r="AG76" s="244" t="str">
        <f t="shared" si="32"/>
        <v>EC</v>
      </c>
      <c r="AH76" s="236" t="str">
        <f t="shared" si="17"/>
        <v>"%USERPROFILE%\Documents\GitHub\eaglep3\Utilities\RefineRTDCRunTimes.py" --tripid 162-19 --locoid 4017 --swversion DE.1.0.9.0 --startMP 204:232957 --initTime 2017-12-19T11:53:46 --startdatetime 2017-12-19T12:12:16 --delay 62 --endMP 204:216 --enddatetime 2017-12-19T12:50:08 --enforcementcount 0 &gt;&gt;%USERPROFILE%\Documents\GitHub\eaglep3-reporting\EC\2017-12-19-refined-times.txt</v>
      </c>
      <c r="AI76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{"issue":{"subject":"","project_id":79,"tracker_id":40,"status_id":1,"priority_id":2,"assigned_to_id":338,"start_date":"2017-12-19","description":"","custom_fields":[{"id":1,"name":"Subdivision","value":"EC"},{"id":4,"name":"Milepost","value":"0.0216"},{"id":17,"name":"Train ID","value":"162-19"},{"id":16,"name":"Locomotive ID","value":"4017"},{"id":130,"name":"Impact","value":""},{"id":150,"name":"Time of Event (Mountain Time)","value":"12:50:08"},{"id":151,"name":"Denver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19"/>
        <v>start /low /b %USERPROFILE%\Documents\GitHub\eaglep3\Utilities\DownloadLogsFromS3.py --loco 4017 --day 2017-12-19</v>
      </c>
      <c r="AN76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1"/>
        <v>https://d0f6bd738d7f1b3e5a7ca70fe4ff75f0.us-east-1.aws.found.io/app/kibana#/discover/Steve-Slow-Train-Analysis-(2080s-and-2083s)?_g=(refreshInterval:(display:Off,pause:!f,section:0,value:0),time:(from:'2017-12-19T10:53:46-0700',mode:absolute,to:'2017-12-19T13:50:08-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788</v>
      </c>
      <c r="B77" s="225">
        <v>4014</v>
      </c>
      <c r="C77" s="227" t="s">
        <v>192</v>
      </c>
      <c r="D77" s="227" t="s">
        <v>630</v>
      </c>
      <c r="E77" s="226">
        <v>43088.47315972222</v>
      </c>
      <c r="F77" s="226">
        <v>43088.479386574072</v>
      </c>
      <c r="G77" s="225">
        <v>105</v>
      </c>
      <c r="H77" s="227" t="s">
        <v>567</v>
      </c>
      <c r="I77" s="226">
        <v>43088.503692129627</v>
      </c>
      <c r="J77" s="225">
        <v>0</v>
      </c>
      <c r="K77" s="237" t="str">
        <f t="shared" ref="K77:K108" si="35">IF(ISEVEN(B77),(B77-1)&amp;"/"&amp;B77,B77&amp;"/"&amp;(B77+1))</f>
        <v>4013/4014</v>
      </c>
      <c r="L77" s="245" t="str">
        <f>VLOOKUP(A77,'Trips&amp;Operators'!$C$1:$G$99911,5,FALSE)</f>
        <v>STEWART MICHAEL</v>
      </c>
      <c r="M77" s="224">
        <f t="shared" ref="M77:M108" si="36">I77-F77</f>
        <v>2.4305555554747116E-2</v>
      </c>
      <c r="N77" s="225">
        <f t="shared" si="34"/>
        <v>34.999999998835847</v>
      </c>
      <c r="O77" s="225"/>
      <c r="P77" s="225"/>
      <c r="Q77" s="228"/>
      <c r="R77" s="242"/>
      <c r="S77" s="249">
        <f t="shared" si="33"/>
        <v>1</v>
      </c>
      <c r="T77" s="242" t="str">
        <f t="shared" ref="T77:T108" si="37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-19T10:21:21-0700',mode:absolute,to:'2017-12-19T13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247" t="str">
        <f>IF(AA77&lt;VLOOKUP(AG77,Variables!$AC$3:$AD$8,2,FALSE),"Y","N")</f>
        <v>N</v>
      </c>
      <c r="X77" s="247">
        <f t="shared" ref="X77:X108" si="39">VALUE(LEFT(AD77,4))-VALUE(LEFT(AD76,4))</f>
        <v>1</v>
      </c>
      <c r="Y77" s="247">
        <f t="shared" ref="Y77:Y108" si="40">RIGHT(D77,LEN(D77)-4)/10000</f>
        <v>4.5999999999999999E-2</v>
      </c>
      <c r="Z77" s="247">
        <f t="shared" ref="Z77:Z108" si="41">RIGHT(H77,LEN(H77)-4)/10000</f>
        <v>23.327400000000001</v>
      </c>
      <c r="AA77" s="247">
        <f t="shared" ref="AA77:AA108" si="42">ABS(Z77-Y77)</f>
        <v>23.281400000000001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08" si="43">VALUE(LEFT(A77,LEN(A77)-3))</f>
        <v>163</v>
      </c>
      <c r="AE77" s="235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77" s="234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/stypes="app*4014*20171219*" /stext=" 19:.+((SYSTEM_STATE.+slice.+state.+changed )|(ment ac)|(multiple cpu faults)|(system.+state.+changed )|(\[timeout)|(PRM\|1\|D)|(kpr)|(kdp)|(train st.+moving)|(\|gpps)|(penalty))"</v>
      </c>
      <c r="AG77" s="244" t="str">
        <f t="shared" ref="AG77:AG108" si="46">DetSubdiv(A77)</f>
        <v>EC</v>
      </c>
      <c r="AH77" s="236" t="str">
        <f t="shared" si="17"/>
        <v>"%USERPROFILE%\Documents\GitHub\eaglep3\Utilities\RefineRTDCRunTimes.py" --tripid 163-19 --locoid 4014 --swversion DE.1.0.9.0 --startMP 204:460 --initTime 2017-12-19T11:21:21 --startdatetime 2017-12-19T11:30:19 --delay 105 --endMP 204:233274 --enddatetime 2017-12-19T12:05:19 --enforcementcount 0 &gt;&gt;%USERPROFILE%\Documents\GitHub\eaglep3-reporting\EC\2017-12-19-refined-times.txt</v>
      </c>
      <c r="AI77" s="238" t="str">
        <f t="shared" si="18"/>
        <v>echo {"issue":{"subject":"","project_id":79,"tracker_id":40,"status_id":1,"priority_id":2,"assigned_to_id":338,"start_date":"2017-12-19","description":"","custom_fields":[{"id":1,"name":"Subdivision","value":"EC"},{"id":4,"name":"Milepost","value":"23.3274"},{"id":17,"name":"Train ID","value":"163-19"},{"id":16,"name":"Locomotive ID","value":"4014"},{"id":130,"name":"Impact","value":""},{"id":150,"name":"Time of Event (Mountain Time)","value":"12:05:19"},{"id":151,"name":"Denver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19"/>
        <v>start /low /b %USERPROFILE%\Documents\GitHub\eaglep3\Utilities\DownloadLogsFromS3.py --loco 4014 --day 2017-12-19</v>
      </c>
      <c r="AN77" s="241" t="str">
        <f t="shared" si="2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1"/>
        <v>https://d0f6bd738d7f1b3e5a7ca70fe4ff75f0.us-east-1.aws.found.io/app/kibana#/discover/Steve-Slow-Train-Analysis-(2080s-and-2083s)?_g=(refreshInterval:(display:Off,pause:!f,section:0,value:0),time:(from:'2017-12-19T10:21:21-0700',mode:absolute,to:'2017-12-19T13:05:19-0700'))&amp;_a=(columns:!('Message%20ID',Summary),filters:!(),index:'emp_*',interval:auto,query:(query_string:(analyze_wildcard:!t,query:'%22rtdc.l.rtdc.4014%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795</v>
      </c>
      <c r="B78" s="225">
        <v>4013</v>
      </c>
      <c r="C78" s="227" t="s">
        <v>192</v>
      </c>
      <c r="D78" s="227" t="s">
        <v>579</v>
      </c>
      <c r="E78" s="226">
        <v>43088.514490740738</v>
      </c>
      <c r="F78" s="226">
        <v>43088.518935185188</v>
      </c>
      <c r="G78" s="225">
        <v>130</v>
      </c>
      <c r="H78" s="227" t="s">
        <v>615</v>
      </c>
      <c r="I78" s="226">
        <v>43088.545381944445</v>
      </c>
      <c r="J78" s="225">
        <v>0</v>
      </c>
      <c r="K78" s="237" t="str">
        <f t="shared" si="35"/>
        <v>4013/4014</v>
      </c>
      <c r="L78" s="245" t="str">
        <f>VLOOKUP(A78,'Trips&amp;Operators'!$C$1:$G$99911,5,FALSE)</f>
        <v>STEWART MICHAEL</v>
      </c>
      <c r="M78" s="224">
        <f t="shared" si="36"/>
        <v>2.6446759256941732E-2</v>
      </c>
      <c r="N78" s="225">
        <f t="shared" si="34"/>
        <v>38.083333329996094</v>
      </c>
      <c r="O78" s="225"/>
      <c r="P78" s="225"/>
      <c r="Q78" s="228"/>
      <c r="R78" s="242"/>
      <c r="S78" s="249">
        <f t="shared" si="33"/>
        <v>1</v>
      </c>
      <c r="T78" s="242" t="str">
        <f t="shared" si="37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8"/>
        <v>https://d0f6bd738d7f1b3e5a7ca70fe4ff75f0.us-east-1.aws.found.io/app/kibana#/discover/Steve-Slow-Train-Analysis-(2080s-and-2083s)?_g=(refreshInterval:(display:Off,pause:!f,section:0,value:0),time:(from:'2017-12-19T11:20:52-0700',mode:absolute,to:'2017-12-19T14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247" t="str">
        <f>IF(AA78&lt;VLOOKUP(AG78,Variables!$AC$3:$AD$8,2,FALSE),"Y","N")</f>
        <v>N</v>
      </c>
      <c r="X78" s="247">
        <f t="shared" si="39"/>
        <v>1</v>
      </c>
      <c r="Y78" s="247">
        <f t="shared" si="40"/>
        <v>23.294799999999999</v>
      </c>
      <c r="Z78" s="247">
        <f t="shared" si="41"/>
        <v>2.1399999999999999E-2</v>
      </c>
      <c r="AA78" s="247">
        <f t="shared" si="42"/>
        <v>23.273399999999999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43"/>
        <v>164</v>
      </c>
      <c r="AE78" s="235" t="str">
        <f t="shared" si="44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78" s="234" t="str">
        <f t="shared" si="45"/>
        <v>"C:\Program Files (x86)\AstroGrep\AstroGrep.exe" /e /r /s /spath="%USERPROFILE%\AppData\Local\Temp\OnboardLogs" /stypes="app*4013*20171219*" /stext=" 20:.+((SYSTEM_STATE.+slice.+state.+changed )|(ment ac)|(multiple cpu faults)|(system.+state.+changed )|(\[timeout)|(PRM\|1\|D)|(kpr)|(kdp)|(train st.+moving)|(\|gpps)|(penalty))"</v>
      </c>
      <c r="AG78" s="244" t="str">
        <f t="shared" si="46"/>
        <v>EC</v>
      </c>
      <c r="AH78" s="236" t="str">
        <f t="shared" ref="AH78:AH143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164-19 --locoid 4013 --swversion DE.1.0.9.0 --startMP 204:232948 --initTime 2017-12-19T12:20:52 --startdatetime 2017-12-19T12:27:16 --delay 130 --endMP 204:214 --enddatetime 2017-12-19T13:05:21 --enforcementcount 0 &gt;&gt;%USERPROFILE%\Documents\GitHub\eaglep3-reporting\EC\2017-12-19-refined-times.txt</v>
      </c>
      <c r="AI78" s="238" t="str">
        <f t="shared" ref="AI78:AI143" si="4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{"issue":{"subject":"","project_id":79,"tracker_id":40,"status_id":1,"priority_id":2,"assigned_to_id":338,"start_date":"2017-12-19","description":"","custom_fields":[{"id":1,"name":"Subdivision","value":"EC"},{"id":4,"name":"Milepost","value":"0.0214"},{"id":17,"name":"Train ID","value":"164-19"},{"id":16,"name":"Locomotive ID","value":"4013"},{"id":130,"name":"Impact","value":""},{"id":150,"name":"Time of Event (Mountain Time)","value":"13:05:21"},{"id":151,"name":"Denver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3" si="49">"start /low /b "&amp;dls3logs&amp;" --loco "&amp;B78&amp;" --day "&amp;TEXT(F78,"YYYY-MM-DD")</f>
        <v>start /low /b %USERPROFILE%\Documents\GitHub\eaglep3\Utilities\DownloadLogsFromS3.py --loco 4013 --day 2017-12-19</v>
      </c>
      <c r="AN78" s="241" t="str">
        <f t="shared" ref="AN78:AN143" si="5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3" si="51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-19T11:20:52-0700',mode:absolute,to:'2017-12-19T14:05:21-0700'))&amp;_a=(columns:!('Message%20ID',Summary),filters:!(),index:'emp_*',interval:auto,query:(query_string:(analyze_wildcard:!t,query:'%22rtdc.l.rtdc.4013%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790</v>
      </c>
      <c r="B79" s="225">
        <v>4028</v>
      </c>
      <c r="C79" s="227" t="s">
        <v>192</v>
      </c>
      <c r="D79" s="227" t="s">
        <v>932</v>
      </c>
      <c r="E79" s="226">
        <v>43088.484074074076</v>
      </c>
      <c r="F79" s="226">
        <v>43088.489965277775</v>
      </c>
      <c r="G79" s="225">
        <v>118</v>
      </c>
      <c r="H79" s="227" t="s">
        <v>963</v>
      </c>
      <c r="I79" s="226">
        <v>43088.515289351853</v>
      </c>
      <c r="J79" s="225">
        <v>0</v>
      </c>
      <c r="K79" s="237" t="str">
        <f t="shared" si="35"/>
        <v>4027/4028</v>
      </c>
      <c r="L79" s="245" t="str">
        <f>VLOOKUP(A79,'Trips&amp;Operators'!$C$1:$G$99911,5,FALSE)</f>
        <v>HAMMOND JUSTYNN</v>
      </c>
      <c r="M79" s="224">
        <f t="shared" si="36"/>
        <v>2.5324074078525882E-2</v>
      </c>
      <c r="N79" s="225">
        <f t="shared" si="34"/>
        <v>36.46666667307727</v>
      </c>
      <c r="O79" s="225"/>
      <c r="P79" s="225"/>
      <c r="Q79" s="228"/>
      <c r="R79" s="242"/>
      <c r="S79" s="249">
        <f t="shared" si="33"/>
        <v>1</v>
      </c>
      <c r="T79" s="242" t="str">
        <f t="shared" si="37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8"/>
        <v>https://d0f6bd738d7f1b3e5a7ca70fe4ff75f0.us-east-1.aws.found.io/app/kibana#/discover/Steve-Slow-Train-Analysis-(2080s-and-2083s)?_g=(refreshInterval:(display:Off,pause:!f,section:0,value:0),time:(from:'2017-12-19T10:37:04-0700',mode:absolute,to:'2017-12-19T13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9" s="247" t="str">
        <f>IF(AA79&lt;VLOOKUP(AG79,Variables!$AC$3:$AD$8,2,FALSE),"Y","N")</f>
        <v>N</v>
      </c>
      <c r="X79" s="247">
        <f t="shared" si="39"/>
        <v>1</v>
      </c>
      <c r="Y79" s="247">
        <f t="shared" si="40"/>
        <v>5.0900000000000001E-2</v>
      </c>
      <c r="Z79" s="247">
        <f t="shared" si="41"/>
        <v>23.3276</v>
      </c>
      <c r="AA79" s="247">
        <f t="shared" si="42"/>
        <v>23.276700000000002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43"/>
        <v>165</v>
      </c>
      <c r="AE79" s="235" t="str">
        <f t="shared" si="44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79" s="234" t="str">
        <f t="shared" si="45"/>
        <v>"C:\Program Files (x86)\AstroGrep\AstroGrep.exe" /e /r /s /spath="%USERPROFILE%\AppData\Local\Temp\OnboardLogs" /stypes="app*4028*20171219*" /stext=" 19:.+((SYSTEM_STATE.+slice.+state.+changed )|(ment ac)|(multiple cpu faults)|(system.+state.+changed )|(\[timeout)|(PRM\|1\|D)|(kpr)|(kdp)|(train st.+moving)|(\|gpps)|(penalty))"</v>
      </c>
      <c r="AG79" s="244" t="str">
        <f t="shared" si="46"/>
        <v>EC</v>
      </c>
      <c r="AH79" s="236" t="str">
        <f t="shared" si="47"/>
        <v>"%USERPROFILE%\Documents\GitHub\eaglep3\Utilities\RefineRTDCRunTimes.py" --tripid 165-19 --locoid 4028 --swversion DE.1.0.9.0 --startMP 204:509 --initTime 2017-12-19T11:37:04 --startdatetime 2017-12-19T11:45:33 --delay 118 --endMP 204:233276 --enddatetime 2017-12-19T12:22:01 --enforcementcount 0 &gt;&gt;%USERPROFILE%\Documents\GitHub\eaglep3-reporting\EC\2017-12-19-refined-times.txt</v>
      </c>
      <c r="AI7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{"issue":{"subject":"","project_id":79,"tracker_id":40,"status_id":1,"priority_id":2,"assigned_to_id":338,"start_date":"2017-12-19","description":"","custom_fields":[{"id":1,"name":"Subdivision","value":"EC"},{"id":4,"name":"Milepost","value":"23.3276"},{"id":17,"name":"Train ID","value":"165-19"},{"id":16,"name":"Locomotive ID","value":"4028"},{"id":130,"name":"Impact","value":""},{"id":150,"name":"Time of Event (Mountain Time)","value":"12:22:01"},{"id":151,"name":"Denver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9"/>
        <v>start /low /b %USERPROFILE%\Documents\GitHub\eaglep3\Utilities\DownloadLogsFromS3.py --loco 4028 --day 2017-12-19</v>
      </c>
      <c r="AN79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51"/>
        <v>https://d0f6bd738d7f1b3e5a7ca70fe4ff75f0.us-east-1.aws.found.io/app/kibana#/discover/Steve-Slow-Train-Analysis-(2080s-and-2083s)?_g=(refreshInterval:(display:Off,pause:!f,section:0,value:0),time:(from:'2017-12-19T10:37:04-0700',mode:absolute,to:'2017-12-19T13:22:01-0700'))&amp;_a=(columns:!('Message%20ID',Summary),filters:!(),index:'emp_*',interval:auto,query:(query_string:(analyze_wildcard:!t,query:'%22rtdc.l.rtdc.4028%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798</v>
      </c>
      <c r="B80" s="225">
        <v>4027</v>
      </c>
      <c r="C80" s="227" t="s">
        <v>192</v>
      </c>
      <c r="D80" s="227" t="s">
        <v>651</v>
      </c>
      <c r="E80" s="226">
        <v>43088.525659722225</v>
      </c>
      <c r="F80" s="226">
        <v>43088.529386574075</v>
      </c>
      <c r="G80" s="225">
        <v>104</v>
      </c>
      <c r="H80" s="227" t="s">
        <v>615</v>
      </c>
      <c r="I80" s="226">
        <v>43088.555590277778</v>
      </c>
      <c r="J80" s="225">
        <v>0</v>
      </c>
      <c r="K80" s="237" t="str">
        <f t="shared" si="35"/>
        <v>4027/4028</v>
      </c>
      <c r="L80" s="245" t="str">
        <f>VLOOKUP(A80,'Trips&amp;Operators'!$C$1:$G$99911,5,FALSE)</f>
        <v>HAMMOND JUSTYNN</v>
      </c>
      <c r="M80" s="224">
        <f t="shared" si="36"/>
        <v>2.6203703702776693E-2</v>
      </c>
      <c r="N80" s="225">
        <f t="shared" si="34"/>
        <v>37.733333331998438</v>
      </c>
      <c r="O80" s="225"/>
      <c r="P80" s="225"/>
      <c r="Q80" s="228"/>
      <c r="R80" s="242"/>
      <c r="S80" s="249">
        <f t="shared" si="33"/>
        <v>1</v>
      </c>
      <c r="T80" s="242" t="str">
        <f t="shared" si="37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8"/>
        <v>https://d0f6bd738d7f1b3e5a7ca70fe4ff75f0.us-east-1.aws.found.io/app/kibana#/discover/Steve-Slow-Train-Analysis-(2080s-and-2083s)?_g=(refreshInterval:(display:Off,pause:!f,section:0,value:0),time:(from:'2017-12-19T11:36:57-0700',mode:absolute,to:'2017-12-19T14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247" t="str">
        <f>IF(AA80&lt;VLOOKUP(AG80,Variables!$AC$3:$AD$8,2,FALSE),"Y","N")</f>
        <v>N</v>
      </c>
      <c r="X80" s="247">
        <f t="shared" si="39"/>
        <v>1</v>
      </c>
      <c r="Y80" s="247">
        <f t="shared" si="40"/>
        <v>23.294899999999998</v>
      </c>
      <c r="Z80" s="247">
        <f t="shared" si="41"/>
        <v>2.1399999999999999E-2</v>
      </c>
      <c r="AA80" s="247">
        <f t="shared" si="42"/>
        <v>23.273499999999999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43"/>
        <v>166</v>
      </c>
      <c r="AE80" s="235" t="str">
        <f t="shared" si="44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80" s="234" t="str">
        <f t="shared" si="45"/>
        <v>"C:\Program Files (x86)\AstroGrep\AstroGrep.exe" /e /r /s /spath="%USERPROFILE%\AppData\Local\Temp\OnboardLogs" /stypes="app*4027*20171219*" /stext=" 20:.+((SYSTEM_STATE.+slice.+state.+changed )|(ment ac)|(multiple cpu faults)|(system.+state.+changed )|(\[timeout)|(PRM\|1\|D)|(kpr)|(kdp)|(train st.+moving)|(\|gpps)|(penalty))"</v>
      </c>
      <c r="AG80" s="244" t="str">
        <f t="shared" si="46"/>
        <v>EC</v>
      </c>
      <c r="AH80" s="236" t="str">
        <f t="shared" si="47"/>
        <v>"%USERPROFILE%\Documents\GitHub\eaglep3\Utilities\RefineRTDCRunTimes.py" --tripid 166-19 --locoid 4027 --swversion DE.1.0.9.0 --startMP 204:232949 --initTime 2017-12-19T12:36:57 --startdatetime 2017-12-19T12:42:19 --delay 104 --endMP 204:214 --enddatetime 2017-12-19T13:20:03 --enforcementcount 0 &gt;&gt;%USERPROFILE%\Documents\GitHub\eaglep3-reporting\EC\2017-12-19-refined-times.txt</v>
      </c>
      <c r="AI8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{"issue":{"subject":"","project_id":79,"tracker_id":40,"status_id":1,"priority_id":2,"assigned_to_id":338,"start_date":"2017-12-19","description":"","custom_fields":[{"id":1,"name":"Subdivision","value":"EC"},{"id":4,"name":"Milepost","value":"0.0214"},{"id":17,"name":"Train ID","value":"166-19"},{"id":16,"name":"Locomotive ID","value":"4027"},{"id":130,"name":"Impact","value":""},{"id":150,"name":"Time of Event (Mountain Time)","value":"13:20:03"},{"id":151,"name":"Denver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9"/>
        <v>start /low /b %USERPROFILE%\Documents\GitHub\eaglep3\Utilities\DownloadLogsFromS3.py --loco 4027 --day 2017-12-19</v>
      </c>
      <c r="AN80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51"/>
        <v>https://d0f6bd738d7f1b3e5a7ca70fe4ff75f0.us-east-1.aws.found.io/app/kibana#/discover/Steve-Slow-Train-Analysis-(2080s-and-2083s)?_g=(refreshInterval:(display:Off,pause:!f,section:0,value:0),time:(from:'2017-12-19T11:36:57-0700',mode:absolute,to:'2017-12-19T14:20:03-0700'))&amp;_a=(columns:!('Message%20ID',Summary),filters:!(),index:'emp_*',interval:auto,query:(query_string:(analyze_wildcard:!t,query:'%22rtdc.l.rtdc.4027%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793</v>
      </c>
      <c r="B81" s="225">
        <v>4056</v>
      </c>
      <c r="C81" s="227" t="s">
        <v>192</v>
      </c>
      <c r="D81" s="227" t="s">
        <v>498</v>
      </c>
      <c r="E81" s="226">
        <v>43088.496782407405</v>
      </c>
      <c r="F81" s="226">
        <v>43088.500439814816</v>
      </c>
      <c r="G81" s="225">
        <v>73</v>
      </c>
      <c r="H81" s="227" t="s">
        <v>622</v>
      </c>
      <c r="I81" s="226">
        <v>43088.525138888886</v>
      </c>
      <c r="J81" s="225">
        <v>0</v>
      </c>
      <c r="K81" s="237" t="str">
        <f t="shared" si="35"/>
        <v>4055/4056</v>
      </c>
      <c r="L81" s="245" t="str">
        <f>VLOOKUP(A81,'Trips&amp;Operators'!$C$1:$G$99911,5,FALSE)</f>
        <v>LEVERE CRAIG</v>
      </c>
      <c r="M81" s="224">
        <f t="shared" si="36"/>
        <v>2.4699074070667848E-2</v>
      </c>
      <c r="N81" s="225">
        <f t="shared" si="34"/>
        <v>35.566666661761701</v>
      </c>
      <c r="O81" s="225"/>
      <c r="P81" s="225"/>
      <c r="Q81" s="228"/>
      <c r="R81" s="242"/>
      <c r="S81" s="249">
        <f t="shared" si="33"/>
        <v>1</v>
      </c>
      <c r="T81" s="242" t="str">
        <f t="shared" si="37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8"/>
        <v>https://d0f6bd738d7f1b3e5a7ca70fe4ff75f0.us-east-1.aws.found.io/app/kibana#/discover/Steve-Slow-Train-Analysis-(2080s-and-2083s)?_g=(refreshInterval:(display:Off,pause:!f,section:0,value:0),time:(from:'2017-12-19T10:55:22-0700',mode:absolute,to:'2017-12-19T13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47" t="str">
        <f>IF(AA81&lt;VLOOKUP(AG81,Variables!$AC$3:$AD$8,2,FALSE),"Y","N")</f>
        <v>N</v>
      </c>
      <c r="X81" s="247">
        <f t="shared" si="39"/>
        <v>1</v>
      </c>
      <c r="Y81" s="247">
        <f t="shared" si="40"/>
        <v>5.1299999999999998E-2</v>
      </c>
      <c r="Z81" s="247">
        <f t="shared" si="41"/>
        <v>23.324000000000002</v>
      </c>
      <c r="AA81" s="247">
        <f t="shared" si="42"/>
        <v>23.2727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43"/>
        <v>167</v>
      </c>
      <c r="AE81" s="235" t="str">
        <f t="shared" si="44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81" s="234" t="str">
        <f t="shared" si="45"/>
        <v>"C:\Program Files (x86)\AstroGrep\AstroGrep.exe" /e /r /s /spath="%USERPROFILE%\AppData\Local\Temp\OnboardLogs" /stypes="app*4056*20171219*" /stext=" 19:.+((SYSTEM_STATE.+slice.+state.+changed )|(ment ac)|(multiple cpu faults)|(system.+state.+changed )|(\[timeout)|(PRM\|1\|D)|(kpr)|(kdp)|(train st.+moving)|(\|gpps)|(penalty))"</v>
      </c>
      <c r="AG81" s="244" t="str">
        <f t="shared" si="46"/>
        <v>EC</v>
      </c>
      <c r="AH81" s="236" t="str">
        <f t="shared" si="47"/>
        <v>"%USERPROFILE%\Documents\GitHub\eaglep3\Utilities\RefineRTDCRunTimes.py" --tripid 167-19 --locoid 4056 --swversion DE.1.0.9.0 --startMP 204:513 --initTime 2017-12-19T11:55:22 --startdatetime 2017-12-19T12:00:38 --delay 73 --endMP 204:233240 --enddatetime 2017-12-19T12:36:12 --enforcementcount 0 &gt;&gt;%USERPROFILE%\Documents\GitHub\eaglep3-reporting\EC\2017-12-19-refined-times.txt</v>
      </c>
      <c r="AI8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{"issue":{"subject":"","project_id":79,"tracker_id":40,"status_id":1,"priority_id":2,"assigned_to_id":338,"start_date":"2017-12-19","description":"","custom_fields":[{"id":1,"name":"Subdivision","value":"EC"},{"id":4,"name":"Milepost","value":"23.324"},{"id":17,"name":"Train ID","value":"167-19"},{"id":16,"name":"Locomotive ID","value":"4056"},{"id":130,"name":"Impact","value":""},{"id":150,"name":"Time of Event (Mountain Time)","value":"12:36:12"},{"id":151,"name":"Denver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9"/>
        <v>start /low /b %USERPROFILE%\Documents\GitHub\eaglep3\Utilities\DownloadLogsFromS3.py --loco 4056 --day 2017-12-19</v>
      </c>
      <c r="AN81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1"/>
        <v>https://d0f6bd738d7f1b3e5a7ca70fe4ff75f0.us-east-1.aws.found.io/app/kibana#/discover/Steve-Slow-Train-Analysis-(2080s-and-2083s)?_g=(refreshInterval:(display:Off,pause:!f,section:0,value:0),time:(from:'2017-12-19T10:55:22-0700',mode:absolute,to:'2017-12-19T13:36:12-0700'))&amp;_a=(columns:!('Message%20ID',Summary),filters:!(),index:'emp_*',interval:auto,query:(query_string:(analyze_wildcard:!t,query:'%22rtdc.l.rtdc.4056%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800</v>
      </c>
      <c r="B82" s="225">
        <v>4055</v>
      </c>
      <c r="C82" s="227" t="s">
        <v>192</v>
      </c>
      <c r="D82" s="227" t="s">
        <v>964</v>
      </c>
      <c r="E82" s="226">
        <v>43088.534166666665</v>
      </c>
      <c r="F82" s="226">
        <v>43088.539780092593</v>
      </c>
      <c r="G82" s="225">
        <v>89</v>
      </c>
      <c r="H82" s="227" t="s">
        <v>965</v>
      </c>
      <c r="I82" s="226">
        <v>43088.566990740743</v>
      </c>
      <c r="J82" s="225">
        <v>0</v>
      </c>
      <c r="K82" s="237" t="str">
        <f t="shared" si="35"/>
        <v>4055/4056</v>
      </c>
      <c r="L82" s="245" t="str">
        <f>VLOOKUP(A82,'Trips&amp;Operators'!$C$1:$G$99911,5,FALSE)</f>
        <v>LEVERE CRAIG</v>
      </c>
      <c r="M82" s="224">
        <f t="shared" si="36"/>
        <v>2.7210648149775807E-2</v>
      </c>
      <c r="N82" s="225">
        <f t="shared" si="34"/>
        <v>39.183333335677162</v>
      </c>
      <c r="O82" s="225"/>
      <c r="P82" s="225"/>
      <c r="Q82" s="228"/>
      <c r="R82" s="242"/>
      <c r="S82" s="249">
        <f t="shared" si="33"/>
        <v>1</v>
      </c>
      <c r="T82" s="242" t="str">
        <f t="shared" si="37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8"/>
        <v>https://d0f6bd738d7f1b3e5a7ca70fe4ff75f0.us-east-1.aws.found.io/app/kibana#/discover/Steve-Slow-Train-Analysis-(2080s-and-2083s)?_g=(refreshInterval:(display:Off,pause:!f,section:0,value:0),time:(from:'2017-12-19T11:49:12-0700',mode:absolute,to:'2017-12-19T14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47" t="str">
        <f>IF(AA82&lt;VLOOKUP(AG82,Variables!$AC$3:$AD$8,2,FALSE),"Y","N")</f>
        <v>N</v>
      </c>
      <c r="X82" s="247">
        <f t="shared" si="39"/>
        <v>1</v>
      </c>
      <c r="Y82" s="247">
        <f t="shared" si="40"/>
        <v>23.2913</v>
      </c>
      <c r="Z82" s="247">
        <f t="shared" si="41"/>
        <v>2.3800000000000002E-2</v>
      </c>
      <c r="AA82" s="247">
        <f t="shared" si="42"/>
        <v>23.267499999999998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43"/>
        <v>168</v>
      </c>
      <c r="AE82" s="235" t="str">
        <f t="shared" si="44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82" s="234" t="str">
        <f t="shared" si="45"/>
        <v>"C:\Program Files (x86)\AstroGrep\AstroGrep.exe" /e /r /s /spath="%USERPROFILE%\AppData\Local\Temp\OnboardLogs" /stypes="app*4055*20171219*" /stext=" 20:.+((SYSTEM_STATE.+slice.+state.+changed )|(ment ac)|(multiple cpu faults)|(system.+state.+changed )|(\[timeout)|(PRM\|1\|D)|(kpr)|(kdp)|(train st.+moving)|(\|gpps)|(penalty))"</v>
      </c>
      <c r="AG82" s="244" t="str">
        <f t="shared" si="46"/>
        <v>EC</v>
      </c>
      <c r="AH82" s="236" t="str">
        <f t="shared" si="47"/>
        <v>"%USERPROFILE%\Documents\GitHub\eaglep3\Utilities\RefineRTDCRunTimes.py" --tripid 168-19 --locoid 4055 --swversion DE.1.0.9.0 --startMP 204:232913 --initTime 2017-12-19T12:49:12 --startdatetime 2017-12-19T12:57:17 --delay 89 --endMP 204:238 --enddatetime 2017-12-19T13:36:28 --enforcementcount 0 &gt;&gt;%USERPROFILE%\Documents\GitHub\eaglep3-reporting\EC\2017-12-19-refined-times.txt</v>
      </c>
      <c r="AI8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{"issue":{"subject":"","project_id":79,"tracker_id":40,"status_id":1,"priority_id":2,"assigned_to_id":338,"start_date":"2017-12-19","description":"","custom_fields":[{"id":1,"name":"Subdivision","value":"EC"},{"id":4,"name":"Milepost","value":"0.0238"},{"id":17,"name":"Train ID","value":"168-19"},{"id":16,"name":"Locomotive ID","value":"4055"},{"id":130,"name":"Impact","value":""},{"id":150,"name":"Time of Event (Mountain Time)","value":"13:36:28"},{"id":151,"name":"Denver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9"/>
        <v>start /low /b %USERPROFILE%\Documents\GitHub\eaglep3\Utilities\DownloadLogsFromS3.py --loco 4055 --day 2017-12-19</v>
      </c>
      <c r="AN82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1"/>
        <v>https://d0f6bd738d7f1b3e5a7ca70fe4ff75f0.us-east-1.aws.found.io/app/kibana#/discover/Steve-Slow-Train-Analysis-(2080s-and-2083s)?_g=(refreshInterval:(display:Off,pause:!f,section:0,value:0),time:(from:'2017-12-19T11:49:12-0700',mode:absolute,to:'2017-12-19T14:36:28-0700'))&amp;_a=(columns:!('Message%20ID',Summary),filters:!(),index:'emp_*',interval:auto,query:(query_string:(analyze_wildcard:!t,query:'%22rtdc.l.rtdc.4055%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686</v>
      </c>
      <c r="B83" s="225">
        <v>4064</v>
      </c>
      <c r="C83" s="227" t="s">
        <v>192</v>
      </c>
      <c r="D83" s="227" t="s">
        <v>966</v>
      </c>
      <c r="E83" s="226">
        <v>43088.505162037036</v>
      </c>
      <c r="F83" s="226">
        <v>43088.510601851849</v>
      </c>
      <c r="G83" s="225">
        <v>152</v>
      </c>
      <c r="H83" s="227" t="s">
        <v>517</v>
      </c>
      <c r="I83" s="226">
        <v>43088.53670138889</v>
      </c>
      <c r="J83" s="225">
        <v>0</v>
      </c>
      <c r="K83" s="237" t="str">
        <f t="shared" si="35"/>
        <v>4063/4064</v>
      </c>
      <c r="L83" s="245" t="str">
        <f>VLOOKUP(A83,'Trips&amp;Operators'!$C$1:$G$99911,5,FALSE)</f>
        <v>SAFIEF AEIMEN</v>
      </c>
      <c r="M83" s="224">
        <f t="shared" si="36"/>
        <v>2.6099537040863652E-2</v>
      </c>
      <c r="N83" s="225">
        <f t="shared" si="34"/>
        <v>37.583333338843659</v>
      </c>
      <c r="O83" s="225"/>
      <c r="P83" s="225"/>
      <c r="Q83" s="228"/>
      <c r="R83" s="242"/>
      <c r="S83" s="249">
        <f t="shared" si="33"/>
        <v>1</v>
      </c>
      <c r="T83" s="242" t="str">
        <f t="shared" si="37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8"/>
        <v>https://d0f6bd738d7f1b3e5a7ca70fe4ff75f0.us-east-1.aws.found.io/app/kibana#/discover/Steve-Slow-Train-Analysis-(2080s-and-2083s)?_g=(refreshInterval:(display:Off,pause:!f,section:0,value:0),time:(from:'2017-12-19T11:07:26-0700',mode:absolute,to:'2017-12-19T13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47" t="str">
        <f>IF(AA83&lt;VLOOKUP(AG83,Variables!$AC$3:$AD$8,2,FALSE),"Y","N")</f>
        <v>N</v>
      </c>
      <c r="X83" s="247">
        <f t="shared" si="39"/>
        <v>1</v>
      </c>
      <c r="Y83" s="247">
        <f t="shared" si="40"/>
        <v>4.3799999999999999E-2</v>
      </c>
      <c r="Z83" s="247">
        <f t="shared" si="41"/>
        <v>23.325700000000001</v>
      </c>
      <c r="AA83" s="247">
        <f t="shared" si="42"/>
        <v>23.2819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43"/>
        <v>169</v>
      </c>
      <c r="AE83" s="235" t="str">
        <f t="shared" si="44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83" s="234" t="str">
        <f t="shared" si="45"/>
        <v>"C:\Program Files (x86)\AstroGrep\AstroGrep.exe" /e /r /s /spath="%USERPROFILE%\AppData\Local\Temp\OnboardLogs" /stypes="app*4064*20171219*" /stext=" 19:.+((SYSTEM_STATE.+slice.+state.+changed )|(ment ac)|(multiple cpu faults)|(system.+state.+changed )|(\[timeout)|(PRM\|1\|D)|(kpr)|(kdp)|(train st.+moving)|(\|gpps)|(penalty))"</v>
      </c>
      <c r="AG83" s="244" t="str">
        <f t="shared" si="46"/>
        <v>EC</v>
      </c>
      <c r="AH83" s="236" t="str">
        <f t="shared" si="47"/>
        <v>"%USERPROFILE%\Documents\GitHub\eaglep3\Utilities\RefineRTDCRunTimes.py" --tripid 169-19 --locoid 4064 --swversion DE.1.0.9.0 --startMP 204:438 --initTime 2017-12-19T12:07:26 --startdatetime 2017-12-19T12:15:16 --delay 152 --endMP 204:233257 --enddatetime 2017-12-19T12:52:51 --enforcementcount 0 &gt;&gt;%USERPROFILE%\Documents\GitHub\eaglep3-reporting\EC\2017-12-19-refined-times.txt</v>
      </c>
      <c r="AI8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{"issue":{"subject":"","project_id":79,"tracker_id":40,"status_id":1,"priority_id":2,"assigned_to_id":338,"start_date":"2017-12-19","description":"","custom_fields":[{"id":1,"name":"Subdivision","value":"EC"},{"id":4,"name":"Milepost","value":"23.3257"},{"id":17,"name":"Train ID","value":"169-19"},{"id":16,"name":"Locomotive ID","value":"4064"},{"id":130,"name":"Impact","value":""},{"id":150,"name":"Time of Event (Mountain Time)","value":"12:52:51"},{"id":151,"name":"Denver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9"/>
        <v>start /low /b %USERPROFILE%\Documents\GitHub\eaglep3\Utilities\DownloadLogsFromS3.py --loco 4064 --day 2017-12-19</v>
      </c>
      <c r="AN83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1"/>
        <v>https://d0f6bd738d7f1b3e5a7ca70fe4ff75f0.us-east-1.aws.found.io/app/kibana#/discover/Steve-Slow-Train-Analysis-(2080s-and-2083s)?_g=(refreshInterval:(display:Off,pause:!f,section:0,value:0),time:(from:'2017-12-19T11:07:26-0700',mode:absolute,to:'2017-12-19T13:52:51-0700'))&amp;_a=(columns:!('Message%20ID',Summary),filters:!(),index:'emp_*',interval:auto,query:(query_string:(analyze_wildcard:!t,query:'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802</v>
      </c>
      <c r="B84" s="225">
        <v>4063</v>
      </c>
      <c r="C84" s="227" t="s">
        <v>192</v>
      </c>
      <c r="D84" s="227" t="s">
        <v>583</v>
      </c>
      <c r="E84" s="226">
        <v>43088.539884259262</v>
      </c>
      <c r="F84" s="226">
        <v>43088.550185185188</v>
      </c>
      <c r="G84" s="225">
        <v>96</v>
      </c>
      <c r="H84" s="227" t="s">
        <v>564</v>
      </c>
      <c r="I84" s="226">
        <v>43088.576782407406</v>
      </c>
      <c r="J84" s="225">
        <v>0</v>
      </c>
      <c r="K84" s="237" t="str">
        <f t="shared" si="35"/>
        <v>4063/4064</v>
      </c>
      <c r="L84" s="245" t="str">
        <f>VLOOKUP(A84,'Trips&amp;Operators'!$C$1:$G$99911,5,FALSE)</f>
        <v>SAFIEF AEIMEN</v>
      </c>
      <c r="M84" s="224">
        <f t="shared" si="36"/>
        <v>2.6597222218697425E-2</v>
      </c>
      <c r="N84" s="225">
        <f t="shared" si="34"/>
        <v>38.299999994924292</v>
      </c>
      <c r="O84" s="225"/>
      <c r="P84" s="225"/>
      <c r="Q84" s="228"/>
      <c r="R84" s="242"/>
      <c r="S84" s="249">
        <f t="shared" si="33"/>
        <v>1</v>
      </c>
      <c r="T84" s="242" t="str">
        <f t="shared" si="37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8"/>
        <v>https://d0f6bd738d7f1b3e5a7ca70fe4ff75f0.us-east-1.aws.found.io/app/kibana#/discover/Steve-Slow-Train-Analysis-(2080s-and-2083s)?_g=(refreshInterval:(display:Off,pause:!f,section:0,value:0),time:(from:'2017-12-19T11:57:26-0700',mode:absolute,to:'2017-12-19T14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47" t="str">
        <f>IF(AA84&lt;VLOOKUP(AG84,Variables!$AC$3:$AD$8,2,FALSE),"Y","N")</f>
        <v>N</v>
      </c>
      <c r="X84" s="247">
        <f t="shared" si="39"/>
        <v>1</v>
      </c>
      <c r="Y84" s="247">
        <f t="shared" si="40"/>
        <v>23.2943</v>
      </c>
      <c r="Z84" s="247">
        <f t="shared" si="41"/>
        <v>0.02</v>
      </c>
      <c r="AA84" s="247">
        <f t="shared" si="42"/>
        <v>23.2743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43"/>
        <v>170</v>
      </c>
      <c r="AE84" s="235" t="str">
        <f t="shared" si="44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84" s="234" t="str">
        <f t="shared" si="45"/>
        <v>"C:\Program Files (x86)\AstroGrep\AstroGrep.exe" /e /r /s /spath="%USERPROFILE%\AppData\Local\Temp\OnboardLogs" /stypes="app*4063*20171219*" /stext=" 20:.+((SYSTEM_STATE.+slice.+state.+changed )|(ment ac)|(multiple cpu faults)|(system.+state.+changed )|(\[timeout)|(PRM\|1\|D)|(kpr)|(kdp)|(train st.+moving)|(\|gpps)|(penalty))"</v>
      </c>
      <c r="AG84" s="244" t="str">
        <f t="shared" si="46"/>
        <v>EC</v>
      </c>
      <c r="AH84" s="236" t="str">
        <f t="shared" si="47"/>
        <v>"%USERPROFILE%\Documents\GitHub\eaglep3\Utilities\RefineRTDCRunTimes.py" --tripid 170-19 --locoid 4063 --swversion DE.1.0.9.0 --startMP 204:232943 --initTime 2017-12-19T12:57:26 --startdatetime 2017-12-19T13:12:16 --delay 96 --endMP 204:200 --enddatetime 2017-12-19T13:50:34 --enforcementcount 0 &gt;&gt;%USERPROFILE%\Documents\GitHub\eaglep3-reporting\EC\2017-12-19-refined-times.txt</v>
      </c>
      <c r="AI84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{"issue":{"subject":"","project_id":79,"tracker_id":40,"status_id":1,"priority_id":2,"assigned_to_id":338,"start_date":"2017-12-19","description":"","custom_fields":[{"id":1,"name":"Subdivision","value":"EC"},{"id":4,"name":"Milepost","value":"0.02"},{"id":17,"name":"Train ID","value":"170-19"},{"id":16,"name":"Locomotive ID","value":"4063"},{"id":130,"name":"Impact","value":""},{"id":150,"name":"Time of Event (Mountain Time)","value":"13:50:34"},{"id":151,"name":"Denver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9"/>
        <v>start /low /b %USERPROFILE%\Documents\GitHub\eaglep3\Utilities\DownloadLogsFromS3.py --loco 4063 --day 2017-12-19</v>
      </c>
      <c r="AN84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1"/>
        <v>https://d0f6bd738d7f1b3e5a7ca70fe4ff75f0.us-east-1.aws.found.io/app/kibana#/discover/Steve-Slow-Train-Analysis-(2080s-and-2083s)?_g=(refreshInterval:(display:Off,pause:!f,section:0,value:0),time:(from:'2017-12-19T11:57:26-0700',mode:absolute,to:'2017-12-19T14:50:34-0700'))&amp;_a=(columns:!('Message%20ID',Summary),filters:!(),index:'emp_*',interval:auto,query:(query_string:(analyze_wildcard:!t,query:'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796</v>
      </c>
      <c r="B85" s="225">
        <v>4040</v>
      </c>
      <c r="C85" s="227" t="s">
        <v>192</v>
      </c>
      <c r="D85" s="227" t="s">
        <v>474</v>
      </c>
      <c r="E85" s="226">
        <v>43088.517245370371</v>
      </c>
      <c r="F85" s="226">
        <v>43088.521168981482</v>
      </c>
      <c r="G85" s="225">
        <v>61</v>
      </c>
      <c r="H85" s="227" t="s">
        <v>967</v>
      </c>
      <c r="I85" s="226">
        <v>43088.547731481478</v>
      </c>
      <c r="J85" s="225">
        <v>0</v>
      </c>
      <c r="K85" s="237" t="str">
        <f t="shared" si="35"/>
        <v>4039/4040</v>
      </c>
      <c r="L85" s="245" t="str">
        <f>VLOOKUP(A85,'Trips&amp;Operators'!$C$1:$G$99911,5,FALSE)</f>
        <v>DAVIS MICHAEL</v>
      </c>
      <c r="M85" s="224">
        <f t="shared" si="36"/>
        <v>2.6562499995634425E-2</v>
      </c>
      <c r="N85" s="225">
        <f t="shared" si="34"/>
        <v>38.249999993713573</v>
      </c>
      <c r="O85" s="225"/>
      <c r="P85" s="225"/>
      <c r="Q85" s="228"/>
      <c r="R85" s="242"/>
      <c r="S85" s="249">
        <f t="shared" si="33"/>
        <v>1</v>
      </c>
      <c r="T85" s="242" t="str">
        <f t="shared" si="37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8"/>
        <v>https://d0f6bd738d7f1b3e5a7ca70fe4ff75f0.us-east-1.aws.found.io/app/kibana#/discover/Steve-Slow-Train-Analysis-(2080s-and-2083s)?_g=(refreshInterval:(display:Off,pause:!f,section:0,value:0),time:(from:'2017-12-19T11:24:50-0700',mode:absolute,to:'2017-12-19T14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47" t="str">
        <f>IF(AA85&lt;VLOOKUP(AG85,Variables!$AC$3:$AD$8,2,FALSE),"Y","N")</f>
        <v>N</v>
      </c>
      <c r="X85" s="247">
        <f t="shared" si="39"/>
        <v>1</v>
      </c>
      <c r="Y85" s="247">
        <f t="shared" si="40"/>
        <v>5.1499999999999997E-2</v>
      </c>
      <c r="Z85" s="247">
        <f t="shared" si="41"/>
        <v>23.337399999999999</v>
      </c>
      <c r="AA85" s="247">
        <f t="shared" si="42"/>
        <v>23.285899999999998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43"/>
        <v>171</v>
      </c>
      <c r="AE85" s="235" t="str">
        <f t="shared" si="44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85" s="234" t="str">
        <f t="shared" si="45"/>
        <v>"C:\Program Files (x86)\AstroGrep\AstroGrep.exe" /e /r /s /spath="%USERPROFILE%\AppData\Local\Temp\OnboardLogs" /stypes="app*4040*20171219*" /stext=" 20:.+((SYSTEM_STATE.+slice.+state.+changed )|(ment ac)|(multiple cpu faults)|(system.+state.+changed )|(\[timeout)|(PRM\|1\|D)|(kpr)|(kdp)|(train st.+moving)|(\|gpps)|(penalty))"</v>
      </c>
      <c r="AG85" s="244" t="str">
        <f t="shared" si="46"/>
        <v>EC</v>
      </c>
      <c r="AH85" s="236" t="str">
        <f t="shared" si="47"/>
        <v>"%USERPROFILE%\Documents\GitHub\eaglep3\Utilities\RefineRTDCRunTimes.py" --tripid 171-19 --locoid 4040 --swversion DE.1.0.9.0 --startMP 204:515 --initTime 2017-12-19T12:24:50 --startdatetime 2017-12-19T12:30:29 --delay 61 --endMP 204:233374 --enddatetime 2017-12-19T13:08:44 --enforcementcount 0 &gt;&gt;%USERPROFILE%\Documents\GitHub\eaglep3-reporting\EC\2017-12-19-refined-times.txt</v>
      </c>
      <c r="AI8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{"issue":{"subject":"","project_id":79,"tracker_id":40,"status_id":1,"priority_id":2,"assigned_to_id":338,"start_date":"2017-12-19","description":"","custom_fields":[{"id":1,"name":"Subdivision","value":"EC"},{"id":4,"name":"Milepost","value":"23.3374"},{"id":17,"name":"Train ID","value":"171-19"},{"id":16,"name":"Locomotive ID","value":"4040"},{"id":130,"name":"Impact","value":""},{"id":150,"name":"Time of Event (Mountain Time)","value":"13:08:44"},{"id":151,"name":"Denver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9"/>
        <v>start /low /b %USERPROFILE%\Documents\GitHub\eaglep3\Utilities\DownloadLogsFromS3.py --loco 4040 --day 2017-12-19</v>
      </c>
      <c r="AN85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1"/>
        <v>https://d0f6bd738d7f1b3e5a7ca70fe4ff75f0.us-east-1.aws.found.io/app/kibana#/discover/Steve-Slow-Train-Analysis-(2080s-and-2083s)?_g=(refreshInterval:(display:Off,pause:!f,section:0,value:0),time:(from:'2017-12-19T11:24:50-0700',mode:absolute,to:'2017-12-19T14:08:44-0700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806</v>
      </c>
      <c r="B86" s="225">
        <v>4039</v>
      </c>
      <c r="C86" s="227" t="s">
        <v>192</v>
      </c>
      <c r="D86" s="227" t="s">
        <v>613</v>
      </c>
      <c r="E86" s="226">
        <v>43088.558692129627</v>
      </c>
      <c r="F86" s="226">
        <v>43088.560856481483</v>
      </c>
      <c r="G86" s="225">
        <v>94</v>
      </c>
      <c r="H86" s="227" t="s">
        <v>968</v>
      </c>
      <c r="I86" s="226">
        <v>43088.588634259257</v>
      </c>
      <c r="J86" s="225">
        <v>0</v>
      </c>
      <c r="K86" s="237" t="str">
        <f t="shared" si="35"/>
        <v>4039/4040</v>
      </c>
      <c r="L86" s="245" t="str">
        <f>VLOOKUP(A86,'Trips&amp;Operators'!$C$1:$G$99911,5,FALSE)</f>
        <v>DAVIS MICHAEL</v>
      </c>
      <c r="M86" s="224">
        <f t="shared" si="36"/>
        <v>2.7777777773735579E-2</v>
      </c>
      <c r="N86" s="225">
        <f t="shared" si="34"/>
        <v>39.999999994179234</v>
      </c>
      <c r="O86" s="225"/>
      <c r="P86" s="225"/>
      <c r="Q86" s="228"/>
      <c r="R86" s="242"/>
      <c r="S86" s="249">
        <f t="shared" si="33"/>
        <v>1</v>
      </c>
      <c r="T86" s="242" t="str">
        <f t="shared" si="37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8"/>
        <v>https://d0f6bd738d7f1b3e5a7ca70fe4ff75f0.us-east-1.aws.found.io/app/kibana#/discover/Steve-Slow-Train-Analysis-(2080s-and-2083s)?_g=(refreshInterval:(display:Off,pause:!f,section:0,value:0),time:(from:'2017-12-19T12:24:31-0700',mode:absolute,to:'2017-12-19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47" t="str">
        <f>IF(AA86&lt;VLOOKUP(AG86,Variables!$AC$3:$AD$8,2,FALSE),"Y","N")</f>
        <v>N</v>
      </c>
      <c r="X86" s="247">
        <f t="shared" si="39"/>
        <v>1</v>
      </c>
      <c r="Y86" s="247">
        <f t="shared" si="40"/>
        <v>23.299800000000001</v>
      </c>
      <c r="Z86" s="247">
        <f t="shared" si="41"/>
        <v>2.07E-2</v>
      </c>
      <c r="AA86" s="247">
        <f t="shared" si="42"/>
        <v>23.2791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43"/>
        <v>172</v>
      </c>
      <c r="AE86" s="235" t="str">
        <f t="shared" si="44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86" s="234" t="str">
        <f t="shared" si="45"/>
        <v>"C:\Program Files (x86)\AstroGrep\AstroGrep.exe" /e /r /s /spath="%USERPROFILE%\AppData\Local\Temp\OnboardLogs" /stypes="app*4039*20171219*" /stext=" 21:.+((SYSTEM_STATE.+slice.+state.+changed )|(ment ac)|(multiple cpu faults)|(system.+state.+changed )|(\[timeout)|(PRM\|1\|D)|(kpr)|(kdp)|(train st.+moving)|(\|gpps)|(penalty))"</v>
      </c>
      <c r="AG86" s="244" t="str">
        <f t="shared" si="46"/>
        <v>EC</v>
      </c>
      <c r="AH86" s="236" t="str">
        <f t="shared" si="47"/>
        <v>"%USERPROFILE%\Documents\GitHub\eaglep3\Utilities\RefineRTDCRunTimes.py" --tripid 172-19 --locoid 4039 --swversion DE.1.0.9.0 --startMP 204:232998 --initTime 2017-12-19T13:24:31 --startdatetime 2017-12-19T13:27:38 --delay 94 --endMP 204:207 --enddatetime 2017-12-19T14:07:38 --enforcementcount 0 &gt;&gt;%USERPROFILE%\Documents\GitHub\eaglep3-reporting\EC\2017-12-19-refined-times.txt</v>
      </c>
      <c r="AI8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{"issue":{"subject":"","project_id":79,"tracker_id":40,"status_id":1,"priority_id":2,"assigned_to_id":338,"start_date":"2017-12-19","description":"","custom_fields":[{"id":1,"name":"Subdivision","value":"EC"},{"id":4,"name":"Milepost","value":"0.0207"},{"id":17,"name":"Train ID","value":"172-19"},{"id":16,"name":"Locomotive ID","value":"4039"},{"id":130,"name":"Impact","value":""},{"id":150,"name":"Time of Event (Mountain Time)","value":"14:07:38"},{"id":151,"name":"Denver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9"/>
        <v>start /low /b %USERPROFILE%\Documents\GitHub\eaglep3\Utilities\DownloadLogsFromS3.py --loco 4039 --day 2017-12-19</v>
      </c>
      <c r="AN86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1"/>
        <v>https://d0f6bd738d7f1b3e5a7ca70fe4ff75f0.us-east-1.aws.found.io/app/kibana#/discover/Steve-Slow-Train-Analysis-(2080s-and-2083s)?_g=(refreshInterval:(display:Off,pause:!f,section:0,value:0),time:(from:'2017-12-19T12:24:31-0700',mode:absolute,to:'2017-12-19T15:07:38-0700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799</v>
      </c>
      <c r="B87" s="225">
        <v>4032</v>
      </c>
      <c r="C87" s="227" t="s">
        <v>192</v>
      </c>
      <c r="D87" s="227" t="s">
        <v>614</v>
      </c>
      <c r="E87" s="226">
        <v>43088.527118055557</v>
      </c>
      <c r="F87" s="226">
        <v>43088.531469907408</v>
      </c>
      <c r="G87" s="225">
        <v>76</v>
      </c>
      <c r="H87" s="227" t="s">
        <v>949</v>
      </c>
      <c r="I87" s="226">
        <v>43088.556898148148</v>
      </c>
      <c r="J87" s="225">
        <v>0</v>
      </c>
      <c r="K87" s="237" t="str">
        <f t="shared" si="35"/>
        <v>4031/4032</v>
      </c>
      <c r="L87" s="245" t="str">
        <f>VLOOKUP(A87,'Trips&amp;Operators'!$C$1:$G$99911,5,FALSE)</f>
        <v>SMITH MICHAEL</v>
      </c>
      <c r="M87" s="224">
        <f t="shared" si="36"/>
        <v>2.5428240740438923E-2</v>
      </c>
      <c r="N87" s="225">
        <f t="shared" si="34"/>
        <v>36.616666666232049</v>
      </c>
      <c r="O87" s="225"/>
      <c r="P87" s="225"/>
      <c r="Q87" s="228"/>
      <c r="R87" s="242"/>
      <c r="S87" s="249">
        <f t="shared" si="33"/>
        <v>1</v>
      </c>
      <c r="T87" s="242" t="str">
        <f t="shared" si="37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8"/>
        <v>https://d0f6bd738d7f1b3e5a7ca70fe4ff75f0.us-east-1.aws.found.io/app/kibana#/discover/Steve-Slow-Train-Analysis-(2080s-and-2083s)?_g=(refreshInterval:(display:Off,pause:!f,section:0,value:0),time:(from:'2017-12-19T11:39:03-0700',mode:absolute,to:'2017-12-19T14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247" t="str">
        <f>IF(AA87&lt;VLOOKUP(AG87,Variables!$AC$3:$AD$8,2,FALSE),"Y","N")</f>
        <v>N</v>
      </c>
      <c r="X87" s="247">
        <f t="shared" si="39"/>
        <v>1</v>
      </c>
      <c r="Y87" s="247">
        <f t="shared" si="40"/>
        <v>5.2400000000000002E-2</v>
      </c>
      <c r="Z87" s="247">
        <f t="shared" si="41"/>
        <v>23.322500000000002</v>
      </c>
      <c r="AA87" s="247">
        <f t="shared" si="42"/>
        <v>23.270100000000003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43"/>
        <v>173</v>
      </c>
      <c r="AE87" s="235" t="str">
        <f t="shared" si="44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87" s="234" t="str">
        <f t="shared" si="45"/>
        <v>"C:\Program Files (x86)\AstroGrep\AstroGrep.exe" /e /r /s /spath="%USERPROFILE%\AppData\Local\Temp\OnboardLogs" /stypes="app*4032*20171219*" /stext=" 20:.+((SYSTEM_STATE.+slice.+state.+changed )|(ment ac)|(multiple cpu faults)|(system.+state.+changed )|(\[timeout)|(PRM\|1\|D)|(kpr)|(kdp)|(train st.+moving)|(\|gpps)|(penalty))"</v>
      </c>
      <c r="AG87" s="244" t="str">
        <f t="shared" si="46"/>
        <v>EC</v>
      </c>
      <c r="AH87" s="236" t="str">
        <f t="shared" si="47"/>
        <v>"%USERPROFILE%\Documents\GitHub\eaglep3\Utilities\RefineRTDCRunTimes.py" --tripid 173-19 --locoid 4032 --swversion DE.1.0.9.0 --startMP 204:524 --initTime 2017-12-19T12:39:03 --startdatetime 2017-12-19T12:45:19 --delay 76 --endMP 204:233225 --enddatetime 2017-12-19T13:21:56 --enforcementcount 0 &gt;&gt;%USERPROFILE%\Documents\GitHub\eaglep3-reporting\EC\2017-12-19-refined-times.txt</v>
      </c>
      <c r="AI87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{"issue":{"subject":"","project_id":79,"tracker_id":40,"status_id":1,"priority_id":2,"assigned_to_id":338,"start_date":"2017-12-19","description":"","custom_fields":[{"id":1,"name":"Subdivision","value":"EC"},{"id":4,"name":"Milepost","value":"23.3225"},{"id":17,"name":"Train ID","value":"173-19"},{"id":16,"name":"Locomotive ID","value":"4032"},{"id":130,"name":"Impact","value":""},{"id":150,"name":"Time of Event (Mountain Time)","value":"13:21:56"},{"id":151,"name":"Denver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9"/>
        <v>start /low /b %USERPROFILE%\Documents\GitHub\eaglep3\Utilities\DownloadLogsFromS3.py --loco 4032 --day 2017-12-19</v>
      </c>
      <c r="AN87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1"/>
        <v>https://d0f6bd738d7f1b3e5a7ca70fe4ff75f0.us-east-1.aws.found.io/app/kibana#/discover/Steve-Slow-Train-Analysis-(2080s-and-2083s)?_g=(refreshInterval:(display:Off,pause:!f,section:0,value:0),time:(from:'2017-12-19T11:39:03-0700',mode:absolute,to:'2017-12-19T14:21:56-0700'))&amp;_a=(columns:!('Message%20ID',Summary),filters:!(),index:'emp_*',interval:auto,query:(query_string:(analyze_wildcard:!t,query:'%22rtdc.l.rtdc.4032%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808</v>
      </c>
      <c r="B88" s="225">
        <v>4031</v>
      </c>
      <c r="C88" s="227" t="s">
        <v>192</v>
      </c>
      <c r="D88" s="227" t="s">
        <v>942</v>
      </c>
      <c r="E88" s="226">
        <v>43088.563807870371</v>
      </c>
      <c r="F88" s="226">
        <v>43088.571157407408</v>
      </c>
      <c r="G88" s="225">
        <v>78</v>
      </c>
      <c r="H88" s="227" t="s">
        <v>644</v>
      </c>
      <c r="I88" s="226">
        <v>43088.596956018519</v>
      </c>
      <c r="J88" s="225">
        <v>0</v>
      </c>
      <c r="K88" s="237" t="str">
        <f t="shared" si="35"/>
        <v>4031/4032</v>
      </c>
      <c r="L88" s="245" t="str">
        <f>VLOOKUP(A88,'Trips&amp;Operators'!$C$1:$G$99911,5,FALSE)</f>
        <v>SMITH MICHAEL</v>
      </c>
      <c r="M88" s="224">
        <f t="shared" si="36"/>
        <v>2.5798611110076308E-2</v>
      </c>
      <c r="N88" s="225">
        <f t="shared" si="34"/>
        <v>37.149999998509884</v>
      </c>
      <c r="O88" s="225"/>
      <c r="P88" s="225"/>
      <c r="Q88" s="228"/>
      <c r="R88" s="242"/>
      <c r="S88" s="249">
        <f t="shared" si="33"/>
        <v>1</v>
      </c>
      <c r="T88" s="242" t="str">
        <f t="shared" si="37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8"/>
        <v>https://d0f6bd738d7f1b3e5a7ca70fe4ff75f0.us-east-1.aws.found.io/app/kibana#/discover/Steve-Slow-Train-Analysis-(2080s-and-2083s)?_g=(refreshInterval:(display:Off,pause:!f,section:0,value:0),time:(from:'2017-12-19T12:31:53-0700',mode:absolute,to:'2017-12-19T15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247" t="str">
        <f>IF(AA88&lt;VLOOKUP(AG88,Variables!$AC$3:$AD$8,2,FALSE),"Y","N")</f>
        <v>N</v>
      </c>
      <c r="X88" s="247">
        <f t="shared" si="39"/>
        <v>1</v>
      </c>
      <c r="Y88" s="247">
        <f t="shared" si="40"/>
        <v>23.2911</v>
      </c>
      <c r="Z88" s="247">
        <f t="shared" si="41"/>
        <v>2.5999999999999999E-2</v>
      </c>
      <c r="AA88" s="247">
        <f t="shared" si="42"/>
        <v>23.2651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43"/>
        <v>174</v>
      </c>
      <c r="AE88" s="235" t="str">
        <f t="shared" si="44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88" s="234" t="str">
        <f t="shared" si="45"/>
        <v>"C:\Program Files (x86)\AstroGrep\AstroGrep.exe" /e /r /s /spath="%USERPROFILE%\AppData\Local\Temp\OnboardLogs" /stypes="app*4031*20171219*" /stext=" 21:.+((SYSTEM_STATE.+slice.+state.+changed )|(ment ac)|(multiple cpu faults)|(system.+state.+changed )|(\[timeout)|(PRM\|1\|D)|(kpr)|(kdp)|(train st.+moving)|(\|gpps)|(penalty))"</v>
      </c>
      <c r="AG88" s="244" t="str">
        <f t="shared" si="46"/>
        <v>EC</v>
      </c>
      <c r="AH88" s="236" t="str">
        <f t="shared" si="47"/>
        <v>"%USERPROFILE%\Documents\GitHub\eaglep3\Utilities\RefineRTDCRunTimes.py" --tripid 174-19 --locoid 4031 --swversion DE.1.0.9.0 --startMP 204:232911 --initTime 2017-12-19T13:31:53 --startdatetime 2017-12-19T13:42:28 --delay 78 --endMP 204:260 --enddatetime 2017-12-19T14:19:37 --enforcementcount 0 &gt;&gt;%USERPROFILE%\Documents\GitHub\eaglep3-reporting\EC\2017-12-19-refined-times.txt</v>
      </c>
      <c r="AI88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{"issue":{"subject":"","project_id":79,"tracker_id":40,"status_id":1,"priority_id":2,"assigned_to_id":338,"start_date":"2017-12-19","description":"","custom_fields":[{"id":1,"name":"Subdivision","value":"EC"},{"id":4,"name":"Milepost","value":"0.026"},{"id":17,"name":"Train ID","value":"174-19"},{"id":16,"name":"Locomotive ID","value":"4031"},{"id":130,"name":"Impact","value":""},{"id":150,"name":"Time of Event (Mountain Time)","value":"14:19:37"},{"id":151,"name":"Denver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9"/>
        <v>start /low /b %USERPROFILE%\Documents\GitHub\eaglep3\Utilities\DownloadLogsFromS3.py --loco 4031 --day 2017-12-19</v>
      </c>
      <c r="AN88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1"/>
        <v>https://d0f6bd738d7f1b3e5a7ca70fe4ff75f0.us-east-1.aws.found.io/app/kibana#/discover/Steve-Slow-Train-Analysis-(2080s-and-2083s)?_g=(refreshInterval:(display:Off,pause:!f,section:0,value:0),time:(from:'2017-12-19T12:31:53-0700',mode:absolute,to:'2017-12-19T15:19:37-0700'))&amp;_a=(columns:!('Message%20ID',Summary),filters:!(),index:'emp_*',interval:auto,query:(query_string:(analyze_wildcard:!t,query:'%22rtdc.l.rtdc.4031%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801</v>
      </c>
      <c r="B89" s="225">
        <v>4018</v>
      </c>
      <c r="C89" s="227" t="s">
        <v>192</v>
      </c>
      <c r="D89" s="227" t="s">
        <v>514</v>
      </c>
      <c r="E89" s="226">
        <v>43088.537326388891</v>
      </c>
      <c r="F89" s="226">
        <v>43088.54210648148</v>
      </c>
      <c r="G89" s="225">
        <v>76</v>
      </c>
      <c r="H89" s="227" t="s">
        <v>969</v>
      </c>
      <c r="I89" s="226">
        <v>43088.566412037035</v>
      </c>
      <c r="J89" s="225">
        <v>0</v>
      </c>
      <c r="K89" s="237" t="str">
        <f t="shared" si="35"/>
        <v>4017/4018</v>
      </c>
      <c r="L89" s="245" t="str">
        <f>VLOOKUP(A89,'Trips&amp;Operators'!$C$1:$G$99911,5,FALSE)</f>
        <v>MOSES BRADLEY</v>
      </c>
      <c r="M89" s="224">
        <f t="shared" si="36"/>
        <v>2.4305555554747116E-2</v>
      </c>
      <c r="N89" s="225">
        <f t="shared" si="34"/>
        <v>34.999999998835847</v>
      </c>
      <c r="O89" s="225"/>
      <c r="P89" s="225"/>
      <c r="Q89" s="228"/>
      <c r="R89" s="242"/>
      <c r="S89" s="249">
        <f t="shared" si="33"/>
        <v>1</v>
      </c>
      <c r="T89" s="242" t="str">
        <f t="shared" si="37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8"/>
        <v>https://d0f6bd738d7f1b3e5a7ca70fe4ff75f0.us-east-1.aws.found.io/app/kibana#/discover/Steve-Slow-Train-Analysis-(2080s-and-2083s)?_g=(refreshInterval:(display:Off,pause:!f,section:0,value:0),time:(from:'2017-12-19T11:53:45-0700',mode:absolute,to:'2017-12-19T14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47" t="str">
        <f>IF(AA89&lt;VLOOKUP(AG89,Variables!$AC$3:$AD$8,2,FALSE),"Y","N")</f>
        <v>N</v>
      </c>
      <c r="X89" s="247">
        <f t="shared" si="39"/>
        <v>1</v>
      </c>
      <c r="Y89" s="247">
        <f t="shared" si="40"/>
        <v>5.0799999999999998E-2</v>
      </c>
      <c r="Z89" s="247">
        <f t="shared" si="41"/>
        <v>23.325299999999999</v>
      </c>
      <c r="AA89" s="247">
        <f t="shared" si="42"/>
        <v>23.2745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43"/>
        <v>175</v>
      </c>
      <c r="AE89" s="235" t="str">
        <f t="shared" si="44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89" s="234" t="str">
        <f t="shared" si="45"/>
        <v>"C:\Program Files (x86)\AstroGrep\AstroGrep.exe" /e /r /s /spath="%USERPROFILE%\AppData\Local\Temp\OnboardLogs" /stypes="app*4018*20171219*" /stext=" 20:.+((SYSTEM_STATE.+slice.+state.+changed )|(ment ac)|(multiple cpu faults)|(system.+state.+changed )|(\[timeout)|(PRM\|1\|D)|(kpr)|(kdp)|(train st.+moving)|(\|gpps)|(penalty))"</v>
      </c>
      <c r="AG89" s="244" t="str">
        <f t="shared" si="46"/>
        <v>EC</v>
      </c>
      <c r="AH89" s="236" t="str">
        <f t="shared" si="47"/>
        <v>"%USERPROFILE%\Documents\GitHub\eaglep3\Utilities\RefineRTDCRunTimes.py" --tripid 175-19 --locoid 4018 --swversion DE.1.0.9.0 --startMP 204:508 --initTime 2017-12-19T12:53:45 --startdatetime 2017-12-19T13:00:38 --delay 76 --endMP 204:233253 --enddatetime 2017-12-19T13:35:38 --enforcementcount 0 &gt;&gt;%USERPROFILE%\Documents\GitHub\eaglep3-reporting\EC\2017-12-19-refined-times.txt</v>
      </c>
      <c r="AI8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{"issue":{"subject":"","project_id":79,"tracker_id":40,"status_id":1,"priority_id":2,"assigned_to_id":338,"start_date":"2017-12-19","description":"","custom_fields":[{"id":1,"name":"Subdivision","value":"EC"},{"id":4,"name":"Milepost","value":"23.3253"},{"id":17,"name":"Train ID","value":"175-19"},{"id":16,"name":"Locomotive ID","value":"4018"},{"id":130,"name":"Impact","value":""},{"id":150,"name":"Time of Event (Mountain Time)","value":"13:35:38"},{"id":151,"name":"Denver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9"/>
        <v>start /low /b %USERPROFILE%\Documents\GitHub\eaglep3\Utilities\DownloadLogsFromS3.py --loco 4018 --day 2017-12-19</v>
      </c>
      <c r="AN89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1"/>
        <v>https://d0f6bd738d7f1b3e5a7ca70fe4ff75f0.us-east-1.aws.found.io/app/kibana#/discover/Steve-Slow-Train-Analysis-(2080s-and-2083s)?_g=(refreshInterval:(display:Off,pause:!f,section:0,value:0),time:(from:'2017-12-19T11:53:45-0700',mode:absolute,to:'2017-12-19T14:35:38-0700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810</v>
      </c>
      <c r="B90" s="225">
        <v>4017</v>
      </c>
      <c r="C90" s="227" t="s">
        <v>192</v>
      </c>
      <c r="D90" s="227" t="s">
        <v>643</v>
      </c>
      <c r="E90" s="226">
        <v>43088.576828703706</v>
      </c>
      <c r="F90" s="226">
        <v>43088.581562500003</v>
      </c>
      <c r="G90" s="225">
        <v>120</v>
      </c>
      <c r="H90" s="227" t="s">
        <v>467</v>
      </c>
      <c r="I90" s="226">
        <v>43088.607175925928</v>
      </c>
      <c r="J90" s="225">
        <v>0</v>
      </c>
      <c r="K90" s="237" t="str">
        <f t="shared" si="35"/>
        <v>4017/4018</v>
      </c>
      <c r="L90" s="245" t="str">
        <f>VLOOKUP(A90,'Trips&amp;Operators'!$C$1:$G$99911,5,FALSE)</f>
        <v>MOSES BRADLEY</v>
      </c>
      <c r="M90" s="224">
        <f t="shared" si="36"/>
        <v>2.5613425925257616E-2</v>
      </c>
      <c r="N90" s="225">
        <f t="shared" si="34"/>
        <v>36.883333332370967</v>
      </c>
      <c r="O90" s="225"/>
      <c r="P90" s="225"/>
      <c r="Q90" s="228"/>
      <c r="R90" s="242"/>
      <c r="S90" s="249">
        <f t="shared" si="33"/>
        <v>1</v>
      </c>
      <c r="T90" s="242" t="str">
        <f t="shared" si="37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8"/>
        <v>https://d0f6bd738d7f1b3e5a7ca70fe4ff75f0.us-east-1.aws.found.io/app/kibana#/discover/Steve-Slow-Train-Analysis-(2080s-and-2083s)?_g=(refreshInterval:(display:Off,pause:!f,section:0,value:0),time:(from:'2017-12-19T12:50:38-0700',mode:absolute,to:'2017-12-19T15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47" t="str">
        <f>IF(AA90&lt;VLOOKUP(AG90,Variables!$AC$3:$AD$8,2,FALSE),"Y","N")</f>
        <v>N</v>
      </c>
      <c r="X90" s="247">
        <f t="shared" si="39"/>
        <v>1</v>
      </c>
      <c r="Y90" s="247">
        <f t="shared" si="40"/>
        <v>23.292899999999999</v>
      </c>
      <c r="Z90" s="247">
        <f t="shared" si="41"/>
        <v>1.9599999999999999E-2</v>
      </c>
      <c r="AA90" s="247">
        <f t="shared" si="42"/>
        <v>23.273299999999999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43"/>
        <v>176</v>
      </c>
      <c r="AE90" s="235" t="str">
        <f t="shared" si="44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90" s="234" t="str">
        <f t="shared" si="45"/>
        <v>"C:\Program Files (x86)\AstroGrep\AstroGrep.exe" /e /r /s /spath="%USERPROFILE%\AppData\Local\Temp\OnboardLogs" /stypes="app*4017*20171219*" /stext=" 21:.+((SYSTEM_STATE.+slice.+state.+changed )|(ment ac)|(multiple cpu faults)|(system.+state.+changed )|(\[timeout)|(PRM\|1\|D)|(kpr)|(kdp)|(train st.+moving)|(\|gpps)|(penalty))"</v>
      </c>
      <c r="AG90" s="244" t="str">
        <f t="shared" si="46"/>
        <v>EC</v>
      </c>
      <c r="AH90" s="236" t="str">
        <f t="shared" si="47"/>
        <v>"%USERPROFILE%\Documents\GitHub\eaglep3\Utilities\RefineRTDCRunTimes.py" --tripid 176-19 --locoid 4017 --swversion DE.1.0.9.0 --startMP 204:232929 --initTime 2017-12-19T13:50:38 --startdatetime 2017-12-19T13:57:27 --delay 120 --endMP 204:196 --enddatetime 2017-12-19T14:34:20 --enforcementcount 0 &gt;&gt;%USERPROFILE%\Documents\GitHub\eaglep3-reporting\EC\2017-12-19-refined-times.txt</v>
      </c>
      <c r="AI9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{"issue":{"subject":"","project_id":79,"tracker_id":40,"status_id":1,"priority_id":2,"assigned_to_id":338,"start_date":"2017-12-19","description":"","custom_fields":[{"id":1,"name":"Subdivision","value":"EC"},{"id":4,"name":"Milepost","value":"0.0196"},{"id":17,"name":"Train ID","value":"176-19"},{"id":16,"name":"Locomotive ID","value":"4017"},{"id":130,"name":"Impact","value":""},{"id":150,"name":"Time of Event (Mountain Time)","value":"14:34:20"},{"id":151,"name":"Denver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9"/>
        <v>start /low /b %USERPROFILE%\Documents\GitHub\eaglep3\Utilities\DownloadLogsFromS3.py --loco 4017 --day 2017-12-19</v>
      </c>
      <c r="AN90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1"/>
        <v>https://d0f6bd738d7f1b3e5a7ca70fe4ff75f0.us-east-1.aws.found.io/app/kibana#/discover/Steve-Slow-Train-Analysis-(2080s-and-2083s)?_g=(refreshInterval:(display:Off,pause:!f,section:0,value:0),time:(from:'2017-12-19T12:50:38-0700',mode:absolute,to:'2017-12-19T15:34:20-0700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804</v>
      </c>
      <c r="B91" s="225">
        <v>4014</v>
      </c>
      <c r="C91" s="227" t="s">
        <v>192</v>
      </c>
      <c r="D91" s="227" t="s">
        <v>474</v>
      </c>
      <c r="E91" s="226">
        <v>43088.547615740739</v>
      </c>
      <c r="F91" s="226">
        <v>43088.552291666667</v>
      </c>
      <c r="G91" s="225">
        <v>55</v>
      </c>
      <c r="H91" s="227" t="s">
        <v>648</v>
      </c>
      <c r="I91" s="226">
        <v>43088.57708333333</v>
      </c>
      <c r="J91" s="225">
        <v>0</v>
      </c>
      <c r="K91" s="237" t="str">
        <f t="shared" si="35"/>
        <v>4013/4014</v>
      </c>
      <c r="L91" s="245" t="str">
        <f>VLOOKUP(A91,'Trips&amp;Operators'!$C$1:$G$99911,5,FALSE)</f>
        <v>STEWART MICHAEL</v>
      </c>
      <c r="M91" s="224">
        <f t="shared" si="36"/>
        <v>2.4791666663077194E-2</v>
      </c>
      <c r="N91" s="225">
        <f t="shared" si="34"/>
        <v>35.69999999483116</v>
      </c>
      <c r="O91" s="225"/>
      <c r="P91" s="225"/>
      <c r="Q91" s="228"/>
      <c r="R91" s="242"/>
      <c r="S91" s="249">
        <f t="shared" si="33"/>
        <v>1</v>
      </c>
      <c r="T91" s="242" t="str">
        <f t="shared" si="37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8"/>
        <v>https://d0f6bd738d7f1b3e5a7ca70fe4ff75f0.us-east-1.aws.found.io/app/kibana#/discover/Steve-Slow-Train-Analysis-(2080s-and-2083s)?_g=(refreshInterval:(display:Off,pause:!f,section:0,value:0),time:(from:'2017-12-19T12:08:34-0700',mode:absolute,to:'2017-12-19T14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1" s="247" t="str">
        <f>IF(AA91&lt;VLOOKUP(AG91,Variables!$AC$3:$AD$8,2,FALSE),"Y","N")</f>
        <v>N</v>
      </c>
      <c r="X91" s="247">
        <f t="shared" si="39"/>
        <v>1</v>
      </c>
      <c r="Y91" s="247">
        <f t="shared" si="40"/>
        <v>5.1499999999999997E-2</v>
      </c>
      <c r="Z91" s="247">
        <f t="shared" si="41"/>
        <v>23.3246</v>
      </c>
      <c r="AA91" s="247">
        <f t="shared" si="42"/>
        <v>23.273099999999999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43"/>
        <v>177</v>
      </c>
      <c r="AE91" s="235" t="str">
        <f t="shared" si="44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91" s="234" t="str">
        <f t="shared" si="45"/>
        <v>"C:\Program Files (x86)\AstroGrep\AstroGrep.exe" /e /r /s /spath="%USERPROFILE%\AppData\Local\Temp\OnboardLogs" /stypes="app*4014*20171219*" /stext=" 20:.+((SYSTEM_STATE.+slice.+state.+changed )|(ment ac)|(multiple cpu faults)|(system.+state.+changed )|(\[timeout)|(PRM\|1\|D)|(kpr)|(kdp)|(train st.+moving)|(\|gpps)|(penalty))"</v>
      </c>
      <c r="AG91" s="244" t="str">
        <f t="shared" si="46"/>
        <v>EC</v>
      </c>
      <c r="AH91" s="236" t="str">
        <f t="shared" si="47"/>
        <v>"%USERPROFILE%\Documents\GitHub\eaglep3\Utilities\RefineRTDCRunTimes.py" --tripid 177-19 --locoid 4014 --swversion DE.1.0.9.0 --startMP 204:515 --initTime 2017-12-19T13:08:34 --startdatetime 2017-12-19T13:15:18 --delay 55 --endMP 204:233246 --enddatetime 2017-12-19T13:51:00 --enforcementcount 0 &gt;&gt;%USERPROFILE%\Documents\GitHub\eaglep3-reporting\EC\2017-12-19-refined-times.txt</v>
      </c>
      <c r="AI9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{"issue":{"subject":"","project_id":79,"tracker_id":40,"status_id":1,"priority_id":2,"assigned_to_id":338,"start_date":"2017-12-19","description":"","custom_fields":[{"id":1,"name":"Subdivision","value":"EC"},{"id":4,"name":"Milepost","value":"23.3246"},{"id":17,"name":"Train ID","value":"177-19"},{"id":16,"name":"Locomotive ID","value":"4014"},{"id":130,"name":"Impact","value":""},{"id":150,"name":"Time of Event (Mountain Time)","value":"13:51:00"},{"id":151,"name":"Denver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9"/>
        <v>start /low /b %USERPROFILE%\Documents\GitHub\eaglep3\Utilities\DownloadLogsFromS3.py --loco 4014 --day 2017-12-19</v>
      </c>
      <c r="AN91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1"/>
        <v>https://d0f6bd738d7f1b3e5a7ca70fe4ff75f0.us-east-1.aws.found.io/app/kibana#/discover/Steve-Slow-Train-Analysis-(2080s-and-2083s)?_g=(refreshInterval:(display:Off,pause:!f,section:0,value:0),time:(from:'2017-12-19T12:08:34-0700',mode:absolute,to:'2017-12-19T14:51:00-0700'))&amp;_a=(columns:!('Message%20ID',Summary),filters:!(),index:'emp_*',interval:auto,query:(query_string:(analyze_wildcard:!t,query:'%22rtdc.l.rtdc.4014%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813</v>
      </c>
      <c r="B92" s="225">
        <v>4013</v>
      </c>
      <c r="C92" s="227" t="s">
        <v>192</v>
      </c>
      <c r="D92" s="227" t="s">
        <v>566</v>
      </c>
      <c r="E92" s="226">
        <v>43088.588726851849</v>
      </c>
      <c r="F92" s="226">
        <v>43088.591886574075</v>
      </c>
      <c r="G92" s="225">
        <v>57</v>
      </c>
      <c r="H92" s="227" t="s">
        <v>647</v>
      </c>
      <c r="I92" s="226">
        <v>43088.617997685185</v>
      </c>
      <c r="J92" s="225">
        <v>0</v>
      </c>
      <c r="K92" s="237" t="str">
        <f t="shared" si="35"/>
        <v>4013/4014</v>
      </c>
      <c r="L92" s="245" t="str">
        <f>VLOOKUP(A92,'Trips&amp;Operators'!$C$1:$G$99911,5,FALSE)</f>
        <v>STEWART MICHAEL</v>
      </c>
      <c r="M92" s="224">
        <f t="shared" si="36"/>
        <v>2.6111111110367347E-2</v>
      </c>
      <c r="N92" s="225">
        <f t="shared" si="34"/>
        <v>37.599999998928979</v>
      </c>
      <c r="O92" s="225"/>
      <c r="P92" s="225"/>
      <c r="Q92" s="228"/>
      <c r="R92" s="242"/>
      <c r="S92" s="249">
        <f t="shared" si="33"/>
        <v>1</v>
      </c>
      <c r="T92" s="242" t="str">
        <f t="shared" si="37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8"/>
        <v>https://d0f6bd738d7f1b3e5a7ca70fe4ff75f0.us-east-1.aws.found.io/app/kibana#/discover/Steve-Slow-Train-Analysis-(2080s-and-2083s)?_g=(refreshInterval:(display:Off,pause:!f,section:0,value:0),time:(from:'2017-12-19T13:07:46-0700',mode:absolute,to:'2017-12-19T15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2" s="247" t="str">
        <f>IF(AA92&lt;VLOOKUP(AG92,Variables!$AC$3:$AD$8,2,FALSE),"Y","N")</f>
        <v>N</v>
      </c>
      <c r="X92" s="247">
        <f t="shared" si="39"/>
        <v>1</v>
      </c>
      <c r="Y92" s="247">
        <f t="shared" si="40"/>
        <v>23.293600000000001</v>
      </c>
      <c r="Z92" s="247">
        <f t="shared" si="41"/>
        <v>2.12E-2</v>
      </c>
      <c r="AA92" s="247">
        <f t="shared" si="42"/>
        <v>23.272400000000001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43"/>
        <v>178</v>
      </c>
      <c r="AE92" s="235" t="str">
        <f t="shared" si="44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92" s="234" t="str">
        <f t="shared" si="45"/>
        <v>"C:\Program Files (x86)\AstroGrep\AstroGrep.exe" /e /r /s /spath="%USERPROFILE%\AppData\Local\Temp\OnboardLogs" /stypes="app*4013*20171219*" /stext=" 21:.+((SYSTEM_STATE.+slice.+state.+changed )|(ment ac)|(multiple cpu faults)|(system.+state.+changed )|(\[timeout)|(PRM\|1\|D)|(kpr)|(kdp)|(train st.+moving)|(\|gpps)|(penalty))"</v>
      </c>
      <c r="AG92" s="244" t="str">
        <f t="shared" si="46"/>
        <v>EC</v>
      </c>
      <c r="AH92" s="236" t="str">
        <f t="shared" si="47"/>
        <v>"%USERPROFILE%\Documents\GitHub\eaglep3\Utilities\RefineRTDCRunTimes.py" --tripid 178-19 --locoid 4013 --swversion DE.1.0.9.0 --startMP 204:232936 --initTime 2017-12-19T14:07:46 --startdatetime 2017-12-19T14:12:19 --delay 57 --endMP 204:212 --enddatetime 2017-12-19T14:49:55 --enforcementcount 0 &gt;&gt;%USERPROFILE%\Documents\GitHub\eaglep3-reporting\EC\2017-12-19-refined-times.txt</v>
      </c>
      <c r="AI9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{"issue":{"subject":"","project_id":79,"tracker_id":40,"status_id":1,"priority_id":2,"assigned_to_id":338,"start_date":"2017-12-19","description":"","custom_fields":[{"id":1,"name":"Subdivision","value":"EC"},{"id":4,"name":"Milepost","value":"0.0212"},{"id":17,"name":"Train ID","value":"178-19"},{"id":16,"name":"Locomotive ID","value":"4013"},{"id":130,"name":"Impact","value":""},{"id":150,"name":"Time of Event (Mountain Time)","value":"14:49:55"},{"id":151,"name":"Denver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9"/>
        <v>start /low /b %USERPROFILE%\Documents\GitHub\eaglep3\Utilities\DownloadLogsFromS3.py --loco 4013 --day 2017-12-19</v>
      </c>
      <c r="AN92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1"/>
        <v>https://d0f6bd738d7f1b3e5a7ca70fe4ff75f0.us-east-1.aws.found.io/app/kibana#/discover/Steve-Slow-Train-Analysis-(2080s-and-2083s)?_g=(refreshInterval:(display:Off,pause:!f,section:0,value:0),time:(from:'2017-12-19T13:07:46-0700',mode:absolute,to:'2017-12-19T15:49:55-0700'))&amp;_a=(columns:!('Message%20ID',Summary),filters:!(),index:'emp_*',interval:auto,query:(query_string:(analyze_wildcard:!t,query:'%22rtdc.l.rtdc.4013%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805</v>
      </c>
      <c r="B93" s="225">
        <v>4028</v>
      </c>
      <c r="C93" s="227" t="s">
        <v>192</v>
      </c>
      <c r="D93" s="227" t="s">
        <v>513</v>
      </c>
      <c r="E93" s="226">
        <v>43088.557905092595</v>
      </c>
      <c r="F93" s="226">
        <v>43088.562685185185</v>
      </c>
      <c r="G93" s="225">
        <v>96</v>
      </c>
      <c r="H93" s="227" t="s">
        <v>611</v>
      </c>
      <c r="I93" s="226">
        <v>43088.587453703702</v>
      </c>
      <c r="J93" s="225">
        <v>0</v>
      </c>
      <c r="K93" s="237" t="str">
        <f t="shared" si="35"/>
        <v>4027/4028</v>
      </c>
      <c r="L93" s="245" t="str">
        <f>VLOOKUP(A93,'Trips&amp;Operators'!$C$1:$G$99911,5,FALSE)</f>
        <v>HAMMOND JUSTYNN</v>
      </c>
      <c r="M93" s="224">
        <f t="shared" si="36"/>
        <v>2.4768518516793847E-2</v>
      </c>
      <c r="N93" s="225">
        <f t="shared" si="34"/>
        <v>35.66666666418314</v>
      </c>
      <c r="O93" s="225"/>
      <c r="P93" s="225"/>
      <c r="Q93" s="228"/>
      <c r="R93" s="242"/>
      <c r="S93" s="249">
        <f t="shared" si="33"/>
        <v>1</v>
      </c>
      <c r="T93" s="242" t="str">
        <f t="shared" si="37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8"/>
        <v>https://d0f6bd738d7f1b3e5a7ca70fe4ff75f0.us-east-1.aws.found.io/app/kibana#/discover/Steve-Slow-Train-Analysis-(2080s-and-2083s)?_g=(refreshInterval:(display:Off,pause:!f,section:0,value:0),time:(from:'2017-12-19T12:23:23-0700',mode:absolute,to:'2017-12-19T15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247" t="str">
        <f>IF(AA93&lt;VLOOKUP(AG93,Variables!$AC$3:$AD$8,2,FALSE),"Y","N")</f>
        <v>N</v>
      </c>
      <c r="X93" s="247">
        <f t="shared" si="39"/>
        <v>1</v>
      </c>
      <c r="Y93" s="247">
        <f t="shared" si="40"/>
        <v>5.11E-2</v>
      </c>
      <c r="Z93" s="247">
        <f t="shared" si="41"/>
        <v>23.3245</v>
      </c>
      <c r="AA93" s="247">
        <f t="shared" si="42"/>
        <v>23.273399999999999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43"/>
        <v>179</v>
      </c>
      <c r="AE93" s="235" t="str">
        <f t="shared" si="44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93" s="234" t="str">
        <f t="shared" si="45"/>
        <v>"C:\Program Files (x86)\AstroGrep\AstroGrep.exe" /e /r /s /spath="%USERPROFILE%\AppData\Local\Temp\OnboardLogs" /stypes="app*4028*20171219*" /stext=" 21:.+((SYSTEM_STATE.+slice.+state.+changed )|(ment ac)|(multiple cpu faults)|(system.+state.+changed )|(\[timeout)|(PRM\|1\|D)|(kpr)|(kdp)|(train st.+moving)|(\|gpps)|(penalty))"</v>
      </c>
      <c r="AG93" s="244" t="str">
        <f t="shared" si="46"/>
        <v>EC</v>
      </c>
      <c r="AH93" s="236" t="str">
        <f t="shared" si="47"/>
        <v>"%USERPROFILE%\Documents\GitHub\eaglep3\Utilities\RefineRTDCRunTimes.py" --tripid 179-19 --locoid 4028 --swversion DE.1.0.9.0 --startMP 204:511 --initTime 2017-12-19T13:23:23 --startdatetime 2017-12-19T13:30:16 --delay 96 --endMP 204:233245 --enddatetime 2017-12-19T14:05:56 --enforcementcount 0 &gt;&gt;%USERPROFILE%\Documents\GitHub\eaglep3-reporting\EC\2017-12-19-refined-times.txt</v>
      </c>
      <c r="AI9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{"issue":{"subject":"","project_id":79,"tracker_id":40,"status_id":1,"priority_id":2,"assigned_to_id":338,"start_date":"2017-12-19","description":"","custom_fields":[{"id":1,"name":"Subdivision","value":"EC"},{"id":4,"name":"Milepost","value":"23.3245"},{"id":17,"name":"Train ID","value":"179-19"},{"id":16,"name":"Locomotive ID","value":"4028"},{"id":130,"name":"Impact","value":""},{"id":150,"name":"Time of Event (Mountain Time)","value":"14:05:56"},{"id":151,"name":"Denver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9"/>
        <v>start /low /b %USERPROFILE%\Documents\GitHub\eaglep3\Utilities\DownloadLogsFromS3.py --loco 4028 --day 2017-12-19</v>
      </c>
      <c r="AN93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1"/>
        <v>https://d0f6bd738d7f1b3e5a7ca70fe4ff75f0.us-east-1.aws.found.io/app/kibana#/discover/Steve-Slow-Train-Analysis-(2080s-and-2083s)?_g=(refreshInterval:(display:Off,pause:!f,section:0,value:0),time:(from:'2017-12-19T12:23:23-0700',mode:absolute,to:'2017-12-19T15:05:56-0700'))&amp;_a=(columns:!('Message%20ID',Summary),filters:!(),index:'emp_*',interval:auto,query:(query_string:(analyze_wildcard:!t,query:'%22rtdc.l.rtdc.4028%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815</v>
      </c>
      <c r="B94" s="225">
        <v>4027</v>
      </c>
      <c r="C94" s="227" t="s">
        <v>192</v>
      </c>
      <c r="D94" s="227" t="s">
        <v>970</v>
      </c>
      <c r="E94" s="226">
        <v>43088.597534722219</v>
      </c>
      <c r="F94" s="226">
        <v>43088.602314814816</v>
      </c>
      <c r="G94" s="225">
        <v>159</v>
      </c>
      <c r="H94" s="227" t="s">
        <v>971</v>
      </c>
      <c r="I94" s="226">
        <v>43088.628159722219</v>
      </c>
      <c r="J94" s="225">
        <v>0</v>
      </c>
      <c r="K94" s="237" t="str">
        <f t="shared" si="35"/>
        <v>4027/4028</v>
      </c>
      <c r="L94" s="245" t="str">
        <f>VLOOKUP(A94,'Trips&amp;Operators'!$C$1:$G$99911,5,FALSE)</f>
        <v>HAMMOND JUSTYNN</v>
      </c>
      <c r="M94" s="224">
        <f t="shared" si="36"/>
        <v>2.5844907402643003E-2</v>
      </c>
      <c r="N94" s="225">
        <f t="shared" si="34"/>
        <v>37.216666659805924</v>
      </c>
      <c r="O94" s="225"/>
      <c r="P94" s="225"/>
      <c r="Q94" s="228"/>
      <c r="R94" s="242"/>
      <c r="S94" s="249">
        <f t="shared" si="33"/>
        <v>1</v>
      </c>
      <c r="T94" s="242" t="str">
        <f t="shared" si="37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8"/>
        <v>https://d0f6bd738d7f1b3e5a7ca70fe4ff75f0.us-east-1.aws.found.io/app/kibana#/discover/Steve-Slow-Train-Analysis-(2080s-and-2083s)?_g=(refreshInterval:(display:Off,pause:!f,section:0,value:0),time:(from:'2017-12-19T13:20:27-0700',mode:absolute,to:'2017-12-19T16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247" t="str">
        <f>IF(AA94&lt;VLOOKUP(AG94,Variables!$AC$3:$AD$8,2,FALSE),"Y","N")</f>
        <v>N</v>
      </c>
      <c r="X94" s="247">
        <f t="shared" si="39"/>
        <v>1</v>
      </c>
      <c r="Y94" s="247">
        <f t="shared" si="40"/>
        <v>23.292300000000001</v>
      </c>
      <c r="Z94" s="247">
        <f t="shared" si="41"/>
        <v>2.4500000000000001E-2</v>
      </c>
      <c r="AA94" s="247">
        <f t="shared" si="42"/>
        <v>23.267800000000001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43"/>
        <v>180</v>
      </c>
      <c r="AE94" s="235" t="str">
        <f t="shared" si="44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94" s="234" t="str">
        <f t="shared" si="45"/>
        <v>"C:\Program Files (x86)\AstroGrep\AstroGrep.exe" /e /r /s /spath="%USERPROFILE%\AppData\Local\Temp\OnboardLogs" /stypes="app*4027*20171219*" /stext=" 22:.+((SYSTEM_STATE.+slice.+state.+changed )|(ment ac)|(multiple cpu faults)|(system.+state.+changed )|(\[timeout)|(PRM\|1\|D)|(kpr)|(kdp)|(train st.+moving)|(\|gpps)|(penalty))"</v>
      </c>
      <c r="AG94" s="244" t="str">
        <f t="shared" si="46"/>
        <v>EC</v>
      </c>
      <c r="AH94" s="236" t="str">
        <f t="shared" si="47"/>
        <v>"%USERPROFILE%\Documents\GitHub\eaglep3\Utilities\RefineRTDCRunTimes.py" --tripid 180-19 --locoid 4027 --swversion DE.1.0.9.0 --startMP 204:232923 --initTime 2017-12-19T14:20:27 --startdatetime 2017-12-19T14:27:20 --delay 159 --endMP 204:245 --enddatetime 2017-12-19T15:04:33 --enforcementcount 0 &gt;&gt;%USERPROFILE%\Documents\GitHub\eaglep3-reporting\EC\2017-12-19-refined-times.txt</v>
      </c>
      <c r="AI94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{"issue":{"subject":"","project_id":79,"tracker_id":40,"status_id":1,"priority_id":2,"assigned_to_id":338,"start_date":"2017-12-19","description":"","custom_fields":[{"id":1,"name":"Subdivision","value":"EC"},{"id":4,"name":"Milepost","value":"0.0245"},{"id":17,"name":"Train ID","value":"180-19"},{"id":16,"name":"Locomotive ID","value":"4027"},{"id":130,"name":"Impact","value":""},{"id":150,"name":"Time of Event (Mountain Time)","value":"15:04:33"},{"id":151,"name":"Denver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9"/>
        <v>start /low /b %USERPROFILE%\Documents\GitHub\eaglep3\Utilities\DownloadLogsFromS3.py --loco 4027 --day 2017-12-19</v>
      </c>
      <c r="AN94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1"/>
        <v>https://d0f6bd738d7f1b3e5a7ca70fe4ff75f0.us-east-1.aws.found.io/app/kibana#/discover/Steve-Slow-Train-Analysis-(2080s-and-2083s)?_g=(refreshInterval:(display:Off,pause:!f,section:0,value:0),time:(from:'2017-12-19T13:20:27-0700',mode:absolute,to:'2017-12-19T16:04:33-0700'))&amp;_a=(columns:!('Message%20ID',Summary),filters:!(),index:'emp_*',interval:auto,query:(query_string:(analyze_wildcard:!t,query:'%22rtdc.l.rtdc.4027%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809</v>
      </c>
      <c r="B95" s="225">
        <v>4056</v>
      </c>
      <c r="C95" s="227" t="s">
        <v>192</v>
      </c>
      <c r="D95" s="227" t="s">
        <v>624</v>
      </c>
      <c r="E95" s="226">
        <v>43088.568414351852</v>
      </c>
      <c r="F95" s="226">
        <v>43088.573101851849</v>
      </c>
      <c r="G95" s="225">
        <v>68</v>
      </c>
      <c r="H95" s="227" t="s">
        <v>517</v>
      </c>
      <c r="I95" s="226">
        <v>43088.598229166666</v>
      </c>
      <c r="J95" s="225">
        <v>0</v>
      </c>
      <c r="K95" s="237" t="str">
        <f t="shared" si="35"/>
        <v>4055/4056</v>
      </c>
      <c r="L95" s="245" t="str">
        <f>VLOOKUP(A95,'Trips&amp;Operators'!$C$1:$G$99911,5,FALSE)</f>
        <v>LEVERE CRAIG</v>
      </c>
      <c r="M95" s="224">
        <f t="shared" si="36"/>
        <v>2.5127314816927537E-2</v>
      </c>
      <c r="N95" s="225">
        <f t="shared" si="34"/>
        <v>36.183333336375654</v>
      </c>
      <c r="O95" s="225"/>
      <c r="P95" s="225"/>
      <c r="Q95" s="228"/>
      <c r="R95" s="242"/>
      <c r="S95" s="249">
        <f t="shared" si="33"/>
        <v>1</v>
      </c>
      <c r="T95" s="242" t="str">
        <f t="shared" si="37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8"/>
        <v>https://d0f6bd738d7f1b3e5a7ca70fe4ff75f0.us-east-1.aws.found.io/app/kibana#/discover/Steve-Slow-Train-Analysis-(2080s-and-2083s)?_g=(refreshInterval:(display:Off,pause:!f,section:0,value:0),time:(from:'2017-12-19T12:38:31-0700',mode:absolute,to:'2017-12-19T15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47" t="str">
        <f>IF(AA95&lt;VLOOKUP(AG95,Variables!$AC$3:$AD$8,2,FALSE),"Y","N")</f>
        <v>N</v>
      </c>
      <c r="X95" s="247">
        <f t="shared" si="39"/>
        <v>1</v>
      </c>
      <c r="Y95" s="247">
        <f t="shared" si="40"/>
        <v>5.3900000000000003E-2</v>
      </c>
      <c r="Z95" s="247">
        <f t="shared" si="41"/>
        <v>23.325700000000001</v>
      </c>
      <c r="AA95" s="247">
        <f t="shared" si="42"/>
        <v>23.271800000000002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43"/>
        <v>181</v>
      </c>
      <c r="AE95" s="235" t="str">
        <f t="shared" si="44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95" s="234" t="str">
        <f t="shared" si="45"/>
        <v>"C:\Program Files (x86)\AstroGrep\AstroGrep.exe" /e /r /s /spath="%USERPROFILE%\AppData\Local\Temp\OnboardLogs" /stypes="app*4056*20171219*" /stext=" 21:.+((SYSTEM_STATE.+slice.+state.+changed )|(ment ac)|(multiple cpu faults)|(system.+state.+changed )|(\[timeout)|(PRM\|1\|D)|(kpr)|(kdp)|(train st.+moving)|(\|gpps)|(penalty))"</v>
      </c>
      <c r="AG95" s="244" t="str">
        <f t="shared" si="46"/>
        <v>EC</v>
      </c>
      <c r="AH95" s="236" t="str">
        <f t="shared" si="47"/>
        <v>"%USERPROFILE%\Documents\GitHub\eaglep3\Utilities\RefineRTDCRunTimes.py" --tripid 181-19 --locoid 4056 --swversion DE.1.0.9.0 --startMP 204:539 --initTime 2017-12-19T13:38:31 --startdatetime 2017-12-19T13:45:16 --delay 68 --endMP 204:233257 --enddatetime 2017-12-19T14:21:27 --enforcementcount 0 &gt;&gt;%USERPROFILE%\Documents\GitHub\eaglep3-reporting\EC\2017-12-19-refined-times.txt</v>
      </c>
      <c r="AI9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{"issue":{"subject":"","project_id":79,"tracker_id":40,"status_id":1,"priority_id":2,"assigned_to_id":338,"start_date":"2017-12-19","description":"","custom_fields":[{"id":1,"name":"Subdivision","value":"EC"},{"id":4,"name":"Milepost","value":"23.3257"},{"id":17,"name":"Train ID","value":"181-19"},{"id":16,"name":"Locomotive ID","value":"4056"},{"id":130,"name":"Impact","value":""},{"id":150,"name":"Time of Event (Mountain Time)","value":"14:21:27"},{"id":151,"name":"Denver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9"/>
        <v>start /low /b %USERPROFILE%\Documents\GitHub\eaglep3\Utilities\DownloadLogsFromS3.py --loco 4056 --day 2017-12-19</v>
      </c>
      <c r="AN95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1"/>
        <v>https://d0f6bd738d7f1b3e5a7ca70fe4ff75f0.us-east-1.aws.found.io/app/kibana#/discover/Steve-Slow-Train-Analysis-(2080s-and-2083s)?_g=(refreshInterval:(display:Off,pause:!f,section:0,value:0),time:(from:'2017-12-19T12:38:31-0700',mode:absolute,to:'2017-12-19T15:21:27-0700'))&amp;_a=(columns:!('Message%20ID',Summary),filters:!(),index:'emp_*',interval:auto,query:(query_string:(analyze_wildcard:!t,query:'%22rtdc.l.rtdc.4056%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818</v>
      </c>
      <c r="B96" s="225">
        <v>4055</v>
      </c>
      <c r="C96" s="227" t="s">
        <v>192</v>
      </c>
      <c r="D96" s="227" t="s">
        <v>646</v>
      </c>
      <c r="E96" s="226">
        <v>43088.608611111114</v>
      </c>
      <c r="F96" s="226">
        <v>43088.612754629627</v>
      </c>
      <c r="G96" s="225">
        <v>75</v>
      </c>
      <c r="H96" s="227" t="s">
        <v>972</v>
      </c>
      <c r="I96" s="226">
        <v>43088.639189814814</v>
      </c>
      <c r="J96" s="225">
        <v>0</v>
      </c>
      <c r="K96" s="237" t="str">
        <f t="shared" si="35"/>
        <v>4055/4056</v>
      </c>
      <c r="L96" s="245" t="str">
        <f>VLOOKUP(A96,'Trips&amp;Operators'!$C$1:$G$99911,5,FALSE)</f>
        <v>LEVERE CRAIG</v>
      </c>
      <c r="M96" s="224">
        <f t="shared" si="36"/>
        <v>2.6435185187438037E-2</v>
      </c>
      <c r="N96" s="225">
        <f t="shared" si="34"/>
        <v>38.066666669910774</v>
      </c>
      <c r="O96" s="225"/>
      <c r="P96" s="225"/>
      <c r="Q96" s="228"/>
      <c r="R96" s="242"/>
      <c r="S96" s="249">
        <f t="shared" si="33"/>
        <v>1</v>
      </c>
      <c r="T96" s="242" t="str">
        <f t="shared" si="37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8"/>
        <v>https://d0f6bd738d7f1b3e5a7ca70fe4ff75f0.us-east-1.aws.found.io/app/kibana#/discover/Steve-Slow-Train-Analysis-(2080s-and-2083s)?_g=(refreshInterval:(display:Off,pause:!f,section:0,value:0),time:(from:'2017-12-19T13:36:24-0700',mode:absolute,to:'2017-12-19T16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47" t="str">
        <f>IF(AA96&lt;VLOOKUP(AG96,Variables!$AC$3:$AD$8,2,FALSE),"Y","N")</f>
        <v>N</v>
      </c>
      <c r="X96" s="247">
        <f t="shared" si="39"/>
        <v>1</v>
      </c>
      <c r="Y96" s="247">
        <f t="shared" si="40"/>
        <v>23.2928</v>
      </c>
      <c r="Z96" s="247">
        <f t="shared" si="41"/>
        <v>2.4E-2</v>
      </c>
      <c r="AA96" s="247">
        <f t="shared" si="42"/>
        <v>23.268799999999999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43"/>
        <v>182</v>
      </c>
      <c r="AE96" s="235" t="str">
        <f t="shared" si="44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96" s="234" t="str">
        <f t="shared" si="45"/>
        <v>"C:\Program Files (x86)\AstroGrep\AstroGrep.exe" /e /r /s /spath="%USERPROFILE%\AppData\Local\Temp\OnboardLogs" /stypes="app*4055*20171219*" /stext=" 22:.+((SYSTEM_STATE.+slice.+state.+changed )|(ment ac)|(multiple cpu faults)|(system.+state.+changed )|(\[timeout)|(PRM\|1\|D)|(kpr)|(kdp)|(train st.+moving)|(\|gpps)|(penalty))"</v>
      </c>
      <c r="AG96" s="244" t="str">
        <f t="shared" si="46"/>
        <v>EC</v>
      </c>
      <c r="AH96" s="236" t="str">
        <f t="shared" si="47"/>
        <v>"%USERPROFILE%\Documents\GitHub\eaglep3\Utilities\RefineRTDCRunTimes.py" --tripid 182-19 --locoid 4055 --swversion DE.1.0.9.0 --startMP 204:232928 --initTime 2017-12-19T14:36:24 --startdatetime 2017-12-19T14:42:22 --delay 75 --endMP 204:240 --enddatetime 2017-12-19T15:20:26 --enforcementcount 0 &gt;&gt;%USERPROFILE%\Documents\GitHub\eaglep3-reporting\EC\2017-12-19-refined-times.txt</v>
      </c>
      <c r="AI9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{"issue":{"subject":"","project_id":79,"tracker_id":40,"status_id":1,"priority_id":2,"assigned_to_id":338,"start_date":"2017-12-19","description":"","custom_fields":[{"id":1,"name":"Subdivision","value":"EC"},{"id":4,"name":"Milepost","value":"0.024"},{"id":17,"name":"Train ID","value":"182-19"},{"id":16,"name":"Locomotive ID","value":"4055"},{"id":130,"name":"Impact","value":""},{"id":150,"name":"Time of Event (Mountain Time)","value":"15:20:26"},{"id":151,"name":"Denver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9"/>
        <v>start /low /b %USERPROFILE%\Documents\GitHub\eaglep3\Utilities\DownloadLogsFromS3.py --loco 4055 --day 2017-12-19</v>
      </c>
      <c r="AN96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1"/>
        <v>https://d0f6bd738d7f1b3e5a7ca70fe4ff75f0.us-east-1.aws.found.io/app/kibana#/discover/Steve-Slow-Train-Analysis-(2080s-and-2083s)?_g=(refreshInterval:(display:Off,pause:!f,section:0,value:0),time:(from:'2017-12-19T13:36:24-0700',mode:absolute,to:'2017-12-19T16:20:26-0700'))&amp;_a=(columns:!('Message%20ID',Summary),filters:!(),index:'emp_*',interval:auto,query:(query_string:(analyze_wildcard:!t,query:'%22rtdc.l.rtdc.4055%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811</v>
      </c>
      <c r="B97" s="225">
        <v>4064</v>
      </c>
      <c r="C97" s="227" t="s">
        <v>192</v>
      </c>
      <c r="D97" s="227" t="s">
        <v>539</v>
      </c>
      <c r="E97" s="226">
        <v>43088.579884259256</v>
      </c>
      <c r="F97" s="226">
        <v>43088.583912037036</v>
      </c>
      <c r="G97" s="225">
        <v>72</v>
      </c>
      <c r="H97" s="227" t="s">
        <v>973</v>
      </c>
      <c r="I97" s="226">
        <v>43088.608738425923</v>
      </c>
      <c r="J97" s="225">
        <v>0</v>
      </c>
      <c r="K97" s="237" t="str">
        <f t="shared" si="35"/>
        <v>4063/4064</v>
      </c>
      <c r="L97" s="245" t="str">
        <f>VLOOKUP(A97,'Trips&amp;Operators'!$C$1:$G$99911,5,FALSE)</f>
        <v>SAFIEF AEIMEN</v>
      </c>
      <c r="M97" s="224">
        <f t="shared" si="36"/>
        <v>2.4826388886140194E-2</v>
      </c>
      <c r="N97" s="225">
        <f t="shared" si="34"/>
        <v>35.749999996041879</v>
      </c>
      <c r="O97" s="225"/>
      <c r="P97" s="225"/>
      <c r="Q97" s="228"/>
      <c r="R97" s="242"/>
      <c r="S97" s="249">
        <f t="shared" ref="S97:S126" si="52">1/IF(AG97="EC",12,1)*SUM(U97:U97)</f>
        <v>1</v>
      </c>
      <c r="T97" s="242" t="str">
        <f t="shared" si="37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8"/>
        <v>https://d0f6bd738d7f1b3e5a7ca70fe4ff75f0.us-east-1.aws.found.io/app/kibana#/discover/Steve-Slow-Train-Analysis-(2080s-and-2083s)?_g=(refreshInterval:(display:Off,pause:!f,section:0,value:0),time:(from:'2017-12-19T12:55:02-0700',mode:absolute,to:'2017-12-19T15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47" t="str">
        <f>IF(AA97&lt;VLOOKUP(AG97,Variables!$AC$3:$AD$8,2,FALSE),"Y","N")</f>
        <v>N</v>
      </c>
      <c r="X97" s="247">
        <f t="shared" si="39"/>
        <v>1</v>
      </c>
      <c r="Y97" s="247">
        <f t="shared" si="40"/>
        <v>4.82E-2</v>
      </c>
      <c r="Z97" s="247">
        <f t="shared" si="41"/>
        <v>23.325900000000001</v>
      </c>
      <c r="AA97" s="247">
        <f t="shared" si="42"/>
        <v>23.277699999999999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43"/>
        <v>183</v>
      </c>
      <c r="AE97" s="235" t="str">
        <f t="shared" si="44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97" s="234" t="str">
        <f t="shared" si="45"/>
        <v>"C:\Program Files (x86)\AstroGrep\AstroGrep.exe" /e /r /s /spath="%USERPROFILE%\AppData\Local\Temp\OnboardLogs" /stypes="app*4064*20171219*" /stext=" 21:.+((SYSTEM_STATE.+slice.+state.+changed )|(ment ac)|(multiple cpu faults)|(system.+state.+changed )|(\[timeout)|(PRM\|1\|D)|(kpr)|(kdp)|(train st.+moving)|(\|gpps)|(penalty))"</v>
      </c>
      <c r="AG97" s="244" t="str">
        <f t="shared" si="46"/>
        <v>EC</v>
      </c>
      <c r="AH97" s="236" t="str">
        <f t="shared" si="47"/>
        <v>"%USERPROFILE%\Documents\GitHub\eaglep3\Utilities\RefineRTDCRunTimes.py" --tripid 183-19 --locoid 4064 --swversion DE.1.0.9.0 --startMP 204:482 --initTime 2017-12-19T13:55:02 --startdatetime 2017-12-19T14:00:50 --delay 72 --endMP 204:233259 --enddatetime 2017-12-19T14:36:35 --enforcementcount 0 &gt;&gt;%USERPROFILE%\Documents\GitHub\eaglep3-reporting\EC\2017-12-19-refined-times.txt</v>
      </c>
      <c r="AI97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{"issue":{"subject":"","project_id":79,"tracker_id":40,"status_id":1,"priority_id":2,"assigned_to_id":338,"start_date":"2017-12-19","description":"","custom_fields":[{"id":1,"name":"Subdivision","value":"EC"},{"id":4,"name":"Milepost","value":"23.3259"},{"id":17,"name":"Train ID","value":"183-19"},{"id":16,"name":"Locomotive ID","value":"4064"},{"id":130,"name":"Impact","value":""},{"id":150,"name":"Time of Event (Mountain Time)","value":"14:36:35"},{"id":151,"name":"Denver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9"/>
        <v>start /low /b %USERPROFILE%\Documents\GitHub\eaglep3\Utilities\DownloadLogsFromS3.py --loco 4064 --day 2017-12-19</v>
      </c>
      <c r="AN97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1"/>
        <v>https://d0f6bd738d7f1b3e5a7ca70fe4ff75f0.us-east-1.aws.found.io/app/kibana#/discover/Steve-Slow-Train-Analysis-(2080s-and-2083s)?_g=(refreshInterval:(display:Off,pause:!f,section:0,value:0),time:(from:'2017-12-19T12:55:02-0700',mode:absolute,to:'2017-12-19T15:36:35-0700'))&amp;_a=(columns:!('Message%20ID',Summary),filters:!(),index:'emp_*',interval:auto,query:(query_string:(analyze_wildcard:!t,query:'%22rtdc.l.rtdc.4064%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820</v>
      </c>
      <c r="B98" s="225">
        <v>4063</v>
      </c>
      <c r="C98" s="227" t="s">
        <v>192</v>
      </c>
      <c r="D98" s="227" t="s">
        <v>640</v>
      </c>
      <c r="E98" s="226">
        <v>43088.610914351855</v>
      </c>
      <c r="F98" s="226">
        <v>43088.623090277775</v>
      </c>
      <c r="G98" s="225">
        <v>61</v>
      </c>
      <c r="H98" s="227" t="s">
        <v>562</v>
      </c>
      <c r="I98" s="226">
        <v>43088.648854166669</v>
      </c>
      <c r="J98" s="225">
        <v>0</v>
      </c>
      <c r="K98" s="237" t="str">
        <f t="shared" si="35"/>
        <v>4063/4064</v>
      </c>
      <c r="L98" s="245" t="str">
        <f>VLOOKUP(A98,'Trips&amp;Operators'!$C$1:$G$99911,5,FALSE)</f>
        <v>SAFIEF AEIMEN</v>
      </c>
      <c r="M98" s="224">
        <f t="shared" si="36"/>
        <v>2.5763888894289266E-2</v>
      </c>
      <c r="N98" s="225">
        <f t="shared" ref="N98:N126" si="53">24*60*SUM($M98:$M98)</f>
        <v>37.100000007776543</v>
      </c>
      <c r="O98" s="225"/>
      <c r="P98" s="225"/>
      <c r="Q98" s="228"/>
      <c r="R98" s="242"/>
      <c r="S98" s="249">
        <f t="shared" si="52"/>
        <v>1</v>
      </c>
      <c r="T98" s="242" t="str">
        <f t="shared" si="37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8"/>
        <v>https://d0f6bd738d7f1b3e5a7ca70fe4ff75f0.us-east-1.aws.found.io/app/kibana#/discover/Steve-Slow-Train-Analysis-(2080s-and-2083s)?_g=(refreshInterval:(display:Off,pause:!f,section:0,value:0),time:(from:'2017-12-19T13:39:43-0700',mode:absolute,to:'2017-12-19T16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47" t="str">
        <f>IF(AA98&lt;VLOOKUP(AG98,Variables!$AC$3:$AD$8,2,FALSE),"Y","N")</f>
        <v>N</v>
      </c>
      <c r="X98" s="247">
        <f t="shared" si="39"/>
        <v>1</v>
      </c>
      <c r="Y98" s="247">
        <f t="shared" si="40"/>
        <v>23.2944</v>
      </c>
      <c r="Z98" s="247">
        <f t="shared" si="41"/>
        <v>1.8100000000000002E-2</v>
      </c>
      <c r="AA98" s="247">
        <f t="shared" si="42"/>
        <v>23.276299999999999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43"/>
        <v>184</v>
      </c>
      <c r="AE98" s="235" t="str">
        <f t="shared" si="44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98" s="234" t="str">
        <f t="shared" si="45"/>
        <v>"C:\Program Files (x86)\AstroGrep\AstroGrep.exe" /e /r /s /spath="%USERPROFILE%\AppData\Local\Temp\OnboardLogs" /stypes="app*4063*20171219*" /stext=" 22:.+((SYSTEM_STATE.+slice.+state.+changed )|(ment ac)|(multiple cpu faults)|(system.+state.+changed )|(\[timeout)|(PRM\|1\|D)|(kpr)|(kdp)|(train st.+moving)|(\|gpps)|(penalty))"</v>
      </c>
      <c r="AG98" s="244" t="str">
        <f t="shared" si="46"/>
        <v>EC</v>
      </c>
      <c r="AH98" s="236" t="str">
        <f t="shared" si="47"/>
        <v>"%USERPROFILE%\Documents\GitHub\eaglep3\Utilities\RefineRTDCRunTimes.py" --tripid 184-19 --locoid 4063 --swversion DE.1.0.9.0 --startMP 204:232944 --initTime 2017-12-19T14:39:43 --startdatetime 2017-12-19T14:57:15 --delay 61 --endMP 204:181 --enddatetime 2017-12-19T15:34:21 --enforcementcount 0 &gt;&gt;%USERPROFILE%\Documents\GitHub\eaglep3-reporting\EC\2017-12-19-refined-times.txt</v>
      </c>
      <c r="AI98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{"issue":{"subject":"","project_id":79,"tracker_id":40,"status_id":1,"priority_id":2,"assigned_to_id":338,"start_date":"2017-12-19","description":"","custom_fields":[{"id":1,"name":"Subdivision","value":"EC"},{"id":4,"name":"Milepost","value":"0.0181"},{"id":17,"name":"Train ID","value":"184-19"},{"id":16,"name":"Locomotive ID","value":"4063"},{"id":130,"name":"Impact","value":""},{"id":150,"name":"Time of Event (Mountain Time)","value":"15:34:21"},{"id":151,"name":"Denver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9"/>
        <v>start /low /b %USERPROFILE%\Documents\GitHub\eaglep3\Utilities\DownloadLogsFromS3.py --loco 4063 --day 2017-12-19</v>
      </c>
      <c r="AN98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1"/>
        <v>https://d0f6bd738d7f1b3e5a7ca70fe4ff75f0.us-east-1.aws.found.io/app/kibana#/discover/Steve-Slow-Train-Analysis-(2080s-and-2083s)?_g=(refreshInterval:(display:Off,pause:!f,section:0,value:0),time:(from:'2017-12-19T13:39:43-0700',mode:absolute,to:'2017-12-19T16:34:21-0700'))&amp;_a=(columns:!('Message%20ID',Summary),filters:!(),index:'emp_*',interval:auto,query:(query_string:(analyze_wildcard:!t,query:'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814</v>
      </c>
      <c r="B99" s="225">
        <v>4040</v>
      </c>
      <c r="C99" s="227" t="s">
        <v>192</v>
      </c>
      <c r="D99" s="227" t="s">
        <v>502</v>
      </c>
      <c r="E99" s="226">
        <v>43088.591898148145</v>
      </c>
      <c r="F99" s="226">
        <v>43088.594085648147</v>
      </c>
      <c r="G99" s="225">
        <v>54</v>
      </c>
      <c r="H99" s="227" t="s">
        <v>939</v>
      </c>
      <c r="I99" s="226">
        <v>43088.619363425925</v>
      </c>
      <c r="J99" s="225">
        <v>0</v>
      </c>
      <c r="K99" s="237" t="str">
        <f t="shared" si="35"/>
        <v>4039/4040</v>
      </c>
      <c r="L99" s="245" t="str">
        <f>VLOOKUP(A99,'Trips&amp;Operators'!$C$1:$G$99911,5,FALSE)</f>
        <v>DAVIS MICHAEL</v>
      </c>
      <c r="M99" s="224">
        <f t="shared" si="36"/>
        <v>2.527777777868323E-2</v>
      </c>
      <c r="N99" s="225">
        <f t="shared" si="53"/>
        <v>36.400000001303852</v>
      </c>
      <c r="O99" s="225"/>
      <c r="P99" s="225"/>
      <c r="Q99" s="228"/>
      <c r="R99" s="242"/>
      <c r="S99" s="249">
        <f t="shared" si="52"/>
        <v>1</v>
      </c>
      <c r="T99" s="242" t="str">
        <f t="shared" si="37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8"/>
        <v>https://d0f6bd738d7f1b3e5a7ca70fe4ff75f0.us-east-1.aws.found.io/app/kibana#/discover/Steve-Slow-Train-Analysis-(2080s-and-2083s)?_g=(refreshInterval:(display:Off,pause:!f,section:0,value:0),time:(from:'2017-12-19T13:12:20-0700',mode:absolute,to:'2017-12-19T15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247" t="str">
        <f>IF(AA99&lt;VLOOKUP(AG99,Variables!$AC$3:$AD$8,2,FALSE),"Y","N")</f>
        <v>N</v>
      </c>
      <c r="X99" s="247">
        <f t="shared" si="39"/>
        <v>1</v>
      </c>
      <c r="Y99" s="247">
        <f t="shared" si="40"/>
        <v>5.1999999999999998E-2</v>
      </c>
      <c r="Z99" s="247">
        <f t="shared" si="41"/>
        <v>23.332100000000001</v>
      </c>
      <c r="AA99" s="247">
        <f t="shared" si="42"/>
        <v>23.280100000000001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43"/>
        <v>185</v>
      </c>
      <c r="AE99" s="235" t="str">
        <f t="shared" si="44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99" s="234" t="str">
        <f t="shared" si="45"/>
        <v>"C:\Program Files (x86)\AstroGrep\AstroGrep.exe" /e /r /s /spath="%USERPROFILE%\AppData\Local\Temp\OnboardLogs" /stypes="app*4040*20171219*" /stext=" 21:.+((SYSTEM_STATE.+slice.+state.+changed )|(ment ac)|(multiple cpu faults)|(system.+state.+changed )|(\[timeout)|(PRM\|1\|D)|(kpr)|(kdp)|(train st.+moving)|(\|gpps)|(penalty))"</v>
      </c>
      <c r="AG99" s="244" t="str">
        <f t="shared" si="46"/>
        <v>EC</v>
      </c>
      <c r="AH99" s="236" t="str">
        <f t="shared" si="47"/>
        <v>"%USERPROFILE%\Documents\GitHub\eaglep3\Utilities\RefineRTDCRunTimes.py" --tripid 185-19 --locoid 4040 --swversion DE.1.0.9.0 --startMP 204:520 --initTime 2017-12-19T14:12:20 --startdatetime 2017-12-19T14:15:29 --delay 54 --endMP 204:233321 --enddatetime 2017-12-19T14:51:53 --enforcementcount 0 &gt;&gt;%USERPROFILE%\Documents\GitHub\eaglep3-reporting\EC\2017-12-19-refined-times.txt</v>
      </c>
      <c r="AI9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{"issue":{"subject":"","project_id":79,"tracker_id":40,"status_id":1,"priority_id":2,"assigned_to_id":338,"start_date":"2017-12-19","description":"","custom_fields":[{"id":1,"name":"Subdivision","value":"EC"},{"id":4,"name":"Milepost","value":"23.3321"},{"id":17,"name":"Train ID","value":"185-19"},{"id":16,"name":"Locomotive ID","value":"4040"},{"id":130,"name":"Impact","value":""},{"id":150,"name":"Time of Event (Mountain Time)","value":"14:51:53"},{"id":151,"name":"Denver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9"/>
        <v>start /low /b %USERPROFILE%\Documents\GitHub\eaglep3\Utilities\DownloadLogsFromS3.py --loco 4040 --day 2017-12-19</v>
      </c>
      <c r="AN99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1"/>
        <v>https://d0f6bd738d7f1b3e5a7ca70fe4ff75f0.us-east-1.aws.found.io/app/kibana#/discover/Steve-Slow-Train-Analysis-(2080s-and-2083s)?_g=(refreshInterval:(display:Off,pause:!f,section:0,value:0),time:(from:'2017-12-19T13:12:20-0700',mode:absolute,to:'2017-12-19T15:51:53-0700'))&amp;_a=(columns:!('Message%20ID',Summary),filters:!(),index:'emp_*',interval:auto,query:(query_string:(analyze_wildcard:!t,query:'%22rtdc.l.rtdc.4040%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823</v>
      </c>
      <c r="B100" s="225">
        <v>4039</v>
      </c>
      <c r="C100" s="227" t="s">
        <v>192</v>
      </c>
      <c r="D100" s="227" t="s">
        <v>934</v>
      </c>
      <c r="E100" s="226">
        <v>43088.631585648145</v>
      </c>
      <c r="F100" s="226">
        <v>43088.633703703701</v>
      </c>
      <c r="G100" s="225">
        <v>59</v>
      </c>
      <c r="H100" s="227" t="s">
        <v>974</v>
      </c>
      <c r="I100" s="226">
        <v>43088.662048611113</v>
      </c>
      <c r="J100" s="225">
        <v>0</v>
      </c>
      <c r="K100" s="237" t="str">
        <f t="shared" si="35"/>
        <v>4039/4040</v>
      </c>
      <c r="L100" s="245" t="str">
        <f>VLOOKUP(A100,'Trips&amp;Operators'!$C$1:$G$99911,5,FALSE)</f>
        <v>DAVIS MICHAEL</v>
      </c>
      <c r="M100" s="224">
        <f t="shared" si="36"/>
        <v>2.8344907412247267E-2</v>
      </c>
      <c r="N100" s="225">
        <f t="shared" si="53"/>
        <v>40.816666673636064</v>
      </c>
      <c r="O100" s="225"/>
      <c r="P100" s="225"/>
      <c r="Q100" s="228"/>
      <c r="R100" s="242"/>
      <c r="S100" s="249">
        <f t="shared" si="52"/>
        <v>1</v>
      </c>
      <c r="T100" s="242" t="str">
        <f t="shared" si="37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8"/>
        <v>https://d0f6bd738d7f1b3e5a7ca70fe4ff75f0.us-east-1.aws.found.io/app/kibana#/discover/Steve-Slow-Train-Analysis-(2080s-and-2083s)?_g=(refreshInterval:(display:Off,pause:!f,section:0,value:0),time:(from:'2017-12-19T14:09:29-0700',mode:absolute,to:'2017-12-19T16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247" t="str">
        <f>IF(AA100&lt;VLOOKUP(AG100,Variables!$AC$3:$AD$8,2,FALSE),"Y","N")</f>
        <v>N</v>
      </c>
      <c r="X100" s="247">
        <f t="shared" si="39"/>
        <v>1</v>
      </c>
      <c r="Y100" s="247">
        <f t="shared" si="40"/>
        <v>23.3002</v>
      </c>
      <c r="Z100" s="247">
        <f t="shared" si="41"/>
        <v>2.0899999999999998E-2</v>
      </c>
      <c r="AA100" s="247">
        <f t="shared" si="42"/>
        <v>23.279299999999999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43"/>
        <v>186</v>
      </c>
      <c r="AE100" s="235" t="str">
        <f t="shared" si="44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100" s="234" t="str">
        <f t="shared" si="45"/>
        <v>"C:\Program Files (x86)\AstroGrep\AstroGrep.exe" /e /r /s /spath="%USERPROFILE%\AppData\Local\Temp\OnboardLogs" /stypes="app*4039*20171219*" /stext=" 22:.+((SYSTEM_STATE.+slice.+state.+changed )|(ment ac)|(multiple cpu faults)|(system.+state.+changed )|(\[timeout)|(PRM\|1\|D)|(kpr)|(kdp)|(train st.+moving)|(\|gpps)|(penalty))"</v>
      </c>
      <c r="AG100" s="244" t="str">
        <f t="shared" si="46"/>
        <v>EC</v>
      </c>
      <c r="AH100" s="236" t="str">
        <f t="shared" si="47"/>
        <v>"%USERPROFILE%\Documents\GitHub\eaglep3\Utilities\RefineRTDCRunTimes.py" --tripid 186-19 --locoid 4039 --swversion DE.1.0.9.0 --startMP 204:233002 --initTime 2017-12-19T15:09:29 --startdatetime 2017-12-19T15:12:32 --delay 59 --endMP 204:209 --enddatetime 2017-12-19T15:53:21 --enforcementcount 0 &gt;&gt;%USERPROFILE%\Documents\GitHub\eaglep3-reporting\EC\2017-12-19-refined-times.txt</v>
      </c>
      <c r="AI10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{"issue":{"subject":"","project_id":79,"tracker_id":40,"status_id":1,"priority_id":2,"assigned_to_id":338,"start_date":"2017-12-19","description":"","custom_fields":[{"id":1,"name":"Subdivision","value":"EC"},{"id":4,"name":"Milepost","value":"0.0209"},{"id":17,"name":"Train ID","value":"186-19"},{"id":16,"name":"Locomotive ID","value":"4039"},{"id":130,"name":"Impact","value":""},{"id":150,"name":"Time of Event (Mountain Time)","value":"15:53:21"},{"id":151,"name":"Denver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9"/>
        <v>start /low /b %USERPROFILE%\Documents\GitHub\eaglep3\Utilities\DownloadLogsFromS3.py --loco 4039 --day 2017-12-19</v>
      </c>
      <c r="AN100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1"/>
        <v>https://d0f6bd738d7f1b3e5a7ca70fe4ff75f0.us-east-1.aws.found.io/app/kibana#/discover/Steve-Slow-Train-Analysis-(2080s-and-2083s)?_g=(refreshInterval:(display:Off,pause:!f,section:0,value:0),time:(from:'2017-12-19T14:09:29-0700',mode:absolute,to:'2017-12-19T16:53:21-0700'))&amp;_a=(columns:!('Message%20ID',Summary),filters:!(),index:'emp_*',interval:auto,query:(query_string:(analyze_wildcard:!t,query:'%22rtdc.l.rtdc.4039%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816</v>
      </c>
      <c r="B101" s="225">
        <v>4032</v>
      </c>
      <c r="C101" s="227" t="s">
        <v>192</v>
      </c>
      <c r="D101" s="227" t="s">
        <v>543</v>
      </c>
      <c r="E101" s="226">
        <v>43088.599548611113</v>
      </c>
      <c r="F101" s="226">
        <v>43088.604375000003</v>
      </c>
      <c r="G101" s="225">
        <v>56</v>
      </c>
      <c r="H101" s="227" t="s">
        <v>975</v>
      </c>
      <c r="I101" s="226">
        <v>43088.629432870373</v>
      </c>
      <c r="J101" s="225">
        <v>0</v>
      </c>
      <c r="K101" s="237" t="str">
        <f t="shared" si="35"/>
        <v>4031/4032</v>
      </c>
      <c r="L101" s="245" t="str">
        <f>VLOOKUP(A101,'Trips&amp;Operators'!$C$1:$G$99911,5,FALSE)</f>
        <v>SMITH MICHAEL</v>
      </c>
      <c r="M101" s="224">
        <f t="shared" si="36"/>
        <v>2.5057870370801538E-2</v>
      </c>
      <c r="N101" s="225">
        <f t="shared" si="53"/>
        <v>36.083333333954215</v>
      </c>
      <c r="O101" s="225"/>
      <c r="P101" s="225"/>
      <c r="Q101" s="228"/>
      <c r="R101" s="242"/>
      <c r="S101" s="249">
        <f t="shared" si="52"/>
        <v>1</v>
      </c>
      <c r="T101" s="242" t="str">
        <f t="shared" si="37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8"/>
        <v>https://d0f6bd738d7f1b3e5a7ca70fe4ff75f0.us-east-1.aws.found.io/app/kibana#/discover/Steve-Slow-Train-Analysis-(2080s-and-2083s)?_g=(refreshInterval:(display:Off,pause:!f,section:0,value:0),time:(from:'2017-12-19T13:23:21-0700',mode:absolute,to:'2017-12-19T16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247" t="str">
        <f>IF(AA101&lt;VLOOKUP(AG101,Variables!$AC$3:$AD$8,2,FALSE),"Y","N")</f>
        <v>N</v>
      </c>
      <c r="X101" s="247">
        <f t="shared" si="39"/>
        <v>1</v>
      </c>
      <c r="Y101" s="247">
        <f t="shared" si="40"/>
        <v>5.6399999999999999E-2</v>
      </c>
      <c r="Z101" s="247">
        <f t="shared" si="41"/>
        <v>23.3216</v>
      </c>
      <c r="AA101" s="247">
        <f t="shared" si="42"/>
        <v>23.2652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43"/>
        <v>187</v>
      </c>
      <c r="AE101" s="235" t="str">
        <f t="shared" si="44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101" s="234" t="str">
        <f t="shared" si="45"/>
        <v>"C:\Program Files (x86)\AstroGrep\AstroGrep.exe" /e /r /s /spath="%USERPROFILE%\AppData\Local\Temp\OnboardLogs" /stypes="app*4032*20171219*" /stext=" 22:.+((SYSTEM_STATE.+slice.+state.+changed )|(ment ac)|(multiple cpu faults)|(system.+state.+changed )|(\[timeout)|(PRM\|1\|D)|(kpr)|(kdp)|(train st.+moving)|(\|gpps)|(penalty))"</v>
      </c>
      <c r="AG101" s="244" t="str">
        <f t="shared" si="46"/>
        <v>EC</v>
      </c>
      <c r="AH101" s="236" t="str">
        <f t="shared" si="47"/>
        <v>"%USERPROFILE%\Documents\GitHub\eaglep3\Utilities\RefineRTDCRunTimes.py" --tripid 187-19 --locoid 4032 --swversion DE.1.0.9.0 --startMP 204:564 --initTime 2017-12-19T14:23:21 --startdatetime 2017-12-19T14:30:18 --delay 56 --endMP 204:233216 --enddatetime 2017-12-19T15:06:23 --enforcementcount 0 &gt;&gt;%USERPROFILE%\Documents\GitHub\eaglep3-reporting\EC\2017-12-19-refined-times.txt</v>
      </c>
      <c r="AI10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{"issue":{"subject":"","project_id":79,"tracker_id":40,"status_id":1,"priority_id":2,"assigned_to_id":338,"start_date":"2017-12-19","description":"","custom_fields":[{"id":1,"name":"Subdivision","value":"EC"},{"id":4,"name":"Milepost","value":"23.3216"},{"id":17,"name":"Train ID","value":"187-19"},{"id":16,"name":"Locomotive ID","value":"4032"},{"id":130,"name":"Impact","value":""},{"id":150,"name":"Time of Event (Mountain Time)","value":"15:06:23"},{"id":151,"name":"Denver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9"/>
        <v>start /low /b %USERPROFILE%\Documents\GitHub\eaglep3\Utilities\DownloadLogsFromS3.py --loco 4032 --day 2017-12-19</v>
      </c>
      <c r="AN101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1"/>
        <v>https://d0f6bd738d7f1b3e5a7ca70fe4ff75f0.us-east-1.aws.found.io/app/kibana#/discover/Steve-Slow-Train-Analysis-(2080s-and-2083s)?_g=(refreshInterval:(display:Off,pause:!f,section:0,value:0),time:(from:'2017-12-19T13:23:21-0700',mode:absolute,to:'2017-12-19T16:06:23-0700'))&amp;_a=(columns:!('Message%20ID',Summary),filters:!(),index:'emp_*',interval:auto,query:(query_string:(analyze_wildcard:!t,query:'%22rtdc.l.rtdc.4032%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229" t="s">
        <v>824</v>
      </c>
      <c r="B102" s="225">
        <v>4031</v>
      </c>
      <c r="C102" s="227" t="s">
        <v>192</v>
      </c>
      <c r="D102" s="227" t="s">
        <v>976</v>
      </c>
      <c r="E102" s="226">
        <v>43088.636076388888</v>
      </c>
      <c r="F102" s="226">
        <v>43088.644629629627</v>
      </c>
      <c r="G102" s="225">
        <v>55</v>
      </c>
      <c r="H102" s="227" t="s">
        <v>635</v>
      </c>
      <c r="I102" s="226">
        <v>43088.672789351855</v>
      </c>
      <c r="J102" s="225">
        <v>0</v>
      </c>
      <c r="K102" s="237" t="str">
        <f t="shared" si="35"/>
        <v>4031/4032</v>
      </c>
      <c r="L102" s="245" t="str">
        <f>VLOOKUP(A102,'Trips&amp;Operators'!$C$1:$G$99911,5,FALSE)</f>
        <v>SMITH MICHAEL</v>
      </c>
      <c r="M102" s="224">
        <f t="shared" si="36"/>
        <v>2.8159722227428574E-2</v>
      </c>
      <c r="N102" s="225">
        <f t="shared" si="53"/>
        <v>40.550000007497147</v>
      </c>
      <c r="O102" s="225"/>
      <c r="P102" s="225"/>
      <c r="Q102" s="228"/>
      <c r="R102" s="242"/>
      <c r="S102" s="249">
        <f t="shared" si="52"/>
        <v>1</v>
      </c>
      <c r="T102" s="242" t="str">
        <f t="shared" si="37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8"/>
        <v>https://d0f6bd738d7f1b3e5a7ca70fe4ff75f0.us-east-1.aws.found.io/app/kibana#/discover/Steve-Slow-Train-Analysis-(2080s-and-2083s)?_g=(refreshInterval:(display:Off,pause:!f,section:0,value:0),time:(from:'2017-12-19T14:15:57-0700',mode:absolute,to:'2017-12-19T17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247" t="str">
        <f>IF(AA102&lt;VLOOKUP(AG102,Variables!$AC$3:$AD$8,2,FALSE),"Y","N")</f>
        <v>N</v>
      </c>
      <c r="X102" s="247">
        <f t="shared" si="39"/>
        <v>1</v>
      </c>
      <c r="Y102" s="247">
        <f t="shared" si="40"/>
        <v>23.2898</v>
      </c>
      <c r="Z102" s="247">
        <f t="shared" si="41"/>
        <v>2.4899999999999999E-2</v>
      </c>
      <c r="AA102" s="247">
        <f t="shared" si="42"/>
        <v>23.264900000000001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43"/>
        <v>188</v>
      </c>
      <c r="AE102" s="235" t="str">
        <f t="shared" si="44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102" s="234" t="str">
        <f t="shared" si="45"/>
        <v>"C:\Program Files (x86)\AstroGrep\AstroGrep.exe" /e /r /s /spath="%USERPROFILE%\AppData\Local\Temp\OnboardLogs" /stypes="app*4031*20171219*" /stext=" 23:.+((SYSTEM_STATE.+slice.+state.+changed )|(ment ac)|(multiple cpu faults)|(system.+state.+changed )|(\[timeout)|(PRM\|1\|D)|(kpr)|(kdp)|(train st.+moving)|(\|gpps)|(penalty))"</v>
      </c>
      <c r="AG102" s="244" t="str">
        <f t="shared" si="46"/>
        <v>EC</v>
      </c>
      <c r="AH102" s="236" t="str">
        <f t="shared" si="47"/>
        <v>"%USERPROFILE%\Documents\GitHub\eaglep3\Utilities\RefineRTDCRunTimes.py" --tripid 188-19 --locoid 4031 --swversion DE.1.0.9.0 --startMP 204:232898 --initTime 2017-12-19T15:15:57 --startdatetime 2017-12-19T15:28:16 --delay 55 --endMP 204:249 --enddatetime 2017-12-19T16:08:49 --enforcementcount 0 &gt;&gt;%USERPROFILE%\Documents\GitHub\eaglep3-reporting\EC\2017-12-19-refined-times.txt</v>
      </c>
      <c r="AI10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{"issue":{"subject":"","project_id":79,"tracker_id":40,"status_id":1,"priority_id":2,"assigned_to_id":338,"start_date":"2017-12-19","description":"","custom_fields":[{"id":1,"name":"Subdivision","value":"EC"},{"id":4,"name":"Milepost","value":"0.0249"},{"id":17,"name":"Train ID","value":"188-19"},{"id":16,"name":"Locomotive ID","value":"4031"},{"id":130,"name":"Impact","value":""},{"id":150,"name":"Time of Event (Mountain Time)","value":"16:08:49"},{"id":151,"name":"Denver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9"/>
        <v>start /low /b %USERPROFILE%\Documents\GitHub\eaglep3\Utilities\DownloadLogsFromS3.py --loco 4031 --day 2017-12-19</v>
      </c>
      <c r="AN102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1"/>
        <v>https://d0f6bd738d7f1b3e5a7ca70fe4ff75f0.us-east-1.aws.found.io/app/kibana#/discover/Steve-Slow-Train-Analysis-(2080s-and-2083s)?_g=(refreshInterval:(display:Off,pause:!f,section:0,value:0),time:(from:'2017-12-19T14:15:57-0700',mode:absolute,to:'2017-12-19T17:08:49-0700'))&amp;_a=(columns:!('Message%20ID',Summary),filters:!(),index:'emp_*',interval:auto,query:(query_string:(analyze_wildcard:!t,query:'%22rtdc.l.rtdc.4031%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819</v>
      </c>
      <c r="B103" s="225">
        <v>4018</v>
      </c>
      <c r="C103" s="227" t="s">
        <v>192</v>
      </c>
      <c r="D103" s="227" t="s">
        <v>474</v>
      </c>
      <c r="E103" s="226">
        <v>43088.60900462963</v>
      </c>
      <c r="F103" s="226">
        <v>43088.614756944444</v>
      </c>
      <c r="G103" s="225">
        <v>73</v>
      </c>
      <c r="H103" s="227" t="s">
        <v>540</v>
      </c>
      <c r="I103" s="226">
        <v>43088.639386574076</v>
      </c>
      <c r="J103" s="225">
        <v>0</v>
      </c>
      <c r="K103" s="237" t="str">
        <f t="shared" si="35"/>
        <v>4017/4018</v>
      </c>
      <c r="L103" s="245" t="str">
        <f>VLOOKUP(A103,'Trips&amp;Operators'!$C$1:$G$99911,5,FALSE)</f>
        <v>ROBINSON KADDIBA</v>
      </c>
      <c r="M103" s="224">
        <f t="shared" si="36"/>
        <v>2.4629629631817807E-2</v>
      </c>
      <c r="N103" s="225">
        <f t="shared" si="53"/>
        <v>35.466666669817641</v>
      </c>
      <c r="O103" s="225"/>
      <c r="P103" s="225"/>
      <c r="Q103" s="228"/>
      <c r="R103" s="242"/>
      <c r="S103" s="249">
        <f t="shared" si="52"/>
        <v>1</v>
      </c>
      <c r="T103" s="242" t="str">
        <f t="shared" si="37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8"/>
        <v>https://d0f6bd738d7f1b3e5a7ca70fe4ff75f0.us-east-1.aws.found.io/app/kibana#/discover/Steve-Slow-Train-Analysis-(2080s-and-2083s)?_g=(refreshInterval:(display:Off,pause:!f,section:0,value:0),time:(from:'2017-12-19T13:36:58-0700',mode:absolute,to:'2017-12-19T16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47" t="str">
        <f>IF(AA103&lt;VLOOKUP(AG103,Variables!$AC$3:$AD$8,2,FALSE),"Y","N")</f>
        <v>N</v>
      </c>
      <c r="X103" s="247">
        <f t="shared" si="39"/>
        <v>1</v>
      </c>
      <c r="Y103" s="247">
        <f t="shared" si="40"/>
        <v>5.1499999999999997E-2</v>
      </c>
      <c r="Z103" s="247">
        <f t="shared" si="41"/>
        <v>23.322099999999999</v>
      </c>
      <c r="AA103" s="247">
        <f t="shared" si="42"/>
        <v>23.270599999999998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43"/>
        <v>189</v>
      </c>
      <c r="AE103" s="235" t="str">
        <f t="shared" si="44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03" s="234" t="str">
        <f t="shared" si="45"/>
        <v>"C:\Program Files (x86)\AstroGrep\AstroGrep.exe" /e /r /s /spath="%USERPROFILE%\AppData\Local\Temp\OnboardLogs" /stypes="app*4018*20171219*" /stext=" 22:.+((SYSTEM_STATE.+slice.+state.+changed )|(ment ac)|(multiple cpu faults)|(system.+state.+changed )|(\[timeout)|(PRM\|1\|D)|(kpr)|(kdp)|(train st.+moving)|(\|gpps)|(penalty))"</v>
      </c>
      <c r="AG103" s="244" t="str">
        <f t="shared" si="46"/>
        <v>EC</v>
      </c>
      <c r="AH103" s="236" t="str">
        <f t="shared" si="47"/>
        <v>"%USERPROFILE%\Documents\GitHub\eaglep3\Utilities\RefineRTDCRunTimes.py" --tripid 189-19 --locoid 4018 --swversion DE.1.0.9.0 --startMP 204:515 --initTime 2017-12-19T14:36:58 --startdatetime 2017-12-19T14:45:15 --delay 73 --endMP 204:233221 --enddatetime 2017-12-19T15:20:43 --enforcementcount 0 &gt;&gt;%USERPROFILE%\Documents\GitHub\eaglep3-reporting\EC\2017-12-19-refined-times.txt</v>
      </c>
      <c r="AI10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{"issue":{"subject":"","project_id":79,"tracker_id":40,"status_id":1,"priority_id":2,"assigned_to_id":338,"start_date":"2017-12-19","description":"","custom_fields":[{"id":1,"name":"Subdivision","value":"EC"},{"id":4,"name":"Milepost","value":"23.3221"},{"id":17,"name":"Train ID","value":"189-19"},{"id":16,"name":"Locomotive ID","value":"4018"},{"id":130,"name":"Impact","value":""},{"id":150,"name":"Time of Event (Mountain Time)","value":"15:20:43"},{"id":151,"name":"Denver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9"/>
        <v>start /low /b %USERPROFILE%\Documents\GitHub\eaglep3\Utilities\DownloadLogsFromS3.py --loco 4018 --day 2017-12-19</v>
      </c>
      <c r="AN103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1"/>
        <v>https://d0f6bd738d7f1b3e5a7ca70fe4ff75f0.us-east-1.aws.found.io/app/kibana#/discover/Steve-Slow-Train-Analysis-(2080s-and-2083s)?_g=(refreshInterval:(display:Off,pause:!f,section:0,value:0),time:(from:'2017-12-19T13:36:58-0700',mode:absolute,to:'2017-12-19T16:20:43-0700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826</v>
      </c>
      <c r="B104" s="225">
        <v>4017</v>
      </c>
      <c r="C104" s="227" t="s">
        <v>192</v>
      </c>
      <c r="D104" s="227" t="s">
        <v>977</v>
      </c>
      <c r="E104" s="226">
        <v>43088.640925925924</v>
      </c>
      <c r="F104" s="226">
        <v>43088.654351851852</v>
      </c>
      <c r="G104" s="225">
        <v>66</v>
      </c>
      <c r="H104" s="227" t="s">
        <v>629</v>
      </c>
      <c r="I104" s="226">
        <v>43088.68109953704</v>
      </c>
      <c r="J104" s="225">
        <v>0</v>
      </c>
      <c r="K104" s="237" t="str">
        <f t="shared" si="35"/>
        <v>4017/4018</v>
      </c>
      <c r="L104" s="245" t="str">
        <f>VLOOKUP(A104,'Trips&amp;Operators'!$C$1:$G$99911,5,FALSE)</f>
        <v>ROBINSON KADDIBA</v>
      </c>
      <c r="M104" s="224">
        <f t="shared" si="36"/>
        <v>2.6747685187729076E-2</v>
      </c>
      <c r="N104" s="225">
        <f t="shared" si="53"/>
        <v>38.516666670329869</v>
      </c>
      <c r="O104" s="225"/>
      <c r="P104" s="225"/>
      <c r="Q104" s="228"/>
      <c r="R104" s="242"/>
      <c r="S104" s="249">
        <f t="shared" si="52"/>
        <v>1</v>
      </c>
      <c r="T104" s="242" t="str">
        <f t="shared" si="37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8"/>
        <v>https://d0f6bd738d7f1b3e5a7ca70fe4ff75f0.us-east-1.aws.found.io/app/kibana#/discover/Steve-Slow-Train-Analysis-(2080s-and-2083s)?_g=(refreshInterval:(display:Off,pause:!f,section:0,value:0),time:(from:'2017-12-19T14:22:56-0700',mode:absolute,to:'2017-12-19T17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47" t="str">
        <f>IF(AA104&lt;VLOOKUP(AG104,Variables!$AC$3:$AD$8,2,FALSE),"Y","N")</f>
        <v>N</v>
      </c>
      <c r="X104" s="247">
        <f t="shared" si="39"/>
        <v>1</v>
      </c>
      <c r="Y104" s="247">
        <f t="shared" si="40"/>
        <v>23.291899999999998</v>
      </c>
      <c r="Z104" s="247">
        <f t="shared" si="41"/>
        <v>1.72E-2</v>
      </c>
      <c r="AA104" s="247">
        <f t="shared" si="42"/>
        <v>23.274699999999999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43"/>
        <v>190</v>
      </c>
      <c r="AE104" s="235" t="str">
        <f t="shared" si="44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04" s="234" t="str">
        <f t="shared" si="45"/>
        <v>"C:\Program Files (x86)\AstroGrep\AstroGrep.exe" /e /r /s /spath="%USERPROFILE%\AppData\Local\Temp\OnboardLogs" /stypes="app*4017*20171219*" /stext=" 23:.+((SYSTEM_STATE.+slice.+state.+changed )|(ment ac)|(multiple cpu faults)|(system.+state.+changed )|(\[timeout)|(PRM\|1\|D)|(kpr)|(kdp)|(train st.+moving)|(\|gpps)|(penalty))"</v>
      </c>
      <c r="AG104" s="244" t="str">
        <f t="shared" si="46"/>
        <v>EC</v>
      </c>
      <c r="AH104" s="236" t="str">
        <f t="shared" si="47"/>
        <v>"%USERPROFILE%\Documents\GitHub\eaglep3\Utilities\RefineRTDCRunTimes.py" --tripid 190-19 --locoid 4017 --swversion DE.1.0.9.0 --startMP 204:232919 --initTime 2017-12-19T15:22:56 --startdatetime 2017-12-19T15:42:16 --delay 66 --endMP 204:172 --enddatetime 2017-12-19T16:20:47 --enforcementcount 0 &gt;&gt;%USERPROFILE%\Documents\GitHub\eaglep3-reporting\EC\2017-12-19-refined-times.txt</v>
      </c>
      <c r="AI104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{"issue":{"subject":"","project_id":79,"tracker_id":40,"status_id":1,"priority_id":2,"assigned_to_id":338,"start_date":"2017-12-19","description":"","custom_fields":[{"id":1,"name":"Subdivision","value":"EC"},{"id":4,"name":"Milepost","value":"0.0172"},{"id":17,"name":"Train ID","value":"190-19"},{"id":16,"name":"Locomotive ID","value":"4017"},{"id":130,"name":"Impact","value":""},{"id":150,"name":"Time of Event (Mountain Time)","value":"16:20:47"},{"id":151,"name":"Denver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9"/>
        <v>start /low /b %USERPROFILE%\Documents\GitHub\eaglep3\Utilities\DownloadLogsFromS3.py --loco 4017 --day 2017-12-19</v>
      </c>
      <c r="AN104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1"/>
        <v>https://d0f6bd738d7f1b3e5a7ca70fe4ff75f0.us-east-1.aws.found.io/app/kibana#/discover/Steve-Slow-Train-Analysis-(2080s-and-2083s)?_g=(refreshInterval:(display:Off,pause:!f,section:0,value:0),time:(from:'2017-12-19T14:22:56-0700',mode:absolute,to:'2017-12-19T17:20:47-0700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687</v>
      </c>
      <c r="B105" s="225">
        <v>4014</v>
      </c>
      <c r="C105" s="227" t="s">
        <v>192</v>
      </c>
      <c r="D105" s="227" t="s">
        <v>932</v>
      </c>
      <c r="E105" s="226">
        <v>43088.621365740742</v>
      </c>
      <c r="F105" s="226">
        <v>43088.625254629631</v>
      </c>
      <c r="G105" s="225">
        <v>61</v>
      </c>
      <c r="H105" s="227" t="s">
        <v>620</v>
      </c>
      <c r="I105" s="226">
        <v>43088.653773148151</v>
      </c>
      <c r="J105" s="225">
        <v>0</v>
      </c>
      <c r="K105" s="237" t="str">
        <f t="shared" si="35"/>
        <v>4013/4014</v>
      </c>
      <c r="L105" s="245" t="str">
        <f>VLOOKUP(A105,'Trips&amp;Operators'!$C$1:$G$99911,5,FALSE)</f>
        <v>STEWART MICHAEL</v>
      </c>
      <c r="M105" s="224">
        <f t="shared" si="36"/>
        <v>2.8518518520286307E-2</v>
      </c>
      <c r="N105" s="225">
        <f t="shared" si="53"/>
        <v>41.066666669212282</v>
      </c>
      <c r="O105" s="225"/>
      <c r="P105" s="225"/>
      <c r="Q105" s="228"/>
      <c r="R105" s="242"/>
      <c r="S105" s="249">
        <f t="shared" si="52"/>
        <v>1</v>
      </c>
      <c r="T105" s="242" t="str">
        <f t="shared" si="37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8"/>
        <v>https://d0f6bd738d7f1b3e5a7ca70fe4ff75f0.us-east-1.aws.found.io/app/kibana#/discover/Steve-Slow-Train-Analysis-(2080s-and-2083s)?_g=(refreshInterval:(display:Off,pause:!f,section:0,value:0),time:(from:'2017-12-19T13:54:46-0700',mode:absolute,to:'2017-12-19T16:41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247" t="str">
        <f>IF(AA105&lt;VLOOKUP(AG105,Variables!$AC$3:$AD$8,2,FALSE),"Y","N")</f>
        <v>N</v>
      </c>
      <c r="X105" s="247">
        <f t="shared" si="39"/>
        <v>1</v>
      </c>
      <c r="Y105" s="247">
        <f t="shared" si="40"/>
        <v>5.0900000000000001E-2</v>
      </c>
      <c r="Z105" s="247">
        <f t="shared" si="41"/>
        <v>23.328199999999999</v>
      </c>
      <c r="AA105" s="247">
        <f t="shared" si="42"/>
        <v>23.2773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43"/>
        <v>191</v>
      </c>
      <c r="AE105" s="235" t="str">
        <f t="shared" si="44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105" s="234" t="str">
        <f t="shared" si="45"/>
        <v>"C:\Program Files (x86)\AstroGrep\AstroGrep.exe" /e /r /s /spath="%USERPROFILE%\AppData\Local\Temp\OnboardLogs" /stypes="app*4014*20171219*" /stext=" 22:.+((SYSTEM_STATE.+slice.+state.+changed )|(ment ac)|(multiple cpu faults)|(system.+state.+changed )|(\[timeout)|(PRM\|1\|D)|(kpr)|(kdp)|(train st.+moving)|(\|gpps)|(penalty))"</v>
      </c>
      <c r="AG105" s="244" t="str">
        <f t="shared" si="46"/>
        <v>EC</v>
      </c>
      <c r="AH105" s="236" t="str">
        <f t="shared" si="47"/>
        <v>"%USERPROFILE%\Documents\GitHub\eaglep3\Utilities\RefineRTDCRunTimes.py" --tripid 191-19 --locoid 4014 --swversion DE.1.0.9.0 --startMP 204:509 --initTime 2017-12-19T14:54:46 --startdatetime 2017-12-19T15:00:22 --delay 61 --endMP 204:233282 --enddatetime 2017-12-19T15:41:26 --enforcementcount 0 &gt;&gt;%USERPROFILE%\Documents\GitHub\eaglep3-reporting\EC\2017-12-19-refined-times.txt</v>
      </c>
      <c r="AI10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{"issue":{"subject":"","project_id":79,"tracker_id":40,"status_id":1,"priority_id":2,"assigned_to_id":338,"start_date":"2017-12-19","description":"","custom_fields":[{"id":1,"name":"Subdivision","value":"EC"},{"id":4,"name":"Milepost","value":"23.3282"},{"id":17,"name":"Train ID","value":"191-19"},{"id":16,"name":"Locomotive ID","value":"4014"},{"id":130,"name":"Impact","value":""},{"id":150,"name":"Time of Event (Mountain Time)","value":"15:41:26"},{"id":151,"name":"Denver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9"/>
        <v>start /low /b %USERPROFILE%\Documents\GitHub\eaglep3\Utilities\DownloadLogsFromS3.py --loco 4014 --day 2017-12-19</v>
      </c>
      <c r="AN105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22:41:26"},{"id":29,"name":"Sharepoint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1"/>
        <v>https://d0f6bd738d7f1b3e5a7ca70fe4ff75f0.us-east-1.aws.found.io/app/kibana#/discover/Steve-Slow-Train-Analysis-(2080s-and-2083s)?_g=(refreshInterval:(display:Off,pause:!f,section:0,value:0),time:(from:'2017-12-19T13:54:46-0700',mode:absolute,to:'2017-12-19T16:41:26-0700'))&amp;_a=(columns:!('Message%20ID',Summary),filters:!(),index:'emp_*',interval:auto,query:(query_string:(analyze_wildcard:!t,query:'%22rtdc.l.rtdc.4014%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830</v>
      </c>
      <c r="B106" s="225">
        <v>4013</v>
      </c>
      <c r="C106" s="227" t="s">
        <v>192</v>
      </c>
      <c r="D106" s="227" t="s">
        <v>632</v>
      </c>
      <c r="E106" s="226">
        <v>43088.66138888889</v>
      </c>
      <c r="F106" s="226">
        <v>43088.66505787037</v>
      </c>
      <c r="G106" s="225">
        <v>65</v>
      </c>
      <c r="H106" s="227" t="s">
        <v>503</v>
      </c>
      <c r="I106" s="226">
        <v>43088.691307870373</v>
      </c>
      <c r="J106" s="225">
        <v>0</v>
      </c>
      <c r="K106" s="237" t="str">
        <f t="shared" si="35"/>
        <v>4013/4014</v>
      </c>
      <c r="L106" s="245" t="str">
        <f>VLOOKUP(A106,'Trips&amp;Operators'!$C$1:$G$99911,5,FALSE)</f>
        <v>STEWART MICHAEL</v>
      </c>
      <c r="M106" s="224">
        <f t="shared" si="36"/>
        <v>2.6250000002619345E-2</v>
      </c>
      <c r="N106" s="225">
        <f t="shared" si="53"/>
        <v>37.800000003771856</v>
      </c>
      <c r="O106" s="225"/>
      <c r="P106" s="225"/>
      <c r="Q106" s="228"/>
      <c r="R106" s="242"/>
      <c r="S106" s="249">
        <f t="shared" si="52"/>
        <v>1</v>
      </c>
      <c r="T106" s="242" t="str">
        <f t="shared" si="37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8"/>
        <v>https://d0f6bd738d7f1b3e5a7ca70fe4ff75f0.us-east-1.aws.found.io/app/kibana#/discover/Steve-Slow-Train-Analysis-(2080s-and-2083s)?_g=(refreshInterval:(display:Off,pause:!f,section:0,value:0),time:(from:'2017-12-19T14:52:24-0700',mode:absolute,to:'2017-12-19T17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247" t="str">
        <f>IF(AA106&lt;VLOOKUP(AG106,Variables!$AC$3:$AD$8,2,FALSE),"Y","N")</f>
        <v>N</v>
      </c>
      <c r="X106" s="247">
        <f t="shared" si="39"/>
        <v>1</v>
      </c>
      <c r="Y106" s="247">
        <f t="shared" si="40"/>
        <v>23.293199999999999</v>
      </c>
      <c r="Z106" s="247">
        <f t="shared" si="41"/>
        <v>1.89E-2</v>
      </c>
      <c r="AA106" s="247">
        <f t="shared" si="42"/>
        <v>23.2743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43"/>
        <v>192</v>
      </c>
      <c r="AE106" s="235" t="str">
        <f t="shared" si="44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106" s="234" t="str">
        <f t="shared" si="45"/>
        <v>"C:\Program Files (x86)\AstroGrep\AstroGrep.exe" /e /r /s /spath="%USERPROFILE%\AppData\Local\Temp\OnboardLogs" /stypes="app*4013*20171219*" /stext=" 23:.+((SYSTEM_STATE.+slice.+state.+changed )|(ment ac)|(multiple cpu faults)|(system.+state.+changed )|(\[timeout)|(PRM\|1\|D)|(kpr)|(kdp)|(train st.+moving)|(\|gpps)|(penalty))"</v>
      </c>
      <c r="AG106" s="244" t="str">
        <f t="shared" si="46"/>
        <v>EC</v>
      </c>
      <c r="AH106" s="236" t="str">
        <f t="shared" si="47"/>
        <v>"%USERPROFILE%\Documents\GitHub\eaglep3\Utilities\RefineRTDCRunTimes.py" --tripid 192-19 --locoid 4013 --swversion DE.1.0.9.0 --startMP 204:232932 --initTime 2017-12-19T15:52:24 --startdatetime 2017-12-19T15:57:41 --delay 65 --endMP 204:189 --enddatetime 2017-12-19T16:35:29 --enforcementcount 0 &gt;&gt;%USERPROFILE%\Documents\GitHub\eaglep3-reporting\EC\2017-12-19-refined-times.txt</v>
      </c>
      <c r="AI10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{"issue":{"subject":"","project_id":79,"tracker_id":40,"status_id":1,"priority_id":2,"assigned_to_id":338,"start_date":"2017-12-19","description":"","custom_fields":[{"id":1,"name":"Subdivision","value":"EC"},{"id":4,"name":"Milepost","value":"0.0189"},{"id":17,"name":"Train ID","value":"192-19"},{"id":16,"name":"Locomotive ID","value":"4013"},{"id":130,"name":"Impact","value":""},{"id":150,"name":"Time of Event (Mountain Time)","value":"16:35:29"},{"id":151,"name":"Denver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9"/>
        <v>start /low /b %USERPROFILE%\Documents\GitHub\eaglep3\Utilities\DownloadLogsFromS3.py --loco 4013 --day 2017-12-19</v>
      </c>
      <c r="AN106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1"/>
        <v>https://d0f6bd738d7f1b3e5a7ca70fe4ff75f0.us-east-1.aws.found.io/app/kibana#/discover/Steve-Slow-Train-Analysis-(2080s-and-2083s)?_g=(refreshInterval:(display:Off,pause:!f,section:0,value:0),time:(from:'2017-12-19T14:52:24-0700',mode:absolute,to:'2017-12-19T17:35:29-0700'))&amp;_a=(columns:!('Message%20ID',Summary),filters:!(),index:'emp_*',interval:auto,query:(query_string:(analyze_wildcard:!t,query:'%22rtdc.l.rtdc.4013%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822</v>
      </c>
      <c r="B107" s="225">
        <v>4028</v>
      </c>
      <c r="C107" s="227" t="s">
        <v>192</v>
      </c>
      <c r="D107" s="227" t="s">
        <v>948</v>
      </c>
      <c r="E107" s="226">
        <v>43088.630706018521</v>
      </c>
      <c r="F107" s="226">
        <v>43088.635787037034</v>
      </c>
      <c r="G107" s="225">
        <v>58</v>
      </c>
      <c r="H107" s="227" t="s">
        <v>530</v>
      </c>
      <c r="I107" s="226">
        <v>43088.661087962966</v>
      </c>
      <c r="J107" s="225">
        <v>0</v>
      </c>
      <c r="K107" s="237" t="str">
        <f t="shared" si="35"/>
        <v>4027/4028</v>
      </c>
      <c r="L107" s="245" t="str">
        <f>VLOOKUP(A107,'Trips&amp;Operators'!$C$1:$G$99911,5,FALSE)</f>
        <v>HAMMOND JUSTYNN</v>
      </c>
      <c r="M107" s="224">
        <f t="shared" si="36"/>
        <v>2.5300925932242535E-2</v>
      </c>
      <c r="N107" s="225">
        <f t="shared" si="53"/>
        <v>36.43333334242925</v>
      </c>
      <c r="O107" s="225"/>
      <c r="P107" s="225"/>
      <c r="Q107" s="228"/>
      <c r="R107" s="242"/>
      <c r="S107" s="249">
        <f t="shared" si="52"/>
        <v>1</v>
      </c>
      <c r="T107" s="242" t="str">
        <f t="shared" si="37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8"/>
        <v>https://d0f6bd738d7f1b3e5a7ca70fe4ff75f0.us-east-1.aws.found.io/app/kibana#/discover/Steve-Slow-Train-Analysis-(2080s-and-2083s)?_g=(refreshInterval:(display:Off,pause:!f,section:0,value:0),time:(from:'2017-12-19T14:08:13-0700',mode:absolute,to:'2017-12-19T16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7" s="247" t="str">
        <f>IF(AA107&lt;VLOOKUP(AG107,Variables!$AC$3:$AD$8,2,FALSE),"Y","N")</f>
        <v>N</v>
      </c>
      <c r="X107" s="247">
        <f t="shared" si="39"/>
        <v>1</v>
      </c>
      <c r="Y107" s="247">
        <f t="shared" si="40"/>
        <v>5.4800000000000001E-2</v>
      </c>
      <c r="Z107" s="247">
        <f t="shared" si="41"/>
        <v>23.3261</v>
      </c>
      <c r="AA107" s="247">
        <f t="shared" si="42"/>
        <v>23.2713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43"/>
        <v>193</v>
      </c>
      <c r="AE107" s="235" t="str">
        <f t="shared" si="44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107" s="234" t="str">
        <f t="shared" si="45"/>
        <v>"C:\Program Files (x86)\AstroGrep\AstroGrep.exe" /e /r /s /spath="%USERPROFILE%\AppData\Local\Temp\OnboardLogs" /stypes="app*4028*20171219*" /stext=" 22:.+((SYSTEM_STATE.+slice.+state.+changed )|(ment ac)|(multiple cpu faults)|(system.+state.+changed )|(\[timeout)|(PRM\|1\|D)|(kpr)|(kdp)|(train st.+moving)|(\|gpps)|(penalty))"</v>
      </c>
      <c r="AG107" s="244" t="str">
        <f t="shared" si="46"/>
        <v>EC</v>
      </c>
      <c r="AH107" s="236" t="str">
        <f t="shared" si="47"/>
        <v>"%USERPROFILE%\Documents\GitHub\eaglep3\Utilities\RefineRTDCRunTimes.py" --tripid 193-19 --locoid 4028 --swversion DE.1.0.9.0 --startMP 204:548 --initTime 2017-12-19T15:08:13 --startdatetime 2017-12-19T15:15:32 --delay 58 --endMP 204:233261 --enddatetime 2017-12-19T15:51:58 --enforcementcount 0 &gt;&gt;%USERPROFILE%\Documents\GitHub\eaglep3-reporting\EC\2017-12-19-refined-times.txt</v>
      </c>
      <c r="AI107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{"issue":{"subject":"","project_id":79,"tracker_id":40,"status_id":1,"priority_id":2,"assigned_to_id":338,"start_date":"2017-12-19","description":"","custom_fields":[{"id":1,"name":"Subdivision","value":"EC"},{"id":4,"name":"Milepost","value":"23.3261"},{"id":17,"name":"Train ID","value":"193-19"},{"id":16,"name":"Locomotive ID","value":"4028"},{"id":130,"name":"Impact","value":""},{"id":150,"name":"Time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9"/>
        <v>start /low /b %USERPROFILE%\Documents\GitHub\eaglep3\Utilities\DownloadLogsFromS3.py --loco 4028 --day 2017-12-19</v>
      </c>
      <c r="AN107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1"/>
        <v>https://d0f6bd738d7f1b3e5a7ca70fe4ff75f0.us-east-1.aws.found.io/app/kibana#/discover/Steve-Slow-Train-Analysis-(2080s-and-2083s)?_g=(refreshInterval:(display:Off,pause:!f,section:0,value:0),time:(from:'2017-12-19T14:08:13-0700',mode:absolute,to:'2017-12-19T16:51:58-0700'))&amp;_a=(columns:!('Message%20ID',Summary),filters:!(),index:'emp_*',interval:auto,query:(query_string:(analyze_wildcard:!t,query:'%22rtdc.l.rtdc.4028%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834</v>
      </c>
      <c r="B108" s="225">
        <v>4027</v>
      </c>
      <c r="C108" s="227" t="s">
        <v>192</v>
      </c>
      <c r="D108" s="227" t="s">
        <v>580</v>
      </c>
      <c r="E108" s="226">
        <v>43088.668437499997</v>
      </c>
      <c r="F108" s="226">
        <v>43088.675254629627</v>
      </c>
      <c r="G108" s="225">
        <v>122</v>
      </c>
      <c r="H108" s="227" t="s">
        <v>489</v>
      </c>
      <c r="I108" s="226">
        <v>43088.702164351853</v>
      </c>
      <c r="J108" s="225">
        <v>0</v>
      </c>
      <c r="K108" s="237" t="str">
        <f t="shared" si="35"/>
        <v>4027/4028</v>
      </c>
      <c r="L108" s="245" t="str">
        <f>VLOOKUP(A108,'Trips&amp;Operators'!$C$1:$G$99911,5,FALSE)</f>
        <v>HAMMOND JUSTYNN</v>
      </c>
      <c r="M108" s="224">
        <f t="shared" si="36"/>
        <v>2.6909722226264421E-2</v>
      </c>
      <c r="N108" s="225">
        <f t="shared" si="53"/>
        <v>38.750000005820766</v>
      </c>
      <c r="O108" s="225"/>
      <c r="P108" s="225"/>
      <c r="Q108" s="228"/>
      <c r="R108" s="242"/>
      <c r="S108" s="249">
        <f t="shared" si="52"/>
        <v>1</v>
      </c>
      <c r="T108" s="242" t="str">
        <f t="shared" si="37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8"/>
        <v>https://d0f6bd738d7f1b3e5a7ca70fe4ff75f0.us-east-1.aws.found.io/app/kibana#/discover/Steve-Slow-Train-Analysis-(2080s-and-2083s)?_g=(refreshInterval:(display:Off,pause:!f,section:0,value:0),time:(from:'2017-12-19T15:02:33-0700',mode:absolute,to:'2017-12-19T17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247" t="str">
        <f>IF(AA108&lt;VLOOKUP(AG108,Variables!$AC$3:$AD$8,2,FALSE),"Y","N")</f>
        <v>N</v>
      </c>
      <c r="X108" s="247">
        <f t="shared" si="39"/>
        <v>1</v>
      </c>
      <c r="Y108" s="247">
        <f t="shared" si="40"/>
        <v>23.294699999999999</v>
      </c>
      <c r="Z108" s="247">
        <f t="shared" si="41"/>
        <v>2.2499999999999999E-2</v>
      </c>
      <c r="AA108" s="247">
        <f t="shared" si="42"/>
        <v>23.272199999999998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43"/>
        <v>194</v>
      </c>
      <c r="AE108" s="235" t="str">
        <f t="shared" si="44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108" s="234" t="str">
        <f t="shared" si="45"/>
        <v>"C:\Program Files (x86)\AstroGrep\AstroGrep.exe" /e /r /s /spath="%USERPROFILE%\AppData\Local\Temp\OnboardLogs" /stypes="app*4027*20171219*" /stext=" 23:.+((SYSTEM_STATE.+slice.+state.+changed )|(ment ac)|(multiple cpu faults)|(system.+state.+changed )|(\[timeout)|(PRM\|1\|D)|(kpr)|(kdp)|(train st.+moving)|(\|gpps)|(penalty))"</v>
      </c>
      <c r="AG108" s="244" t="str">
        <f t="shared" si="46"/>
        <v>EC</v>
      </c>
      <c r="AH108" s="236" t="str">
        <f t="shared" si="47"/>
        <v>"%USERPROFILE%\Documents\GitHub\eaglep3\Utilities\RefineRTDCRunTimes.py" --tripid 194-19 --locoid 4027 --swversion DE.1.0.9.0 --startMP 204:232947 --initTime 2017-12-19T16:02:33 --startdatetime 2017-12-19T16:12:22 --delay 122 --endMP 204:225 --enddatetime 2017-12-19T16:51:07 --enforcementcount 0 &gt;&gt;%USERPROFILE%\Documents\GitHub\eaglep3-reporting\EC\2017-12-19-refined-times.txt</v>
      </c>
      <c r="AI108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{"issue":{"subject":"","project_id":79,"tracker_id":40,"status_id":1,"priority_id":2,"assigned_to_id":338,"start_date":"2017-12-19","description":"","custom_fields":[{"id":1,"name":"Subdivision","value":"EC"},{"id":4,"name":"Milepost","value":"0.0225"},{"id":17,"name":"Train ID","value":"194-19"},{"id":16,"name":"Locomotive ID","value":"4027"},{"id":130,"name":"Impact","value":""},{"id":150,"name":"Time of Event (Mountain Time)","value":"16:51:07"},{"id":151,"name":"Denver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9"/>
        <v>start /low /b %USERPROFILE%\Documents\GitHub\eaglep3\Utilities\DownloadLogsFromS3.py --loco 4027 --day 2017-12-19</v>
      </c>
      <c r="AN108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1"/>
        <v>https://d0f6bd738d7f1b3e5a7ca70fe4ff75f0.us-east-1.aws.found.io/app/kibana#/discover/Steve-Slow-Train-Analysis-(2080s-and-2083s)?_g=(refreshInterval:(display:Off,pause:!f,section:0,value:0),time:(from:'2017-12-19T15:02:33-0700',mode:absolute,to:'2017-12-19T17:51:07-0700'))&amp;_a=(columns:!('Message%20ID',Summary),filters:!(),index:'emp_*',interval:auto,query:(query_string:(analyze_wildcard:!t,query:'%22rtdc.l.rtdc.4027%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688</v>
      </c>
      <c r="B109" s="225">
        <v>4056</v>
      </c>
      <c r="C109" s="227" t="s">
        <v>192</v>
      </c>
      <c r="D109" s="227" t="s">
        <v>978</v>
      </c>
      <c r="E109" s="226">
        <v>43088.64130787037</v>
      </c>
      <c r="F109" s="226">
        <v>43088.646134259259</v>
      </c>
      <c r="G109" s="225">
        <v>54</v>
      </c>
      <c r="H109" s="227" t="s">
        <v>517</v>
      </c>
      <c r="I109" s="226">
        <v>43088.672592592593</v>
      </c>
      <c r="J109" s="225">
        <v>0</v>
      </c>
      <c r="K109" s="237" t="str">
        <f t="shared" ref="K109:K126" si="54">IF(ISEVEN(B109),(B109-1)&amp;"/"&amp;B109,B109&amp;"/"&amp;(B109+1))</f>
        <v>4055/4056</v>
      </c>
      <c r="L109" s="245" t="str">
        <f>VLOOKUP(A109,'Trips&amp;Operators'!$C$1:$G$99911,5,FALSE)</f>
        <v>LEVERE CRAIG</v>
      </c>
      <c r="M109" s="224">
        <f t="shared" ref="M109:M126" si="55">I109-F109</f>
        <v>2.6458333333721384E-2</v>
      </c>
      <c r="N109" s="225">
        <f t="shared" si="53"/>
        <v>38.100000000558794</v>
      </c>
      <c r="O109" s="225"/>
      <c r="P109" s="225"/>
      <c r="Q109" s="228"/>
      <c r="R109" s="242"/>
      <c r="S109" s="249">
        <f t="shared" si="52"/>
        <v>1</v>
      </c>
      <c r="T109" s="242" t="str">
        <f t="shared" ref="T109:T126" si="56"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8"/>
        <v>https://d0f6bd738d7f1b3e5a7ca70fe4ff75f0.us-east-1.aws.found.io/app/kibana#/discover/Steve-Slow-Train-Analysis-(2080s-and-2083s)?_g=(refreshInterval:(display:Off,pause:!f,section:0,value:0),time:(from:'2017-12-19T14:23:29-0700',mode:absolute,to:'2017-12-19T17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247" t="str">
        <f>IF(AA109&lt;VLOOKUP(AG109,Variables!$AC$3:$AD$8,2,FALSE),"Y","N")</f>
        <v>N</v>
      </c>
      <c r="X109" s="247">
        <f t="shared" ref="X109:X124" si="57">VALUE(LEFT(AD109,4))-VALUE(LEFT(AD108,4))</f>
        <v>1</v>
      </c>
      <c r="Y109" s="247">
        <f t="shared" ref="Y109:Y126" si="58">RIGHT(D109,LEN(D109)-4)/10000</f>
        <v>5.5300000000000002E-2</v>
      </c>
      <c r="Z109" s="247">
        <f t="shared" ref="Z109:Z126" si="59">RIGHT(H109,LEN(H109)-4)/10000</f>
        <v>23.325700000000001</v>
      </c>
      <c r="AA109" s="247">
        <f t="shared" ref="AA109:AA126" si="60">ABS(Z109-Y109)</f>
        <v>23.270400000000002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ref="AD109:AD126" si="61">VALUE(LEFT(A109,LEN(A109)-3))</f>
        <v>195</v>
      </c>
      <c r="AE109" s="235" t="str">
        <f t="shared" si="44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09" s="234" t="str">
        <f t="shared" si="45"/>
        <v>"C:\Program Files (x86)\AstroGrep\AstroGrep.exe" /e /r /s /spath="%USERPROFILE%\AppData\Local\Temp\OnboardLogs" /stypes="app*4056*20171219*" /stext=" 23:.+((SYSTEM_STATE.+slice.+state.+changed )|(ment ac)|(multiple cpu faults)|(system.+state.+changed )|(\[timeout)|(PRM\|1\|D)|(kpr)|(kdp)|(train st.+moving)|(\|gpps)|(penalty))"</v>
      </c>
      <c r="AG109" s="244" t="str">
        <f t="shared" ref="AG109:AG126" si="62">DetSubdiv(A109)</f>
        <v>EC</v>
      </c>
      <c r="AH109" s="236" t="str">
        <f t="shared" si="47"/>
        <v>"%USERPROFILE%\Documents\GitHub\eaglep3\Utilities\RefineRTDCRunTimes.py" --tripid 195-19 --locoid 4056 --swversion DE.1.0.9.0 --startMP 204:553 --initTime 2017-12-19T15:23:29 --startdatetime 2017-12-19T15:30:26 --delay 54 --endMP 204:233257 --enddatetime 2017-12-19T16:08:32 --enforcementcount 0 &gt;&gt;%USERPROFILE%\Documents\GitHub\eaglep3-reporting\EC\2017-12-19-refined-times.txt</v>
      </c>
      <c r="AI10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{"issue":{"subject":"","project_id":79,"tracker_id":40,"status_id":1,"priority_id":2,"assigned_to_id":338,"start_date":"2017-12-19","description":"","custom_fields":[{"id":1,"name":"Subdivision","value":"EC"},{"id":4,"name":"Milepost","value":"23.3257"},{"id":17,"name":"Train ID","value":"195-19"},{"id":16,"name":"Locomotive ID","value":"4056"},{"id":130,"name":"Impact","value":""},{"id":150,"name":"Time of Event (Mountain Time)","value":"16:08:32"},{"id":151,"name":"Denver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9"/>
        <v>start /low /b %USERPROFILE%\Documents\GitHub\eaglep3\Utilities\DownloadLogsFromS3.py --loco 4056 --day 2017-12-19</v>
      </c>
      <c r="AN109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1"/>
        <v>https://d0f6bd738d7f1b3e5a7ca70fe4ff75f0.us-east-1.aws.found.io/app/kibana#/discover/Steve-Slow-Train-Analysis-(2080s-and-2083s)?_g=(refreshInterval:(display:Off,pause:!f,section:0,value:0),time:(from:'2017-12-19T14:23:29-0700',mode:absolute,to:'2017-12-19T17:08:32-0700'))&amp;_a=(columns:!('Message%20ID',Summary),filters:!(),index:'emp_*',interval:auto,query:(query_string:(analyze_wildcard:!t,query:'%22rtdc.l.rtdc.4056%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838</v>
      </c>
      <c r="B110" s="225">
        <v>4055</v>
      </c>
      <c r="C110" s="227" t="s">
        <v>192</v>
      </c>
      <c r="D110" s="227" t="s">
        <v>566</v>
      </c>
      <c r="E110" s="226">
        <v>43088.681574074071</v>
      </c>
      <c r="F110" s="226">
        <v>43088.685590277775</v>
      </c>
      <c r="G110" s="225">
        <v>57</v>
      </c>
      <c r="H110" s="227" t="s">
        <v>569</v>
      </c>
      <c r="I110" s="226">
        <v>43088.713634259257</v>
      </c>
      <c r="J110" s="225">
        <v>0</v>
      </c>
      <c r="K110" s="237" t="str">
        <f t="shared" si="54"/>
        <v>4055/4056</v>
      </c>
      <c r="L110" s="245" t="str">
        <f>VLOOKUP(A110,'Trips&amp;Operators'!$C$1:$G$99911,5,FALSE)</f>
        <v>LEVERE CRAIG</v>
      </c>
      <c r="M110" s="224">
        <f t="shared" si="55"/>
        <v>2.8043981481459923E-2</v>
      </c>
      <c r="N110" s="225">
        <f t="shared" si="53"/>
        <v>40.383333333302289</v>
      </c>
      <c r="O110" s="225"/>
      <c r="P110" s="225"/>
      <c r="Q110" s="228"/>
      <c r="R110" s="242"/>
      <c r="S110" s="249">
        <f t="shared" si="52"/>
        <v>1</v>
      </c>
      <c r="T110" s="242" t="str">
        <f t="shared" si="56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8"/>
        <v>https://d0f6bd738d7f1b3e5a7ca70fe4ff75f0.us-east-1.aws.found.io/app/kibana#/discover/Steve-Slow-Train-Analysis-(2080s-and-2083s)?_g=(refreshInterval:(display:Off,pause:!f,section:0,value:0),time:(from:'2017-12-19T15:21:28-0700',mode:absolute,to:'2017-12-19T18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247" t="str">
        <f>IF(AA110&lt;VLOOKUP(AG110,Variables!$AC$3:$AD$8,2,FALSE),"Y","N")</f>
        <v>N</v>
      </c>
      <c r="X110" s="247">
        <f t="shared" si="57"/>
        <v>1</v>
      </c>
      <c r="Y110" s="247">
        <f t="shared" si="58"/>
        <v>23.293600000000001</v>
      </c>
      <c r="Z110" s="247">
        <f t="shared" si="59"/>
        <v>2.4199999999999999E-2</v>
      </c>
      <c r="AA110" s="247">
        <f t="shared" si="60"/>
        <v>23.269400000000001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61"/>
        <v>196</v>
      </c>
      <c r="AE110" s="235" t="str">
        <f t="shared" si="44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10" s="234" t="str">
        <f t="shared" si="45"/>
        <v>"C:\Program Files (x86)\AstroGrep\AstroGrep.exe" /e /r /s /spath="%USERPROFILE%\AppData\Local\Temp\OnboardLogs" /stypes="app*4055*20171220*" /stext=" 00:.+((SYSTEM_STATE.+slice.+state.+changed )|(ment ac)|(multiple cpu faults)|(system.+state.+changed )|(\[timeout)|(PRM\|1\|D)|(kpr)|(kdp)|(train st.+moving)|(\|gpps)|(penalty))"</v>
      </c>
      <c r="AG110" s="244" t="str">
        <f t="shared" si="62"/>
        <v>EC</v>
      </c>
      <c r="AH110" s="236" t="str">
        <f t="shared" si="47"/>
        <v>"%USERPROFILE%\Documents\GitHub\eaglep3\Utilities\RefineRTDCRunTimes.py" --tripid 196-19 --locoid 4055 --swversion DE.1.0.9.0 --startMP 204:232936 --initTime 2017-12-19T16:21:28 --startdatetime 2017-12-19T16:27:15 --delay 57 --endMP 204:242 --enddatetime 2017-12-19T17:07:38 --enforcementcount 0 &gt;&gt;%USERPROFILE%\Documents\GitHub\eaglep3-reporting\EC\2017-12-19-refined-times.txt</v>
      </c>
      <c r="AI11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{"issue":{"subject":"","project_id":79,"tracker_id":40,"status_id":1,"priority_id":2,"assigned_to_id":338,"start_date":"2017-12-19","description":"","custom_fields":[{"id":1,"name":"Subdivision","value":"EC"},{"id":4,"name":"Milepost","value":"0.0242"},{"id":17,"name":"Train ID","value":"196-19"},{"id":16,"name":"Locomotive ID","value":"4055"},{"id":130,"name":"Impact","value":""},{"id":150,"name":"Time of Event (Mountain Time)","value":"17:07:38"},{"id":151,"name":"Denver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9"/>
        <v>start /low /b %USERPROFILE%\Documents\GitHub\eaglep3\Utilities\DownloadLogsFromS3.py --loco 4055 --day 2017-12-19</v>
      </c>
      <c r="AN110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1"/>
        <v>https://d0f6bd738d7f1b3e5a7ca70fe4ff75f0.us-east-1.aws.found.io/app/kibana#/discover/Steve-Slow-Train-Analysis-(2080s-and-2083s)?_g=(refreshInterval:(display:Off,pause:!f,section:0,value:0),time:(from:'2017-12-19T15:21:28-0700',mode:absolute,to:'2017-12-19T18:07:38-0700'))&amp;_a=(columns:!('Message%20ID',Summary),filters:!(),index:'emp_*',interval:auto,query:(query_string:(analyze_wildcard:!t,query:'%22rtdc.l.rtdc.4055%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829</v>
      </c>
      <c r="B111" s="225">
        <v>4064</v>
      </c>
      <c r="C111" s="227" t="s">
        <v>192</v>
      </c>
      <c r="D111" s="227" t="s">
        <v>560</v>
      </c>
      <c r="E111" s="226">
        <v>43088.651597222219</v>
      </c>
      <c r="F111" s="226">
        <v>43088.656469907408</v>
      </c>
      <c r="G111" s="225">
        <v>106</v>
      </c>
      <c r="H111" s="227" t="s">
        <v>979</v>
      </c>
      <c r="I111" s="226">
        <v>43088.681747685187</v>
      </c>
      <c r="J111" s="225">
        <v>0</v>
      </c>
      <c r="K111" s="237" t="str">
        <f t="shared" si="54"/>
        <v>4063/4064</v>
      </c>
      <c r="L111" s="245" t="str">
        <f>VLOOKUP(A111,'Trips&amp;Operators'!$C$1:$G$99911,5,FALSE)</f>
        <v>SAFIEF AEIMEN</v>
      </c>
      <c r="M111" s="224">
        <f t="shared" si="55"/>
        <v>2.527777777868323E-2</v>
      </c>
      <c r="N111" s="225">
        <f t="shared" si="53"/>
        <v>36.400000001303852</v>
      </c>
      <c r="O111" s="225"/>
      <c r="P111" s="225"/>
      <c r="Q111" s="228"/>
      <c r="R111" s="242"/>
      <c r="S111" s="249">
        <f t="shared" si="52"/>
        <v>1</v>
      </c>
      <c r="T111" s="242" t="str">
        <f t="shared" si="56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8"/>
        <v>https://d0f6bd738d7f1b3e5a7ca70fe4ff75f0.us-east-1.aws.found.io/app/kibana#/discover/Steve-Slow-Train-Analysis-(2080s-and-2083s)?_g=(refreshInterval:(display:Off,pause:!f,section:0,value:0),time:(from:'2017-12-19T14:38:18-0700',mode:absolute,to:'2017-12-19T17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47" t="str">
        <f>IF(AA111&lt;VLOOKUP(AG111,Variables!$AC$3:$AD$8,2,FALSE),"Y","N")</f>
        <v>N</v>
      </c>
      <c r="X111" s="247">
        <f t="shared" si="57"/>
        <v>1</v>
      </c>
      <c r="Y111" s="247">
        <f t="shared" si="58"/>
        <v>4.9700000000000001E-2</v>
      </c>
      <c r="Z111" s="247">
        <f t="shared" si="59"/>
        <v>23.3247</v>
      </c>
      <c r="AA111" s="247">
        <f t="shared" si="60"/>
        <v>23.274999999999999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61"/>
        <v>197</v>
      </c>
      <c r="AE111" s="235" t="str">
        <f t="shared" si="44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111" s="234" t="str">
        <f t="shared" si="45"/>
        <v>"C:\Program Files (x86)\AstroGrep\AstroGrep.exe" /e /r /s /spath="%USERPROFILE%\AppData\Local\Temp\OnboardLogs" /stypes="app*4064*20171219*" /stext=" 23:.+((SYSTEM_STATE.+slice.+state.+changed )|(ment ac)|(multiple cpu faults)|(system.+state.+changed )|(\[timeout)|(PRM\|1\|D)|(kpr)|(kdp)|(train st.+moving)|(\|gpps)|(penalty))"</v>
      </c>
      <c r="AG111" s="244" t="str">
        <f t="shared" si="62"/>
        <v>EC</v>
      </c>
      <c r="AH111" s="236" t="str">
        <f t="shared" si="47"/>
        <v>"%USERPROFILE%\Documents\GitHub\eaglep3\Utilities\RefineRTDCRunTimes.py" --tripid 197-19 --locoid 4064 --swversion DE.1.0.9.0 --startMP 204:497 --initTime 2017-12-19T15:38:18 --startdatetime 2017-12-19T15:45:19 --delay 106 --endMP 204:233247 --enddatetime 2017-12-19T16:21:43 --enforcementcount 0 &gt;&gt;%USERPROFILE%\Documents\GitHub\eaglep3-reporting\EC\2017-12-19-refined-times.txt</v>
      </c>
      <c r="AI11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{"issue":{"subject":"","project_id":79,"tracker_id":40,"status_id":1,"priority_id":2,"assigned_to_id":338,"start_date":"2017-12-19","description":"","custom_fields":[{"id":1,"name":"Subdivision","value":"EC"},{"id":4,"name":"Milepost","value":"23.3247"},{"id":17,"name":"Train ID","value":"197-19"},{"id":16,"name":"Locomotive ID","value":"4064"},{"id":130,"name":"Impact","value":""},{"id":150,"name":"Time of Event (Mountain Time)","value":"16:21:43"},{"id":151,"name":"Denver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9"/>
        <v>start /low /b %USERPROFILE%\Documents\GitHub\eaglep3\Utilities\DownloadLogsFromS3.py --loco 4064 --day 2017-12-19</v>
      </c>
      <c r="AN111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1"/>
        <v>https://d0f6bd738d7f1b3e5a7ca70fe4ff75f0.us-east-1.aws.found.io/app/kibana#/discover/Steve-Slow-Train-Analysis-(2080s-and-2083s)?_g=(refreshInterval:(display:Off,pause:!f,section:0,value:0),time:(from:'2017-12-19T14:38:18-0700',mode:absolute,to:'2017-12-19T17:21:43-0700'))&amp;_a=(columns:!('Message%20ID',Summary),filters:!(),index:'emp_*',interval:auto,query:(query_string:(analyze_wildcard:!t,query:'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841</v>
      </c>
      <c r="B112" s="225">
        <v>4063</v>
      </c>
      <c r="C112" s="227" t="s">
        <v>192</v>
      </c>
      <c r="D112" s="227" t="s">
        <v>980</v>
      </c>
      <c r="E112" s="226">
        <v>43088.684710648151</v>
      </c>
      <c r="F112" s="226">
        <v>43088.696261574078</v>
      </c>
      <c r="G112" s="225">
        <v>84</v>
      </c>
      <c r="H112" s="227" t="s">
        <v>974</v>
      </c>
      <c r="I112" s="226">
        <v>43088.722719907404</v>
      </c>
      <c r="J112" s="225">
        <v>0</v>
      </c>
      <c r="K112" s="237" t="str">
        <f t="shared" si="54"/>
        <v>4063/4064</v>
      </c>
      <c r="L112" s="245" t="str">
        <f>VLOOKUP(A112,'Trips&amp;Operators'!$C$1:$G$99911,5,FALSE)</f>
        <v>SAFIEF AEIMEN</v>
      </c>
      <c r="M112" s="224">
        <f t="shared" si="55"/>
        <v>2.6458333326445427E-2</v>
      </c>
      <c r="N112" s="225">
        <f t="shared" si="53"/>
        <v>38.099999990081415</v>
      </c>
      <c r="O112" s="225"/>
      <c r="P112" s="225"/>
      <c r="Q112" s="228"/>
      <c r="R112" s="242"/>
      <c r="S112" s="249">
        <f t="shared" si="52"/>
        <v>1</v>
      </c>
      <c r="T112" s="242" t="str">
        <f t="shared" si="56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8"/>
        <v>https://d0f6bd738d7f1b3e5a7ca70fe4ff75f0.us-east-1.aws.found.io/app/kibana#/discover/Steve-Slow-Train-Analysis-(2080s-and-2083s)?_g=(refreshInterval:(display:Off,pause:!f,section:0,value:0),time:(from:'2017-12-19T15:25:59-0700',mode:absolute,to:'2017-12-19T18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47" t="str">
        <f>IF(AA112&lt;VLOOKUP(AG112,Variables!$AC$3:$AD$8,2,FALSE),"Y","N")</f>
        <v>N</v>
      </c>
      <c r="X112" s="247">
        <f t="shared" si="57"/>
        <v>1</v>
      </c>
      <c r="Y112" s="247">
        <f t="shared" si="58"/>
        <v>23.292999999999999</v>
      </c>
      <c r="Z112" s="247">
        <f t="shared" si="59"/>
        <v>2.0899999999999998E-2</v>
      </c>
      <c r="AA112" s="247">
        <f t="shared" si="60"/>
        <v>23.272099999999998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61"/>
        <v>198</v>
      </c>
      <c r="AE112" s="235" t="str">
        <f t="shared" si="44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112" s="234" t="str">
        <f t="shared" si="45"/>
        <v>"C:\Program Files (x86)\AstroGrep\AstroGrep.exe" /e /r /s /spath="%USERPROFILE%\AppData\Local\Temp\OnboardLogs" /stypes="app*4063*20171220*" /stext=" 00:.+((SYSTEM_STATE.+slice.+state.+changed )|(ment ac)|(multiple cpu faults)|(system.+state.+changed )|(\[timeout)|(PRM\|1\|D)|(kpr)|(kdp)|(train st.+moving)|(\|gpps)|(penalty))"</v>
      </c>
      <c r="AG112" s="244" t="str">
        <f t="shared" si="62"/>
        <v>EC</v>
      </c>
      <c r="AH112" s="236" t="str">
        <f t="shared" si="47"/>
        <v>"%USERPROFILE%\Documents\GitHub\eaglep3\Utilities\RefineRTDCRunTimes.py" --tripid 198-19 --locoid 4063 --swversion DE.1.0.9.0 --startMP 204:232930 --initTime 2017-12-19T16:25:59 --startdatetime 2017-12-19T16:42:37 --delay 84 --endMP 204:209 --enddatetime 2017-12-19T17:20:43 --enforcementcount 0 &gt;&gt;%USERPROFILE%\Documents\GitHub\eaglep3-reporting\EC\2017-12-19-refined-times.txt</v>
      </c>
      <c r="AI11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{"issue":{"subject":"","project_id":79,"tracker_id":40,"status_id":1,"priority_id":2,"assigned_to_id":338,"start_date":"2017-12-19","description":"","custom_fields":[{"id":1,"name":"Subdivision","value":"EC"},{"id":4,"name":"Milepost","value":"0.0209"},{"id":17,"name":"Train ID","value":"198-19"},{"id":16,"name":"Locomotive ID","value":"4063"},{"id":130,"name":"Impact","value":""},{"id":150,"name":"Time of Event (Mountain Time)","value":"17:20:43"},{"id":151,"name":"Denver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9"/>
        <v>start /low /b %USERPROFILE%\Documents\GitHub\eaglep3\Utilities\DownloadLogsFromS3.py --loco 4063 --day 2017-12-19</v>
      </c>
      <c r="AN112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51"/>
        <v>https://d0f6bd738d7f1b3e5a7ca70fe4ff75f0.us-east-1.aws.found.io/app/kibana#/discover/Steve-Slow-Train-Analysis-(2080s-and-2083s)?_g=(refreshInterval:(display:Off,pause:!f,section:0,value:0),time:(from:'2017-12-19T15:25:59-0700',mode:absolute,to:'2017-12-19T18:20:43-0700'))&amp;_a=(columns:!('Message%20ID',Summary),filters:!(),index:'emp_*',interval:auto,query:(query_string:(analyze_wildcard:!t,query:'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832</v>
      </c>
      <c r="B113" s="225">
        <v>4040</v>
      </c>
      <c r="C113" s="227" t="s">
        <v>192</v>
      </c>
      <c r="D113" s="227" t="s">
        <v>474</v>
      </c>
      <c r="E113" s="226">
        <v>43088.665208333332</v>
      </c>
      <c r="F113" s="226">
        <v>43088.66715277778</v>
      </c>
      <c r="G113" s="225">
        <v>57</v>
      </c>
      <c r="H113" s="227" t="s">
        <v>612</v>
      </c>
      <c r="I113" s="226">
        <v>43088.69458333333</v>
      </c>
      <c r="J113" s="225">
        <v>0</v>
      </c>
      <c r="K113" s="237" t="str">
        <f t="shared" si="54"/>
        <v>4039/4040</v>
      </c>
      <c r="L113" s="245" t="str">
        <f>VLOOKUP(A113,'Trips&amp;Operators'!$C$1:$G$99911,5,FALSE)</f>
        <v>DAVIS MICHAEL</v>
      </c>
      <c r="M113" s="224">
        <f t="shared" si="55"/>
        <v>2.7430555550381541E-2</v>
      </c>
      <c r="N113" s="225">
        <f t="shared" si="53"/>
        <v>39.499999992549419</v>
      </c>
      <c r="O113" s="225"/>
      <c r="P113" s="225"/>
      <c r="Q113" s="228"/>
      <c r="R113" s="242"/>
      <c r="S113" s="249">
        <f t="shared" si="52"/>
        <v>1</v>
      </c>
      <c r="T113" s="242" t="str">
        <f t="shared" si="56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8"/>
        <v>https://d0f6bd738d7f1b3e5a7ca70fe4ff75f0.us-east-1.aws.found.io/app/kibana#/discover/Steve-Slow-Train-Analysis-(2080s-and-2083s)?_g=(refreshInterval:(display:Off,pause:!f,section:0,value:0),time:(from:'2017-12-19T14:57:54-0700',mode:absolute,to:'2017-12-19T17:40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247" t="str">
        <f>IF(AA113&lt;VLOOKUP(AG113,Variables!$AC$3:$AD$8,2,FALSE),"Y","N")</f>
        <v>N</v>
      </c>
      <c r="X113" s="247">
        <f t="shared" si="57"/>
        <v>1</v>
      </c>
      <c r="Y113" s="247">
        <f t="shared" si="58"/>
        <v>5.1499999999999997E-2</v>
      </c>
      <c r="Z113" s="247">
        <f t="shared" si="59"/>
        <v>23.331199999999999</v>
      </c>
      <c r="AA113" s="247">
        <f t="shared" si="60"/>
        <v>23.279699999999998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61"/>
        <v>199</v>
      </c>
      <c r="AE113" s="235" t="str">
        <f t="shared" si="44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113" s="234" t="str">
        <f t="shared" si="45"/>
        <v>"C:\Program Files (x86)\AstroGrep\AstroGrep.exe" /e /r /s /spath="%USERPROFILE%\AppData\Local\Temp\OnboardLogs" /stypes="app*4040*20171219*" /stext=" 23:.+((SYSTEM_STATE.+slice.+state.+changed )|(ment ac)|(multiple cpu faults)|(system.+state.+changed )|(\[timeout)|(PRM\|1\|D)|(kpr)|(kdp)|(train st.+moving)|(\|gpps)|(penalty))"</v>
      </c>
      <c r="AG113" s="244" t="str">
        <f t="shared" si="62"/>
        <v>EC</v>
      </c>
      <c r="AH113" s="236" t="str">
        <f t="shared" si="47"/>
        <v>"%USERPROFILE%\Documents\GitHub\eaglep3\Utilities\RefineRTDCRunTimes.py" --tripid 199-19 --locoid 4040 --swversion DE.1.0.9.0 --startMP 204:515 --initTime 2017-12-19T15:57:54 --startdatetime 2017-12-19T16:00:42 --delay 57 --endMP 204:233312 --enddatetime 2017-12-19T16:40:12 --enforcementcount 0 &gt;&gt;%USERPROFILE%\Documents\GitHub\eaglep3-reporting\EC\2017-12-19-refined-times.txt</v>
      </c>
      <c r="AI11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{"issue":{"subject":"","project_id":79,"tracker_id":40,"status_id":1,"priority_id":2,"assigned_to_id":338,"start_date":"2017-12-19","description":"","custom_fields":[{"id":1,"name":"Subdivision","value":"EC"},{"id":4,"name":"Milepost","value":"23.3312"},{"id":17,"name":"Train ID","value":"199-19"},{"id":16,"name":"Locomotive ID","value":"4040"},{"id":130,"name":"Impact","value":""},{"id":150,"name":"Time of Event (Mountain Time)","value":"16:40:12"},{"id":151,"name":"Denver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9"/>
        <v>start /low /b %USERPROFILE%\Documents\GitHub\eaglep3\Utilities\DownloadLogsFromS3.py --loco 4040 --day 2017-12-19</v>
      </c>
      <c r="AN113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51"/>
        <v>https://d0f6bd738d7f1b3e5a7ca70fe4ff75f0.us-east-1.aws.found.io/app/kibana#/discover/Steve-Slow-Train-Analysis-(2080s-and-2083s)?_g=(refreshInterval:(display:Off,pause:!f,section:0,value:0),time:(from:'2017-12-19T14:57:54-0700',mode:absolute,to:'2017-12-19T17:40:12-0700'))&amp;_a=(columns:!('Message%20ID',Summary),filters:!(),index:'emp_*',interval:auto,query:(query_string:(analyze_wildcard:!t,query:'%22rtdc.l.rtdc.4040%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25">
      <c r="A114" s="229" t="s">
        <v>847</v>
      </c>
      <c r="B114" s="225">
        <v>4039</v>
      </c>
      <c r="C114" s="227" t="s">
        <v>192</v>
      </c>
      <c r="D114" s="227" t="s">
        <v>552</v>
      </c>
      <c r="E114" s="226">
        <v>43088.704456018517</v>
      </c>
      <c r="F114" s="226">
        <v>43088.706550925926</v>
      </c>
      <c r="G114" s="225">
        <v>58</v>
      </c>
      <c r="H114" s="227" t="s">
        <v>981</v>
      </c>
      <c r="I114" s="226">
        <v>43088.733842592592</v>
      </c>
      <c r="J114" s="225">
        <v>0</v>
      </c>
      <c r="K114" s="237" t="str">
        <f t="shared" si="54"/>
        <v>4039/4040</v>
      </c>
      <c r="L114" s="245" t="str">
        <f>VLOOKUP(A114,'Trips&amp;Operators'!$C$1:$G$99911,5,FALSE)</f>
        <v>DAVIS MICHAEL</v>
      </c>
      <c r="M114" s="224">
        <f t="shared" si="55"/>
        <v>2.7291666665405501E-2</v>
      </c>
      <c r="N114" s="225">
        <f t="shared" si="53"/>
        <v>39.299999998183921</v>
      </c>
      <c r="O114" s="225"/>
      <c r="P114" s="225"/>
      <c r="Q114" s="228"/>
      <c r="R114" s="242" t="s">
        <v>1092</v>
      </c>
      <c r="S114" s="249">
        <f t="shared" si="52"/>
        <v>1</v>
      </c>
      <c r="T114" s="242" t="str">
        <f t="shared" si="56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8"/>
        <v>https://d0f6bd738d7f1b3e5a7ca70fe4ff75f0.us-east-1.aws.found.io/app/kibana#/discover/Steve-Slow-Train-Analysis-(2080s-and-2083s)?_g=(refreshInterval:(display:Off,pause:!f,section:0,value:0),time:(from:'2017-12-19T15:54:25-0700',mode:absolute,to:'2017-12-19T18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247" t="str">
        <f>IF(AA114&lt;VLOOKUP(AG114,Variables!$AC$3:$AD$8,2,FALSE),"Y","N")</f>
        <v>N</v>
      </c>
      <c r="X114" s="247">
        <f t="shared" si="57"/>
        <v>1</v>
      </c>
      <c r="Y114" s="247">
        <f t="shared" si="58"/>
        <v>23.2986</v>
      </c>
      <c r="Z114" s="247">
        <f t="shared" si="59"/>
        <v>0.2009</v>
      </c>
      <c r="AA114" s="247">
        <f t="shared" si="60"/>
        <v>23.0977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61"/>
        <v>200</v>
      </c>
      <c r="AE114" s="235" t="str">
        <f t="shared" si="44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114" s="234" t="str">
        <f t="shared" si="45"/>
        <v>"C:\Program Files (x86)\AstroGrep\AstroGrep.exe" /e /r /s /spath="%USERPROFILE%\AppData\Local\Temp\OnboardLogs" /stypes="app*4039*20171220*" /stext=" 00:.+((SYSTEM_STATE.+slice.+state.+changed )|(ment ac)|(multiple cpu faults)|(system.+state.+changed )|(\[timeout)|(PRM\|1\|D)|(kpr)|(kdp)|(train st.+moving)|(\|gpps)|(penalty))"</v>
      </c>
      <c r="AG114" s="244" t="str">
        <f t="shared" si="62"/>
        <v>EC</v>
      </c>
      <c r="AH114" s="236" t="str">
        <f t="shared" si="47"/>
        <v>"%USERPROFILE%\Documents\GitHub\eaglep3\Utilities\RefineRTDCRunTimes.py" --tripid 200-19 --locoid 4039 --swversion DE.1.0.9.0 --startMP 204:232986 --initTime 2017-12-19T16:54:25 --startdatetime 2017-12-19T16:57:26 --delay 58 --endMP 204:2009 --enddatetime 2017-12-19T17:36:44 --enforcementcount 0 &gt;&gt;%USERPROFILE%\Documents\GitHub\eaglep3-reporting\EC\2017-12-19-refined-times.txt</v>
      </c>
      <c r="AI114" s="238" t="str">
        <f t="shared" si="48"/>
        <v>echo {"issue":{"subject":"Chambers unhealthy banner due to train stop at 40th","project_id":79,"tracker_id":40,"status_id":1,"priority_id":2,"assigned_to_id":338,"start_date":"2017-12-19","description":"","custom_fields":[{"id":1,"name":"Subdivision","value":"EC"},{"id":4,"name":"Milepost","value":"0.2009"},{"id":17,"name":"Train ID","value":"200-19"},{"id":16,"name":"Locomotive ID","value":"4039"},{"id":130,"name":"Impact","value":""},{"id":150,"name":"Time of Event (Mountain Time)","value":"17:36:44"},{"id":151,"name":"Denver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49"/>
        <v>start /low /b %USERPROFILE%\Documents\GitHub\eaglep3\Utilities\DownloadLogsFromS3.py --loco 4039 --day 2017-12-19</v>
      </c>
      <c r="AN114" s="241" t="str">
        <f t="shared" si="50"/>
        <v>echo {"issue":{"subject":"Chambers unhealthy banner due to train stop at 40th","project_id":30,"tracker_id":4,"status_id":1,"priority_id":1,"assigned_to_id":10,"start_date":"2017-12-20","description":"","custom_fields":[{"id":30,"name":"Category","value":"Issue"},{"id":3,"name":"Functional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1"/>
        <v>https://d0f6bd738d7f1b3e5a7ca70fe4ff75f0.us-east-1.aws.found.io/app/kibana#/discover/Steve-Slow-Train-Analysis-(2080s-and-2083s)?_g=(refreshInterval:(display:Off,pause:!f,section:0,value:0),time:(from:'2017-12-19T15:54:25-0700',mode:absolute,to:'2017-12-19T18:36:44-0700'))&amp;_a=(columns:!('Message%20ID',Summary),filters:!(),index:'emp_*',interval:auto,query:(query_string:(analyze_wildcard:!t,query:'%22rtdc.l.rtdc.4039%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25">
      <c r="A115" s="229" t="s">
        <v>835</v>
      </c>
      <c r="B115" s="225">
        <v>4032</v>
      </c>
      <c r="C115" s="227" t="s">
        <v>192</v>
      </c>
      <c r="D115" s="227" t="s">
        <v>639</v>
      </c>
      <c r="E115" s="226">
        <v>43088.674421296295</v>
      </c>
      <c r="F115" s="226">
        <v>43088.677349537036</v>
      </c>
      <c r="G115" s="225">
        <v>65</v>
      </c>
      <c r="H115" s="227" t="s">
        <v>982</v>
      </c>
      <c r="I115" s="226">
        <v>43088.702453703707</v>
      </c>
      <c r="J115" s="225">
        <v>0</v>
      </c>
      <c r="K115" s="237" t="str">
        <f t="shared" si="54"/>
        <v>4031/4032</v>
      </c>
      <c r="L115" s="245" t="str">
        <f>VLOOKUP(A115,'Trips&amp;Operators'!$C$1:$G$99911,5,FALSE)</f>
        <v>SMITH MICHAEL</v>
      </c>
      <c r="M115" s="224">
        <f t="shared" si="55"/>
        <v>2.510416667064419E-2</v>
      </c>
      <c r="N115" s="225">
        <f t="shared" si="53"/>
        <v>36.150000005727634</v>
      </c>
      <c r="O115" s="225"/>
      <c r="P115" s="225"/>
      <c r="Q115" s="228"/>
      <c r="R115" s="242"/>
      <c r="S115" s="249">
        <f t="shared" si="52"/>
        <v>1</v>
      </c>
      <c r="T115" s="242" t="str">
        <f t="shared" si="56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8"/>
        <v>https://d0f6bd738d7f1b3e5a7ca70fe4ff75f0.us-east-1.aws.found.io/app/kibana#/discover/Steve-Slow-Train-Analysis-(2080s-and-2083s)?_g=(refreshInterval:(display:Off,pause:!f,section:0,value:0),time:(from:'2017-12-19T15:11:10-0700',mode:absolute,to:'2017-12-19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247" t="str">
        <f>IF(AA115&lt;VLOOKUP(AG115,Variables!$AC$3:$AD$8,2,FALSE),"Y","N")</f>
        <v>N</v>
      </c>
      <c r="X115" s="247">
        <f t="shared" si="57"/>
        <v>1</v>
      </c>
      <c r="Y115" s="247">
        <f t="shared" si="58"/>
        <v>5.62E-2</v>
      </c>
      <c r="Z115" s="247">
        <f t="shared" si="59"/>
        <v>23.321899999999999</v>
      </c>
      <c r="AA115" s="247">
        <f t="shared" si="60"/>
        <v>23.265699999999999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61"/>
        <v>201</v>
      </c>
      <c r="AE115" s="235" t="str">
        <f t="shared" si="44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115" s="234" t="str">
        <f t="shared" si="45"/>
        <v>"C:\Program Files (x86)\AstroGrep\AstroGrep.exe" /e /r /s /spath="%USERPROFILE%\AppData\Local\Temp\OnboardLogs" /stypes="app*4032*20171219*" /stext=" 23:.+((SYSTEM_STATE.+slice.+state.+changed )|(ment ac)|(multiple cpu faults)|(system.+state.+changed )|(\[timeout)|(PRM\|1\|D)|(kpr)|(kdp)|(train st.+moving)|(\|gpps)|(penalty))"</v>
      </c>
      <c r="AG115" s="244" t="str">
        <f t="shared" si="62"/>
        <v>EC</v>
      </c>
      <c r="AH115" s="236" t="str">
        <f t="shared" si="47"/>
        <v>"%USERPROFILE%\Documents\GitHub\eaglep3\Utilities\RefineRTDCRunTimes.py" --tripid 201-19 --locoid 4032 --swversion DE.1.0.9.0 --startMP 204:562 --initTime 2017-12-19T16:11:10 --startdatetime 2017-12-19T16:15:23 --delay 65 --endMP 204:233219 --enddatetime 2017-12-19T16:51:32 --enforcementcount 0 &gt;&gt;%USERPROFILE%\Documents\GitHub\eaglep3-reporting\EC\2017-12-19-refined-times.txt</v>
      </c>
      <c r="AI11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{"issue":{"subject":"","project_id":79,"tracker_id":40,"status_id":1,"priority_id":2,"assigned_to_id":338,"start_date":"2017-12-19","description":"","custom_fields":[{"id":1,"name":"Subdivision","value":"EC"},{"id":4,"name":"Milepost","value":"23.3219"},{"id":17,"name":"Train ID","value":"201-19"},{"id":16,"name":"Locomotive ID","value":"4032"},{"id":130,"name":"Impact","value":""},{"id":150,"name":"Time of Event (Mountain Time)","value":"16:51:32"},{"id":151,"name":"Denver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49"/>
        <v>start /low /b %USERPROFILE%\Documents\GitHub\eaglep3\Utilities\DownloadLogsFromS3.py --loco 4032 --day 2017-12-19</v>
      </c>
      <c r="AN115" s="241" t="str">
        <f t="shared" si="50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1"/>
        <v>https://d0f6bd738d7f1b3e5a7ca70fe4ff75f0.us-east-1.aws.found.io/app/kibana#/discover/Steve-Slow-Train-Analysis-(2080s-and-2083s)?_g=(refreshInterval:(display:Off,pause:!f,section:0,value:0),time:(from:'2017-12-19T15:11:10-0700',mode:absolute,to:'2017-12-19T17:51:32-0700'))&amp;_a=(columns:!('Message%20ID',Summary),filters:!(),index:'emp_*',interval:auto,query:(query_string:(analyze_wildcard:!t,query:'%22rtdc.l.rtdc.4032%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848</v>
      </c>
      <c r="B116" s="225">
        <v>4031</v>
      </c>
      <c r="C116" s="227" t="s">
        <v>192</v>
      </c>
      <c r="D116" s="227" t="s">
        <v>976</v>
      </c>
      <c r="E116" s="226">
        <v>43088.708831018521</v>
      </c>
      <c r="F116" s="226">
        <v>43088.716874999998</v>
      </c>
      <c r="G116" s="225">
        <v>58</v>
      </c>
      <c r="H116" s="227" t="s">
        <v>983</v>
      </c>
      <c r="I116" s="226">
        <v>43088.742743055554</v>
      </c>
      <c r="J116" s="225">
        <v>0</v>
      </c>
      <c r="K116" s="237" t="str">
        <f t="shared" si="54"/>
        <v>4031/4032</v>
      </c>
      <c r="L116" s="245" t="str">
        <f>VLOOKUP(A116,'Trips&amp;Operators'!$C$1:$G$99911,5,FALSE)</f>
        <v>SMITH MICHAEL</v>
      </c>
      <c r="M116" s="224">
        <f t="shared" si="55"/>
        <v>2.5868055556202307E-2</v>
      </c>
      <c r="N116" s="225">
        <f t="shared" si="53"/>
        <v>37.250000000931323</v>
      </c>
      <c r="O116" s="225"/>
      <c r="P116" s="225"/>
      <c r="Q116" s="228"/>
      <c r="R116" s="242"/>
      <c r="S116" s="249">
        <f t="shared" si="52"/>
        <v>1</v>
      </c>
      <c r="T116" s="242" t="str">
        <f t="shared" si="56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8"/>
        <v>https://d0f6bd738d7f1b3e5a7ca70fe4ff75f0.us-east-1.aws.found.io/app/kibana#/discover/Steve-Slow-Train-Analysis-(2080s-and-2083s)?_g=(refreshInterval:(display:Off,pause:!f,section:0,value:0),time:(from:'2017-12-19T16:00:43-0700',mode:absolute,to:'2017-12-19T18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247" t="str">
        <f>IF(AA116&lt;VLOOKUP(AG116,Variables!$AC$3:$AD$8,2,FALSE),"Y","N")</f>
        <v>N</v>
      </c>
      <c r="X116" s="247">
        <f t="shared" si="57"/>
        <v>1</v>
      </c>
      <c r="Y116" s="247">
        <f t="shared" si="58"/>
        <v>23.2898</v>
      </c>
      <c r="Z116" s="247">
        <f t="shared" si="59"/>
        <v>2.5399999999999999E-2</v>
      </c>
      <c r="AA116" s="247">
        <f t="shared" si="60"/>
        <v>23.264399999999998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61"/>
        <v>202</v>
      </c>
      <c r="AE116" s="235" t="str">
        <f t="shared" si="44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116" s="234" t="str">
        <f t="shared" si="45"/>
        <v>"C:\Program Files (x86)\AstroGrep\AstroGrep.exe" /e /r /s /spath="%USERPROFILE%\AppData\Local\Temp\OnboardLogs" /stypes="app*4031*20171220*" /stext=" 00:.+((SYSTEM_STATE.+slice.+state.+changed )|(ment ac)|(multiple cpu faults)|(system.+state.+changed )|(\[timeout)|(PRM\|1\|D)|(kpr)|(kdp)|(train st.+moving)|(\|gpps)|(penalty))"</v>
      </c>
      <c r="AG116" s="244" t="str">
        <f t="shared" si="62"/>
        <v>EC</v>
      </c>
      <c r="AH116" s="236" t="str">
        <f t="shared" si="47"/>
        <v>"%USERPROFILE%\Documents\GitHub\eaglep3\Utilities\RefineRTDCRunTimes.py" --tripid 202-19 --locoid 4031 --swversion DE.1.0.9.0 --startMP 204:232898 --initTime 2017-12-19T17:00:43 --startdatetime 2017-12-19T17:12:18 --delay 58 --endMP 204:254 --enddatetime 2017-12-19T17:49:33 --enforcementcount 0 &gt;&gt;%USERPROFILE%\Documents\GitHub\eaglep3-reporting\EC\2017-12-19-refined-times.txt</v>
      </c>
      <c r="AI11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{"issue":{"subject":"","project_id":79,"tracker_id":40,"status_id":1,"priority_id":2,"assigned_to_id":338,"start_date":"2017-12-19","description":"","custom_fields":[{"id":1,"name":"Subdivision","value":"EC"},{"id":4,"name":"Milepost","value":"0.0254"},{"id":17,"name":"Train ID","value":"202-19"},{"id":16,"name":"Locomotive ID","value":"4031"},{"id":130,"name":"Impact","value":""},{"id":150,"name":"Time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9"/>
        <v>start /low /b %USERPROFILE%\Documents\GitHub\eaglep3\Utilities\DownloadLogsFromS3.py --loco 4031 --day 2017-12-19</v>
      </c>
      <c r="AN116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1"/>
        <v>https://d0f6bd738d7f1b3e5a7ca70fe4ff75f0.us-east-1.aws.found.io/app/kibana#/discover/Steve-Slow-Train-Analysis-(2080s-and-2083s)?_g=(refreshInterval:(display:Off,pause:!f,section:0,value:0),time:(from:'2017-12-19T16:00:43-0700',mode:absolute,to:'2017-12-19T18:49:33-0700'))&amp;_a=(columns:!('Message%20ID',Summary),filters:!(),index:'emp_*',interval:auto,query:(query_string:(analyze_wildcard:!t,query:'%22rtdc.l.rtdc.4031%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839</v>
      </c>
      <c r="B117" s="225">
        <v>4018</v>
      </c>
      <c r="C117" s="227" t="s">
        <v>192</v>
      </c>
      <c r="D117" s="227" t="s">
        <v>962</v>
      </c>
      <c r="E117" s="226">
        <v>43088.683136574073</v>
      </c>
      <c r="F117" s="226">
        <v>43088.687650462962</v>
      </c>
      <c r="G117" s="225">
        <v>50</v>
      </c>
      <c r="H117" s="227" t="s">
        <v>636</v>
      </c>
      <c r="I117" s="226">
        <v>43088.713530092595</v>
      </c>
      <c r="J117" s="225">
        <v>0</v>
      </c>
      <c r="K117" s="237" t="str">
        <f t="shared" si="54"/>
        <v>4017/4018</v>
      </c>
      <c r="L117" s="245" t="str">
        <f>VLOOKUP(A117,'Trips&amp;Operators'!$C$1:$G$99911,5,FALSE)</f>
        <v>ROBINSON KADDIBA</v>
      </c>
      <c r="M117" s="224">
        <f t="shared" si="55"/>
        <v>2.587962963298196E-2</v>
      </c>
      <c r="N117" s="225">
        <f t="shared" si="53"/>
        <v>37.266666671494022</v>
      </c>
      <c r="O117" s="225"/>
      <c r="P117" s="225"/>
      <c r="Q117" s="228"/>
      <c r="R117" s="242"/>
      <c r="S117" s="249">
        <f t="shared" si="52"/>
        <v>1</v>
      </c>
      <c r="T117" s="242" t="str">
        <f t="shared" si="56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8"/>
        <v>https://d0f6bd738d7f1b3e5a7ca70fe4ff75f0.us-east-1.aws.found.io/app/kibana#/discover/Steve-Slow-Train-Analysis-(2080s-and-2083s)?_g=(refreshInterval:(display:Off,pause:!f,section:0,value:0),time:(from:'2017-12-19T15:23:43-0700',mode:absolute,to:'2017-12-19T18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247" t="str">
        <f>IF(AA117&lt;VLOOKUP(AG117,Variables!$AC$3:$AD$8,2,FALSE),"Y","N")</f>
        <v>N</v>
      </c>
      <c r="X117" s="247">
        <f t="shared" si="57"/>
        <v>1</v>
      </c>
      <c r="Y117" s="247">
        <f t="shared" si="58"/>
        <v>4.9099999999999998E-2</v>
      </c>
      <c r="Z117" s="247">
        <f t="shared" si="59"/>
        <v>23.3201</v>
      </c>
      <c r="AA117" s="247">
        <f t="shared" si="60"/>
        <v>23.271000000000001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61"/>
        <v>203</v>
      </c>
      <c r="AE117" s="235" t="str">
        <f t="shared" si="44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17" s="234" t="str">
        <f t="shared" si="45"/>
        <v>"C:\Program Files (x86)\AstroGrep\AstroGrep.exe" /e /r /s /spath="%USERPROFILE%\AppData\Local\Temp\OnboardLogs" /stypes="app*4018*20171220*" /stext=" 00:.+((SYSTEM_STATE.+slice.+state.+changed )|(ment ac)|(multiple cpu faults)|(system.+state.+changed )|(\[timeout)|(PRM\|1\|D)|(kpr)|(kdp)|(train st.+moving)|(\|gpps)|(penalty))"</v>
      </c>
      <c r="AG117" s="244" t="str">
        <f t="shared" si="62"/>
        <v>EC</v>
      </c>
      <c r="AH117" s="236" t="str">
        <f t="shared" si="47"/>
        <v>"%USERPROFILE%\Documents\GitHub\eaglep3\Utilities\RefineRTDCRunTimes.py" --tripid 203-19 --locoid 4018 --swversion DE.1.0.9.0 --startMP 204:491 --initTime 2017-12-19T16:23:43 --startdatetime 2017-12-19T16:30:13 --delay 50 --endMP 204:233201 --enddatetime 2017-12-19T17:07:29 --enforcementcount 0 &gt;&gt;%USERPROFILE%\Documents\GitHub\eaglep3-reporting\EC\2017-12-19-refined-times.txt</v>
      </c>
      <c r="AI117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{"issue":{"subject":"","project_id":79,"tracker_id":40,"status_id":1,"priority_id":2,"assigned_to_id":338,"start_date":"2017-12-19","description":"","custom_fields":[{"id":1,"name":"Subdivision","value":"EC"},{"id":4,"name":"Milepost","value":"23.3201"},{"id":17,"name":"Train ID","value":"203-19"},{"id":16,"name":"Locomotive ID","value":"4018"},{"id":130,"name":"Impact","value":""},{"id":150,"name":"Time of Event (Mountain Time)","value":"17:07:29"},{"id":151,"name":"Denver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9"/>
        <v>start /low /b %USERPROFILE%\Documents\GitHub\eaglep3\Utilities\DownloadLogsFromS3.py --loco 4018 --day 2017-12-19</v>
      </c>
      <c r="AN117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1"/>
        <v>https://d0f6bd738d7f1b3e5a7ca70fe4ff75f0.us-east-1.aws.found.io/app/kibana#/discover/Steve-Slow-Train-Analysis-(2080s-and-2083s)?_g=(refreshInterval:(display:Off,pause:!f,section:0,value:0),time:(from:'2017-12-19T15:23:43-0700',mode:absolute,to:'2017-12-19T18:07:29-0700'))&amp;_a=(columns:!('Message%20ID',Summary),filters:!(),index:'emp_*',interval:auto,query:(query_string:(analyze_wildcard:!t,query:'%22rtdc.l.rtdc.4018%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851</v>
      </c>
      <c r="B118" s="225">
        <v>4017</v>
      </c>
      <c r="C118" s="227" t="s">
        <v>192</v>
      </c>
      <c r="D118" s="227" t="s">
        <v>581</v>
      </c>
      <c r="E118" s="226">
        <v>43088.721990740742</v>
      </c>
      <c r="F118" s="226">
        <v>43088.727256944447</v>
      </c>
      <c r="G118" s="225">
        <v>59</v>
      </c>
      <c r="H118" s="227" t="s">
        <v>467</v>
      </c>
      <c r="I118" s="226">
        <v>43088.753761574073</v>
      </c>
      <c r="J118" s="225">
        <v>0</v>
      </c>
      <c r="K118" s="237" t="str">
        <f t="shared" si="54"/>
        <v>4017/4018</v>
      </c>
      <c r="L118" s="245" t="str">
        <f>VLOOKUP(A118,'Trips&amp;Operators'!$C$1:$G$99911,5,FALSE)</f>
        <v>ROBINSON KADDIBA</v>
      </c>
      <c r="M118" s="224">
        <f t="shared" si="55"/>
        <v>2.6504629626288079E-2</v>
      </c>
      <c r="N118" s="225">
        <f t="shared" si="53"/>
        <v>38.166666661854833</v>
      </c>
      <c r="O118" s="225"/>
      <c r="P118" s="225"/>
      <c r="Q118" s="228"/>
      <c r="R118" s="242"/>
      <c r="S118" s="249">
        <f t="shared" si="52"/>
        <v>1</v>
      </c>
      <c r="T118" s="242" t="str">
        <f t="shared" si="56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8"/>
        <v>https://d0f6bd738d7f1b3e5a7ca70fe4ff75f0.us-east-1.aws.found.io/app/kibana#/discover/Steve-Slow-Train-Analysis-(2080s-and-2083s)?_g=(refreshInterval:(display:Off,pause:!f,section:0,value:0),time:(from:'2017-12-19T16:19:40-0700',mode:absolute,to:'2017-12-19T19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247" t="str">
        <f>IF(AA118&lt;VLOOKUP(AG118,Variables!$AC$3:$AD$8,2,FALSE),"Y","N")</f>
        <v>N</v>
      </c>
      <c r="X118" s="247">
        <f t="shared" si="57"/>
        <v>1</v>
      </c>
      <c r="Y118" s="247">
        <f t="shared" si="58"/>
        <v>23.288399999999999</v>
      </c>
      <c r="Z118" s="247">
        <f t="shared" si="59"/>
        <v>1.9599999999999999E-2</v>
      </c>
      <c r="AA118" s="247">
        <f t="shared" si="60"/>
        <v>23.268799999999999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61"/>
        <v>204</v>
      </c>
      <c r="AE118" s="235" t="str">
        <f t="shared" si="44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18" s="234" t="str">
        <f t="shared" si="45"/>
        <v>"C:\Program Files (x86)\AstroGrep\AstroGrep.exe" /e /r /s /spath="%USERPROFILE%\AppData\Local\Temp\OnboardLogs" /stypes="app*4017*20171220*" /stext=" 01:.+((SYSTEM_STATE.+slice.+state.+changed )|(ment ac)|(multiple cpu faults)|(system.+state.+changed )|(\[timeout)|(PRM\|1\|D)|(kpr)|(kdp)|(train st.+moving)|(\|gpps)|(penalty))"</v>
      </c>
      <c r="AG118" s="244" t="str">
        <f t="shared" si="62"/>
        <v>EC</v>
      </c>
      <c r="AH118" s="236" t="str">
        <f t="shared" si="47"/>
        <v>"%USERPROFILE%\Documents\GitHub\eaglep3\Utilities\RefineRTDCRunTimes.py" --tripid 204-19 --locoid 4017 --swversion DE.1.0.9.0 --startMP 204:232884 --initTime 2017-12-19T17:19:40 --startdatetime 2017-12-19T17:27:15 --delay 59 --endMP 204:196 --enddatetime 2017-12-19T18:05:25 --enforcementcount 0 &gt;&gt;%USERPROFILE%\Documents\GitHub\eaglep3-reporting\EC\2017-12-19-refined-times.txt</v>
      </c>
      <c r="AI118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{"issue":{"subject":"","project_id":79,"tracker_id":40,"status_id":1,"priority_id":2,"assigned_to_id":338,"start_date":"2017-12-19","description":"","custom_fields":[{"id":1,"name":"Subdivision","value":"EC"},{"id":4,"name":"Milepost","value":"0.0196"},{"id":17,"name":"Train ID","value":"204-19"},{"id":16,"name":"Locomotive ID","value":"4017"},{"id":130,"name":"Impact","value":""},{"id":150,"name":"Time of Event (Mountain Time)","value":"18:05:25"},{"id":151,"name":"Denver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9"/>
        <v>start /low /b %USERPROFILE%\Documents\GitHub\eaglep3\Utilities\DownloadLogsFromS3.py --loco 4017 --day 2017-12-19</v>
      </c>
      <c r="AN118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1"/>
        <v>https://d0f6bd738d7f1b3e5a7ca70fe4ff75f0.us-east-1.aws.found.io/app/kibana#/discover/Steve-Slow-Train-Analysis-(2080s-and-2083s)?_g=(refreshInterval:(display:Off,pause:!f,section:0,value:0),time:(from:'2017-12-19T16:19:40-0700',mode:absolute,to:'2017-12-19T19:05:25-0700'))&amp;_a=(columns:!('Message%20ID',Summary),filters:!(),index:'emp_*',interval:auto,query:(query_string:(analyze_wildcard:!t,query:'%22rtdc.l.rtdc.4017%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843</v>
      </c>
      <c r="B119" s="225">
        <v>4014</v>
      </c>
      <c r="C119" s="227" t="s">
        <v>192</v>
      </c>
      <c r="D119" s="227" t="s">
        <v>474</v>
      </c>
      <c r="E119" s="226">
        <v>43088.69462962963</v>
      </c>
      <c r="F119" s="226">
        <v>43088.698125000003</v>
      </c>
      <c r="G119" s="225">
        <v>68</v>
      </c>
      <c r="H119" s="227" t="s">
        <v>648</v>
      </c>
      <c r="I119" s="226">
        <v>43088.723310185182</v>
      </c>
      <c r="J119" s="225">
        <v>0</v>
      </c>
      <c r="K119" s="237" t="str">
        <f t="shared" si="54"/>
        <v>4013/4014</v>
      </c>
      <c r="L119" s="245" t="str">
        <f>VLOOKUP(A119,'Trips&amp;Operators'!$C$1:$G$99911,5,FALSE)</f>
        <v>STEWART MICHAEL</v>
      </c>
      <c r="M119" s="224">
        <f t="shared" si="55"/>
        <v>2.5185185178997926E-2</v>
      </c>
      <c r="N119" s="225">
        <f t="shared" si="53"/>
        <v>36.266666657757014</v>
      </c>
      <c r="O119" s="225"/>
      <c r="P119" s="225"/>
      <c r="Q119" s="228"/>
      <c r="R119" s="242"/>
      <c r="S119" s="249">
        <f t="shared" si="52"/>
        <v>1</v>
      </c>
      <c r="T119" s="242" t="str">
        <f t="shared" si="56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8"/>
        <v>https://d0f6bd738d7f1b3e5a7ca70fe4ff75f0.us-east-1.aws.found.io/app/kibana#/discover/Steve-Slow-Train-Analysis-(2080s-and-2083s)?_g=(refreshInterval:(display:Off,pause:!f,section:0,value:0),time:(from:'2017-12-19T15:40:16-0700',mode:absolute,to:'2017-12-19T18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247" t="str">
        <f>IF(AA119&lt;VLOOKUP(AG119,Variables!$AC$3:$AD$8,2,FALSE),"Y","N")</f>
        <v>N</v>
      </c>
      <c r="X119" s="247">
        <f t="shared" si="57"/>
        <v>1</v>
      </c>
      <c r="Y119" s="247">
        <f t="shared" si="58"/>
        <v>5.1499999999999997E-2</v>
      </c>
      <c r="Z119" s="247">
        <f t="shared" si="59"/>
        <v>23.3246</v>
      </c>
      <c r="AA119" s="247">
        <f t="shared" si="60"/>
        <v>23.273099999999999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61"/>
        <v>205</v>
      </c>
      <c r="AE119" s="235" t="str">
        <f t="shared" si="44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119" s="234" t="str">
        <f t="shared" si="45"/>
        <v>"C:\Program Files (x86)\AstroGrep\AstroGrep.exe" /e /r /s /spath="%USERPROFILE%\AppData\Local\Temp\OnboardLogs" /stypes="app*4014*20171220*" /stext=" 00:.+((SYSTEM_STATE.+slice.+state.+changed )|(ment ac)|(multiple cpu faults)|(system.+state.+changed )|(\[timeout)|(PRM\|1\|D)|(kpr)|(kdp)|(train st.+moving)|(\|gpps)|(penalty))"</v>
      </c>
      <c r="AG119" s="244" t="str">
        <f t="shared" si="62"/>
        <v>EC</v>
      </c>
      <c r="AH119" s="236" t="str">
        <f t="shared" si="47"/>
        <v>"%USERPROFILE%\Documents\GitHub\eaglep3\Utilities\RefineRTDCRunTimes.py" --tripid 205-19 --locoid 4014 --swversion DE.1.0.9.0 --startMP 204:515 --initTime 2017-12-19T16:40:16 --startdatetime 2017-12-19T16:45:18 --delay 68 --endMP 204:233246 --enddatetime 2017-12-19T17:21:34 --enforcementcount 0 &gt;&gt;%USERPROFILE%\Documents\GitHub\eaglep3-reporting\EC\2017-12-19-refined-times.txt</v>
      </c>
      <c r="AI11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{"issue":{"subject":"","project_id":79,"tracker_id":40,"status_id":1,"priority_id":2,"assigned_to_id":338,"start_date":"2017-12-19","description":"","custom_fields":[{"id":1,"name":"Subdivision","value":"EC"},{"id":4,"name":"Milepost","value":"23.3246"},{"id":17,"name":"Train ID","value":"205-19"},{"id":16,"name":"Locomotive ID","value":"4014"},{"id":130,"name":"Impact","value":""},{"id":150,"name":"Time of Event (Mountain Time)","value":"17:21:34"},{"id":151,"name":"Denver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9"/>
        <v>start /low /b %USERPROFILE%\Documents\GitHub\eaglep3\Utilities\DownloadLogsFromS3.py --loco 4014 --day 2017-12-19</v>
      </c>
      <c r="AN119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1"/>
        <v>https://d0f6bd738d7f1b3e5a7ca70fe4ff75f0.us-east-1.aws.found.io/app/kibana#/discover/Steve-Slow-Train-Analysis-(2080s-and-2083s)?_g=(refreshInterval:(display:Off,pause:!f,section:0,value:0),time:(from:'2017-12-19T15:40:16-0700',mode:absolute,to:'2017-12-19T18:21:34-0700'))&amp;_a=(columns:!('Message%20ID',Summary),filters:!(),index:'emp_*',interval:auto,query:(query_string:(analyze_wildcard:!t,query:'%22rtdc.l.rtdc.4014%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855</v>
      </c>
      <c r="B120" s="225">
        <v>4013</v>
      </c>
      <c r="C120" s="227" t="s">
        <v>192</v>
      </c>
      <c r="D120" s="227" t="s">
        <v>631</v>
      </c>
      <c r="E120" s="226">
        <v>43088.733206018522</v>
      </c>
      <c r="F120" s="226">
        <v>43088.737766203703</v>
      </c>
      <c r="G120" s="225">
        <v>57</v>
      </c>
      <c r="H120" s="227" t="s">
        <v>501</v>
      </c>
      <c r="I120" s="226">
        <v>43088.764189814814</v>
      </c>
      <c r="J120" s="225">
        <v>0</v>
      </c>
      <c r="K120" s="237" t="str">
        <f t="shared" si="54"/>
        <v>4013/4014</v>
      </c>
      <c r="L120" s="245" t="str">
        <f>VLOOKUP(A120,'Trips&amp;Operators'!$C$1:$G$99911,5,FALSE)</f>
        <v>STEWART MICHAEL</v>
      </c>
      <c r="M120" s="224">
        <f t="shared" si="55"/>
        <v>2.6423611110658385E-2</v>
      </c>
      <c r="N120" s="225">
        <f t="shared" si="53"/>
        <v>38.049999999348074</v>
      </c>
      <c r="O120" s="225"/>
      <c r="P120" s="225"/>
      <c r="Q120" s="228"/>
      <c r="R120" s="242"/>
      <c r="S120" s="249">
        <f t="shared" si="52"/>
        <v>1</v>
      </c>
      <c r="T120" s="242" t="str">
        <f t="shared" si="56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8"/>
        <v>https://d0f6bd738d7f1b3e5a7ca70fe4ff75f0.us-east-1.aws.found.io/app/kibana#/discover/Steve-Slow-Train-Analysis-(2080s-and-2083s)?_g=(refreshInterval:(display:Off,pause:!f,section:0,value:0),time:(from:'2017-12-19T16:35:49-0700',mode:absolute,to:'2017-12-19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247" t="str">
        <f>IF(AA120&lt;VLOOKUP(AG120,Variables!$AC$3:$AD$8,2,FALSE),"Y","N")</f>
        <v>N</v>
      </c>
      <c r="X120" s="247">
        <f t="shared" si="57"/>
        <v>1</v>
      </c>
      <c r="Y120" s="247">
        <f t="shared" si="58"/>
        <v>23.293399999999998</v>
      </c>
      <c r="Z120" s="247">
        <f t="shared" si="59"/>
        <v>1.9099999999999999E-2</v>
      </c>
      <c r="AA120" s="247">
        <f t="shared" si="60"/>
        <v>23.274299999999997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61"/>
        <v>206</v>
      </c>
      <c r="AE120" s="235" t="str">
        <f t="shared" si="44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120" s="234" t="str">
        <f t="shared" si="45"/>
        <v>"C:\Program Files (x86)\AstroGrep\AstroGrep.exe" /e /r /s /spath="%USERPROFILE%\AppData\Local\Temp\OnboardLogs" /stypes="app*4013*20171220*" /stext=" 01:.+((SYSTEM_STATE.+slice.+state.+changed )|(ment ac)|(multiple cpu faults)|(system.+state.+changed )|(\[timeout)|(PRM\|1\|D)|(kpr)|(kdp)|(train st.+moving)|(\|gpps)|(penalty))"</v>
      </c>
      <c r="AG120" s="244" t="str">
        <f t="shared" si="62"/>
        <v>EC</v>
      </c>
      <c r="AH120" s="236" t="str">
        <f t="shared" si="47"/>
        <v>"%USERPROFILE%\Documents\GitHub\eaglep3\Utilities\RefineRTDCRunTimes.py" --tripid 206-19 --locoid 4013 --swversion DE.1.0.9.0 --startMP 204:232934 --initTime 2017-12-19T17:35:49 --startdatetime 2017-12-19T17:42:23 --delay 57 --endMP 204:191 --enddatetime 2017-12-19T18:20:26 --enforcementcount 0 &gt;&gt;%USERPROFILE%\Documents\GitHub\eaglep3-reporting\EC\2017-12-19-refined-times.txt</v>
      </c>
      <c r="AI12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{"issue":{"subject":"","project_id":79,"tracker_id":40,"status_id":1,"priority_id":2,"assigned_to_id":338,"start_date":"2017-12-19","description":"","custom_fields":[{"id":1,"name":"Subdivision","value":"EC"},{"id":4,"name":"Milepost","value":"0.0191"},{"id":17,"name":"Train ID","value":"206-19"},{"id":16,"name":"Locomotive ID","value":"4013"},{"id":130,"name":"Impact","value":""},{"id":150,"name":"Time of Event (Mountain Time)","value":"18:20:26"},{"id":151,"name":"Denver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9"/>
        <v>start /low /b %USERPROFILE%\Documents\GitHub\eaglep3\Utilities\DownloadLogsFromS3.py --loco 4013 --day 2017-12-19</v>
      </c>
      <c r="AN120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1"/>
        <v>https://d0f6bd738d7f1b3e5a7ca70fe4ff75f0.us-east-1.aws.found.io/app/kibana#/discover/Steve-Slow-Train-Analysis-(2080s-and-2083s)?_g=(refreshInterval:(display:Off,pause:!f,section:0,value:0),time:(from:'2017-12-19T16:35:49-0700',mode:absolute,to:'2017-12-19T19:20:26-0700'))&amp;_a=(columns:!('Message%20ID',Summary),filters:!(),index:'emp_*',interval:auto,query:(query_string:(analyze_wildcard:!t,query:'%22rtdc.l.rtdc.4013%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845</v>
      </c>
      <c r="B121" s="225">
        <v>4028</v>
      </c>
      <c r="C121" s="227" t="s">
        <v>192</v>
      </c>
      <c r="D121" s="227" t="s">
        <v>623</v>
      </c>
      <c r="E121" s="226">
        <v>43088.703587962962</v>
      </c>
      <c r="F121" s="226">
        <v>43088.708680555559</v>
      </c>
      <c r="G121" s="225">
        <v>89</v>
      </c>
      <c r="H121" s="227" t="s">
        <v>984</v>
      </c>
      <c r="I121" s="226">
        <v>43088.734444444446</v>
      </c>
      <c r="J121" s="225">
        <v>0</v>
      </c>
      <c r="K121" s="237" t="str">
        <f t="shared" si="54"/>
        <v>4027/4028</v>
      </c>
      <c r="L121" s="245" t="str">
        <f>VLOOKUP(A121,'Trips&amp;Operators'!$C$1:$G$99911,5,FALSE)</f>
        <v>HAMMOND JUSTYNN</v>
      </c>
      <c r="M121" s="224">
        <f t="shared" si="55"/>
        <v>2.5763888887013309E-2</v>
      </c>
      <c r="N121" s="225">
        <f t="shared" si="53"/>
        <v>37.099999997299165</v>
      </c>
      <c r="O121" s="225"/>
      <c r="P121" s="225"/>
      <c r="Q121" s="228"/>
      <c r="R121" s="242"/>
      <c r="S121" s="249">
        <f t="shared" si="52"/>
        <v>1</v>
      </c>
      <c r="T121" s="242" t="str">
        <f t="shared" si="56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8"/>
        <v>https://d0f6bd738d7f1b3e5a7ca70fe4ff75f0.us-east-1.aws.found.io/app/kibana#/discover/Steve-Slow-Train-Analysis-(2080s-and-2083s)?_g=(refreshInterval:(display:Off,pause:!f,section:0,value:0),time:(from:'2017-12-19T15:53:10-0700',mode:absolute,to:'2017-12-19T18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1" s="247" t="str">
        <f>IF(AA121&lt;VLOOKUP(AG121,Variables!$AC$3:$AD$8,2,FALSE),"Y","N")</f>
        <v>N</v>
      </c>
      <c r="X121" s="247">
        <f t="shared" si="57"/>
        <v>1</v>
      </c>
      <c r="Y121" s="247">
        <f t="shared" si="58"/>
        <v>5.28E-2</v>
      </c>
      <c r="Z121" s="247">
        <f t="shared" si="59"/>
        <v>23.317399999999999</v>
      </c>
      <c r="AA121" s="247">
        <f t="shared" si="60"/>
        <v>23.264599999999998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61"/>
        <v>207</v>
      </c>
      <c r="AE121" s="235" t="str">
        <f t="shared" si="44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121" s="234" t="str">
        <f t="shared" si="45"/>
        <v>"C:\Program Files (x86)\AstroGrep\AstroGrep.exe" /e /r /s /spath="%USERPROFILE%\AppData\Local\Temp\OnboardLogs" /stypes="app*4028*20171220*" /stext=" 00:.+((SYSTEM_STATE.+slice.+state.+changed )|(ment ac)|(multiple cpu faults)|(system.+state.+changed )|(\[timeout)|(PRM\|1\|D)|(kpr)|(kdp)|(train st.+moving)|(\|gpps)|(penalty))"</v>
      </c>
      <c r="AG121" s="244" t="str">
        <f t="shared" si="62"/>
        <v>EC</v>
      </c>
      <c r="AH121" s="236" t="str">
        <f t="shared" si="47"/>
        <v>"%USERPROFILE%\Documents\GitHub\eaglep3\Utilities\RefineRTDCRunTimes.py" --tripid 207-19 --locoid 4028 --swversion DE.1.0.9.0 --startMP 204:528 --initTime 2017-12-19T16:53:10 --startdatetime 2017-12-19T17:00:30 --delay 89 --endMP 204:233174 --enddatetime 2017-12-19T17:37:36 --enforcementcount 0 &gt;&gt;%USERPROFILE%\Documents\GitHub\eaglep3-reporting\EC\2017-12-19-refined-times.txt</v>
      </c>
      <c r="AI12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{"issue":{"subject":"","project_id":79,"tracker_id":40,"status_id":1,"priority_id":2,"assigned_to_id":338,"start_date":"2017-12-19","description":"","custom_fields":[{"id":1,"name":"Subdivision","value":"EC"},{"id":4,"name":"Milepost","value":"23.3174"},{"id":17,"name":"Train ID","value":"207-19"},{"id":16,"name":"Locomotive ID","value":"4028"},{"id":130,"name":"Impact","value":""},{"id":150,"name":"Time of Event (Mountain Time)","value":"17:37:36"},{"id":151,"name":"Denver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9"/>
        <v>start /low /b %USERPROFILE%\Documents\GitHub\eaglep3\Utilities\DownloadLogsFromS3.py --loco 4028 --day 2017-12-19</v>
      </c>
      <c r="AN121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1"/>
        <v>https://d0f6bd738d7f1b3e5a7ca70fe4ff75f0.us-east-1.aws.found.io/app/kibana#/discover/Steve-Slow-Train-Analysis-(2080s-and-2083s)?_g=(refreshInterval:(display:Off,pause:!f,section:0,value:0),time:(from:'2017-12-19T15:53:10-0700',mode:absolute,to:'2017-12-19T18:37:36-0700'))&amp;_a=(columns:!('Message%20ID',Summary),filters:!(),index:'emp_*',interval:auto,query:(query_string:(analyze_wildcard:!t,query:'%22rtdc.l.rtdc.4028%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690</v>
      </c>
      <c r="B122" s="225">
        <v>4027</v>
      </c>
      <c r="C122" s="227" t="s">
        <v>192</v>
      </c>
      <c r="D122" s="227" t="s">
        <v>977</v>
      </c>
      <c r="E122" s="226">
        <v>43088.742974537039</v>
      </c>
      <c r="F122" s="226">
        <v>43088.748298611114</v>
      </c>
      <c r="G122" s="225">
        <v>59</v>
      </c>
      <c r="H122" s="227" t="s">
        <v>985</v>
      </c>
      <c r="I122" s="226">
        <v>43088.774606481478</v>
      </c>
      <c r="J122" s="225">
        <v>0</v>
      </c>
      <c r="K122" s="237" t="str">
        <f t="shared" si="54"/>
        <v>4027/4028</v>
      </c>
      <c r="L122" s="245" t="str">
        <f>VLOOKUP(A122,'Trips&amp;Operators'!$C$1:$G$99911,5,FALSE)</f>
        <v>HAMMOND JUSTYNN</v>
      </c>
      <c r="M122" s="224">
        <f t="shared" si="55"/>
        <v>2.6307870364689734E-2</v>
      </c>
      <c r="N122" s="225">
        <f t="shared" si="53"/>
        <v>37.883333325153217</v>
      </c>
      <c r="O122" s="225"/>
      <c r="P122" s="225"/>
      <c r="Q122" s="228"/>
      <c r="R122" s="242"/>
      <c r="S122" s="249">
        <f t="shared" si="52"/>
        <v>1</v>
      </c>
      <c r="T122" s="242" t="str">
        <f t="shared" si="56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8"/>
        <v>https://d0f6bd738d7f1b3e5a7ca70fe4ff75f0.us-east-1.aws.found.io/app/kibana#/discover/Steve-Slow-Train-Analysis-(2080s-and-2083s)?_g=(refreshInterval:(display:Off,pause:!f,section:0,value:0),time:(from:'2017-12-19T16:49:53-0700',mode:absolute,to:'2017-12-19T19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247" t="str">
        <f>IF(AA122&lt;VLOOKUP(AG122,Variables!$AC$3:$AD$8,2,FALSE),"Y","N")</f>
        <v>N</v>
      </c>
      <c r="X122" s="247">
        <f t="shared" si="57"/>
        <v>1</v>
      </c>
      <c r="Y122" s="247">
        <f t="shared" si="58"/>
        <v>23.291899999999998</v>
      </c>
      <c r="Z122" s="247">
        <f t="shared" si="59"/>
        <v>0.1043</v>
      </c>
      <c r="AA122" s="247">
        <f t="shared" si="60"/>
        <v>23.1876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61"/>
        <v>208</v>
      </c>
      <c r="AE122" s="235" t="str">
        <f t="shared" si="44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122" s="234" t="str">
        <f t="shared" si="45"/>
        <v>"C:\Program Files (x86)\AstroGrep\AstroGrep.exe" /e /r /s /spath="%USERPROFILE%\AppData\Local\Temp\OnboardLogs" /stypes="app*4027*20171220*" /stext=" 01:.+((SYSTEM_STATE.+slice.+state.+changed )|(ment ac)|(multiple cpu faults)|(system.+state.+changed )|(\[timeout)|(PRM\|1\|D)|(kpr)|(kdp)|(train st.+moving)|(\|gpps)|(penalty))"</v>
      </c>
      <c r="AG122" s="244" t="str">
        <f t="shared" si="62"/>
        <v>EC</v>
      </c>
      <c r="AH122" s="236" t="str">
        <f t="shared" si="47"/>
        <v>"%USERPROFILE%\Documents\GitHub\eaglep3\Utilities\RefineRTDCRunTimes.py" --tripid 208-19 --locoid 4027 --swversion DE.1.0.9.0 --startMP 204:232919 --initTime 2017-12-19T17:49:53 --startdatetime 2017-12-19T17:57:33 --delay 59 --endMP 204:1043 --enddatetime 2017-12-19T18:35:26 --enforcementcount 0 &gt;&gt;%USERPROFILE%\Documents\GitHub\eaglep3-reporting\EC\2017-12-19-refined-times.txt</v>
      </c>
      <c r="AI12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{"issue":{"subject":"","project_id":79,"tracker_id":40,"status_id":1,"priority_id":2,"assigned_to_id":338,"start_date":"2017-12-19","description":"","custom_fields":[{"id":1,"name":"Subdivision","value":"EC"},{"id":4,"name":"Milepost","value":"0.1043"},{"id":17,"name":"Train ID","value":"208-19"},{"id":16,"name":"Locomotive ID","value":"4027"},{"id":130,"name":"Impact","value":""},{"id":150,"name":"Time of Event (Mountain Time)","value":"18:35:26"},{"id":151,"name":"Denver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9"/>
        <v>start /low /b %USERPROFILE%\Documents\GitHub\eaglep3\Utilities\DownloadLogsFromS3.py --loco 4027 --day 2017-12-19</v>
      </c>
      <c r="AN122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1"/>
        <v>https://d0f6bd738d7f1b3e5a7ca70fe4ff75f0.us-east-1.aws.found.io/app/kibana#/discover/Steve-Slow-Train-Analysis-(2080s-and-2083s)?_g=(refreshInterval:(display:Off,pause:!f,section:0,value:0),time:(from:'2017-12-19T16:49:53-0700',mode:absolute,to:'2017-12-19T19:35:26-0700'))&amp;_a=(columns:!('Message%20ID',Summary),filters:!(),index:'emp_*',interval:auto,query:(query_string:(analyze_wildcard:!t,query:'%22rtdc.l.rtdc.4027%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850</v>
      </c>
      <c r="B123" s="225">
        <v>4056</v>
      </c>
      <c r="C123" s="227" t="s">
        <v>192</v>
      </c>
      <c r="D123" s="227" t="s">
        <v>624</v>
      </c>
      <c r="E123" s="226">
        <v>43088.715011574073</v>
      </c>
      <c r="F123" s="226">
        <v>43088.718923611108</v>
      </c>
      <c r="G123" s="225">
        <v>75</v>
      </c>
      <c r="H123" s="227" t="s">
        <v>979</v>
      </c>
      <c r="I123" s="226">
        <v>43088.744629629633</v>
      </c>
      <c r="J123" s="225">
        <v>0</v>
      </c>
      <c r="K123" s="237" t="str">
        <f t="shared" si="54"/>
        <v>4055/4056</v>
      </c>
      <c r="L123" s="245" t="str">
        <f>VLOOKUP(A123,'Trips&amp;Operators'!$C$1:$G$99911,5,FALSE)</f>
        <v>LEVERE CRAIG</v>
      </c>
      <c r="M123" s="224">
        <f t="shared" si="55"/>
        <v>2.570601852494292E-2</v>
      </c>
      <c r="N123" s="225">
        <f t="shared" si="53"/>
        <v>37.016666675917804</v>
      </c>
      <c r="O123" s="225"/>
      <c r="P123" s="225"/>
      <c r="Q123" s="228"/>
      <c r="R123" s="242"/>
      <c r="S123" s="249">
        <f t="shared" si="52"/>
        <v>1</v>
      </c>
      <c r="T123" s="242" t="str">
        <f t="shared" si="56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8"/>
        <v>https://d0f6bd738d7f1b3e5a7ca70fe4ff75f0.us-east-1.aws.found.io/app/kibana#/discover/Steve-Slow-Train-Analysis-(2080s-and-2083s)?_g=(refreshInterval:(display:Off,pause:!f,section:0,value:0),time:(from:'2017-12-19T16:09:37-0700',mode:absolute,to:'2017-12-19T18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247" t="str">
        <f>IF(AA123&lt;VLOOKUP(AG123,Variables!$AC$3:$AD$8,2,FALSE),"Y","N")</f>
        <v>N</v>
      </c>
      <c r="X123" s="247">
        <f t="shared" si="57"/>
        <v>1</v>
      </c>
      <c r="Y123" s="247">
        <f t="shared" si="58"/>
        <v>5.3900000000000003E-2</v>
      </c>
      <c r="Z123" s="247">
        <f t="shared" si="59"/>
        <v>23.3247</v>
      </c>
      <c r="AA123" s="247">
        <f t="shared" si="60"/>
        <v>23.270800000000001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61"/>
        <v>209</v>
      </c>
      <c r="AE123" s="235" t="str">
        <f t="shared" si="44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23" s="234" t="str">
        <f t="shared" si="45"/>
        <v>"C:\Program Files (x86)\AstroGrep\AstroGrep.exe" /e /r /s /spath="%USERPROFILE%\AppData\Local\Temp\OnboardLogs" /stypes="app*4056*20171220*" /stext=" 00:.+((SYSTEM_STATE.+slice.+state.+changed )|(ment ac)|(multiple cpu faults)|(system.+state.+changed )|(\[timeout)|(PRM\|1\|D)|(kpr)|(kdp)|(train st.+moving)|(\|gpps)|(penalty))"</v>
      </c>
      <c r="AG123" s="244" t="str">
        <f t="shared" si="62"/>
        <v>EC</v>
      </c>
      <c r="AH123" s="236" t="str">
        <f t="shared" si="47"/>
        <v>"%USERPROFILE%\Documents\GitHub\eaglep3\Utilities\RefineRTDCRunTimes.py" --tripid 209-19 --locoid 4056 --swversion DE.1.0.9.0 --startMP 204:539 --initTime 2017-12-19T17:09:37 --startdatetime 2017-12-19T17:15:15 --delay 75 --endMP 204:233247 --enddatetime 2017-12-19T17:52:16 --enforcementcount 0 &gt;&gt;%USERPROFILE%\Documents\GitHub\eaglep3-reporting\EC\2017-12-19-refined-times.txt</v>
      </c>
      <c r="AI12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{"issue":{"subject":"","project_id":79,"tracker_id":40,"status_id":1,"priority_id":2,"assigned_to_id":338,"start_date":"2017-12-19","description":"","custom_fields":[{"id":1,"name":"Subdivision","value":"EC"},{"id":4,"name":"Milepost","value":"23.3247"},{"id":17,"name":"Train ID","value":"209-19"},{"id":16,"name":"Locomotive ID","value":"4056"},{"id":130,"name":"Impact","value":""},{"id":150,"name":"Time of Event (Mountain Time)","value":"17:52:16"},{"id":151,"name":"Denver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9"/>
        <v>start /low /b %USERPROFILE%\Documents\GitHub\eaglep3\Utilities\DownloadLogsFromS3.py --loco 4056 --day 2017-12-19</v>
      </c>
      <c r="AN123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1"/>
        <v>https://d0f6bd738d7f1b3e5a7ca70fe4ff75f0.us-east-1.aws.found.io/app/kibana#/discover/Steve-Slow-Train-Analysis-(2080s-and-2083s)?_g=(refreshInterval:(display:Off,pause:!f,section:0,value:0),time:(from:'2017-12-19T16:09:37-0700',mode:absolute,to:'2017-12-19T18:52:16-0700'))&amp;_a=(columns:!('Message%20ID',Summary),filters:!(),index:'emp_*',interval:auto,query:(query_string:(analyze_wildcard:!t,query:'%22rtdc.l.rtdc.4056%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863</v>
      </c>
      <c r="B124" s="225">
        <v>4055</v>
      </c>
      <c r="C124" s="227" t="s">
        <v>192</v>
      </c>
      <c r="D124" s="227" t="s">
        <v>970</v>
      </c>
      <c r="E124" s="226">
        <v>43088.754363425927</v>
      </c>
      <c r="F124" s="226">
        <v>43088.758530092593</v>
      </c>
      <c r="G124" s="225">
        <v>99</v>
      </c>
      <c r="H124" s="227" t="s">
        <v>937</v>
      </c>
      <c r="I124" s="226">
        <v>43088.785358796296</v>
      </c>
      <c r="J124" s="225">
        <v>0</v>
      </c>
      <c r="K124" s="237" t="str">
        <f t="shared" si="54"/>
        <v>4055/4056</v>
      </c>
      <c r="L124" s="245" t="str">
        <f>VLOOKUP(A124,'Trips&amp;Operators'!$C$1:$G$99911,5,FALSE)</f>
        <v>LEVERE CRAIG</v>
      </c>
      <c r="M124" s="224">
        <f t="shared" si="55"/>
        <v>2.6828703703358769E-2</v>
      </c>
      <c r="N124" s="225">
        <f t="shared" si="53"/>
        <v>38.633333332836628</v>
      </c>
      <c r="O124" s="225"/>
      <c r="P124" s="225"/>
      <c r="Q124" s="228"/>
      <c r="R124" s="242"/>
      <c r="S124" s="249">
        <f t="shared" si="52"/>
        <v>1</v>
      </c>
      <c r="T124" s="242" t="str">
        <f t="shared" si="56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8"/>
        <v>https://d0f6bd738d7f1b3e5a7ca70fe4ff75f0.us-east-1.aws.found.io/app/kibana#/discover/Steve-Slow-Train-Analysis-(2080s-and-2083s)?_g=(refreshInterval:(display:Off,pause:!f,section:0,value:0),time:(from:'2017-12-19T17:06:17-0700',mode:absolute,to:'2017-12-19T19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247" t="str">
        <f>IF(AA124&lt;VLOOKUP(AG124,Variables!$AC$3:$AD$8,2,FALSE),"Y","N")</f>
        <v>N</v>
      </c>
      <c r="X124" s="247">
        <f t="shared" si="57"/>
        <v>1</v>
      </c>
      <c r="Y124" s="247">
        <f t="shared" si="58"/>
        <v>23.292300000000001</v>
      </c>
      <c r="Z124" s="247">
        <f t="shared" si="59"/>
        <v>2.3599999999999999E-2</v>
      </c>
      <c r="AA124" s="247">
        <f t="shared" si="60"/>
        <v>23.268700000000003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61"/>
        <v>210</v>
      </c>
      <c r="AE124" s="235" t="str">
        <f t="shared" si="44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24" s="234" t="str">
        <f t="shared" si="45"/>
        <v>"C:\Program Files (x86)\AstroGrep\AstroGrep.exe" /e /r /s /spath="%USERPROFILE%\AppData\Local\Temp\OnboardLogs" /stypes="app*4055*20171220*" /stext=" 01:.+((SYSTEM_STATE.+slice.+state.+changed )|(ment ac)|(multiple cpu faults)|(system.+state.+changed )|(\[timeout)|(PRM\|1\|D)|(kpr)|(kdp)|(train st.+moving)|(\|gpps)|(penalty))"</v>
      </c>
      <c r="AG124" s="244" t="str">
        <f t="shared" si="62"/>
        <v>EC</v>
      </c>
      <c r="AH124" s="236" t="str">
        <f t="shared" si="47"/>
        <v>"%USERPROFILE%\Documents\GitHub\eaglep3\Utilities\RefineRTDCRunTimes.py" --tripid 210-19 --locoid 4055 --swversion DE.1.0.9.0 --startMP 204:232923 --initTime 2017-12-19T18:06:17 --startdatetime 2017-12-19T18:12:17 --delay 99 --endMP 204:236 --enddatetime 2017-12-19T18:50:55 --enforcementcount 0 &gt;&gt;%USERPROFILE%\Documents\GitHub\eaglep3-reporting\EC\2017-12-19-refined-times.txt</v>
      </c>
      <c r="AI124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{"issue":{"subject":"","project_id":79,"tracker_id":40,"status_id":1,"priority_id":2,"assigned_to_id":338,"start_date":"2017-12-19","description":"","custom_fields":[{"id":1,"name":"Subdivision","value":"EC"},{"id":4,"name":"Milepost","value":"0.0236"},{"id":17,"name":"Train ID","value":"210-19"},{"id":16,"name":"Locomotive ID","value":"4055"},{"id":130,"name":"Impact","value":""},{"id":150,"name":"Time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9"/>
        <v>start /low /b %USERPROFILE%\Documents\GitHub\eaglep3\Utilities\DownloadLogsFromS3.py --loco 4055 --day 2017-12-19</v>
      </c>
      <c r="AN124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1"/>
        <v>https://d0f6bd738d7f1b3e5a7ca70fe4ff75f0.us-east-1.aws.found.io/app/kibana#/discover/Steve-Slow-Train-Analysis-(2080s-and-2083s)?_g=(refreshInterval:(display:Off,pause:!f,section:0,value:0),time:(from:'2017-12-19T17:06:17-0700',mode:absolute,to:'2017-12-19T19:50:55-0700'))&amp;_a=(columns:!('Message%20ID',Summary),filters:!(),index:'emp_*',interval:auto,query:(query_string:(analyze_wildcard:!t,query:'%22rtdc.l.rtdc.4055%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853</v>
      </c>
      <c r="B125" s="225">
        <v>4064</v>
      </c>
      <c r="C125" s="227" t="s">
        <v>192</v>
      </c>
      <c r="D125" s="227" t="s">
        <v>559</v>
      </c>
      <c r="E125" s="226">
        <v>43088.726331018515</v>
      </c>
      <c r="F125" s="226">
        <v>43088.729432870372</v>
      </c>
      <c r="G125" s="225">
        <v>63</v>
      </c>
      <c r="H125" s="227" t="s">
        <v>969</v>
      </c>
      <c r="I125" s="226">
        <v>43088.755069444444</v>
      </c>
      <c r="J125" s="225">
        <v>0</v>
      </c>
      <c r="K125" s="237" t="str">
        <f t="shared" si="54"/>
        <v>4063/4064</v>
      </c>
      <c r="L125" s="245" t="str">
        <f>VLOOKUP(A125,'Trips&amp;Operators'!$C$1:$G$99911,5,FALSE)</f>
        <v>SAFIEF AEIMEN</v>
      </c>
      <c r="M125" s="224">
        <f t="shared" si="55"/>
        <v>2.5636574071540963E-2</v>
      </c>
      <c r="N125" s="225">
        <f t="shared" si="53"/>
        <v>36.916666663018987</v>
      </c>
      <c r="O125" s="225"/>
      <c r="P125" s="225"/>
      <c r="Q125" s="228"/>
      <c r="R125" s="242"/>
      <c r="S125" s="249">
        <f t="shared" si="52"/>
        <v>1</v>
      </c>
      <c r="T125" s="242" t="str">
        <f t="shared" si="56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8"/>
        <v>https://d0f6bd738d7f1b3e5a7ca70fe4ff75f0.us-east-1.aws.found.io/app/kibana#/discover/Steve-Slow-Train-Analysis-(2080s-and-2083s)?_g=(refreshInterval:(display:Off,pause:!f,section:0,value:0),time:(from:'2017-12-19T16:25:55-0700',mode:absolute,to:'2017-12-19T19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247" t="str">
        <f>IF(AA125&lt;VLOOKUP(AG125,Variables!$AC$3:$AD$8,2,FALSE),"Y","N")</f>
        <v>N</v>
      </c>
      <c r="X125" s="247">
        <f t="shared" ref="X125:X158" si="63">VALUE(LEFT(AD125,4))-VALUE(LEFT(AD124,4))</f>
        <v>1</v>
      </c>
      <c r="Y125" s="247">
        <f t="shared" si="58"/>
        <v>5.2200000000000003E-2</v>
      </c>
      <c r="Z125" s="247">
        <f t="shared" si="59"/>
        <v>23.325299999999999</v>
      </c>
      <c r="AA125" s="247">
        <f t="shared" si="60"/>
        <v>23.273099999999999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61"/>
        <v>211</v>
      </c>
      <c r="AE125" s="235" t="str">
        <f t="shared" si="44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125" s="234" t="str">
        <f t="shared" si="45"/>
        <v>"C:\Program Files (x86)\AstroGrep\AstroGrep.exe" /e /r /s /spath="%USERPROFILE%\AppData\Local\Temp\OnboardLogs" /stypes="app*4064*20171220*" /stext=" 01:.+((SYSTEM_STATE.+slice.+state.+changed )|(ment ac)|(multiple cpu faults)|(system.+state.+changed )|(\[timeout)|(PRM\|1\|D)|(kpr)|(kdp)|(train st.+moving)|(\|gpps)|(penalty))"</v>
      </c>
      <c r="AG125" s="244" t="str">
        <f t="shared" si="62"/>
        <v>EC</v>
      </c>
      <c r="AH125" s="236" t="str">
        <f t="shared" si="47"/>
        <v>"%USERPROFILE%\Documents\GitHub\eaglep3\Utilities\RefineRTDCRunTimes.py" --tripid 211-19 --locoid 4064 --swversion DE.1.0.9.0 --startMP 204:522 --initTime 2017-12-19T17:25:55 --startdatetime 2017-12-19T17:30:23 --delay 63 --endMP 204:233253 --enddatetime 2017-12-19T18:07:18 --enforcementcount 0 &gt;&gt;%USERPROFILE%\Documents\GitHub\eaglep3-reporting\EC\2017-12-19-refined-times.txt</v>
      </c>
      <c r="AI12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{"issue":{"subject":"","project_id":79,"tracker_id":40,"status_id":1,"priority_id":2,"assigned_to_id":338,"start_date":"2017-12-19","description":"","custom_fields":[{"id":1,"name":"Subdivision","value":"EC"},{"id":4,"name":"Milepost","value":"23.3253"},{"id":17,"name":"Train ID","value":"211-19"},{"id":16,"name":"Locomotive ID","value":"4064"},{"id":130,"name":"Impact","value":""},{"id":150,"name":"Time of Event (Mountain Time)","value":"18:07:18"},{"id":151,"name":"Denver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9"/>
        <v>start /low /b %USERPROFILE%\Documents\GitHub\eaglep3\Utilities\DownloadLogsFromS3.py --loco 4064 --day 2017-12-19</v>
      </c>
      <c r="AN125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51"/>
        <v>https://d0f6bd738d7f1b3e5a7ca70fe4ff75f0.us-east-1.aws.found.io/app/kibana#/discover/Steve-Slow-Train-Analysis-(2080s-and-2083s)?_g=(refreshInterval:(display:Off,pause:!f,section:0,value:0),time:(from:'2017-12-19T16:25:55-0700',mode:absolute,to:'2017-12-19T19:07:18-0700'))&amp;_a=(columns:!('Message%20ID',Summary),filters:!(),index:'emp_*',interval:auto,query:(query_string:(analyze_wildcard:!t,query:'%22rtdc.l.rtdc.4064%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25">
      <c r="A126" s="229" t="s">
        <v>865</v>
      </c>
      <c r="B126" s="225">
        <v>4063</v>
      </c>
      <c r="C126" s="227" t="s">
        <v>192</v>
      </c>
      <c r="D126" s="227" t="s">
        <v>631</v>
      </c>
      <c r="E126" s="226">
        <v>43088.758877314816</v>
      </c>
      <c r="F126" s="226">
        <v>43088.768969907411</v>
      </c>
      <c r="G126" s="225">
        <v>95</v>
      </c>
      <c r="H126" s="227" t="s">
        <v>521</v>
      </c>
      <c r="I126" s="226">
        <v>43088.79451388889</v>
      </c>
      <c r="J126" s="225">
        <v>0</v>
      </c>
      <c r="K126" s="237" t="str">
        <f t="shared" si="54"/>
        <v>4063/4064</v>
      </c>
      <c r="L126" s="245" t="str">
        <f>VLOOKUP(A126,'Trips&amp;Operators'!$C$1:$G$99911,5,FALSE)</f>
        <v>SAFIEF AEIMEN</v>
      </c>
      <c r="M126" s="224">
        <f t="shared" si="55"/>
        <v>2.5543981479131617E-2</v>
      </c>
      <c r="N126" s="225">
        <f t="shared" si="53"/>
        <v>36.783333329949528</v>
      </c>
      <c r="O126" s="225"/>
      <c r="P126" s="225"/>
      <c r="Q126" s="228"/>
      <c r="R126" s="242"/>
      <c r="S126" s="249">
        <f t="shared" si="52"/>
        <v>1</v>
      </c>
      <c r="T126" s="242" t="str">
        <f t="shared" si="56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8"/>
        <v>https://d0f6bd738d7f1b3e5a7ca70fe4ff75f0.us-east-1.aws.found.io/app/kibana#/discover/Steve-Slow-Train-Analysis-(2080s-and-2083s)?_g=(refreshInterval:(display:Off,pause:!f,section:0,value:0),time:(from:'2017-12-19T17:12:47-0700',mode:absolute,to:'2017-12-19T20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247" t="str">
        <f>IF(AA126&lt;VLOOKUP(AG126,Variables!$AC$3:$AD$8,2,FALSE),"Y","N")</f>
        <v>N</v>
      </c>
      <c r="X126" s="247">
        <f t="shared" si="63"/>
        <v>1</v>
      </c>
      <c r="Y126" s="247">
        <f t="shared" si="58"/>
        <v>23.293399999999998</v>
      </c>
      <c r="Z126" s="247">
        <f t="shared" si="59"/>
        <v>1.9800000000000002E-2</v>
      </c>
      <c r="AA126" s="247">
        <f t="shared" si="60"/>
        <v>23.273599999999998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61"/>
        <v>212</v>
      </c>
      <c r="AE126" s="235" t="str">
        <f t="shared" si="44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126" s="234" t="str">
        <f t="shared" si="45"/>
        <v>"C:\Program Files (x86)\AstroGrep\AstroGrep.exe" /e /r /s /spath="%USERPROFILE%\AppData\Local\Temp\OnboardLogs" /stypes="app*4063*20171220*" /stext=" 02:.+((SYSTEM_STATE.+slice.+state.+changed )|(ment ac)|(multiple cpu faults)|(system.+state.+changed )|(\[timeout)|(PRM\|1\|D)|(kpr)|(kdp)|(train st.+moving)|(\|gpps)|(penalty))"</v>
      </c>
      <c r="AG126" s="244" t="str">
        <f t="shared" si="62"/>
        <v>EC</v>
      </c>
      <c r="AH126" s="236" t="str">
        <f t="shared" si="47"/>
        <v>"%USERPROFILE%\Documents\GitHub\eaglep3\Utilities\RefineRTDCRunTimes.py" --tripid 212-19 --locoid 4063 --swversion DE.1.0.9.0 --startMP 204:232934 --initTime 2017-12-19T18:12:47 --startdatetime 2017-12-19T18:27:19 --delay 95 --endMP 204:198 --enddatetime 2017-12-19T19:04:06 --enforcementcount 0 &gt;&gt;%USERPROFILE%\Documents\GitHub\eaglep3-reporting\EC\2017-12-19-refined-times.txt</v>
      </c>
      <c r="AI12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{"issue":{"subject":"","project_id":79,"tracker_id":40,"status_id":1,"priority_id":2,"assigned_to_id":338,"start_date":"2017-12-19","description":"","custom_fields":[{"id":1,"name":"Subdivision","value":"EC"},{"id":4,"name":"Milepost","value":"0.0198"},{"id":17,"name":"Train ID","value":"212-19"},{"id":16,"name":"Locomotive ID","value":"4063"},{"id":130,"name":"Impact","value":""},{"id":150,"name":"Time of Event (Mountain Time)","value":"19:04:06"},{"id":151,"name":"Denver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49"/>
        <v>start /low /b %USERPROFILE%\Documents\GitHub\eaglep3\Utilities\DownloadLogsFromS3.py --loco 4063 --day 2017-12-19</v>
      </c>
      <c r="AN126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1"/>
        <v>https://d0f6bd738d7f1b3e5a7ca70fe4ff75f0.us-east-1.aws.found.io/app/kibana#/discover/Steve-Slow-Train-Analysis-(2080s-and-2083s)?_g=(refreshInterval:(display:Off,pause:!f,section:0,value:0),time:(from:'2017-12-19T17:12:47-0700',mode:absolute,to:'2017-12-19T20:04:06-0700'))&amp;_a=(columns:!('Message%20ID',Summary),filters:!(),index:'emp_*',interval:auto,query:(query_string:(analyze_wildcard:!t,query:'%22rtdc.l.rtdc.4063%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25">
      <c r="A127" s="229" t="s">
        <v>856</v>
      </c>
      <c r="B127" s="225">
        <v>4060</v>
      </c>
      <c r="C127" s="227" t="s">
        <v>192</v>
      </c>
      <c r="D127" s="227" t="s">
        <v>466</v>
      </c>
      <c r="E127" s="226">
        <v>43088.736134259256</v>
      </c>
      <c r="F127" s="226">
        <v>43088.739895833336</v>
      </c>
      <c r="G127" s="225">
        <v>116</v>
      </c>
      <c r="H127" s="227" t="s">
        <v>535</v>
      </c>
      <c r="I127" s="226">
        <v>43088.764513888891</v>
      </c>
      <c r="J127" s="225">
        <v>0</v>
      </c>
      <c r="K127" s="237" t="str">
        <f t="shared" ref="K127:K128" si="64">IF(ISEVEN(B127),(B127-1)&amp;"/"&amp;B127,B127&amp;"/"&amp;(B127+1))</f>
        <v>4059/4060</v>
      </c>
      <c r="L127" s="245" t="str">
        <f>VLOOKUP(A127,'Trips&amp;Operators'!$C$1:$G$99911,5,FALSE)</f>
        <v>LOZA FIDEL</v>
      </c>
      <c r="M127" s="224">
        <f t="shared" ref="M127:M128" si="65">I127-F127</f>
        <v>2.4618055555038154E-2</v>
      </c>
      <c r="N127" s="225">
        <f t="shared" ref="N127:N128" si="66">24*60*SUM($M127:$M127)</f>
        <v>35.449999999254942</v>
      </c>
      <c r="O127" s="225"/>
      <c r="P127" s="225"/>
      <c r="Q127" s="228"/>
      <c r="R127" s="242" t="s">
        <v>1093</v>
      </c>
      <c r="S127" s="249">
        <f t="shared" ref="S127:S128" si="67">1/IF(AG127="EC",12,1)*SUM(U127:U127)</f>
        <v>1</v>
      </c>
      <c r="T127" s="242" t="str">
        <f t="shared" ref="T127:T128" si="68"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8"/>
        <v>https://d0f6bd738d7f1b3e5a7ca70fe4ff75f0.us-east-1.aws.found.io/app/kibana#/discover/Steve-Slow-Train-Analysis-(2080s-and-2083s)?_g=(refreshInterval:(display:Off,pause:!f,section:0,value:0),time:(from:'2017-12-19T16:40:02-0700',mode:absolute,to:'2017-12-19T19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7" s="247" t="str">
        <f>IF(AA127&lt;VLOOKUP(AG127,Variables!$AC$3:$AD$8,2,FALSE),"Y","N")</f>
        <v>N</v>
      </c>
      <c r="X127" s="247">
        <f t="shared" si="63"/>
        <v>1</v>
      </c>
      <c r="Y127" s="247">
        <f t="shared" ref="Y127:Y128" si="69">RIGHT(D127,LEN(D127)-4)/10000</f>
        <v>5.0200000000000002E-2</v>
      </c>
      <c r="Z127" s="247">
        <f t="shared" ref="Z127:Z128" si="70">RIGHT(H127,LEN(H127)-4)/10000</f>
        <v>23.329499999999999</v>
      </c>
      <c r="AA127" s="247">
        <f t="shared" ref="AA127:AA128" si="71">ABS(Z127-Y127)</f>
        <v>23.279299999999999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ref="AD127:AD128" si="72">VALUE(LEFT(A127,LEN(A127)-3))</f>
        <v>213</v>
      </c>
      <c r="AE127" s="235" t="str">
        <f t="shared" si="44"/>
        <v>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 &amp; aws s3 cp s3://rtdc.mdm.uploadarchive.raw/RTDC4060/ "%USERPROFILE%\AppData\Local\Temp\OnboardLogs"\RTDC4060\2017-12-20 --exclude "*" --recursive --include "*20171220*" &amp; "%USERPROFILE%\Documents\GitHub\mrs-test-scripts\Headless Mode &amp; Sideloading\WalkAndUnGZ.bat" "%USERPROFILE%\AppData\Local\Temp\OnboardLogs"\RTDC4060\2017-12-20</v>
      </c>
      <c r="AF127" s="234" t="str">
        <f t="shared" si="45"/>
        <v>"C:\Program Files (x86)\AstroGrep\AstroGrep.exe" /e /r /s /spath="%USERPROFILE%\AppData\Local\Temp\OnboardLogs" /stypes="app*4060*20171220*" /stext=" 01:.+((SYSTEM_STATE.+slice.+state.+changed )|(ment ac)|(multiple cpu faults)|(system.+state.+changed )|(\[timeout)|(PRM\|1\|D)|(kpr)|(kdp)|(train st.+moving)|(\|gpps)|(penalty))"</v>
      </c>
      <c r="AG127" s="244" t="str">
        <f t="shared" ref="AG127:AG128" si="73">DetSubdiv(A127)</f>
        <v>EC</v>
      </c>
      <c r="AH127" s="236" t="str">
        <f t="shared" ref="AH127:AH128" si="74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213-19 --locoid 4060 --swversion DE.1.0.9.0 --startMP 204:502 --initTime 2017-12-19T17:40:02 --startdatetime 2017-12-19T17:45:27 --delay 116 --endMP 204:233295 --enddatetime 2017-12-19T18:20:54 --enforcementcount 0 &gt;&gt;%USERPROFILE%\Documents\GitHub\eaglep3-reporting\EC\2017-12-19-refined-times.txt</v>
      </c>
      <c r="AI127" s="238" t="str">
        <f t="shared" ref="AI127:AI128" si="75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{"issue":{"subject":"Brief Wi-MAX data drop caused unhealthy banners","project_id":79,"tracker_id":40,"status_id":1,"priority_id":2,"assigned_to_id":338,"start_date":"2017-12-19","description":"","custom_fields":[{"id":1,"name":"Subdivision","value":"EC"},{"id":4,"name":"Milepost","value":"23.3295"},{"id":17,"name":"Train ID","value":"213-19"},{"id":16,"name":"Locomotive ID","value":"4060"},{"id":130,"name":"Impact","value":""},{"id":150,"name":"Time of Event (Mountain Time)","value":"18:20:54"},{"id":151,"name":"Denver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ref="AM127:AM128" si="76">"start /low /b "&amp;dls3logs&amp;" --loco "&amp;B127&amp;" --day "&amp;TEXT(F127,"YYYY-MM-DD")</f>
        <v>start /low /b %USERPROFILE%\Documents\GitHub\eaglep3\Utilities\DownloadLogsFromS3.py --loco 4060 --day 2017-12-19</v>
      </c>
      <c r="AN127" s="241" t="str">
        <f t="shared" ref="AN127:AN128" si="77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{"issue":{"subject":"Brief Wi-MAX data drop caused unhealthy banners","project_id":30,"tracker_id":4,"status_id":1,"priority_id":1,"assigned_to_id":10,"start_date":"2017-12-20","description":"","custom_fields":[{"id":30,"name":"Category","value":"Issue"},{"id":3,"name":"Functional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ref="AO127:AO128" si="78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-19T16:40:02-0700',mode:absolute,to:'2017-12-19T19:20:54-0700'))&amp;_a=(columns:!('Message%20ID',Summary),filters:!(),index:'emp_*',interval:auto,query:(query_string:(analyze_wildcard:!t,query:'%22rtdc.l.rtdc.4060%22')),sort:!(Time.ISO8601,asc))</v>
      </c>
    </row>
    <row r="128" spans="1:91" s="223" customFormat="1" x14ac:dyDescent="0.25">
      <c r="A128" s="229" t="s">
        <v>691</v>
      </c>
      <c r="B128" s="225">
        <v>4059</v>
      </c>
      <c r="C128" s="227" t="s">
        <v>192</v>
      </c>
      <c r="D128" s="227" t="s">
        <v>568</v>
      </c>
      <c r="E128" s="226">
        <v>43088.773888888885</v>
      </c>
      <c r="F128" s="226">
        <v>43088.779363425929</v>
      </c>
      <c r="G128" s="225">
        <v>78</v>
      </c>
      <c r="H128" s="227" t="s">
        <v>965</v>
      </c>
      <c r="I128" s="226">
        <v>43088.805937500001</v>
      </c>
      <c r="J128" s="225">
        <v>0</v>
      </c>
      <c r="K128" s="237" t="str">
        <f t="shared" si="64"/>
        <v>4059/4060</v>
      </c>
      <c r="L128" s="245" t="str">
        <f>VLOOKUP(A128,'Trips&amp;Operators'!$C$1:$G$99911,5,FALSE)</f>
        <v>LOZA FIDEL</v>
      </c>
      <c r="M128" s="224">
        <f t="shared" si="65"/>
        <v>2.6574074072414078E-2</v>
      </c>
      <c r="N128" s="225">
        <f t="shared" si="66"/>
        <v>38.266666664276272</v>
      </c>
      <c r="O128" s="225"/>
      <c r="P128" s="225"/>
      <c r="Q128" s="228"/>
      <c r="R128" s="242"/>
      <c r="S128" s="249">
        <f t="shared" si="67"/>
        <v>1</v>
      </c>
      <c r="T128" s="242" t="str">
        <f t="shared" si="68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8"/>
        <v>https://d0f6bd738d7f1b3e5a7ca70fe4ff75f0.us-east-1.aws.found.io/app/kibana#/discover/Steve-Slow-Train-Analysis-(2080s-and-2083s)?_g=(refreshInterval:(display:Off,pause:!f,section:0,value:0),time:(from:'2017-12-19T17:34:24-0700',mode:absolute,to:'2017-12-19T20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8" s="247" t="str">
        <f>IF(AA128&lt;VLOOKUP(AG128,Variables!$AC$3:$AD$8,2,FALSE),"Y","N")</f>
        <v>N</v>
      </c>
      <c r="X128" s="247">
        <f t="shared" si="63"/>
        <v>1</v>
      </c>
      <c r="Y128" s="247">
        <f t="shared" si="69"/>
        <v>23.296399999999998</v>
      </c>
      <c r="Z128" s="247">
        <f t="shared" si="70"/>
        <v>2.3800000000000002E-2</v>
      </c>
      <c r="AA128" s="247">
        <f t="shared" si="71"/>
        <v>23.272599999999997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72"/>
        <v>214</v>
      </c>
      <c r="AE128" s="235" t="str">
        <f t="shared" si="44"/>
        <v>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 &amp; 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</v>
      </c>
      <c r="AF128" s="234" t="str">
        <f t="shared" si="45"/>
        <v>"C:\Program Files (x86)\AstroGrep\AstroGrep.exe" /e /r /s /spath="%USERPROFILE%\AppData\Local\Temp\OnboardLogs" /stypes="app*4059*20171220*" /stext=" 02:.+((SYSTEM_STATE.+slice.+state.+changed )|(ment ac)|(multiple cpu faults)|(system.+state.+changed )|(\[timeout)|(PRM\|1\|D)|(kpr)|(kdp)|(train st.+moving)|(\|gpps)|(penalty))"</v>
      </c>
      <c r="AG128" s="244" t="str">
        <f t="shared" si="73"/>
        <v>EC</v>
      </c>
      <c r="AH128" s="236" t="str">
        <f t="shared" si="74"/>
        <v>"%USERPROFILE%\Documents\GitHub\eaglep3\Utilities\RefineRTDCRunTimes.py" --tripid 214-19 --locoid 4059 --swversion DE.1.0.9.0 --startMP 204:232964 --initTime 2017-12-19T18:34:24 --startdatetime 2017-12-19T18:42:17 --delay 78 --endMP 204:238 --enddatetime 2017-12-19T19:20:33 --enforcementcount 0 &gt;&gt;%USERPROFILE%\Documents\GitHub\eaglep3-reporting\EC\2017-12-19-refined-times.txt</v>
      </c>
      <c r="AI128" s="238" t="str">
        <f t="shared" si="75"/>
        <v>echo {"issue":{"subject":"","project_id":79,"tracker_id":40,"status_id":1,"priority_id":2,"assigned_to_id":338,"start_date":"2017-12-19","description":"","custom_fields":[{"id":1,"name":"Subdivision","value":"EC"},{"id":4,"name":"Milepost","value":"0.0238"},{"id":17,"name":"Train ID","value":"214-19"},{"id":16,"name":"Locomotive ID","value":"4059"},{"id":130,"name":"Impact","value":""},{"id":150,"name":"Time of Event (Mountain Time)","value":"19:20:33"},{"id":151,"name":"Denver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76"/>
        <v>start /low /b %USERPROFILE%\Documents\GitHub\eaglep3\Utilities\DownloadLogsFromS3.py --loco 4059 --day 2017-12-19</v>
      </c>
      <c r="AN128" s="241" t="str">
        <f t="shared" si="77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78"/>
        <v>https://d0f6bd738d7f1b3e5a7ca70fe4ff75f0.us-east-1.aws.found.io/app/kibana#/discover/Steve-Slow-Train-Analysis-(2080s-and-2083s)?_g=(refreshInterval:(display:Off,pause:!f,section:0,value:0),time:(from:'2017-12-19T17:34:24-0700',mode:absolute,to:'2017-12-19T20:20:33-0700'))&amp;_a=(columns:!('Message%20ID',Summary),filters:!(),index:'emp_*',interval:auto,query:(query_string:(analyze_wildcard:!t,query:'%22rtdc.l.rtdc.4059%22')),sort:!(Time.ISO8601,asc))</v>
      </c>
    </row>
    <row r="129" spans="1:91" s="20" customFormat="1" x14ac:dyDescent="0.25">
      <c r="A129" s="229" t="s">
        <v>857</v>
      </c>
      <c r="B129" s="225">
        <v>4032</v>
      </c>
      <c r="C129" s="227" t="s">
        <v>192</v>
      </c>
      <c r="D129" s="227" t="s">
        <v>653</v>
      </c>
      <c r="E129" s="226">
        <v>43088.74422453704</v>
      </c>
      <c r="F129" s="226">
        <v>43088.7502662037</v>
      </c>
      <c r="G129" s="225">
        <v>65</v>
      </c>
      <c r="H129" s="227" t="s">
        <v>986</v>
      </c>
      <c r="I129" s="226">
        <v>43088.775682870371</v>
      </c>
      <c r="J129" s="225">
        <v>0</v>
      </c>
      <c r="K129" s="237" t="str">
        <f t="shared" ref="K129:K144" si="79">IF(ISEVEN(B129),(B129-1)&amp;"/"&amp;B129,B129&amp;"/"&amp;(B129+1))</f>
        <v>4031/4032</v>
      </c>
      <c r="L129" s="245" t="str">
        <f>VLOOKUP(A129,'Trips&amp;Operators'!$C$1:$G$99911,5,FALSE)</f>
        <v>SMITH MICHAEL</v>
      </c>
      <c r="M129" s="224">
        <f t="shared" ref="M129:M144" si="80">I129-F129</f>
        <v>2.5416666670935228E-2</v>
      </c>
      <c r="N129" s="225">
        <f t="shared" ref="N129:N144" si="81">24*60*SUM($M129:$M129)</f>
        <v>36.600000006146729</v>
      </c>
      <c r="O129" s="225"/>
      <c r="P129" s="225"/>
      <c r="Q129" s="228"/>
      <c r="R129" s="242"/>
      <c r="S129" s="249">
        <f t="shared" ref="S129:S144" si="82">1/IF(AG129="EC",12,1)*SUM(U129:U129)</f>
        <v>1</v>
      </c>
      <c r="T129" s="242" t="str">
        <f t="shared" ref="T129:T144" si="83"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8"/>
        <v>https://d0f6bd738d7f1b3e5a7ca70fe4ff75f0.us-east-1.aws.found.io/app/kibana#/discover/Steve-Slow-Train-Analysis-(2080s-and-2083s)?_g=(refreshInterval:(display:Off,pause:!f,section:0,value:0),time:(from:'2017-12-19T16:51:41-0700',mode:absolute,to:'2017-12-19T19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247" t="str">
        <f>IF(AA129&lt;VLOOKUP(AG129,Variables!$AC$3:$AD$8,2,FALSE),"Y","N")</f>
        <v>N</v>
      </c>
      <c r="X129" s="247">
        <f t="shared" si="63"/>
        <v>1</v>
      </c>
      <c r="Y129" s="247">
        <f t="shared" ref="Y129:Y144" si="84">RIGHT(D129,LEN(D129)-4)/10000</f>
        <v>5.7500000000000002E-2</v>
      </c>
      <c r="Z129" s="247">
        <f t="shared" ref="Z129:Z144" si="85">RIGHT(H129,LEN(H129)-4)/10000</f>
        <v>23.319500000000001</v>
      </c>
      <c r="AA129" s="247">
        <f t="shared" ref="AA129:AA144" si="86">ABS(Z129-Y129)</f>
        <v>23.262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ref="AD129:AD144" si="87">VALUE(LEFT(A129,LEN(A129)-3))</f>
        <v>215</v>
      </c>
      <c r="AE129" s="235" t="str">
        <f t="shared" si="44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129" s="234" t="str">
        <f t="shared" si="45"/>
        <v>"C:\Program Files (x86)\AstroGrep\AstroGrep.exe" /e /r /s /spath="%USERPROFILE%\AppData\Local\Temp\OnboardLogs" /stypes="app*4032*20171220*" /stext=" 01:.+((SYSTEM_STATE.+slice.+state.+changed )|(ment ac)|(multiple cpu faults)|(system.+state.+changed )|(\[timeout)|(PRM\|1\|D)|(kpr)|(kdp)|(train st.+moving)|(\|gpps)|(penalty))"</v>
      </c>
      <c r="AG129" s="244" t="str">
        <f t="shared" ref="AG129:AG144" si="88">DetSubdiv(A129)</f>
        <v>EC</v>
      </c>
      <c r="AH129" s="236" t="str">
        <f t="shared" si="47"/>
        <v>"%USERPROFILE%\Documents\GitHub\eaglep3\Utilities\RefineRTDCRunTimes.py" --tripid 215-19 --locoid 4032 --swversion DE.1.0.9.0 --startMP 204:575 --initTime 2017-12-19T17:51:41 --startdatetime 2017-12-19T18:00:23 --delay 65 --endMP 204:233195 --enddatetime 2017-12-19T18:36:59 --enforcementcount 0 &gt;&gt;%USERPROFILE%\Documents\GitHub\eaglep3-reporting\EC\2017-12-19-refined-times.txt</v>
      </c>
      <c r="AI12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{"issue":{"subject":"","project_id":79,"tracker_id":40,"status_id":1,"priority_id":2,"assigned_to_id":338,"start_date":"2017-12-19","description":"","custom_fields":[{"id":1,"name":"Subdivision","value":"EC"},{"id":4,"name":"Milepost","value":"23.3195"},{"id":17,"name":"Train ID","value":"215-19"},{"id":16,"name":"Locomotive ID","value":"4032"},{"id":130,"name":"Impact","value":""},{"id":150,"name":"Time of Event (Mountain Time)","value":"18:36:59"},{"id":151,"name":"Denver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9"/>
        <v>start /low /b %USERPROFILE%\Documents\GitHub\eaglep3\Utilities\DownloadLogsFromS3.py --loco 4032 --day 2017-12-19</v>
      </c>
      <c r="AN129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1"/>
        <v>https://d0f6bd738d7f1b3e5a7ca70fe4ff75f0.us-east-1.aws.found.io/app/kibana#/discover/Steve-Slow-Train-Analysis-(2080s-and-2083s)?_g=(refreshInterval:(display:Off,pause:!f,section:0,value:0),time:(from:'2017-12-19T16:51:41-0700',mode:absolute,to:'2017-12-19T19:36:59-0700'))&amp;_a=(columns:!('Message%20ID',Summary),filters:!(),index:'emp_*',interval:auto,query:(query_string:(analyze_wildcard:!t,query:'%22rtdc.l.rtdc.4032%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872</v>
      </c>
      <c r="B130" s="225">
        <v>4031</v>
      </c>
      <c r="C130" s="227" t="s">
        <v>192</v>
      </c>
      <c r="D130" s="227" t="s">
        <v>987</v>
      </c>
      <c r="E130" s="226">
        <v>43088.78019675926</v>
      </c>
      <c r="F130" s="226">
        <v>43088.789803240739</v>
      </c>
      <c r="G130" s="225">
        <v>54</v>
      </c>
      <c r="H130" s="227" t="s">
        <v>637</v>
      </c>
      <c r="I130" s="226">
        <v>43088.817233796297</v>
      </c>
      <c r="J130" s="225">
        <v>0</v>
      </c>
      <c r="K130" s="237" t="str">
        <f t="shared" si="79"/>
        <v>4031/4032</v>
      </c>
      <c r="L130" s="245" t="str">
        <f>VLOOKUP(A130,'Trips&amp;Operators'!$C$1:$G$99911,5,FALSE)</f>
        <v>SMITH MICHAEL</v>
      </c>
      <c r="M130" s="224">
        <f t="shared" si="80"/>
        <v>2.7430555557657499E-2</v>
      </c>
      <c r="N130" s="225">
        <f t="shared" si="81"/>
        <v>39.500000003026798</v>
      </c>
      <c r="O130" s="225"/>
      <c r="P130" s="225"/>
      <c r="Q130" s="228"/>
      <c r="R130" s="242"/>
      <c r="S130" s="249">
        <f t="shared" si="82"/>
        <v>1</v>
      </c>
      <c r="T130" s="242" t="str">
        <f t="shared" si="83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8"/>
        <v>https://d0f6bd738d7f1b3e5a7ca70fe4ff75f0.us-east-1.aws.found.io/app/kibana#/discover/Steve-Slow-Train-Analysis-(2080s-and-2083s)?_g=(refreshInterval:(display:Off,pause:!f,section:0,value:0),time:(from:'2017-12-19T17:43:29-0700',mode:absolute,to:'2017-12-19T20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247" t="str">
        <f>IF(AA130&lt;VLOOKUP(AG130,Variables!$AC$3:$AD$8,2,FALSE),"Y","N")</f>
        <v>N</v>
      </c>
      <c r="X130" s="247">
        <f t="shared" si="63"/>
        <v>1</v>
      </c>
      <c r="Y130" s="247">
        <f t="shared" si="84"/>
        <v>23.285599999999999</v>
      </c>
      <c r="Z130" s="247">
        <f t="shared" si="85"/>
        <v>2.52E-2</v>
      </c>
      <c r="AA130" s="247">
        <f t="shared" si="86"/>
        <v>23.260399999999997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87"/>
        <v>216</v>
      </c>
      <c r="AE130" s="235" t="str">
        <f t="shared" si="44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130" s="234" t="str">
        <f t="shared" si="45"/>
        <v>"C:\Program Files (x86)\AstroGrep\AstroGrep.exe" /e /r /s /spath="%USERPROFILE%\AppData\Local\Temp\OnboardLogs" /stypes="app*4031*20171220*" /stext=" 02:.+((SYSTEM_STATE.+slice.+state.+changed )|(ment ac)|(multiple cpu faults)|(system.+state.+changed )|(\[timeout)|(PRM\|1\|D)|(kpr)|(kdp)|(train st.+moving)|(\|gpps)|(penalty))"</v>
      </c>
      <c r="AG130" s="244" t="str">
        <f t="shared" si="88"/>
        <v>EC</v>
      </c>
      <c r="AH130" s="236" t="str">
        <f t="shared" si="47"/>
        <v>"%USERPROFILE%\Documents\GitHub\eaglep3\Utilities\RefineRTDCRunTimes.py" --tripid 216-19 --locoid 4031 --swversion DE.1.0.9.0 --startMP 204:232856 --initTime 2017-12-19T18:43:29 --startdatetime 2017-12-19T18:57:19 --delay 54 --endMP 204:252 --enddatetime 2017-12-19T19:36:49 --enforcementcount 0 &gt;&gt;%USERPROFILE%\Documents\GitHub\eaglep3-reporting\EC\2017-12-19-refined-times.txt</v>
      </c>
      <c r="AI13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{"issue":{"subject":"","project_id":79,"tracker_id":40,"status_id":1,"priority_id":2,"assigned_to_id":338,"start_date":"2017-12-19","description":"","custom_fields":[{"id":1,"name":"Subdivision","value":"EC"},{"id":4,"name":"Milepost","value":"0.0252"},{"id":17,"name":"Train ID","value":"216-19"},{"id":16,"name":"Locomotive ID","value":"4031"},{"id":130,"name":"Impact","value":""},{"id":150,"name":"Time of Event (Mountain Time)","value":"19:36:49"},{"id":151,"name":"Denver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9"/>
        <v>start /low /b %USERPROFILE%\Documents\GitHub\eaglep3\Utilities\DownloadLogsFromS3.py --loco 4031 --day 2017-12-19</v>
      </c>
      <c r="AN130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1"/>
        <v>https://d0f6bd738d7f1b3e5a7ca70fe4ff75f0.us-east-1.aws.found.io/app/kibana#/discover/Steve-Slow-Train-Analysis-(2080s-and-2083s)?_g=(refreshInterval:(display:Off,pause:!f,section:0,value:0),time:(from:'2017-12-19T17:43:29-0700',mode:absolute,to:'2017-12-19T20:36:49-0700'))&amp;_a=(columns:!('Message%20ID',Summary),filters:!(),index:'emp_*',interval:auto,query:(query_string:(analyze_wildcard:!t,query:'%22rtdc.l.rtdc.4031%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864</v>
      </c>
      <c r="B131" s="225">
        <v>4018</v>
      </c>
      <c r="C131" s="227" t="s">
        <v>192</v>
      </c>
      <c r="D131" s="227" t="s">
        <v>514</v>
      </c>
      <c r="E131" s="226">
        <v>43088.756620370368</v>
      </c>
      <c r="F131" s="226">
        <v>43088.760625000003</v>
      </c>
      <c r="G131" s="225">
        <v>145</v>
      </c>
      <c r="H131" s="227" t="s">
        <v>988</v>
      </c>
      <c r="I131" s="226">
        <v>43088.785868055558</v>
      </c>
      <c r="J131" s="225">
        <v>0</v>
      </c>
      <c r="K131" s="237" t="str">
        <f t="shared" si="79"/>
        <v>4017/4018</v>
      </c>
      <c r="L131" s="245" t="str">
        <f>VLOOKUP(A131,'Trips&amp;Operators'!$C$1:$G$99911,5,FALSE)</f>
        <v>NICHOLSON WESLEY</v>
      </c>
      <c r="M131" s="224">
        <f t="shared" si="80"/>
        <v>2.5243055555620231E-2</v>
      </c>
      <c r="N131" s="225">
        <f t="shared" si="81"/>
        <v>36.350000000093132</v>
      </c>
      <c r="O131" s="225"/>
      <c r="P131" s="225"/>
      <c r="Q131" s="228"/>
      <c r="R131" s="242"/>
      <c r="S131" s="249">
        <f t="shared" si="82"/>
        <v>1</v>
      </c>
      <c r="T131" s="242" t="str">
        <f t="shared" si="83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8"/>
        <v>https://d0f6bd738d7f1b3e5a7ca70fe4ff75f0.us-east-1.aws.found.io/app/kibana#/discover/Steve-Slow-Train-Analysis-(2080s-and-2083s)?_g=(refreshInterval:(display:Off,pause:!f,section:0,value:0),time:(from:'2017-12-19T17:09:32-0700',mode:absolute,to:'2017-12-19T19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247" t="str">
        <f>IF(AA131&lt;VLOOKUP(AG131,Variables!$AC$3:$AD$8,2,FALSE),"Y","N")</f>
        <v>N</v>
      </c>
      <c r="X131" s="247">
        <f t="shared" si="63"/>
        <v>1</v>
      </c>
      <c r="Y131" s="247">
        <f t="shared" si="84"/>
        <v>5.0799999999999998E-2</v>
      </c>
      <c r="Z131" s="247">
        <f t="shared" si="85"/>
        <v>23.319099999999999</v>
      </c>
      <c r="AA131" s="247">
        <f t="shared" si="86"/>
        <v>23.2683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87"/>
        <v>217</v>
      </c>
      <c r="AE131" s="235" t="str">
        <f t="shared" si="44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31" s="234" t="str">
        <f t="shared" si="45"/>
        <v>"C:\Program Files (x86)\AstroGrep\AstroGrep.exe" /e /r /s /spath="%USERPROFILE%\AppData\Local\Temp\OnboardLogs" /stypes="app*4018*20171220*" /stext=" 01:.+((SYSTEM_STATE.+slice.+state.+changed )|(ment ac)|(multiple cpu faults)|(system.+state.+changed )|(\[timeout)|(PRM\|1\|D)|(kpr)|(kdp)|(train st.+moving)|(\|gpps)|(penalty))"</v>
      </c>
      <c r="AG131" s="244" t="str">
        <f t="shared" si="88"/>
        <v>EC</v>
      </c>
      <c r="AH131" s="236" t="str">
        <f t="shared" si="47"/>
        <v>"%USERPROFILE%\Documents\GitHub\eaglep3\Utilities\RefineRTDCRunTimes.py" --tripid 217-19 --locoid 4018 --swversion DE.1.0.9.0 --startMP 204:508 --initTime 2017-12-19T18:09:32 --startdatetime 2017-12-19T18:15:18 --delay 145 --endMP 204:233191 --enddatetime 2017-12-19T18:51:39 --enforcementcount 0 &gt;&gt;%USERPROFILE%\Documents\GitHub\eaglep3-reporting\EC\2017-12-19-refined-times.txt</v>
      </c>
      <c r="AI13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{"issue":{"subject":"","project_id":79,"tracker_id":40,"status_id":1,"priority_id":2,"assigned_to_id":338,"start_date":"2017-12-19","description":"","custom_fields":[{"id":1,"name":"Subdivision","value":"EC"},{"id":4,"name":"Milepost","value":"23.3191"},{"id":17,"name":"Train ID","value":"217-19"},{"id":16,"name":"Locomotive ID","value":"4018"},{"id":130,"name":"Impact","value":""},{"id":150,"name":"Time of Event (Mountain Time)","value":"18:51:39"},{"id":151,"name":"Denver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9"/>
        <v>start /low /b %USERPROFILE%\Documents\GitHub\eaglep3\Utilities\DownloadLogsFromS3.py --loco 4018 --day 2017-12-19</v>
      </c>
      <c r="AN131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1"/>
        <v>https://d0f6bd738d7f1b3e5a7ca70fe4ff75f0.us-east-1.aws.found.io/app/kibana#/discover/Steve-Slow-Train-Analysis-(2080s-and-2083s)?_g=(refreshInterval:(display:Off,pause:!f,section:0,value:0),time:(from:'2017-12-19T17:09:32-0700',mode:absolute,to:'2017-12-19T19:51:39-0700'))&amp;_a=(columns:!('Message%20ID',Summary),filters:!(),index:'emp_*',interval:auto,query:(query_string:(analyze_wildcard:!t,query:'%22rtdc.l.rtdc.4018%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876</v>
      </c>
      <c r="B132" s="225">
        <v>4017</v>
      </c>
      <c r="C132" s="227" t="s">
        <v>192</v>
      </c>
      <c r="D132" s="227" t="s">
        <v>989</v>
      </c>
      <c r="E132" s="226">
        <v>43088.790798611109</v>
      </c>
      <c r="F132" s="226">
        <v>43088.80027777778</v>
      </c>
      <c r="G132" s="225">
        <v>84</v>
      </c>
      <c r="H132" s="227" t="s">
        <v>633</v>
      </c>
      <c r="I132" s="226">
        <v>43088.827418981484</v>
      </c>
      <c r="J132" s="225">
        <v>0</v>
      </c>
      <c r="K132" s="237" t="str">
        <f t="shared" si="79"/>
        <v>4017/4018</v>
      </c>
      <c r="L132" s="245" t="str">
        <f>VLOOKUP(A132,'Trips&amp;Operators'!$C$1:$G$99911,5,FALSE)</f>
        <v>NICHOLSON WESLEY</v>
      </c>
      <c r="M132" s="224">
        <f t="shared" si="80"/>
        <v>2.7141203703649808E-2</v>
      </c>
      <c r="N132" s="225">
        <f t="shared" si="81"/>
        <v>39.083333333255723</v>
      </c>
      <c r="O132" s="225"/>
      <c r="P132" s="225"/>
      <c r="Q132" s="228"/>
      <c r="R132" s="242"/>
      <c r="S132" s="249">
        <f t="shared" si="82"/>
        <v>1</v>
      </c>
      <c r="T132" s="242" t="str">
        <f t="shared" si="83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8"/>
        <v>https://d0f6bd738d7f1b3e5a7ca70fe4ff75f0.us-east-1.aws.found.io/app/kibana#/discover/Steve-Slow-Train-Analysis-(2080s-and-2083s)?_g=(refreshInterval:(display:Off,pause:!f,section:0,value:0),time:(from:'2017-12-19T17:58:45-0700',mode:absolute,to:'2017-12-19T20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247" t="str">
        <f>IF(AA132&lt;VLOOKUP(AG132,Variables!$AC$3:$AD$8,2,FALSE),"Y","N")</f>
        <v>N</v>
      </c>
      <c r="X132" s="247">
        <f t="shared" si="63"/>
        <v>1</v>
      </c>
      <c r="Y132" s="247">
        <f t="shared" si="84"/>
        <v>23.287199999999999</v>
      </c>
      <c r="Z132" s="247">
        <f t="shared" si="85"/>
        <v>2.4299999999999999E-2</v>
      </c>
      <c r="AA132" s="247">
        <f t="shared" si="86"/>
        <v>23.262899999999998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87"/>
        <v>218</v>
      </c>
      <c r="AE132" s="235" t="str">
        <f t="shared" si="44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32" s="234" t="str">
        <f t="shared" si="45"/>
        <v>"C:\Program Files (x86)\AstroGrep\AstroGrep.exe" /e /r /s /spath="%USERPROFILE%\AppData\Local\Temp\OnboardLogs" /stypes="app*4017*20171220*" /stext=" 02:.+((SYSTEM_STATE.+slice.+state.+changed )|(ment ac)|(multiple cpu faults)|(system.+state.+changed )|(\[timeout)|(PRM\|1\|D)|(kpr)|(kdp)|(train st.+moving)|(\|gpps)|(penalty))"</v>
      </c>
      <c r="AG132" s="244" t="str">
        <f t="shared" si="88"/>
        <v>EC</v>
      </c>
      <c r="AH132" s="236" t="str">
        <f t="shared" si="47"/>
        <v>"%USERPROFILE%\Documents\GitHub\eaglep3\Utilities\RefineRTDCRunTimes.py" --tripid 218-19 --locoid 4017 --swversion DE.1.0.9.0 --startMP 204:232872 --initTime 2017-12-19T18:58:45 --startdatetime 2017-12-19T19:12:24 --delay 84 --endMP 204:243 --enddatetime 2017-12-19T19:51:29 --enforcementcount 0 &gt;&gt;%USERPROFILE%\Documents\GitHub\eaglep3-reporting\EC\2017-12-19-refined-times.txt</v>
      </c>
      <c r="AI13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{"issue":{"subject":"","project_id":79,"tracker_id":40,"status_id":1,"priority_id":2,"assigned_to_id":338,"start_date":"2017-12-19","description":"","custom_fields":[{"id":1,"name":"Subdivision","value":"EC"},{"id":4,"name":"Milepost","value":"0.0243"},{"id":17,"name":"Train ID","value":"218-19"},{"id":16,"name":"Locomotive ID","value":"4017"},{"id":130,"name":"Impact","value":""},{"id":150,"name":"Time of Event (Mountain Time)","value":"19:51:29"},{"id":151,"name":"Denver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49"/>
        <v>start /low /b %USERPROFILE%\Documents\GitHub\eaglep3\Utilities\DownloadLogsFromS3.py --loco 4017 --day 2017-12-19</v>
      </c>
      <c r="AN132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1"/>
        <v>https://d0f6bd738d7f1b3e5a7ca70fe4ff75f0.us-east-1.aws.found.io/app/kibana#/discover/Steve-Slow-Train-Analysis-(2080s-and-2083s)?_g=(refreshInterval:(display:Off,pause:!f,section:0,value:0),time:(from:'2017-12-19T17:58:45-0700',mode:absolute,to:'2017-12-19T20:51:29-0700'))&amp;_a=(columns:!('Message%20ID',Summary),filters:!(),index:'emp_*',interval:auto,query:(query_string:(analyze_wildcard:!t,query:'%22rtdc.l.rtdc.4017%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867</v>
      </c>
      <c r="B133" s="225">
        <v>4014</v>
      </c>
      <c r="C133" s="227" t="s">
        <v>192</v>
      </c>
      <c r="D133" s="227" t="s">
        <v>560</v>
      </c>
      <c r="E133" s="226">
        <v>43088.767638888887</v>
      </c>
      <c r="F133" s="226">
        <v>43088.771331018521</v>
      </c>
      <c r="G133" s="225">
        <v>88</v>
      </c>
      <c r="H133" s="227" t="s">
        <v>973</v>
      </c>
      <c r="I133" s="226">
        <v>43088.797395833331</v>
      </c>
      <c r="J133" s="225">
        <v>0</v>
      </c>
      <c r="K133" s="237" t="str">
        <f t="shared" si="79"/>
        <v>4013/4014</v>
      </c>
      <c r="L133" s="245" t="str">
        <f>VLOOKUP(A133,'Trips&amp;Operators'!$C$1:$G$99911,5,FALSE)</f>
        <v>ANDERS STEVEN</v>
      </c>
      <c r="M133" s="224">
        <f t="shared" si="80"/>
        <v>2.6064814810524695E-2</v>
      </c>
      <c r="N133" s="225">
        <f t="shared" si="81"/>
        <v>37.53333332715556</v>
      </c>
      <c r="O133" s="225"/>
      <c r="P133" s="225"/>
      <c r="Q133" s="228"/>
      <c r="R133" s="242"/>
      <c r="S133" s="249">
        <f t="shared" si="82"/>
        <v>1</v>
      </c>
      <c r="T133" s="242" t="str">
        <f t="shared" si="83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8"/>
        <v>https://d0f6bd738d7f1b3e5a7ca70fe4ff75f0.us-east-1.aws.found.io/app/kibana#/discover/Steve-Slow-Train-Analysis-(2080s-and-2083s)?_g=(refreshInterval:(display:Off,pause:!f,section:0,value:0),time:(from:'2017-12-19T17:25:24-0700',mode:absolute,to:'2017-12-19T20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247" t="str">
        <f>IF(AA133&lt;VLOOKUP(AG133,Variables!$AC$3:$AD$8,2,FALSE),"Y","N")</f>
        <v>N</v>
      </c>
      <c r="X133" s="247">
        <f t="shared" si="63"/>
        <v>1</v>
      </c>
      <c r="Y133" s="247">
        <f t="shared" si="84"/>
        <v>4.9700000000000001E-2</v>
      </c>
      <c r="Z133" s="247">
        <f t="shared" si="85"/>
        <v>23.325900000000001</v>
      </c>
      <c r="AA133" s="247">
        <f t="shared" si="86"/>
        <v>23.276199999999999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87"/>
        <v>219</v>
      </c>
      <c r="AE133" s="235" t="str">
        <f t="shared" si="44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133" s="234" t="str">
        <f t="shared" si="45"/>
        <v>"C:\Program Files (x86)\AstroGrep\AstroGrep.exe" /e /r /s /spath="%USERPROFILE%\AppData\Local\Temp\OnboardLogs" /stypes="app*4014*20171220*" /stext=" 02:.+((SYSTEM_STATE.+slice.+state.+changed )|(ment ac)|(multiple cpu faults)|(system.+state.+changed )|(\[timeout)|(PRM\|1\|D)|(kpr)|(kdp)|(train st.+moving)|(\|gpps)|(penalty))"</v>
      </c>
      <c r="AG133" s="244" t="str">
        <f t="shared" si="88"/>
        <v>EC</v>
      </c>
      <c r="AH133" s="236" t="str">
        <f t="shared" si="47"/>
        <v>"%USERPROFILE%\Documents\GitHub\eaglep3\Utilities\RefineRTDCRunTimes.py" --tripid 219-19 --locoid 4014 --swversion DE.1.0.9.0 --startMP 204:497 --initTime 2017-12-19T18:25:24 --startdatetime 2017-12-19T18:30:43 --delay 88 --endMP 204:233259 --enddatetime 2017-12-19T19:08:15 --enforcementcount 0 &gt;&gt;%USERPROFILE%\Documents\GitHub\eaglep3-reporting\EC\2017-12-19-refined-times.txt</v>
      </c>
      <c r="AI13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{"issue":{"subject":"","project_id":79,"tracker_id":40,"status_id":1,"priority_id":2,"assigned_to_id":338,"start_date":"2017-12-19","description":"","custom_fields":[{"id":1,"name":"Subdivision","value":"EC"},{"id":4,"name":"Milepost","value":"23.3259"},{"id":17,"name":"Train ID","value":"219-19"},{"id":16,"name":"Locomotive ID","value":"4014"},{"id":130,"name":"Impact","value":""},{"id":150,"name":"Time of Event (Mountain Time)","value":"19:08:15"},{"id":151,"name":"Denver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9"/>
        <v>start /low /b %USERPROFILE%\Documents\GitHub\eaglep3\Utilities\DownloadLogsFromS3.py --loco 4014 --day 2017-12-19</v>
      </c>
      <c r="AN133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1"/>
        <v>https://d0f6bd738d7f1b3e5a7ca70fe4ff75f0.us-east-1.aws.found.io/app/kibana#/discover/Steve-Slow-Train-Analysis-(2080s-and-2083s)?_g=(refreshInterval:(display:Off,pause:!f,section:0,value:0),time:(from:'2017-12-19T17:25:24-0700',mode:absolute,to:'2017-12-19T20:08:15-0700'))&amp;_a=(columns:!('Message%20ID',Summary),filters:!(),index:'emp_*',interval:auto,query:(query_string:(analyze_wildcard:!t,query:'%22rtdc.l.rtdc.4014%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25">
      <c r="A134" s="229" t="s">
        <v>878</v>
      </c>
      <c r="B134" s="225">
        <v>4013</v>
      </c>
      <c r="C134" s="227" t="s">
        <v>192</v>
      </c>
      <c r="D134" s="227" t="s">
        <v>990</v>
      </c>
      <c r="E134" s="226">
        <v>43088.798888888887</v>
      </c>
      <c r="F134" s="226">
        <v>43088.810590277775</v>
      </c>
      <c r="G134" s="225">
        <v>78</v>
      </c>
      <c r="H134" s="227" t="s">
        <v>965</v>
      </c>
      <c r="I134" s="226">
        <v>43088.836863425924</v>
      </c>
      <c r="J134" s="225">
        <v>0</v>
      </c>
      <c r="K134" s="237" t="str">
        <f t="shared" si="79"/>
        <v>4013/4014</v>
      </c>
      <c r="L134" s="245" t="str">
        <f>VLOOKUP(A134,'Trips&amp;Operators'!$C$1:$G$99911,5,FALSE)</f>
        <v>ANDERS STEVEN</v>
      </c>
      <c r="M134" s="224">
        <f t="shared" si="80"/>
        <v>2.6273148148902692E-2</v>
      </c>
      <c r="N134" s="225">
        <f t="shared" si="81"/>
        <v>37.833333334419876</v>
      </c>
      <c r="O134" s="225"/>
      <c r="P134" s="225"/>
      <c r="Q134" s="228"/>
      <c r="R134" s="242"/>
      <c r="S134" s="249">
        <f t="shared" si="82"/>
        <v>1</v>
      </c>
      <c r="T134" s="242" t="str">
        <f t="shared" si="83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8"/>
        <v>https://d0f6bd738d7f1b3e5a7ca70fe4ff75f0.us-east-1.aws.found.io/app/kibana#/discover/Steve-Slow-Train-Analysis-(2080s-and-2083s)?_g=(refreshInterval:(display:Off,pause:!f,section:0,value:0),time:(from:'2017-12-19T18:10:24-0700',mode:absolute,to:'2017-12-19T21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247" t="str">
        <f>IF(AA134&lt;VLOOKUP(AG134,Variables!$AC$3:$AD$8,2,FALSE),"Y","N")</f>
        <v>N</v>
      </c>
      <c r="X134" s="247">
        <f t="shared" si="63"/>
        <v>1</v>
      </c>
      <c r="Y134" s="247">
        <f t="shared" si="84"/>
        <v>23.294599999999999</v>
      </c>
      <c r="Z134" s="247">
        <f t="shared" si="85"/>
        <v>2.3800000000000002E-2</v>
      </c>
      <c r="AA134" s="247">
        <f t="shared" si="86"/>
        <v>23.270799999999998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87"/>
        <v>220</v>
      </c>
      <c r="AE134" s="235" t="str">
        <f t="shared" si="44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134" s="234" t="str">
        <f t="shared" si="45"/>
        <v>"C:\Program Files (x86)\AstroGrep\AstroGrep.exe" /e /r /s /spath="%USERPROFILE%\AppData\Local\Temp\OnboardLogs" /stypes="app*4013*20171220*" /stext=" 03:.+((SYSTEM_STATE.+slice.+state.+changed )|(ment ac)|(multiple cpu faults)|(system.+state.+changed )|(\[timeout)|(PRM\|1\|D)|(kpr)|(kdp)|(train st.+moving)|(\|gpps)|(penalty))"</v>
      </c>
      <c r="AG134" s="244" t="str">
        <f t="shared" si="88"/>
        <v>EC</v>
      </c>
      <c r="AH134" s="236" t="str">
        <f t="shared" si="47"/>
        <v>"%USERPROFILE%\Documents\GitHub\eaglep3\Utilities\RefineRTDCRunTimes.py" --tripid 220-19 --locoid 4013 --swversion DE.1.0.9.0 --startMP 204:232946 --initTime 2017-12-19T19:10:24 --startdatetime 2017-12-19T19:27:15 --delay 78 --endMP 204:238 --enddatetime 2017-12-19T20:05:05 --enforcementcount 0 &gt;&gt;%USERPROFILE%\Documents\GitHub\eaglep3-reporting\EC\2017-12-19-refined-times.txt</v>
      </c>
      <c r="AI134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{"issue":{"subject":"","project_id":79,"tracker_id":40,"status_id":1,"priority_id":2,"assigned_to_id":338,"start_date":"2017-12-19","description":"","custom_fields":[{"id":1,"name":"Subdivision","value":"EC"},{"id":4,"name":"Milepost","value":"0.0238"},{"id":17,"name":"Train ID","value":"220-19"},{"id":16,"name":"Locomotive ID","value":"4013"},{"id":130,"name":"Impact","value":""},{"id":150,"name":"Time of Event (Mountain Time)","value":"20:05:05"},{"id":151,"name":"Denver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49"/>
        <v>start /low /b %USERPROFILE%\Documents\GitHub\eaglep3\Utilities\DownloadLogsFromS3.py --loco 4013 --day 2017-12-19</v>
      </c>
      <c r="AN134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1"/>
        <v>https://d0f6bd738d7f1b3e5a7ca70fe4ff75f0.us-east-1.aws.found.io/app/kibana#/discover/Steve-Slow-Train-Analysis-(2080s-and-2083s)?_g=(refreshInterval:(display:Off,pause:!f,section:0,value:0),time:(from:'2017-12-19T18:10:24-0700',mode:absolute,to:'2017-12-19T21:05:05-0700'))&amp;_a=(columns:!('Message%20ID',Summary),filters:!(),index:'emp_*',interval:auto,query:(query_string:(analyze_wildcard:!t,query:'%22rtdc.l.rtdc.4013%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25">
      <c r="A135" s="229" t="s">
        <v>874</v>
      </c>
      <c r="B135" s="225">
        <v>4056</v>
      </c>
      <c r="C135" s="227" t="s">
        <v>192</v>
      </c>
      <c r="D135" s="227" t="s">
        <v>991</v>
      </c>
      <c r="E135" s="226">
        <v>43088.787754629629</v>
      </c>
      <c r="F135" s="226">
        <v>43088.791898148149</v>
      </c>
      <c r="G135" s="225">
        <v>77</v>
      </c>
      <c r="H135" s="227" t="s">
        <v>642</v>
      </c>
      <c r="I135" s="226">
        <v>43088.815949074073</v>
      </c>
      <c r="J135" s="225">
        <v>0</v>
      </c>
      <c r="K135" s="237" t="str">
        <f t="shared" si="79"/>
        <v>4055/4056</v>
      </c>
      <c r="L135" s="245" t="str">
        <f>VLOOKUP(A135,'Trips&amp;Operators'!$C$1:$G$99911,5,FALSE)</f>
        <v>RESPASS AARON</v>
      </c>
      <c r="M135" s="224">
        <f t="shared" si="80"/>
        <v>2.4050925923802424E-2</v>
      </c>
      <c r="N135" s="225">
        <f t="shared" si="81"/>
        <v>34.633333330275491</v>
      </c>
      <c r="O135" s="225"/>
      <c r="P135" s="225"/>
      <c r="Q135" s="228"/>
      <c r="R135" s="242"/>
      <c r="S135" s="249">
        <f t="shared" si="82"/>
        <v>1</v>
      </c>
      <c r="T135" s="242" t="str">
        <f t="shared" si="83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8"/>
        <v>https://d0f6bd738d7f1b3e5a7ca70fe4ff75f0.us-east-1.aws.found.io/app/kibana#/discover/Steve-Slow-Train-Analysis-(2080s-and-2083s)?_g=(refreshInterval:(display:Off,pause:!f,section:0,value:0),time:(from:'2017-12-19T17:54:22-0700',mode:absolute,to:'2017-12-19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47" t="str">
        <f>IF(AA135&lt;VLOOKUP(AG135,Variables!$AC$3:$AD$8,2,FALSE),"Y","N")</f>
        <v>N</v>
      </c>
      <c r="X135" s="247">
        <f t="shared" si="63"/>
        <v>1</v>
      </c>
      <c r="Y135" s="247">
        <f t="shared" si="84"/>
        <v>5.4899999999999997E-2</v>
      </c>
      <c r="Z135" s="247">
        <f t="shared" si="85"/>
        <v>23.323799999999999</v>
      </c>
      <c r="AA135" s="247">
        <f t="shared" si="86"/>
        <v>23.268899999999999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87"/>
        <v>221</v>
      </c>
      <c r="AE135" s="235" t="str">
        <f t="shared" si="44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35" s="234" t="str">
        <f t="shared" si="45"/>
        <v>"C:\Program Files (x86)\AstroGrep\AstroGrep.exe" /e /r /s /spath="%USERPROFILE%\AppData\Local\Temp\OnboardLogs" /stypes="app*4056*20171220*" /stext=" 02:.+((SYSTEM_STATE.+slice.+state.+changed )|(ment ac)|(multiple cpu faults)|(system.+state.+changed )|(\[timeout)|(PRM\|1\|D)|(kpr)|(kdp)|(train st.+moving)|(\|gpps)|(penalty))"</v>
      </c>
      <c r="AG135" s="244" t="str">
        <f t="shared" si="88"/>
        <v>EC</v>
      </c>
      <c r="AH135" s="236" t="str">
        <f t="shared" si="47"/>
        <v>"%USERPROFILE%\Documents\GitHub\eaglep3\Utilities\RefineRTDCRunTimes.py" --tripid 221-19 --locoid 4056 --swversion DE.1.0.9.0 --startMP 204:549 --initTime 2017-12-19T18:54:22 --startdatetime 2017-12-19T19:00:20 --delay 77 --endMP 204:233238 --enddatetime 2017-12-19T19:34:58 --enforcementcount 0 &gt;&gt;%USERPROFILE%\Documents\GitHub\eaglep3-reporting\EC\2017-12-19-refined-times.txt</v>
      </c>
      <c r="AI135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{"issue":{"subject":"","project_id":79,"tracker_id":40,"status_id":1,"priority_id":2,"assigned_to_id":338,"start_date":"2017-12-19","description":"","custom_fields":[{"id":1,"name":"Subdivision","value":"EC"},{"id":4,"name":"Milepost","value":"23.3238"},{"id":17,"name":"Train ID","value":"221-19"},{"id":16,"name":"Locomotive ID","value":"4056"},{"id":130,"name":"Impact","value":""},{"id":150,"name":"Time of Event (Mountain Time)","value":"19:34:58"},{"id":151,"name":"Denver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49"/>
        <v>start /low /b %USERPROFILE%\Documents\GitHub\eaglep3\Utilities\DownloadLogsFromS3.py --loco 4056 --day 2017-12-19</v>
      </c>
      <c r="AN135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1"/>
        <v>https://d0f6bd738d7f1b3e5a7ca70fe4ff75f0.us-east-1.aws.found.io/app/kibana#/discover/Steve-Slow-Train-Analysis-(2080s-and-2083s)?_g=(refreshInterval:(display:Off,pause:!f,section:0,value:0),time:(from:'2017-12-19T17:54:22-0700',mode:absolute,to:'2017-12-19T20:34:58-0700'))&amp;_a=(columns:!('Message%20ID',Summary),filters:!(),index:'emp_*',interval:auto,query:(query_string:(analyze_wildcard:!t,query:'%22rtdc.l.rtdc.4056%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692</v>
      </c>
      <c r="B136" s="225">
        <v>4055</v>
      </c>
      <c r="C136" s="227" t="s">
        <v>192</v>
      </c>
      <c r="D136" s="227" t="s">
        <v>942</v>
      </c>
      <c r="E136" s="226">
        <v>43088.827905092592</v>
      </c>
      <c r="F136" s="226">
        <v>43088.831516203703</v>
      </c>
      <c r="G136" s="225">
        <v>67</v>
      </c>
      <c r="H136" s="227" t="s">
        <v>983</v>
      </c>
      <c r="I136" s="226">
        <v>43088.85701388889</v>
      </c>
      <c r="J136" s="225">
        <v>0</v>
      </c>
      <c r="K136" s="237" t="str">
        <f t="shared" si="79"/>
        <v>4055/4056</v>
      </c>
      <c r="L136" s="245" t="str">
        <f>VLOOKUP(A136,'Trips&amp;Operators'!$C$1:$G$99911,5,FALSE)</f>
        <v>RESPASS AARON</v>
      </c>
      <c r="M136" s="224">
        <f t="shared" si="80"/>
        <v>2.5497685186564922E-2</v>
      </c>
      <c r="N136" s="225">
        <f t="shared" si="81"/>
        <v>36.716666668653488</v>
      </c>
      <c r="O136" s="225"/>
      <c r="P136" s="225"/>
      <c r="Q136" s="228"/>
      <c r="R136" s="242"/>
      <c r="S136" s="249">
        <f t="shared" si="82"/>
        <v>1</v>
      </c>
      <c r="T136" s="242" t="str">
        <f t="shared" si="83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8"/>
        <v>https://d0f6bd738d7f1b3e5a7ca70fe4ff75f0.us-east-1.aws.found.io/app/kibana#/discover/Steve-Slow-Train-Analysis-(2080s-and-2083s)?_g=(refreshInterval:(display:Off,pause:!f,section:0,value:0),time:(from:'2017-12-19T18:52:11-0700',mode:absolute,to:'2017-12-19T21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47" t="str">
        <f>IF(AA136&lt;VLOOKUP(AG136,Variables!$AC$3:$AD$8,2,FALSE),"Y","N")</f>
        <v>N</v>
      </c>
      <c r="X136" s="247">
        <f t="shared" si="63"/>
        <v>1</v>
      </c>
      <c r="Y136" s="247">
        <f t="shared" si="84"/>
        <v>23.2911</v>
      </c>
      <c r="Z136" s="247">
        <f t="shared" si="85"/>
        <v>2.5399999999999999E-2</v>
      </c>
      <c r="AA136" s="247">
        <f t="shared" si="86"/>
        <v>23.265699999999999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87"/>
        <v>222</v>
      </c>
      <c r="AE136" s="235" t="str">
        <f t="shared" si="44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36" s="234" t="str">
        <f t="shared" si="45"/>
        <v>"C:\Program Files (x86)\AstroGrep\AstroGrep.exe" /e /r /s /spath="%USERPROFILE%\AppData\Local\Temp\OnboardLogs" /stypes="app*4055*20171220*" /stext=" 03:.+((SYSTEM_STATE.+slice.+state.+changed )|(ment ac)|(multiple cpu faults)|(system.+state.+changed )|(\[timeout)|(PRM\|1\|D)|(kpr)|(kdp)|(train st.+moving)|(\|gpps)|(penalty))"</v>
      </c>
      <c r="AG136" s="244" t="str">
        <f t="shared" si="88"/>
        <v>EC</v>
      </c>
      <c r="AH136" s="236" t="str">
        <f t="shared" si="47"/>
        <v>"%USERPROFILE%\Documents\GitHub\eaglep3\Utilities\RefineRTDCRunTimes.py" --tripid 222-19 --locoid 4055 --swversion DE.1.0.9.0 --startMP 204:232911 --initTime 2017-12-19T19:52:11 --startdatetime 2017-12-19T19:57:23 --delay 67 --endMP 204:254 --enddatetime 2017-12-19T20:34:06 --enforcementcount 0 &gt;&gt;%USERPROFILE%\Documents\GitHub\eaglep3-reporting\EC\2017-12-19-refined-times.txt</v>
      </c>
      <c r="AI136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{"issue":{"subject":"","project_id":79,"tracker_id":40,"status_id":1,"priority_id":2,"assigned_to_id":338,"start_date":"2017-12-19","description":"","custom_fields":[{"id":1,"name":"Subdivision","value":"EC"},{"id":4,"name":"Milepost","value":"0.0254"},{"id":17,"name":"Train ID","value":"222-19"},{"id":16,"name":"Locomotive ID","value":"4055"},{"id":130,"name":"Impact","value":""},{"id":150,"name":"Time of Event (Mountain Time)","value":"20:34:06"},{"id":151,"name":"Denver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9"/>
        <v>start /low /b %USERPROFILE%\Documents\GitHub\eaglep3\Utilities\DownloadLogsFromS3.py --loco 4055 --day 2017-12-19</v>
      </c>
      <c r="AN136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1"/>
        <v>https://d0f6bd738d7f1b3e5a7ca70fe4ff75f0.us-east-1.aws.found.io/app/kibana#/discover/Steve-Slow-Train-Analysis-(2080s-and-2083s)?_g=(refreshInterval:(display:Off,pause:!f,section:0,value:0),time:(from:'2017-12-19T18:52:11-0700',mode:absolute,to:'2017-12-19T21:34:06-0700'))&amp;_a=(columns:!('Message%20ID',Summary),filters:!(),index:'emp_*',interval:auto,query:(query_string:(analyze_wildcard:!t,query:'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880</v>
      </c>
      <c r="B137" s="225">
        <v>4060</v>
      </c>
      <c r="C137" s="227" t="s">
        <v>192</v>
      </c>
      <c r="D137" s="227" t="s">
        <v>649</v>
      </c>
      <c r="E137" s="226">
        <v>43088.81</v>
      </c>
      <c r="F137" s="226">
        <v>43088.812685185185</v>
      </c>
      <c r="G137" s="225">
        <v>72</v>
      </c>
      <c r="H137" s="227" t="s">
        <v>510</v>
      </c>
      <c r="I137" s="226">
        <v>43088.836851851855</v>
      </c>
      <c r="J137" s="225">
        <v>0</v>
      </c>
      <c r="K137" s="237" t="str">
        <f t="shared" si="79"/>
        <v>4059/4060</v>
      </c>
      <c r="L137" s="245" t="str">
        <f>VLOOKUP(A137,'Trips&amp;Operators'!$C$1:$G$99911,5,FALSE)</f>
        <v>LOZA FIDEL</v>
      </c>
      <c r="M137" s="224">
        <f t="shared" si="80"/>
        <v>2.4166666669771075E-2</v>
      </c>
      <c r="N137" s="225">
        <f t="shared" si="81"/>
        <v>34.800000004470348</v>
      </c>
      <c r="O137" s="225"/>
      <c r="P137" s="225"/>
      <c r="Q137" s="228"/>
      <c r="R137" s="242"/>
      <c r="S137" s="249">
        <f t="shared" si="82"/>
        <v>1</v>
      </c>
      <c r="T137" s="242" t="str">
        <f t="shared" si="83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8"/>
        <v>https://d0f6bd738d7f1b3e5a7ca70fe4ff75f0.us-east-1.aws.found.io/app/kibana#/discover/Steve-Slow-Train-Analysis-(2080s-and-2083s)?_g=(refreshInterval:(display:Off,pause:!f,section:0,value:0),time:(from:'2017-12-19T18:26:24-0700',mode:absolute,to:'2017-12-19T21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7" s="247" t="str">
        <f>IF(AA137&lt;VLOOKUP(AG137,Variables!$AC$3:$AD$8,2,FALSE),"Y","N")</f>
        <v>N</v>
      </c>
      <c r="X137" s="247">
        <f t="shared" si="63"/>
        <v>1</v>
      </c>
      <c r="Y137" s="247">
        <f t="shared" si="84"/>
        <v>5.3100000000000001E-2</v>
      </c>
      <c r="Z137" s="247">
        <f t="shared" si="85"/>
        <v>23.329699999999999</v>
      </c>
      <c r="AA137" s="247">
        <f t="shared" si="86"/>
        <v>23.276599999999998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87"/>
        <v>223</v>
      </c>
      <c r="AE137" s="235" t="str">
        <f t="shared" si="44"/>
        <v>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 &amp; aws s3 cp s3://rtdc.mdm.uploadarchive.raw/RTDC4060/ "%USERPROFILE%\AppData\Local\Temp\OnboardLogs"\RTDC4060\2017-12-20 --exclude "*" --recursive --include "*20171220*" &amp; "%USERPROFILE%\Documents\GitHub\mrs-test-scripts\Headless Mode &amp; Sideloading\WalkAndUnGZ.bat" "%USERPROFILE%\AppData\Local\Temp\OnboardLogs"\RTDC4060\2017-12-20</v>
      </c>
      <c r="AF137" s="234" t="str">
        <f t="shared" si="45"/>
        <v>"C:\Program Files (x86)\AstroGrep\AstroGrep.exe" /e /r /s /spath="%USERPROFILE%\AppData\Local\Temp\OnboardLogs" /stypes="app*4060*20171220*" /stext=" 03:.+((SYSTEM_STATE.+slice.+state.+changed )|(ment ac)|(multiple cpu faults)|(system.+state.+changed )|(\[timeout)|(PRM\|1\|D)|(kpr)|(kdp)|(train st.+moving)|(\|gpps)|(penalty))"</v>
      </c>
      <c r="AG137" s="244" t="str">
        <f t="shared" si="88"/>
        <v>EC</v>
      </c>
      <c r="AH137" s="236" t="str">
        <f t="shared" si="47"/>
        <v>"%USERPROFILE%\Documents\GitHub\eaglep3\Utilities\RefineRTDCRunTimes.py" --tripid 223-19 --locoid 4060 --swversion DE.1.0.9.0 --startMP 204:531 --initTime 2017-12-19T19:26:24 --startdatetime 2017-12-19T19:30:16 --delay 72 --endMP 204:233297 --enddatetime 2017-12-19T20:05:04 --enforcementcount 0 &gt;&gt;%USERPROFILE%\Documents\GitHub\eaglep3-reporting\EC\2017-12-19-refined-times.txt</v>
      </c>
      <c r="AI137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{"issue":{"subject":"","project_id":79,"tracker_id":40,"status_id":1,"priority_id":2,"assigned_to_id":338,"start_date":"2017-12-19","description":"","custom_fields":[{"id":1,"name":"Subdivision","value":"EC"},{"id":4,"name":"Milepost","value":"23.3297"},{"id":17,"name":"Train ID","value":"223-19"},{"id":16,"name":"Locomotive ID","value":"4060"},{"id":130,"name":"Impact","value":""},{"id":150,"name":"Time of Event (Mountain Time)","value":"20:05:04"},{"id":151,"name":"Denver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9"/>
        <v>start /low /b %USERPROFILE%\Documents\GitHub\eaglep3\Utilities\DownloadLogsFromS3.py --loco 4060 --day 2017-12-19</v>
      </c>
      <c r="AN137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51"/>
        <v>https://d0f6bd738d7f1b3e5a7ca70fe4ff75f0.us-east-1.aws.found.io/app/kibana#/discover/Steve-Slow-Train-Analysis-(2080s-and-2083s)?_g=(refreshInterval:(display:Off,pause:!f,section:0,value:0),time:(from:'2017-12-19T18:26:24-0700',mode:absolute,to:'2017-12-19T21:05:04-0700'))&amp;_a=(columns:!('Message%20ID',Summary),filters:!(),index:'emp_*',interval:auto,query:(query_string:(analyze_wildcard:!t,query:'%22rtdc.l.rtdc.4060%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888</v>
      </c>
      <c r="B138" s="225">
        <v>4059</v>
      </c>
      <c r="C138" s="227" t="s">
        <v>192</v>
      </c>
      <c r="D138" s="227" t="s">
        <v>931</v>
      </c>
      <c r="E138" s="226">
        <v>43088.850555555553</v>
      </c>
      <c r="F138" s="226">
        <v>43088.852430555555</v>
      </c>
      <c r="G138" s="225">
        <v>76</v>
      </c>
      <c r="H138" s="227" t="s">
        <v>525</v>
      </c>
      <c r="I138" s="226">
        <v>43088.87771990741</v>
      </c>
      <c r="J138" s="225">
        <v>0</v>
      </c>
      <c r="K138" s="237" t="str">
        <f t="shared" si="79"/>
        <v>4059/4060</v>
      </c>
      <c r="L138" s="245" t="str">
        <f>VLOOKUP(A138,'Trips&amp;Operators'!$C$1:$G$99911,5,FALSE)</f>
        <v>LOZA FIDEL</v>
      </c>
      <c r="M138" s="224">
        <f t="shared" si="80"/>
        <v>2.5289351855462883E-2</v>
      </c>
      <c r="N138" s="225">
        <f t="shared" si="81"/>
        <v>36.416666671866551</v>
      </c>
      <c r="O138" s="225"/>
      <c r="P138" s="225"/>
      <c r="Q138" s="228"/>
      <c r="R138" s="242" t="s">
        <v>1093</v>
      </c>
      <c r="S138" s="249">
        <f t="shared" si="82"/>
        <v>1</v>
      </c>
      <c r="T138" s="242" t="str">
        <f t="shared" si="83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8"/>
        <v>https://d0f6bd738d7f1b3e5a7ca70fe4ff75f0.us-east-1.aws.found.io/app/kibana#/discover/Steve-Slow-Train-Analysis-(2080s-and-2083s)?_g=(refreshInterval:(display:Off,pause:!f,section:0,value:0),time:(from:'2017-12-19T19:24:48-0700',mode:absolute,to:'2017-12-19T22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8" s="247" t="str">
        <f>IF(AA138&lt;VLOOKUP(AG138,Variables!$AC$3:$AD$8,2,FALSE),"Y","N")</f>
        <v>N</v>
      </c>
      <c r="X138" s="247">
        <f t="shared" si="63"/>
        <v>1</v>
      </c>
      <c r="Y138" s="247">
        <f t="shared" si="84"/>
        <v>23.297899999999998</v>
      </c>
      <c r="Z138" s="247">
        <f t="shared" si="85"/>
        <v>2.2100000000000002E-2</v>
      </c>
      <c r="AA138" s="247">
        <f t="shared" si="86"/>
        <v>23.2758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87"/>
        <v>224</v>
      </c>
      <c r="AE138" s="235" t="str">
        <f t="shared" si="44"/>
        <v>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 &amp; 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</v>
      </c>
      <c r="AF138" s="234" t="str">
        <f t="shared" si="45"/>
        <v>"C:\Program Files (x86)\AstroGrep\AstroGrep.exe" /e /r /s /spath="%USERPROFILE%\AppData\Local\Temp\OnboardLogs" /stypes="app*4059*20171220*" /stext=" 04:.+((SYSTEM_STATE.+slice.+state.+changed )|(ment ac)|(multiple cpu faults)|(system.+state.+changed )|(\[timeout)|(PRM\|1\|D)|(kpr)|(kdp)|(train st.+moving)|(\|gpps)|(penalty))"</v>
      </c>
      <c r="AG138" s="244" t="str">
        <f t="shared" si="88"/>
        <v>EC</v>
      </c>
      <c r="AH138" s="236" t="str">
        <f t="shared" si="47"/>
        <v>"%USERPROFILE%\Documents\GitHub\eaglep3\Utilities\RefineRTDCRunTimes.py" --tripid 224-19 --locoid 4059 --swversion DE.1.0.9.0 --startMP 204:232979 --initTime 2017-12-19T20:24:48 --startdatetime 2017-12-19T20:27:30 --delay 76 --endMP 204:221 --enddatetime 2017-12-19T21:03:55 --enforcementcount 0 &gt;&gt;%USERPROFILE%\Documents\GitHub\eaglep3-reporting\EC\2017-12-19-refined-times.txt</v>
      </c>
      <c r="AI138" s="238" t="str">
        <f t="shared" si="48"/>
        <v>echo {"issue":{"subject":"Brief Wi-MAX data drop caused unhealthy banners","project_id":79,"tracker_id":40,"status_id":1,"priority_id":2,"assigned_to_id":338,"start_date":"2017-12-19","description":"","custom_fields":[{"id":1,"name":"Subdivision","value":"EC"},{"id":4,"name":"Milepost","value":"0.0221"},{"id":17,"name":"Train ID","value":"224-19"},{"id":16,"name":"Locomotive ID","value":"4059"},{"id":130,"name":"Impact","value":""},{"id":150,"name":"Time of Event (Mountain Time)","value":"21:03:55"},{"id":151,"name":"Denver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9"/>
        <v>start /low /b %USERPROFILE%\Documents\GitHub\eaglep3\Utilities\DownloadLogsFromS3.py --loco 4059 --day 2017-12-19</v>
      </c>
      <c r="AN138" s="241" t="str">
        <f t="shared" si="50"/>
        <v>echo {"issue":{"subject":"Brief Wi-MAX data drop caused unhealthy banners","project_id":30,"tracker_id":4,"status_id":1,"priority_id":1,"assigned_to_id":10,"start_date":"2017-12-20","description":"","custom_fields":[{"id":30,"name":"Category","value":"Issue"},{"id":3,"name":"Functional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1"/>
        <v>https://d0f6bd738d7f1b3e5a7ca70fe4ff75f0.us-east-1.aws.found.io/app/kibana#/discover/Steve-Slow-Train-Analysis-(2080s-and-2083s)?_g=(refreshInterval:(display:Off,pause:!f,section:0,value:0),time:(from:'2017-12-19T19:24:48-0700',mode:absolute,to:'2017-12-19T22:03:55-0700'))&amp;_a=(columns:!('Message%20ID',Summary),filters:!(),index:'emp_*',interval:auto,query:(query_string:(analyze_wildcard:!t,query:'%22rtdc.l.rtdc.4059%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882</v>
      </c>
      <c r="B139" s="225">
        <v>4018</v>
      </c>
      <c r="C139" s="227" t="s">
        <v>192</v>
      </c>
      <c r="D139" s="227" t="s">
        <v>582</v>
      </c>
      <c r="E139" s="226">
        <v>43088.830092592594</v>
      </c>
      <c r="F139" s="226">
        <v>43088.833506944444</v>
      </c>
      <c r="G139" s="225">
        <v>73</v>
      </c>
      <c r="H139" s="227" t="s">
        <v>517</v>
      </c>
      <c r="I139" s="226">
        <v>43088.857974537037</v>
      </c>
      <c r="J139" s="225">
        <v>0</v>
      </c>
      <c r="K139" s="237" t="str">
        <f t="shared" si="79"/>
        <v>4017/4018</v>
      </c>
      <c r="L139" s="245" t="str">
        <f>VLOOKUP(A139,'Trips&amp;Operators'!$C$1:$G$99911,5,FALSE)</f>
        <v>ZEWDU DEREJE</v>
      </c>
      <c r="M139" s="224">
        <f t="shared" si="80"/>
        <v>2.4467592593282461E-2</v>
      </c>
      <c r="N139" s="225">
        <f t="shared" si="81"/>
        <v>35.233333334326744</v>
      </c>
      <c r="O139" s="225"/>
      <c r="P139" s="225"/>
      <c r="Q139" s="228"/>
      <c r="R139" s="242"/>
      <c r="S139" s="249">
        <f t="shared" si="82"/>
        <v>1</v>
      </c>
      <c r="T139" s="242" t="str">
        <f t="shared" si="83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8"/>
        <v>https://d0f6bd738d7f1b3e5a7ca70fe4ff75f0.us-east-1.aws.found.io/app/kibana#/discover/Steve-Slow-Train-Analysis-(2080s-and-2083s)?_g=(refreshInterval:(display:Off,pause:!f,section:0,value:0),time:(from:'2017-12-19T18:55:20-0700',mode:absolute,to:'2017-12-19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247" t="str">
        <f>IF(AA139&lt;VLOOKUP(AG139,Variables!$AC$3:$AD$8,2,FALSE),"Y","N")</f>
        <v>N</v>
      </c>
      <c r="X139" s="247">
        <f t="shared" si="63"/>
        <v>1</v>
      </c>
      <c r="Y139" s="247">
        <f t="shared" si="84"/>
        <v>5.57E-2</v>
      </c>
      <c r="Z139" s="247">
        <f t="shared" si="85"/>
        <v>23.325700000000001</v>
      </c>
      <c r="AA139" s="247">
        <f t="shared" si="86"/>
        <v>23.27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87"/>
        <v>225</v>
      </c>
      <c r="AE139" s="235" t="str">
        <f t="shared" si="44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39" s="234" t="str">
        <f t="shared" si="45"/>
        <v>"C:\Program Files (x86)\AstroGrep\AstroGrep.exe" /e /r /s /spath="%USERPROFILE%\AppData\Local\Temp\OnboardLogs" /stypes="app*4018*20171220*" /stext=" 03:.+((SYSTEM_STATE.+slice.+state.+changed )|(ment ac)|(multiple cpu faults)|(system.+state.+changed )|(\[timeout)|(PRM\|1\|D)|(kpr)|(kdp)|(train st.+moving)|(\|gpps)|(penalty))"</v>
      </c>
      <c r="AG139" s="244" t="str">
        <f t="shared" si="88"/>
        <v>EC</v>
      </c>
      <c r="AH139" s="236" t="str">
        <f t="shared" si="47"/>
        <v>"%USERPROFILE%\Documents\GitHub\eaglep3\Utilities\RefineRTDCRunTimes.py" --tripid 225-19 --locoid 4018 --swversion DE.1.0.9.0 --startMP 204:557 --initTime 2017-12-19T19:55:20 --startdatetime 2017-12-19T20:00:15 --delay 73 --endMP 204:233257 --enddatetime 2017-12-19T20:35:29 --enforcementcount 0 &gt;&gt;%USERPROFILE%\Documents\GitHub\eaglep3-reporting\EC\2017-12-19-refined-times.txt</v>
      </c>
      <c r="AI139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{"issue":{"subject":"","project_id":79,"tracker_id":40,"status_id":1,"priority_id":2,"assigned_to_id":338,"start_date":"2017-12-19","description":"","custom_fields":[{"id":1,"name":"Subdivision","value":"EC"},{"id":4,"name":"Milepost","value":"23.3257"},{"id":17,"name":"Train ID","value":"225-19"},{"id":16,"name":"Locomotive ID","value":"4018"},{"id":130,"name":"Impact","value":""},{"id":150,"name":"Time of Event (Mountain Time)","value":"20:35:29"},{"id":151,"name":"Denver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9"/>
        <v>start /low /b %USERPROFILE%\Documents\GitHub\eaglep3\Utilities\DownloadLogsFromS3.py --loco 4018 --day 2017-12-19</v>
      </c>
      <c r="AN139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1"/>
        <v>https://d0f6bd738d7f1b3e5a7ca70fe4ff75f0.us-east-1.aws.found.io/app/kibana#/discover/Steve-Slow-Train-Analysis-(2080s-and-2083s)?_g=(refreshInterval:(display:Off,pause:!f,section:0,value:0),time:(from:'2017-12-19T18:55:20-0700',mode:absolute,to:'2017-12-19T21:35:29-0700'))&amp;_a=(columns:!('Message%20ID',Summary),filters:!(),index:'emp_*',interval:auto,query:(query_string:(analyze_wildcard:!t,query:'%22rtdc.l.rtdc.4018%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889</v>
      </c>
      <c r="B140" s="225">
        <v>4017</v>
      </c>
      <c r="C140" s="227" t="s">
        <v>192</v>
      </c>
      <c r="D140" s="227" t="s">
        <v>536</v>
      </c>
      <c r="E140" s="226">
        <v>43088.864166666666</v>
      </c>
      <c r="F140" s="226">
        <v>43088.873101851852</v>
      </c>
      <c r="G140" s="225">
        <v>97</v>
      </c>
      <c r="H140" s="227" t="s">
        <v>972</v>
      </c>
      <c r="I140" s="226">
        <v>43088.898530092592</v>
      </c>
      <c r="J140" s="225">
        <v>0</v>
      </c>
      <c r="K140" s="237" t="str">
        <f t="shared" si="79"/>
        <v>4017/4018</v>
      </c>
      <c r="L140" s="245" t="str">
        <f>VLOOKUP(A140,'Trips&amp;Operators'!$C$1:$G$99911,5,FALSE)</f>
        <v>ZEWDU DEREJE</v>
      </c>
      <c r="M140" s="224">
        <f t="shared" si="80"/>
        <v>2.5428240740438923E-2</v>
      </c>
      <c r="N140" s="225">
        <f t="shared" si="81"/>
        <v>36.616666666232049</v>
      </c>
      <c r="O140" s="225"/>
      <c r="P140" s="225"/>
      <c r="Q140" s="228"/>
      <c r="R140" s="242"/>
      <c r="S140" s="249">
        <f t="shared" si="82"/>
        <v>1</v>
      </c>
      <c r="T140" s="242" t="str">
        <f t="shared" si="83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8"/>
        <v>https://d0f6bd738d7f1b3e5a7ca70fe4ff75f0.us-east-1.aws.found.io/app/kibana#/discover/Steve-Slow-Train-Analysis-(2080s-and-2083s)?_g=(refreshInterval:(display:Off,pause:!f,section:0,value:0),time:(from:'2017-12-19T19:44:24-0700',mode:absolute,to:'2017-12-19T22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247" t="str">
        <f>IF(AA140&lt;VLOOKUP(AG140,Variables!$AC$3:$AD$8,2,FALSE),"Y","N")</f>
        <v>N</v>
      </c>
      <c r="X140" s="247">
        <f t="shared" si="63"/>
        <v>1</v>
      </c>
      <c r="Y140" s="247">
        <f t="shared" si="84"/>
        <v>23.295300000000001</v>
      </c>
      <c r="Z140" s="247">
        <f t="shared" si="85"/>
        <v>2.4E-2</v>
      </c>
      <c r="AA140" s="247">
        <f t="shared" si="86"/>
        <v>23.2713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87"/>
        <v>226</v>
      </c>
      <c r="AE140" s="235" t="str">
        <f t="shared" si="44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40" s="234" t="str">
        <f t="shared" si="45"/>
        <v>"C:\Program Files (x86)\AstroGrep\AstroGrep.exe" /e /r /s /spath="%USERPROFILE%\AppData\Local\Temp\OnboardLogs" /stypes="app*4017*20171220*" /stext=" 04:.+((SYSTEM_STATE.+slice.+state.+changed )|(ment ac)|(multiple cpu faults)|(system.+state.+changed )|(\[timeout)|(PRM\|1\|D)|(kpr)|(kdp)|(train st.+moving)|(\|gpps)|(penalty))"</v>
      </c>
      <c r="AG140" s="244" t="str">
        <f t="shared" si="88"/>
        <v>EC</v>
      </c>
      <c r="AH140" s="236" t="str">
        <f t="shared" si="47"/>
        <v>"%USERPROFILE%\Documents\GitHub\eaglep3\Utilities\RefineRTDCRunTimes.py" --tripid 226-19 --locoid 4017 --swversion DE.1.0.9.0 --startMP 204:232953 --initTime 2017-12-19T20:44:24 --startdatetime 2017-12-19T20:57:16 --delay 97 --endMP 204:240 --enddatetime 2017-12-19T21:33:53 --enforcementcount 0 &gt;&gt;%USERPROFILE%\Documents\GitHub\eaglep3-reporting\EC\2017-12-19-refined-times.txt</v>
      </c>
      <c r="AI140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{"issue":{"subject":"","project_id":79,"tracker_id":40,"status_id":1,"priority_id":2,"assigned_to_id":338,"start_date":"2017-12-19","description":"","custom_fields":[{"id":1,"name":"Subdivision","value":"EC"},{"id":4,"name":"Milepost","value":"0.024"},{"id":17,"name":"Train ID","value":"226-19"},{"id":16,"name":"Locomotive ID","value":"4017"},{"id":130,"name":"Impact","value":""},{"id":150,"name":"Time of Event (Mountain Time)","value":"21:33:53"},{"id":151,"name":"Denver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9"/>
        <v>start /low /b %USERPROFILE%\Documents\GitHub\eaglep3\Utilities\DownloadLogsFromS3.py --loco 4017 --day 2017-12-19</v>
      </c>
      <c r="AN140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1"/>
        <v>https://d0f6bd738d7f1b3e5a7ca70fe4ff75f0.us-east-1.aws.found.io/app/kibana#/discover/Steve-Slow-Train-Analysis-(2080s-and-2083s)?_g=(refreshInterval:(display:Off,pause:!f,section:0,value:0),time:(from:'2017-12-19T19:44:24-0700',mode:absolute,to:'2017-12-19T22:33:53-0700'))&amp;_a=(columns:!('Message%20ID',Summary),filters:!(),index:'emp_*',interval:auto,query:(query_string:(analyze_wildcard:!t,query:'%22rtdc.l.rtdc.4017%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886</v>
      </c>
      <c r="B141" s="225">
        <v>4014</v>
      </c>
      <c r="C141" s="227" t="s">
        <v>192</v>
      </c>
      <c r="D141" s="227" t="s">
        <v>627</v>
      </c>
      <c r="E141" s="226">
        <v>43088.849606481483</v>
      </c>
      <c r="F141" s="226">
        <v>43088.854560185187</v>
      </c>
      <c r="G141" s="225">
        <v>97</v>
      </c>
      <c r="H141" s="227" t="s">
        <v>992</v>
      </c>
      <c r="I141" s="226">
        <v>43088.87909722222</v>
      </c>
      <c r="J141" s="225">
        <v>0</v>
      </c>
      <c r="K141" s="237" t="str">
        <f t="shared" si="79"/>
        <v>4013/4014</v>
      </c>
      <c r="L141" s="245" t="str">
        <f>VLOOKUP(A141,'Trips&amp;Operators'!$C$1:$G$99911,5,FALSE)</f>
        <v>MAGEE KENYA</v>
      </c>
      <c r="M141" s="224">
        <f t="shared" si="80"/>
        <v>2.4537037032132503E-2</v>
      </c>
      <c r="N141" s="225">
        <f t="shared" si="81"/>
        <v>35.333333326270804</v>
      </c>
      <c r="O141" s="225"/>
      <c r="P141" s="225"/>
      <c r="Q141" s="228"/>
      <c r="R141" s="242"/>
      <c r="S141" s="249">
        <f t="shared" si="82"/>
        <v>1</v>
      </c>
      <c r="T141" s="242" t="str">
        <f t="shared" si="83"/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8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-19T19:23:26-0700',mode:absolute,to:'2017-12-19T22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247" t="str">
        <f>IF(AA141&lt;VLOOKUP(AG141,Variables!$AC$3:$AD$8,2,FALSE),"Y","N")</f>
        <v>N</v>
      </c>
      <c r="X141" s="247">
        <f t="shared" si="63"/>
        <v>1</v>
      </c>
      <c r="Y141" s="247">
        <f t="shared" si="84"/>
        <v>5.4600000000000003E-2</v>
      </c>
      <c r="Z141" s="247">
        <f t="shared" si="85"/>
        <v>23.319299999999998</v>
      </c>
      <c r="AA141" s="247">
        <f t="shared" si="86"/>
        <v>23.264699999999998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si="87"/>
        <v>227</v>
      </c>
      <c r="AE141" s="235" t="str">
        <f t="shared" ref="AE141:AE204" si="9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141" s="234" t="str">
        <f t="shared" ref="AF141:AF204" si="9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/stypes="app*4014*20171220*" /stext=" 04:.+((SYSTEM_STATE.+slice.+state.+changed )|(ment ac)|(multiple cpu faults)|(system.+state.+changed )|(\[timeout)|(PRM\|1\|D)|(kpr)|(kdp)|(train st.+moving)|(\|gpps)|(penalty))"</v>
      </c>
      <c r="AG141" s="244" t="str">
        <f t="shared" si="88"/>
        <v>EC</v>
      </c>
      <c r="AH141" s="236" t="str">
        <f t="shared" si="47"/>
        <v>"%USERPROFILE%\Documents\GitHub\eaglep3\Utilities\RefineRTDCRunTimes.py" --tripid 227-19 --locoid 4014 --swversion DE.1.0.9.0 --startMP 204:546 --initTime 2017-12-19T20:23:26 --startdatetime 2017-12-19T20:30:34 --delay 97 --endMP 204:233193 --enddatetime 2017-12-19T21:05:54 --enforcementcount 0 &gt;&gt;%USERPROFILE%\Documents\GitHub\eaglep3-reporting\EC\2017-12-19-refined-times.txt</v>
      </c>
      <c r="AI141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{"issue":{"subject":"","project_id":79,"tracker_id":40,"status_id":1,"priority_id":2,"assigned_to_id":338,"start_date":"2017-12-19","description":"","custom_fields":[{"id":1,"name":"Subdivision","value":"EC"},{"id":4,"name":"Milepost","value":"23.3193"},{"id":17,"name":"Train ID","value":"227-19"},{"id":16,"name":"Locomotive ID","value":"4014"},{"id":130,"name":"Impact","value":""},{"id":150,"name":"Time of Event (Mountain Time)","value":"21:05:54"},{"id":151,"name":"Denver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49"/>
        <v>start /low /b %USERPROFILE%\Documents\GitHub\eaglep3\Utilities\DownloadLogsFromS3.py --loco 4014 --day 2017-12-19</v>
      </c>
      <c r="AN141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1"/>
        <v>https://d0f6bd738d7f1b3e5a7ca70fe4ff75f0.us-east-1.aws.found.io/app/kibana#/discover/Steve-Slow-Train-Analysis-(2080s-and-2083s)?_g=(refreshInterval:(display:Off,pause:!f,section:0,value:0),time:(from:'2017-12-19T19:23:26-0700',mode:absolute,to:'2017-12-19T22:05:54-0700'))&amp;_a=(columns:!('Message%20ID',Summary),filters:!(),index:'emp_*',interval:auto,query:(query_string:(analyze_wildcard:!t,query:'%22rtdc.l.rtdc.4014%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892</v>
      </c>
      <c r="B142" s="225">
        <v>4013</v>
      </c>
      <c r="C142" s="227" t="s">
        <v>192</v>
      </c>
      <c r="D142" s="227" t="s">
        <v>634</v>
      </c>
      <c r="E142" s="226">
        <v>43088.890057870369</v>
      </c>
      <c r="F142" s="226">
        <v>43088.894120370373</v>
      </c>
      <c r="G142" s="225">
        <v>86</v>
      </c>
      <c r="H142" s="227" t="s">
        <v>489</v>
      </c>
      <c r="I142" s="226">
        <v>43088.919861111113</v>
      </c>
      <c r="J142" s="225">
        <v>0</v>
      </c>
      <c r="K142" s="237" t="str">
        <f t="shared" si="79"/>
        <v>4013/4014</v>
      </c>
      <c r="L142" s="245" t="str">
        <f>VLOOKUP(A142,'Trips&amp;Operators'!$C$1:$G$99911,5,FALSE)</f>
        <v>MAGEE KENYA</v>
      </c>
      <c r="M142" s="224">
        <f t="shared" si="80"/>
        <v>2.5740740740729962E-2</v>
      </c>
      <c r="N142" s="225">
        <f t="shared" si="81"/>
        <v>37.066666666651145</v>
      </c>
      <c r="O142" s="225"/>
      <c r="P142" s="225"/>
      <c r="Q142" s="228"/>
      <c r="R142" s="242"/>
      <c r="S142" s="249">
        <f t="shared" si="82"/>
        <v>1</v>
      </c>
      <c r="T142" s="242" t="str">
        <f t="shared" si="83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89"/>
        <v>https://d0f6bd738d7f1b3e5a7ca70fe4ff75f0.us-east-1.aws.found.io/app/kibana#/discover/Steve-Slow-Train-Analysis-(2080s-and-2083s)?_g=(refreshInterval:(display:Off,pause:!f,section:0,value:0),time:(from:'2017-12-19T20:21:41-0700',mode:absolute,to:'2017-12-19T23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247" t="str">
        <f>IF(AA142&lt;VLOOKUP(AG142,Variables!$AC$3:$AD$8,2,FALSE),"Y","N")</f>
        <v>N</v>
      </c>
      <c r="X142" s="247">
        <f t="shared" si="63"/>
        <v>1</v>
      </c>
      <c r="Y142" s="247">
        <f t="shared" si="84"/>
        <v>23.294</v>
      </c>
      <c r="Z142" s="247">
        <f t="shared" si="85"/>
        <v>2.2499999999999999E-2</v>
      </c>
      <c r="AA142" s="247">
        <f t="shared" si="86"/>
        <v>23.2715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87"/>
        <v>228</v>
      </c>
      <c r="AE142" s="235" t="str">
        <f t="shared" si="90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142" s="234" t="str">
        <f t="shared" si="91"/>
        <v>"C:\Program Files (x86)\AstroGrep\AstroGrep.exe" /e /r /s /spath="%USERPROFILE%\AppData\Local\Temp\OnboardLogs" /stypes="app*4013*20171220*" /stext=" 05:.+((SYSTEM_STATE.+slice.+state.+changed )|(ment ac)|(multiple cpu faults)|(system.+state.+changed )|(\[timeout)|(PRM\|1\|D)|(kpr)|(kdp)|(train st.+moving)|(\|gpps)|(penalty))"</v>
      </c>
      <c r="AG142" s="244" t="str">
        <f t="shared" si="88"/>
        <v>EC</v>
      </c>
      <c r="AH142" s="236" t="str">
        <f t="shared" si="47"/>
        <v>"%USERPROFILE%\Documents\GitHub\eaglep3\Utilities\RefineRTDCRunTimes.py" --tripid 228-19 --locoid 4013 --swversion DE.1.0.9.0 --startMP 204:232940 --initTime 2017-12-19T21:21:41 --startdatetime 2017-12-19T21:27:32 --delay 86 --endMP 204:225 --enddatetime 2017-12-19T22:04:36 --enforcementcount 0 &gt;&gt;%USERPROFILE%\Documents\GitHub\eaglep3-reporting\EC\2017-12-19-refined-times.txt</v>
      </c>
      <c r="AI142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{"issue":{"subject":"","project_id":79,"tracker_id":40,"status_id":1,"priority_id":2,"assigned_to_id":338,"start_date":"2017-12-19","description":"","custom_fields":[{"id":1,"name":"Subdivision","value":"EC"},{"id":4,"name":"Milepost","value":"0.0225"},{"id":17,"name":"Train ID","value":"228-19"},{"id":16,"name":"Locomotive ID","value":"4013"},{"id":130,"name":"Impact","value":""},{"id":150,"name":"Time of Event (Mountain Time)","value":"22:04:36"},{"id":151,"name":"Denver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49"/>
        <v>start /low /b %USERPROFILE%\Documents\GitHub\eaglep3\Utilities\DownloadLogsFromS3.py --loco 4013 --day 2017-12-19</v>
      </c>
      <c r="AN142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1"/>
        <v>https://d0f6bd738d7f1b3e5a7ca70fe4ff75f0.us-east-1.aws.found.io/app/kibana#/discover/Steve-Slow-Train-Analysis-(2080s-and-2083s)?_g=(refreshInterval:(display:Off,pause:!f,section:0,value:0),time:(from:'2017-12-19T20:21:41-0700',mode:absolute,to:'2017-12-19T23:04:36-0700'))&amp;_a=(columns:!('Message%20ID',Summary),filters:!(),index:'emp_*',interval:auto,query:(query_string:(analyze_wildcard:!t,query:'%22rtdc.l.rtdc.4013%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890</v>
      </c>
      <c r="B143" s="225">
        <v>4056</v>
      </c>
      <c r="C143" s="227" t="s">
        <v>192</v>
      </c>
      <c r="D143" s="227" t="s">
        <v>655</v>
      </c>
      <c r="E143" s="226">
        <v>43088.865752314814</v>
      </c>
      <c r="F143" s="226">
        <v>43088.875173611108</v>
      </c>
      <c r="G143" s="225">
        <v>54</v>
      </c>
      <c r="H143" s="227" t="s">
        <v>993</v>
      </c>
      <c r="I143" s="226">
        <v>43088.899675925924</v>
      </c>
      <c r="J143" s="225">
        <v>0</v>
      </c>
      <c r="K143" s="237" t="str">
        <f t="shared" si="79"/>
        <v>4055/4056</v>
      </c>
      <c r="L143" s="245" t="str">
        <f>VLOOKUP(A143,'Trips&amp;Operators'!$C$1:$G$99911,5,FALSE)</f>
        <v>RESPASS AARON</v>
      </c>
      <c r="M143" s="224">
        <f t="shared" si="80"/>
        <v>2.4502314816345461E-2</v>
      </c>
      <c r="N143" s="225">
        <f t="shared" si="81"/>
        <v>35.283333335537463</v>
      </c>
      <c r="O143" s="225"/>
      <c r="P143" s="225"/>
      <c r="Q143" s="228"/>
      <c r="R143" s="242"/>
      <c r="S143" s="249">
        <f t="shared" si="82"/>
        <v>1</v>
      </c>
      <c r="T143" s="242" t="str">
        <f t="shared" si="83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89"/>
        <v>https://d0f6bd738d7f1b3e5a7ca70fe4ff75f0.us-east-1.aws.found.io/app/kibana#/discover/Steve-Slow-Train-Analysis-(2080s-and-2083s)?_g=(refreshInterval:(display:Off,pause:!f,section:0,value:0),time:(from:'2017-12-19T19:46:41-0700',mode:absolute,to:'2017-12-19T22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47" t="str">
        <f>IF(AA143&lt;VLOOKUP(AG143,Variables!$AC$3:$AD$8,2,FALSE),"Y","N")</f>
        <v>N</v>
      </c>
      <c r="X143" s="247">
        <f t="shared" si="63"/>
        <v>1</v>
      </c>
      <c r="Y143" s="247">
        <f t="shared" si="84"/>
        <v>5.8799999999999998E-2</v>
      </c>
      <c r="Z143" s="247">
        <f t="shared" si="85"/>
        <v>23.322700000000001</v>
      </c>
      <c r="AA143" s="247">
        <f t="shared" si="86"/>
        <v>23.2639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87"/>
        <v>229</v>
      </c>
      <c r="AE143" s="235" t="str">
        <f t="shared" si="90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43" s="234" t="str">
        <f t="shared" si="91"/>
        <v>"C:\Program Files (x86)\AstroGrep\AstroGrep.exe" /e /r /s /spath="%USERPROFILE%\AppData\Local\Temp\OnboardLogs" /stypes="app*4056*20171220*" /stext=" 04:.+((SYSTEM_STATE.+slice.+state.+changed )|(ment ac)|(multiple cpu faults)|(system.+state.+changed )|(\[timeout)|(PRM\|1\|D)|(kpr)|(kdp)|(train st.+moving)|(\|gpps)|(penalty))"</v>
      </c>
      <c r="AG143" s="244" t="str">
        <f t="shared" si="88"/>
        <v>EC</v>
      </c>
      <c r="AH143" s="236" t="str">
        <f t="shared" si="47"/>
        <v>"%USERPROFILE%\Documents\GitHub\eaglep3\Utilities\RefineRTDCRunTimes.py" --tripid 229-19 --locoid 4056 --swversion DE.1.0.9.0 --startMP 204:588 --initTime 2017-12-19T20:46:41 --startdatetime 2017-12-19T21:00:15 --delay 54 --endMP 204:233227 --enddatetime 2017-12-19T21:35:32 --enforcementcount 0 &gt;&gt;%USERPROFILE%\Documents\GitHub\eaglep3-reporting\EC\2017-12-19-refined-times.txt</v>
      </c>
      <c r="AI143" s="238" t="str">
        <f t="shared" si="48"/>
        <v>echo {"issue":{"subject":"","project_id":79,"tracker_id":40,"status_id":1,"priority_id":2,"assigned_to_id":338,"start_date":"2017-12-19","description":"","custom_fields":[{"id":1,"name":"Subdivision","value":"EC"},{"id":4,"name":"Milepost","value":"23.3227"},{"id":17,"name":"Train ID","value":"229-19"},{"id":16,"name":"Locomotive ID","value":"4056"},{"id":130,"name":"Impact","value":""},{"id":150,"name":"Time of Event (Mountain Time)","value":"21:35:32"},{"id":151,"name":"Denver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49"/>
        <v>start /low /b %USERPROFILE%\Documents\GitHub\eaglep3\Utilities\DownloadLogsFromS3.py --loco 4056 --day 2017-12-19</v>
      </c>
      <c r="AN143" s="241" t="str">
        <f t="shared" si="5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1"/>
        <v>https://d0f6bd738d7f1b3e5a7ca70fe4ff75f0.us-east-1.aws.found.io/app/kibana#/discover/Steve-Slow-Train-Analysis-(2080s-and-2083s)?_g=(refreshInterval:(display:Off,pause:!f,section:0,value:0),time:(from:'2017-12-19T19:46:41-0700',mode:absolute,to:'2017-12-19T22:35:32-0700'))&amp;_a=(columns:!('Message%20ID',Summary),filters:!(),index:'emp_*',interval:auto,query:(query_string:(analyze_wildcard:!t,query:'%22rtdc.l.rtdc.4056%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693</v>
      </c>
      <c r="B144" s="225">
        <v>4055</v>
      </c>
      <c r="C144" s="227" t="s">
        <v>192</v>
      </c>
      <c r="D144" s="227" t="s">
        <v>541</v>
      </c>
      <c r="E144" s="226">
        <v>43088.912442129629</v>
      </c>
      <c r="F144" s="226">
        <v>43088.914930555555</v>
      </c>
      <c r="G144" s="225">
        <v>55</v>
      </c>
      <c r="H144" s="227" t="s">
        <v>633</v>
      </c>
      <c r="I144" s="226">
        <v>43088.94090277778</v>
      </c>
      <c r="J144" s="225">
        <v>0</v>
      </c>
      <c r="K144" s="237" t="str">
        <f t="shared" si="79"/>
        <v>4055/4056</v>
      </c>
      <c r="L144" s="245" t="str">
        <f>VLOOKUP(A144,'Trips&amp;Operators'!$C$1:$G$99911,5,FALSE)</f>
        <v>RESPASS AARON</v>
      </c>
      <c r="M144" s="224">
        <f t="shared" si="80"/>
        <v>2.5972222225391306E-2</v>
      </c>
      <c r="N144" s="225">
        <f t="shared" si="81"/>
        <v>37.400000004563481</v>
      </c>
      <c r="O144" s="225"/>
      <c r="P144" s="225"/>
      <c r="Q144" s="228"/>
      <c r="R144" s="242"/>
      <c r="S144" s="249">
        <f t="shared" si="82"/>
        <v>1</v>
      </c>
      <c r="T144" s="242" t="str">
        <f t="shared" si="83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89"/>
        <v>https://d0f6bd738d7f1b3e5a7ca70fe4ff75f0.us-east-1.aws.found.io/app/kibana#/discover/Steve-Slow-Train-Analysis-(2080s-and-2083s)?_g=(refreshInterval:(display:Off,pause:!f,section:0,value:0),time:(from:'2017-12-19T20:53:55-0700',mode:absolute,to:'2017-12-19T23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47" t="str">
        <f>IF(AA144&lt;VLOOKUP(AG144,Variables!$AC$3:$AD$8,2,FALSE),"Y","N")</f>
        <v>N</v>
      </c>
      <c r="X144" s="247">
        <f t="shared" si="63"/>
        <v>1</v>
      </c>
      <c r="Y144" s="247">
        <f t="shared" si="84"/>
        <v>23.293800000000001</v>
      </c>
      <c r="Z144" s="247">
        <f t="shared" si="85"/>
        <v>2.4299999999999999E-2</v>
      </c>
      <c r="AA144" s="247">
        <f t="shared" si="86"/>
        <v>23.269500000000001</v>
      </c>
      <c r="AB144" s="233" t="str">
        <f>VLOOKUP(A144,Enforcements!$C$7:$K$9,8,0)</f>
        <v>Bulletin (2)</v>
      </c>
      <c r="AC144" s="232" t="str">
        <f>VLOOKUP(A144,Enforcements!$C$7:$E$9,3,0)</f>
        <v>GRADE CROSSING</v>
      </c>
      <c r="AD144" s="243">
        <f t="shared" si="87"/>
        <v>230</v>
      </c>
      <c r="AE144" s="235" t="str">
        <f t="shared" si="90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44" s="234" t="str">
        <f t="shared" si="91"/>
        <v>"C:\Program Files (x86)\AstroGrep\AstroGrep.exe" /e /r /s /spath="%USERPROFILE%\AppData\Local\Temp\OnboardLogs" /stypes="app*4055*20171220*" /stext=" 05:.+((SYSTEM_STATE.+slice.+state.+changed )|(ment ac)|(multiple cpu faults)|(system.+state.+changed )|(\[timeout)|(PRM\|1\|D)|(kpr)|(kdp)|(train st.+moving)|(\|gpps)|(penalty))"</v>
      </c>
      <c r="AG144" s="244" t="str">
        <f t="shared" si="88"/>
        <v>EC</v>
      </c>
      <c r="AH144" s="236" t="str">
        <f t="shared" ref="AH144:AH219" si="9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230-19 --locoid 4055 --swversion DE.1.0.9.0 --startMP 204:232938 --initTime 2017-12-19T21:53:55 --startdatetime 2017-12-19T21:57:30 --delay 55 --endMP 204:243 --enddatetime 2017-12-19T22:34:54 --enforcementcount 0 &gt;&gt;%USERPROFILE%\Documents\GitHub\eaglep3-reporting\EC\2017-12-19-refined-times.txt</v>
      </c>
      <c r="AI144" s="238" t="str">
        <f t="shared" ref="AI144:AI219" si="9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{"issue":{"subject":"","project_id":79,"tracker_id":40,"status_id":1,"priority_id":2,"assigned_to_id":338,"start_date":"2017-12-19","description":"","custom_fields":[{"id":1,"name":"Subdivision","value":"EC"},{"id":4,"name":"Milepost","value":"0.0243"},{"id":17,"name":"Train ID","value":"230-19"},{"id":16,"name":"Locomotive ID","value":"4055"},{"id":130,"name":"Impact","value":""},{"id":150,"name":"Time of Event (Mountain Time)","value":"22:34:54"},{"id":151,"name":"Denver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ref="AM144:AM219" si="94">"start /low /b "&amp;dls3logs&amp;" --loco "&amp;B144&amp;" --day "&amp;TEXT(F144,"YYYY-MM-DD")</f>
        <v>start /low /b %USERPROFILE%\Documents\GitHub\eaglep3\Utilities\DownloadLogsFromS3.py --loco 4055 --day 2017-12-19</v>
      </c>
      <c r="AN144" s="241" t="str">
        <f t="shared" ref="AN144:AN219" si="9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:AO219" si="9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-19T20:53:55-0700',mode:absolute,to:'2017-12-19T23:34:54-0700'))&amp;_a=(columns:!('Message%20ID',Summary),filters:!(),index:'emp_*',interval:auto,query:(query_string:(analyze_wildcard:!t,query:'%22rtdc.l.rtdc.4055%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25">
      <c r="A145" s="229" t="s">
        <v>894</v>
      </c>
      <c r="B145" s="225">
        <v>4060</v>
      </c>
      <c r="C145" s="227" t="s">
        <v>192</v>
      </c>
      <c r="D145" s="227" t="s">
        <v>522</v>
      </c>
      <c r="E145" s="226">
        <v>43088.893368055556</v>
      </c>
      <c r="F145" s="226">
        <v>43088.89603009259</v>
      </c>
      <c r="G145" s="225">
        <v>76</v>
      </c>
      <c r="H145" s="227" t="s">
        <v>946</v>
      </c>
      <c r="I145" s="226">
        <v>43088.920474537037</v>
      </c>
      <c r="J145" s="225">
        <v>0</v>
      </c>
      <c r="K145" s="237" t="str">
        <f t="shared" ref="K145:K146" si="97">IF(ISEVEN(B145),(B145-1)&amp;"/"&amp;B145,B145&amp;"/"&amp;(B145+1))</f>
        <v>4059/4060</v>
      </c>
      <c r="L145" s="245" t="str">
        <f>VLOOKUP(A145,'Trips&amp;Operators'!$C$1:$G$99911,5,FALSE)</f>
        <v>LOZA FIDEL</v>
      </c>
      <c r="M145" s="224">
        <f t="shared" ref="M145:M146" si="98">I145-F145</f>
        <v>2.4444444446999114E-2</v>
      </c>
      <c r="N145" s="225">
        <f t="shared" ref="N145:N146" si="99">24*60*SUM($M145:$M145)</f>
        <v>35.200000003678724</v>
      </c>
      <c r="O145" s="225"/>
      <c r="P145" s="225"/>
      <c r="Q145" s="228"/>
      <c r="R145" s="242"/>
      <c r="S145" s="249">
        <f t="shared" ref="S145:S146" si="100">1/IF(AG145="EC",12,1)*SUM(U145:U145)</f>
        <v>1</v>
      </c>
      <c r="T145" s="242" t="str">
        <f t="shared" ref="T145:T146" si="101"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89"/>
        <v>https://d0f6bd738d7f1b3e5a7ca70fe4ff75f0.us-east-1.aws.found.io/app/kibana#/discover/Steve-Slow-Train-Analysis-(2080s-and-2083s)?_g=(refreshInterval:(display:Off,pause:!f,section:0,value:0),time:(from:'2017-12-19T20:26:27-0700',mode:absolute,to:'2017-12-19T23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5" s="247" t="str">
        <f>IF(AA145&lt;VLOOKUP(AG145,Variables!$AC$3:$AD$8,2,FALSE),"Y","N")</f>
        <v>N</v>
      </c>
      <c r="X145" s="247">
        <f t="shared" si="63"/>
        <v>1</v>
      </c>
      <c r="Y145" s="247">
        <f t="shared" ref="Y145:Y146" si="102">RIGHT(D145,LEN(D145)-4)/10000</f>
        <v>5.1700000000000003E-2</v>
      </c>
      <c r="Z145" s="247">
        <f t="shared" ref="Z145:Z146" si="103">RIGHT(H145,LEN(H145)-4)/10000</f>
        <v>23.3291</v>
      </c>
      <c r="AA145" s="247">
        <f t="shared" ref="AA145:AA146" si="104">ABS(Z145-Y145)</f>
        <v>23.2774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ref="AD145:AD146" si="105">VALUE(LEFT(A145,LEN(A145)-3))</f>
        <v>231</v>
      </c>
      <c r="AE145" s="235" t="str">
        <f t="shared" si="90"/>
        <v>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 &amp; aws s3 cp s3://rtdc.mdm.uploadarchive.raw/RTDC4060/ "%USERPROFILE%\AppData\Local\Temp\OnboardLogs"\RTDC4060\2017-12-20 --exclude "*" --recursive --include "*20171220*" &amp; "%USERPROFILE%\Documents\GitHub\mrs-test-scripts\Headless Mode &amp; Sideloading\WalkAndUnGZ.bat" "%USERPROFILE%\AppData\Local\Temp\OnboardLogs"\RTDC4060\2017-12-20</v>
      </c>
      <c r="AF145" s="234" t="str">
        <f t="shared" si="91"/>
        <v>"C:\Program Files (x86)\AstroGrep\AstroGrep.exe" /e /r /s /spath="%USERPROFILE%\AppData\Local\Temp\OnboardLogs" /stypes="app*4060*20171220*" /stext=" 05:.+((SYSTEM_STATE.+slice.+state.+changed )|(ment ac)|(multiple cpu faults)|(system.+state.+changed )|(\[timeout)|(PRM\|1\|D)|(kpr)|(kdp)|(train st.+moving)|(\|gpps)|(penalty))"</v>
      </c>
      <c r="AG145" s="244" t="str">
        <f t="shared" ref="AG145:AG146" si="106">DetSubdiv(A145)</f>
        <v>EC</v>
      </c>
      <c r="AH145" s="236" t="str">
        <f t="shared" ref="AH145:AH146" si="107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231-19 --locoid 4060 --swversion DE.1.0.9.0 --startMP 204:517 --initTime 2017-12-19T21:26:27 --startdatetime 2017-12-19T21:30:17 --delay 76 --endMP 204:233291 --enddatetime 2017-12-19T22:05:29 --enforcementcount 0 &gt;&gt;%USERPROFILE%\Documents\GitHub\eaglep3-reporting\EC\2017-12-19-refined-times.txt</v>
      </c>
      <c r="AI145" s="238" t="str">
        <f t="shared" ref="AI145:AI146" si="108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{"issue":{"subject":"","project_id":79,"tracker_id":40,"status_id":1,"priority_id":2,"assigned_to_id":338,"start_date":"2017-12-19","description":"","custom_fields":[{"id":1,"name":"Subdivision","value":"EC"},{"id":4,"name":"Milepost","value":"23.3291"},{"id":17,"name":"Train ID","value":"231-19"},{"id":16,"name":"Locomotive ID","value":"4060"},{"id":130,"name":"Impact","value":""},{"id":150,"name":"Time of Event (Mountain Time)","value":"22:05:29"},{"id":151,"name":"Denver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ref="AM145:AM146" si="109">"start /low /b "&amp;dls3logs&amp;" --loco "&amp;B145&amp;" --day "&amp;TEXT(F145,"YYYY-MM-DD")</f>
        <v>start /low /b %USERPROFILE%\Documents\GitHub\eaglep3\Utilities\DownloadLogsFromS3.py --loco 4060 --day 2017-12-19</v>
      </c>
      <c r="AN145" s="241" t="str">
        <f t="shared" ref="AN145:AN146" si="110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05:05:29"},{"id":29,"name":"Sharepoint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:AO146" si="111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-19T20:26:27-0700',mode:absolute,to:'2017-12-19T23:05:29-0700'))&amp;_a=(columns:!('Message%20ID',Summary),filters:!(),index:'emp_*',interval:auto,query:(query_string:(analyze_wildcard:!t,query:'%22rtdc.l.rtdc.4060%22')),sort:!(Time.ISO8601,asc))</v>
      </c>
    </row>
    <row r="146" spans="1:91" s="223" customFormat="1" x14ac:dyDescent="0.25">
      <c r="A146" s="229" t="s">
        <v>897</v>
      </c>
      <c r="B146" s="225">
        <v>4059</v>
      </c>
      <c r="C146" s="227" t="s">
        <v>192</v>
      </c>
      <c r="D146" s="227" t="s">
        <v>650</v>
      </c>
      <c r="E146" s="226">
        <v>43088.929224537038</v>
      </c>
      <c r="F146" s="226">
        <v>43088.935601851852</v>
      </c>
      <c r="G146" s="225">
        <v>249</v>
      </c>
      <c r="H146" s="227" t="s">
        <v>489</v>
      </c>
      <c r="I146" s="226">
        <v>43088.961180555554</v>
      </c>
      <c r="J146" s="225">
        <v>0</v>
      </c>
      <c r="K146" s="237" t="str">
        <f t="shared" si="97"/>
        <v>4059/4060</v>
      </c>
      <c r="L146" s="245" t="str">
        <f>VLOOKUP(A146,'Trips&amp;Operators'!$C$1:$G$99911,5,FALSE)</f>
        <v>LOZA FIDEL</v>
      </c>
      <c r="M146" s="224">
        <f t="shared" si="98"/>
        <v>2.5578703702194616E-2</v>
      </c>
      <c r="N146" s="225">
        <f t="shared" si="99"/>
        <v>36.833333331160247</v>
      </c>
      <c r="O146" s="225"/>
      <c r="P146" s="225"/>
      <c r="Q146" s="228"/>
      <c r="R146" s="242"/>
      <c r="S146" s="249">
        <f t="shared" si="100"/>
        <v>1</v>
      </c>
      <c r="T146" s="242" t="str">
        <f t="shared" si="101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89"/>
        <v>https://d0f6bd738d7f1b3e5a7ca70fe4ff75f0.us-east-1.aws.found.io/app/kibana#/discover/Steve-Slow-Train-Analysis-(2080s-and-2083s)?_g=(refreshInterval:(display:Off,pause:!f,section:0,value:0),time:(from:'2017-12-19T21:18:05-0700',mode:absolute,to:'2017-12-20T00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6" s="247" t="str">
        <f>IF(AA146&lt;VLOOKUP(AG146,Variables!$AC$3:$AD$8,2,FALSE),"Y","N")</f>
        <v>N</v>
      </c>
      <c r="X146" s="247">
        <f t="shared" si="63"/>
        <v>1</v>
      </c>
      <c r="Y146" s="247">
        <f t="shared" si="102"/>
        <v>23.297599999999999</v>
      </c>
      <c r="Z146" s="247">
        <f t="shared" si="103"/>
        <v>2.2499999999999999E-2</v>
      </c>
      <c r="AA146" s="247">
        <f t="shared" si="104"/>
        <v>23.275099999999998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105"/>
        <v>232</v>
      </c>
      <c r="AE146" s="235" t="str">
        <f t="shared" si="90"/>
        <v>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 &amp; 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</v>
      </c>
      <c r="AF146" s="234" t="str">
        <f t="shared" si="91"/>
        <v>"C:\Program Files (x86)\AstroGrep\AstroGrep.exe" /e /r /s /spath="%USERPROFILE%\AppData\Local\Temp\OnboardLogs" /stypes="app*4059*20171220*" /stext=" 06:.+((SYSTEM_STATE.+slice.+state.+changed )|(ment ac)|(multiple cpu faults)|(system.+state.+changed )|(\[timeout)|(PRM\|1\|D)|(kpr)|(kdp)|(train st.+moving)|(\|gpps)|(penalty))"</v>
      </c>
      <c r="AG146" s="244" t="str">
        <f t="shared" si="106"/>
        <v>EC</v>
      </c>
      <c r="AH146" s="236" t="str">
        <f t="shared" si="107"/>
        <v>"%USERPROFILE%\Documents\GitHub\eaglep3\Utilities\RefineRTDCRunTimes.py" --tripid 232-19 --locoid 4059 --swversion DE.1.0.9.0 --startMP 204:232976 --initTime 2017-12-19T22:18:05 --startdatetime 2017-12-19T22:27:16 --delay 249 --endMP 204:225 --enddatetime 2017-12-19T23:04:06 --enforcementcount 0 &gt;&gt;%USERPROFILE%\Documents\GitHub\eaglep3-reporting\EC\2017-12-19-refined-times.txt</v>
      </c>
      <c r="AI146" s="238" t="str">
        <f t="shared" si="108"/>
        <v>echo {"issue":{"subject":"","project_id":79,"tracker_id":40,"status_id":1,"priority_id":2,"assigned_to_id":338,"start_date":"2017-12-19","description":"","custom_fields":[{"id":1,"name":"Subdivision","value":"EC"},{"id":4,"name":"Milepost","value":"0.0225"},{"id":17,"name":"Train ID","value":"232-19"},{"id":16,"name":"Locomotive ID","value":"4059"},{"id":130,"name":"Impact","value":""},{"id":150,"name":"Time of Event (Mountain Time)","value":"23:04:06"},{"id":151,"name":"Denver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109"/>
        <v>start /low /b %USERPROFILE%\Documents\GitHub\eaglep3\Utilities\DownloadLogsFromS3.py --loco 4059 --day 2017-12-19</v>
      </c>
      <c r="AN146" s="241" t="str">
        <f t="shared" si="11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111"/>
        <v>https://d0f6bd738d7f1b3e5a7ca70fe4ff75f0.us-east-1.aws.found.io/app/kibana#/discover/Steve-Slow-Train-Analysis-(2080s-and-2083s)?_g=(refreshInterval:(display:Off,pause:!f,section:0,value:0),time:(from:'2017-12-19T21:18:05-0700',mode:absolute,to:'2017-12-20T00:04:06-0700'))&amp;_a=(columns:!('Message%20ID',Summary),filters:!(),index:'emp_*',interval:auto,query:(query_string:(analyze_wildcard:!t,query:'%22rtdc.l.rtdc.4059%22')),sort:!(Time.ISO8601,asc))</v>
      </c>
    </row>
    <row r="147" spans="1:91" s="20" customFormat="1" x14ac:dyDescent="0.25">
      <c r="A147" s="229" t="s">
        <v>895</v>
      </c>
      <c r="B147" s="225">
        <v>4018</v>
      </c>
      <c r="C147" s="227" t="s">
        <v>192</v>
      </c>
      <c r="D147" s="227" t="s">
        <v>649</v>
      </c>
      <c r="E147" s="226">
        <v>43088.901365740741</v>
      </c>
      <c r="F147" s="226">
        <v>43088.956446759257</v>
      </c>
      <c r="G147" s="225">
        <v>103</v>
      </c>
      <c r="H147" s="227" t="s">
        <v>994</v>
      </c>
      <c r="I147" s="226">
        <v>43088.983194444445</v>
      </c>
      <c r="J147" s="225">
        <v>0</v>
      </c>
      <c r="K147" s="237" t="str">
        <f t="shared" ref="K147:K178" si="112">IF(ISEVEN(B147),(B147-1)&amp;"/"&amp;B147,B147&amp;"/"&amp;(B147+1))</f>
        <v>4017/4018</v>
      </c>
      <c r="L147" s="245" t="str">
        <f>VLOOKUP(A147,'Trips&amp;Operators'!$C$1:$G$99911,5,FALSE)</f>
        <v>NICHOLSON WESLEY</v>
      </c>
      <c r="M147" s="224">
        <f t="shared" ref="M147:M178" si="113">I147-F147</f>
        <v>2.6747685187729076E-2</v>
      </c>
      <c r="N147" s="225">
        <f t="shared" ref="N147:N154" si="114">24*60*SUM($M147:$M147)</f>
        <v>38.516666670329869</v>
      </c>
      <c r="O147" s="225"/>
      <c r="P147" s="225"/>
      <c r="Q147" s="228"/>
      <c r="R147" s="242"/>
      <c r="S147" s="249">
        <f t="shared" ref="S147:S157" si="115">1/IF(AG147="EC",12,1)*SUM(U147:U147)</f>
        <v>1</v>
      </c>
      <c r="T147" s="242" t="str">
        <f t="shared" ref="T147:T178" si="116"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89"/>
        <v>https://d0f6bd738d7f1b3e5a7ca70fe4ff75f0.us-east-1.aws.found.io/app/kibana#/discover/Steve-Slow-Train-Analysis-(2080s-and-2083s)?_g=(refreshInterval:(display:Off,pause:!f,section:0,value:0),time:(from:'2017-12-19T20:37:58-0700',mode:absolute,to:'2017-12-20T00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247" t="str">
        <f>IF(AA147&lt;VLOOKUP(AG147,Variables!$AC$3:$AD$8,2,FALSE),"Y","N")</f>
        <v>N</v>
      </c>
      <c r="X147" s="247">
        <f t="shared" si="63"/>
        <v>1</v>
      </c>
      <c r="Y147" s="247">
        <f t="shared" ref="Y147:Y178" si="117">RIGHT(D147,LEN(D147)-4)/10000</f>
        <v>5.3100000000000001E-2</v>
      </c>
      <c r="Z147" s="247">
        <f t="shared" ref="Z147:Z178" si="118">RIGHT(H147,LEN(H147)-4)/10000</f>
        <v>23.318200000000001</v>
      </c>
      <c r="AA147" s="247">
        <f t="shared" ref="AA147:AA178" si="119">ABS(Z147-Y147)</f>
        <v>23.2651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ref="AD147:AD178" si="120">VALUE(LEFT(A147,LEN(A147)-3))</f>
        <v>233</v>
      </c>
      <c r="AE147" s="235" t="str">
        <f t="shared" si="90"/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AF147" s="234" t="str">
        <f t="shared" si="91"/>
        <v>"C:\Program Files (x86)\AstroGrep\AstroGrep.exe" /e /r /s /spath="%USERPROFILE%\AppData\Local\Temp\OnboardLogs" /stypes="app*4018*20171220*" /stext=" 06:.+((SYSTEM_STATE.+slice.+state.+changed )|(ment ac)|(multiple cpu faults)|(system.+state.+changed )|(\[timeout)|(PRM\|1\|D)|(kpr)|(kdp)|(train st.+moving)|(\|gpps)|(penalty))"</v>
      </c>
      <c r="AG147" s="244" t="str">
        <f t="shared" ref="AG147:AG178" si="121">DetSubdiv(A147)</f>
        <v>EC</v>
      </c>
      <c r="AH147" s="236" t="str">
        <f t="shared" si="92"/>
        <v>"%USERPROFILE%\Documents\GitHub\eaglep3\Utilities\RefineRTDCRunTimes.py" --tripid 233-19 --locoid 4018 --swversion DE.1.0.9.0 --startMP 204:531 --initTime 2017-12-19T21:37:58 --startdatetime 2017-12-19T22:57:17 --delay 103 --endMP 204:233182 --enddatetime 2017-12-19T23:35:48 --enforcementcount 0 &gt;&gt;%USERPROFILE%\Documents\GitHub\eaglep3-reporting\EC\2017-12-19-refined-times.txt</v>
      </c>
      <c r="AI147" s="238" t="str">
        <f t="shared" si="93"/>
        <v>echo {"issue":{"subject":"","project_id":79,"tracker_id":40,"status_id":1,"priority_id":2,"assigned_to_id":338,"start_date":"2017-12-19","description":"","custom_fields":[{"id":1,"name":"Subdivision","value":"EC"},{"id":4,"name":"Milepost","value":"23.3182"},{"id":17,"name":"Train ID","value":"233-19"},{"id":16,"name":"Locomotive ID","value":"4018"},{"id":130,"name":"Impact","value":""},{"id":150,"name":"Time of Event (Mountain Time)","value":"23:35:48"},{"id":151,"name":"Denver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94"/>
        <v>start /low /b %USERPROFILE%\Documents\GitHub\eaglep3\Utilities\DownloadLogsFromS3.py --loco 4018 --day 2017-12-19</v>
      </c>
      <c r="AN147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96"/>
        <v>https://d0f6bd738d7f1b3e5a7ca70fe4ff75f0.us-east-1.aws.found.io/app/kibana#/discover/Steve-Slow-Train-Analysis-(2080s-and-2083s)?_g=(refreshInterval:(display:Off,pause:!f,section:0,value:0),time:(from:'2017-12-19T20:37:58-0700',mode:absolute,to:'2017-12-20T00:35:48-0700'))&amp;_a=(columns:!('Message%20ID',Summary),filters:!(),index:'emp_*',interval:auto,query:(query_string:(analyze_wildcard:!t,query:'%22rtdc.l.rtdc.4018%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901</v>
      </c>
      <c r="B148" s="225">
        <v>4017</v>
      </c>
      <c r="C148" s="227" t="s">
        <v>192</v>
      </c>
      <c r="D148" s="227" t="s">
        <v>995</v>
      </c>
      <c r="E148" s="226">
        <v>43088.949675925927</v>
      </c>
      <c r="F148" s="226">
        <v>43088.956446759257</v>
      </c>
      <c r="G148" s="225">
        <v>69</v>
      </c>
      <c r="H148" s="227" t="s">
        <v>618</v>
      </c>
      <c r="I148" s="226">
        <v>43088.983194444445</v>
      </c>
      <c r="J148" s="225">
        <v>0</v>
      </c>
      <c r="K148" s="237" t="str">
        <f t="shared" si="112"/>
        <v>4017/4018</v>
      </c>
      <c r="L148" s="245" t="str">
        <f>VLOOKUP(A148,'Trips&amp;Operators'!$C$1:$G$99911,5,FALSE)</f>
        <v>NICHOLSON WESLEY</v>
      </c>
      <c r="M148" s="224">
        <f t="shared" si="113"/>
        <v>2.6747685187729076E-2</v>
      </c>
      <c r="N148" s="225">
        <f t="shared" si="114"/>
        <v>38.516666670329869</v>
      </c>
      <c r="O148" s="225"/>
      <c r="P148" s="225"/>
      <c r="Q148" s="228"/>
      <c r="R148" s="242"/>
      <c r="S148" s="249">
        <f t="shared" si="115"/>
        <v>1</v>
      </c>
      <c r="T148" s="242" t="str">
        <f t="shared" si="116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89"/>
        <v>https://d0f6bd738d7f1b3e5a7ca70fe4ff75f0.us-east-1.aws.found.io/app/kibana#/discover/Steve-Slow-Train-Analysis-(2080s-and-2083s)?_g=(refreshInterval:(display:Off,pause:!f,section:0,value:0),time:(from:'2017-12-19T21:47:32-0700',mode:absolute,to:'2017-12-20T00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247" t="str">
        <f>IF(AA148&lt;VLOOKUP(AG148,Variables!$AC$3:$AD$8,2,FALSE),"Y","N")</f>
        <v>N</v>
      </c>
      <c r="X148" s="247">
        <f t="shared" si="63"/>
        <v>1</v>
      </c>
      <c r="Y148" s="247">
        <f t="shared" si="117"/>
        <v>23.286300000000001</v>
      </c>
      <c r="Z148" s="247">
        <f t="shared" si="118"/>
        <v>2.3099999999999999E-2</v>
      </c>
      <c r="AA148" s="247">
        <f t="shared" si="119"/>
        <v>23.263200000000001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120"/>
        <v>234</v>
      </c>
      <c r="AE148" s="235" t="str">
        <f t="shared" si="90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148" s="234" t="str">
        <f t="shared" si="91"/>
        <v>"C:\Program Files (x86)\AstroGrep\AstroGrep.exe" /e /r /s /spath="%USERPROFILE%\AppData\Local\Temp\OnboardLogs" /stypes="app*4017*20171220*" /stext=" 06:.+((SYSTEM_STATE.+slice.+state.+changed )|(ment ac)|(multiple cpu faults)|(system.+state.+changed )|(\[timeout)|(PRM\|1\|D)|(kpr)|(kdp)|(train st.+moving)|(\|gpps)|(penalty))"</v>
      </c>
      <c r="AG148" s="244" t="str">
        <f t="shared" si="121"/>
        <v>EC</v>
      </c>
      <c r="AH148" s="236" t="str">
        <f t="shared" si="92"/>
        <v>"%USERPROFILE%\Documents\GitHub\eaglep3\Utilities\RefineRTDCRunTimes.py" --tripid 234-19 --locoid 4017 --swversion DE.1.0.9.0 --startMP 204:232863 --initTime 2017-12-19T22:47:32 --startdatetime 2017-12-19T22:57:17 --delay 69 --endMP 204:231 --enddatetime 2017-12-19T23:35:48 --enforcementcount 0 &gt;&gt;%USERPROFILE%\Documents\GitHub\eaglep3-reporting\EC\2017-12-19-refined-times.txt</v>
      </c>
      <c r="AI148" s="238" t="str">
        <f t="shared" si="93"/>
        <v>echo {"issue":{"subject":"","project_id":79,"tracker_id":40,"status_id":1,"priority_id":2,"assigned_to_id":338,"start_date":"2017-12-19","description":"","custom_fields":[{"id":1,"name":"Subdivision","value":"EC"},{"id":4,"name":"Milepost","value":"0.0231"},{"id":17,"name":"Train ID","value":"234-19"},{"id":16,"name":"Locomotive ID","value":"4017"},{"id":130,"name":"Impact","value":""},{"id":150,"name":"Time of Event (Mountain Time)","value":"23:35:48"},{"id":151,"name":"Denver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94"/>
        <v>start /low /b %USERPROFILE%\Documents\GitHub\eaglep3\Utilities\DownloadLogsFromS3.py --loco 4017 --day 2017-12-19</v>
      </c>
      <c r="AN148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96"/>
        <v>https://d0f6bd738d7f1b3e5a7ca70fe4ff75f0.us-east-1.aws.found.io/app/kibana#/discover/Steve-Slow-Train-Analysis-(2080s-and-2083s)?_g=(refreshInterval:(display:Off,pause:!f,section:0,value:0),time:(from:'2017-12-19T21:47:32-0700',mode:absolute,to:'2017-12-20T00:35:48-0700'))&amp;_a=(columns:!('Message%20ID',Summary),filters:!(),index:'emp_*',interval:auto,query:(query_string:(analyze_wildcard:!t,query:'%22rtdc.l.rtdc.4017%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9" t="s">
        <v>899</v>
      </c>
      <c r="B149" s="225">
        <v>4014</v>
      </c>
      <c r="C149" s="227" t="s">
        <v>192</v>
      </c>
      <c r="D149" s="227" t="s">
        <v>978</v>
      </c>
      <c r="E149" s="226">
        <v>43088.935162037036</v>
      </c>
      <c r="F149" s="226">
        <v>43088.937673611108</v>
      </c>
      <c r="G149" s="225">
        <v>123</v>
      </c>
      <c r="H149" s="227" t="s">
        <v>996</v>
      </c>
      <c r="I149" s="226">
        <v>43088.962326388886</v>
      </c>
      <c r="J149" s="225">
        <v>0</v>
      </c>
      <c r="K149" s="237" t="str">
        <f t="shared" si="112"/>
        <v>4013/4014</v>
      </c>
      <c r="L149" s="245" t="str">
        <f>VLOOKUP(A149,'Trips&amp;Operators'!$C$1:$G$99911,5,FALSE)</f>
        <v>MAGEE KENYA</v>
      </c>
      <c r="M149" s="224">
        <f t="shared" si="113"/>
        <v>2.4652777778101154E-2</v>
      </c>
      <c r="N149" s="225">
        <f t="shared" si="114"/>
        <v>35.500000000465661</v>
      </c>
      <c r="O149" s="225"/>
      <c r="P149" s="225"/>
      <c r="Q149" s="228"/>
      <c r="R149" s="242"/>
      <c r="S149" s="249">
        <f t="shared" si="115"/>
        <v>1</v>
      </c>
      <c r="T149" s="242" t="str">
        <f t="shared" si="116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89"/>
        <v>https://d0f6bd738d7f1b3e5a7ca70fe4ff75f0.us-east-1.aws.found.io/app/kibana#/discover/Steve-Slow-Train-Analysis-(2080s-and-2083s)?_g=(refreshInterval:(display:Off,pause:!f,section:0,value:0),time:(from:'2017-12-19T21:26:38-0700',mode:absolute,to:'2017-12-20T00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247" t="str">
        <f>IF(AA149&lt;VLOOKUP(AG149,Variables!$AC$3:$AD$8,2,FALSE),"Y","N")</f>
        <v>N</v>
      </c>
      <c r="X149" s="247">
        <f t="shared" si="63"/>
        <v>1</v>
      </c>
      <c r="Y149" s="247">
        <f t="shared" si="117"/>
        <v>5.5300000000000002E-2</v>
      </c>
      <c r="Z149" s="247">
        <f t="shared" si="118"/>
        <v>23.332699999999999</v>
      </c>
      <c r="AA149" s="247">
        <f t="shared" si="119"/>
        <v>23.2774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120"/>
        <v>235</v>
      </c>
      <c r="AE149" s="235" t="str">
        <f t="shared" si="90"/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AF149" s="234" t="str">
        <f t="shared" si="91"/>
        <v>"C:\Program Files (x86)\AstroGrep\AstroGrep.exe" /e /r /s /spath="%USERPROFILE%\AppData\Local\Temp\OnboardLogs" /stypes="app*4014*20171220*" /stext=" 06:.+((SYSTEM_STATE.+slice.+state.+changed )|(ment ac)|(multiple cpu faults)|(system.+state.+changed )|(\[timeout)|(PRM\|1\|D)|(kpr)|(kdp)|(train st.+moving)|(\|gpps)|(penalty))"</v>
      </c>
      <c r="AG149" s="244" t="str">
        <f t="shared" si="121"/>
        <v>EC</v>
      </c>
      <c r="AH149" s="236" t="str">
        <f t="shared" si="92"/>
        <v>"%USERPROFILE%\Documents\GitHub\eaglep3\Utilities\RefineRTDCRunTimes.py" --tripid 235-19 --locoid 4014 --swversion DE.1.0.9.0 --startMP 204:553 --initTime 2017-12-19T22:26:38 --startdatetime 2017-12-19T22:30:15 --delay 123 --endMP 204:233327 --enddatetime 2017-12-19T23:05:45 --enforcementcount 0 &gt;&gt;%USERPROFILE%\Documents\GitHub\eaglep3-reporting\EC\2017-12-19-refined-times.txt</v>
      </c>
      <c r="AI149" s="238" t="str">
        <f t="shared" si="93"/>
        <v>echo {"issue":{"subject":"","project_id":79,"tracker_id":40,"status_id":1,"priority_id":2,"assigned_to_id":338,"start_date":"2017-12-19","description":"","custom_fields":[{"id":1,"name":"Subdivision","value":"EC"},{"id":4,"name":"Milepost","value":"23.3327"},{"id":17,"name":"Train ID","value":"235-19"},{"id":16,"name":"Locomotive ID","value":"4014"},{"id":130,"name":"Impact","value":""},{"id":150,"name":"Time of Event (Mountain Time)","value":"23:05:45"},{"id":151,"name":"Denver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94"/>
        <v>start /low /b %USERPROFILE%\Documents\GitHub\eaglep3\Utilities\DownloadLogsFromS3.py --loco 4014 --day 2017-12-19</v>
      </c>
      <c r="AN149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96"/>
        <v>https://d0f6bd738d7f1b3e5a7ca70fe4ff75f0.us-east-1.aws.found.io/app/kibana#/discover/Steve-Slow-Train-Analysis-(2080s-and-2083s)?_g=(refreshInterval:(display:Off,pause:!f,section:0,value:0),time:(from:'2017-12-19T21:26:38-0700',mode:absolute,to:'2017-12-20T00:05:45-0700'))&amp;_a=(columns:!('Message%20ID',Summary),filters:!(),index:'emp_*',interval:auto,query:(query_string:(analyze_wildcard:!t,query:'%22rtdc.l.rtdc.4014%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904</v>
      </c>
      <c r="B150" s="225">
        <v>4013</v>
      </c>
      <c r="C150" s="227" t="s">
        <v>192</v>
      </c>
      <c r="D150" s="227" t="s">
        <v>997</v>
      </c>
      <c r="E150" s="226">
        <v>43088.969074074077</v>
      </c>
      <c r="F150" s="226">
        <v>43088.977430555555</v>
      </c>
      <c r="G150" s="225">
        <v>147</v>
      </c>
      <c r="H150" s="227" t="s">
        <v>998</v>
      </c>
      <c r="I150" s="226">
        <v>43089.00341435185</v>
      </c>
      <c r="J150" s="225">
        <v>0</v>
      </c>
      <c r="K150" s="237" t="str">
        <f t="shared" si="112"/>
        <v>4013/4014</v>
      </c>
      <c r="L150" s="245" t="str">
        <f>VLOOKUP(A150,'Trips&amp;Operators'!$C$1:$G$99911,5,FALSE)</f>
        <v>MAGEE KENYA</v>
      </c>
      <c r="M150" s="224">
        <f t="shared" si="113"/>
        <v>2.5983796294895001E-2</v>
      </c>
      <c r="N150" s="225">
        <f t="shared" si="114"/>
        <v>37.416666664648801</v>
      </c>
      <c r="O150" s="225"/>
      <c r="P150" s="225"/>
      <c r="Q150" s="228"/>
      <c r="R150" s="242"/>
      <c r="S150" s="249">
        <f t="shared" si="115"/>
        <v>1</v>
      </c>
      <c r="T150" s="242" t="str">
        <f t="shared" si="116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89"/>
        <v>https://d0f6bd738d7f1b3e5a7ca70fe4ff75f0.us-east-1.aws.found.io/app/kibana#/discover/Steve-Slow-Train-Analysis-(2080s-and-2083s)?_g=(refreshInterval:(display:Off,pause:!f,section:0,value:0),time:(from:'2017-12-19T22:15:28-0700',mode:absolute,to:'2017-12-20T01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247" t="str">
        <f>IF(AA150&lt;VLOOKUP(AG150,Variables!$AC$3:$AD$8,2,FALSE),"Y","N")</f>
        <v>N</v>
      </c>
      <c r="X150" s="247">
        <f t="shared" si="63"/>
        <v>1</v>
      </c>
      <c r="Y150" s="247">
        <f t="shared" si="117"/>
        <v>23.302499999999998</v>
      </c>
      <c r="Z150" s="247">
        <f t="shared" si="118"/>
        <v>2.3199999999999998E-2</v>
      </c>
      <c r="AA150" s="247">
        <f t="shared" si="119"/>
        <v>23.279299999999999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120"/>
        <v>236</v>
      </c>
      <c r="AE150" s="235" t="str">
        <f t="shared" si="90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150" s="234" t="str">
        <f t="shared" si="91"/>
        <v>"C:\Program Files (x86)\AstroGrep\AstroGrep.exe" /e /r /s /spath="%USERPROFILE%\AppData\Local\Temp\OnboardLogs" /stypes="app*4013*20171220*" /stext=" 07:.+((SYSTEM_STATE.+slice.+state.+changed )|(ment ac)|(multiple cpu faults)|(system.+state.+changed )|(\[timeout)|(PRM\|1\|D)|(kpr)|(kdp)|(train st.+moving)|(\|gpps)|(penalty))"</v>
      </c>
      <c r="AG150" s="244" t="str">
        <f t="shared" si="121"/>
        <v>EC</v>
      </c>
      <c r="AH150" s="236" t="str">
        <f t="shared" si="92"/>
        <v>"%USERPROFILE%\Documents\GitHub\eaglep3\Utilities\RefineRTDCRunTimes.py" --tripid 236-19 --locoid 4013 --swversion DE.1.0.9.0 --startMP 204:233025 --initTime 2017-12-19T23:15:28 --startdatetime 2017-12-19T23:27:30 --delay 147 --endMP 204:232 --enddatetime 2017-12-20T00:04:55 --enforcementcount 0 &gt;&gt;%USERPROFILE%\Documents\GitHub\eaglep3-reporting\EC\2017-12-19-refined-times.txt</v>
      </c>
      <c r="AI150" s="238" t="str">
        <f t="shared" si="93"/>
        <v>echo {"issue":{"subject":"","project_id":79,"tracker_id":40,"status_id":1,"priority_id":2,"assigned_to_id":338,"start_date":"2017-12-20","description":"","custom_fields":[{"id":1,"name":"Subdivision","value":"EC"},{"id":4,"name":"Milepost","value":"0.0232"},{"id":17,"name":"Train ID","value":"236-19"},{"id":16,"name":"Locomotive ID","value":"4013"},{"id":130,"name":"Impact","value":""},{"id":150,"name":"Time of Event (Mountain Time)","value":"00:04:55"},{"id":151,"name":"Denver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94"/>
        <v>start /low /b %USERPROFILE%\Documents\GitHub\eaglep3\Utilities\DownloadLogsFromS3.py --loco 4013 --day 2017-12-19</v>
      </c>
      <c r="AN150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96"/>
        <v>https://d0f6bd738d7f1b3e5a7ca70fe4ff75f0.us-east-1.aws.found.io/app/kibana#/discover/Steve-Slow-Train-Analysis-(2080s-and-2083s)?_g=(refreshInterval:(display:Off,pause:!f,section:0,value:0),time:(from:'2017-12-19T22:15:28-0700',mode:absolute,to:'2017-12-20T01:04:55-0700'))&amp;_a=(columns:!('Message%20ID',Summary),filters:!(),index:'emp_*',interval:auto,query:(query_string:(analyze_wildcard:!t,query:'%22rtdc.l.rtdc.4013%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900</v>
      </c>
      <c r="B151" s="225">
        <v>4056</v>
      </c>
      <c r="C151" s="227" t="s">
        <v>192</v>
      </c>
      <c r="D151" s="227" t="s">
        <v>999</v>
      </c>
      <c r="E151" s="226">
        <v>43088.949166666665</v>
      </c>
      <c r="F151" s="226">
        <v>43088.958749999998</v>
      </c>
      <c r="G151" s="225">
        <v>66</v>
      </c>
      <c r="H151" s="227" t="s">
        <v>1000</v>
      </c>
      <c r="I151" s="226">
        <v>43088.98232638889</v>
      </c>
      <c r="J151" s="225">
        <v>0</v>
      </c>
      <c r="K151" s="237" t="str">
        <f t="shared" si="112"/>
        <v>4055/4056</v>
      </c>
      <c r="L151" s="245" t="str">
        <f>VLOOKUP(A151,'Trips&amp;Operators'!$C$1:$G$99911,5,FALSE)</f>
        <v>RESPASS AARON</v>
      </c>
      <c r="M151" s="224">
        <f t="shared" si="113"/>
        <v>2.3576388892251998E-2</v>
      </c>
      <c r="N151" s="225">
        <f t="shared" si="114"/>
        <v>33.950000004842877</v>
      </c>
      <c r="O151" s="225"/>
      <c r="P151" s="225"/>
      <c r="Q151" s="228"/>
      <c r="R151" s="242"/>
      <c r="S151" s="249">
        <f t="shared" si="115"/>
        <v>1</v>
      </c>
      <c r="T151" s="242" t="str">
        <f t="shared" si="116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89"/>
        <v>https://d0f6bd738d7f1b3e5a7ca70fe4ff75f0.us-east-1.aws.found.io/app/kibana#/discover/Steve-Slow-Train-Analysis-(2080s-and-2083s)?_g=(refreshInterval:(display:Off,pause:!f,section:0,value:0),time:(from:'2017-12-19T21:46:48-0700',mode:absolute,to:'2017-12-20T00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1" s="247" t="str">
        <f>IF(AA151&lt;VLOOKUP(AG151,Variables!$AC$3:$AD$8,2,FALSE),"Y","N")</f>
        <v>N</v>
      </c>
      <c r="X151" s="247">
        <f t="shared" si="63"/>
        <v>1</v>
      </c>
      <c r="Y151" s="247">
        <f t="shared" si="117"/>
        <v>5.9700000000000003E-2</v>
      </c>
      <c r="Z151" s="247">
        <f t="shared" si="118"/>
        <v>23.3232</v>
      </c>
      <c r="AA151" s="247">
        <f t="shared" si="119"/>
        <v>23.263500000000001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120"/>
        <v>237</v>
      </c>
      <c r="AE151" s="235" t="str">
        <f t="shared" si="90"/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AF151" s="234" t="str">
        <f t="shared" si="91"/>
        <v>"C:\Program Files (x86)\AstroGrep\AstroGrep.exe" /e /r /s /spath="%USERPROFILE%\AppData\Local\Temp\OnboardLogs" /stypes="app*4056*20171220*" /stext=" 06:.+((SYSTEM_STATE.+slice.+state.+changed )|(ment ac)|(multiple cpu faults)|(system.+state.+changed )|(\[timeout)|(PRM\|1\|D)|(kpr)|(kdp)|(train st.+moving)|(\|gpps)|(penalty))"</v>
      </c>
      <c r="AG151" s="244" t="str">
        <f t="shared" si="121"/>
        <v>EC</v>
      </c>
      <c r="AH151" s="236" t="str">
        <f t="shared" si="92"/>
        <v>"%USERPROFILE%\Documents\GitHub\eaglep3\Utilities\RefineRTDCRunTimes.py" --tripid 237-19 --locoid 4056 --swversion DE.1.0.9.0 --startMP 204:597 --initTime 2017-12-19T22:46:48 --startdatetime 2017-12-19T23:00:36 --delay 66 --endMP 204:233232 --enddatetime 2017-12-19T23:34:33 --enforcementcount 0 &gt;&gt;%USERPROFILE%\Documents\GitHub\eaglep3-reporting\EC\2017-12-19-refined-times.txt</v>
      </c>
      <c r="AI151" s="238" t="str">
        <f t="shared" si="93"/>
        <v>echo {"issue":{"subject":"","project_id":79,"tracker_id":40,"status_id":1,"priority_id":2,"assigned_to_id":338,"start_date":"2017-12-19","description":"","custom_fields":[{"id":1,"name":"Subdivision","value":"EC"},{"id":4,"name":"Milepost","value":"23.3232"},{"id":17,"name":"Train ID","value":"237-19"},{"id":16,"name":"Locomotive ID","value":"4056"},{"id":130,"name":"Impact","value":""},{"id":150,"name":"Time of Event (Mountain Time)","value":"23:34:33"},{"id":151,"name":"Denver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94"/>
        <v>start /low /b %USERPROFILE%\Documents\GitHub\eaglep3\Utilities\DownloadLogsFromS3.py --loco 4056 --day 2017-12-19</v>
      </c>
      <c r="AN151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96"/>
        <v>https://d0f6bd738d7f1b3e5a7ca70fe4ff75f0.us-east-1.aws.found.io/app/kibana#/discover/Steve-Slow-Train-Analysis-(2080s-and-2083s)?_g=(refreshInterval:(display:Off,pause:!f,section:0,value:0),time:(from:'2017-12-19T21:46:48-0700',mode:absolute,to:'2017-12-20T00:34:33-0700'))&amp;_a=(columns:!('Message%20ID',Summary),filters:!(),index:'emp_*',interval:auto,query:(query_string:(analyze_wildcard:!t,query:'%22rtdc.l.rtdc.4056%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906</v>
      </c>
      <c r="B152" s="225">
        <v>4055</v>
      </c>
      <c r="C152" s="227" t="s">
        <v>192</v>
      </c>
      <c r="D152" s="227" t="s">
        <v>977</v>
      </c>
      <c r="E152" s="226">
        <v>43088.985798611109</v>
      </c>
      <c r="F152" s="226">
        <v>43088.998067129629</v>
      </c>
      <c r="G152" s="225">
        <v>246</v>
      </c>
      <c r="H152" s="227" t="s">
        <v>1083</v>
      </c>
      <c r="I152" s="226">
        <v>43089.023576388892</v>
      </c>
      <c r="J152" s="225">
        <v>0</v>
      </c>
      <c r="K152" s="237" t="str">
        <f t="shared" si="112"/>
        <v>4055/4056</v>
      </c>
      <c r="L152" s="245" t="str">
        <f>VLOOKUP(A152,'Trips&amp;Operators'!$C$1:$G$99911,5,FALSE)</f>
        <v>RESPASS AARON</v>
      </c>
      <c r="M152" s="224">
        <f t="shared" si="113"/>
        <v>2.5509259263344575E-2</v>
      </c>
      <c r="N152" s="225">
        <f t="shared" si="114"/>
        <v>36.733333339216188</v>
      </c>
      <c r="O152" s="225"/>
      <c r="P152" s="225"/>
      <c r="Q152" s="228"/>
      <c r="R152" s="242"/>
      <c r="S152" s="249">
        <f t="shared" si="115"/>
        <v>1</v>
      </c>
      <c r="T152" s="242" t="str">
        <f t="shared" si="116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89"/>
        <v>https://d0f6bd738d7f1b3e5a7ca70fe4ff75f0.us-east-1.aws.found.io/app/kibana#/discover/Steve-Slow-Train-Analysis-(2080s-and-2083s)?_g=(refreshInterval:(display:Off,pause:!f,section:0,value:0),time:(from:'2017-12-19T22:39:33-0700',mode:absolute,to:'2017-12-20T01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2" s="247" t="str">
        <f>IF(AA152&lt;VLOOKUP(AG152,Variables!$AC$3:$AD$8,2,FALSE),"Y","N")</f>
        <v>N</v>
      </c>
      <c r="X152" s="247">
        <f t="shared" si="63"/>
        <v>1</v>
      </c>
      <c r="Y152" s="247">
        <f t="shared" si="117"/>
        <v>23.291899999999998</v>
      </c>
      <c r="Z152" s="247">
        <f t="shared" si="118"/>
        <v>2.8000000000000001E-2</v>
      </c>
      <c r="AA152" s="247">
        <f t="shared" si="119"/>
        <v>23.2639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120"/>
        <v>238</v>
      </c>
      <c r="AE152" s="235" t="str">
        <f t="shared" si="90"/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AF152" s="234" t="str">
        <f t="shared" si="91"/>
        <v>"C:\Program Files (x86)\AstroGrep\AstroGrep.exe" /e /r /s /spath="%USERPROFILE%\AppData\Local\Temp\OnboardLogs" /stypes="app*4055*20171220*" /stext=" 07:.+((SYSTEM_STATE.+slice.+state.+changed )|(ment ac)|(multiple cpu faults)|(system.+state.+changed )|(\[timeout)|(PRM\|1\|D)|(kpr)|(kdp)|(train st.+moving)|(\|gpps)|(penalty))"</v>
      </c>
      <c r="AG152" s="244" t="str">
        <f t="shared" si="121"/>
        <v>EC</v>
      </c>
      <c r="AH152" s="236" t="str">
        <f t="shared" ref="AH152" si="122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238-19 --locoid 4055 --swversion DE.1.0.9.0 --startMP 204:232919 --initTime 2017-12-19T23:39:33 --startdatetime 2017-12-19T23:57:13 --delay 246 --endMP 204:280 --enddatetime 2017-12-20T00:33:57 --enforcementcount 0 &gt;&gt;%USERPROFILE%\Documents\GitHub\eaglep3-reporting\EC\2017-12-19-refined-times.txt</v>
      </c>
      <c r="AI152" s="238" t="str">
        <f t="shared" ref="AI152" si="123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{"issue":{"subject":"","project_id":79,"tracker_id":40,"status_id":1,"priority_id":2,"assigned_to_id":338,"start_date":"2017-12-20","description":"","custom_fields":[{"id":1,"name":"Subdivision","value":"EC"},{"id":4,"name":"Milepost","value":"0.028"},{"id":17,"name":"Train ID","value":"238-19"},{"id":16,"name":"Locomotive ID","value":"4055"},{"id":130,"name":"Impact","value":""},{"id":150,"name":"Time of Event (Mountain Time)","value":"00:33:57"},{"id":151,"name":"Denver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ref="AM152" si="124">"start /low /b "&amp;dls3logs&amp;" --loco "&amp;B152&amp;" --day "&amp;TEXT(F152,"YYYY-MM-DD")</f>
        <v>start /low /b %USERPROFILE%\Documents\GitHub\eaglep3\Utilities\DownloadLogsFromS3.py --loco 4055 --day 2017-12-19</v>
      </c>
      <c r="AN152" s="241" t="str">
        <f t="shared" ref="AN152" si="125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07:33:57"},{"id":29,"name":"Sharepoint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ref="AO152" si="126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-19T22:39:33-0700',mode:absolute,to:'2017-12-20T01:33:57-0700'))&amp;_a=(columns:!('Message%20ID',Summary),filters:!(),index:'emp_*',interval:auto,query:(query_string:(analyze_wildcard:!t,query:'%22rtdc.l.rtdc.4055%22')),sort:!(Time.ISO8601,asc))</v>
      </c>
    </row>
    <row r="153" spans="1:91" s="20" customFormat="1" x14ac:dyDescent="0.25">
      <c r="A153" s="229" t="s">
        <v>903</v>
      </c>
      <c r="B153" s="225">
        <v>4060</v>
      </c>
      <c r="C153" s="227" t="s">
        <v>192</v>
      </c>
      <c r="D153" s="227" t="s">
        <v>627</v>
      </c>
      <c r="E153" s="226">
        <v>43088.962812500002</v>
      </c>
      <c r="F153" s="226">
        <v>43088.979351851849</v>
      </c>
      <c r="G153" s="225">
        <v>66</v>
      </c>
      <c r="H153" s="227" t="s">
        <v>578</v>
      </c>
      <c r="I153" s="226">
        <v>43089.003483796296</v>
      </c>
      <c r="J153" s="225">
        <v>0</v>
      </c>
      <c r="K153" s="237" t="str">
        <f t="shared" si="112"/>
        <v>4059/4060</v>
      </c>
      <c r="L153" s="245" t="str">
        <f>VLOOKUP(A153,'Trips&amp;Operators'!$C$1:$G$99911,5,FALSE)</f>
        <v>LOZA FIDEL</v>
      </c>
      <c r="M153" s="224">
        <f t="shared" si="113"/>
        <v>2.4131944446708076E-2</v>
      </c>
      <c r="N153" s="225">
        <f t="shared" si="114"/>
        <v>34.750000003259629</v>
      </c>
      <c r="O153" s="225"/>
      <c r="P153" s="225"/>
      <c r="Q153" s="228"/>
      <c r="R153" s="242"/>
      <c r="S153" s="249">
        <f t="shared" si="115"/>
        <v>1</v>
      </c>
      <c r="T153" s="242" t="str">
        <f t="shared" si="116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89"/>
        <v>https://d0f6bd738d7f1b3e5a7ca70fe4ff75f0.us-east-1.aws.found.io/app/kibana#/discover/Steve-Slow-Train-Analysis-(2080s-and-2083s)?_g=(refreshInterval:(display:Off,pause:!f,section:0,value:0),time:(from:'2017-12-19T22:06:27-0700',mode:absolute,to:'2017-12-20T01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3" s="247" t="str">
        <f>IF(AA153&lt;VLOOKUP(AG153,Variables!$AC$3:$AD$8,2,FALSE),"Y","N")</f>
        <v>N</v>
      </c>
      <c r="X153" s="247">
        <f t="shared" si="63"/>
        <v>1</v>
      </c>
      <c r="Y153" s="247">
        <f t="shared" si="117"/>
        <v>5.4600000000000003E-2</v>
      </c>
      <c r="Z153" s="247">
        <f t="shared" si="118"/>
        <v>23.3278</v>
      </c>
      <c r="AA153" s="247">
        <f t="shared" si="119"/>
        <v>23.273199999999999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120"/>
        <v>239</v>
      </c>
      <c r="AE153" s="235" t="str">
        <f t="shared" si="90"/>
        <v>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 &amp; aws s3 cp s3://rtdc.mdm.uploadarchive.raw/RTDC4060/ "%USERPROFILE%\AppData\Local\Temp\OnboardLogs"\RTDC4060\2017-12-20 --exclude "*" --recursive --include "*20171220*" &amp; "%USERPROFILE%\Documents\GitHub\mrs-test-scripts\Headless Mode &amp; Sideloading\WalkAndUnGZ.bat" "%USERPROFILE%\AppData\Local\Temp\OnboardLogs"\RTDC4060\2017-12-20</v>
      </c>
      <c r="AF153" s="234" t="str">
        <f t="shared" si="91"/>
        <v>"C:\Program Files (x86)\AstroGrep\AstroGrep.exe" /e /r /s /spath="%USERPROFILE%\AppData\Local\Temp\OnboardLogs" /stypes="app*4060*20171220*" /stext=" 07:.+((SYSTEM_STATE.+slice.+state.+changed )|(ment ac)|(multiple cpu faults)|(system.+state.+changed )|(\[timeout)|(PRM\|1\|D)|(kpr)|(kdp)|(train st.+moving)|(\|gpps)|(penalty))"</v>
      </c>
      <c r="AG153" s="244" t="str">
        <f t="shared" si="121"/>
        <v>EC</v>
      </c>
      <c r="AH153" s="236" t="str">
        <f t="shared" si="92"/>
        <v>"%USERPROFILE%\Documents\GitHub\eaglep3\Utilities\RefineRTDCRunTimes.py" --tripid 239-19 --locoid 4060 --swversion DE.1.0.9.0 --startMP 204:546 --initTime 2017-12-19T23:06:27 --startdatetime 2017-12-19T23:30:16 --delay 66 --endMP 204:233278 --enddatetime 2017-12-20T00:05:01 --enforcementcount 0 &gt;&gt;%USERPROFILE%\Documents\GitHub\eaglep3-reporting\EC\2017-12-19-refined-times.txt</v>
      </c>
      <c r="AI153" s="238" t="str">
        <f t="shared" si="93"/>
        <v>echo {"issue":{"subject":"","project_id":79,"tracker_id":40,"status_id":1,"priority_id":2,"assigned_to_id":338,"start_date":"2017-12-20","description":"","custom_fields":[{"id":1,"name":"Subdivision","value":"EC"},{"id":4,"name":"Milepost","value":"23.3278"},{"id":17,"name":"Train ID","value":"239-19"},{"id":16,"name":"Locomotive ID","value":"4060"},{"id":130,"name":"Impact","value":""},{"id":150,"name":"Time of Event (Mountain Time)","value":"00:05:01"},{"id":151,"name":"Denver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94"/>
        <v>start /low /b %USERPROFILE%\Documents\GitHub\eaglep3\Utilities\DownloadLogsFromS3.py --loco 4060 --day 2017-12-19</v>
      </c>
      <c r="AN153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07:05:01"},{"id":29,"name":"Sharepoint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96"/>
        <v>https://d0f6bd738d7f1b3e5a7ca70fe4ff75f0.us-east-1.aws.found.io/app/kibana#/discover/Steve-Slow-Train-Analysis-(2080s-and-2083s)?_g=(refreshInterval:(display:Off,pause:!f,section:0,value:0),time:(from:'2017-12-19T22:06:27-0700',mode:absolute,to:'2017-12-20T01:05:01-0700'))&amp;_a=(columns:!('Message%20ID',Summary),filters:!(),index:'emp_*',interval:auto,query:(query_string:(analyze_wildcard:!t,query:'%22rtdc.l.rtdc.4060%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908</v>
      </c>
      <c r="B154" s="225">
        <v>4059</v>
      </c>
      <c r="C154" s="227" t="s">
        <v>192</v>
      </c>
      <c r="D154" s="227" t="s">
        <v>546</v>
      </c>
      <c r="E154" s="226">
        <v>43089.012777777774</v>
      </c>
      <c r="F154" s="226">
        <v>43089.018935185188</v>
      </c>
      <c r="G154" s="225">
        <v>96</v>
      </c>
      <c r="H154" s="227" t="s">
        <v>926</v>
      </c>
      <c r="I154" s="226">
        <v>43089.043877314813</v>
      </c>
      <c r="J154" s="225">
        <v>0</v>
      </c>
      <c r="K154" s="237" t="str">
        <f t="shared" si="112"/>
        <v>4059/4060</v>
      </c>
      <c r="L154" s="245" t="str">
        <f>VLOOKUP(A154,'Trips&amp;Operators'!$C$1:$G$99911,5,FALSE)</f>
        <v>LOZA FIDEL</v>
      </c>
      <c r="M154" s="224">
        <f t="shared" si="113"/>
        <v>2.4942129624832887E-2</v>
      </c>
      <c r="N154" s="225">
        <f t="shared" si="114"/>
        <v>35.916666659759358</v>
      </c>
      <c r="O154" s="225"/>
      <c r="P154" s="225"/>
      <c r="Q154" s="228"/>
      <c r="R154" s="242"/>
      <c r="S154" s="249">
        <f t="shared" si="115"/>
        <v>1</v>
      </c>
      <c r="T154" s="242" t="str">
        <f t="shared" si="116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89"/>
        <v>https://d0f6bd738d7f1b3e5a7ca70fe4ff75f0.us-east-1.aws.found.io/app/kibana#/discover/Steve-Slow-Train-Analysis-(2080s-and-2083s)?_g=(refreshInterval:(display:Off,pause:!f,section:0,value:0),time:(from:'2017-12-19T23:18:24-0700',mode:absolute,to:'2017-12-20T02:03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4" s="247" t="str">
        <f>IF(AA154&lt;VLOOKUP(AG154,Variables!$AC$3:$AD$8,2,FALSE),"Y","N")</f>
        <v>N</v>
      </c>
      <c r="X154" s="247">
        <f t="shared" si="63"/>
        <v>1</v>
      </c>
      <c r="Y154" s="247">
        <f t="shared" si="117"/>
        <v>23.2959</v>
      </c>
      <c r="Z154" s="247">
        <f t="shared" si="118"/>
        <v>2.1100000000000001E-2</v>
      </c>
      <c r="AA154" s="247">
        <f t="shared" si="119"/>
        <v>23.274799999999999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120"/>
        <v>240</v>
      </c>
      <c r="AE154" s="235" t="str">
        <f t="shared" si="90"/>
        <v>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 &amp; aws s3 cp s3://rtdc.mdm.uploadarchive.raw/RTDC4059/ "%USERPROFILE%\AppData\Local\Temp\OnboardLogs"\RTDC4059\2017-12-21 --exclude "*" --recursive --include "*20171221*" &amp; "%USERPROFILE%\Documents\GitHub\mrs-test-scripts\Headless Mode &amp; Sideloading\WalkAndUnGZ.bat" "%USERPROFILE%\AppData\Local\Temp\OnboardLogs"\RTDC4059\2017-12-21</v>
      </c>
      <c r="AF154" s="234" t="str">
        <f t="shared" si="91"/>
        <v>"C:\Program Files (x86)\AstroGrep\AstroGrep.exe" /e /r /s /spath="%USERPROFILE%\AppData\Local\Temp\OnboardLogs" /stypes="app*4059*20171220*" /stext=" 08:.+((SYSTEM_STATE.+slice.+state.+changed )|(ment ac)|(multiple cpu faults)|(system.+state.+changed )|(\[timeout)|(PRM\|1\|D)|(kpr)|(kdp)|(train st.+moving)|(\|gpps)|(penalty))"</v>
      </c>
      <c r="AG154" s="244" t="str">
        <f t="shared" si="121"/>
        <v>EC</v>
      </c>
      <c r="AH154" s="236" t="str">
        <f t="shared" si="92"/>
        <v>"%USERPROFILE%\Documents\GitHub\eaglep3\Utilities\RefineRTDCRunTimes.py" --tripid 240-19 --locoid 4059 --swversion DE.1.0.9.0 --startMP 204:232959 --initTime 2017-12-20T00:18:24 --startdatetime 2017-12-20T00:27:16 --delay 96 --endMP 204:211 --enddatetime 2017-12-20T01:03:11 --enforcementcount 0 &gt;&gt;%USERPROFILE%\Documents\GitHub\eaglep3-reporting\EC\2017-12-19-refined-times.txt</v>
      </c>
      <c r="AI154" s="238" t="str">
        <f t="shared" si="93"/>
        <v>echo {"issue":{"subject":"","project_id":79,"tracker_id":40,"status_id":1,"priority_id":2,"assigned_to_id":338,"start_date":"2017-12-20","description":"","custom_fields":[{"id":1,"name":"Subdivision","value":"EC"},{"id":4,"name":"Milepost","value":"0.0211"},{"id":17,"name":"Train ID","value":"240-19"},{"id":16,"name":"Locomotive ID","value":"4059"},{"id":130,"name":"Impact","value":""},{"id":150,"name":"Time of Event (Mountain Time)","value":"01:03:11"},{"id":151,"name":"Denver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94"/>
        <v>start /low /b %USERPROFILE%\Documents\GitHub\eaglep3\Utilities\DownloadLogsFromS3.py --loco 4059 --day 2017-12-20</v>
      </c>
      <c r="AN154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08:03:11"},{"id":29,"name":"Sharepoint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96"/>
        <v>https://d0f6bd738d7f1b3e5a7ca70fe4ff75f0.us-east-1.aws.found.io/app/kibana#/discover/Steve-Slow-Train-Analysis-(2080s-and-2083s)?_g=(refreshInterval:(display:Off,pause:!f,section:0,value:0),time:(from:'2017-12-19T23:18:24-0700',mode:absolute,to:'2017-12-20T02:03:11-0700'))&amp;_a=(columns:!('Message%20ID',Summary),filters:!(),index:'emp_*',interval:auto,query:(query_string:(analyze_wildcard:!t,query:'%22rtdc.l.rtdc.4059%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694</v>
      </c>
      <c r="B155" s="225">
        <v>4018</v>
      </c>
      <c r="C155" s="227" t="s">
        <v>192</v>
      </c>
      <c r="D155" s="227" t="s">
        <v>1001</v>
      </c>
      <c r="E155" s="226">
        <v>43088.991331018522</v>
      </c>
      <c r="F155" s="226">
        <v>43089.000208333331</v>
      </c>
      <c r="G155" s="225">
        <v>54</v>
      </c>
      <c r="H155" s="227" t="s">
        <v>1002</v>
      </c>
      <c r="I155" s="226">
        <v>43089.00953703704</v>
      </c>
      <c r="J155" s="225">
        <v>0</v>
      </c>
      <c r="K155" s="237" t="str">
        <f t="shared" si="112"/>
        <v>4017/4018</v>
      </c>
      <c r="L155" s="245" t="str">
        <f>VLOOKUP(A155,'Trips&amp;Operators'!$C$1:$G$99911,5,FALSE)</f>
        <v>NICHOLSON WESLEY</v>
      </c>
      <c r="M155" s="224">
        <f t="shared" si="113"/>
        <v>9.3287037088884972E-3</v>
      </c>
      <c r="N155" s="225"/>
      <c r="O155" s="225"/>
      <c r="P155" s="225">
        <f>24*60*SUM($M155:$M155)</f>
        <v>13.433333340799436</v>
      </c>
      <c r="Q155" s="228"/>
      <c r="R155" s="242" t="s">
        <v>1090</v>
      </c>
      <c r="S155" s="249">
        <f t="shared" si="115"/>
        <v>0.75</v>
      </c>
      <c r="T155" s="242" t="str">
        <f t="shared" si="116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9</v>
      </c>
      <c r="V155" s="248" t="str">
        <f t="shared" si="89"/>
        <v>https://d0f6bd738d7f1b3e5a7ca70fe4ff75f0.us-east-1.aws.found.io/app/kibana#/discover/Steve-Slow-Train-Analysis-(2080s-and-2083s)?_g=(refreshInterval:(display:Off,pause:!f,section:0,value:0),time:(from:'2017-12-19T22:47:31-0700',mode:absolute,to:'2017-12-20T01:13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5" s="247" t="str">
        <f>IF(AA155&lt;VLOOKUP(AG155,Variables!$AC$3:$AD$8,2,FALSE),"Y","N")</f>
        <v>Y</v>
      </c>
      <c r="X155" s="247">
        <f t="shared" si="63"/>
        <v>1</v>
      </c>
      <c r="Y155" s="247">
        <f t="shared" si="117"/>
        <v>5.2900000000000003E-2</v>
      </c>
      <c r="Z155" s="247">
        <f t="shared" si="118"/>
        <v>6.4626999999999999</v>
      </c>
      <c r="AA155" s="247">
        <f t="shared" si="119"/>
        <v>6.4097999999999997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120"/>
        <v>241</v>
      </c>
      <c r="AE155" s="235" t="str">
        <f t="shared" si="90"/>
        <v>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 &amp; 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</v>
      </c>
      <c r="AF155" s="234" t="str">
        <f t="shared" si="91"/>
        <v>"C:\Program Files (x86)\AstroGrep\AstroGrep.exe" /e /r /s /spath="%USERPROFILE%\AppData\Local\Temp\OnboardLogs" /stypes="app*4018*20171220*" /stext=" 07:.+((SYSTEM_STATE.+slice.+state.+changed )|(ment ac)|(multiple cpu faults)|(system.+state.+changed )|(\[timeout)|(PRM\|1\|D)|(kpr)|(kdp)|(train st.+moving)|(\|gpps)|(penalty))"</v>
      </c>
      <c r="AG155" s="244" t="str">
        <f t="shared" si="121"/>
        <v>EC</v>
      </c>
      <c r="AH155" s="236" t="str">
        <f t="shared" si="92"/>
        <v>"%USERPROFILE%\Documents\GitHub\eaglep3\Utilities\RefineRTDCRunTimes.py" --tripid 241-19 --locoid 4018 --swversion DE.1.0.9.0 --startMP 204:529 --initTime 2017-12-19T23:47:31 --startdatetime 2017-12-20T00:00:18 --delay 54 --endMP 204:64627 --enddatetime 2017-12-20T00:13:44 --enforcementcount 0 &gt;&gt;%USERPROFILE%\Documents\GitHub\eaglep3-reporting\EC\2017-12-19-refined-times.txt</v>
      </c>
      <c r="AI155" s="238" t="str">
        <f t="shared" si="93"/>
        <v>echo {"issue":{"subject":"Premature downgrade at EC0629XH 57-1T 1N","project_id":79,"tracker_id":40,"status_id":1,"priority_id":2,"assigned_to_id":338,"start_date":"2017-12-20","description":"","custom_fields":[{"id":1,"name":"Subdivision","value":"EC"},{"id":4,"name":"Milepost","value":"6.4627"},{"id":17,"name":"Train ID","value":"241-19"},{"id":16,"name":"Locomotive ID","value":"4018"},{"id":130,"name":"Impact","value":""},{"id":150,"name":"Time of Event (Mountain Time)","value":"00:13:44"},{"id":151,"name":"Denver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94"/>
        <v>start /low /b %USERPROFILE%\Documents\GitHub\eaglep3\Utilities\DownloadLogsFromS3.py --loco 4018 --day 2017-12-20</v>
      </c>
      <c r="AN155" s="241" t="str">
        <f t="shared" si="95"/>
        <v>echo {"issue":{"subject":"Premature downgrade at EC0629XH 57-1T 1N","project_id":30,"tracker_id":4,"status_id":1,"priority_id":1,"assigned_to_id":10,"start_date":"2017-12-20","description":"","custom_fields":[{"id":30,"name":"Category","value":"Issue"},{"id":3,"name":"Functional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07:13:44"},{"id":29,"name":"Sharepoint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96"/>
        <v>https://d0f6bd738d7f1b3e5a7ca70fe4ff75f0.us-east-1.aws.found.io/app/kibana#/discover/Steve-Slow-Train-Analysis-(2080s-and-2083s)?_g=(refreshInterval:(display:Off,pause:!f,section:0,value:0),time:(from:'2017-12-19T22:47:31-0700',mode:absolute,to:'2017-12-20T01:13:44-0700'))&amp;_a=(columns:!('Message%20ID',Summary),filters:!(),index:'emp_*',interval:auto,query:(query_string:(analyze_wildcard:!t,query:'%22rtdc.l.rtdc.4018%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910</v>
      </c>
      <c r="B156" s="225">
        <v>4017</v>
      </c>
      <c r="C156" s="227" t="s">
        <v>192</v>
      </c>
      <c r="D156" s="227" t="s">
        <v>1084</v>
      </c>
      <c r="E156" s="226">
        <v>43089.036203703705</v>
      </c>
      <c r="F156" s="226">
        <v>43089.039826388886</v>
      </c>
      <c r="G156" s="225">
        <v>63</v>
      </c>
      <c r="H156" s="227" t="s">
        <v>569</v>
      </c>
      <c r="I156" s="226">
        <v>43089.067187499997</v>
      </c>
      <c r="J156" s="225">
        <v>0</v>
      </c>
      <c r="K156" s="237" t="str">
        <f t="shared" si="112"/>
        <v>4017/4018</v>
      </c>
      <c r="L156" s="245" t="str">
        <f>VLOOKUP(A156,'Trips&amp;Operators'!$C$1:$G$99911,5,FALSE)</f>
        <v>NICHOLSON WESLEY</v>
      </c>
      <c r="M156" s="224">
        <f t="shared" si="113"/>
        <v>2.73611111115315E-2</v>
      </c>
      <c r="N156" s="225">
        <f>24*60*SUM($M156:$M156)</f>
        <v>39.40000000060536</v>
      </c>
      <c r="O156" s="225"/>
      <c r="P156" s="225"/>
      <c r="Q156" s="228"/>
      <c r="R156" s="242" t="s">
        <v>1092</v>
      </c>
      <c r="S156" s="249">
        <f t="shared" si="115"/>
        <v>1</v>
      </c>
      <c r="T156" s="242" t="str">
        <f t="shared" si="116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89"/>
        <v>https://d0f6bd738d7f1b3e5a7ca70fe4ff75f0.us-east-1.aws.found.io/app/kibana#/discover/Steve-Slow-Train-Analysis-(2080s-and-2083s)?_g=(refreshInterval:(display:Off,pause:!f,section:0,value:0),time:(from:'2017-12-19T23:52:08-0700',mode:absolute,to:'2017-12-20T02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6" s="247" t="str">
        <f>IF(AA156&lt;VLOOKUP(AG156,Variables!$AC$3:$AD$8,2,FALSE),"Y","N")</f>
        <v>N</v>
      </c>
      <c r="X156" s="247">
        <f t="shared" si="63"/>
        <v>1</v>
      </c>
      <c r="Y156" s="247">
        <f t="shared" si="117"/>
        <v>23.285900000000002</v>
      </c>
      <c r="Z156" s="247">
        <f t="shared" si="118"/>
        <v>2.4199999999999999E-2</v>
      </c>
      <c r="AA156" s="247">
        <f t="shared" si="119"/>
        <v>23.261700000000001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120"/>
        <v>242</v>
      </c>
      <c r="AE156" s="235" t="str">
        <f t="shared" si="90"/>
        <v>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 &amp; aws s3 cp s3://rtdc.mdm.uploadarchive.raw/RTDC4017/ "%USERPROFILE%\AppData\Local\Temp\OnboardLogs"\RTDC4017\2017-12-21 --exclude "*" --recursive --include "*20171221*" &amp; "%USERPROFILE%\Documents\GitHub\mrs-test-scripts\Headless Mode &amp; Sideloading\WalkAndUnGZ.bat" "%USERPROFILE%\AppData\Local\Temp\OnboardLogs"\RTDC4017\2017-12-21</v>
      </c>
      <c r="AF156" s="234" t="str">
        <f t="shared" si="91"/>
        <v>"C:\Program Files (x86)\AstroGrep\AstroGrep.exe" /e /r /s /spath="%USERPROFILE%\AppData\Local\Temp\OnboardLogs" /stypes="app*4017*20171220*" /stext=" 08:.+((SYSTEM_STATE.+slice.+state.+changed )|(ment ac)|(multiple cpu faults)|(system.+state.+changed )|(\[timeout)|(PRM\|1\|D)|(kpr)|(kdp)|(train st.+moving)|(\|gpps)|(penalty))"</v>
      </c>
      <c r="AG156" s="244" t="str">
        <f t="shared" si="121"/>
        <v>EC</v>
      </c>
      <c r="AH156" s="236" t="str">
        <f t="shared" ref="AH156" si="127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242-19 --locoid 4017 --swversion DE.1.0.9.0 --startMP 204:232859 --initTime 2017-12-20T00:52:08 --startdatetime 2017-12-20T00:57:21 --delay 63 --endMP 204:242 --enddatetime 2017-12-20T01:36:45 --enforcementcount 0 &gt;&gt;%USERPROFILE%\Documents\GitHub\eaglep3-reporting\EC\2017-12-19-refined-times.txt</v>
      </c>
      <c r="AI156" s="238" t="str">
        <f t="shared" ref="AI156" si="128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{"issue":{"subject":"Chambers unhealthy banner due to train stop at 40th","project_id":79,"tracker_id":40,"status_id":1,"priority_id":2,"assigned_to_id":338,"start_date":"2017-12-20","description":"","custom_fields":[{"id":1,"name":"Subdivision","value":"EC"},{"id":4,"name":"Milepost","value":"0.0242"},{"id":17,"name":"Train ID","value":"242-19"},{"id":16,"name":"Locomotive ID","value":"4017"},{"id":130,"name":"Impact","value":""},{"id":150,"name":"Time of Event (Mountain Time)","value":"01:36:45"},{"id":151,"name":"Denver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129">"start /low /b "&amp;dls3logs&amp;" --loco "&amp;B156&amp;" --day "&amp;TEXT(F156,"YYYY-MM-DD")</f>
        <v>start /low /b %USERPROFILE%\Documents\GitHub\eaglep3\Utilities\DownloadLogsFromS3.py --loco 4017 --day 2017-12-20</v>
      </c>
      <c r="AN156" s="241" t="str">
        <f t="shared" ref="AN156" si="130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{"issue":{"subject":"Chambers unhealthy banner due to train stop at 40th","project_id":30,"tracker_id":4,"status_id":1,"priority_id":1,"assigned_to_id":10,"start_date":"2017-12-20","description":"","custom_fields":[{"id":30,"name":"Category","value":"Issue"},{"id":3,"name":"Functional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131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-19T23:52:08-0700',mode:absolute,to:'2017-12-20T02:36:45-0700'))&amp;_a=(columns:!('Message%20ID',Summary),filters:!(),index:'emp_*',interval:auto,query:(query_string:(analyze_wildcard:!t,query:'%22rtdc.l.rtdc.4017%22')),sort:!(Time.ISO8601,asc))</v>
      </c>
    </row>
    <row r="157" spans="1:91" s="223" customFormat="1" x14ac:dyDescent="0.25">
      <c r="A157" s="229" t="s">
        <v>907</v>
      </c>
      <c r="B157" s="225">
        <v>4014</v>
      </c>
      <c r="C157" s="227" t="s">
        <v>192</v>
      </c>
      <c r="D157" s="227" t="s">
        <v>624</v>
      </c>
      <c r="E157" s="226">
        <v>43089.008009259262</v>
      </c>
      <c r="F157" s="226">
        <v>43089.021180555559</v>
      </c>
      <c r="G157" s="225">
        <v>50</v>
      </c>
      <c r="H157" s="227" t="s">
        <v>1085</v>
      </c>
      <c r="I157" s="226">
        <v>43089.046516203707</v>
      </c>
      <c r="J157" s="225">
        <v>0</v>
      </c>
      <c r="K157" s="237" t="str">
        <f t="shared" si="112"/>
        <v>4013/4014</v>
      </c>
      <c r="L157" s="245" t="str">
        <f>VLOOKUP(A157,'Trips&amp;Operators'!$C$1:$G$99911,5,FALSE)</f>
        <v>MAGEE KENYA</v>
      </c>
      <c r="M157" s="224">
        <f t="shared" si="113"/>
        <v>2.5335648148029577E-2</v>
      </c>
      <c r="N157" s="225">
        <f>24*60*SUM($M157:$M157)</f>
        <v>36.483333333162591</v>
      </c>
      <c r="O157" s="225"/>
      <c r="P157" s="225"/>
      <c r="Q157" s="228"/>
      <c r="R157" s="242"/>
      <c r="S157" s="249">
        <f t="shared" si="115"/>
        <v>1</v>
      </c>
      <c r="T157" s="242" t="str">
        <f t="shared" si="116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89"/>
        <v>https://d0f6bd738d7f1b3e5a7ca70fe4ff75f0.us-east-1.aws.found.io/app/kibana#/discover/Steve-Slow-Train-Analysis-(2080s-and-2083s)?_g=(refreshInterval:(display:Off,pause:!f,section:0,value:0),time:(from:'2017-12-19T23:11:32-0700',mode:absolute,to:'2017-12-20T02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247" t="str">
        <f>IF(AA157&lt;VLOOKUP(AG157,Variables!$AC$3:$AD$8,2,FALSE),"Y","N")</f>
        <v>N</v>
      </c>
      <c r="X157" s="247">
        <f t="shared" si="63"/>
        <v>1</v>
      </c>
      <c r="Y157" s="247">
        <f t="shared" si="117"/>
        <v>5.3900000000000003E-2</v>
      </c>
      <c r="Z157" s="247">
        <f t="shared" si="118"/>
        <v>23.332899999999999</v>
      </c>
      <c r="AA157" s="247">
        <f t="shared" si="119"/>
        <v>23.279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120"/>
        <v>243</v>
      </c>
      <c r="AE157" s="235" t="str">
        <f t="shared" si="90"/>
        <v>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 &amp; aws s3 cp s3://rtdc.mdm.uploadarchive.raw/RTDC4014/ "%USERPROFILE%\AppData\Local\Temp\OnboardLogs"\RTDC4014\2017-12-21 --exclude "*" --recursive --include "*20171221*" &amp; "%USERPROFILE%\Documents\GitHub\mrs-test-scripts\Headless Mode &amp; Sideloading\WalkAndUnGZ.bat" "%USERPROFILE%\AppData\Local\Temp\OnboardLogs"\RTDC4014\2017-12-21</v>
      </c>
      <c r="AF157" s="234" t="str">
        <f t="shared" si="91"/>
        <v>"C:\Program Files (x86)\AstroGrep\AstroGrep.exe" /e /r /s /spath="%USERPROFILE%\AppData\Local\Temp\OnboardLogs" /stypes="app*4014*20171220*" /stext=" 08:.+((SYSTEM_STATE.+slice.+state.+changed )|(ment ac)|(multiple cpu faults)|(system.+state.+changed )|(\[timeout)|(PRM\|1\|D)|(kpr)|(kdp)|(train st.+moving)|(\|gpps)|(penalty))"</v>
      </c>
      <c r="AG157" s="244" t="str">
        <f t="shared" si="121"/>
        <v>EC</v>
      </c>
      <c r="AH157" s="236" t="str">
        <f t="shared" ref="AH157" si="132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243-19 --locoid 4014 --swversion DE.1.0.9.0 --startMP 204:539 --initTime 2017-12-20T00:11:32 --startdatetime 2017-12-20T00:30:30 --delay 50 --endMP 204:233329 --enddatetime 2017-12-20T01:06:59 --enforcementcount 0 &gt;&gt;%USERPROFILE%\Documents\GitHub\eaglep3-reporting\EC\2017-12-19-refined-times.txt</v>
      </c>
      <c r="AI157" s="238" t="str">
        <f t="shared" ref="AI157" si="133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{"issue":{"subject":"","project_id":79,"tracker_id":40,"status_id":1,"priority_id":2,"assigned_to_id":338,"start_date":"2017-12-20","description":"","custom_fields":[{"id":1,"name":"Subdivision","value":"EC"},{"id":4,"name":"Milepost","value":"23.3329"},{"id":17,"name":"Train ID","value":"243-19"},{"id":16,"name":"Locomotive ID","value":"4014"},{"id":130,"name":"Impact","value":""},{"id":150,"name":"Time of Event (Mountain Time)","value":"01:06:59"},{"id":151,"name":"Denver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134">"start /low /b "&amp;dls3logs&amp;" --loco "&amp;B157&amp;" --day "&amp;TEXT(F157,"YYYY-MM-DD")</f>
        <v>start /low /b %USERPROFILE%\Documents\GitHub\eaglep3\Utilities\DownloadLogsFromS3.py --loco 4014 --day 2017-12-20</v>
      </c>
      <c r="AN157" s="241" t="str">
        <f t="shared" ref="AN157" si="135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08:06:59"},{"id":29,"name":"Sharepoint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136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-19T23:11:32-0700',mode:absolute,to:'2017-12-20T02:06:59-0700'))&amp;_a=(columns:!('Message%20ID',Summary),filters:!(),index:'emp_*',interval:auto,query:(query_string:(analyze_wildcard:!t,query:'%22rtdc.l.rtdc.4014%22')),sort:!(Time.ISO8601,asc))</v>
      </c>
    </row>
    <row r="158" spans="1:91" s="223" customFormat="1" x14ac:dyDescent="0.25">
      <c r="A158" s="229" t="s">
        <v>695</v>
      </c>
      <c r="B158" s="225">
        <v>4013</v>
      </c>
      <c r="C158" s="227" t="s">
        <v>192</v>
      </c>
      <c r="D158" s="227" t="s">
        <v>1003</v>
      </c>
      <c r="E158" s="226">
        <v>43089.056979166664</v>
      </c>
      <c r="F158" s="226">
        <v>43089.080196759256</v>
      </c>
      <c r="G158" s="225">
        <v>509</v>
      </c>
      <c r="H158" s="227" t="s">
        <v>1004</v>
      </c>
      <c r="I158" s="226">
        <v>43089.090046296296</v>
      </c>
      <c r="J158" s="225">
        <v>0</v>
      </c>
      <c r="K158" s="237" t="str">
        <f t="shared" si="112"/>
        <v>4013/4014</v>
      </c>
      <c r="L158" s="245" t="str">
        <f>VLOOKUP(A158,'Trips&amp;Operators'!$C$1:$G$99911,5,FALSE)</f>
        <v>MAGEE KENYA</v>
      </c>
      <c r="M158" s="224">
        <f t="shared" si="113"/>
        <v>9.8495370402815752E-3</v>
      </c>
      <c r="N158" s="225"/>
      <c r="O158" s="225"/>
      <c r="P158" s="225"/>
      <c r="Q158" s="228"/>
      <c r="R158" s="242"/>
      <c r="S158" s="249"/>
      <c r="T158" s="242" t="str">
        <f t="shared" si="116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48" t="str">
        <f t="shared" si="89"/>
        <v>https://d0f6bd738d7f1b3e5a7ca70fe4ff75f0.us-east-1.aws.found.io/app/kibana#/discover/Steve-Slow-Train-Analysis-(2080s-and-2083s)?_g=(refreshInterval:(display:Off,pause:!f,section:0,value:0),time:(from:'2017-12-20T00:22:03-0700',mode:absolute,to:'2017-12-20T03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247" t="str">
        <f>IF(AA158&lt;VLOOKUP(AG158,Variables!$AC$3:$AD$8,2,FALSE),"Y","N")</f>
        <v>Y</v>
      </c>
      <c r="X158" s="247">
        <f t="shared" si="63"/>
        <v>1</v>
      </c>
      <c r="Y158" s="247">
        <f t="shared" si="117"/>
        <v>23.3017</v>
      </c>
      <c r="Z158" s="247">
        <f t="shared" si="118"/>
        <v>11.036099999999999</v>
      </c>
      <c r="AA158" s="247">
        <f t="shared" si="119"/>
        <v>12.265600000000001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120"/>
        <v>244</v>
      </c>
      <c r="AE158" s="235" t="str">
        <f t="shared" si="90"/>
        <v>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 &amp; 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</v>
      </c>
      <c r="AF158" s="234" t="str">
        <f t="shared" si="91"/>
        <v>"C:\Program Files (x86)\AstroGrep\AstroGrep.exe" /e /r /s /spath="%USERPROFILE%\AppData\Local\Temp\OnboardLogs" /stypes="app*4013*20171220*" /stext=" 09:.+((SYSTEM_STATE.+slice.+state.+changed )|(ment ac)|(multiple cpu faults)|(system.+state.+changed )|(\[timeout)|(PRM\|1\|D)|(kpr)|(kdp)|(train st.+moving)|(\|gpps)|(penalty))"</v>
      </c>
      <c r="AG158" s="244" t="str">
        <f t="shared" si="121"/>
        <v>EC</v>
      </c>
      <c r="AH158" s="236" t="str">
        <f t="shared" si="92"/>
        <v>"%USERPROFILE%\Documents\GitHub\eaglep3\Utilities\RefineRTDCRunTimes.py" --tripid 244-19 --locoid 4013 --swversion DE.1.0.9.0 --startMP 204:233017 --initTime 2017-12-20T01:22:03 --startdatetime 2017-12-20T01:55:29 --delay 509 --endMP 204:110361 --enddatetime 2017-12-20T02:09:40 --enforcementcount 0 &gt;&gt;%USERPROFILE%\Documents\GitHub\eaglep3-reporting\EC\2017-12-19-refined-times.txt</v>
      </c>
      <c r="AI158" s="238" t="str">
        <f t="shared" si="93"/>
        <v>echo {"issue":{"subject":"","project_id":79,"tracker_id":40,"status_id":1,"priority_id":2,"assigned_to_id":338,"start_date":"2017-12-20","description":"","custom_fields":[{"id":1,"name":"Subdivision","value":"EC"},{"id":4,"name":"Milepost","value":"11.0361"},{"id":17,"name":"Train ID","value":"244-19"},{"id":16,"name":"Locomotive ID","value":"4013"},{"id":130,"name":"Impact","value":""},{"id":150,"name":"Time of Event (Mountain Time)","value":"02:09:40"},{"id":151,"name":"Denver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94"/>
        <v>start /low /b %USERPROFILE%\Documents\GitHub\eaglep3\Utilities\DownloadLogsFromS3.py --loco 4013 --day 2017-12-20</v>
      </c>
      <c r="AN158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09:09:40"},{"id":29,"name":"Sharepoint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96"/>
        <v>https://d0f6bd738d7f1b3e5a7ca70fe4ff75f0.us-east-1.aws.found.io/app/kibana#/discover/Steve-Slow-Train-Analysis-(2080s-and-2083s)?_g=(refreshInterval:(display:Off,pause:!f,section:0,value:0),time:(from:'2017-12-20T00:22:03-0700',mode:absolute,to:'2017-12-20T03:09:40-0700'))&amp;_a=(columns:!('Message%20ID',Summary),filters:!(),index:'emp_*',interval:auto,query:(query_string:(analyze_wildcard:!t,query:'%22rtdc.l.rtdc.4013%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695</v>
      </c>
      <c r="B159" s="225">
        <v>4013</v>
      </c>
      <c r="C159" s="227" t="s">
        <v>192</v>
      </c>
      <c r="D159" s="227" t="s">
        <v>1005</v>
      </c>
      <c r="E159" s="226">
        <v>43089.079409722224</v>
      </c>
      <c r="F159" s="226">
        <v>43089.080196759256</v>
      </c>
      <c r="G159" s="225">
        <v>38</v>
      </c>
      <c r="H159" s="227" t="s">
        <v>968</v>
      </c>
      <c r="I159" s="226">
        <v>43089.090046296296</v>
      </c>
      <c r="J159" s="225">
        <v>0</v>
      </c>
      <c r="K159" s="237" t="str">
        <f t="shared" si="112"/>
        <v>4013/4014</v>
      </c>
      <c r="L159" s="245" t="str">
        <f>VLOOKUP(A159,'Trips&amp;Operators'!$C$1:$G$99911,5,FALSE)</f>
        <v>MAGEE KENYA</v>
      </c>
      <c r="M159" s="224">
        <f t="shared" si="113"/>
        <v>9.8495370402815752E-3</v>
      </c>
      <c r="N159" s="225"/>
      <c r="O159" s="225"/>
      <c r="P159" s="225">
        <f>24*60*SUM($M159:$M159)</f>
        <v>14.183333338005468</v>
      </c>
      <c r="Q159" s="228"/>
      <c r="R159" s="242" t="s">
        <v>468</v>
      </c>
      <c r="S159" s="249">
        <f t="shared" ref="S159:S201" si="137">1/IF(AG159="EC",12,1)*SUM(U159:U159)</f>
        <v>0.75</v>
      </c>
      <c r="T159" s="242" t="str">
        <f t="shared" si="116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9</v>
      </c>
      <c r="V159" s="248" t="str">
        <f t="shared" si="89"/>
        <v>https://d0f6bd738d7f1b3e5a7ca70fe4ff75f0.us-east-1.aws.found.io/app/kibana#/discover/Steve-Slow-Train-Analysis-(2080s-and-2083s)?_g=(refreshInterval:(display:Off,pause:!f,section:0,value:0),time:(from:'2017-12-20T00:54:21-0700',mode:absolute,to:'2017-12-20T03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247" t="str">
        <f>IF(AA159&lt;VLOOKUP(AG159,Variables!$AC$3:$AD$8,2,FALSE),"Y","N")</f>
        <v>Y</v>
      </c>
      <c r="X159" s="247">
        <f t="shared" ref="X159:X201" si="138">VALUE(LEFT(AD159,4))-VALUE(LEFT(AD158,4))</f>
        <v>0</v>
      </c>
      <c r="Y159" s="247">
        <f t="shared" si="117"/>
        <v>6.4161000000000001</v>
      </c>
      <c r="Z159" s="247">
        <f t="shared" si="118"/>
        <v>2.07E-2</v>
      </c>
      <c r="AA159" s="247">
        <f t="shared" si="119"/>
        <v>6.3954000000000004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120"/>
        <v>244</v>
      </c>
      <c r="AE159" s="235" t="str">
        <f t="shared" si="90"/>
        <v>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 &amp; 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</v>
      </c>
      <c r="AF159" s="234" t="str">
        <f t="shared" si="91"/>
        <v>"C:\Program Files (x86)\AstroGrep\AstroGrep.exe" /e /r /s /spath="%USERPROFILE%\AppData\Local\Temp\OnboardLogs" /stypes="app*4013*20171220*" /stext=" 09:.+((SYSTEM_STATE.+slice.+state.+changed )|(ment ac)|(multiple cpu faults)|(system.+state.+changed )|(\[timeout)|(PRM\|1\|D)|(kpr)|(kdp)|(train st.+moving)|(\|gpps)|(penalty))"</v>
      </c>
      <c r="AG159" s="244" t="str">
        <f t="shared" si="121"/>
        <v>EC</v>
      </c>
      <c r="AH159" s="236" t="str">
        <f t="shared" si="92"/>
        <v>"%USERPROFILE%\Documents\GitHub\eaglep3\Utilities\RefineRTDCRunTimes.py" --tripid 244-19 --locoid 4013 --swversion DE.1.0.9.0 --startMP 204:64161 --initTime 2017-12-20T01:54:21 --startdatetime 2017-12-20T01:55:29 --delay 38 --endMP 204:207 --enddatetime 2017-12-20T02:09:40 --enforcementcount 0 &gt;&gt;%USERPROFILE%\Documents\GitHub\eaglep3-reporting\EC\2017-12-19-refined-times.txt</v>
      </c>
      <c r="AI159" s="238" t="str">
        <f t="shared" si="93"/>
        <v>echo {"issue":{"subject":"Wi-MAX data drop","project_id":79,"tracker_id":40,"status_id":1,"priority_id":2,"assigned_to_id":338,"start_date":"2017-12-20","description":"","custom_fields":[{"id":1,"name":"Subdivision","value":"EC"},{"id":4,"name":"Milepost","value":"0.0207"},{"id":17,"name":"Train ID","value":"244-19"},{"id":16,"name":"Locomotive ID","value":"4013"},{"id":130,"name":"Impact","value":""},{"id":150,"name":"Time of Event (Mountain Time)","value":"02:09:40"},{"id":151,"name":"Denver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94"/>
        <v>start /low /b %USERPROFILE%\Documents\GitHub\eaglep3\Utilities\DownloadLogsFromS3.py --loco 4013 --day 2017-12-20</v>
      </c>
      <c r="AN159" s="241" t="str">
        <f t="shared" si="95"/>
        <v>echo {"issue":{"subject":"Wi-MAX data drop","project_id":30,"tracker_id":4,"status_id":1,"priority_id":1,"assigned_to_id":10,"start_date":"2017-12-20","description":"","custom_fields":[{"id":30,"name":"Category","value":"Issue"},{"id":3,"name":"Functional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09:09:40"},{"id":29,"name":"Sharepoint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96"/>
        <v>https://d0f6bd738d7f1b3e5a7ca70fe4ff75f0.us-east-1.aws.found.io/app/kibana#/discover/Steve-Slow-Train-Analysis-(2080s-and-2083s)?_g=(refreshInterval:(display:Off,pause:!f,section:0,value:0),time:(from:'2017-12-20T00:54:21-0700',mode:absolute,to:'2017-12-20T03:09:40-0700'))&amp;_a=(columns:!('Message%20ID',Summary),filters:!(),index:'emp_*',interval:auto,query:(query_string:(analyze_wildcard:!t,query:'%22rtdc.l.rtdc.4013%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720</v>
      </c>
      <c r="B160" s="225">
        <v>4057</v>
      </c>
      <c r="C160" s="227" t="s">
        <v>192</v>
      </c>
      <c r="D160" s="227" t="s">
        <v>1025</v>
      </c>
      <c r="E160" s="226">
        <v>43088.209814814814</v>
      </c>
      <c r="F160" s="226">
        <v>43088.212291666663</v>
      </c>
      <c r="G160" s="225">
        <v>122</v>
      </c>
      <c r="H160" s="227" t="s">
        <v>660</v>
      </c>
      <c r="I160" s="226">
        <v>43088.226539351854</v>
      </c>
      <c r="J160" s="225">
        <v>0</v>
      </c>
      <c r="K160" s="237" t="str">
        <f t="shared" si="112"/>
        <v>4057/4058</v>
      </c>
      <c r="L160" s="245" t="str">
        <f>VLOOKUP(A160,'Trips&amp;Operators'!$C$1:$G$99911,5,FALSE)</f>
        <v>DAVIDSON DAVID</v>
      </c>
      <c r="M160" s="224">
        <f t="shared" si="113"/>
        <v>1.4247685190639459E-2</v>
      </c>
      <c r="N160" s="225">
        <f t="shared" ref="N160:N201" si="139">24*60*SUM($M160:$M160)</f>
        <v>20.51666667452082</v>
      </c>
      <c r="O160" s="225"/>
      <c r="P160" s="225"/>
      <c r="Q160" s="228"/>
      <c r="R160" s="242"/>
      <c r="S160" s="249">
        <f t="shared" si="137"/>
        <v>1</v>
      </c>
      <c r="T160" s="242" t="str">
        <f t="shared" si="116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89"/>
        <v>https://d0f6bd738d7f1b3e5a7ca70fe4ff75f0.us-east-1.aws.found.io/app/kibana#/discover/Steve-Slow-Train-Analysis-(2080s-and-2083s)?_g=(refreshInterval:(display:Off,pause:!f,section:0,value:0),time:(from:'2017-12-19T04:02:08-0700',mode:absolute,to:'2017-12-19T06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0" s="247" t="str">
        <f>IF(AA160&lt;VLOOKUP(AG160,Variables!$AC$3:$AD$8,2,FALSE),"Y","N")</f>
        <v>N</v>
      </c>
      <c r="X160" s="247">
        <f t="shared" si="138"/>
        <v>556</v>
      </c>
      <c r="Y160" s="247">
        <f t="shared" si="117"/>
        <v>5.8624000000000001</v>
      </c>
      <c r="Z160" s="247">
        <f t="shared" si="118"/>
        <v>1.35E-2</v>
      </c>
      <c r="AA160" s="247">
        <f t="shared" si="119"/>
        <v>5.8489000000000004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120"/>
        <v>800</v>
      </c>
      <c r="AE160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60" s="234" t="str">
        <f t="shared" si="91"/>
        <v>"C:\Program Files (x86)\AstroGrep\AstroGrep.exe" /e /r /s /spath="%USERPROFILE%\AppData\Local\Temp\OnboardLogs" /stypes="app*4057*20171219*" /stext=" 12:.+((SYSTEM_STATE.+slice.+state.+changed )|(ment ac)|(multiple cpu faults)|(system.+state.+changed )|(\[timeout)|(PRM\|1\|D)|(kpr)|(kdp)|(train st.+moving)|(\|gpps)|(penalty))"</v>
      </c>
      <c r="AG160" s="244" t="str">
        <f t="shared" si="121"/>
        <v>NW</v>
      </c>
      <c r="AH160" s="236" t="str">
        <f t="shared" si="92"/>
        <v>"%USERPROFILE%\Documents\GitHub\eaglep3\Utilities\RefineRTDCRunTimes.py" --tripid 800-19 --locoid 4057 --swversion DE.1.0.9.0 --startMP 300:58624 --initTime 2017-12-19T05:02:08 --startdatetime 2017-12-19T05:05:42 --delay 122 --endMP 204:135 --enddatetime 2017-12-19T05:26:13 --enforcementcount 0 &gt;&gt;%USERPROFILE%\Documents\GitHub\eaglep3-reporting\EC\2017-12-19-refined-times.txt</v>
      </c>
      <c r="AI160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{"issue":{"subject":"","project_id":79,"tracker_id":40,"status_id":1,"priority_id":2,"assigned_to_id":338,"start_date":"2017-12-19","description":"","custom_fields":[{"id":1,"name":"Subdivision","value":"NW"},{"id":4,"name":"Milepost","value":"0.0135"},{"id":17,"name":"Train ID","value":"800-19"},{"id":16,"name":"Locomotive ID","value":"4057"},{"id":130,"name":"Impact","value":""},{"id":150,"name":"Time of Event (Mountain Time)","value":"05:26:13"},{"id":151,"name":"Denver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94"/>
        <v>start /low /b %USERPROFILE%\Documents\GitHub\eaglep3\Utilities\DownloadLogsFromS3.py --loco 4057 --day 2017-12-19</v>
      </c>
      <c r="AN160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96"/>
        <v>https://d0f6bd738d7f1b3e5a7ca70fe4ff75f0.us-east-1.aws.found.io/app/kibana#/discover/Steve-Slow-Train-Analysis-(2080s-and-2083s)?_g=(refreshInterval:(display:Off,pause:!f,section:0,value:0),time:(from:'2017-12-19T04:02:08-0700',mode:absolute,to:'2017-12-19T06:26:13-0700'))&amp;_a=(columns:!('Message%20ID',Summary),filters:!(),index:'emp_*',interval:auto,query:(query_string:(analyze_wildcard:!t,query:'%22rtdc.l.rtdc.4057%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727</v>
      </c>
      <c r="B161" s="225">
        <v>4058</v>
      </c>
      <c r="C161" s="227" t="s">
        <v>192</v>
      </c>
      <c r="D161" s="227" t="s">
        <v>667</v>
      </c>
      <c r="E161" s="226">
        <v>43088.228425925925</v>
      </c>
      <c r="F161" s="226">
        <v>43088.235636574071</v>
      </c>
      <c r="G161" s="225">
        <v>59</v>
      </c>
      <c r="H161" s="227" t="s">
        <v>662</v>
      </c>
      <c r="I161" s="226">
        <v>43088.245821759258</v>
      </c>
      <c r="J161" s="225">
        <v>0</v>
      </c>
      <c r="K161" s="237" t="str">
        <f t="shared" si="112"/>
        <v>4057/4058</v>
      </c>
      <c r="L161" s="245" t="str">
        <f>VLOOKUP(A161,'Trips&amp;Operators'!$C$1:$G$99911,5,FALSE)</f>
        <v>DAVIDSON DAVID</v>
      </c>
      <c r="M161" s="224">
        <f t="shared" si="113"/>
        <v>1.0185185186855961E-2</v>
      </c>
      <c r="N161" s="225">
        <f t="shared" si="139"/>
        <v>14.666666669072583</v>
      </c>
      <c r="O161" s="225"/>
      <c r="P161" s="225"/>
      <c r="Q161" s="228"/>
      <c r="R161" s="242"/>
      <c r="S161" s="249">
        <f t="shared" si="137"/>
        <v>1</v>
      </c>
      <c r="T161" s="242" t="str">
        <f t="shared" si="116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89"/>
        <v>https://d0f6bd738d7f1b3e5a7ca70fe4ff75f0.us-east-1.aws.found.io/app/kibana#/discover/Steve-Slow-Train-Analysis-(2080s-and-2083s)?_g=(refreshInterval:(display:Off,pause:!f,section:0,value:0),time:(from:'2017-12-19T04:28:56-0700',mode:absolute,to:'2017-12-19T06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1" s="247" t="str">
        <f>IF(AA161&lt;VLOOKUP(AG161,Variables!$AC$3:$AD$8,2,FALSE),"Y","N")</f>
        <v>N</v>
      </c>
      <c r="X161" s="247">
        <f t="shared" si="138"/>
        <v>1</v>
      </c>
      <c r="Y161" s="247">
        <f t="shared" si="117"/>
        <v>4.3900000000000002E-2</v>
      </c>
      <c r="Z161" s="247">
        <f t="shared" si="118"/>
        <v>5.8929</v>
      </c>
      <c r="AA161" s="247">
        <f t="shared" si="119"/>
        <v>5.8490000000000002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120"/>
        <v>801</v>
      </c>
      <c r="AE161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61" s="234" t="str">
        <f t="shared" si="91"/>
        <v>"C:\Program Files (x86)\AstroGrep\AstroGrep.exe" /e /r /s /spath="%USERPROFILE%\AppData\Local\Temp\OnboardLogs" /stypes="app*4058*20171219*" /stext=" 12:.+((SYSTEM_STATE.+slice.+state.+changed )|(ment ac)|(multiple cpu faults)|(system.+state.+changed )|(\[timeout)|(PRM\|1\|D)|(kpr)|(kdp)|(train st.+moving)|(\|gpps)|(penalty))"</v>
      </c>
      <c r="AG161" s="244" t="str">
        <f t="shared" si="121"/>
        <v>NW</v>
      </c>
      <c r="AH161" s="236" t="str">
        <f t="shared" si="92"/>
        <v>"%USERPROFILE%\Documents\GitHub\eaglep3\Utilities\RefineRTDCRunTimes.py" --tripid 801-19 --locoid 4058 --swversion DE.1.0.9.0 --startMP 204:439 --initTime 2017-12-19T05:28:56 --startdatetime 2017-12-19T05:39:19 --delay 59 --endMP 300:58929 --enddatetime 2017-12-19T05:53:59 --enforcementcount 0 &gt;&gt;%USERPROFILE%\Documents\GitHub\eaglep3-reporting\EC\2017-12-19-refined-times.txt</v>
      </c>
      <c r="AI161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{"issue":{"subject":"","project_id":79,"tracker_id":40,"status_id":1,"priority_id":2,"assigned_to_id":338,"start_date":"2017-12-19","description":"","custom_fields":[{"id":1,"name":"Subdivision","value":"NW"},{"id":4,"name":"Milepost","value":"5.8929"},{"id":17,"name":"Train ID","value":"801-19"},{"id":16,"name":"Locomotive ID","value":"4058"},{"id":130,"name":"Impact","value":""},{"id":150,"name":"Time of Event (Mountain Time)","value":"05:53:59"},{"id":151,"name":"Denver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94"/>
        <v>start /low /b %USERPROFILE%\Documents\GitHub\eaglep3\Utilities\DownloadLogsFromS3.py --loco 4058 --day 2017-12-19</v>
      </c>
      <c r="AN161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96"/>
        <v>https://d0f6bd738d7f1b3e5a7ca70fe4ff75f0.us-east-1.aws.found.io/app/kibana#/discover/Steve-Slow-Train-Analysis-(2080s-and-2083s)?_g=(refreshInterval:(display:Off,pause:!f,section:0,value:0),time:(from:'2017-12-19T04:28:56-0700',mode:absolute,to:'2017-12-19T06:53:59-0700'))&amp;_a=(columns:!('Message%20ID',Summary),filters:!(),index:'emp_*',interval:auto,query:(query_string:(analyze_wildcard:!t,query:'%22rtdc.l.rtdc.4058%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735</v>
      </c>
      <c r="B162" s="225">
        <v>4057</v>
      </c>
      <c r="C162" s="227" t="s">
        <v>192</v>
      </c>
      <c r="D162" s="227" t="s">
        <v>1026</v>
      </c>
      <c r="E162" s="226">
        <v>43088.247430555559</v>
      </c>
      <c r="F162" s="226">
        <v>43088.258333333331</v>
      </c>
      <c r="G162" s="225">
        <v>61</v>
      </c>
      <c r="H162" s="227" t="s">
        <v>660</v>
      </c>
      <c r="I162" s="226">
        <v>43088.26767361111</v>
      </c>
      <c r="J162" s="225">
        <v>0</v>
      </c>
      <c r="K162" s="237" t="str">
        <f t="shared" si="112"/>
        <v>4057/4058</v>
      </c>
      <c r="L162" s="245" t="str">
        <f>VLOOKUP(A162,'Trips&amp;Operators'!$C$1:$G$99911,5,FALSE)</f>
        <v>DAVIDSON DAVID</v>
      </c>
      <c r="M162" s="224">
        <f t="shared" si="113"/>
        <v>9.340277778392192E-3</v>
      </c>
      <c r="N162" s="225">
        <f t="shared" si="139"/>
        <v>13.450000000884756</v>
      </c>
      <c r="O162" s="225"/>
      <c r="P162" s="225"/>
      <c r="Q162" s="228"/>
      <c r="R162" s="242"/>
      <c r="S162" s="249">
        <f t="shared" si="137"/>
        <v>1</v>
      </c>
      <c r="T162" s="242" t="str">
        <f t="shared" si="116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89"/>
        <v>https://d0f6bd738d7f1b3e5a7ca70fe4ff75f0.us-east-1.aws.found.io/app/kibana#/discover/Steve-Slow-Train-Analysis-(2080s-and-2083s)?_g=(refreshInterval:(display:Off,pause:!f,section:0,value:0),time:(from:'2017-12-19T04:56:18-0700',mode:absolute,to:'2017-12-19T07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2" s="247" t="str">
        <f>IF(AA162&lt;VLOOKUP(AG162,Variables!$AC$3:$AD$8,2,FALSE),"Y","N")</f>
        <v>N</v>
      </c>
      <c r="X162" s="247">
        <f t="shared" si="138"/>
        <v>1</v>
      </c>
      <c r="Y162" s="247">
        <f t="shared" si="117"/>
        <v>5.8609</v>
      </c>
      <c r="Z162" s="247">
        <f t="shared" si="118"/>
        <v>1.35E-2</v>
      </c>
      <c r="AA162" s="247">
        <f t="shared" si="119"/>
        <v>5.8474000000000004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120"/>
        <v>802</v>
      </c>
      <c r="AE162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62" s="234" t="str">
        <f t="shared" si="91"/>
        <v>"C:\Program Files (x86)\AstroGrep\AstroGrep.exe" /e /r /s /spath="%USERPROFILE%\AppData\Local\Temp\OnboardLogs" /stypes="app*4057*20171219*" /stext=" 13:.+((SYSTEM_STATE.+slice.+state.+changed )|(ment ac)|(multiple cpu faults)|(system.+state.+changed )|(\[timeout)|(PRM\|1\|D)|(kpr)|(kdp)|(train st.+moving)|(\|gpps)|(penalty))"</v>
      </c>
      <c r="AG162" s="244" t="str">
        <f t="shared" si="121"/>
        <v>NW</v>
      </c>
      <c r="AH162" s="236" t="str">
        <f t="shared" si="92"/>
        <v>"%USERPROFILE%\Documents\GitHub\eaglep3\Utilities\RefineRTDCRunTimes.py" --tripid 802-19 --locoid 4057 --swversion DE.1.0.9.0 --startMP 300:58609 --initTime 2017-12-19T05:56:18 --startdatetime 2017-12-19T06:12:00 --delay 61 --endMP 204:135 --enddatetime 2017-12-19T06:25:27 --enforcementcount 0 &gt;&gt;%USERPROFILE%\Documents\GitHub\eaglep3-reporting\EC\2017-12-19-refined-times.txt</v>
      </c>
      <c r="AI162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{"issue":{"subject":"","project_id":79,"tracker_id":40,"status_id":1,"priority_id":2,"assigned_to_id":338,"start_date":"2017-12-19","description":"","custom_fields":[{"id":1,"name":"Subdivision","value":"NW"},{"id":4,"name":"Milepost","value":"0.0135"},{"id":17,"name":"Train ID","value":"802-19"},{"id":16,"name":"Locomotive ID","value":"4057"},{"id":130,"name":"Impact","value":""},{"id":150,"name":"Time of Event (Mountain Time)","value":"06:25:27"},{"id":151,"name":"Denver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94"/>
        <v>start /low /b %USERPROFILE%\Documents\GitHub\eaglep3\Utilities\DownloadLogsFromS3.py --loco 4057 --day 2017-12-19</v>
      </c>
      <c r="AN162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96"/>
        <v>https://d0f6bd738d7f1b3e5a7ca70fe4ff75f0.us-east-1.aws.found.io/app/kibana#/discover/Steve-Slow-Train-Analysis-(2080s-and-2083s)?_g=(refreshInterval:(display:Off,pause:!f,section:0,value:0),time:(from:'2017-12-19T04:56:18-0700',mode:absolute,to:'2017-12-19T07:25:27-0700'))&amp;_a=(columns:!('Message%20ID',Summary),filters:!(),index:'emp_*',interval:auto,query:(query_string:(analyze_wildcard:!t,query:'%22rtdc.l.rtdc.4057%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733</v>
      </c>
      <c r="B163" s="225">
        <v>4054</v>
      </c>
      <c r="C163" s="227" t="s">
        <v>192</v>
      </c>
      <c r="D163" s="227" t="s">
        <v>945</v>
      </c>
      <c r="E163" s="226">
        <v>43088.244953703703</v>
      </c>
      <c r="F163" s="226">
        <v>43088.256388888891</v>
      </c>
      <c r="G163" s="225">
        <v>68</v>
      </c>
      <c r="H163" s="227" t="s">
        <v>1027</v>
      </c>
      <c r="I163" s="226">
        <v>43088.266875000001</v>
      </c>
      <c r="J163" s="225">
        <v>0</v>
      </c>
      <c r="K163" s="237" t="str">
        <f t="shared" si="112"/>
        <v>4053/4054</v>
      </c>
      <c r="L163" s="245" t="str">
        <f>VLOOKUP(A163,'Trips&amp;Operators'!$C$1:$G$99911,5,FALSE)</f>
        <v>FORTUNATO FRANK</v>
      </c>
      <c r="M163" s="224">
        <f t="shared" si="113"/>
        <v>1.0486111110367347E-2</v>
      </c>
      <c r="N163" s="225">
        <f t="shared" si="139"/>
        <v>15.099999998928979</v>
      </c>
      <c r="O163" s="225"/>
      <c r="P163" s="225"/>
      <c r="Q163" s="228"/>
      <c r="R163" s="242"/>
      <c r="S163" s="249">
        <f t="shared" si="137"/>
        <v>1</v>
      </c>
      <c r="T163" s="242" t="str">
        <f t="shared" si="116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89"/>
        <v>https://d0f6bd738d7f1b3e5a7ca70fe4ff75f0.us-east-1.aws.found.io/app/kibana#/discover/Steve-Slow-Train-Analysis-(2080s-and-2083s)?_g=(refreshInterval:(display:Off,pause:!f,section:0,value:0),time:(from:'2017-12-19T04:52:44-0700',mode:absolute,to:'2017-12-19T07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3" s="247" t="str">
        <f>IF(AA163&lt;VLOOKUP(AG163,Variables!$AC$3:$AD$8,2,FALSE),"Y","N")</f>
        <v>N</v>
      </c>
      <c r="X163" s="247">
        <f t="shared" si="138"/>
        <v>1</v>
      </c>
      <c r="Y163" s="247">
        <f t="shared" si="117"/>
        <v>4.53E-2</v>
      </c>
      <c r="Z163" s="247">
        <f t="shared" si="118"/>
        <v>5.8983999999999996</v>
      </c>
      <c r="AA163" s="247">
        <f t="shared" si="119"/>
        <v>5.8530999999999995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120"/>
        <v>803</v>
      </c>
      <c r="AE163" s="235" t="str">
        <f t="shared" si="90"/>
        <v>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 &amp; 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</v>
      </c>
      <c r="AF163" s="234" t="str">
        <f t="shared" si="91"/>
        <v>"C:\Program Files (x86)\AstroGrep\AstroGrep.exe" /e /r /s /spath="%USERPROFILE%\AppData\Local\Temp\OnboardLogs" /stypes="app*4054*20171219*" /stext=" 13:.+((SYSTEM_STATE.+slice.+state.+changed )|(ment ac)|(multiple cpu faults)|(system.+state.+changed )|(\[timeout)|(PRM\|1\|D)|(kpr)|(kdp)|(train st.+moving)|(\|gpps)|(penalty))"</v>
      </c>
      <c r="AG163" s="244" t="str">
        <f t="shared" si="121"/>
        <v>NW</v>
      </c>
      <c r="AH163" s="236" t="str">
        <f t="shared" si="92"/>
        <v>"%USERPROFILE%\Documents\GitHub\eaglep3\Utilities\RefineRTDCRunTimes.py" --tripid 803-19 --locoid 4054 --swversion DE.1.0.9.0 --startMP 204:453 --initTime 2017-12-19T05:52:44 --startdatetime 2017-12-19T06:09:12 --delay 68 --endMP 300:58984 --enddatetime 2017-12-19T06:24:18 --enforcementcount 0 &gt;&gt;%USERPROFILE%\Documents\GitHub\eaglep3-reporting\EC\2017-12-19-refined-times.txt</v>
      </c>
      <c r="AI163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{"issue":{"subject":"","project_id":79,"tracker_id":40,"status_id":1,"priority_id":2,"assigned_to_id":338,"start_date":"2017-12-19","description":"","custom_fields":[{"id":1,"name":"Subdivision","value":"NW"},{"id":4,"name":"Milepost","value":"5.8984"},{"id":17,"name":"Train ID","value":"803-19"},{"id":16,"name":"Locomotive ID","value":"4054"},{"id":130,"name":"Impact","value":""},{"id":150,"name":"Time of Event (Mountain Time)","value":"06:24:18"},{"id":151,"name":"Denver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94"/>
        <v>start /low /b %USERPROFILE%\Documents\GitHub\eaglep3\Utilities\DownloadLogsFromS3.py --loco 4054 --day 2017-12-19</v>
      </c>
      <c r="AN163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96"/>
        <v>https://d0f6bd738d7f1b3e5a7ca70fe4ff75f0.us-east-1.aws.found.io/app/kibana#/discover/Steve-Slow-Train-Analysis-(2080s-and-2083s)?_g=(refreshInterval:(display:Off,pause:!f,section:0,value:0),time:(from:'2017-12-19T04:52:44-0700',mode:absolute,to:'2017-12-19T07:24:18-0700'))&amp;_a=(columns:!('Message%20ID',Summary),filters:!(),index:'emp_*',interval:auto,query:(query_string:(analyze_wildcard:!t,query:'%22rtdc.l.rtdc.4054%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739</v>
      </c>
      <c r="B164" s="225">
        <v>4053</v>
      </c>
      <c r="C164" s="227" t="s">
        <v>192</v>
      </c>
      <c r="D164" s="227" t="s">
        <v>1028</v>
      </c>
      <c r="E164" s="226">
        <v>43088.268275462964</v>
      </c>
      <c r="F164" s="226">
        <v>43088.279166666667</v>
      </c>
      <c r="G164" s="225">
        <v>56</v>
      </c>
      <c r="H164" s="227" t="s">
        <v>1029</v>
      </c>
      <c r="I164" s="226">
        <v>43088.287002314813</v>
      </c>
      <c r="J164" s="225">
        <v>0</v>
      </c>
      <c r="K164" s="237" t="str">
        <f t="shared" si="112"/>
        <v>4053/4054</v>
      </c>
      <c r="L164" s="245" t="str">
        <f>VLOOKUP(A164,'Trips&amp;Operators'!$C$1:$G$99911,5,FALSE)</f>
        <v>FORTUNATO FRANK</v>
      </c>
      <c r="M164" s="224">
        <f t="shared" si="113"/>
        <v>7.8356481462833472E-3</v>
      </c>
      <c r="N164" s="225">
        <f t="shared" si="139"/>
        <v>11.28333333064802</v>
      </c>
      <c r="O164" s="225"/>
      <c r="P164" s="225"/>
      <c r="Q164" s="228"/>
      <c r="R164" s="242"/>
      <c r="S164" s="249">
        <f t="shared" si="137"/>
        <v>1</v>
      </c>
      <c r="T164" s="242" t="str">
        <f t="shared" si="116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89"/>
        <v>https://d0f6bd738d7f1b3e5a7ca70fe4ff75f0.us-east-1.aws.found.io/app/kibana#/discover/Steve-Slow-Train-Analysis-(2080s-and-2083s)?_g=(refreshInterval:(display:Off,pause:!f,section:0,value:0),time:(from:'2017-12-19T05:26:19-0700',mode:absolute,to:'2017-12-19T07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4" s="247" t="str">
        <f>IF(AA164&lt;VLOOKUP(AG164,Variables!$AC$3:$AD$8,2,FALSE),"Y","N")</f>
        <v>Y</v>
      </c>
      <c r="X164" s="247">
        <f t="shared" si="138"/>
        <v>1</v>
      </c>
      <c r="Y164" s="247">
        <f t="shared" si="117"/>
        <v>5.8677000000000001</v>
      </c>
      <c r="Z164" s="247">
        <f t="shared" si="118"/>
        <v>0.45329999999999998</v>
      </c>
      <c r="AA164" s="247">
        <f t="shared" si="119"/>
        <v>5.4144000000000005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120"/>
        <v>804</v>
      </c>
      <c r="AE164" s="235" t="str">
        <f t="shared" si="90"/>
        <v>aws s3 cp s3://rtdc.mdm.uploadarchive.raw/RTDC4053/ "%USERPROFILE%\AppData\Local\Temp\OnboardLogs"\RTDC4053\2017-12-19 --exclude "*" --recursive --include "*20171219*" &amp; "%USERPROFILE%\Documents\GitHub\mrs-test-scripts\Headless Mode &amp; Sideloading\WalkAndUnGZ.bat" "%USERPROFILE%\AppData\Local\Temp\OnboardLogs"\RTDC4053\2017-12-19 &amp; 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</v>
      </c>
      <c r="AF164" s="234" t="str">
        <f t="shared" si="91"/>
        <v>"C:\Program Files (x86)\AstroGrep\AstroGrep.exe" /e /r /s /spath="%USERPROFILE%\AppData\Local\Temp\OnboardLogs" /stypes="app*4053*20171219*" /stext=" 13:.+((SYSTEM_STATE.+slice.+state.+changed )|(ment ac)|(multiple cpu faults)|(system.+state.+changed )|(\[timeout)|(PRM\|1\|D)|(kpr)|(kdp)|(train st.+moving)|(\|gpps)|(penalty))"</v>
      </c>
      <c r="AG164" s="244" t="str">
        <f t="shared" si="121"/>
        <v>NW</v>
      </c>
      <c r="AH164" s="236" t="str">
        <f t="shared" si="92"/>
        <v>"%USERPROFILE%\Documents\GitHub\eaglep3\Utilities\RefineRTDCRunTimes.py" --tripid 804-19 --locoid 4053 --swversion DE.1.0.9.0 --startMP 300:58677 --initTime 2017-12-19T06:26:19 --startdatetime 2017-12-19T06:42:00 --delay 56 --endMP 204:4533 --enddatetime 2017-12-19T06:53:17 --enforcementcount 0 &gt;&gt;%USERPROFILE%\Documents\GitHub\eaglep3-reporting\EC\2017-12-19-refined-times.txt</v>
      </c>
      <c r="AI164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{"issue":{"subject":"","project_id":79,"tracker_id":40,"status_id":1,"priority_id":2,"assigned_to_id":338,"start_date":"2017-12-19","description":"","custom_fields":[{"id":1,"name":"Subdivision","value":"NW"},{"id":4,"name":"Milepost","value":"0.4533"},{"id":17,"name":"Train ID","value":"804-19"},{"id":16,"name":"Locomotive ID","value":"4053"},{"id":130,"name":"Impact","value":""},{"id":150,"name":"Time of Event (Mountain Time)","value":"06:53:17"},{"id":151,"name":"Denver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94"/>
        <v>start /low /b %USERPROFILE%\Documents\GitHub\eaglep3\Utilities\DownloadLogsFromS3.py --loco 4053 --day 2017-12-19</v>
      </c>
      <c r="AN164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96"/>
        <v>https://d0f6bd738d7f1b3e5a7ca70fe4ff75f0.us-east-1.aws.found.io/app/kibana#/discover/Steve-Slow-Train-Analysis-(2080s-and-2083s)?_g=(refreshInterval:(display:Off,pause:!f,section:0,value:0),time:(from:'2017-12-19T05:26:19-0700',mode:absolute,to:'2017-12-19T07:53:17-0700'))&amp;_a=(columns:!('Message%20ID',Summary),filters:!(),index:'emp_*',interval:auto,query:(query_string:(analyze_wildcard:!t,query:'%22rtdc.l.rtdc.4053%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740</v>
      </c>
      <c r="B165" s="225">
        <v>4058</v>
      </c>
      <c r="C165" s="227" t="s">
        <v>192</v>
      </c>
      <c r="D165" s="227" t="s">
        <v>945</v>
      </c>
      <c r="E165" s="226">
        <v>43088.270011574074</v>
      </c>
      <c r="F165" s="226">
        <v>43088.277337962965</v>
      </c>
      <c r="G165" s="225">
        <v>52</v>
      </c>
      <c r="H165" s="227" t="s">
        <v>672</v>
      </c>
      <c r="I165" s="226">
        <v>43088.287615740737</v>
      </c>
      <c r="J165" s="225">
        <v>0</v>
      </c>
      <c r="K165" s="237" t="str">
        <f t="shared" si="112"/>
        <v>4057/4058</v>
      </c>
      <c r="L165" s="245" t="str">
        <f>VLOOKUP(A165,'Trips&amp;Operators'!$C$1:$G$99911,5,FALSE)</f>
        <v>DAVIDSON DAVID</v>
      </c>
      <c r="M165" s="224">
        <f t="shared" si="113"/>
        <v>1.0277777771989349E-2</v>
      </c>
      <c r="N165" s="225">
        <f t="shared" si="139"/>
        <v>14.799999991664663</v>
      </c>
      <c r="O165" s="225"/>
      <c r="P165" s="225"/>
      <c r="Q165" s="228"/>
      <c r="R165" s="242"/>
      <c r="S165" s="249">
        <f t="shared" si="137"/>
        <v>1</v>
      </c>
      <c r="T165" s="242" t="str">
        <f t="shared" si="116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89"/>
        <v>https://d0f6bd738d7f1b3e5a7ca70fe4ff75f0.us-east-1.aws.found.io/app/kibana#/discover/Steve-Slow-Train-Analysis-(2080s-and-2083s)?_g=(refreshInterval:(display:Off,pause:!f,section:0,value:0),time:(from:'2017-12-19T05:28:49-0700',mode:absolute,to:'2017-12-19T07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5" s="247" t="str">
        <f>IF(AA165&lt;VLOOKUP(AG165,Variables!$AC$3:$AD$8,2,FALSE),"Y","N")</f>
        <v>N</v>
      </c>
      <c r="X165" s="247">
        <f t="shared" si="138"/>
        <v>1</v>
      </c>
      <c r="Y165" s="247">
        <f t="shared" si="117"/>
        <v>4.53E-2</v>
      </c>
      <c r="Z165" s="247">
        <f t="shared" si="118"/>
        <v>5.8928000000000003</v>
      </c>
      <c r="AA165" s="247">
        <f t="shared" si="119"/>
        <v>5.8475000000000001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120"/>
        <v>805</v>
      </c>
      <c r="AE165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65" s="234" t="str">
        <f t="shared" si="91"/>
        <v>"C:\Program Files (x86)\AstroGrep\AstroGrep.exe" /e /r /s /spath="%USERPROFILE%\AppData\Local\Temp\OnboardLogs" /stypes="app*4058*20171219*" /stext=" 13:.+((SYSTEM_STATE.+slice.+state.+changed )|(ment ac)|(multiple cpu faults)|(system.+state.+changed )|(\[timeout)|(PRM\|1\|D)|(kpr)|(kdp)|(train st.+moving)|(\|gpps)|(penalty))"</v>
      </c>
      <c r="AG165" s="244" t="str">
        <f t="shared" si="121"/>
        <v>NW</v>
      </c>
      <c r="AH165" s="236" t="str">
        <f t="shared" si="92"/>
        <v>"%USERPROFILE%\Documents\GitHub\eaglep3\Utilities\RefineRTDCRunTimes.py" --tripid 805-19 --locoid 4058 --swversion DE.1.0.9.0 --startMP 204:453 --initTime 2017-12-19T06:28:49 --startdatetime 2017-12-19T06:39:22 --delay 52 --endMP 300:58928 --enddatetime 2017-12-19T06:54:10 --enforcementcount 0 &gt;&gt;%USERPROFILE%\Documents\GitHub\eaglep3-reporting\EC\2017-12-19-refined-times.txt</v>
      </c>
      <c r="AI165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{"issue":{"subject":"","project_id":79,"tracker_id":40,"status_id":1,"priority_id":2,"assigned_to_id":338,"start_date":"2017-12-19","description":"","custom_fields":[{"id":1,"name":"Subdivision","value":"NW"},{"id":4,"name":"Milepost","value":"5.8928"},{"id":17,"name":"Train ID","value":"805-19"},{"id":16,"name":"Locomotive ID","value":"4058"},{"id":130,"name":"Impact","value":""},{"id":150,"name":"Time of Event (Mountain Time)","value":"06:54:10"},{"id":151,"name":"Denver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94"/>
        <v>start /low /b %USERPROFILE%\Documents\GitHub\eaglep3\Utilities\DownloadLogsFromS3.py --loco 4058 --day 2017-12-19</v>
      </c>
      <c r="AN165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96"/>
        <v>https://d0f6bd738d7f1b3e5a7ca70fe4ff75f0.us-east-1.aws.found.io/app/kibana#/discover/Steve-Slow-Train-Analysis-(2080s-and-2083s)?_g=(refreshInterval:(display:Off,pause:!f,section:0,value:0),time:(from:'2017-12-19T05:28:49-0700',mode:absolute,to:'2017-12-19T07:54:10-0700'))&amp;_a=(columns:!('Message%20ID',Summary),filters:!(),index:'emp_*',interval:auto,query:(query_string:(analyze_wildcard:!t,query:'%22rtdc.l.rtdc.4058%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745</v>
      </c>
      <c r="B166" s="225">
        <v>4057</v>
      </c>
      <c r="C166" s="227" t="s">
        <v>192</v>
      </c>
      <c r="D166" s="227" t="s">
        <v>1025</v>
      </c>
      <c r="E166" s="226">
        <v>43088.289097222223</v>
      </c>
      <c r="F166" s="226">
        <v>43088.3</v>
      </c>
      <c r="G166" s="225">
        <v>61</v>
      </c>
      <c r="H166" s="227" t="s">
        <v>1030</v>
      </c>
      <c r="I166" s="226">
        <v>43088.309571759259</v>
      </c>
      <c r="J166" s="225">
        <v>0</v>
      </c>
      <c r="K166" s="237" t="str">
        <f t="shared" si="112"/>
        <v>4057/4058</v>
      </c>
      <c r="L166" s="245" t="str">
        <f>VLOOKUP(A166,'Trips&amp;Operators'!$C$1:$G$99911,5,FALSE)</f>
        <v>DAVIDSON DAVID</v>
      </c>
      <c r="M166" s="224">
        <f t="shared" si="113"/>
        <v>9.5717592557775788E-3</v>
      </c>
      <c r="N166" s="225">
        <f t="shared" si="139"/>
        <v>13.783333328319713</v>
      </c>
      <c r="O166" s="225"/>
      <c r="P166" s="225"/>
      <c r="Q166" s="228"/>
      <c r="R166" s="242"/>
      <c r="S166" s="249">
        <f t="shared" si="137"/>
        <v>1</v>
      </c>
      <c r="T166" s="242" t="str">
        <f t="shared" si="116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89"/>
        <v>https://d0f6bd738d7f1b3e5a7ca70fe4ff75f0.us-east-1.aws.found.io/app/kibana#/discover/Steve-Slow-Train-Analysis-(2080s-and-2083s)?_g=(refreshInterval:(display:Off,pause:!f,section:0,value:0),time:(from:'2017-12-19T05:56:18-0700',mode:absolute,to:'2017-12-19T08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6" s="247" t="str">
        <f>IF(AA166&lt;VLOOKUP(AG166,Variables!$AC$3:$AD$8,2,FALSE),"Y","N")</f>
        <v>N</v>
      </c>
      <c r="X166" s="247">
        <f t="shared" si="138"/>
        <v>1</v>
      </c>
      <c r="Y166" s="247">
        <f t="shared" si="117"/>
        <v>5.8624000000000001</v>
      </c>
      <c r="Z166" s="247">
        <f t="shared" si="118"/>
        <v>1.2E-2</v>
      </c>
      <c r="AA166" s="247">
        <f t="shared" si="119"/>
        <v>5.8504000000000005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120"/>
        <v>806</v>
      </c>
      <c r="AE166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66" s="234" t="str">
        <f t="shared" si="91"/>
        <v>"C:\Program Files (x86)\AstroGrep\AstroGrep.exe" /e /r /s /spath="%USERPROFILE%\AppData\Local\Temp\OnboardLogs" /stypes="app*4057*20171219*" /stext=" 14:.+((SYSTEM_STATE.+slice.+state.+changed )|(ment ac)|(multiple cpu faults)|(system.+state.+changed )|(\[timeout)|(PRM\|1\|D)|(kpr)|(kdp)|(train st.+moving)|(\|gpps)|(penalty))"</v>
      </c>
      <c r="AG166" s="244" t="str">
        <f t="shared" si="121"/>
        <v>NW</v>
      </c>
      <c r="AH166" s="236" t="str">
        <f t="shared" si="92"/>
        <v>"%USERPROFILE%\Documents\GitHub\eaglep3\Utilities\RefineRTDCRunTimes.py" --tripid 806-19 --locoid 4057 --swversion DE.1.0.9.0 --startMP 300:58624 --initTime 2017-12-19T06:56:18 --startdatetime 2017-12-19T07:12:00 --delay 61 --endMP 204:120 --enddatetime 2017-12-19T07:25:47 --enforcementcount 0 &gt;&gt;%USERPROFILE%\Documents\GitHub\eaglep3-reporting\EC\2017-12-19-refined-times.txt</v>
      </c>
      <c r="AI166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{"issue":{"subject":"","project_id":79,"tracker_id":40,"status_id":1,"priority_id":2,"assigned_to_id":338,"start_date":"2017-12-19","description":"","custom_fields":[{"id":1,"name":"Subdivision","value":"NW"},{"id":4,"name":"Milepost","value":"0.012"},{"id":17,"name":"Train ID","value":"806-19"},{"id":16,"name":"Locomotive ID","value":"4057"},{"id":130,"name":"Impact","value":""},{"id":150,"name":"Time of Event (Mountain Time)","value":"07:25:47"},{"id":151,"name":"Denver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94"/>
        <v>start /low /b %USERPROFILE%\Documents\GitHub\eaglep3\Utilities\DownloadLogsFromS3.py --loco 4057 --day 2017-12-19</v>
      </c>
      <c r="AN166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96"/>
        <v>https://d0f6bd738d7f1b3e5a7ca70fe4ff75f0.us-east-1.aws.found.io/app/kibana#/discover/Steve-Slow-Train-Analysis-(2080s-and-2083s)?_g=(refreshInterval:(display:Off,pause:!f,section:0,value:0),time:(from:'2017-12-19T05:56:18-0700',mode:absolute,to:'2017-12-19T08:25:47-0700'))&amp;_a=(columns:!('Message%20ID',Summary),filters:!(),index:'emp_*',interval:auto,query:(query_string:(analyze_wildcard:!t,query:'%22rtdc.l.rtdc.4057%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746</v>
      </c>
      <c r="B167" s="225">
        <v>4054</v>
      </c>
      <c r="C167" s="227" t="s">
        <v>192</v>
      </c>
      <c r="D167" s="227" t="s">
        <v>945</v>
      </c>
      <c r="E167" s="226">
        <v>43088.290497685186</v>
      </c>
      <c r="F167" s="226">
        <v>43088.298067129632</v>
      </c>
      <c r="G167" s="225">
        <v>51</v>
      </c>
      <c r="H167" s="227" t="s">
        <v>1031</v>
      </c>
      <c r="I167" s="226">
        <v>43088.308078703703</v>
      </c>
      <c r="J167" s="225">
        <v>0</v>
      </c>
      <c r="K167" s="237" t="str">
        <f t="shared" si="112"/>
        <v>4053/4054</v>
      </c>
      <c r="L167" s="245" t="str">
        <f>VLOOKUP(A167,'Trips&amp;Operators'!$C$1:$G$99911,5,FALSE)</f>
        <v>FORTUNATO FRANK</v>
      </c>
      <c r="M167" s="224">
        <f t="shared" si="113"/>
        <v>1.0011574071540963E-2</v>
      </c>
      <c r="N167" s="225">
        <f t="shared" si="139"/>
        <v>14.416666663018987</v>
      </c>
      <c r="O167" s="225"/>
      <c r="P167" s="225"/>
      <c r="Q167" s="228"/>
      <c r="R167" s="242"/>
      <c r="S167" s="249">
        <f t="shared" si="137"/>
        <v>1</v>
      </c>
      <c r="T167" s="242" t="str">
        <f t="shared" si="116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89"/>
        <v>https://d0f6bd738d7f1b3e5a7ca70fe4ff75f0.us-east-1.aws.found.io/app/kibana#/discover/Steve-Slow-Train-Analysis-(2080s-and-2083s)?_g=(refreshInterval:(display:Off,pause:!f,section:0,value:0),time:(from:'2017-12-19T05:58:19-0700',mode:absolute,to:'2017-12-19T08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247" t="str">
        <f>IF(AA167&lt;VLOOKUP(AG167,Variables!$AC$3:$AD$8,2,FALSE),"Y","N")</f>
        <v>N</v>
      </c>
      <c r="X167" s="247">
        <f t="shared" si="138"/>
        <v>1</v>
      </c>
      <c r="Y167" s="247">
        <f t="shared" si="117"/>
        <v>4.53E-2</v>
      </c>
      <c r="Z167" s="247">
        <f t="shared" si="118"/>
        <v>5.8975999999999997</v>
      </c>
      <c r="AA167" s="247">
        <f t="shared" si="119"/>
        <v>5.8522999999999996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120"/>
        <v>807</v>
      </c>
      <c r="AE167" s="235" t="str">
        <f t="shared" si="90"/>
        <v>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 &amp; 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</v>
      </c>
      <c r="AF167" s="234" t="str">
        <f t="shared" si="91"/>
        <v>"C:\Program Files (x86)\AstroGrep\AstroGrep.exe" /e /r /s /spath="%USERPROFILE%\AppData\Local\Temp\OnboardLogs" /stypes="app*4054*20171219*" /stext=" 14:.+((SYSTEM_STATE.+slice.+state.+changed )|(ment ac)|(multiple cpu faults)|(system.+state.+changed )|(\[timeout)|(PRM\|1\|D)|(kpr)|(kdp)|(train st.+moving)|(\|gpps)|(penalty))"</v>
      </c>
      <c r="AG167" s="244" t="str">
        <f t="shared" si="121"/>
        <v>NW</v>
      </c>
      <c r="AH167" s="236" t="str">
        <f t="shared" si="92"/>
        <v>"%USERPROFILE%\Documents\GitHub\eaglep3\Utilities\RefineRTDCRunTimes.py" --tripid 807-19 --locoid 4054 --swversion DE.1.0.9.0 --startMP 204:453 --initTime 2017-12-19T06:58:19 --startdatetime 2017-12-19T07:09:13 --delay 51 --endMP 300:58976 --enddatetime 2017-12-19T07:23:38 --enforcementcount 0 &gt;&gt;%USERPROFILE%\Documents\GitHub\eaglep3-reporting\EC\2017-12-19-refined-times.txt</v>
      </c>
      <c r="AI167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{"issue":{"subject":"","project_id":79,"tracker_id":40,"status_id":1,"priority_id":2,"assigned_to_id":338,"start_date":"2017-12-19","description":"","custom_fields":[{"id":1,"name":"Subdivision","value":"NW"},{"id":4,"name":"Milepost","value":"5.8976"},{"id":17,"name":"Train ID","value":"807-19"},{"id":16,"name":"Locomotive ID","value":"4054"},{"id":130,"name":"Impact","value":""},{"id":150,"name":"Time of Event (Mountain Time)","value":"07:23:38"},{"id":151,"name":"Denver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94"/>
        <v>start /low /b %USERPROFILE%\Documents\GitHub\eaglep3\Utilities\DownloadLogsFromS3.py --loco 4054 --day 2017-12-19</v>
      </c>
      <c r="AN167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96"/>
        <v>https://d0f6bd738d7f1b3e5a7ca70fe4ff75f0.us-east-1.aws.found.io/app/kibana#/discover/Steve-Slow-Train-Analysis-(2080s-and-2083s)?_g=(refreshInterval:(display:Off,pause:!f,section:0,value:0),time:(from:'2017-12-19T05:58:19-0700',mode:absolute,to:'2017-12-19T08:23:38-0700'))&amp;_a=(columns:!('Message%20ID',Summary),filters:!(),index:'emp_*',interval:auto,query:(query_string:(analyze_wildcard:!t,query:'%22rtdc.l.rtdc.4054%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680</v>
      </c>
      <c r="B168" s="225">
        <v>4053</v>
      </c>
      <c r="C168" s="227" t="s">
        <v>192</v>
      </c>
      <c r="D168" s="227" t="s">
        <v>1032</v>
      </c>
      <c r="E168" s="226">
        <v>43088.309687499997</v>
      </c>
      <c r="F168" s="226">
        <v>43088.320833333331</v>
      </c>
      <c r="G168" s="225">
        <v>120</v>
      </c>
      <c r="H168" s="227" t="s">
        <v>545</v>
      </c>
      <c r="I168" s="226">
        <v>43088.330277777779</v>
      </c>
      <c r="J168" s="225">
        <v>0</v>
      </c>
      <c r="K168" s="237" t="str">
        <f t="shared" si="112"/>
        <v>4053/4054</v>
      </c>
      <c r="L168" s="245" t="str">
        <f>VLOOKUP(A168,'Trips&amp;Operators'!$C$1:$G$99911,5,FALSE)</f>
        <v>FORTUNATO FRANK</v>
      </c>
      <c r="M168" s="224">
        <f t="shared" si="113"/>
        <v>9.4444444475811906E-3</v>
      </c>
      <c r="N168" s="225">
        <f t="shared" si="139"/>
        <v>13.600000004516914</v>
      </c>
      <c r="O168" s="225"/>
      <c r="P168" s="225"/>
      <c r="Q168" s="228"/>
      <c r="R168" s="242"/>
      <c r="S168" s="249">
        <f t="shared" si="137"/>
        <v>1</v>
      </c>
      <c r="T168" s="242" t="str">
        <f t="shared" si="116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89"/>
        <v>https://d0f6bd738d7f1b3e5a7ca70fe4ff75f0.us-east-1.aws.found.io/app/kibana#/discover/Steve-Slow-Train-Analysis-(2080s-and-2083s)?_g=(refreshInterval:(display:Off,pause:!f,section:0,value:0),time:(from:'2017-12-19T06:25:57-0700',mode:absolute,to:'2017-12-19T08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8" s="247" t="str">
        <f>IF(AA168&lt;VLOOKUP(AG168,Variables!$AC$3:$AD$8,2,FALSE),"Y","N")</f>
        <v>N</v>
      </c>
      <c r="X168" s="247">
        <f t="shared" si="138"/>
        <v>1</v>
      </c>
      <c r="Y168" s="247">
        <f t="shared" si="117"/>
        <v>5.8663999999999996</v>
      </c>
      <c r="Z168" s="247">
        <f t="shared" si="118"/>
        <v>1.6E-2</v>
      </c>
      <c r="AA168" s="247">
        <f t="shared" si="119"/>
        <v>5.8503999999999996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120"/>
        <v>808</v>
      </c>
      <c r="AE168" s="235" t="str">
        <f t="shared" si="90"/>
        <v>aws s3 cp s3://rtdc.mdm.uploadarchive.raw/RTDC4053/ "%USERPROFILE%\AppData\Local\Temp\OnboardLogs"\RTDC4053\2017-12-19 --exclude "*" --recursive --include "*20171219*" &amp; "%USERPROFILE%\Documents\GitHub\mrs-test-scripts\Headless Mode &amp; Sideloading\WalkAndUnGZ.bat" "%USERPROFILE%\AppData\Local\Temp\OnboardLogs"\RTDC4053\2017-12-19 &amp; 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</v>
      </c>
      <c r="AF168" s="234" t="str">
        <f t="shared" si="91"/>
        <v>"C:\Program Files (x86)\AstroGrep\AstroGrep.exe" /e /r /s /spath="%USERPROFILE%\AppData\Local\Temp\OnboardLogs" /stypes="app*4053*20171219*" /stext=" 14:.+((SYSTEM_STATE.+slice.+state.+changed )|(ment ac)|(multiple cpu faults)|(system.+state.+changed )|(\[timeout)|(PRM\|1\|D)|(kpr)|(kdp)|(train st.+moving)|(\|gpps)|(penalty))"</v>
      </c>
      <c r="AG168" s="244" t="str">
        <f t="shared" si="121"/>
        <v>NW</v>
      </c>
      <c r="AH168" s="236" t="str">
        <f t="shared" si="92"/>
        <v>"%USERPROFILE%\Documents\GitHub\eaglep3\Utilities\RefineRTDCRunTimes.py" --tripid 808-19 --locoid 4053 --swversion DE.1.0.9.0 --startMP 300:58664 --initTime 2017-12-19T07:25:57 --startdatetime 2017-12-19T07:42:00 --delay 120 --endMP 204:160 --enddatetime 2017-12-19T07:55:36 --enforcementcount 0 &gt;&gt;%USERPROFILE%\Documents\GitHub\eaglep3-reporting\EC\2017-12-19-refined-times.txt</v>
      </c>
      <c r="AI168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{"issue":{"subject":"","project_id":79,"tracker_id":40,"status_id":1,"priority_id":2,"assigned_to_id":338,"start_date":"2017-12-19","description":"","custom_fields":[{"id":1,"name":"Subdivision","value":"NW"},{"id":4,"name":"Milepost","value":"0.016"},{"id":17,"name":"Train ID","value":"808-19"},{"id":16,"name":"Locomotive ID","value":"4053"},{"id":130,"name":"Impact","value":""},{"id":150,"name":"Time of Event (Mountain Time)","value":"07:55:36"},{"id":151,"name":"Denver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94"/>
        <v>start /low /b %USERPROFILE%\Documents\GitHub\eaglep3\Utilities\DownloadLogsFromS3.py --loco 4053 --day 2017-12-19</v>
      </c>
      <c r="AN168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96"/>
        <v>https://d0f6bd738d7f1b3e5a7ca70fe4ff75f0.us-east-1.aws.found.io/app/kibana#/discover/Steve-Slow-Train-Analysis-(2080s-and-2083s)?_g=(refreshInterval:(display:Off,pause:!f,section:0,value:0),time:(from:'2017-12-19T06:25:57-0700',mode:absolute,to:'2017-12-19T08:55:36-0700'))&amp;_a=(columns:!('Message%20ID',Summary),filters:!(),index:'emp_*',interval:auto,query:(query_string:(analyze_wildcard:!t,query:'%22rtdc.l.rtdc.4053%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751</v>
      </c>
      <c r="B169" s="225">
        <v>4058</v>
      </c>
      <c r="C169" s="227" t="s">
        <v>192</v>
      </c>
      <c r="D169" s="227" t="s">
        <v>574</v>
      </c>
      <c r="E169" s="226">
        <v>43088.311793981484</v>
      </c>
      <c r="F169" s="226">
        <v>43088.318969907406</v>
      </c>
      <c r="G169" s="225">
        <v>59</v>
      </c>
      <c r="H169" s="227" t="s">
        <v>662</v>
      </c>
      <c r="I169" s="226">
        <v>43088.329108796293</v>
      </c>
      <c r="J169" s="225">
        <v>0</v>
      </c>
      <c r="K169" s="237" t="str">
        <f t="shared" si="112"/>
        <v>4057/4058</v>
      </c>
      <c r="L169" s="245" t="str">
        <f>VLOOKUP(A169,'Trips&amp;Operators'!$C$1:$G$99911,5,FALSE)</f>
        <v>DAVIDSON DAVID</v>
      </c>
      <c r="M169" s="224">
        <f t="shared" si="113"/>
        <v>1.0138888887013309E-2</v>
      </c>
      <c r="N169" s="225">
        <f t="shared" si="139"/>
        <v>14.599999997299165</v>
      </c>
      <c r="O169" s="225"/>
      <c r="P169" s="225"/>
      <c r="Q169" s="228"/>
      <c r="R169" s="242"/>
      <c r="S169" s="249">
        <f t="shared" si="137"/>
        <v>1</v>
      </c>
      <c r="T169" s="242" t="str">
        <f t="shared" si="116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89"/>
        <v>https://d0f6bd738d7f1b3e5a7ca70fe4ff75f0.us-east-1.aws.found.io/app/kibana#/discover/Steve-Slow-Train-Analysis-(2080s-and-2083s)?_g=(refreshInterval:(display:Off,pause:!f,section:0,value:0),time:(from:'2017-12-19T06:28:59-0700',mode:absolute,to:'2017-12-19T08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9" s="247" t="str">
        <f>IF(AA169&lt;VLOOKUP(AG169,Variables!$AC$3:$AD$8,2,FALSE),"Y","N")</f>
        <v>N</v>
      </c>
      <c r="X169" s="247">
        <f t="shared" si="138"/>
        <v>1</v>
      </c>
      <c r="Y169" s="247">
        <f t="shared" si="117"/>
        <v>4.3499999999999997E-2</v>
      </c>
      <c r="Z169" s="247">
        <f t="shared" si="118"/>
        <v>5.8929</v>
      </c>
      <c r="AA169" s="247">
        <f t="shared" si="119"/>
        <v>5.8494000000000002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120"/>
        <v>809</v>
      </c>
      <c r="AE169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69" s="234" t="str">
        <f t="shared" si="91"/>
        <v>"C:\Program Files (x86)\AstroGrep\AstroGrep.exe" /e /r /s /spath="%USERPROFILE%\AppData\Local\Temp\OnboardLogs" /stypes="app*4058*20171219*" /stext=" 14:.+((SYSTEM_STATE.+slice.+state.+changed )|(ment ac)|(multiple cpu faults)|(system.+state.+changed )|(\[timeout)|(PRM\|1\|D)|(kpr)|(kdp)|(train st.+moving)|(\|gpps)|(penalty))"</v>
      </c>
      <c r="AG169" s="244" t="str">
        <f t="shared" si="121"/>
        <v>NW</v>
      </c>
      <c r="AH169" s="236" t="str">
        <f t="shared" si="92"/>
        <v>"%USERPROFILE%\Documents\GitHub\eaglep3\Utilities\RefineRTDCRunTimes.py" --tripid 809-19 --locoid 4058 --swversion DE.1.0.9.0 --startMP 204:435 --initTime 2017-12-19T07:28:59 --startdatetime 2017-12-19T07:39:19 --delay 59 --endMP 300:58929 --enddatetime 2017-12-19T07:53:55 --enforcementcount 0 &gt;&gt;%USERPROFILE%\Documents\GitHub\eaglep3-reporting\EC\2017-12-19-refined-times.txt</v>
      </c>
      <c r="AI169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{"issue":{"subject":"","project_id":79,"tracker_id":40,"status_id":1,"priority_id":2,"assigned_to_id":338,"start_date":"2017-12-19","description":"","custom_fields":[{"id":1,"name":"Subdivision","value":"NW"},{"id":4,"name":"Milepost","value":"5.8929"},{"id":17,"name":"Train ID","value":"809-19"},{"id":16,"name":"Locomotive ID","value":"4058"},{"id":130,"name":"Impact","value":""},{"id":150,"name":"Time of Event (Mountain Time)","value":"07:53:55"},{"id":151,"name":"Denver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94"/>
        <v>start /low /b %USERPROFILE%\Documents\GitHub\eaglep3\Utilities\DownloadLogsFromS3.py --loco 4058 --day 2017-12-19</v>
      </c>
      <c r="AN169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14:53:55"},{"id":29,"name":"Sharepoint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96"/>
        <v>https://d0f6bd738d7f1b3e5a7ca70fe4ff75f0.us-east-1.aws.found.io/app/kibana#/discover/Steve-Slow-Train-Analysis-(2080s-and-2083s)?_g=(refreshInterval:(display:Off,pause:!f,section:0,value:0),time:(from:'2017-12-19T06:28:59-0700',mode:absolute,to:'2017-12-19T08:53:55-0700'))&amp;_a=(columns:!('Message%20ID',Summary),filters:!(),index:'emp_*',interval:auto,query:(query_string:(analyze_wildcard:!t,query:'%22rtdc.l.rtdc.4058%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755</v>
      </c>
      <c r="B170" s="225">
        <v>4057</v>
      </c>
      <c r="C170" s="227" t="s">
        <v>192</v>
      </c>
      <c r="D170" s="227" t="s">
        <v>658</v>
      </c>
      <c r="E170" s="226">
        <v>43088.330567129633</v>
      </c>
      <c r="F170" s="226">
        <v>43088.341666666667</v>
      </c>
      <c r="G170" s="225">
        <v>54</v>
      </c>
      <c r="H170" s="227" t="s">
        <v>660</v>
      </c>
      <c r="I170" s="226">
        <v>43088.350763888891</v>
      </c>
      <c r="J170" s="225">
        <v>0</v>
      </c>
      <c r="K170" s="237" t="str">
        <f t="shared" si="112"/>
        <v>4057/4058</v>
      </c>
      <c r="L170" s="245" t="str">
        <f>VLOOKUP(A170,'Trips&amp;Operators'!$C$1:$G$99911,5,FALSE)</f>
        <v>DAVIDSON DAVID</v>
      </c>
      <c r="M170" s="224">
        <f t="shared" si="113"/>
        <v>9.0972222242271528E-3</v>
      </c>
      <c r="N170" s="225">
        <f t="shared" si="139"/>
        <v>13.1000000028871</v>
      </c>
      <c r="O170" s="225"/>
      <c r="P170" s="225"/>
      <c r="Q170" s="228"/>
      <c r="R170" s="242"/>
      <c r="S170" s="249">
        <f t="shared" si="137"/>
        <v>1</v>
      </c>
      <c r="T170" s="242" t="str">
        <f t="shared" si="116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89"/>
        <v>https://d0f6bd738d7f1b3e5a7ca70fe4ff75f0.us-east-1.aws.found.io/app/kibana#/discover/Steve-Slow-Train-Analysis-(2080s-and-2083s)?_g=(refreshInterval:(display:Off,pause:!f,section:0,value:0),time:(from:'2017-12-19T06:56:01-0700',mode:absolute,to:'2017-12-19T09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0" s="247" t="str">
        <f>IF(AA170&lt;VLOOKUP(AG170,Variables!$AC$3:$AD$8,2,FALSE),"Y","N")</f>
        <v>N</v>
      </c>
      <c r="X170" s="247">
        <f t="shared" si="138"/>
        <v>1</v>
      </c>
      <c r="Y170" s="247">
        <f t="shared" si="117"/>
        <v>5.8615000000000004</v>
      </c>
      <c r="Z170" s="247">
        <f t="shared" si="118"/>
        <v>1.35E-2</v>
      </c>
      <c r="AA170" s="247">
        <f t="shared" si="119"/>
        <v>5.8480000000000008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120"/>
        <v>810</v>
      </c>
      <c r="AE170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70" s="234" t="str">
        <f t="shared" si="91"/>
        <v>"C:\Program Files (x86)\AstroGrep\AstroGrep.exe" /e /r /s /spath="%USERPROFILE%\AppData\Local\Temp\OnboardLogs" /stypes="app*4057*20171219*" /stext=" 15:.+((SYSTEM_STATE.+slice.+state.+changed )|(ment ac)|(multiple cpu faults)|(system.+state.+changed )|(\[timeout)|(PRM\|1\|D)|(kpr)|(kdp)|(train st.+moving)|(\|gpps)|(penalty))"</v>
      </c>
      <c r="AG170" s="244" t="str">
        <f t="shared" si="121"/>
        <v>NW</v>
      </c>
      <c r="AH170" s="236" t="str">
        <f t="shared" si="92"/>
        <v>"%USERPROFILE%\Documents\GitHub\eaglep3\Utilities\RefineRTDCRunTimes.py" --tripid 810-19 --locoid 4057 --swversion DE.1.0.9.0 --startMP 300:58615 --initTime 2017-12-19T07:56:01 --startdatetime 2017-12-19T08:12:00 --delay 54 --endMP 204:135 --enddatetime 2017-12-19T08:25:06 --enforcementcount 0 &gt;&gt;%USERPROFILE%\Documents\GitHub\eaglep3-reporting\EC\2017-12-19-refined-times.txt</v>
      </c>
      <c r="AI170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{"issue":{"subject":"","project_id":79,"tracker_id":40,"status_id":1,"priority_id":2,"assigned_to_id":338,"start_date":"2017-12-19","description":"","custom_fields":[{"id":1,"name":"Subdivision","value":"NW"},{"id":4,"name":"Milepost","value":"0.0135"},{"id":17,"name":"Train ID","value":"810-19"},{"id":16,"name":"Locomotive ID","value":"4057"},{"id":130,"name":"Impact","value":""},{"id":150,"name":"Time of Event (Mountain Time)","value":"08:25:06"},{"id":151,"name":"Denver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94"/>
        <v>start /low /b %USERPROFILE%\Documents\GitHub\eaglep3\Utilities\DownloadLogsFromS3.py --loco 4057 --day 2017-12-19</v>
      </c>
      <c r="AN170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96"/>
        <v>https://d0f6bd738d7f1b3e5a7ca70fe4ff75f0.us-east-1.aws.found.io/app/kibana#/discover/Steve-Slow-Train-Analysis-(2080s-and-2083s)?_g=(refreshInterval:(display:Off,pause:!f,section:0,value:0),time:(from:'2017-12-19T06:56:01-0700',mode:absolute,to:'2017-12-19T09:25:06-0700'))&amp;_a=(columns:!('Message%20ID',Summary),filters:!(),index:'emp_*',interval:auto,query:(query_string:(analyze_wildcard:!t,query:'%22rtdc.l.rtdc.4057%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756</v>
      </c>
      <c r="B171" s="225">
        <v>4054</v>
      </c>
      <c r="C171" s="227" t="s">
        <v>192</v>
      </c>
      <c r="D171" s="227" t="s">
        <v>1033</v>
      </c>
      <c r="E171" s="226">
        <v>43088.331666666665</v>
      </c>
      <c r="F171" s="226">
        <v>43088.339722222219</v>
      </c>
      <c r="G171" s="225">
        <v>48</v>
      </c>
      <c r="H171" s="227" t="s">
        <v>1027</v>
      </c>
      <c r="I171" s="226">
        <v>43088.349918981483</v>
      </c>
      <c r="J171" s="225">
        <v>0</v>
      </c>
      <c r="K171" s="237" t="str">
        <f t="shared" si="112"/>
        <v>4053/4054</v>
      </c>
      <c r="L171" s="245" t="str">
        <f>VLOOKUP(A171,'Trips&amp;Operators'!$C$1:$G$99911,5,FALSE)</f>
        <v>FORTUNATO FRANK</v>
      </c>
      <c r="M171" s="224">
        <f t="shared" si="113"/>
        <v>1.0196759263635613E-2</v>
      </c>
      <c r="N171" s="225">
        <f t="shared" si="139"/>
        <v>14.683333339635283</v>
      </c>
      <c r="O171" s="225"/>
      <c r="P171" s="225"/>
      <c r="Q171" s="228"/>
      <c r="R171" s="242"/>
      <c r="S171" s="249">
        <f t="shared" si="137"/>
        <v>1</v>
      </c>
      <c r="T171" s="242" t="str">
        <f t="shared" si="116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89"/>
        <v>https://d0f6bd738d7f1b3e5a7ca70fe4ff75f0.us-east-1.aws.found.io/app/kibana#/discover/Steve-Slow-Train-Analysis-(2080s-and-2083s)?_g=(refreshInterval:(display:Off,pause:!f,section:0,value:0),time:(from:'2017-12-19T06:57:36-0700',mode:absolute,to:'2017-12-19T09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1" s="247" t="str">
        <f>IF(AA171&lt;VLOOKUP(AG171,Variables!$AC$3:$AD$8,2,FALSE),"Y","N")</f>
        <v>N</v>
      </c>
      <c r="X171" s="247">
        <f t="shared" si="138"/>
        <v>1</v>
      </c>
      <c r="Y171" s="247">
        <f t="shared" si="117"/>
        <v>4.7E-2</v>
      </c>
      <c r="Z171" s="247">
        <f t="shared" si="118"/>
        <v>5.8983999999999996</v>
      </c>
      <c r="AA171" s="247">
        <f t="shared" si="119"/>
        <v>5.8513999999999999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120"/>
        <v>811</v>
      </c>
      <c r="AE171" s="235" t="str">
        <f t="shared" si="90"/>
        <v>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 &amp; 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</v>
      </c>
      <c r="AF171" s="234" t="str">
        <f t="shared" si="91"/>
        <v>"C:\Program Files (x86)\AstroGrep\AstroGrep.exe" /e /r /s /spath="%USERPROFILE%\AppData\Local\Temp\OnboardLogs" /stypes="app*4054*20171219*" /stext=" 15:.+((SYSTEM_STATE.+slice.+state.+changed )|(ment ac)|(multiple cpu faults)|(system.+state.+changed )|(\[timeout)|(PRM\|1\|D)|(kpr)|(kdp)|(train st.+moving)|(\|gpps)|(penalty))"</v>
      </c>
      <c r="AG171" s="244" t="str">
        <f t="shared" si="121"/>
        <v>NW</v>
      </c>
      <c r="AH171" s="236" t="str">
        <f t="shared" si="92"/>
        <v>"%USERPROFILE%\Documents\GitHub\eaglep3\Utilities\RefineRTDCRunTimes.py" --tripid 811-19 --locoid 4054 --swversion DE.1.0.9.0 --startMP 204:470 --initTime 2017-12-19T07:57:36 --startdatetime 2017-12-19T08:09:12 --delay 48 --endMP 300:58984 --enddatetime 2017-12-19T08:23:53 --enforcementcount 0 &gt;&gt;%USERPROFILE%\Documents\GitHub\eaglep3-reporting\EC\2017-12-19-refined-times.txt</v>
      </c>
      <c r="AI171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{"issue":{"subject":"","project_id":79,"tracker_id":40,"status_id":1,"priority_id":2,"assigned_to_id":338,"start_date":"2017-12-19","description":"","custom_fields":[{"id":1,"name":"Subdivision","value":"NW"},{"id":4,"name":"Milepost","value":"5.8984"},{"id":17,"name":"Train ID","value":"811-19"},{"id":16,"name":"Locomotive ID","value":"4054"},{"id":130,"name":"Impact","value":""},{"id":150,"name":"Time of Event (Mountain Time)","value":"08:23:53"},{"id":151,"name":"Denver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94"/>
        <v>start /low /b %USERPROFILE%\Documents\GitHub\eaglep3\Utilities\DownloadLogsFromS3.py --loco 4054 --day 2017-12-19</v>
      </c>
      <c r="AN171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96"/>
        <v>https://d0f6bd738d7f1b3e5a7ca70fe4ff75f0.us-east-1.aws.found.io/app/kibana#/discover/Steve-Slow-Train-Analysis-(2080s-and-2083s)?_g=(refreshInterval:(display:Off,pause:!f,section:0,value:0),time:(from:'2017-12-19T06:57:36-0700',mode:absolute,to:'2017-12-19T09:23:53-0700'))&amp;_a=(columns:!('Message%20ID',Summary),filters:!(),index:'emp_*',interval:auto,query:(query_string:(analyze_wildcard:!t,query:'%22rtdc.l.rtdc.4054%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760</v>
      </c>
      <c r="B172" s="225">
        <v>4053</v>
      </c>
      <c r="C172" s="227" t="s">
        <v>192</v>
      </c>
      <c r="D172" s="227" t="s">
        <v>1028</v>
      </c>
      <c r="E172" s="226">
        <v>43088.351111111115</v>
      </c>
      <c r="F172" s="226">
        <v>43088.362500000003</v>
      </c>
      <c r="G172" s="225">
        <v>66</v>
      </c>
      <c r="H172" s="227" t="s">
        <v>1034</v>
      </c>
      <c r="I172" s="226">
        <v>43088.370243055557</v>
      </c>
      <c r="J172" s="225">
        <v>0</v>
      </c>
      <c r="K172" s="237" t="str">
        <f t="shared" si="112"/>
        <v>4053/4054</v>
      </c>
      <c r="L172" s="245" t="str">
        <f>VLOOKUP(A172,'Trips&amp;Operators'!$C$1:$G$99911,5,FALSE)</f>
        <v>FORTUNATO FRANK</v>
      </c>
      <c r="M172" s="224">
        <f t="shared" si="113"/>
        <v>7.7430555538740009E-3</v>
      </c>
      <c r="N172" s="225">
        <f t="shared" si="139"/>
        <v>11.149999997578561</v>
      </c>
      <c r="O172" s="225"/>
      <c r="P172" s="225"/>
      <c r="Q172" s="228"/>
      <c r="R172" s="242" t="s">
        <v>1091</v>
      </c>
      <c r="S172" s="249">
        <f t="shared" si="137"/>
        <v>1</v>
      </c>
      <c r="T172" s="242" t="str">
        <f t="shared" si="116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89"/>
        <v>https://d0f6bd738d7f1b3e5a7ca70fe4ff75f0.us-east-1.aws.found.io/app/kibana#/discover/Steve-Slow-Train-Analysis-(2080s-and-2083s)?_g=(refreshInterval:(display:Off,pause:!f,section:0,value:0),time:(from:'2017-12-19T07:25:36-0700',mode:absolute,to:'2017-12-19T09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247" t="str">
        <f>IF(AA172&lt;VLOOKUP(AG172,Variables!$AC$3:$AD$8,2,FALSE),"Y","N")</f>
        <v>Y</v>
      </c>
      <c r="X172" s="247">
        <f t="shared" si="138"/>
        <v>1</v>
      </c>
      <c r="Y172" s="247">
        <f t="shared" si="117"/>
        <v>5.8677000000000001</v>
      </c>
      <c r="Z172" s="247">
        <f t="shared" si="118"/>
        <v>0.45650000000000002</v>
      </c>
      <c r="AA172" s="247">
        <f t="shared" si="119"/>
        <v>5.4112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120"/>
        <v>812</v>
      </c>
      <c r="AE172" s="235" t="str">
        <f t="shared" si="90"/>
        <v>aws s3 cp s3://rtdc.mdm.uploadarchive.raw/RTDC4053/ "%USERPROFILE%\AppData\Local\Temp\OnboardLogs"\RTDC4053\2017-12-19 --exclude "*" --recursive --include "*20171219*" &amp; "%USERPROFILE%\Documents\GitHub\mrs-test-scripts\Headless Mode &amp; Sideloading\WalkAndUnGZ.bat" "%USERPROFILE%\AppData\Local\Temp\OnboardLogs"\RTDC4053\2017-12-19 &amp; 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</v>
      </c>
      <c r="AF172" s="234" t="str">
        <f t="shared" si="91"/>
        <v>"C:\Program Files (x86)\AstroGrep\AstroGrep.exe" /e /r /s /spath="%USERPROFILE%\AppData\Local\Temp\OnboardLogs" /stypes="app*4053*20171219*" /stext=" 15:.+((SYSTEM_STATE.+slice.+state.+changed )|(ment ac)|(multiple cpu faults)|(system.+state.+changed )|(\[timeout)|(PRM\|1\|D)|(kpr)|(kdp)|(train st.+moving)|(\|gpps)|(penalty))"</v>
      </c>
      <c r="AG172" s="244" t="str">
        <f t="shared" si="121"/>
        <v>NW</v>
      </c>
      <c r="AH172" s="236" t="str">
        <f t="shared" si="92"/>
        <v>"%USERPROFILE%\Documents\GitHub\eaglep3\Utilities\RefineRTDCRunTimes.py" --tripid 812-19 --locoid 4053 --swversion DE.1.0.9.0 --startMP 300:58677 --initTime 2017-12-19T08:25:36 --startdatetime 2017-12-19T08:42:00 --delay 66 --endMP 204:4565 --enddatetime 2017-12-19T08:53:09 --enforcementcount 0 &gt;&gt;%USERPROFILE%\Documents\GitHub\eaglep3-reporting\EC\2017-12-19-refined-times.txt</v>
      </c>
      <c r="AI172" s="238" t="str">
        <f t="shared" si="93"/>
        <v>echo {"issue":{"subject":"Observed poor GPS @ Wewatta","project_id":79,"tracker_id":40,"status_id":1,"priority_id":2,"assigned_to_id":338,"start_date":"2017-12-19","description":"","custom_fields":[{"id":1,"name":"Subdivision","value":"NW"},{"id":4,"name":"Milepost","value":"0.4565"},{"id":17,"name":"Train ID","value":"812-19"},{"id":16,"name":"Locomotive ID","value":"4053"},{"id":130,"name":"Impact","value":""},{"id":150,"name":"Time of Event (Mountain Time)","value":"08:53:09"},{"id":151,"name":"Denver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94"/>
        <v>start /low /b %USERPROFILE%\Documents\GitHub\eaglep3\Utilities\DownloadLogsFromS3.py --loco 4053 --day 2017-12-19</v>
      </c>
      <c r="AN172" s="241" t="str">
        <f t="shared" si="95"/>
        <v>echo {"issue":{"subject":"Observed poor GPS @ Wewatta","project_id":30,"tracker_id":4,"status_id":1,"priority_id":1,"assigned_to_id":10,"start_date":"2017-12-19","description":"","custom_fields":[{"id":30,"name":"Category","value":"Issue"},{"id":3,"name":"Functional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15:53:09"},{"id":29,"name":"Sharepoint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96"/>
        <v>https://d0f6bd738d7f1b3e5a7ca70fe4ff75f0.us-east-1.aws.found.io/app/kibana#/discover/Steve-Slow-Train-Analysis-(2080s-and-2083s)?_g=(refreshInterval:(display:Off,pause:!f,section:0,value:0),time:(from:'2017-12-19T07:25:36-0700',mode:absolute,to:'2017-12-19T09:53:09-0700'))&amp;_a=(columns:!('Message%20ID',Summary),filters:!(),index:'emp_*',interval:auto,query:(query_string:(analyze_wildcard:!t,query:'%22rtdc.l.rtdc.4053%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9" t="s">
        <v>766</v>
      </c>
      <c r="B173" s="225">
        <v>4058</v>
      </c>
      <c r="C173" s="227" t="s">
        <v>192</v>
      </c>
      <c r="D173" s="227" t="s">
        <v>945</v>
      </c>
      <c r="E173" s="226">
        <v>43088.376030092593</v>
      </c>
      <c r="F173" s="226">
        <v>43088.38144675926</v>
      </c>
      <c r="G173" s="225">
        <v>199</v>
      </c>
      <c r="H173" s="227" t="s">
        <v>1035</v>
      </c>
      <c r="I173" s="226">
        <v>43088.391944444447</v>
      </c>
      <c r="J173" s="225">
        <v>0</v>
      </c>
      <c r="K173" s="237" t="str">
        <f t="shared" si="112"/>
        <v>4057/4058</v>
      </c>
      <c r="L173" s="245" t="str">
        <f>VLOOKUP(A173,'Trips&amp;Operators'!$C$1:$G$99911,5,FALSE)</f>
        <v>FORTUNATO FRANK</v>
      </c>
      <c r="M173" s="224">
        <f t="shared" si="113"/>
        <v>1.0497685187146999E-2</v>
      </c>
      <c r="N173" s="225">
        <f t="shared" si="139"/>
        <v>15.116666669491678</v>
      </c>
      <c r="O173" s="225"/>
      <c r="P173" s="225"/>
      <c r="Q173" s="228"/>
      <c r="R173" s="242"/>
      <c r="S173" s="249">
        <f t="shared" si="137"/>
        <v>1</v>
      </c>
      <c r="T173" s="242" t="str">
        <f t="shared" si="116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89"/>
        <v>https://d0f6bd738d7f1b3e5a7ca70fe4ff75f0.us-east-1.aws.found.io/app/kibana#/discover/Steve-Slow-Train-Analysis-(2080s-and-2083s)?_g=(refreshInterval:(display:Off,pause:!f,section:0,value:0),time:(from:'2017-12-19T08:01:29-0700',mode:absolute,to:'2017-12-19T10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3" s="247" t="str">
        <f>IF(AA173&lt;VLOOKUP(AG173,Variables!$AC$3:$AD$8,2,FALSE),"Y","N")</f>
        <v>N</v>
      </c>
      <c r="X173" s="247">
        <f t="shared" si="138"/>
        <v>1</v>
      </c>
      <c r="Y173" s="247">
        <f t="shared" si="117"/>
        <v>4.53E-2</v>
      </c>
      <c r="Z173" s="247">
        <f t="shared" si="118"/>
        <v>5.8982000000000001</v>
      </c>
      <c r="AA173" s="247">
        <f t="shared" si="119"/>
        <v>5.8529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120"/>
        <v>813</v>
      </c>
      <c r="AE173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73" s="234" t="str">
        <f t="shared" si="91"/>
        <v>"C:\Program Files (x86)\AstroGrep\AstroGrep.exe" /e /r /s /spath="%USERPROFILE%\AppData\Local\Temp\OnboardLogs" /stypes="app*4058*20171219*" /stext=" 16:.+((SYSTEM_STATE.+slice.+state.+changed )|(ment ac)|(multiple cpu faults)|(system.+state.+changed )|(\[timeout)|(PRM\|1\|D)|(kpr)|(kdp)|(train st.+moving)|(\|gpps)|(penalty))"</v>
      </c>
      <c r="AG173" s="244" t="str">
        <f t="shared" si="121"/>
        <v>NW</v>
      </c>
      <c r="AH173" s="236" t="str">
        <f t="shared" si="92"/>
        <v>"%USERPROFILE%\Documents\GitHub\eaglep3\Utilities\RefineRTDCRunTimes.py" --tripid 813-19 --locoid 4058 --swversion DE.1.0.9.0 --startMP 204:453 --initTime 2017-12-19T09:01:29 --startdatetime 2017-12-19T09:09:17 --delay 199 --endMP 300:58982 --enddatetime 2017-12-19T09:24:24 --enforcementcount 0 &gt;&gt;%USERPROFILE%\Documents\GitHub\eaglep3-reporting\EC\2017-12-19-refined-times.txt</v>
      </c>
      <c r="AI173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{"issue":{"subject":"","project_id":79,"tracker_id":40,"status_id":1,"priority_id":2,"assigned_to_id":338,"start_date":"2017-12-19","description":"","custom_fields":[{"id":1,"name":"Subdivision","value":"NW"},{"id":4,"name":"Milepost","value":"5.8982"},{"id":17,"name":"Train ID","value":"813-19"},{"id":16,"name":"Locomotive ID","value":"4058"},{"id":130,"name":"Impact","value":""},{"id":150,"name":"Time of Event (Mountain Time)","value":"09:24:24"},{"id":151,"name":"Denver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94"/>
        <v>start /low /b %USERPROFILE%\Documents\GitHub\eaglep3\Utilities\DownloadLogsFromS3.py --loco 4058 --day 2017-12-19</v>
      </c>
      <c r="AN173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96"/>
        <v>https://d0f6bd738d7f1b3e5a7ca70fe4ff75f0.us-east-1.aws.found.io/app/kibana#/discover/Steve-Slow-Train-Analysis-(2080s-and-2083s)?_g=(refreshInterval:(display:Off,pause:!f,section:0,value:0),time:(from:'2017-12-19T08:01:29-0700',mode:absolute,to:'2017-12-19T10:24:24-0700'))&amp;_a=(columns:!('Message%20ID',Summary),filters:!(),index:'emp_*',interval:auto,query:(query_string:(analyze_wildcard:!t,query:'%22rtdc.l.rtdc.4058%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771</v>
      </c>
      <c r="B174" s="225">
        <v>4057</v>
      </c>
      <c r="C174" s="227" t="s">
        <v>192</v>
      </c>
      <c r="D174" s="227" t="s">
        <v>1036</v>
      </c>
      <c r="E174" s="226">
        <v>43088.393611111111</v>
      </c>
      <c r="F174" s="226">
        <v>43088.404166666667</v>
      </c>
      <c r="G174" s="225">
        <v>72</v>
      </c>
      <c r="H174" s="227" t="s">
        <v>1037</v>
      </c>
      <c r="I174" s="226">
        <v>43088.413668981484</v>
      </c>
      <c r="J174" s="225">
        <v>0</v>
      </c>
      <c r="K174" s="237" t="str">
        <f t="shared" si="112"/>
        <v>4057/4058</v>
      </c>
      <c r="L174" s="245" t="str">
        <f>VLOOKUP(A174,'Trips&amp;Operators'!$C$1:$G$99911,5,FALSE)</f>
        <v>FORTUNATO FRANK</v>
      </c>
      <c r="M174" s="224">
        <f t="shared" si="113"/>
        <v>9.5023148169275373E-3</v>
      </c>
      <c r="N174" s="225">
        <f t="shared" si="139"/>
        <v>13.683333336375654</v>
      </c>
      <c r="O174" s="225"/>
      <c r="P174" s="225"/>
      <c r="Q174" s="228"/>
      <c r="R174" s="242"/>
      <c r="S174" s="249">
        <f t="shared" si="137"/>
        <v>1</v>
      </c>
      <c r="T174" s="242" t="str">
        <f t="shared" si="116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89"/>
        <v>https://d0f6bd738d7f1b3e5a7ca70fe4ff75f0.us-east-1.aws.found.io/app/kibana#/discover/Steve-Slow-Train-Analysis-(2080s-and-2083s)?_g=(refreshInterval:(display:Off,pause:!f,section:0,value:0),time:(from:'2017-12-19T08:26:48-0700',mode:absolute,to:'2017-12-19T10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4" s="247" t="str">
        <f>IF(AA174&lt;VLOOKUP(AG174,Variables!$AC$3:$AD$8,2,FALSE),"Y","N")</f>
        <v>N</v>
      </c>
      <c r="X174" s="247">
        <f t="shared" si="138"/>
        <v>1</v>
      </c>
      <c r="Y174" s="247">
        <f t="shared" si="117"/>
        <v>5.8662000000000001</v>
      </c>
      <c r="Z174" s="247">
        <f t="shared" si="118"/>
        <v>1.37E-2</v>
      </c>
      <c r="AA174" s="247">
        <f t="shared" si="119"/>
        <v>5.8525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120"/>
        <v>814</v>
      </c>
      <c r="AE174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74" s="234" t="str">
        <f t="shared" si="91"/>
        <v>"C:\Program Files (x86)\AstroGrep\AstroGrep.exe" /e /r /s /spath="%USERPROFILE%\AppData\Local\Temp\OnboardLogs" /stypes="app*4057*20171219*" /stext=" 16:.+((SYSTEM_STATE.+slice.+state.+changed )|(ment ac)|(multiple cpu faults)|(system.+state.+changed )|(\[timeout)|(PRM\|1\|D)|(kpr)|(kdp)|(train st.+moving)|(\|gpps)|(penalty))"</v>
      </c>
      <c r="AG174" s="244" t="str">
        <f t="shared" si="121"/>
        <v>NW</v>
      </c>
      <c r="AH174" s="236" t="str">
        <f t="shared" si="92"/>
        <v>"%USERPROFILE%\Documents\GitHub\eaglep3\Utilities\RefineRTDCRunTimes.py" --tripid 814-19 --locoid 4057 --swversion DE.1.0.9.0 --startMP 300:58662 --initTime 2017-12-19T09:26:48 --startdatetime 2017-12-19T09:42:00 --delay 72 --endMP 204:137 --enddatetime 2017-12-19T09:55:41 --enforcementcount 0 &gt;&gt;%USERPROFILE%\Documents\GitHub\eaglep3-reporting\EC\2017-12-19-refined-times.txt</v>
      </c>
      <c r="AI174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{"issue":{"subject":"","project_id":79,"tracker_id":40,"status_id":1,"priority_id":2,"assigned_to_id":338,"start_date":"2017-12-19","description":"","custom_fields":[{"id":1,"name":"Subdivision","value":"NW"},{"id":4,"name":"Milepost","value":"0.0137"},{"id":17,"name":"Train ID","value":"814-19"},{"id":16,"name":"Locomotive ID","value":"4057"},{"id":130,"name":"Impact","value":""},{"id":150,"name":"Time of Event (Mountain Time)","value":"09:55:41"},{"id":151,"name":"Denver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94"/>
        <v>start /low /b %USERPROFILE%\Documents\GitHub\eaglep3\Utilities\DownloadLogsFromS3.py --loco 4057 --day 2017-12-19</v>
      </c>
      <c r="AN174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96"/>
        <v>https://d0f6bd738d7f1b3e5a7ca70fe4ff75f0.us-east-1.aws.found.io/app/kibana#/discover/Steve-Slow-Train-Analysis-(2080s-and-2083s)?_g=(refreshInterval:(display:Off,pause:!f,section:0,value:0),time:(from:'2017-12-19T08:26:48-0700',mode:absolute,to:'2017-12-19T10:55:41-0700'))&amp;_a=(columns:!('Message%20ID',Summary),filters:!(),index:'emp_*',interval:auto,query:(query_string:(analyze_wildcard:!t,query:'%22rtdc.l.rtdc.4057%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776</v>
      </c>
      <c r="B175" s="225">
        <v>4058</v>
      </c>
      <c r="C175" s="227" t="s">
        <v>192</v>
      </c>
      <c r="D175" s="227" t="s">
        <v>570</v>
      </c>
      <c r="E175" s="226">
        <v>43088.415000000001</v>
      </c>
      <c r="F175" s="226">
        <v>43088.423217592594</v>
      </c>
      <c r="G175" s="225">
        <v>655</v>
      </c>
      <c r="H175" s="227" t="s">
        <v>1038</v>
      </c>
      <c r="I175" s="226">
        <v>43088.433125000003</v>
      </c>
      <c r="J175" s="225">
        <v>0</v>
      </c>
      <c r="K175" s="237" t="str">
        <f t="shared" si="112"/>
        <v>4057/4058</v>
      </c>
      <c r="L175" s="245" t="str">
        <f>VLOOKUP(A175,'Trips&amp;Operators'!$C$1:$G$99911,5,FALSE)</f>
        <v>FORTUNATO FRANK</v>
      </c>
      <c r="M175" s="224">
        <f t="shared" si="113"/>
        <v>9.9074074096279219E-3</v>
      </c>
      <c r="N175" s="225">
        <f t="shared" si="139"/>
        <v>14.266666669864208</v>
      </c>
      <c r="O175" s="225"/>
      <c r="P175" s="225"/>
      <c r="Q175" s="228"/>
      <c r="R175" s="242"/>
      <c r="S175" s="249">
        <f t="shared" si="137"/>
        <v>1</v>
      </c>
      <c r="T175" s="242" t="str">
        <f t="shared" si="116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89"/>
        <v>https://d0f6bd738d7f1b3e5a7ca70fe4ff75f0.us-east-1.aws.found.io/app/kibana#/discover/Steve-Slow-Train-Analysis-(2080s-and-2083s)?_g=(refreshInterval:(display:Off,pause:!f,section:0,value:0),time:(from:'2017-12-19T08:57:36-0700',mode:absolute,to:'2017-12-19T11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5" s="247" t="str">
        <f>IF(AA175&lt;VLOOKUP(AG175,Variables!$AC$3:$AD$8,2,FALSE),"Y","N")</f>
        <v>N</v>
      </c>
      <c r="X175" s="247">
        <f t="shared" si="138"/>
        <v>1</v>
      </c>
      <c r="Y175" s="247">
        <f t="shared" si="117"/>
        <v>4.48E-2</v>
      </c>
      <c r="Z175" s="247">
        <f t="shared" si="118"/>
        <v>5.899</v>
      </c>
      <c r="AA175" s="247">
        <f t="shared" si="119"/>
        <v>5.8541999999999996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120"/>
        <v>815</v>
      </c>
      <c r="AE175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75" s="234" t="str">
        <f t="shared" si="91"/>
        <v>"C:\Program Files (x86)\AstroGrep\AstroGrep.exe" /e /r /s /spath="%USERPROFILE%\AppData\Local\Temp\OnboardLogs" /stypes="app*4058*20171219*" /stext=" 17:.+((SYSTEM_STATE.+slice.+state.+changed )|(ment ac)|(multiple cpu faults)|(system.+state.+changed )|(\[timeout)|(PRM\|1\|D)|(kpr)|(kdp)|(train st.+moving)|(\|gpps)|(penalty))"</v>
      </c>
      <c r="AG175" s="244" t="str">
        <f t="shared" si="121"/>
        <v>NW</v>
      </c>
      <c r="AH175" s="236" t="str">
        <f t="shared" si="92"/>
        <v>"%USERPROFILE%\Documents\GitHub\eaglep3\Utilities\RefineRTDCRunTimes.py" --tripid 815-19 --locoid 4058 --swversion DE.1.0.9.0 --startMP 204:448 --initTime 2017-12-19T09:57:36 --startdatetime 2017-12-19T10:09:26 --delay 655 --endMP 300:58990 --enddatetime 2017-12-19T10:23:42 --enforcementcount 0 &gt;&gt;%USERPROFILE%\Documents\GitHub\eaglep3-reporting\EC\2017-12-19-refined-times.txt</v>
      </c>
      <c r="AI175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{"issue":{"subject":"","project_id":79,"tracker_id":40,"status_id":1,"priority_id":2,"assigned_to_id":338,"start_date":"2017-12-19","description":"","custom_fields":[{"id":1,"name":"Subdivision","value":"NW"},{"id":4,"name":"Milepost","value":"5.899"},{"id":17,"name":"Train ID","value":"815-19"},{"id":16,"name":"Locomotive ID","value":"4058"},{"id":130,"name":"Impact","value":""},{"id":150,"name":"Time of Event (Mountain Time)","value":"10:23:42"},{"id":151,"name":"Denver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94"/>
        <v>start /low /b %USERPROFILE%\Documents\GitHub\eaglep3\Utilities\DownloadLogsFromS3.py --loco 4058 --day 2017-12-19</v>
      </c>
      <c r="AN175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96"/>
        <v>https://d0f6bd738d7f1b3e5a7ca70fe4ff75f0.us-east-1.aws.found.io/app/kibana#/discover/Steve-Slow-Train-Analysis-(2080s-and-2083s)?_g=(refreshInterval:(display:Off,pause:!f,section:0,value:0),time:(from:'2017-12-19T08:57:36-0700',mode:absolute,to:'2017-12-19T11:23:42-0700'))&amp;_a=(columns:!('Message%20ID',Summary),filters:!(),index:'emp_*',interval:auto,query:(query_string:(analyze_wildcard:!t,query:'%22rtdc.l.rtdc.4058%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781</v>
      </c>
      <c r="B176" s="225">
        <v>4057</v>
      </c>
      <c r="C176" s="227" t="s">
        <v>192</v>
      </c>
      <c r="D176" s="227" t="s">
        <v>1039</v>
      </c>
      <c r="E176" s="226">
        <v>43088.434467592589</v>
      </c>
      <c r="F176" s="226">
        <v>43088.445833333331</v>
      </c>
      <c r="G176" s="225">
        <v>59</v>
      </c>
      <c r="H176" s="227" t="s">
        <v>929</v>
      </c>
      <c r="I176" s="226">
        <v>43088.455231481479</v>
      </c>
      <c r="J176" s="225">
        <v>0</v>
      </c>
      <c r="K176" s="237" t="str">
        <f t="shared" si="112"/>
        <v>4057/4058</v>
      </c>
      <c r="L176" s="245" t="str">
        <f>VLOOKUP(A176,'Trips&amp;Operators'!$C$1:$G$99911,5,FALSE)</f>
        <v>FORTUNATO FRANK</v>
      </c>
      <c r="M176" s="224">
        <f t="shared" si="113"/>
        <v>9.3981481477385387E-3</v>
      </c>
      <c r="N176" s="225">
        <f t="shared" si="139"/>
        <v>13.533333332743496</v>
      </c>
      <c r="O176" s="225"/>
      <c r="P176" s="225"/>
      <c r="Q176" s="228"/>
      <c r="R176" s="242"/>
      <c r="S176" s="249">
        <f t="shared" si="137"/>
        <v>1</v>
      </c>
      <c r="T176" s="242" t="str">
        <f t="shared" si="116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89"/>
        <v>https://d0f6bd738d7f1b3e5a7ca70fe4ff75f0.us-east-1.aws.found.io/app/kibana#/discover/Steve-Slow-Train-Analysis-(2080s-and-2083s)?_g=(refreshInterval:(display:Off,pause:!f,section:0,value:0),time:(from:'2017-12-19T09:25:38-0700',mode:absolute,to:'2017-12-19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6" s="247" t="str">
        <f>IF(AA176&lt;VLOOKUP(AG176,Variables!$AC$3:$AD$8,2,FALSE),"Y","N")</f>
        <v>N</v>
      </c>
      <c r="X176" s="247">
        <f t="shared" si="138"/>
        <v>1</v>
      </c>
      <c r="Y176" s="247">
        <f t="shared" si="117"/>
        <v>5.8674999999999997</v>
      </c>
      <c r="Z176" s="247">
        <f t="shared" si="118"/>
        <v>1.49E-2</v>
      </c>
      <c r="AA176" s="247">
        <f t="shared" si="119"/>
        <v>5.8525999999999998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120"/>
        <v>816</v>
      </c>
      <c r="AE176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76" s="234" t="str">
        <f t="shared" si="91"/>
        <v>"C:\Program Files (x86)\AstroGrep\AstroGrep.exe" /e /r /s /spath="%USERPROFILE%\AppData\Local\Temp\OnboardLogs" /stypes="app*4057*20171219*" /stext=" 17:.+((SYSTEM_STATE.+slice.+state.+changed )|(ment ac)|(multiple cpu faults)|(system.+state.+changed )|(\[timeout)|(PRM\|1\|D)|(kpr)|(kdp)|(train st.+moving)|(\|gpps)|(penalty))"</v>
      </c>
      <c r="AG176" s="244" t="str">
        <f t="shared" si="121"/>
        <v>NW</v>
      </c>
      <c r="AH176" s="236" t="str">
        <f t="shared" si="92"/>
        <v>"%USERPROFILE%\Documents\GitHub\eaglep3\Utilities\RefineRTDCRunTimes.py" --tripid 816-19 --locoid 4057 --swversion DE.1.0.9.0 --startMP 300:58675 --initTime 2017-12-19T10:25:38 --startdatetime 2017-12-19T10:42:00 --delay 59 --endMP 204:149 --enddatetime 2017-12-19T10:55:32 --enforcementcount 0 &gt;&gt;%USERPROFILE%\Documents\GitHub\eaglep3-reporting\EC\2017-12-19-refined-times.txt</v>
      </c>
      <c r="AI176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{"issue":{"subject":"","project_id":79,"tracker_id":40,"status_id":1,"priority_id":2,"assigned_to_id":338,"start_date":"2017-12-19","description":"","custom_fields":[{"id":1,"name":"Subdivision","value":"NW"},{"id":4,"name":"Milepost","value":"0.0149"},{"id":17,"name":"Train ID","value":"816-19"},{"id":16,"name":"Locomotive ID","value":"4057"},{"id":130,"name":"Impact","value":""},{"id":150,"name":"Time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94"/>
        <v>start /low /b %USERPROFILE%\Documents\GitHub\eaglep3\Utilities\DownloadLogsFromS3.py --loco 4057 --day 2017-12-19</v>
      </c>
      <c r="AN176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96"/>
        <v>https://d0f6bd738d7f1b3e5a7ca70fe4ff75f0.us-east-1.aws.found.io/app/kibana#/discover/Steve-Slow-Train-Analysis-(2080s-and-2083s)?_g=(refreshInterval:(display:Off,pause:!f,section:0,value:0),time:(from:'2017-12-19T09:25:38-0700',mode:absolute,to:'2017-12-19T11:55:32-0700'))&amp;_a=(columns:!('Message%20ID',Summary),filters:!(),index:'emp_*',interval:auto,query:(query_string:(analyze_wildcard:!t,query:'%22rtdc.l.rtdc.4057%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25">
      <c r="A177" s="229" t="s">
        <v>683</v>
      </c>
      <c r="B177" s="225">
        <v>4058</v>
      </c>
      <c r="C177" s="227" t="s">
        <v>192</v>
      </c>
      <c r="D177" s="227" t="s">
        <v>956</v>
      </c>
      <c r="E177" s="226">
        <v>43088.45716435185</v>
      </c>
      <c r="F177" s="226">
        <v>43088.464733796296</v>
      </c>
      <c r="G177" s="225">
        <v>54</v>
      </c>
      <c r="H177" s="227" t="s">
        <v>1040</v>
      </c>
      <c r="I177" s="226">
        <v>43088.475370370368</v>
      </c>
      <c r="J177" s="225">
        <v>0</v>
      </c>
      <c r="K177" s="237" t="str">
        <f t="shared" si="112"/>
        <v>4057/4058</v>
      </c>
      <c r="L177" s="245" t="str">
        <f>VLOOKUP(A177,'Trips&amp;Operators'!$C$1:$G$99911,5,FALSE)</f>
        <v>FORTUNATO FRANK</v>
      </c>
      <c r="M177" s="224">
        <f t="shared" si="113"/>
        <v>1.063657407212304E-2</v>
      </c>
      <c r="N177" s="225">
        <f t="shared" si="139"/>
        <v>15.316666663857177</v>
      </c>
      <c r="O177" s="225"/>
      <c r="P177" s="225"/>
      <c r="Q177" s="228"/>
      <c r="R177" s="242"/>
      <c r="S177" s="249">
        <f t="shared" si="137"/>
        <v>1</v>
      </c>
      <c r="T177" s="242" t="str">
        <f t="shared" si="116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89"/>
        <v>https://d0f6bd738d7f1b3e5a7ca70fe4ff75f0.us-east-1.aws.found.io/app/kibana#/discover/Steve-Slow-Train-Analysis-(2080s-and-2083s)?_g=(refreshInterval:(display:Off,pause:!f,section:0,value:0),time:(from:'2017-12-19T09:58:19-0700',mode:absolute,to:'2017-12-19T12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7" s="247" t="str">
        <f>IF(AA177&lt;VLOOKUP(AG177,Variables!$AC$3:$AD$8,2,FALSE),"Y","N")</f>
        <v>N</v>
      </c>
      <c r="X177" s="247">
        <f t="shared" si="138"/>
        <v>1</v>
      </c>
      <c r="Y177" s="247">
        <f t="shared" si="117"/>
        <v>4.4600000000000001E-2</v>
      </c>
      <c r="Z177" s="247">
        <f t="shared" si="118"/>
        <v>5.8971</v>
      </c>
      <c r="AA177" s="247">
        <f t="shared" si="119"/>
        <v>5.8525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120"/>
        <v>817</v>
      </c>
      <c r="AE177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77" s="234" t="str">
        <f t="shared" si="91"/>
        <v>"C:\Program Files (x86)\AstroGrep\AstroGrep.exe" /e /r /s /spath="%USERPROFILE%\AppData\Local\Temp\OnboardLogs" /stypes="app*4058*20171219*" /stext=" 18:.+((SYSTEM_STATE.+slice.+state.+changed )|(ment ac)|(multiple cpu faults)|(system.+state.+changed )|(\[timeout)|(PRM\|1\|D)|(kpr)|(kdp)|(train st.+moving)|(\|gpps)|(penalty))"</v>
      </c>
      <c r="AG177" s="244" t="str">
        <f t="shared" si="121"/>
        <v>NW</v>
      </c>
      <c r="AH177" s="236" t="str">
        <f t="shared" si="92"/>
        <v>"%USERPROFILE%\Documents\GitHub\eaglep3\Utilities\RefineRTDCRunTimes.py" --tripid 817-19 --locoid 4058 --swversion DE.1.0.9.0 --startMP 204:446 --initTime 2017-12-19T10:58:19 --startdatetime 2017-12-19T11:09:13 --delay 54 --endMP 300:58971 --enddatetime 2017-12-19T11:24:32 --enforcementcount 0 &gt;&gt;%USERPROFILE%\Documents\GitHub\eaglep3-reporting\EC\2017-12-19-refined-times.txt</v>
      </c>
      <c r="AI177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{"issue":{"subject":"","project_id":79,"tracker_id":40,"status_id":1,"priority_id":2,"assigned_to_id":338,"start_date":"2017-12-19","description":"","custom_fields":[{"id":1,"name":"Subdivision","value":"NW"},{"id":4,"name":"Milepost","value":"5.8971"},{"id":17,"name":"Train ID","value":"817-19"},{"id":16,"name":"Locomotive ID","value":"4058"},{"id":130,"name":"Impact","value":""},{"id":150,"name":"Time of Event (Mountain Time)","value":"11:24:32"},{"id":151,"name":"Denver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94"/>
        <v>start /low /b %USERPROFILE%\Documents\GitHub\eaglep3\Utilities\DownloadLogsFromS3.py --loco 4058 --day 2017-12-19</v>
      </c>
      <c r="AN177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96"/>
        <v>https://d0f6bd738d7f1b3e5a7ca70fe4ff75f0.us-east-1.aws.found.io/app/kibana#/discover/Steve-Slow-Train-Analysis-(2080s-and-2083s)?_g=(refreshInterval:(display:Off,pause:!f,section:0,value:0),time:(from:'2017-12-19T09:58:19-0700',mode:absolute,to:'2017-12-19T12:24:32-0700'))&amp;_a=(columns:!('Message%20ID',Summary),filters:!(),index:'emp_*',interval:auto,query:(query_string:(analyze_wildcard:!t,query:'%22rtdc.l.rtdc.4058%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25">
      <c r="A178" s="229" t="s">
        <v>789</v>
      </c>
      <c r="B178" s="225">
        <v>4057</v>
      </c>
      <c r="C178" s="227" t="s">
        <v>192</v>
      </c>
      <c r="D178" s="227" t="s">
        <v>665</v>
      </c>
      <c r="E178" s="226">
        <v>43088.477326388886</v>
      </c>
      <c r="F178" s="226">
        <v>43088.487500000003</v>
      </c>
      <c r="G178" s="225">
        <v>53</v>
      </c>
      <c r="H178" s="227" t="s">
        <v>1041</v>
      </c>
      <c r="I178" s="226">
        <v>43088.497037037036</v>
      </c>
      <c r="J178" s="225">
        <v>0</v>
      </c>
      <c r="K178" s="237" t="str">
        <f t="shared" si="112"/>
        <v>4057/4058</v>
      </c>
      <c r="L178" s="245" t="str">
        <f>VLOOKUP(A178,'Trips&amp;Operators'!$C$1:$G$99911,5,FALSE)</f>
        <v>FORTUNATO FRANK</v>
      </c>
      <c r="M178" s="224">
        <f t="shared" si="113"/>
        <v>9.5370370327145793E-3</v>
      </c>
      <c r="N178" s="225">
        <f t="shared" si="139"/>
        <v>13.733333327108994</v>
      </c>
      <c r="O178" s="225"/>
      <c r="P178" s="225"/>
      <c r="Q178" s="228"/>
      <c r="R178" s="242"/>
      <c r="S178" s="249">
        <f t="shared" si="137"/>
        <v>1</v>
      </c>
      <c r="T178" s="242" t="str">
        <f t="shared" si="116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89"/>
        <v>https://d0f6bd738d7f1b3e5a7ca70fe4ff75f0.us-east-1.aws.found.io/app/kibana#/discover/Steve-Slow-Train-Analysis-(2080s-and-2083s)?_g=(refreshInterval:(display:Off,pause:!f,section:0,value:0),time:(from:'2017-12-19T10:27:21-0700',mode:absolute,to:'2017-12-19T12:55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8" s="247" t="str">
        <f>IF(AA178&lt;VLOOKUP(AG178,Variables!$AC$3:$AD$8,2,FALSE),"Y","N")</f>
        <v>N</v>
      </c>
      <c r="X178" s="247">
        <f t="shared" si="138"/>
        <v>1</v>
      </c>
      <c r="Y178" s="247">
        <f t="shared" si="117"/>
        <v>5.8655999999999997</v>
      </c>
      <c r="Z178" s="247">
        <f t="shared" si="118"/>
        <v>1.5100000000000001E-2</v>
      </c>
      <c r="AA178" s="247">
        <f t="shared" si="119"/>
        <v>5.8504999999999994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120"/>
        <v>818</v>
      </c>
      <c r="AE178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78" s="234" t="str">
        <f t="shared" si="91"/>
        <v>"C:\Program Files (x86)\AstroGrep\AstroGrep.exe" /e /r /s /spath="%USERPROFILE%\AppData\Local\Temp\OnboardLogs" /stypes="app*4057*20171219*" /stext=" 18:.+((SYSTEM_STATE.+slice.+state.+changed )|(ment ac)|(multiple cpu faults)|(system.+state.+changed )|(\[timeout)|(PRM\|1\|D)|(kpr)|(kdp)|(train st.+moving)|(\|gpps)|(penalty))"</v>
      </c>
      <c r="AG178" s="244" t="str">
        <f t="shared" si="121"/>
        <v>NW</v>
      </c>
      <c r="AH178" s="236" t="str">
        <f t="shared" si="92"/>
        <v>"%USERPROFILE%\Documents\GitHub\eaglep3\Utilities\RefineRTDCRunTimes.py" --tripid 818-19 --locoid 4057 --swversion DE.1.0.9.0 --startMP 300:58656 --initTime 2017-12-19T11:27:21 --startdatetime 2017-12-19T11:42:00 --delay 53 --endMP 204:151 --enddatetime 2017-12-19T11:55:44 --enforcementcount 0 &gt;&gt;%USERPROFILE%\Documents\GitHub\eaglep3-reporting\EC\2017-12-19-refined-times.txt</v>
      </c>
      <c r="AI178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{"issue":{"subject":"","project_id":79,"tracker_id":40,"status_id":1,"priority_id":2,"assigned_to_id":338,"start_date":"2017-12-19","description":"","custom_fields":[{"id":1,"name":"Subdivision","value":"NW"},{"id":4,"name":"Milepost","value":"0.0151"},{"id":17,"name":"Train ID","value":"818-19"},{"id":16,"name":"Locomotive ID","value":"4057"},{"id":130,"name":"Impact","value":""},{"id":150,"name":"Time of Event (Mountain Time)","value":"11:55:44"},{"id":151,"name":"Denver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94"/>
        <v>start /low /b %USERPROFILE%\Documents\GitHub\eaglep3\Utilities\DownloadLogsFromS3.py --loco 4057 --day 2017-12-19</v>
      </c>
      <c r="AN178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18:55:44"},{"id":29,"name":"Sharepoint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96"/>
        <v>https://d0f6bd738d7f1b3e5a7ca70fe4ff75f0.us-east-1.aws.found.io/app/kibana#/discover/Steve-Slow-Train-Analysis-(2080s-and-2083s)?_g=(refreshInterval:(display:Off,pause:!f,section:0,value:0),time:(from:'2017-12-19T10:27:21-0700',mode:absolute,to:'2017-12-19T12:55:44-0700'))&amp;_a=(columns:!('Message%20ID',Summary),filters:!(),index:'emp_*',interval:auto,query:(query_string:(analyze_wildcard:!t,query:'%22rtdc.l.rtdc.4057%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794</v>
      </c>
      <c r="B179" s="225">
        <v>4058</v>
      </c>
      <c r="C179" s="227" t="s">
        <v>192</v>
      </c>
      <c r="D179" s="227" t="s">
        <v>667</v>
      </c>
      <c r="E179" s="226">
        <v>43088.498773148145</v>
      </c>
      <c r="F179" s="226">
        <v>43088.506423611114</v>
      </c>
      <c r="G179" s="225">
        <v>55</v>
      </c>
      <c r="H179" s="227" t="s">
        <v>1042</v>
      </c>
      <c r="I179" s="226">
        <v>43088.516331018516</v>
      </c>
      <c r="J179" s="225">
        <v>0</v>
      </c>
      <c r="K179" s="237" t="str">
        <f t="shared" ref="K179:K201" si="140">IF(ISEVEN(B179),(B179-1)&amp;"/"&amp;B179,B179&amp;"/"&amp;(B179+1))</f>
        <v>4057/4058</v>
      </c>
      <c r="L179" s="245" t="str">
        <f>VLOOKUP(A179,'Trips&amp;Operators'!$C$1:$G$99911,5,FALSE)</f>
        <v>FORTUNATO FRANK</v>
      </c>
      <c r="M179" s="224">
        <f t="shared" ref="M179:M201" si="141">I179-F179</f>
        <v>9.9074074023519643E-3</v>
      </c>
      <c r="N179" s="225">
        <f t="shared" si="139"/>
        <v>14.266666659386829</v>
      </c>
      <c r="O179" s="225"/>
      <c r="P179" s="225"/>
      <c r="Q179" s="228"/>
      <c r="R179" s="242"/>
      <c r="S179" s="249">
        <f t="shared" si="137"/>
        <v>1</v>
      </c>
      <c r="T179" s="242" t="str">
        <f t="shared" ref="T179:T201" si="142"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89"/>
        <v>https://d0f6bd738d7f1b3e5a7ca70fe4ff75f0.us-east-1.aws.found.io/app/kibana#/discover/Steve-Slow-Train-Analysis-(2080s-and-2083s)?_g=(refreshInterval:(display:Off,pause:!f,section:0,value:0),time:(from:'2017-12-19T10:58:14-0700',mode:absolute,to:'2017-12-19T13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9" s="247" t="str">
        <f>IF(AA179&lt;VLOOKUP(AG179,Variables!$AC$3:$AD$8,2,FALSE),"Y","N")</f>
        <v>N</v>
      </c>
      <c r="X179" s="247">
        <f t="shared" si="138"/>
        <v>1</v>
      </c>
      <c r="Y179" s="247">
        <f t="shared" ref="Y179:Y201" si="143">RIGHT(D179,LEN(D179)-4)/10000</f>
        <v>4.3900000000000002E-2</v>
      </c>
      <c r="Z179" s="247">
        <f t="shared" ref="Z179:Z201" si="144">RIGHT(H179,LEN(H179)-4)/10000</f>
        <v>5.9002999999999997</v>
      </c>
      <c r="AA179" s="247">
        <f t="shared" ref="AA179:AA201" si="145">ABS(Z179-Y179)</f>
        <v>5.8563999999999998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ref="AD179:AD201" si="146">VALUE(LEFT(A179,LEN(A179)-3))</f>
        <v>819</v>
      </c>
      <c r="AE179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79" s="234" t="str">
        <f t="shared" si="91"/>
        <v>"C:\Program Files (x86)\AstroGrep\AstroGrep.exe" /e /r /s /spath="%USERPROFILE%\AppData\Local\Temp\OnboardLogs" /stypes="app*4058*20171219*" /stext=" 19:.+((SYSTEM_STATE.+slice.+state.+changed )|(ment ac)|(multiple cpu faults)|(system.+state.+changed )|(\[timeout)|(PRM\|1\|D)|(kpr)|(kdp)|(train st.+moving)|(\|gpps)|(penalty))"</v>
      </c>
      <c r="AG179" s="244" t="str">
        <f t="shared" ref="AG179:AG201" si="147">DetSubdiv(A179)</f>
        <v>NW</v>
      </c>
      <c r="AH179" s="236" t="str">
        <f t="shared" si="92"/>
        <v>"%USERPROFILE%\Documents\GitHub\eaglep3\Utilities\RefineRTDCRunTimes.py" --tripid 819-19 --locoid 4058 --swversion DE.1.0.9.0 --startMP 204:439 --initTime 2017-12-19T11:58:14 --startdatetime 2017-12-19T12:09:15 --delay 55 --endMP 300:59003 --enddatetime 2017-12-19T12:23:31 --enforcementcount 0 &gt;&gt;%USERPROFILE%\Documents\GitHub\eaglep3-reporting\EC\2017-12-19-refined-times.txt</v>
      </c>
      <c r="AI179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{"issue":{"subject":"","project_id":79,"tracker_id":40,"status_id":1,"priority_id":2,"assigned_to_id":338,"start_date":"2017-12-19","description":"","custom_fields":[{"id":1,"name":"Subdivision","value":"NW"},{"id":4,"name":"Milepost","value":"5.9003"},{"id":17,"name":"Train ID","value":"819-19"},{"id":16,"name":"Locomotive ID","value":"4058"},{"id":130,"name":"Impact","value":""},{"id":150,"name":"Time of Event (Mountain Time)","value":"12:23:31"},{"id":151,"name":"Denver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94"/>
        <v>start /low /b %USERPROFILE%\Documents\GitHub\eaglep3\Utilities\DownloadLogsFromS3.py --loco 4058 --day 2017-12-19</v>
      </c>
      <c r="AN179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96"/>
        <v>https://d0f6bd738d7f1b3e5a7ca70fe4ff75f0.us-east-1.aws.found.io/app/kibana#/discover/Steve-Slow-Train-Analysis-(2080s-and-2083s)?_g=(refreshInterval:(display:Off,pause:!f,section:0,value:0),time:(from:'2017-12-19T10:58:14-0700',mode:absolute,to:'2017-12-19T13:23:31-0700'))&amp;_a=(columns:!('Message%20ID',Summary),filters:!(),index:'emp_*',interval:auto,query:(query_string:(analyze_wildcard:!t,query:'%22rtdc.l.rtdc.4058%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797</v>
      </c>
      <c r="B180" s="225">
        <v>4057</v>
      </c>
      <c r="C180" s="227" t="s">
        <v>192</v>
      </c>
      <c r="D180" s="227" t="s">
        <v>1043</v>
      </c>
      <c r="E180" s="226">
        <v>43088.51761574074</v>
      </c>
      <c r="F180" s="226">
        <v>43088.529166666667</v>
      </c>
      <c r="G180" s="225">
        <v>86</v>
      </c>
      <c r="H180" s="227" t="s">
        <v>533</v>
      </c>
      <c r="I180" s="226">
        <v>43088.538425925923</v>
      </c>
      <c r="J180" s="225">
        <v>0</v>
      </c>
      <c r="K180" s="237" t="str">
        <f t="shared" si="140"/>
        <v>4057/4058</v>
      </c>
      <c r="L180" s="245" t="str">
        <f>VLOOKUP(A180,'Trips&amp;Operators'!$C$1:$G$99911,5,FALSE)</f>
        <v>FORTUNATO FRANK</v>
      </c>
      <c r="M180" s="224">
        <f t="shared" si="141"/>
        <v>9.2592592554865405E-3</v>
      </c>
      <c r="N180" s="225">
        <f t="shared" si="139"/>
        <v>13.333333327900618</v>
      </c>
      <c r="O180" s="225"/>
      <c r="P180" s="225"/>
      <c r="Q180" s="228"/>
      <c r="R180" s="242"/>
      <c r="S180" s="249">
        <f t="shared" si="137"/>
        <v>1</v>
      </c>
      <c r="T180" s="242" t="str">
        <f t="shared" si="142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89"/>
        <v>https://d0f6bd738d7f1b3e5a7ca70fe4ff75f0.us-east-1.aws.found.io/app/kibana#/discover/Steve-Slow-Train-Analysis-(2080s-and-2083s)?_g=(refreshInterval:(display:Off,pause:!f,section:0,value:0),time:(from:'2017-12-19T11:25:22-0700',mode:absolute,to:'2017-12-19T13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0" s="247" t="str">
        <f>IF(AA180&lt;VLOOKUP(AG180,Variables!$AC$3:$AD$8,2,FALSE),"Y","N")</f>
        <v>N</v>
      </c>
      <c r="X180" s="247">
        <f t="shared" si="138"/>
        <v>1</v>
      </c>
      <c r="Y180" s="247">
        <f t="shared" si="143"/>
        <v>5.8688000000000002</v>
      </c>
      <c r="Z180" s="247">
        <f t="shared" si="144"/>
        <v>1.5800000000000002E-2</v>
      </c>
      <c r="AA180" s="247">
        <f t="shared" si="145"/>
        <v>5.8530000000000006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146"/>
        <v>820</v>
      </c>
      <c r="AE180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80" s="234" t="str">
        <f t="shared" si="91"/>
        <v>"C:\Program Files (x86)\AstroGrep\AstroGrep.exe" /e /r /s /spath="%USERPROFILE%\AppData\Local\Temp\OnboardLogs" /stypes="app*4057*20171219*" /stext=" 19:.+((SYSTEM_STATE.+slice.+state.+changed )|(ment ac)|(multiple cpu faults)|(system.+state.+changed )|(\[timeout)|(PRM\|1\|D)|(kpr)|(kdp)|(train st.+moving)|(\|gpps)|(penalty))"</v>
      </c>
      <c r="AG180" s="244" t="str">
        <f t="shared" si="147"/>
        <v>NW</v>
      </c>
      <c r="AH180" s="236" t="str">
        <f t="shared" si="92"/>
        <v>"%USERPROFILE%\Documents\GitHub\eaglep3\Utilities\RefineRTDCRunTimes.py" --tripid 820-19 --locoid 4057 --swversion DE.1.0.9.0 --startMP 300:58688 --initTime 2017-12-19T12:25:22 --startdatetime 2017-12-19T12:42:00 --delay 86 --endMP 204:158 --enddatetime 2017-12-19T12:55:20 --enforcementcount 0 &gt;&gt;%USERPROFILE%\Documents\GitHub\eaglep3-reporting\EC\2017-12-19-refined-times.txt</v>
      </c>
      <c r="AI180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{"issue":{"subject":"","project_id":79,"tracker_id":40,"status_id":1,"priority_id":2,"assigned_to_id":338,"start_date":"2017-12-19","description":"","custom_fields":[{"id":1,"name":"Subdivision","value":"NW"},{"id":4,"name":"Milepost","value":"0.0158"},{"id":17,"name":"Train ID","value":"820-19"},{"id":16,"name":"Locomotive ID","value":"4057"},{"id":130,"name":"Impact","value":""},{"id":150,"name":"Time of Event (Mountain Time)","value":"12:55:20"},{"id":151,"name":"Denver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94"/>
        <v>start /low /b %USERPROFILE%\Documents\GitHub\eaglep3\Utilities\DownloadLogsFromS3.py --loco 4057 --day 2017-12-19</v>
      </c>
      <c r="AN180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96"/>
        <v>https://d0f6bd738d7f1b3e5a7ca70fe4ff75f0.us-east-1.aws.found.io/app/kibana#/discover/Steve-Slow-Train-Analysis-(2080s-and-2083s)?_g=(refreshInterval:(display:Off,pause:!f,section:0,value:0),time:(from:'2017-12-19T11:25:22-0700',mode:absolute,to:'2017-12-19T13:55:20-0700'))&amp;_a=(columns:!('Message%20ID',Summary),filters:!(),index:'emp_*',interval:auto,query:(query_string:(analyze_wildcard:!t,query:'%22rtdc.l.rtdc.4057%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803</v>
      </c>
      <c r="B181" s="225">
        <v>4058</v>
      </c>
      <c r="C181" s="227" t="s">
        <v>192</v>
      </c>
      <c r="D181" s="227" t="s">
        <v>523</v>
      </c>
      <c r="E181" s="226">
        <v>43088.543217592596</v>
      </c>
      <c r="F181" s="226">
        <v>43088.548229166663</v>
      </c>
      <c r="G181" s="225">
        <v>70</v>
      </c>
      <c r="H181" s="227" t="s">
        <v>572</v>
      </c>
      <c r="I181" s="226">
        <v>43088.557824074072</v>
      </c>
      <c r="J181" s="225">
        <v>0</v>
      </c>
      <c r="K181" s="237" t="str">
        <f t="shared" si="140"/>
        <v>4057/4058</v>
      </c>
      <c r="L181" s="245" t="str">
        <f>VLOOKUP(A181,'Trips&amp;Operators'!$C$1:$G$99911,5,FALSE)</f>
        <v>GUZMAN DANNY</v>
      </c>
      <c r="M181" s="224">
        <f t="shared" si="141"/>
        <v>9.5949074093368836E-3</v>
      </c>
      <c r="N181" s="225">
        <f t="shared" si="139"/>
        <v>13.816666669445112</v>
      </c>
      <c r="O181" s="225"/>
      <c r="P181" s="225"/>
      <c r="Q181" s="228"/>
      <c r="R181" s="242"/>
      <c r="S181" s="249">
        <f t="shared" si="137"/>
        <v>1</v>
      </c>
      <c r="T181" s="242" t="str">
        <f t="shared" si="142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89"/>
        <v>https://d0f6bd738d7f1b3e5a7ca70fe4ff75f0.us-east-1.aws.found.io/app/kibana#/discover/Steve-Slow-Train-Analysis-(2080s-and-2083s)?_g=(refreshInterval:(display:Off,pause:!f,section:0,value:0),time:(from:'2017-12-19T12:02:14-0700',mode:absolute,to:'2017-12-19T14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1" s="247" t="str">
        <f>IF(AA181&lt;VLOOKUP(AG181,Variables!$AC$3:$AD$8,2,FALSE),"Y","N")</f>
        <v>N</v>
      </c>
      <c r="X181" s="247">
        <f t="shared" si="138"/>
        <v>1</v>
      </c>
      <c r="Y181" s="247">
        <f t="shared" si="143"/>
        <v>4.5699999999999998E-2</v>
      </c>
      <c r="Z181" s="247">
        <f t="shared" si="144"/>
        <v>5.8936999999999999</v>
      </c>
      <c r="AA181" s="247">
        <f t="shared" si="145"/>
        <v>5.8479999999999999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146"/>
        <v>821</v>
      </c>
      <c r="AE181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81" s="234" t="str">
        <f t="shared" si="91"/>
        <v>"C:\Program Files (x86)\AstroGrep\AstroGrep.exe" /e /r /s /spath="%USERPROFILE%\AppData\Local\Temp\OnboardLogs" /stypes="app*4058*20171219*" /stext=" 20:.+((SYSTEM_STATE.+slice.+state.+changed )|(ment ac)|(multiple cpu faults)|(system.+state.+changed )|(\[timeout)|(PRM\|1\|D)|(kpr)|(kdp)|(train st.+moving)|(\|gpps)|(penalty))"</v>
      </c>
      <c r="AG181" s="244" t="str">
        <f t="shared" si="147"/>
        <v>NW</v>
      </c>
      <c r="AH181" s="236" t="str">
        <f t="shared" si="92"/>
        <v>"%USERPROFILE%\Documents\GitHub\eaglep3\Utilities\RefineRTDCRunTimes.py" --tripid 821-19 --locoid 4058 --swversion DE.1.0.9.0 --startMP 204:457 --initTime 2017-12-19T13:02:14 --startdatetime 2017-12-19T13:09:27 --delay 70 --endMP 300:58937 --enddatetime 2017-12-19T13:23:16 --enforcementcount 0 &gt;&gt;%USERPROFILE%\Documents\GitHub\eaglep3-reporting\EC\2017-12-19-refined-times.txt</v>
      </c>
      <c r="AI181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{"issue":{"subject":"","project_id":79,"tracker_id":40,"status_id":1,"priority_id":2,"assigned_to_id":338,"start_date":"2017-12-19","description":"","custom_fields":[{"id":1,"name":"Subdivision","value":"NW"},{"id":4,"name":"Milepost","value":"5.8937"},{"id":17,"name":"Train ID","value":"821-19"},{"id":16,"name":"Locomotive ID","value":"4058"},{"id":130,"name":"Impact","value":""},{"id":150,"name":"Time of Event (Mountain Time)","value":"13:23:16"},{"id":151,"name":"Denver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94"/>
        <v>start /low /b %USERPROFILE%\Documents\GitHub\eaglep3\Utilities\DownloadLogsFromS3.py --loco 4058 --day 2017-12-19</v>
      </c>
      <c r="AN181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96"/>
        <v>https://d0f6bd738d7f1b3e5a7ca70fe4ff75f0.us-east-1.aws.found.io/app/kibana#/discover/Steve-Slow-Train-Analysis-(2080s-and-2083s)?_g=(refreshInterval:(display:Off,pause:!f,section:0,value:0),time:(from:'2017-12-19T12:02:14-0700',mode:absolute,to:'2017-12-19T14:23:16-0700'))&amp;_a=(columns:!('Message%20ID',Summary),filters:!(),index:'emp_*',interval:auto,query:(query_string:(analyze_wildcard:!t,query:'%22rtdc.l.rtdc.4058%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25">
      <c r="A182" s="229" t="s">
        <v>807</v>
      </c>
      <c r="B182" s="225">
        <v>4057</v>
      </c>
      <c r="C182" s="227" t="s">
        <v>192</v>
      </c>
      <c r="D182" s="227" t="s">
        <v>659</v>
      </c>
      <c r="E182" s="226">
        <v>43088.560648148145</v>
      </c>
      <c r="F182" s="226">
        <v>43088.570833333331</v>
      </c>
      <c r="G182" s="225">
        <v>67</v>
      </c>
      <c r="H182" s="227" t="s">
        <v>1044</v>
      </c>
      <c r="I182" s="226">
        <v>43088.58</v>
      </c>
      <c r="J182" s="225">
        <v>0</v>
      </c>
      <c r="K182" s="237" t="str">
        <f t="shared" si="140"/>
        <v>4057/4058</v>
      </c>
      <c r="L182" s="245" t="str">
        <f>VLOOKUP(A182,'Trips&amp;Operators'!$C$1:$G$99911,5,FALSE)</f>
        <v>GUZMAN DANNY</v>
      </c>
      <c r="M182" s="224">
        <f t="shared" si="141"/>
        <v>9.1666666703531519E-3</v>
      </c>
      <c r="N182" s="225">
        <f t="shared" si="139"/>
        <v>13.200000005308539</v>
      </c>
      <c r="O182" s="225"/>
      <c r="P182" s="225"/>
      <c r="Q182" s="228"/>
      <c r="R182" s="242"/>
      <c r="S182" s="249">
        <f t="shared" si="137"/>
        <v>1</v>
      </c>
      <c r="T182" s="242" t="str">
        <f t="shared" si="142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89"/>
        <v>https://d0f6bd738d7f1b3e5a7ca70fe4ff75f0.us-east-1.aws.found.io/app/kibana#/discover/Steve-Slow-Train-Analysis-(2080s-and-2083s)?_g=(refreshInterval:(display:Off,pause:!f,section:0,value:0),time:(from:'2017-12-19T12:27:20-0700',mode:absolute,to:'2017-12-19T14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2" s="247" t="str">
        <f>IF(AA182&lt;VLOOKUP(AG182,Variables!$AC$3:$AD$8,2,FALSE),"Y","N")</f>
        <v>N</v>
      </c>
      <c r="X182" s="247">
        <f t="shared" si="138"/>
        <v>1</v>
      </c>
      <c r="Y182" s="247">
        <f t="shared" si="143"/>
        <v>5.8613</v>
      </c>
      <c r="Z182" s="247">
        <f t="shared" si="144"/>
        <v>2.0400000000000001E-2</v>
      </c>
      <c r="AA182" s="247">
        <f t="shared" si="145"/>
        <v>5.8408999999999995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146"/>
        <v>822</v>
      </c>
      <c r="AE182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82" s="234" t="str">
        <f t="shared" si="91"/>
        <v>"C:\Program Files (x86)\AstroGrep\AstroGrep.exe" /e /r /s /spath="%USERPROFILE%\AppData\Local\Temp\OnboardLogs" /stypes="app*4057*20171219*" /stext=" 20:.+((SYSTEM_STATE.+slice.+state.+changed )|(ment ac)|(multiple cpu faults)|(system.+state.+changed )|(\[timeout)|(PRM\|1\|D)|(kpr)|(kdp)|(train st.+moving)|(\|gpps)|(penalty))"</v>
      </c>
      <c r="AG182" s="244" t="str">
        <f t="shared" si="147"/>
        <v>NW</v>
      </c>
      <c r="AH182" s="236" t="str">
        <f t="shared" si="92"/>
        <v>"%USERPROFILE%\Documents\GitHub\eaglep3\Utilities\RefineRTDCRunTimes.py" --tripid 822-19 --locoid 4057 --swversion DE.1.0.9.0 --startMP 300:58613 --initTime 2017-12-19T13:27:20 --startdatetime 2017-12-19T13:42:00 --delay 67 --endMP 204:204 --enddatetime 2017-12-19T13:55:12 --enforcementcount 0 &gt;&gt;%USERPROFILE%\Documents\GitHub\eaglep3-reporting\EC\2017-12-19-refined-times.txt</v>
      </c>
      <c r="AI182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{"issue":{"subject":"","project_id":79,"tracker_id":40,"status_id":1,"priority_id":2,"assigned_to_id":338,"start_date":"2017-12-19","description":"","custom_fields":[{"id":1,"name":"Subdivision","value":"NW"},{"id":4,"name":"Milepost","value":"0.0204"},{"id":17,"name":"Train ID","value":"822-19"},{"id":16,"name":"Locomotive ID","value":"4057"},{"id":130,"name":"Impact","value":""},{"id":150,"name":"Time of Event (Mountain Time)","value":"13:55:12"},{"id":151,"name":"Denver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94"/>
        <v>start /low /b %USERPROFILE%\Documents\GitHub\eaglep3\Utilities\DownloadLogsFromS3.py --loco 4057 --day 2017-12-19</v>
      </c>
      <c r="AN182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20:55:12"},{"id":29,"name":"Sharepoint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96"/>
        <v>https://d0f6bd738d7f1b3e5a7ca70fe4ff75f0.us-east-1.aws.found.io/app/kibana#/discover/Steve-Slow-Train-Analysis-(2080s-and-2083s)?_g=(refreshInterval:(display:Off,pause:!f,section:0,value:0),time:(from:'2017-12-19T12:27:20-0700',mode:absolute,to:'2017-12-19T14:55:12-0700'))&amp;_a=(columns:!('Message%20ID',Summary),filters:!(),index:'emp_*',interval:auto,query:(query_string:(analyze_wildcard:!t,query:'%22rtdc.l.rtdc.4057%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25">
      <c r="A183" s="229" t="s">
        <v>812</v>
      </c>
      <c r="B183" s="225">
        <v>4058</v>
      </c>
      <c r="C183" s="227" t="s">
        <v>192</v>
      </c>
      <c r="D183" s="227" t="s">
        <v>524</v>
      </c>
      <c r="E183" s="226">
        <v>43088.587453703702</v>
      </c>
      <c r="F183" s="226">
        <v>43088.589756944442</v>
      </c>
      <c r="G183" s="225">
        <v>54</v>
      </c>
      <c r="H183" s="227" t="s">
        <v>673</v>
      </c>
      <c r="I183" s="226">
        <v>43088.599166666667</v>
      </c>
      <c r="J183" s="225">
        <v>0</v>
      </c>
      <c r="K183" s="237" t="str">
        <f t="shared" si="140"/>
        <v>4057/4058</v>
      </c>
      <c r="L183" s="245" t="str">
        <f>VLOOKUP(A183,'Trips&amp;Operators'!$C$1:$G$99911,5,FALSE)</f>
        <v>GUZMAN DANNY</v>
      </c>
      <c r="M183" s="224">
        <f t="shared" si="141"/>
        <v>9.4097222245181911E-3</v>
      </c>
      <c r="N183" s="225">
        <f t="shared" si="139"/>
        <v>13.550000003306195</v>
      </c>
      <c r="O183" s="225"/>
      <c r="P183" s="225"/>
      <c r="Q183" s="228"/>
      <c r="R183" s="242"/>
      <c r="S183" s="249">
        <f t="shared" si="137"/>
        <v>1</v>
      </c>
      <c r="T183" s="242" t="str">
        <f t="shared" si="142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89"/>
        <v>https://d0f6bd738d7f1b3e5a7ca70fe4ff75f0.us-east-1.aws.found.io/app/kibana#/discover/Steve-Slow-Train-Analysis-(2080s-and-2083s)?_g=(refreshInterval:(display:Off,pause:!f,section:0,value:0),time:(from:'2017-12-19T13:05:56-0700',mode:absolute,to:'2017-12-19T15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3" s="247" t="str">
        <f>IF(AA183&lt;VLOOKUP(AG183,Variables!$AC$3:$AD$8,2,FALSE),"Y","N")</f>
        <v>N</v>
      </c>
      <c r="X183" s="247">
        <f t="shared" si="138"/>
        <v>1</v>
      </c>
      <c r="Y183" s="247">
        <f t="shared" si="143"/>
        <v>4.6199999999999998E-2</v>
      </c>
      <c r="Z183" s="247">
        <f t="shared" si="144"/>
        <v>5.8940999999999999</v>
      </c>
      <c r="AA183" s="247">
        <f t="shared" si="145"/>
        <v>5.8479000000000001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146"/>
        <v>823</v>
      </c>
      <c r="AE183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83" s="234" t="str">
        <f t="shared" si="91"/>
        <v>"C:\Program Files (x86)\AstroGrep\AstroGrep.exe" /e /r /s /spath="%USERPROFILE%\AppData\Local\Temp\OnboardLogs" /stypes="app*4058*20171219*" /stext=" 21:.+((SYSTEM_STATE.+slice.+state.+changed )|(ment ac)|(multiple cpu faults)|(system.+state.+changed )|(\[timeout)|(PRM\|1\|D)|(kpr)|(kdp)|(train st.+moving)|(\|gpps)|(penalty))"</v>
      </c>
      <c r="AG183" s="244" t="str">
        <f t="shared" si="147"/>
        <v>NW</v>
      </c>
      <c r="AH183" s="236" t="str">
        <f t="shared" si="92"/>
        <v>"%USERPROFILE%\Documents\GitHub\eaglep3\Utilities\RefineRTDCRunTimes.py" --tripid 823-19 --locoid 4058 --swversion DE.1.0.9.0 --startMP 204:462 --initTime 2017-12-19T14:05:56 --startdatetime 2017-12-19T14:09:15 --delay 54 --endMP 300:58941 --enddatetime 2017-12-19T14:22:48 --enforcementcount 0 &gt;&gt;%USERPROFILE%\Documents\GitHub\eaglep3-reporting\EC\2017-12-19-refined-times.txt</v>
      </c>
      <c r="AI183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{"issue":{"subject":"","project_id":79,"tracker_id":40,"status_id":1,"priority_id":2,"assigned_to_id":338,"start_date":"2017-12-19","description":"","custom_fields":[{"id":1,"name":"Subdivision","value":"NW"},{"id":4,"name":"Milepost","value":"5.8941"},{"id":17,"name":"Train ID","value":"823-19"},{"id":16,"name":"Locomotive ID","value":"4058"},{"id":130,"name":"Impact","value":""},{"id":150,"name":"Time of Event (Mountain Time)","value":"14:22:48"},{"id":151,"name":"Denver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94"/>
        <v>start /low /b %USERPROFILE%\Documents\GitHub\eaglep3\Utilities\DownloadLogsFromS3.py --loco 4058 --day 2017-12-19</v>
      </c>
      <c r="AN183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96"/>
        <v>https://d0f6bd738d7f1b3e5a7ca70fe4ff75f0.us-east-1.aws.found.io/app/kibana#/discover/Steve-Slow-Train-Analysis-(2080s-and-2083s)?_g=(refreshInterval:(display:Off,pause:!f,section:0,value:0),time:(from:'2017-12-19T13:05:56-0700',mode:absolute,to:'2017-12-19T15:22:48-0700'))&amp;_a=(columns:!('Message%20ID',Summary),filters:!(),index:'emp_*',interval:auto,query:(query_string:(analyze_wildcard:!t,query:'%22rtdc.l.rtdc.4058%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817</v>
      </c>
      <c r="B184" s="225">
        <v>4057</v>
      </c>
      <c r="C184" s="227" t="s">
        <v>192</v>
      </c>
      <c r="D184" s="227" t="s">
        <v>663</v>
      </c>
      <c r="E184" s="226">
        <v>43088.599942129629</v>
      </c>
      <c r="F184" s="226">
        <v>43088.612500000003</v>
      </c>
      <c r="G184" s="225">
        <v>58</v>
      </c>
      <c r="H184" s="227" t="s">
        <v>1045</v>
      </c>
      <c r="I184" s="226">
        <v>43088.621631944443</v>
      </c>
      <c r="J184" s="225">
        <v>0</v>
      </c>
      <c r="K184" s="237" t="str">
        <f t="shared" si="140"/>
        <v>4057/4058</v>
      </c>
      <c r="L184" s="245" t="str">
        <f>VLOOKUP(A184,'Trips&amp;Operators'!$C$1:$G$99911,5,FALSE)</f>
        <v>GUZMAN DANNY</v>
      </c>
      <c r="M184" s="224">
        <f t="shared" si="141"/>
        <v>9.1319444400141947E-3</v>
      </c>
      <c r="N184" s="225">
        <f t="shared" si="139"/>
        <v>13.14999999362044</v>
      </c>
      <c r="O184" s="225"/>
      <c r="P184" s="225"/>
      <c r="Q184" s="228"/>
      <c r="R184" s="242"/>
      <c r="S184" s="249">
        <f t="shared" si="137"/>
        <v>1</v>
      </c>
      <c r="T184" s="242" t="str">
        <f t="shared" si="142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89"/>
        <v>https://d0f6bd738d7f1b3e5a7ca70fe4ff75f0.us-east-1.aws.found.io/app/kibana#/discover/Steve-Slow-Train-Analysis-(2080s-and-2083s)?_g=(refreshInterval:(display:Off,pause:!f,section:0,value:0),time:(from:'2017-12-19T13:23:55-0700',mode:absolute,to:'2017-12-19T15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4" s="247" t="str">
        <f>IF(AA184&lt;VLOOKUP(AG184,Variables!$AC$3:$AD$8,2,FALSE),"Y","N")</f>
        <v>N</v>
      </c>
      <c r="X184" s="247">
        <f t="shared" si="138"/>
        <v>1</v>
      </c>
      <c r="Y184" s="247">
        <f t="shared" si="143"/>
        <v>5.8620999999999999</v>
      </c>
      <c r="Z184" s="247">
        <f t="shared" si="144"/>
        <v>1.6199999999999999E-2</v>
      </c>
      <c r="AA184" s="247">
        <f t="shared" si="145"/>
        <v>5.8458999999999994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146"/>
        <v>824</v>
      </c>
      <c r="AE184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84" s="234" t="str">
        <f t="shared" si="91"/>
        <v>"C:\Program Files (x86)\AstroGrep\AstroGrep.exe" /e /r /s /spath="%USERPROFILE%\AppData\Local\Temp\OnboardLogs" /stypes="app*4057*20171219*" /stext=" 21:.+((SYSTEM_STATE.+slice.+state.+changed )|(ment ac)|(multiple cpu faults)|(system.+state.+changed )|(\[timeout)|(PRM\|1\|D)|(kpr)|(kdp)|(train st.+moving)|(\|gpps)|(penalty))"</v>
      </c>
      <c r="AG184" s="244" t="str">
        <f t="shared" si="147"/>
        <v>NW</v>
      </c>
      <c r="AH184" s="236" t="str">
        <f t="shared" si="92"/>
        <v>"%USERPROFILE%\Documents\GitHub\eaglep3\Utilities\RefineRTDCRunTimes.py" --tripid 824-19 --locoid 4057 --swversion DE.1.0.9.0 --startMP 300:58621 --initTime 2017-12-19T14:23:55 --startdatetime 2017-12-19T14:42:00 --delay 58 --endMP 204:162 --enddatetime 2017-12-19T14:55:09 --enforcementcount 0 &gt;&gt;%USERPROFILE%\Documents\GitHub\eaglep3-reporting\EC\2017-12-19-refined-times.txt</v>
      </c>
      <c r="AI184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{"issue":{"subject":"","project_id":79,"tracker_id":40,"status_id":1,"priority_id":2,"assigned_to_id":338,"start_date":"2017-12-19","description":"","custom_fields":[{"id":1,"name":"Subdivision","value":"NW"},{"id":4,"name":"Milepost","value":"0.0162"},{"id":17,"name":"Train ID","value":"824-19"},{"id":16,"name":"Locomotive ID","value":"4057"},{"id":130,"name":"Impact","value":""},{"id":150,"name":"Time of Event (Mountain Time)","value":"14:55:09"},{"id":151,"name":"Denver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94"/>
        <v>start /low /b %USERPROFILE%\Documents\GitHub\eaglep3\Utilities\DownloadLogsFromS3.py --loco 4057 --day 2017-12-19</v>
      </c>
      <c r="AN184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96"/>
        <v>https://d0f6bd738d7f1b3e5a7ca70fe4ff75f0.us-east-1.aws.found.io/app/kibana#/discover/Steve-Slow-Train-Analysis-(2080s-and-2083s)?_g=(refreshInterval:(display:Off,pause:!f,section:0,value:0),time:(from:'2017-12-19T13:23:55-0700',mode:absolute,to:'2017-12-19T15:55:09-0700'))&amp;_a=(columns:!('Message%20ID',Summary),filters:!(),index:'emp_*',interval:auto,query:(query_string:(analyze_wildcard:!t,query:'%22rtdc.l.rtdc.4057%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821</v>
      </c>
      <c r="B185" s="225">
        <v>4058</v>
      </c>
      <c r="C185" s="227" t="s">
        <v>192</v>
      </c>
      <c r="D185" s="227" t="s">
        <v>570</v>
      </c>
      <c r="E185" s="226">
        <v>43088.623078703706</v>
      </c>
      <c r="F185" s="226">
        <v>43088.631435185183</v>
      </c>
      <c r="G185" s="225">
        <v>53</v>
      </c>
      <c r="H185" s="227" t="s">
        <v>657</v>
      </c>
      <c r="I185" s="226">
        <v>43088.64130787037</v>
      </c>
      <c r="J185" s="225">
        <v>0</v>
      </c>
      <c r="K185" s="237" t="str">
        <f t="shared" si="140"/>
        <v>4057/4058</v>
      </c>
      <c r="L185" s="245" t="str">
        <f>VLOOKUP(A185,'Trips&amp;Operators'!$C$1:$G$99911,5,FALSE)</f>
        <v>GUZMAN DANNY</v>
      </c>
      <c r="M185" s="224">
        <f t="shared" si="141"/>
        <v>9.8726851865649223E-3</v>
      </c>
      <c r="N185" s="225">
        <f t="shared" si="139"/>
        <v>14.216666668653488</v>
      </c>
      <c r="O185" s="225"/>
      <c r="P185" s="225"/>
      <c r="Q185" s="228"/>
      <c r="R185" s="242"/>
      <c r="S185" s="249">
        <f t="shared" si="137"/>
        <v>1</v>
      </c>
      <c r="T185" s="242" t="str">
        <f t="shared" si="142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89"/>
        <v>https://d0f6bd738d7f1b3e5a7ca70fe4ff75f0.us-east-1.aws.found.io/app/kibana#/discover/Steve-Slow-Train-Analysis-(2080s-and-2083s)?_g=(refreshInterval:(display:Off,pause:!f,section:0,value:0),time:(from:'2017-12-19T13:57:14-0700',mode:absolute,to:'2017-12-19T16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5" s="247" t="str">
        <f>IF(AA185&lt;VLOOKUP(AG185,Variables!$AC$3:$AD$8,2,FALSE),"Y","N")</f>
        <v>N</v>
      </c>
      <c r="X185" s="247">
        <f t="shared" si="138"/>
        <v>1</v>
      </c>
      <c r="Y185" s="247">
        <f t="shared" si="143"/>
        <v>4.48E-2</v>
      </c>
      <c r="Z185" s="247">
        <f t="shared" si="144"/>
        <v>5.8935000000000004</v>
      </c>
      <c r="AA185" s="247">
        <f t="shared" si="145"/>
        <v>5.8487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146"/>
        <v>825</v>
      </c>
      <c r="AE185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85" s="234" t="str">
        <f t="shared" si="91"/>
        <v>"C:\Program Files (x86)\AstroGrep\AstroGrep.exe" /e /r /s /spath="%USERPROFILE%\AppData\Local\Temp\OnboardLogs" /stypes="app*4058*20171219*" /stext=" 22:.+((SYSTEM_STATE.+slice.+state.+changed )|(ment ac)|(multiple cpu faults)|(system.+state.+changed )|(\[timeout)|(PRM\|1\|D)|(kpr)|(kdp)|(train st.+moving)|(\|gpps)|(penalty))"</v>
      </c>
      <c r="AG185" s="244" t="str">
        <f t="shared" si="147"/>
        <v>NW</v>
      </c>
      <c r="AH185" s="236" t="str">
        <f t="shared" si="92"/>
        <v>"%USERPROFILE%\Documents\GitHub\eaglep3\Utilities\RefineRTDCRunTimes.py" --tripid 825-19 --locoid 4058 --swversion DE.1.0.9.0 --startMP 204:448 --initTime 2017-12-19T14:57:14 --startdatetime 2017-12-19T15:09:16 --delay 53 --endMP 300:58935 --enddatetime 2017-12-19T15:23:29 --enforcementcount 0 &gt;&gt;%USERPROFILE%\Documents\GitHub\eaglep3-reporting\EC\2017-12-19-refined-times.txt</v>
      </c>
      <c r="AI185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{"issue":{"subject":"","project_id":79,"tracker_id":40,"status_id":1,"priority_id":2,"assigned_to_id":338,"start_date":"2017-12-19","description":"","custom_fields":[{"id":1,"name":"Subdivision","value":"NW"},{"id":4,"name":"Milepost","value":"5.8935"},{"id":17,"name":"Train ID","value":"825-19"},{"id":16,"name":"Locomotive ID","value":"4058"},{"id":130,"name":"Impact","value":""},{"id":150,"name":"Time of Event (Mountain Time)","value":"15:23:29"},{"id":151,"name":"Denver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94"/>
        <v>start /low /b %USERPROFILE%\Documents\GitHub\eaglep3\Utilities\DownloadLogsFromS3.py --loco 4058 --day 2017-12-19</v>
      </c>
      <c r="AN185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96"/>
        <v>https://d0f6bd738d7f1b3e5a7ca70fe4ff75f0.us-east-1.aws.found.io/app/kibana#/discover/Steve-Slow-Train-Analysis-(2080s-and-2083s)?_g=(refreshInterval:(display:Off,pause:!f,section:0,value:0),time:(from:'2017-12-19T13:57:14-0700',mode:absolute,to:'2017-12-19T16:23:29-0700'))&amp;_a=(columns:!('Message%20ID',Summary),filters:!(),index:'emp_*',interval:auto,query:(query_string:(analyze_wildcard:!t,query:'%22rtdc.l.rtdc.4058%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827</v>
      </c>
      <c r="B186" s="225">
        <v>4057</v>
      </c>
      <c r="C186" s="227" t="s">
        <v>192</v>
      </c>
      <c r="D186" s="227" t="s">
        <v>670</v>
      </c>
      <c r="E186" s="226">
        <v>43088.642245370371</v>
      </c>
      <c r="F186" s="226">
        <v>43088.654166666667</v>
      </c>
      <c r="G186" s="225">
        <v>52</v>
      </c>
      <c r="H186" s="227" t="s">
        <v>590</v>
      </c>
      <c r="I186" s="226">
        <v>43088.66337962963</v>
      </c>
      <c r="J186" s="225">
        <v>0</v>
      </c>
      <c r="K186" s="237" t="str">
        <f t="shared" si="140"/>
        <v>4057/4058</v>
      </c>
      <c r="L186" s="245" t="str">
        <f>VLOOKUP(A186,'Trips&amp;Operators'!$C$1:$G$99911,5,FALSE)</f>
        <v>GUZMAN DANNY</v>
      </c>
      <c r="M186" s="224">
        <f t="shared" si="141"/>
        <v>9.2129629629198462E-3</v>
      </c>
      <c r="N186" s="225">
        <f t="shared" si="139"/>
        <v>13.266666666604578</v>
      </c>
      <c r="O186" s="225"/>
      <c r="P186" s="225"/>
      <c r="Q186" s="228"/>
      <c r="R186" s="242"/>
      <c r="S186" s="249">
        <f t="shared" si="137"/>
        <v>1</v>
      </c>
      <c r="T186" s="242" t="str">
        <f t="shared" si="142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89"/>
        <v>https://d0f6bd738d7f1b3e5a7ca70fe4ff75f0.us-east-1.aws.found.io/app/kibana#/discover/Steve-Slow-Train-Analysis-(2080s-and-2083s)?_g=(refreshInterval:(display:Off,pause:!f,section:0,value:0),time:(from:'2017-12-19T14:24:50-0700',mode:absolute,to:'2017-12-19T16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6" s="247" t="str">
        <f>IF(AA186&lt;VLOOKUP(AG186,Variables!$AC$3:$AD$8,2,FALSE),"Y","N")</f>
        <v>N</v>
      </c>
      <c r="X186" s="247">
        <f t="shared" si="138"/>
        <v>1</v>
      </c>
      <c r="Y186" s="247">
        <f t="shared" si="143"/>
        <v>5.8616999999999999</v>
      </c>
      <c r="Z186" s="247">
        <f t="shared" si="144"/>
        <v>1.26E-2</v>
      </c>
      <c r="AA186" s="247">
        <f t="shared" si="145"/>
        <v>5.8491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146"/>
        <v>826</v>
      </c>
      <c r="AE186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86" s="234" t="str">
        <f t="shared" si="91"/>
        <v>"C:\Program Files (x86)\AstroGrep\AstroGrep.exe" /e /r /s /spath="%USERPROFILE%\AppData\Local\Temp\OnboardLogs" /stypes="app*4057*20171219*" /stext=" 22:.+((SYSTEM_STATE.+slice.+state.+changed )|(ment ac)|(multiple cpu faults)|(system.+state.+changed )|(\[timeout)|(PRM\|1\|D)|(kpr)|(kdp)|(train st.+moving)|(\|gpps)|(penalty))"</v>
      </c>
      <c r="AG186" s="244" t="str">
        <f t="shared" si="147"/>
        <v>NW</v>
      </c>
      <c r="AH186" s="236" t="str">
        <f t="shared" si="92"/>
        <v>"%USERPROFILE%\Documents\GitHub\eaglep3\Utilities\RefineRTDCRunTimes.py" --tripid 826-19 --locoid 4057 --swversion DE.1.0.9.0 --startMP 300:58617 --initTime 2017-12-19T15:24:50 --startdatetime 2017-12-19T15:42:00 --delay 52 --endMP 204:126 --enddatetime 2017-12-19T15:55:16 --enforcementcount 0 &gt;&gt;%USERPROFILE%\Documents\GitHub\eaglep3-reporting\EC\2017-12-19-refined-times.txt</v>
      </c>
      <c r="AI186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{"issue":{"subject":"","project_id":79,"tracker_id":40,"status_id":1,"priority_id":2,"assigned_to_id":338,"start_date":"2017-12-19","description":"","custom_fields":[{"id":1,"name":"Subdivision","value":"NW"},{"id":4,"name":"Milepost","value":"0.0126"},{"id":17,"name":"Train ID","value":"826-19"},{"id":16,"name":"Locomotive ID","value":"4057"},{"id":130,"name":"Impact","value":""},{"id":150,"name":"Time of Event (Mountain Time)","value":"15:55:16"},{"id":151,"name":"Denver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94"/>
        <v>start /low /b %USERPROFILE%\Documents\GitHub\eaglep3\Utilities\DownloadLogsFromS3.py --loco 4057 --day 2017-12-19</v>
      </c>
      <c r="AN186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96"/>
        <v>https://d0f6bd738d7f1b3e5a7ca70fe4ff75f0.us-east-1.aws.found.io/app/kibana#/discover/Steve-Slow-Train-Analysis-(2080s-and-2083s)?_g=(refreshInterval:(display:Off,pause:!f,section:0,value:0),time:(from:'2017-12-19T14:24:50-0700',mode:absolute,to:'2017-12-19T16:55:16-0700'))&amp;_a=(columns:!('Message%20ID',Summary),filters:!(),index:'emp_*',interval:auto,query:(query_string:(analyze_wildcard:!t,query:'%22rtdc.l.rtdc.4057%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828</v>
      </c>
      <c r="B187" s="225">
        <v>4022</v>
      </c>
      <c r="C187" s="227" t="s">
        <v>192</v>
      </c>
      <c r="D187" s="227" t="s">
        <v>499</v>
      </c>
      <c r="E187" s="226">
        <v>43088.649571759262</v>
      </c>
      <c r="F187" s="226">
        <v>43088.652372685188</v>
      </c>
      <c r="G187" s="225">
        <v>67</v>
      </c>
      <c r="H187" s="227" t="s">
        <v>1046</v>
      </c>
      <c r="I187" s="226">
        <v>43088.66238425926</v>
      </c>
      <c r="J187" s="225">
        <v>0</v>
      </c>
      <c r="K187" s="237" t="str">
        <f t="shared" si="140"/>
        <v>4021/4022</v>
      </c>
      <c r="L187" s="245" t="str">
        <f>VLOOKUP(A187,'Trips&amp;Operators'!$C$1:$G$99911,5,FALSE)</f>
        <v>STAMBAUGH JAMES</v>
      </c>
      <c r="M187" s="224">
        <f t="shared" si="141"/>
        <v>1.0011574071540963E-2</v>
      </c>
      <c r="N187" s="225">
        <f t="shared" si="139"/>
        <v>14.416666663018987</v>
      </c>
      <c r="O187" s="225"/>
      <c r="P187" s="225"/>
      <c r="Q187" s="228"/>
      <c r="R187" s="242"/>
      <c r="S187" s="249">
        <f t="shared" si="137"/>
        <v>1</v>
      </c>
      <c r="T187" s="242" t="str">
        <f t="shared" si="142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89"/>
        <v>https://d0f6bd738d7f1b3e5a7ca70fe4ff75f0.us-east-1.aws.found.io/app/kibana#/discover/Steve-Slow-Train-Analysis-(2080s-and-2083s)?_g=(refreshInterval:(display:Off,pause:!f,section:0,value:0),time:(from:'2017-12-19T14:35:23-0700',mode:absolute,to:'2017-12-19T16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247" t="str">
        <f>IF(AA187&lt;VLOOKUP(AG187,Variables!$AC$3:$AD$8,2,FALSE),"Y","N")</f>
        <v>N</v>
      </c>
      <c r="X187" s="247">
        <f t="shared" si="138"/>
        <v>1</v>
      </c>
      <c r="Y187" s="247">
        <f t="shared" si="143"/>
        <v>4.4200000000000003E-2</v>
      </c>
      <c r="Z187" s="247">
        <f t="shared" si="144"/>
        <v>5.9013999999999998</v>
      </c>
      <c r="AA187" s="247">
        <f t="shared" si="145"/>
        <v>5.8571999999999997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146"/>
        <v>827</v>
      </c>
      <c r="AE187" s="235" t="str">
        <f t="shared" si="90"/>
        <v>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 &amp; 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</v>
      </c>
      <c r="AF187" s="234" t="str">
        <f t="shared" si="91"/>
        <v>"C:\Program Files (x86)\AstroGrep\AstroGrep.exe" /e /r /s /spath="%USERPROFILE%\AppData\Local\Temp\OnboardLogs" /stypes="app*4022*20171219*" /stext=" 22:.+((SYSTEM_STATE.+slice.+state.+changed )|(ment ac)|(multiple cpu faults)|(system.+state.+changed )|(\[timeout)|(PRM\|1\|D)|(kpr)|(kdp)|(train st.+moving)|(\|gpps)|(penalty))"</v>
      </c>
      <c r="AG187" s="244" t="str">
        <f t="shared" si="147"/>
        <v>NW</v>
      </c>
      <c r="AH187" s="236" t="str">
        <f t="shared" si="92"/>
        <v>"%USERPROFILE%\Documents\GitHub\eaglep3\Utilities\RefineRTDCRunTimes.py" --tripid 827-19 --locoid 4022 --swversion DE.1.0.9.0 --startMP 204:442 --initTime 2017-12-19T15:35:23 --startdatetime 2017-12-19T15:39:25 --delay 67 --endMP 300:59014 --enddatetime 2017-12-19T15:53:50 --enforcementcount 0 &gt;&gt;%USERPROFILE%\Documents\GitHub\eaglep3-reporting\EC\2017-12-19-refined-times.txt</v>
      </c>
      <c r="AI187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{"issue":{"subject":"","project_id":79,"tracker_id":40,"status_id":1,"priority_id":2,"assigned_to_id":338,"start_date":"2017-12-19","description":"","custom_fields":[{"id":1,"name":"Subdivision","value":"NW"},{"id":4,"name":"Milepost","value":"5.9014"},{"id":17,"name":"Train ID","value":"827-19"},{"id":16,"name":"Locomotive ID","value":"4022"},{"id":130,"name":"Impact","value":""},{"id":150,"name":"Time of Event (Mountain Time)","value":"15:53:50"},{"id":151,"name":"Denver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94"/>
        <v>start /low /b %USERPROFILE%\Documents\GitHub\eaglep3\Utilities\DownloadLogsFromS3.py --loco 4022 --day 2017-12-19</v>
      </c>
      <c r="AN187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96"/>
        <v>https://d0f6bd738d7f1b3e5a7ca70fe4ff75f0.us-east-1.aws.found.io/app/kibana#/discover/Steve-Slow-Train-Analysis-(2080s-and-2083s)?_g=(refreshInterval:(display:Off,pause:!f,section:0,value:0),time:(from:'2017-12-19T14:35:23-0700',mode:absolute,to:'2017-12-19T16:53:50-0700'))&amp;_a=(columns:!('Message%20ID',Summary),filters:!(),index:'emp_*',interval:auto,query:(query_string:(analyze_wildcard:!t,query:'%22rtdc.l.rtdc.4022%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25">
      <c r="A188" s="229" t="s">
        <v>831</v>
      </c>
      <c r="B188" s="225">
        <v>4021</v>
      </c>
      <c r="C188" s="227" t="s">
        <v>192</v>
      </c>
      <c r="D188" s="227" t="s">
        <v>1086</v>
      </c>
      <c r="E188" s="226">
        <v>43088.663773148146</v>
      </c>
      <c r="F188" s="226">
        <v>43088.675000000003</v>
      </c>
      <c r="G188" s="225">
        <v>56</v>
      </c>
      <c r="H188" s="227" t="s">
        <v>666</v>
      </c>
      <c r="I188" s="226">
        <v>43088.683981481481</v>
      </c>
      <c r="J188" s="225">
        <v>0</v>
      </c>
      <c r="K188" s="237" t="str">
        <f t="shared" si="140"/>
        <v>4021/4022</v>
      </c>
      <c r="L188" s="245" t="str">
        <f>VLOOKUP(A188,'Trips&amp;Operators'!$C$1:$G$99911,5,FALSE)</f>
        <v>STAMBAUGH JAMES</v>
      </c>
      <c r="M188" s="224">
        <f t="shared" si="141"/>
        <v>8.9814814782585017E-3</v>
      </c>
      <c r="N188" s="225">
        <f t="shared" si="139"/>
        <v>12.933333328692243</v>
      </c>
      <c r="O188" s="225"/>
      <c r="P188" s="225"/>
      <c r="Q188" s="228"/>
      <c r="R188" s="242"/>
      <c r="S188" s="249">
        <f t="shared" si="137"/>
        <v>1</v>
      </c>
      <c r="T188" s="242" t="str">
        <f t="shared" si="142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89"/>
        <v>https://d0f6bd738d7f1b3e5a7ca70fe4ff75f0.us-east-1.aws.found.io/app/kibana#/discover/Steve-Slow-Train-Analysis-(2080s-and-2083s)?_g=(refreshInterval:(display:Off,pause:!f,section:0,value:0),time:(from:'2017-12-19T14:55:50-0700',mode:absolute,to:'2017-12-19T17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247" t="str">
        <f>IF(AA188&lt;VLOOKUP(AG188,Variables!$AC$3:$AD$8,2,FALSE),"Y","N")</f>
        <v>N</v>
      </c>
      <c r="X188" s="247">
        <f t="shared" si="138"/>
        <v>1</v>
      </c>
      <c r="Y188" s="247">
        <f t="shared" si="143"/>
        <v>5.8707000000000003</v>
      </c>
      <c r="Z188" s="247">
        <f t="shared" si="144"/>
        <v>1.3299999999999999E-2</v>
      </c>
      <c r="AA188" s="247">
        <f t="shared" si="145"/>
        <v>5.8574000000000002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146"/>
        <v>828</v>
      </c>
      <c r="AE188" s="235" t="str">
        <f t="shared" si="90"/>
        <v>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 &amp; 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</v>
      </c>
      <c r="AF188" s="234" t="str">
        <f t="shared" si="91"/>
        <v>"C:\Program Files (x86)\AstroGrep\AstroGrep.exe" /e /r /s /spath="%USERPROFILE%\AppData\Local\Temp\OnboardLogs" /stypes="app*4021*20171219*" /stext=" 23:.+((SYSTEM_STATE.+slice.+state.+changed )|(ment ac)|(multiple cpu faults)|(system.+state.+changed )|(\[timeout)|(PRM\|1\|D)|(kpr)|(kdp)|(train st.+moving)|(\|gpps)|(penalty))"</v>
      </c>
      <c r="AG188" s="244" t="str">
        <f t="shared" si="147"/>
        <v>NW</v>
      </c>
      <c r="AH188" s="236" t="str">
        <f t="shared" si="92"/>
        <v>"%USERPROFILE%\Documents\GitHub\eaglep3\Utilities\RefineRTDCRunTimes.py" --tripid 828-19 --locoid 4021 --swversion DE.1.0.9.0 --startMP 300:58707 --initTime 2017-12-19T15:55:50 --startdatetime 2017-12-19T16:12:00 --delay 56 --endMP 204:133 --enddatetime 2017-12-19T16:24:56 --enforcementcount 0 &gt;&gt;%USERPROFILE%\Documents\GitHub\eaglep3-reporting\EC\2017-12-19-refined-times.txt</v>
      </c>
      <c r="AI188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{"issue":{"subject":"","project_id":79,"tracker_id":40,"status_id":1,"priority_id":2,"assigned_to_id":338,"start_date":"2017-12-19","description":"","custom_fields":[{"id":1,"name":"Subdivision","value":"NW"},{"id":4,"name":"Milepost","value":"0.0133"},{"id":17,"name":"Train ID","value":"828-19"},{"id":16,"name":"Locomotive ID","value":"4021"},{"id":130,"name":"Impact","value":""},{"id":150,"name":"Time of Event (Mountain Time)","value":"16:24:56"},{"id":151,"name":"Denver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94"/>
        <v>start /low /b %USERPROFILE%\Documents\GitHub\eaglep3\Utilities\DownloadLogsFromS3.py --loco 4021 --day 2017-12-19</v>
      </c>
      <c r="AN188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96"/>
        <v>https://d0f6bd738d7f1b3e5a7ca70fe4ff75f0.us-east-1.aws.found.io/app/kibana#/discover/Steve-Slow-Train-Analysis-(2080s-and-2083s)?_g=(refreshInterval:(display:Off,pause:!f,section:0,value:0),time:(from:'2017-12-19T14:55:50-0700',mode:absolute,to:'2017-12-19T17:24:56-0700'))&amp;_a=(columns:!('Message%20ID',Summary),filters:!(),index:'emp_*',interval:auto,query:(query_string:(analyze_wildcard:!t,query:'%22rtdc.l.rtdc.4021%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25">
      <c r="A189" s="229" t="s">
        <v>833</v>
      </c>
      <c r="B189" s="225">
        <v>4058</v>
      </c>
      <c r="C189" s="227" t="s">
        <v>192</v>
      </c>
      <c r="D189" s="227" t="s">
        <v>1047</v>
      </c>
      <c r="E189" s="226">
        <v>43088.66684027778</v>
      </c>
      <c r="F189" s="226">
        <v>43088.673101851855</v>
      </c>
      <c r="G189" s="225">
        <v>58</v>
      </c>
      <c r="H189" s="227" t="s">
        <v>657</v>
      </c>
      <c r="I189" s="226">
        <v>43088.682939814818</v>
      </c>
      <c r="J189" s="225">
        <v>0</v>
      </c>
      <c r="K189" s="237" t="str">
        <f t="shared" si="140"/>
        <v>4057/4058</v>
      </c>
      <c r="L189" s="245" t="str">
        <f>VLOOKUP(A189,'Trips&amp;Operators'!$C$1:$G$99911,5,FALSE)</f>
        <v>GUZMAN DANNY</v>
      </c>
      <c r="M189" s="224">
        <f t="shared" si="141"/>
        <v>9.8379629635019228E-3</v>
      </c>
      <c r="N189" s="225">
        <f t="shared" si="139"/>
        <v>14.166666667442769</v>
      </c>
      <c r="O189" s="225"/>
      <c r="P189" s="225"/>
      <c r="Q189" s="228"/>
      <c r="R189" s="242"/>
      <c r="S189" s="249">
        <f t="shared" si="137"/>
        <v>1</v>
      </c>
      <c r="T189" s="242" t="str">
        <f t="shared" si="142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89"/>
        <v>https://d0f6bd738d7f1b3e5a7ca70fe4ff75f0.us-east-1.aws.found.io/app/kibana#/discover/Steve-Slow-Train-Analysis-(2080s-and-2083s)?_g=(refreshInterval:(display:Off,pause:!f,section:0,value:0),time:(from:'2017-12-19T15:00:15-0700',mode:absolute,to:'2017-12-19T17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9" s="247" t="str">
        <f>IF(AA189&lt;VLOOKUP(AG189,Variables!$AC$3:$AD$8,2,FALSE),"Y","N")</f>
        <v>N</v>
      </c>
      <c r="X189" s="247">
        <f t="shared" si="138"/>
        <v>1</v>
      </c>
      <c r="Y189" s="247">
        <f t="shared" si="143"/>
        <v>4.2799999999999998E-2</v>
      </c>
      <c r="Z189" s="247">
        <f t="shared" si="144"/>
        <v>5.8935000000000004</v>
      </c>
      <c r="AA189" s="247">
        <f t="shared" si="145"/>
        <v>5.8507000000000007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146"/>
        <v>829</v>
      </c>
      <c r="AE189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89" s="234" t="str">
        <f t="shared" si="91"/>
        <v>"C:\Program Files (x86)\AstroGrep\AstroGrep.exe" /e /r /s /spath="%USERPROFILE%\AppData\Local\Temp\OnboardLogs" /stypes="app*4058*20171219*" /stext=" 23:.+((SYSTEM_STATE.+slice.+state.+changed )|(ment ac)|(multiple cpu faults)|(system.+state.+changed )|(\[timeout)|(PRM\|1\|D)|(kpr)|(kdp)|(train st.+moving)|(\|gpps)|(penalty))"</v>
      </c>
      <c r="AG189" s="244" t="str">
        <f t="shared" si="147"/>
        <v>NW</v>
      </c>
      <c r="AH189" s="236" t="str">
        <f t="shared" si="92"/>
        <v>"%USERPROFILE%\Documents\GitHub\eaglep3\Utilities\RefineRTDCRunTimes.py" --tripid 829-19 --locoid 4058 --swversion DE.1.0.9.0 --startMP 204:428 --initTime 2017-12-19T16:00:15 --startdatetime 2017-12-19T16:09:16 --delay 58 --endMP 300:58935 --enddatetime 2017-12-19T16:23:26 --enforcementcount 0 &gt;&gt;%USERPROFILE%\Documents\GitHub\eaglep3-reporting\EC\2017-12-19-refined-times.txt</v>
      </c>
      <c r="AI189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{"issue":{"subject":"","project_id":79,"tracker_id":40,"status_id":1,"priority_id":2,"assigned_to_id":338,"start_date":"2017-12-19","description":"","custom_fields":[{"id":1,"name":"Subdivision","value":"NW"},{"id":4,"name":"Milepost","value":"5.8935"},{"id":17,"name":"Train ID","value":"829-19"},{"id":16,"name":"Locomotive ID","value":"4058"},{"id":130,"name":"Impact","value":""},{"id":150,"name":"Time of Event (Mountain Time)","value":"16:23:26"},{"id":151,"name":"Denver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94"/>
        <v>start /low /b %USERPROFILE%\Documents\GitHub\eaglep3\Utilities\DownloadLogsFromS3.py --loco 4058 --day 2017-12-19</v>
      </c>
      <c r="AN189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96"/>
        <v>https://d0f6bd738d7f1b3e5a7ca70fe4ff75f0.us-east-1.aws.found.io/app/kibana#/discover/Steve-Slow-Train-Analysis-(2080s-and-2083s)?_g=(refreshInterval:(display:Off,pause:!f,section:0,value:0),time:(from:'2017-12-19T15:00:15-0700',mode:absolute,to:'2017-12-19T17:23:26-0700'))&amp;_a=(columns:!('Message%20ID',Summary),filters:!(),index:'emp_*',interval:auto,query:(query_string:(analyze_wildcard:!t,query:'%22rtdc.l.rtdc.4058%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840</v>
      </c>
      <c r="B190" s="225">
        <v>4057</v>
      </c>
      <c r="C190" s="227" t="s">
        <v>192</v>
      </c>
      <c r="D190" s="227" t="s">
        <v>670</v>
      </c>
      <c r="E190" s="226">
        <v>43088.683877314812</v>
      </c>
      <c r="F190" s="226">
        <v>43088.695833333331</v>
      </c>
      <c r="G190" s="225">
        <v>55</v>
      </c>
      <c r="H190" s="227" t="s">
        <v>1037</v>
      </c>
      <c r="I190" s="226">
        <v>43088.705081018517</v>
      </c>
      <c r="J190" s="225">
        <v>0</v>
      </c>
      <c r="K190" s="237" t="str">
        <f t="shared" si="140"/>
        <v>4057/4058</v>
      </c>
      <c r="L190" s="245" t="str">
        <f>VLOOKUP(A190,'Trips&amp;Operators'!$C$1:$G$99911,5,FALSE)</f>
        <v>GUZMAN DANNY</v>
      </c>
      <c r="M190" s="224">
        <f t="shared" si="141"/>
        <v>9.2476851859828457E-3</v>
      </c>
      <c r="N190" s="225">
        <f t="shared" si="139"/>
        <v>13.316666667815298</v>
      </c>
      <c r="O190" s="225"/>
      <c r="P190" s="225"/>
      <c r="Q190" s="228"/>
      <c r="R190" s="242"/>
      <c r="S190" s="249">
        <f t="shared" si="137"/>
        <v>1</v>
      </c>
      <c r="T190" s="242" t="str">
        <f t="shared" si="142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89"/>
        <v>https://d0f6bd738d7f1b3e5a7ca70fe4ff75f0.us-east-1.aws.found.io/app/kibana#/discover/Steve-Slow-Train-Analysis-(2080s-and-2083s)?_g=(refreshInterval:(display:Off,pause:!f,section:0,value:0),time:(from:'2017-12-19T15:24:47-0700',mode:absolute,to:'2017-12-19T17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0" s="247" t="str">
        <f>IF(AA190&lt;VLOOKUP(AG190,Variables!$AC$3:$AD$8,2,FALSE),"Y","N")</f>
        <v>N</v>
      </c>
      <c r="X190" s="247">
        <f t="shared" si="138"/>
        <v>1</v>
      </c>
      <c r="Y190" s="247">
        <f t="shared" si="143"/>
        <v>5.8616999999999999</v>
      </c>
      <c r="Z190" s="247">
        <f t="shared" si="144"/>
        <v>1.37E-2</v>
      </c>
      <c r="AA190" s="247">
        <f t="shared" si="145"/>
        <v>5.8479999999999999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146"/>
        <v>830</v>
      </c>
      <c r="AE190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90" s="234" t="str">
        <f t="shared" si="91"/>
        <v>"C:\Program Files (x86)\AstroGrep\AstroGrep.exe" /e /r /s /spath="%USERPROFILE%\AppData\Local\Temp\OnboardLogs" /stypes="app*4057*20171219*" /stext=" 23:.+((SYSTEM_STATE.+slice.+state.+changed )|(ment ac)|(multiple cpu faults)|(system.+state.+changed )|(\[timeout)|(PRM\|1\|D)|(kpr)|(kdp)|(train st.+moving)|(\|gpps)|(penalty))"</v>
      </c>
      <c r="AG190" s="244" t="str">
        <f t="shared" si="147"/>
        <v>NW</v>
      </c>
      <c r="AH190" s="236" t="str">
        <f t="shared" si="92"/>
        <v>"%USERPROFILE%\Documents\GitHub\eaglep3\Utilities\RefineRTDCRunTimes.py" --tripid 830-19 --locoid 4057 --swversion DE.1.0.9.0 --startMP 300:58617 --initTime 2017-12-19T16:24:47 --startdatetime 2017-12-19T16:42:00 --delay 55 --endMP 204:137 --enddatetime 2017-12-19T16:55:19 --enforcementcount 0 &gt;&gt;%USERPROFILE%\Documents\GitHub\eaglep3-reporting\EC\2017-12-19-refined-times.txt</v>
      </c>
      <c r="AI190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{"issue":{"subject":"","project_id":79,"tracker_id":40,"status_id":1,"priority_id":2,"assigned_to_id":338,"start_date":"2017-12-19","description":"","custom_fields":[{"id":1,"name":"Subdivision","value":"NW"},{"id":4,"name":"Milepost","value":"0.0137"},{"id":17,"name":"Train ID","value":"830-19"},{"id":16,"name":"Locomotive ID","value":"4057"},{"id":130,"name":"Impact","value":""},{"id":150,"name":"Time of Event (Mountain Time)","value":"16:55:19"},{"id":151,"name":"Denver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94"/>
        <v>start /low /b %USERPROFILE%\Documents\GitHub\eaglep3\Utilities\DownloadLogsFromS3.py --loco 4057 --day 2017-12-19</v>
      </c>
      <c r="AN190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96"/>
        <v>https://d0f6bd738d7f1b3e5a7ca70fe4ff75f0.us-east-1.aws.found.io/app/kibana#/discover/Steve-Slow-Train-Analysis-(2080s-and-2083s)?_g=(refreshInterval:(display:Off,pause:!f,section:0,value:0),time:(from:'2017-12-19T15:24:47-0700',mode:absolute,to:'2017-12-19T17:55:19-0700'))&amp;_a=(columns:!('Message%20ID',Summary),filters:!(),index:'emp_*',interval:auto,query:(query_string:(analyze_wildcard:!t,query:'%22rtdc.l.rtdc.4057%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842</v>
      </c>
      <c r="B191" s="225">
        <v>4022</v>
      </c>
      <c r="C191" s="227" t="s">
        <v>192</v>
      </c>
      <c r="D191" s="227" t="s">
        <v>571</v>
      </c>
      <c r="E191" s="226">
        <v>43088.69153935185</v>
      </c>
      <c r="F191" s="226">
        <v>43088.694085648145</v>
      </c>
      <c r="G191" s="225">
        <v>57</v>
      </c>
      <c r="H191" s="227" t="s">
        <v>1087</v>
      </c>
      <c r="I191" s="226">
        <v>43088.70349537037</v>
      </c>
      <c r="J191" s="225">
        <v>0</v>
      </c>
      <c r="K191" s="237" t="str">
        <f t="shared" si="140"/>
        <v>4021/4022</v>
      </c>
      <c r="L191" s="245" t="str">
        <f>VLOOKUP(A191,'Trips&amp;Operators'!$C$1:$G$99911,5,FALSE)</f>
        <v>STAMBAUGH JAMES</v>
      </c>
      <c r="M191" s="224">
        <f t="shared" si="141"/>
        <v>9.4097222245181911E-3</v>
      </c>
      <c r="N191" s="225">
        <f t="shared" si="139"/>
        <v>13.550000003306195</v>
      </c>
      <c r="O191" s="225"/>
      <c r="P191" s="225"/>
      <c r="Q191" s="228"/>
      <c r="R191" s="242"/>
      <c r="S191" s="249">
        <f t="shared" si="137"/>
        <v>1</v>
      </c>
      <c r="T191" s="242" t="str">
        <f t="shared" si="142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89"/>
        <v>https://d0f6bd738d7f1b3e5a7ca70fe4ff75f0.us-east-1.aws.found.io/app/kibana#/discover/Steve-Slow-Train-Analysis-(2080s-and-2083s)?_g=(refreshInterval:(display:Off,pause:!f,section:0,value:0),time:(from:'2017-12-19T15:35:49-0700',mode:absolute,to:'2017-12-19T17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247" t="str">
        <f>IF(AA191&lt;VLOOKUP(AG191,Variables!$AC$3:$AD$8,2,FALSE),"Y","N")</f>
        <v>N</v>
      </c>
      <c r="X191" s="247">
        <f t="shared" si="138"/>
        <v>1</v>
      </c>
      <c r="Y191" s="247">
        <f t="shared" si="143"/>
        <v>4.41E-2</v>
      </c>
      <c r="Z191" s="247">
        <f t="shared" si="144"/>
        <v>5.8939000000000004</v>
      </c>
      <c r="AA191" s="247">
        <f t="shared" si="145"/>
        <v>5.8498000000000001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146"/>
        <v>831</v>
      </c>
      <c r="AE191" s="235" t="str">
        <f t="shared" si="90"/>
        <v>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 &amp; 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</v>
      </c>
      <c r="AF191" s="234" t="str">
        <f t="shared" si="91"/>
        <v>"C:\Program Files (x86)\AstroGrep\AstroGrep.exe" /e /r /s /spath="%USERPROFILE%\AppData\Local\Temp\OnboardLogs" /stypes="app*4022*20171219*" /stext=" 23:.+((SYSTEM_STATE.+slice.+state.+changed )|(ment ac)|(multiple cpu faults)|(system.+state.+changed )|(\[timeout)|(PRM\|1\|D)|(kpr)|(kdp)|(train st.+moving)|(\|gpps)|(penalty))"</v>
      </c>
      <c r="AG191" s="244" t="str">
        <f t="shared" si="147"/>
        <v>NW</v>
      </c>
      <c r="AH191" s="236" t="str">
        <f t="shared" si="92"/>
        <v>"%USERPROFILE%\Documents\GitHub\eaglep3\Utilities\RefineRTDCRunTimes.py" --tripid 831-19 --locoid 4022 --swversion DE.1.0.9.0 --startMP 204:441 --initTime 2017-12-19T16:35:49 --startdatetime 2017-12-19T16:39:29 --delay 57 --endMP 300:58939 --enddatetime 2017-12-19T16:53:02 --enforcementcount 0 &gt;&gt;%USERPROFILE%\Documents\GitHub\eaglep3-reporting\EC\2017-12-19-refined-times.txt</v>
      </c>
      <c r="AI191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{"issue":{"subject":"","project_id":79,"tracker_id":40,"status_id":1,"priority_id":2,"assigned_to_id":338,"start_date":"2017-12-19","description":"","custom_fields":[{"id":1,"name":"Subdivision","value":"NW"},{"id":4,"name":"Milepost","value":"5.8939"},{"id":17,"name":"Train ID","value":"831-19"},{"id":16,"name":"Locomotive ID","value":"4022"},{"id":130,"name":"Impact","value":""},{"id":150,"name":"Time of Event (Mountain Time)","value":"16:53:02"},{"id":151,"name":"Denver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94"/>
        <v>start /low /b %USERPROFILE%\Documents\GitHub\eaglep3\Utilities\DownloadLogsFromS3.py --loco 4022 --day 2017-12-19</v>
      </c>
      <c r="AN191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96"/>
        <v>https://d0f6bd738d7f1b3e5a7ca70fe4ff75f0.us-east-1.aws.found.io/app/kibana#/discover/Steve-Slow-Train-Analysis-(2080s-and-2083s)?_g=(refreshInterval:(display:Off,pause:!f,section:0,value:0),time:(from:'2017-12-19T15:35:49-0700',mode:absolute,to:'2017-12-19T17:53:02-0700'))&amp;_a=(columns:!('Message%20ID',Summary),filters:!(),index:'emp_*',interval:auto,query:(query_string:(analyze_wildcard:!t,query:'%22rtdc.l.rtdc.4022%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846</v>
      </c>
      <c r="B192" s="225">
        <v>4021</v>
      </c>
      <c r="C192" s="227" t="s">
        <v>192</v>
      </c>
      <c r="D192" s="227" t="s">
        <v>1048</v>
      </c>
      <c r="E192" s="226">
        <v>43088.704386574071</v>
      </c>
      <c r="F192" s="226">
        <v>43088.716666666667</v>
      </c>
      <c r="G192" s="225">
        <v>56</v>
      </c>
      <c r="H192" s="227" t="s">
        <v>533</v>
      </c>
      <c r="I192" s="226">
        <v>43088.725763888891</v>
      </c>
      <c r="J192" s="225">
        <v>0</v>
      </c>
      <c r="K192" s="237" t="str">
        <f t="shared" si="140"/>
        <v>4021/4022</v>
      </c>
      <c r="L192" s="245" t="str">
        <f>VLOOKUP(A192,'Trips&amp;Operators'!$C$1:$G$99911,5,FALSE)</f>
        <v>STAMBAUGH JAMES</v>
      </c>
      <c r="M192" s="224">
        <f t="shared" si="141"/>
        <v>9.0972222242271528E-3</v>
      </c>
      <c r="N192" s="225">
        <f t="shared" si="139"/>
        <v>13.1000000028871</v>
      </c>
      <c r="O192" s="225"/>
      <c r="P192" s="225"/>
      <c r="Q192" s="228"/>
      <c r="R192" s="242"/>
      <c r="S192" s="249">
        <f t="shared" si="137"/>
        <v>1</v>
      </c>
      <c r="T192" s="242" t="str">
        <f t="shared" si="142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89"/>
        <v>https://d0f6bd738d7f1b3e5a7ca70fe4ff75f0.us-east-1.aws.found.io/app/kibana#/discover/Steve-Slow-Train-Analysis-(2080s-and-2083s)?_g=(refreshInterval:(display:Off,pause:!f,section:0,value:0),time:(from:'2017-12-19T15:54:19-0700',mode:absolute,to:'2017-12-19T18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247" t="str">
        <f>IF(AA192&lt;VLOOKUP(AG192,Variables!$AC$3:$AD$8,2,FALSE),"Y","N")</f>
        <v>N</v>
      </c>
      <c r="X192" s="247">
        <f t="shared" si="138"/>
        <v>1</v>
      </c>
      <c r="Y192" s="247">
        <f t="shared" si="143"/>
        <v>5.8635999999999999</v>
      </c>
      <c r="Z192" s="247">
        <f t="shared" si="144"/>
        <v>1.5800000000000002E-2</v>
      </c>
      <c r="AA192" s="247">
        <f t="shared" si="145"/>
        <v>5.8478000000000003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146"/>
        <v>832</v>
      </c>
      <c r="AE192" s="235" t="str">
        <f t="shared" si="90"/>
        <v>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 &amp; 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</v>
      </c>
      <c r="AF192" s="234" t="str">
        <f t="shared" si="91"/>
        <v>"C:\Program Files (x86)\AstroGrep\AstroGrep.exe" /e /r /s /spath="%USERPROFILE%\AppData\Local\Temp\OnboardLogs" /stypes="app*4021*20171220*" /stext=" 00:.+((SYSTEM_STATE.+slice.+state.+changed )|(ment ac)|(multiple cpu faults)|(system.+state.+changed )|(\[timeout)|(PRM\|1\|D)|(kpr)|(kdp)|(train st.+moving)|(\|gpps)|(penalty))"</v>
      </c>
      <c r="AG192" s="244" t="str">
        <f t="shared" si="147"/>
        <v>NW</v>
      </c>
      <c r="AH192" s="236" t="str">
        <f t="shared" si="92"/>
        <v>"%USERPROFILE%\Documents\GitHub\eaglep3\Utilities\RefineRTDCRunTimes.py" --tripid 832-19 --locoid 4021 --swversion DE.1.0.9.0 --startMP 300:58636 --initTime 2017-12-19T16:54:19 --startdatetime 2017-12-19T17:12:00 --delay 56 --endMP 204:158 --enddatetime 2017-12-19T17:25:06 --enforcementcount 0 &gt;&gt;%USERPROFILE%\Documents\GitHub\eaglep3-reporting\EC\2017-12-19-refined-times.txt</v>
      </c>
      <c r="AI192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{"issue":{"subject":"","project_id":79,"tracker_id":40,"status_id":1,"priority_id":2,"assigned_to_id":338,"start_date":"2017-12-19","description":"","custom_fields":[{"id":1,"name":"Subdivision","value":"NW"},{"id":4,"name":"Milepost","value":"0.0158"},{"id":17,"name":"Train ID","value":"832-19"},{"id":16,"name":"Locomotive ID","value":"4021"},{"id":130,"name":"Impact","value":""},{"id":150,"name":"Time of Event (Mountain Time)","value":"17:25:06"},{"id":151,"name":"Denver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94"/>
        <v>start /low /b %USERPROFILE%\Documents\GitHub\eaglep3\Utilities\DownloadLogsFromS3.py --loco 4021 --day 2017-12-19</v>
      </c>
      <c r="AN192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96"/>
        <v>https://d0f6bd738d7f1b3e5a7ca70fe4ff75f0.us-east-1.aws.found.io/app/kibana#/discover/Steve-Slow-Train-Analysis-(2080s-and-2083s)?_g=(refreshInterval:(display:Off,pause:!f,section:0,value:0),time:(from:'2017-12-19T15:54:19-0700',mode:absolute,to:'2017-12-19T18:25:06-0700'))&amp;_a=(columns:!('Message%20ID',Summary),filters:!(),index:'emp_*',interval:auto,query:(query_string:(analyze_wildcard:!t,query:'%22rtdc.l.rtdc.4021%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849</v>
      </c>
      <c r="B193" s="225">
        <v>4058</v>
      </c>
      <c r="C193" s="227" t="s">
        <v>192</v>
      </c>
      <c r="D193" s="227" t="s">
        <v>956</v>
      </c>
      <c r="E193" s="226">
        <v>43088.711435185185</v>
      </c>
      <c r="F193" s="226">
        <v>43088.714837962965</v>
      </c>
      <c r="G193" s="225">
        <v>58</v>
      </c>
      <c r="H193" s="227" t="s">
        <v>499</v>
      </c>
      <c r="I193" s="226">
        <v>43088.724918981483</v>
      </c>
      <c r="J193" s="225">
        <v>0</v>
      </c>
      <c r="K193" s="237" t="str">
        <f t="shared" si="140"/>
        <v>4057/4058</v>
      </c>
      <c r="L193" s="245" t="str">
        <f>VLOOKUP(A193,'Trips&amp;Operators'!$C$1:$G$99911,5,FALSE)</f>
        <v>GUZMAN DANNY</v>
      </c>
      <c r="M193" s="224">
        <f t="shared" si="141"/>
        <v>1.0081018517666962E-2</v>
      </c>
      <c r="N193" s="225">
        <f t="shared" si="139"/>
        <v>14.516666665440425</v>
      </c>
      <c r="O193" s="225"/>
      <c r="P193" s="225"/>
      <c r="Q193" s="228"/>
      <c r="R193" s="242"/>
      <c r="S193" s="249">
        <f t="shared" si="137"/>
        <v>1</v>
      </c>
      <c r="T193" s="242" t="str">
        <f t="shared" si="142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89"/>
        <v>https://d0f6bd738d7f1b3e5a7ca70fe4ff75f0.us-east-1.aws.found.io/app/kibana#/discover/Steve-Slow-Train-Analysis-(2080s-and-2083s)?_g=(refreshInterval:(display:Off,pause:!f,section:0,value:0),time:(from:'2017-12-19T16:04:28-0700',mode:absolute,to:'2017-12-19T18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3" s="247" t="str">
        <f>IF(AA193&lt;VLOOKUP(AG193,Variables!$AC$3:$AD$8,2,FALSE),"Y","N")</f>
        <v>N</v>
      </c>
      <c r="X193" s="247">
        <f t="shared" si="138"/>
        <v>1</v>
      </c>
      <c r="Y193" s="247">
        <v>4.41E-2</v>
      </c>
      <c r="Z193" s="247">
        <v>5.8939000000000004</v>
      </c>
      <c r="AA193" s="247">
        <f t="shared" si="145"/>
        <v>5.8498000000000001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146"/>
        <v>833</v>
      </c>
      <c r="AE193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93" s="234" t="str">
        <f t="shared" si="91"/>
        <v>"C:\Program Files (x86)\AstroGrep\AstroGrep.exe" /e /r /s /spath="%USERPROFILE%\AppData\Local\Temp\OnboardLogs" /stypes="app*4058*20171220*" /stext=" 00:.+((SYSTEM_STATE.+slice.+state.+changed )|(ment ac)|(multiple cpu faults)|(system.+state.+changed )|(\[timeout)|(PRM\|1\|D)|(kpr)|(kdp)|(train st.+moving)|(\|gpps)|(penalty))"</v>
      </c>
      <c r="AG193" s="244" t="str">
        <f t="shared" si="147"/>
        <v>NW</v>
      </c>
      <c r="AH193" s="236" t="str">
        <f t="shared" si="92"/>
        <v>"%USERPROFILE%\Documents\GitHub\eaglep3\Utilities\RefineRTDCRunTimes.py" --tripid 833-19 --locoid 4058 --swversion DE.1.0.9.0 --startMP 204:446 --initTime 2017-12-19T17:04:28 --startdatetime 2017-12-19T17:09:22 --delay 58 --endMP 204:442 --enddatetime 2017-12-19T17:23:53 --enforcementcount 0 &gt;&gt;%USERPROFILE%\Documents\GitHub\eaglep3-reporting\EC\2017-12-19-refined-times.txt</v>
      </c>
      <c r="AI193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{"issue":{"subject":"","project_id":79,"tracker_id":40,"status_id":1,"priority_id":2,"assigned_to_id":338,"start_date":"2017-12-19","description":"","custom_fields":[{"id":1,"name":"Subdivision","value":"NW"},{"id":4,"name":"Milepost","value":"5.8939"},{"id":17,"name":"Train ID","value":"833-19"},{"id":16,"name":"Locomotive ID","value":"4058"},{"id":130,"name":"Impact","value":""},{"id":150,"name":"Time of Event (Mountain Time)","value":"17:23:53"},{"id":151,"name":"Denver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94"/>
        <v>start /low /b %USERPROFILE%\Documents\GitHub\eaglep3\Utilities\DownloadLogsFromS3.py --loco 4058 --day 2017-12-19</v>
      </c>
      <c r="AN193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96"/>
        <v>https://d0f6bd738d7f1b3e5a7ca70fe4ff75f0.us-east-1.aws.found.io/app/kibana#/discover/Steve-Slow-Train-Analysis-(2080s-and-2083s)?_g=(refreshInterval:(display:Off,pause:!f,section:0,value:0),time:(from:'2017-12-19T16:04:28-0700',mode:absolute,to:'2017-12-19T18:23:53-0700'))&amp;_a=(columns:!('Message%20ID',Summary),filters:!(),index:'emp_*',interval:auto,query:(query_string:(analyze_wildcard:!t,query:'%22rtdc.l.rtdc.4058%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852</v>
      </c>
      <c r="B194" s="225">
        <v>4057</v>
      </c>
      <c r="C194" s="227" t="s">
        <v>192</v>
      </c>
      <c r="D194" s="227" t="s">
        <v>663</v>
      </c>
      <c r="E194" s="226">
        <v>43088.725821759261</v>
      </c>
      <c r="F194" s="226">
        <v>43088.737500000003</v>
      </c>
      <c r="G194" s="225">
        <v>57</v>
      </c>
      <c r="H194" s="227" t="s">
        <v>929</v>
      </c>
      <c r="I194" s="226">
        <v>43088.746840277781</v>
      </c>
      <c r="J194" s="225">
        <v>0</v>
      </c>
      <c r="K194" s="237" t="str">
        <f t="shared" si="140"/>
        <v>4057/4058</v>
      </c>
      <c r="L194" s="245" t="str">
        <f>VLOOKUP(A194,'Trips&amp;Operators'!$C$1:$G$99911,5,FALSE)</f>
        <v>GUZMAN DANNY</v>
      </c>
      <c r="M194" s="224">
        <f t="shared" si="141"/>
        <v>9.340277778392192E-3</v>
      </c>
      <c r="N194" s="225">
        <f t="shared" si="139"/>
        <v>13.450000000884756</v>
      </c>
      <c r="O194" s="225"/>
      <c r="P194" s="225"/>
      <c r="Q194" s="228"/>
      <c r="R194" s="242"/>
      <c r="S194" s="249">
        <f t="shared" si="137"/>
        <v>1</v>
      </c>
      <c r="T194" s="242" t="str">
        <f t="shared" si="142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89"/>
        <v>https://d0f6bd738d7f1b3e5a7ca70fe4ff75f0.us-east-1.aws.found.io/app/kibana#/discover/Steve-Slow-Train-Analysis-(2080s-and-2083s)?_g=(refreshInterval:(display:Off,pause:!f,section:0,value:0),time:(from:'2017-12-19T16:25:11-0700',mode:absolute,to:'2017-12-19T18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4" s="247" t="str">
        <f>IF(AA194&lt;VLOOKUP(AG194,Variables!$AC$3:$AD$8,2,FALSE),"Y","N")</f>
        <v>N</v>
      </c>
      <c r="X194" s="247">
        <f t="shared" si="138"/>
        <v>1</v>
      </c>
      <c r="Y194" s="247">
        <f t="shared" si="143"/>
        <v>5.8620999999999999</v>
      </c>
      <c r="Z194" s="247">
        <f t="shared" si="144"/>
        <v>1.49E-2</v>
      </c>
      <c r="AA194" s="247">
        <f t="shared" si="145"/>
        <v>5.8472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146"/>
        <v>834</v>
      </c>
      <c r="AE194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94" s="234" t="str">
        <f t="shared" si="91"/>
        <v>"C:\Program Files (x86)\AstroGrep\AstroGrep.exe" /e /r /s /spath="%USERPROFILE%\AppData\Local\Temp\OnboardLogs" /stypes="app*4057*20171220*" /stext=" 00:.+((SYSTEM_STATE.+slice.+state.+changed )|(ment ac)|(multiple cpu faults)|(system.+state.+changed )|(\[timeout)|(PRM\|1\|D)|(kpr)|(kdp)|(train st.+moving)|(\|gpps)|(penalty))"</v>
      </c>
      <c r="AG194" s="244" t="str">
        <f t="shared" si="147"/>
        <v>NW</v>
      </c>
      <c r="AH194" s="236" t="str">
        <f t="shared" si="92"/>
        <v>"%USERPROFILE%\Documents\GitHub\eaglep3\Utilities\RefineRTDCRunTimes.py" --tripid 834-19 --locoid 4057 --swversion DE.1.0.9.0 --startMP 300:58621 --initTime 2017-12-19T17:25:11 --startdatetime 2017-12-19T17:42:00 --delay 57 --endMP 204:149 --enddatetime 2017-12-19T17:55:27 --enforcementcount 0 &gt;&gt;%USERPROFILE%\Documents\GitHub\eaglep3-reporting\EC\2017-12-19-refined-times.txt</v>
      </c>
      <c r="AI194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{"issue":{"subject":"","project_id":79,"tracker_id":40,"status_id":1,"priority_id":2,"assigned_to_id":338,"start_date":"2017-12-19","description":"","custom_fields":[{"id":1,"name":"Subdivision","value":"NW"},{"id":4,"name":"Milepost","value":"0.0149"},{"id":17,"name":"Train ID","value":"834-19"},{"id":16,"name":"Locomotive ID","value":"4057"},{"id":130,"name":"Impact","value":""},{"id":150,"name":"Time of Event (Mountain Time)","value":"17:55:27"},{"id":151,"name":"Denver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94"/>
        <v>start /low /b %USERPROFILE%\Documents\GitHub\eaglep3\Utilities\DownloadLogsFromS3.py --loco 4057 --day 2017-12-19</v>
      </c>
      <c r="AN194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96"/>
        <v>https://d0f6bd738d7f1b3e5a7ca70fe4ff75f0.us-east-1.aws.found.io/app/kibana#/discover/Steve-Slow-Train-Analysis-(2080s-and-2083s)?_g=(refreshInterval:(display:Off,pause:!f,section:0,value:0),time:(from:'2017-12-19T16:25:11-0700',mode:absolute,to:'2017-12-19T18:55:27-0700'))&amp;_a=(columns:!('Message%20ID',Summary),filters:!(),index:'emp_*',interval:auto,query:(query_string:(analyze_wildcard:!t,query:'%22rtdc.l.rtdc.4057%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854</v>
      </c>
      <c r="B195" s="225">
        <v>4022</v>
      </c>
      <c r="C195" s="227" t="s">
        <v>192</v>
      </c>
      <c r="D195" s="227" t="s">
        <v>523</v>
      </c>
      <c r="E195" s="226">
        <v>43088.732743055552</v>
      </c>
      <c r="F195" s="226">
        <v>43088.735706018517</v>
      </c>
      <c r="G195" s="225">
        <v>59</v>
      </c>
      <c r="H195" s="227" t="s">
        <v>673</v>
      </c>
      <c r="I195" s="226">
        <v>43088.74527777778</v>
      </c>
      <c r="J195" s="225">
        <v>0</v>
      </c>
      <c r="K195" s="237" t="str">
        <f t="shared" si="140"/>
        <v>4021/4022</v>
      </c>
      <c r="L195" s="245" t="str">
        <f>VLOOKUP(A195,'Trips&amp;Operators'!$C$1:$G$99911,5,FALSE)</f>
        <v>STAMBAUGH JAMES</v>
      </c>
      <c r="M195" s="224">
        <f t="shared" si="141"/>
        <v>9.5717592630535364E-3</v>
      </c>
      <c r="N195" s="225">
        <f t="shared" si="139"/>
        <v>13.783333338797092</v>
      </c>
      <c r="O195" s="225"/>
      <c r="P195" s="225"/>
      <c r="Q195" s="228"/>
      <c r="R195" s="242"/>
      <c r="S195" s="249">
        <f t="shared" si="137"/>
        <v>1</v>
      </c>
      <c r="T195" s="242" t="str">
        <f t="shared" si="142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89"/>
        <v>https://d0f6bd738d7f1b3e5a7ca70fe4ff75f0.us-east-1.aws.found.io/app/kibana#/discover/Steve-Slow-Train-Analysis-(2080s-and-2083s)?_g=(refreshInterval:(display:Off,pause:!f,section:0,value:0),time:(from:'2017-12-19T16:35:09-0700',mode:absolute,to:'2017-12-19T18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247" t="str">
        <f>IF(AA195&lt;VLOOKUP(AG195,Variables!$AC$3:$AD$8,2,FALSE),"Y","N")</f>
        <v>N</v>
      </c>
      <c r="X195" s="247">
        <f t="shared" si="138"/>
        <v>1</v>
      </c>
      <c r="Y195" s="247">
        <f t="shared" si="143"/>
        <v>4.5699999999999998E-2</v>
      </c>
      <c r="Z195" s="247">
        <f t="shared" si="144"/>
        <v>5.8940999999999999</v>
      </c>
      <c r="AA195" s="247">
        <f t="shared" si="145"/>
        <v>5.8483999999999998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146"/>
        <v>835</v>
      </c>
      <c r="AE195" s="235" t="str">
        <f t="shared" si="90"/>
        <v>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 &amp; 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</v>
      </c>
      <c r="AF195" s="234" t="str">
        <f t="shared" si="91"/>
        <v>"C:\Program Files (x86)\AstroGrep\AstroGrep.exe" /e /r /s /spath="%USERPROFILE%\AppData\Local\Temp\OnboardLogs" /stypes="app*4022*20171220*" /stext=" 00:.+((SYSTEM_STATE.+slice.+state.+changed )|(ment ac)|(multiple cpu faults)|(system.+state.+changed )|(\[timeout)|(PRM\|1\|D)|(kpr)|(kdp)|(train st.+moving)|(\|gpps)|(penalty))"</v>
      </c>
      <c r="AG195" s="244" t="str">
        <f t="shared" si="147"/>
        <v>NW</v>
      </c>
      <c r="AH195" s="236" t="str">
        <f t="shared" si="92"/>
        <v>"%USERPROFILE%\Documents\GitHub\eaglep3\Utilities\RefineRTDCRunTimes.py" --tripid 835-19 --locoid 4022 --swversion DE.1.0.9.0 --startMP 204:457 --initTime 2017-12-19T17:35:09 --startdatetime 2017-12-19T17:39:25 --delay 59 --endMP 300:58941 --enddatetime 2017-12-19T17:53:12 --enforcementcount 0 &gt;&gt;%USERPROFILE%\Documents\GitHub\eaglep3-reporting\EC\2017-12-19-refined-times.txt</v>
      </c>
      <c r="AI195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{"issue":{"subject":"","project_id":79,"tracker_id":40,"status_id":1,"priority_id":2,"assigned_to_id":338,"start_date":"2017-12-19","description":"","custom_fields":[{"id":1,"name":"Subdivision","value":"NW"},{"id":4,"name":"Milepost","value":"5.8941"},{"id":17,"name":"Train ID","value":"835-19"},{"id":16,"name":"Locomotive ID","value":"4022"},{"id":130,"name":"Impact","value":""},{"id":150,"name":"Time of Event (Mountain Time)","value":"17:53:12"},{"id":151,"name":"Denver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94"/>
        <v>start /low /b %USERPROFILE%\Documents\GitHub\eaglep3\Utilities\DownloadLogsFromS3.py --loco 4022 --day 2017-12-19</v>
      </c>
      <c r="AN195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96"/>
        <v>https://d0f6bd738d7f1b3e5a7ca70fe4ff75f0.us-east-1.aws.found.io/app/kibana#/discover/Steve-Slow-Train-Analysis-(2080s-and-2083s)?_g=(refreshInterval:(display:Off,pause:!f,section:0,value:0),time:(from:'2017-12-19T16:35:09-0700',mode:absolute,to:'2017-12-19T18:53:12-0700'))&amp;_a=(columns:!('Message%20ID',Summary),filters:!(),index:'emp_*',interval:auto,query:(query_string:(analyze_wildcard:!t,query:'%22rtdc.l.rtdc.4022%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861</v>
      </c>
      <c r="B196" s="225">
        <v>4021</v>
      </c>
      <c r="C196" s="227" t="s">
        <v>192</v>
      </c>
      <c r="D196" s="227" t="s">
        <v>668</v>
      </c>
      <c r="E196" s="226">
        <v>43088.746238425927</v>
      </c>
      <c r="F196" s="226">
        <v>43088.758333333331</v>
      </c>
      <c r="G196" s="225">
        <v>55</v>
      </c>
      <c r="H196" s="227" t="s">
        <v>1088</v>
      </c>
      <c r="I196" s="226">
        <v>43088.766932870371</v>
      </c>
      <c r="J196" s="225">
        <v>0</v>
      </c>
      <c r="K196" s="237" t="str">
        <f t="shared" si="140"/>
        <v>4021/4022</v>
      </c>
      <c r="L196" s="245" t="str">
        <f>VLOOKUP(A196,'Trips&amp;Operators'!$C$1:$G$99911,5,FALSE)</f>
        <v>STAMBAUGH JAMES</v>
      </c>
      <c r="M196" s="224">
        <f t="shared" si="141"/>
        <v>8.599537039117422E-3</v>
      </c>
      <c r="N196" s="225">
        <f t="shared" si="139"/>
        <v>12.383333336329088</v>
      </c>
      <c r="O196" s="225"/>
      <c r="P196" s="225"/>
      <c r="Q196" s="228"/>
      <c r="R196" s="242"/>
      <c r="S196" s="249">
        <f t="shared" si="137"/>
        <v>1</v>
      </c>
      <c r="T196" s="242" t="str">
        <f t="shared" si="142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89"/>
        <v>https://d0f6bd738d7f1b3e5a7ca70fe4ff75f0.us-east-1.aws.found.io/app/kibana#/discover/Steve-Slow-Train-Analysis-(2080s-and-2083s)?_g=(refreshInterval:(display:Off,pause:!f,section:0,value:0),time:(from:'2017-12-19T16:54:35-0700',mode:absolute,to:'2017-12-19T19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247" t="str">
        <f>IF(AA196&lt;VLOOKUP(AG196,Variables!$AC$3:$AD$8,2,FALSE),"Y","N")</f>
        <v>N</v>
      </c>
      <c r="X196" s="247">
        <f t="shared" si="138"/>
        <v>1</v>
      </c>
      <c r="Y196" s="247">
        <f t="shared" si="143"/>
        <v>5.8623000000000003</v>
      </c>
      <c r="Z196" s="247">
        <f t="shared" si="144"/>
        <v>1.5699999999999999E-2</v>
      </c>
      <c r="AA196" s="247">
        <f t="shared" si="145"/>
        <v>5.8466000000000005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146"/>
        <v>836</v>
      </c>
      <c r="AE196" s="235" t="str">
        <f t="shared" si="90"/>
        <v>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 &amp; 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</v>
      </c>
      <c r="AF196" s="234" t="str">
        <f t="shared" si="91"/>
        <v>"C:\Program Files (x86)\AstroGrep\AstroGrep.exe" /e /r /s /spath="%USERPROFILE%\AppData\Local\Temp\OnboardLogs" /stypes="app*4021*20171220*" /stext=" 01:.+((SYSTEM_STATE.+slice.+state.+changed )|(ment ac)|(multiple cpu faults)|(system.+state.+changed )|(\[timeout)|(PRM\|1\|D)|(kpr)|(kdp)|(train st.+moving)|(\|gpps)|(penalty))"</v>
      </c>
      <c r="AG196" s="244" t="str">
        <f t="shared" si="147"/>
        <v>NW</v>
      </c>
      <c r="AH196" s="236" t="str">
        <f t="shared" si="92"/>
        <v>"%USERPROFILE%\Documents\GitHub\eaglep3\Utilities\RefineRTDCRunTimes.py" --tripid 836-19 --locoid 4021 --swversion DE.1.0.9.0 --startMP 300:58623 --initTime 2017-12-19T17:54:35 --startdatetime 2017-12-19T18:12:00 --delay 55 --endMP 204:157 --enddatetime 2017-12-19T18:24:23 --enforcementcount 0 &gt;&gt;%USERPROFILE%\Documents\GitHub\eaglep3-reporting\EC\2017-12-19-refined-times.txt</v>
      </c>
      <c r="AI196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{"issue":{"subject":"","project_id":79,"tracker_id":40,"status_id":1,"priority_id":2,"assigned_to_id":338,"start_date":"2017-12-19","description":"","custom_fields":[{"id":1,"name":"Subdivision","value":"NW"},{"id":4,"name":"Milepost","value":"0.0157"},{"id":17,"name":"Train ID","value":"836-19"},{"id":16,"name":"Locomotive ID","value":"4021"},{"id":130,"name":"Impact","value":""},{"id":150,"name":"Time of Event (Mountain Time)","value":"18:24:23"},{"id":151,"name":"Denver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94"/>
        <v>start /low /b %USERPROFILE%\Documents\GitHub\eaglep3\Utilities\DownloadLogsFromS3.py --loco 4021 --day 2017-12-19</v>
      </c>
      <c r="AN196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96"/>
        <v>https://d0f6bd738d7f1b3e5a7ca70fe4ff75f0.us-east-1.aws.found.io/app/kibana#/discover/Steve-Slow-Train-Analysis-(2080s-and-2083s)?_g=(refreshInterval:(display:Off,pause:!f,section:0,value:0),time:(from:'2017-12-19T16:54:35-0700',mode:absolute,to:'2017-12-19T19:24:23-0700'))&amp;_a=(columns:!('Message%20ID',Summary),filters:!(),index:'emp_*',interval:auto,query:(query_string:(analyze_wildcard:!t,query:'%22rtdc.l.rtdc.4021%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862</v>
      </c>
      <c r="B197" s="225">
        <v>4058</v>
      </c>
      <c r="C197" s="227" t="s">
        <v>192</v>
      </c>
      <c r="D197" s="227" t="s">
        <v>556</v>
      </c>
      <c r="E197" s="226">
        <v>43088.753495370373</v>
      </c>
      <c r="F197" s="226">
        <v>43088.756423611114</v>
      </c>
      <c r="G197" s="225">
        <v>63</v>
      </c>
      <c r="H197" s="227" t="s">
        <v>1049</v>
      </c>
      <c r="I197" s="226">
        <v>43088.766643518517</v>
      </c>
      <c r="J197" s="225">
        <v>0</v>
      </c>
      <c r="K197" s="237" t="str">
        <f t="shared" si="140"/>
        <v>4057/4058</v>
      </c>
      <c r="L197" s="245" t="str">
        <f>VLOOKUP(A197,'Trips&amp;Operators'!$C$1:$G$99911,5,FALSE)</f>
        <v>GUZMAN DANNY</v>
      </c>
      <c r="M197" s="224">
        <f t="shared" si="141"/>
        <v>1.0219907402643003E-2</v>
      </c>
      <c r="N197" s="225">
        <f t="shared" si="139"/>
        <v>14.716666659805924</v>
      </c>
      <c r="O197" s="225"/>
      <c r="P197" s="225"/>
      <c r="Q197" s="228"/>
      <c r="R197" s="242"/>
      <c r="S197" s="249">
        <f t="shared" si="137"/>
        <v>1</v>
      </c>
      <c r="T197" s="242" t="str">
        <f t="shared" si="142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89"/>
        <v>https://d0f6bd738d7f1b3e5a7ca70fe4ff75f0.us-east-1.aws.found.io/app/kibana#/discover/Steve-Slow-Train-Analysis-(2080s-and-2083s)?_g=(refreshInterval:(display:Off,pause:!f,section:0,value:0),time:(from:'2017-12-19T17:05:02-0700',mode:absolute,to:'2017-12-19T19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7" s="247" t="str">
        <f>IF(AA197&lt;VLOOKUP(AG197,Variables!$AC$3:$AD$8,2,FALSE),"Y","N")</f>
        <v>N</v>
      </c>
      <c r="X197" s="247">
        <f t="shared" si="138"/>
        <v>1</v>
      </c>
      <c r="Y197" s="247">
        <f t="shared" si="143"/>
        <v>4.5100000000000001E-2</v>
      </c>
      <c r="Z197" s="247">
        <f t="shared" si="144"/>
        <v>5.8930999999999996</v>
      </c>
      <c r="AA197" s="247">
        <f t="shared" si="145"/>
        <v>5.8479999999999999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146"/>
        <v>837</v>
      </c>
      <c r="AE197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197" s="234" t="str">
        <f t="shared" si="91"/>
        <v>"C:\Program Files (x86)\AstroGrep\AstroGrep.exe" /e /r /s /spath="%USERPROFILE%\AppData\Local\Temp\OnboardLogs" /stypes="app*4058*20171220*" /stext=" 01:.+((SYSTEM_STATE.+slice.+state.+changed )|(ment ac)|(multiple cpu faults)|(system.+state.+changed )|(\[timeout)|(PRM\|1\|D)|(kpr)|(kdp)|(train st.+moving)|(\|gpps)|(penalty))"</v>
      </c>
      <c r="AG197" s="244" t="str">
        <f t="shared" si="147"/>
        <v>NW</v>
      </c>
      <c r="AH197" s="236" t="str">
        <f t="shared" si="92"/>
        <v>"%USERPROFILE%\Documents\GitHub\eaglep3\Utilities\RefineRTDCRunTimes.py" --tripid 837-19 --locoid 4058 --swversion DE.1.0.9.0 --startMP 204:451 --initTime 2017-12-19T18:05:02 --startdatetime 2017-12-19T18:09:15 --delay 63 --endMP 300:58931 --enddatetime 2017-12-19T18:23:58 --enforcementcount 0 &gt;&gt;%USERPROFILE%\Documents\GitHub\eaglep3-reporting\EC\2017-12-19-refined-times.txt</v>
      </c>
      <c r="AI197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{"issue":{"subject":"","project_id":79,"tracker_id":40,"status_id":1,"priority_id":2,"assigned_to_id":338,"start_date":"2017-12-19","description":"","custom_fields":[{"id":1,"name":"Subdivision","value":"NW"},{"id":4,"name":"Milepost","value":"5.8931"},{"id":17,"name":"Train ID","value":"837-19"},{"id":16,"name":"Locomotive ID","value":"4058"},{"id":130,"name":"Impact","value":""},{"id":150,"name":"Time of Event (Mountain Time)","value":"18:23:58"},{"id":151,"name":"Denver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94"/>
        <v>start /low /b %USERPROFILE%\Documents\GitHub\eaglep3\Utilities\DownloadLogsFromS3.py --loco 4058 --day 2017-12-19</v>
      </c>
      <c r="AN197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96"/>
        <v>https://d0f6bd738d7f1b3e5a7ca70fe4ff75f0.us-east-1.aws.found.io/app/kibana#/discover/Steve-Slow-Train-Analysis-(2080s-and-2083s)?_g=(refreshInterval:(display:Off,pause:!f,section:0,value:0),time:(from:'2017-12-19T17:05:02-0700',mode:absolute,to:'2017-12-19T19:23:58-0700'))&amp;_a=(columns:!('Message%20ID',Summary),filters:!(),index:'emp_*',interval:auto,query:(query_string:(analyze_wildcard:!t,query:'%22rtdc.l.rtdc.4058%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866</v>
      </c>
      <c r="B198" s="225">
        <v>4057</v>
      </c>
      <c r="C198" s="227" t="s">
        <v>192</v>
      </c>
      <c r="D198" s="227" t="s">
        <v>670</v>
      </c>
      <c r="E198" s="226">
        <v>43088.767557870371</v>
      </c>
      <c r="F198" s="226">
        <v>43088.779166666667</v>
      </c>
      <c r="G198" s="225">
        <v>50</v>
      </c>
      <c r="H198" s="227" t="s">
        <v>1050</v>
      </c>
      <c r="I198" s="226">
        <v>43088.788506944446</v>
      </c>
      <c r="J198" s="225">
        <v>0</v>
      </c>
      <c r="K198" s="237" t="str">
        <f t="shared" si="140"/>
        <v>4057/4058</v>
      </c>
      <c r="L198" s="245" t="str">
        <f>VLOOKUP(A198,'Trips&amp;Operators'!$C$1:$G$99911,5,FALSE)</f>
        <v>GUZMAN DANNY</v>
      </c>
      <c r="M198" s="224">
        <f t="shared" si="141"/>
        <v>9.340277778392192E-3</v>
      </c>
      <c r="N198" s="225">
        <f t="shared" si="139"/>
        <v>13.450000000884756</v>
      </c>
      <c r="O198" s="225"/>
      <c r="P198" s="225"/>
      <c r="Q198" s="228"/>
      <c r="R198" s="242"/>
      <c r="S198" s="249">
        <f t="shared" si="137"/>
        <v>1</v>
      </c>
      <c r="T198" s="242" t="str">
        <f t="shared" si="142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89"/>
        <v>https://d0f6bd738d7f1b3e5a7ca70fe4ff75f0.us-east-1.aws.found.io/app/kibana#/discover/Steve-Slow-Train-Analysis-(2080s-and-2083s)?_g=(refreshInterval:(display:Off,pause:!f,section:0,value:0),time:(from:'2017-12-19T17:25:17-0700',mode:absolute,to:'2017-12-19T19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8" s="247" t="str">
        <f>IF(AA198&lt;VLOOKUP(AG198,Variables!$AC$3:$AD$8,2,FALSE),"Y","N")</f>
        <v>N</v>
      </c>
      <c r="X198" s="247">
        <f t="shared" si="138"/>
        <v>1</v>
      </c>
      <c r="Y198" s="247">
        <f t="shared" si="143"/>
        <v>5.8616999999999999</v>
      </c>
      <c r="Z198" s="247">
        <f t="shared" si="144"/>
        <v>1.4800000000000001E-2</v>
      </c>
      <c r="AA198" s="247">
        <f t="shared" si="145"/>
        <v>5.8468999999999998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146"/>
        <v>838</v>
      </c>
      <c r="AE198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198" s="234" t="str">
        <f t="shared" si="91"/>
        <v>"C:\Program Files (x86)\AstroGrep\AstroGrep.exe" /e /r /s /spath="%USERPROFILE%\AppData\Local\Temp\OnboardLogs" /stypes="app*4057*20171220*" /stext=" 01:.+((SYSTEM_STATE.+slice.+state.+changed )|(ment ac)|(multiple cpu faults)|(system.+state.+changed )|(\[timeout)|(PRM\|1\|D)|(kpr)|(kdp)|(train st.+moving)|(\|gpps)|(penalty))"</v>
      </c>
      <c r="AG198" s="244" t="str">
        <f t="shared" si="147"/>
        <v>NW</v>
      </c>
      <c r="AH198" s="236" t="str">
        <f t="shared" si="92"/>
        <v>"%USERPROFILE%\Documents\GitHub\eaglep3\Utilities\RefineRTDCRunTimes.py" --tripid 838-19 --locoid 4057 --swversion DE.1.0.9.0 --startMP 300:58617 --initTime 2017-12-19T18:25:17 --startdatetime 2017-12-19T18:42:00 --delay 50 --endMP 204:148 --enddatetime 2017-12-19T18:55:27 --enforcementcount 0 &gt;&gt;%USERPROFILE%\Documents\GitHub\eaglep3-reporting\EC\2017-12-19-refined-times.txt</v>
      </c>
      <c r="AI198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{"issue":{"subject":"","project_id":79,"tracker_id":40,"status_id":1,"priority_id":2,"assigned_to_id":338,"start_date":"2017-12-19","description":"","custom_fields":[{"id":1,"name":"Subdivision","value":"NW"},{"id":4,"name":"Milepost","value":"0.0148"},{"id":17,"name":"Train ID","value":"838-19"},{"id":16,"name":"Locomotive ID","value":"4057"},{"id":130,"name":"Impact","value":""},{"id":150,"name":"Time of Event (Mountain Time)","value":"18:55:27"},{"id":151,"name":"Denver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94"/>
        <v>start /low /b %USERPROFILE%\Documents\GitHub\eaglep3\Utilities\DownloadLogsFromS3.py --loco 4057 --day 2017-12-19</v>
      </c>
      <c r="AN198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96"/>
        <v>https://d0f6bd738d7f1b3e5a7ca70fe4ff75f0.us-east-1.aws.found.io/app/kibana#/discover/Steve-Slow-Train-Analysis-(2080s-and-2083s)?_g=(refreshInterval:(display:Off,pause:!f,section:0,value:0),time:(from:'2017-12-19T17:25:17-0700',mode:absolute,to:'2017-12-19T19:55:27-0700'))&amp;_a=(columns:!('Message%20ID',Summary),filters:!(),index:'emp_*',interval:auto,query:(query_string:(analyze_wildcard:!t,query:'%22rtdc.l.rtdc.4057%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870</v>
      </c>
      <c r="B199" s="225">
        <v>4022</v>
      </c>
      <c r="C199" s="227" t="s">
        <v>192</v>
      </c>
      <c r="D199" s="227" t="s">
        <v>625</v>
      </c>
      <c r="E199" s="226">
        <v>43088.770370370374</v>
      </c>
      <c r="F199" s="226">
        <v>43088.777349537035</v>
      </c>
      <c r="G199" s="225">
        <v>74</v>
      </c>
      <c r="H199" s="227" t="s">
        <v>656</v>
      </c>
      <c r="I199" s="226">
        <v>43088.786956018521</v>
      </c>
      <c r="J199" s="225">
        <v>0</v>
      </c>
      <c r="K199" s="237" t="str">
        <f t="shared" si="140"/>
        <v>4021/4022</v>
      </c>
      <c r="L199" s="245" t="str">
        <f>VLOOKUP(A199,'Trips&amp;Operators'!$C$1:$G$99911,5,FALSE)</f>
        <v>STAMBAUGH JAMES</v>
      </c>
      <c r="M199" s="224">
        <f t="shared" si="141"/>
        <v>9.606481486116536E-3</v>
      </c>
      <c r="N199" s="225">
        <f t="shared" si="139"/>
        <v>13.833333340007812</v>
      </c>
      <c r="O199" s="225"/>
      <c r="P199" s="225"/>
      <c r="Q199" s="228"/>
      <c r="R199" s="242"/>
      <c r="S199" s="249">
        <f t="shared" si="137"/>
        <v>1</v>
      </c>
      <c r="T199" s="242" t="str">
        <f t="shared" si="142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89"/>
        <v>https://d0f6bd738d7f1b3e5a7ca70fe4ff75f0.us-east-1.aws.found.io/app/kibana#/discover/Steve-Slow-Train-Analysis-(2080s-and-2083s)?_g=(refreshInterval:(display:Off,pause:!f,section:0,value:0),time:(from:'2017-12-19T17:29:20-0700',mode:absolute,to:'2017-12-19T19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247" t="str">
        <f>IF(AA199&lt;VLOOKUP(AG199,Variables!$AC$3:$AD$8,2,FALSE),"Y","N")</f>
        <v>N</v>
      </c>
      <c r="X199" s="247">
        <f t="shared" si="138"/>
        <v>1</v>
      </c>
      <c r="Y199" s="247">
        <f t="shared" si="143"/>
        <v>4.3700000000000003E-2</v>
      </c>
      <c r="Z199" s="247">
        <f t="shared" si="144"/>
        <v>5.8920000000000003</v>
      </c>
      <c r="AA199" s="247">
        <f t="shared" si="145"/>
        <v>5.8483000000000001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146"/>
        <v>839</v>
      </c>
      <c r="AE199" s="235" t="str">
        <f t="shared" si="90"/>
        <v>aws s3 cp s3://rtdc.mdm.uploadarchive.raw/RTDC4022/ "%USERPROFILE%\AppData\Local\Temp\OnboardLogs"\RTDC4022\2017-12-19 --exclude "*" --recursive --include "*20171219*" &amp; "%USERPROFILE%\Documents\GitHub\mrs-test-scripts\Headless Mode &amp; Sideloading\WalkAndUnGZ.bat" "%USERPROFILE%\AppData\Local\Temp\OnboardLogs"\RTDC4022\2017-12-19 &amp; 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</v>
      </c>
      <c r="AF199" s="234" t="str">
        <f t="shared" si="91"/>
        <v>"C:\Program Files (x86)\AstroGrep\AstroGrep.exe" /e /r /s /spath="%USERPROFILE%\AppData\Local\Temp\OnboardLogs" /stypes="app*4022*20171220*" /stext=" 01:.+((SYSTEM_STATE.+slice.+state.+changed )|(ment ac)|(multiple cpu faults)|(system.+state.+changed )|(\[timeout)|(PRM\|1\|D)|(kpr)|(kdp)|(train st.+moving)|(\|gpps)|(penalty))"</v>
      </c>
      <c r="AG199" s="244" t="str">
        <f t="shared" si="147"/>
        <v>NW</v>
      </c>
      <c r="AH199" s="236" t="str">
        <f t="shared" si="92"/>
        <v>"%USERPROFILE%\Documents\GitHub\eaglep3\Utilities\RefineRTDCRunTimes.py" --tripid 839-19 --locoid 4022 --swversion DE.1.0.9.0 --startMP 204:437 --initTime 2017-12-19T18:29:20 --startdatetime 2017-12-19T18:39:23 --delay 74 --endMP 300:58920 --enddatetime 2017-12-19T18:53:13 --enforcementcount 0 &gt;&gt;%USERPROFILE%\Documents\GitHub\eaglep3-reporting\EC\2017-12-19-refined-times.txt</v>
      </c>
      <c r="AI199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{"issue":{"subject":"","project_id":79,"tracker_id":40,"status_id":1,"priority_id":2,"assigned_to_id":338,"start_date":"2017-12-19","description":"","custom_fields":[{"id":1,"name":"Subdivision","value":"NW"},{"id":4,"name":"Milepost","value":"5.892"},{"id":17,"name":"Train ID","value":"839-19"},{"id":16,"name":"Locomotive ID","value":"4022"},{"id":130,"name":"Impact","value":""},{"id":150,"name":"Time of Event (Mountain Time)","value":"18:53:13"},{"id":151,"name":"Denver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94"/>
        <v>start /low /b %USERPROFILE%\Documents\GitHub\eaglep3\Utilities\DownloadLogsFromS3.py --loco 4022 --day 2017-12-19</v>
      </c>
      <c r="AN199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96"/>
        <v>https://d0f6bd738d7f1b3e5a7ca70fe4ff75f0.us-east-1.aws.found.io/app/kibana#/discover/Steve-Slow-Train-Analysis-(2080s-and-2083s)?_g=(refreshInterval:(display:Off,pause:!f,section:0,value:0),time:(from:'2017-12-19T17:29:20-0700',mode:absolute,to:'2017-12-19T19:53:13-0700'))&amp;_a=(columns:!('Message%20ID',Summary),filters:!(),index:'emp_*',interval:auto,query:(query_string:(analyze_wildcard:!t,query:'%22rtdc.l.rtdc.4022%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879</v>
      </c>
      <c r="B200" s="225">
        <v>4057</v>
      </c>
      <c r="C200" s="227" t="s">
        <v>192</v>
      </c>
      <c r="D200" s="227" t="s">
        <v>663</v>
      </c>
      <c r="E200" s="226">
        <v>43088.809027777781</v>
      </c>
      <c r="F200" s="226">
        <v>43088.820833333331</v>
      </c>
      <c r="G200" s="225">
        <v>49</v>
      </c>
      <c r="H200" s="227" t="s">
        <v>660</v>
      </c>
      <c r="I200" s="226">
        <v>43088.830381944441</v>
      </c>
      <c r="J200" s="225">
        <v>0</v>
      </c>
      <c r="K200" s="237" t="str">
        <f t="shared" si="140"/>
        <v>4057/4058</v>
      </c>
      <c r="L200" s="245" t="str">
        <f>VLOOKUP(A200,'Trips&amp;Operators'!$C$1:$G$99911,5,FALSE)</f>
        <v>GUZMAN DANNY</v>
      </c>
      <c r="M200" s="224">
        <f t="shared" si="141"/>
        <v>9.5486111094942316E-3</v>
      </c>
      <c r="N200" s="225">
        <f t="shared" si="139"/>
        <v>13.749999997671694</v>
      </c>
      <c r="O200" s="225"/>
      <c r="P200" s="225"/>
      <c r="Q200" s="228"/>
      <c r="R200" s="242"/>
      <c r="S200" s="249">
        <f t="shared" si="137"/>
        <v>1</v>
      </c>
      <c r="T200" s="242" t="str">
        <f t="shared" si="142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89"/>
        <v>https://d0f6bd738d7f1b3e5a7ca70fe4ff75f0.us-east-1.aws.found.io/app/kibana#/discover/Steve-Slow-Train-Analysis-(2080s-and-2083s)?_g=(refreshInterval:(display:Off,pause:!f,section:0,value:0),time:(from:'2017-12-19T18:25:00-0700',mode:absolute,to:'2017-12-19T20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0" s="247" t="str">
        <f>IF(AA200&lt;VLOOKUP(AG200,Variables!$AC$3:$AD$8,2,FALSE),"Y","N")</f>
        <v>N</v>
      </c>
      <c r="X200" s="247">
        <f t="shared" si="138"/>
        <v>1</v>
      </c>
      <c r="Y200" s="247">
        <f t="shared" si="143"/>
        <v>5.8620999999999999</v>
      </c>
      <c r="Z200" s="247">
        <f t="shared" si="144"/>
        <v>1.35E-2</v>
      </c>
      <c r="AA200" s="247">
        <f t="shared" si="145"/>
        <v>5.8486000000000002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146"/>
        <v>840</v>
      </c>
      <c r="AE200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200" s="234" t="str">
        <f t="shared" si="91"/>
        <v>"C:\Program Files (x86)\AstroGrep\AstroGrep.exe" /e /r /s /spath="%USERPROFILE%\AppData\Local\Temp\OnboardLogs" /stypes="app*4057*20171220*" /stext=" 02:.+((SYSTEM_STATE.+slice.+state.+changed )|(ment ac)|(multiple cpu faults)|(system.+state.+changed )|(\[timeout)|(PRM\|1\|D)|(kpr)|(kdp)|(train st.+moving)|(\|gpps)|(penalty))"</v>
      </c>
      <c r="AG200" s="244" t="str">
        <f t="shared" si="147"/>
        <v>NW</v>
      </c>
      <c r="AH200" s="236" t="str">
        <f t="shared" si="92"/>
        <v>"%USERPROFILE%\Documents\GitHub\eaglep3\Utilities\RefineRTDCRunTimes.py" --tripid 840-19 --locoid 4057 --swversion DE.1.0.9.0 --startMP 300:58621 --initTime 2017-12-19T19:25:00 --startdatetime 2017-12-19T19:42:00 --delay 49 --endMP 204:135 --enddatetime 2017-12-19T19:55:45 --enforcementcount 0 &gt;&gt;%USERPROFILE%\Documents\GitHub\eaglep3-reporting\EC\2017-12-19-refined-times.txt</v>
      </c>
      <c r="AI200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{"issue":{"subject":"","project_id":79,"tracker_id":40,"status_id":1,"priority_id":2,"assigned_to_id":338,"start_date":"2017-12-19","description":"","custom_fields":[{"id":1,"name":"Subdivision","value":"NW"},{"id":4,"name":"Milepost","value":"0.0135"},{"id":17,"name":"Train ID","value":"840-19"},{"id":16,"name":"Locomotive ID","value":"4057"},{"id":130,"name":"Impact","value":""},{"id":150,"name":"Time of Event (Mountain Time)","value":"19:55:45"},{"id":151,"name":"Denver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94"/>
        <v>start /low /b %USERPROFILE%\Documents\GitHub\eaglep3\Utilities\DownloadLogsFromS3.py --loco 4057 --day 2017-12-19</v>
      </c>
      <c r="AN200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96"/>
        <v>https://d0f6bd738d7f1b3e5a7ca70fe4ff75f0.us-east-1.aws.found.io/app/kibana#/discover/Steve-Slow-Train-Analysis-(2080s-and-2083s)?_g=(refreshInterval:(display:Off,pause:!f,section:0,value:0),time:(from:'2017-12-19T18:25:00-0700',mode:absolute,to:'2017-12-19T20:55:45-0700'))&amp;_a=(columns:!('Message%20ID',Summary),filters:!(),index:'emp_*',interval:auto,query:(query_string:(analyze_wildcard:!t,query:'%22rtdc.l.rtdc.4057%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875</v>
      </c>
      <c r="B201" s="225">
        <v>4058</v>
      </c>
      <c r="C201" s="227" t="s">
        <v>192</v>
      </c>
      <c r="D201" s="227" t="s">
        <v>625</v>
      </c>
      <c r="E201" s="226">
        <v>43088.789780092593</v>
      </c>
      <c r="F201" s="226">
        <v>43088.798090277778</v>
      </c>
      <c r="G201" s="225">
        <v>53</v>
      </c>
      <c r="H201" s="227" t="s">
        <v>661</v>
      </c>
      <c r="I201" s="226">
        <v>43088.808171296296</v>
      </c>
      <c r="J201" s="225">
        <v>0</v>
      </c>
      <c r="K201" s="237" t="str">
        <f t="shared" si="140"/>
        <v>4057/4058</v>
      </c>
      <c r="L201" s="245" t="str">
        <f>VLOOKUP(A201,'Trips&amp;Operators'!$C$1:$G$99911,5,FALSE)</f>
        <v>GUZMAN DANNY</v>
      </c>
      <c r="M201" s="224">
        <f t="shared" si="141"/>
        <v>1.0081018517666962E-2</v>
      </c>
      <c r="N201" s="225">
        <f t="shared" si="139"/>
        <v>14.516666665440425</v>
      </c>
      <c r="O201" s="225"/>
      <c r="P201" s="225"/>
      <c r="Q201" s="228"/>
      <c r="R201" s="242"/>
      <c r="S201" s="249">
        <f t="shared" si="137"/>
        <v>1</v>
      </c>
      <c r="T201" s="242" t="str">
        <f t="shared" si="142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89"/>
        <v>https://d0f6bd738d7f1b3e5a7ca70fe4ff75f0.us-east-1.aws.found.io/app/kibana#/discover/Steve-Slow-Train-Analysis-(2080s-and-2083s)?_g=(refreshInterval:(display:Off,pause:!f,section:0,value:0),time:(from:'2017-12-19T17:57:17-0700',mode:absolute,to:'2017-12-19T20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1" s="247" t="str">
        <f>IF(AA201&lt;VLOOKUP(AG201,Variables!$AC$3:$AD$8,2,FALSE),"Y","N")</f>
        <v>N</v>
      </c>
      <c r="X201" s="247">
        <f t="shared" si="138"/>
        <v>1</v>
      </c>
      <c r="Y201" s="247">
        <f t="shared" si="143"/>
        <v>4.3700000000000003E-2</v>
      </c>
      <c r="Z201" s="247">
        <f t="shared" si="144"/>
        <v>5.8925999999999998</v>
      </c>
      <c r="AA201" s="247">
        <f t="shared" si="145"/>
        <v>5.8488999999999995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146"/>
        <v>841</v>
      </c>
      <c r="AE201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01" s="234" t="str">
        <f t="shared" si="91"/>
        <v>"C:\Program Files (x86)\AstroGrep\AstroGrep.exe" /e /r /s /spath="%USERPROFILE%\AppData\Local\Temp\OnboardLogs" /stypes="app*4058*20171220*" /stext=" 02:.+((SYSTEM_STATE.+slice.+state.+changed )|(ment ac)|(multiple cpu faults)|(system.+state.+changed )|(\[timeout)|(PRM\|1\|D)|(kpr)|(kdp)|(train st.+moving)|(\|gpps)|(penalty))"</v>
      </c>
      <c r="AG201" s="244" t="str">
        <f t="shared" si="147"/>
        <v>NW</v>
      </c>
      <c r="AH201" s="236" t="str">
        <f t="shared" si="92"/>
        <v>"%USERPROFILE%\Documents\GitHub\eaglep3\Utilities\RefineRTDCRunTimes.py" --tripid 841-19 --locoid 4058 --swversion DE.1.0.9.0 --startMP 204:437 --initTime 2017-12-19T18:57:17 --startdatetime 2017-12-19T19:09:15 --delay 53 --endMP 300:58926 --enddatetime 2017-12-19T19:23:46 --enforcementcount 0 &gt;&gt;%USERPROFILE%\Documents\GitHub\eaglep3-reporting\EC\2017-12-19-refined-times.txt</v>
      </c>
      <c r="AI201" s="238" t="str">
        <f t="shared" si="93"/>
        <v>echo {"issue":{"subject":"","project_id":79,"tracker_id":40,"status_id":1,"priority_id":2,"assigned_to_id":338,"start_date":"2017-12-19","description":"","custom_fields":[{"id":1,"name":"Subdivision","value":"NW"},{"id":4,"name":"Milepost","value":"5.8926"},{"id":17,"name":"Train ID","value":"841-19"},{"id":16,"name":"Locomotive ID","value":"4058"},{"id":130,"name":"Impact","value":""},{"id":150,"name":"Time of Event (Mountain Time)","value":"19:23:46"},{"id":151,"name":"Denver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94"/>
        <v>start /low /b %USERPROFILE%\Documents\GitHub\eaglep3\Utilities\DownloadLogsFromS3.py --loco 4058 --day 2017-12-19</v>
      </c>
      <c r="AN201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96"/>
        <v>https://d0f6bd738d7f1b3e5a7ca70fe4ff75f0.us-east-1.aws.found.io/app/kibana#/discover/Steve-Slow-Train-Analysis-(2080s-and-2083s)?_g=(refreshInterval:(display:Off,pause:!f,section:0,value:0),time:(from:'2017-12-19T17:57:17-0700',mode:absolute,to:'2017-12-19T20:23:46-0700'))&amp;_a=(columns:!('Message%20ID',Summary),filters:!(),index:'emp_*',interval:auto,query:(query_string:(analyze_wildcard:!t,query:'%22rtdc.l.rtdc.4058%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25">
      <c r="A202" s="229" t="s">
        <v>887</v>
      </c>
      <c r="B202" s="225">
        <v>4057</v>
      </c>
      <c r="C202" s="227" t="s">
        <v>192</v>
      </c>
      <c r="D202" s="227" t="s">
        <v>658</v>
      </c>
      <c r="E202" s="226">
        <v>43088.850092592591</v>
      </c>
      <c r="F202" s="226">
        <v>43088.862500000003</v>
      </c>
      <c r="G202" s="225">
        <v>57</v>
      </c>
      <c r="H202" s="227" t="s">
        <v>575</v>
      </c>
      <c r="I202" s="226">
        <v>43088.872650462959</v>
      </c>
      <c r="J202" s="225">
        <v>0</v>
      </c>
      <c r="K202" s="237" t="str">
        <f t="shared" ref="K202:K208" si="148">IF(ISEVEN(B202),(B202-1)&amp;"/"&amp;B202,B202&amp;"/"&amp;(B202+1))</f>
        <v>4057/4058</v>
      </c>
      <c r="L202" s="245" t="str">
        <f>VLOOKUP(A202,'Trips&amp;Operators'!$C$1:$G$99911,5,FALSE)</f>
        <v>GUZMAN DANNY</v>
      </c>
      <c r="M202" s="224">
        <f t="shared" ref="M202:M208" si="149">I202-F202</f>
        <v>1.0150462956517003E-2</v>
      </c>
      <c r="N202" s="225">
        <f t="shared" ref="N202:N208" si="150">24*60*SUM($M202:$M202)</f>
        <v>14.616666657384485</v>
      </c>
      <c r="O202" s="225"/>
      <c r="P202" s="225"/>
      <c r="Q202" s="228"/>
      <c r="R202" s="242"/>
      <c r="S202" s="249">
        <f t="shared" ref="S202:S208" si="151">1/IF(AG202="EC",12,1)*SUM(U202:U202)</f>
        <v>1</v>
      </c>
      <c r="T202" s="242" t="str">
        <f t="shared" ref="T202:T208" si="152"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89"/>
        <v>https://d0f6bd738d7f1b3e5a7ca70fe4ff75f0.us-east-1.aws.found.io/app/kibana#/discover/Steve-Slow-Train-Analysis-(2080s-and-2083s)?_g=(refreshInterval:(display:Off,pause:!f,section:0,value:0),time:(from:'2017-12-19T19:24:08-0700',mode:absolute,to:'2017-12-19T21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2" s="247" t="str">
        <f>IF(AA202&lt;VLOOKUP(AG202,Variables!$AC$3:$AD$8,2,FALSE),"Y","N")</f>
        <v>N</v>
      </c>
      <c r="X202" s="247">
        <f t="shared" ref="X202:X210" si="153">VALUE(LEFT(AD202,4))-VALUE(LEFT(AD201,4))</f>
        <v>1</v>
      </c>
      <c r="Y202" s="247">
        <f t="shared" ref="Y202:Y208" si="154">RIGHT(D202,LEN(D202)-4)/10000</f>
        <v>5.8615000000000004</v>
      </c>
      <c r="Z202" s="247">
        <f t="shared" ref="Z202:Z208" si="155">RIGHT(H202,LEN(H202)-4)/10000</f>
        <v>1.44E-2</v>
      </c>
      <c r="AA202" s="247">
        <f t="shared" ref="AA202:AA208" si="156">ABS(Z202-Y202)</f>
        <v>5.8471000000000002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ref="AD202:AD208" si="157">VALUE(LEFT(A202,LEN(A202)-3))</f>
        <v>842</v>
      </c>
      <c r="AE202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202" s="234" t="str">
        <f t="shared" si="91"/>
        <v>"C:\Program Files (x86)\AstroGrep\AstroGrep.exe" /e /r /s /spath="%USERPROFILE%\AppData\Local\Temp\OnboardLogs" /stypes="app*4057*20171220*" /stext=" 03:.+((SYSTEM_STATE.+slice.+state.+changed )|(ment ac)|(multiple cpu faults)|(system.+state.+changed )|(\[timeout)|(PRM\|1\|D)|(kpr)|(kdp)|(train st.+moving)|(\|gpps)|(penalty))"</v>
      </c>
      <c r="AG202" s="244" t="str">
        <f t="shared" ref="AG202:AG208" si="158">DetSubdiv(A202)</f>
        <v>NW</v>
      </c>
      <c r="AH202" s="236" t="str">
        <f t="shared" ref="AH202:AH208" si="159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842-19 --locoid 4057 --swversion DE.1.0.9.0 --startMP 300:58615 --initTime 2017-12-19T20:24:08 --startdatetime 2017-12-19T20:42:00 --delay 57 --endMP 204:144 --enddatetime 2017-12-19T20:56:37 --enforcementcount 0 &gt;&gt;%USERPROFILE%\Documents\GitHub\eaglep3-reporting\EC\2017-12-19-refined-times.txt</v>
      </c>
      <c r="AI202" s="238" t="str">
        <f t="shared" ref="AI202:AI208" si="160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{"issue":{"subject":"","project_id":79,"tracker_id":40,"status_id":1,"priority_id":2,"assigned_to_id":338,"start_date":"2017-12-19","description":"","custom_fields":[{"id":1,"name":"Subdivision","value":"NW"},{"id":4,"name":"Milepost","value":"0.0144"},{"id":17,"name":"Train ID","value":"842-19"},{"id":16,"name":"Locomotive ID","value":"4057"},{"id":130,"name":"Impact","value":""},{"id":150,"name":"Time of Event (Mountain Time)","value":"20:56:37"},{"id":151,"name":"Denver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ref="AM202:AM208" si="161">"start /low /b "&amp;dls3logs&amp;" --loco "&amp;B202&amp;" --day "&amp;TEXT(F202,"YYYY-MM-DD")</f>
        <v>start /low /b %USERPROFILE%\Documents\GitHub\eaglep3\Utilities\DownloadLogsFromS3.py --loco 4057 --day 2017-12-19</v>
      </c>
      <c r="AN202" s="241" t="str">
        <f t="shared" ref="AN202:AN208" si="162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ref="AO202:AO208" si="163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-19T19:24:08-0700',mode:absolute,to:'2017-12-19T21:56:37-0700'))&amp;_a=(columns:!('Message%20ID',Summary),filters:!(),index:'emp_*',interval:auto,query:(query_string:(analyze_wildcard:!t,query:'%22rtdc.l.rtdc.4057%22')),sort:!(Time.ISO8601,asc))</v>
      </c>
    </row>
    <row r="203" spans="1:91" s="223" customFormat="1" x14ac:dyDescent="0.25">
      <c r="A203" s="229" t="s">
        <v>885</v>
      </c>
      <c r="B203" s="225">
        <v>4058</v>
      </c>
      <c r="C203" s="227" t="s">
        <v>192</v>
      </c>
      <c r="D203" s="227" t="s">
        <v>956</v>
      </c>
      <c r="E203" s="226">
        <v>43088.831608796296</v>
      </c>
      <c r="F203" s="226">
        <v>43088.839733796296</v>
      </c>
      <c r="G203" s="225">
        <v>57</v>
      </c>
      <c r="H203" s="227" t="s">
        <v>572</v>
      </c>
      <c r="I203" s="226">
        <v>43088.849270833336</v>
      </c>
      <c r="J203" s="225">
        <v>0</v>
      </c>
      <c r="K203" s="237" t="str">
        <f t="shared" si="148"/>
        <v>4057/4058</v>
      </c>
      <c r="L203" s="245" t="str">
        <f>VLOOKUP(A203,'Trips&amp;Operators'!$C$1:$G$99911,5,FALSE)</f>
        <v>GUZMAN DANNY</v>
      </c>
      <c r="M203" s="224">
        <f t="shared" si="149"/>
        <v>9.5370370399905369E-3</v>
      </c>
      <c r="N203" s="225">
        <f t="shared" si="150"/>
        <v>13.733333337586373</v>
      </c>
      <c r="O203" s="225"/>
      <c r="P203" s="225"/>
      <c r="Q203" s="228"/>
      <c r="R203" s="242"/>
      <c r="S203" s="249">
        <f t="shared" si="151"/>
        <v>1</v>
      </c>
      <c r="T203" s="242" t="str">
        <f t="shared" si="152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89"/>
        <v>https://d0f6bd738d7f1b3e5a7ca70fe4ff75f0.us-east-1.aws.found.io/app/kibana#/discover/Steve-Slow-Train-Analysis-(2080s-and-2083s)?_g=(refreshInterval:(display:Off,pause:!f,section:0,value:0),time:(from:'2017-12-19T18:57:31-0700',mode:absolute,to:'2017-12-19T21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3" s="247" t="str">
        <f>IF(AA203&lt;VLOOKUP(AG203,Variables!$AC$3:$AD$8,2,FALSE),"Y","N")</f>
        <v>N</v>
      </c>
      <c r="X203" s="247">
        <f t="shared" si="153"/>
        <v>1</v>
      </c>
      <c r="Y203" s="247">
        <f t="shared" si="154"/>
        <v>4.4600000000000001E-2</v>
      </c>
      <c r="Z203" s="247">
        <f t="shared" si="155"/>
        <v>5.8936999999999999</v>
      </c>
      <c r="AA203" s="247">
        <f t="shared" si="156"/>
        <v>5.8491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157"/>
        <v>843</v>
      </c>
      <c r="AE203" s="235" t="str">
        <f t="shared" si="90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03" s="234" t="str">
        <f t="shared" si="91"/>
        <v>"C:\Program Files (x86)\AstroGrep\AstroGrep.exe" /e /r /s /spath="%USERPROFILE%\AppData\Local\Temp\OnboardLogs" /stypes="app*4058*20171220*" /stext=" 03:.+((SYSTEM_STATE.+slice.+state.+changed )|(ment ac)|(multiple cpu faults)|(system.+state.+changed )|(\[timeout)|(PRM\|1\|D)|(kpr)|(kdp)|(train st.+moving)|(\|gpps)|(penalty))"</v>
      </c>
      <c r="AG203" s="244" t="str">
        <f t="shared" si="158"/>
        <v>NW</v>
      </c>
      <c r="AH203" s="236" t="str">
        <f t="shared" si="159"/>
        <v>"%USERPROFILE%\Documents\GitHub\eaglep3\Utilities\RefineRTDCRunTimes.py" --tripid 843-19 --locoid 4058 --swversion DE.1.0.9.0 --startMP 204:446 --initTime 2017-12-19T19:57:31 --startdatetime 2017-12-19T20:09:13 --delay 57 --endMP 300:58937 --enddatetime 2017-12-19T20:22:57 --enforcementcount 0 &gt;&gt;%USERPROFILE%\Documents\GitHub\eaglep3-reporting\EC\2017-12-19-refined-times.txt</v>
      </c>
      <c r="AI203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{"issue":{"subject":"","project_id":79,"tracker_id":40,"status_id":1,"priority_id":2,"assigned_to_id":338,"start_date":"2017-12-19","description":"","custom_fields":[{"id":1,"name":"Subdivision","value":"NW"},{"id":4,"name":"Milepost","value":"5.8937"},{"id":17,"name":"Train ID","value":"843-19"},{"id":16,"name":"Locomotive ID","value":"4058"},{"id":130,"name":"Impact","value":""},{"id":150,"name":"Time of Event (Mountain Time)","value":"20:22:57"},{"id":151,"name":"Denver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161"/>
        <v>start /low /b %USERPROFILE%\Documents\GitHub\eaglep3\Utilities\DownloadLogsFromS3.py --loco 4058 --day 2017-12-19</v>
      </c>
      <c r="AN203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63"/>
        <v>https://d0f6bd738d7f1b3e5a7ca70fe4ff75f0.us-east-1.aws.found.io/app/kibana#/discover/Steve-Slow-Train-Analysis-(2080s-and-2083s)?_g=(refreshInterval:(display:Off,pause:!f,section:0,value:0),time:(from:'2017-12-19T18:57:31-0700',mode:absolute,to:'2017-12-19T21:22:57-0700'))&amp;_a=(columns:!('Message%20ID',Summary),filters:!(),index:'emp_*',interval:auto,query:(query_string:(analyze_wildcard:!t,query:'%22rtdc.l.rtdc.4058%22')),sort:!(Time.ISO8601,asc))</v>
      </c>
    </row>
    <row r="204" spans="1:91" s="223" customFormat="1" x14ac:dyDescent="0.25">
      <c r="A204" s="229" t="s">
        <v>893</v>
      </c>
      <c r="B204" s="225">
        <v>4057</v>
      </c>
      <c r="C204" s="227" t="s">
        <v>192</v>
      </c>
      <c r="D204" s="227" t="s">
        <v>1051</v>
      </c>
      <c r="E204" s="226">
        <v>43088.892222222225</v>
      </c>
      <c r="F204" s="226">
        <v>43088.904166666667</v>
      </c>
      <c r="G204" s="225">
        <v>68</v>
      </c>
      <c r="H204" s="227" t="s">
        <v>1050</v>
      </c>
      <c r="I204" s="226">
        <v>43088.912523148145</v>
      </c>
      <c r="J204" s="225">
        <v>0</v>
      </c>
      <c r="K204" s="237" t="str">
        <f t="shared" si="148"/>
        <v>4057/4058</v>
      </c>
      <c r="L204" s="245" t="str">
        <f>VLOOKUP(A204,'Trips&amp;Operators'!$C$1:$G$99911,5,FALSE)</f>
        <v>STAMBAUGH JAMES</v>
      </c>
      <c r="M204" s="224">
        <f t="shared" si="149"/>
        <v>8.3564814776764251E-3</v>
      </c>
      <c r="N204" s="225">
        <f t="shared" si="150"/>
        <v>12.033333327854052</v>
      </c>
      <c r="O204" s="225"/>
      <c r="P204" s="225"/>
      <c r="Q204" s="228"/>
      <c r="R204" s="242"/>
      <c r="S204" s="249">
        <f t="shared" si="151"/>
        <v>1</v>
      </c>
      <c r="T204" s="242" t="str">
        <f t="shared" si="152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89"/>
        <v>https://d0f6bd738d7f1b3e5a7ca70fe4ff75f0.us-east-1.aws.found.io/app/kibana#/discover/Steve-Slow-Train-Analysis-(2080s-and-2083s)?_g=(refreshInterval:(display:Off,pause:!f,section:0,value:0),time:(from:'2017-12-19T20:24:48-0700',mode:absolute,to:'2017-12-19T22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4" s="247" t="str">
        <f>IF(AA204&lt;VLOOKUP(AG204,Variables!$AC$3:$AD$8,2,FALSE),"Y","N")</f>
        <v>N</v>
      </c>
      <c r="X204" s="247">
        <f t="shared" si="153"/>
        <v>1</v>
      </c>
      <c r="Y204" s="247">
        <f t="shared" si="154"/>
        <v>5.8666</v>
      </c>
      <c r="Z204" s="247">
        <f t="shared" si="155"/>
        <v>1.4800000000000001E-2</v>
      </c>
      <c r="AA204" s="247">
        <f t="shared" si="156"/>
        <v>5.8517999999999999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157"/>
        <v>844</v>
      </c>
      <c r="AE204" s="235" t="str">
        <f t="shared" si="90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204" s="234" t="str">
        <f t="shared" si="91"/>
        <v>"C:\Program Files (x86)\AstroGrep\AstroGrep.exe" /e /r /s /spath="%USERPROFILE%\AppData\Local\Temp\OnboardLogs" /stypes="app*4057*20171220*" /stext=" 04:.+((SYSTEM_STATE.+slice.+state.+changed )|(ment ac)|(multiple cpu faults)|(system.+state.+changed )|(\[timeout)|(PRM\|1\|D)|(kpr)|(kdp)|(train st.+moving)|(\|gpps)|(penalty))"</v>
      </c>
      <c r="AG204" s="244" t="str">
        <f t="shared" si="158"/>
        <v>NW</v>
      </c>
      <c r="AH204" s="236" t="str">
        <f t="shared" si="159"/>
        <v>"%USERPROFILE%\Documents\GitHub\eaglep3\Utilities\RefineRTDCRunTimes.py" --tripid 844-19 --locoid 4057 --swversion DE.1.0.9.0 --startMP 300:58666 --initTime 2017-12-19T21:24:48 --startdatetime 2017-12-19T21:42:00 --delay 68 --endMP 204:148 --enddatetime 2017-12-19T21:54:02 --enforcementcount 0 &gt;&gt;%USERPROFILE%\Documents\GitHub\eaglep3-reporting\EC\2017-12-19-refined-times.txt</v>
      </c>
      <c r="AI204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{"issue":{"subject":"","project_id":79,"tracker_id":40,"status_id":1,"priority_id":2,"assigned_to_id":338,"start_date":"2017-12-19","description":"","custom_fields":[{"id":1,"name":"Subdivision","value":"NW"},{"id":4,"name":"Milepost","value":"0.0148"},{"id":17,"name":"Train ID","value":"844-19"},{"id":16,"name":"Locomotive ID","value":"4057"},{"id":130,"name":"Impact","value":""},{"id":150,"name":"Time of Event (Mountain Time)","value":"21:54:02"},{"id":151,"name":"Denver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161"/>
        <v>start /low /b %USERPROFILE%\Documents\GitHub\eaglep3\Utilities\DownloadLogsFromS3.py --loco 4057 --day 2017-12-19</v>
      </c>
      <c r="AN204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63"/>
        <v>https://d0f6bd738d7f1b3e5a7ca70fe4ff75f0.us-east-1.aws.found.io/app/kibana#/discover/Steve-Slow-Train-Analysis-(2080s-and-2083s)?_g=(refreshInterval:(display:Off,pause:!f,section:0,value:0),time:(from:'2017-12-19T20:24:48-0700',mode:absolute,to:'2017-12-19T22:54:02-0700'))&amp;_a=(columns:!('Message%20ID',Summary),filters:!(),index:'emp_*',interval:auto,query:(query_string:(analyze_wildcard:!t,query:'%22rtdc.l.rtdc.4057%22')),sort:!(Time.ISO8601,asc))</v>
      </c>
    </row>
    <row r="205" spans="1:91" s="223" customFormat="1" x14ac:dyDescent="0.25">
      <c r="A205" s="229" t="s">
        <v>891</v>
      </c>
      <c r="B205" s="225">
        <v>4058</v>
      </c>
      <c r="C205" s="227" t="s">
        <v>192</v>
      </c>
      <c r="D205" s="227" t="s">
        <v>1089</v>
      </c>
      <c r="E205" s="226">
        <v>43088.876736111109</v>
      </c>
      <c r="F205" s="226">
        <v>43088.881666666668</v>
      </c>
      <c r="G205" s="225">
        <v>81</v>
      </c>
      <c r="H205" s="227" t="s">
        <v>1035</v>
      </c>
      <c r="I205" s="226">
        <v>43088.891064814816</v>
      </c>
      <c r="J205" s="225">
        <v>0</v>
      </c>
      <c r="K205" s="237" t="str">
        <f t="shared" si="148"/>
        <v>4057/4058</v>
      </c>
      <c r="L205" s="245" t="str">
        <f>VLOOKUP(A205,'Trips&amp;Operators'!$C$1:$G$99911,5,FALSE)</f>
        <v>STAMBAUGH JAMES</v>
      </c>
      <c r="M205" s="224">
        <f t="shared" si="149"/>
        <v>9.3981481477385387E-3</v>
      </c>
      <c r="N205" s="225">
        <f t="shared" si="150"/>
        <v>13.533333332743496</v>
      </c>
      <c r="O205" s="225"/>
      <c r="P205" s="225"/>
      <c r="Q205" s="228"/>
      <c r="R205" s="242"/>
      <c r="S205" s="249">
        <f t="shared" si="151"/>
        <v>1</v>
      </c>
      <c r="T205" s="242" t="str">
        <f t="shared" si="152"/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32" si="16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-19T20:02:30-0700',mode:absolute,to:'2017-12-19T22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5" s="247" t="str">
        <f>IF(AA205&lt;VLOOKUP(AG205,Variables!$AC$3:$AD$8,2,FALSE),"Y","N")</f>
        <v>N</v>
      </c>
      <c r="X205" s="247">
        <f t="shared" si="153"/>
        <v>1</v>
      </c>
      <c r="Y205" s="247">
        <f t="shared" si="154"/>
        <v>4.24E-2</v>
      </c>
      <c r="Z205" s="247">
        <f t="shared" si="155"/>
        <v>5.8982000000000001</v>
      </c>
      <c r="AA205" s="247">
        <f t="shared" si="156"/>
        <v>5.8558000000000003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si="157"/>
        <v>845</v>
      </c>
      <c r="AE205" s="235" t="str">
        <f t="shared" ref="AE205:AE232" si="16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05" s="234" t="str">
        <f t="shared" ref="AF205:AF232" si="16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/stypes="app*4058*20171220*" /stext=" 04:.+((SYSTEM_STATE.+slice.+state.+changed )|(ment ac)|(multiple cpu faults)|(system.+state.+changed )|(\[timeout)|(PRM\|1\|D)|(kpr)|(kdp)|(train st.+moving)|(\|gpps)|(penalty))"</v>
      </c>
      <c r="AG205" s="244" t="str">
        <f t="shared" si="158"/>
        <v>NW</v>
      </c>
      <c r="AH205" s="236" t="str">
        <f t="shared" si="159"/>
        <v>"%USERPROFILE%\Documents\GitHub\eaglep3\Utilities\RefineRTDCRunTimes.py" --tripid 845-19 --locoid 4058 --swversion DE.1.0.9.0 --startMP 204:424 --initTime 2017-12-19T21:02:30 --startdatetime 2017-12-19T21:09:36 --delay 81 --endMP 300:58982 --enddatetime 2017-12-19T21:23:08 --enforcementcount 0 &gt;&gt;%USERPROFILE%\Documents\GitHub\eaglep3-reporting\EC\2017-12-19-refined-times.txt</v>
      </c>
      <c r="AI205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{"issue":{"subject":"","project_id":79,"tracker_id":40,"status_id":1,"priority_id":2,"assigned_to_id":338,"start_date":"2017-12-19","description":"","custom_fields":[{"id":1,"name":"Subdivision","value":"NW"},{"id":4,"name":"Milepost","value":"5.8982"},{"id":17,"name":"Train ID","value":"845-19"},{"id":16,"name":"Locomotive ID","value":"4058"},{"id":130,"name":"Impact","value":""},{"id":150,"name":"Time of Event (Mountain Time)","value":"21:23:08"},{"id":151,"name":"Denver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161"/>
        <v>start /low /b %USERPROFILE%\Documents\GitHub\eaglep3\Utilities\DownloadLogsFromS3.py --loco 4058 --day 2017-12-19</v>
      </c>
      <c r="AN205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63"/>
        <v>https://d0f6bd738d7f1b3e5a7ca70fe4ff75f0.us-east-1.aws.found.io/app/kibana#/discover/Steve-Slow-Train-Analysis-(2080s-and-2083s)?_g=(refreshInterval:(display:Off,pause:!f,section:0,value:0),time:(from:'2017-12-19T20:02:30-0700',mode:absolute,to:'2017-12-19T22:23:08-0700'))&amp;_a=(columns:!('Message%20ID',Summary),filters:!(),index:'emp_*',interval:auto,query:(query_string:(analyze_wildcard:!t,query:'%22rtdc.l.rtdc.4058%22')),sort:!(Time.ISO8601,asc))</v>
      </c>
    </row>
    <row r="206" spans="1:91" s="223" customFormat="1" x14ac:dyDescent="0.25">
      <c r="A206" s="229" t="s">
        <v>898</v>
      </c>
      <c r="B206" s="225">
        <v>4057</v>
      </c>
      <c r="C206" s="227" t="s">
        <v>192</v>
      </c>
      <c r="D206" s="227" t="s">
        <v>1052</v>
      </c>
      <c r="E206" s="226">
        <v>43088.932638888888</v>
      </c>
      <c r="F206" s="226">
        <v>43088.945833333331</v>
      </c>
      <c r="G206" s="225">
        <v>54</v>
      </c>
      <c r="H206" s="227" t="s">
        <v>542</v>
      </c>
      <c r="I206" s="226">
        <v>43088.954143518517</v>
      </c>
      <c r="J206" s="225">
        <v>0</v>
      </c>
      <c r="K206" s="237" t="str">
        <f t="shared" si="148"/>
        <v>4057/4058</v>
      </c>
      <c r="L206" s="245" t="str">
        <f>VLOOKUP(A206,'Trips&amp;Operators'!$C$1:$G$99911,5,FALSE)</f>
        <v>STAMBAUGH JAMES</v>
      </c>
      <c r="M206" s="224">
        <f t="shared" si="149"/>
        <v>8.3101851851097308E-3</v>
      </c>
      <c r="N206" s="225">
        <f t="shared" si="150"/>
        <v>11.966666666558012</v>
      </c>
      <c r="O206" s="225"/>
      <c r="P206" s="225"/>
      <c r="Q206" s="228"/>
      <c r="R206" s="242"/>
      <c r="S206" s="249">
        <f t="shared" si="151"/>
        <v>1</v>
      </c>
      <c r="T206" s="242" t="str">
        <f t="shared" si="152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64"/>
        <v>https://d0f6bd738d7f1b3e5a7ca70fe4ff75f0.us-east-1.aws.found.io/app/kibana#/discover/Steve-Slow-Train-Analysis-(2080s-and-2083s)?_g=(refreshInterval:(display:Off,pause:!f,section:0,value:0),time:(from:'2017-12-19T21:23:00-0700',mode:absolute,to:'2017-12-19T23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6" s="247" t="str">
        <f>IF(AA206&lt;VLOOKUP(AG206,Variables!$AC$3:$AD$8,2,FALSE),"Y","N")</f>
        <v>N</v>
      </c>
      <c r="X206" s="247">
        <f t="shared" si="153"/>
        <v>1</v>
      </c>
      <c r="Y206" s="247">
        <f t="shared" si="154"/>
        <v>5.8596000000000004</v>
      </c>
      <c r="Z206" s="247">
        <f t="shared" si="155"/>
        <v>1.55E-2</v>
      </c>
      <c r="AA206" s="247">
        <f t="shared" si="156"/>
        <v>5.8441000000000001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57"/>
        <v>846</v>
      </c>
      <c r="AE206" s="235" t="str">
        <f t="shared" si="165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206" s="234" t="str">
        <f t="shared" si="166"/>
        <v>"C:\Program Files (x86)\AstroGrep\AstroGrep.exe" /e /r /s /spath="%USERPROFILE%\AppData\Local\Temp\OnboardLogs" /stypes="app*4057*20171220*" /stext=" 05:.+((SYSTEM_STATE.+slice.+state.+changed )|(ment ac)|(multiple cpu faults)|(system.+state.+changed )|(\[timeout)|(PRM\|1\|D)|(kpr)|(kdp)|(train st.+moving)|(\|gpps)|(penalty))"</v>
      </c>
      <c r="AG206" s="244" t="str">
        <f t="shared" si="158"/>
        <v>NW</v>
      </c>
      <c r="AH206" s="236" t="str">
        <f t="shared" si="159"/>
        <v>"%USERPROFILE%\Documents\GitHub\eaglep3\Utilities\RefineRTDCRunTimes.py" --tripid 846-19 --locoid 4057 --swversion DE.1.0.9.0 --startMP 300:58596 --initTime 2017-12-19T22:23:00 --startdatetime 2017-12-19T22:42:00 --delay 54 --endMP 204:155 --enddatetime 2017-12-19T22:53:58 --enforcementcount 0 &gt;&gt;%USERPROFILE%\Documents\GitHub\eaglep3-reporting\EC\2017-12-19-refined-times.txt</v>
      </c>
      <c r="AI206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{"issue":{"subject":"","project_id":79,"tracker_id":40,"status_id":1,"priority_id":2,"assigned_to_id":338,"start_date":"2017-12-19","description":"","custom_fields":[{"id":1,"name":"Subdivision","value":"NW"},{"id":4,"name":"Milepost","value":"0.0155"},{"id":17,"name":"Train ID","value":"846-19"},{"id":16,"name":"Locomotive ID","value":"4057"},{"id":130,"name":"Impact","value":""},{"id":150,"name":"Time of Event (Mountain Time)","value":"22:53:58"},{"id":151,"name":"Denver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161"/>
        <v>start /low /b %USERPROFILE%\Documents\GitHub\eaglep3\Utilities\DownloadLogsFromS3.py --loco 4057 --day 2017-12-19</v>
      </c>
      <c r="AN206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05:53:58"},{"id":29,"name":"Sharepoint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63"/>
        <v>https://d0f6bd738d7f1b3e5a7ca70fe4ff75f0.us-east-1.aws.found.io/app/kibana#/discover/Steve-Slow-Train-Analysis-(2080s-and-2083s)?_g=(refreshInterval:(display:Off,pause:!f,section:0,value:0),time:(from:'2017-12-19T21:23:00-0700',mode:absolute,to:'2017-12-19T23:53:58-0700'))&amp;_a=(columns:!('Message%20ID',Summary),filters:!(),index:'emp_*',interval:auto,query:(query_string:(analyze_wildcard:!t,query:'%22rtdc.l.rtdc.4057%22')),sort:!(Time.ISO8601,asc))</v>
      </c>
    </row>
    <row r="207" spans="1:91" s="223" customFormat="1" x14ac:dyDescent="0.25">
      <c r="A207" s="229" t="s">
        <v>896</v>
      </c>
      <c r="B207" s="225">
        <v>4058</v>
      </c>
      <c r="C207" s="227" t="s">
        <v>192</v>
      </c>
      <c r="D207" s="227" t="s">
        <v>570</v>
      </c>
      <c r="E207" s="226">
        <v>43088.917534722219</v>
      </c>
      <c r="F207" s="226">
        <v>43088.923090277778</v>
      </c>
      <c r="G207" s="225">
        <v>53</v>
      </c>
      <c r="H207" s="227" t="s">
        <v>1053</v>
      </c>
      <c r="I207" s="226">
        <v>43088.931851851848</v>
      </c>
      <c r="J207" s="225">
        <v>0</v>
      </c>
      <c r="K207" s="237" t="str">
        <f t="shared" si="148"/>
        <v>4057/4058</v>
      </c>
      <c r="L207" s="245" t="str">
        <f>VLOOKUP(A207,'Trips&amp;Operators'!$C$1:$G$99911,5,FALSE)</f>
        <v>STAMBAUGH JAMES</v>
      </c>
      <c r="M207" s="224">
        <f t="shared" si="149"/>
        <v>8.7615740703768097E-3</v>
      </c>
      <c r="N207" s="225">
        <f t="shared" si="150"/>
        <v>12.616666661342606</v>
      </c>
      <c r="O207" s="225"/>
      <c r="P207" s="225"/>
      <c r="Q207" s="228"/>
      <c r="R207" s="242"/>
      <c r="S207" s="249">
        <f t="shared" si="151"/>
        <v>1</v>
      </c>
      <c r="T207" s="242" t="str">
        <f t="shared" si="152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64"/>
        <v>https://d0f6bd738d7f1b3e5a7ca70fe4ff75f0.us-east-1.aws.found.io/app/kibana#/discover/Steve-Slow-Train-Analysis-(2080s-and-2083s)?_g=(refreshInterval:(display:Off,pause:!f,section:0,value:0),time:(from:'2017-12-19T21:01:15-0700',mode:absolute,to:'2017-12-19T23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47" t="str">
        <f>IF(AA207&lt;VLOOKUP(AG207,Variables!$AC$3:$AD$8,2,FALSE),"Y","N")</f>
        <v>N</v>
      </c>
      <c r="X207" s="247">
        <f t="shared" si="153"/>
        <v>1</v>
      </c>
      <c r="Y207" s="247">
        <f t="shared" si="154"/>
        <v>4.48E-2</v>
      </c>
      <c r="Z207" s="247">
        <f t="shared" si="155"/>
        <v>5.8917999999999999</v>
      </c>
      <c r="AA207" s="247">
        <f t="shared" si="156"/>
        <v>5.8469999999999995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57"/>
        <v>847</v>
      </c>
      <c r="AE207" s="235" t="str">
        <f t="shared" si="165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07" s="234" t="str">
        <f t="shared" si="166"/>
        <v>"C:\Program Files (x86)\AstroGrep\AstroGrep.exe" /e /r /s /spath="%USERPROFILE%\AppData\Local\Temp\OnboardLogs" /stypes="app*4058*20171220*" /stext=" 05:.+((SYSTEM_STATE.+slice.+state.+changed )|(ment ac)|(multiple cpu faults)|(system.+state.+changed )|(\[timeout)|(PRM\|1\|D)|(kpr)|(kdp)|(train st.+moving)|(\|gpps)|(penalty))"</v>
      </c>
      <c r="AG207" s="244" t="str">
        <f t="shared" si="158"/>
        <v>NW</v>
      </c>
      <c r="AH207" s="236" t="str">
        <f t="shared" si="159"/>
        <v>"%USERPROFILE%\Documents\GitHub\eaglep3\Utilities\RefineRTDCRunTimes.py" --tripid 847-19 --locoid 4058 --swversion DE.1.0.9.0 --startMP 204:448 --initTime 2017-12-19T22:01:15 --startdatetime 2017-12-19T22:09:15 --delay 53 --endMP 300:58918 --enddatetime 2017-12-19T22:21:52 --enforcementcount 0 &gt;&gt;%USERPROFILE%\Documents\GitHub\eaglep3-reporting\EC\2017-12-19-refined-times.txt</v>
      </c>
      <c r="AI207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{"issue":{"subject":"","project_id":79,"tracker_id":40,"status_id":1,"priority_id":2,"assigned_to_id":338,"start_date":"2017-12-19","description":"","custom_fields":[{"id":1,"name":"Subdivision","value":"NW"},{"id":4,"name":"Milepost","value":"5.8918"},{"id":17,"name":"Train ID","value":"847-19"},{"id":16,"name":"Locomotive ID","value":"4058"},{"id":130,"name":"Impact","value":""},{"id":150,"name":"Time of Event (Mountain Time)","value":"22:21:52"},{"id":151,"name":"Denver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161"/>
        <v>start /low /b %USERPROFILE%\Documents\GitHub\eaglep3\Utilities\DownloadLogsFromS3.py --loco 4058 --day 2017-12-19</v>
      </c>
      <c r="AN207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05:21:52"},{"id":29,"name":"Sharepoint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63"/>
        <v>https://d0f6bd738d7f1b3e5a7ca70fe4ff75f0.us-east-1.aws.found.io/app/kibana#/discover/Steve-Slow-Train-Analysis-(2080s-and-2083s)?_g=(refreshInterval:(display:Off,pause:!f,section:0,value:0),time:(from:'2017-12-19T21:01:15-0700',mode:absolute,to:'2017-12-19T23:21:52-0700'))&amp;_a=(columns:!('Message%20ID',Summary),filters:!(),index:'emp_*',interval:auto,query:(query_string:(analyze_wildcard:!t,query:'%22rtdc.l.rtdc.4058%22')),sort:!(Time.ISO8601,asc))</v>
      </c>
    </row>
    <row r="208" spans="1:91" s="223" customFormat="1" x14ac:dyDescent="0.25">
      <c r="A208" s="229" t="s">
        <v>902</v>
      </c>
      <c r="B208" s="225">
        <v>4058</v>
      </c>
      <c r="C208" s="227" t="s">
        <v>192</v>
      </c>
      <c r="D208" s="227" t="s">
        <v>539</v>
      </c>
      <c r="E208" s="226">
        <v>43088.961921296293</v>
      </c>
      <c r="F208" s="226">
        <v>43088.964745370373</v>
      </c>
      <c r="G208" s="225">
        <v>68</v>
      </c>
      <c r="H208" s="227" t="s">
        <v>661</v>
      </c>
      <c r="I208" s="226">
        <v>43088.973321759258</v>
      </c>
      <c r="J208" s="225">
        <v>0</v>
      </c>
      <c r="K208" s="237" t="str">
        <f t="shared" si="148"/>
        <v>4057/4058</v>
      </c>
      <c r="L208" s="245" t="str">
        <f>VLOOKUP(A208,'Trips&amp;Operators'!$C$1:$G$99911,5,FALSE)</f>
        <v>STAMBAUGH JAMES</v>
      </c>
      <c r="M208" s="224">
        <f t="shared" si="149"/>
        <v>8.5763888855581172E-3</v>
      </c>
      <c r="N208" s="225">
        <f t="shared" si="150"/>
        <v>12.349999995203689</v>
      </c>
      <c r="O208" s="225"/>
      <c r="P208" s="225"/>
      <c r="Q208" s="228"/>
      <c r="R208" s="242"/>
      <c r="S208" s="249">
        <f t="shared" si="151"/>
        <v>1</v>
      </c>
      <c r="T208" s="242" t="str">
        <f t="shared" si="152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64"/>
        <v>https://d0f6bd738d7f1b3e5a7ca70fe4ff75f0.us-east-1.aws.found.io/app/kibana#/discover/Steve-Slow-Train-Analysis-(2080s-and-2083s)?_g=(refreshInterval:(display:Off,pause:!f,section:0,value:0),time:(from:'2017-12-19T22:05:10-0700',mode:absolute,to:'2017-12-20T00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8" s="247" t="str">
        <f>IF(AA208&lt;VLOOKUP(AG208,Variables!$AC$3:$AD$8,2,FALSE),"Y","N")</f>
        <v>N</v>
      </c>
      <c r="X208" s="247">
        <f t="shared" si="153"/>
        <v>2</v>
      </c>
      <c r="Y208" s="247">
        <f t="shared" si="154"/>
        <v>4.82E-2</v>
      </c>
      <c r="Z208" s="247">
        <f t="shared" si="155"/>
        <v>5.8925999999999998</v>
      </c>
      <c r="AA208" s="247">
        <f t="shared" si="156"/>
        <v>5.8444000000000003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57"/>
        <v>849</v>
      </c>
      <c r="AE208" s="235" t="str">
        <f t="shared" si="165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08" s="234" t="str">
        <f t="shared" si="166"/>
        <v>"C:\Program Files (x86)\AstroGrep\AstroGrep.exe" /e /r /s /spath="%USERPROFILE%\AppData\Local\Temp\OnboardLogs" /stypes="app*4058*20171220*" /stext=" 06:.+((SYSTEM_STATE.+slice.+state.+changed )|(ment ac)|(multiple cpu faults)|(system.+state.+changed )|(\[timeout)|(PRM\|1\|D)|(kpr)|(kdp)|(train st.+moving)|(\|gpps)|(penalty))"</v>
      </c>
      <c r="AG208" s="244" t="str">
        <f t="shared" si="158"/>
        <v>NW</v>
      </c>
      <c r="AH208" s="236" t="str">
        <f t="shared" si="159"/>
        <v>"%USERPROFILE%\Documents\GitHub\eaglep3\Utilities\RefineRTDCRunTimes.py" --tripid 849-19 --locoid 4058 --swversion DE.1.0.9.0 --startMP 204:482 --initTime 2017-12-19T23:05:10 --startdatetime 2017-12-19T23:09:14 --delay 68 --endMP 300:58926 --enddatetime 2017-12-19T23:21:35 --enforcementcount 0 &gt;&gt;%USERPROFILE%\Documents\GitHub\eaglep3-reporting\EC\2017-12-19-refined-times.txt</v>
      </c>
      <c r="AI208" s="238" t="str">
        <f t="shared" si="160"/>
        <v>echo {"issue":{"subject":"","project_id":79,"tracker_id":40,"status_id":1,"priority_id":2,"assigned_to_id":338,"start_date":"2017-12-19","description":"","custom_fields":[{"id":1,"name":"Subdivision","value":"NW"},{"id":4,"name":"Milepost","value":"5.8926"},{"id":17,"name":"Train ID","value":"849-19"},{"id":16,"name":"Locomotive ID","value":"4058"},{"id":130,"name":"Impact","value":""},{"id":150,"name":"Time of Event (Mountain Time)","value":"23:21:35"},{"id":151,"name":"Denver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161"/>
        <v>start /low /b %USERPROFILE%\Documents\GitHub\eaglep3\Utilities\DownloadLogsFromS3.py --loco 4058 --day 2017-12-19</v>
      </c>
      <c r="AN208" s="241" t="str">
        <f t="shared" si="16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63"/>
        <v>https://d0f6bd738d7f1b3e5a7ca70fe4ff75f0.us-east-1.aws.found.io/app/kibana#/discover/Steve-Slow-Train-Analysis-(2080s-and-2083s)?_g=(refreshInterval:(display:Off,pause:!f,section:0,value:0),time:(from:'2017-12-19T22:05:10-0700',mode:absolute,to:'2017-12-20T00:21:35-0700'))&amp;_a=(columns:!('Message%20ID',Summary),filters:!(),index:'emp_*',interval:auto,query:(query_string:(analyze_wildcard:!t,query:'%22rtdc.l.rtdc.4058%22')),sort:!(Time.ISO8601,asc))</v>
      </c>
    </row>
    <row r="209" spans="1:91" s="20" customFormat="1" x14ac:dyDescent="0.25">
      <c r="A209" s="229" t="s">
        <v>871</v>
      </c>
      <c r="B209" s="225">
        <v>4028</v>
      </c>
      <c r="C209" s="227" t="s">
        <v>192</v>
      </c>
      <c r="D209" s="227" t="s">
        <v>1006</v>
      </c>
      <c r="E209" s="226">
        <v>43088.778090277781</v>
      </c>
      <c r="F209" s="226">
        <v>43088.780219907407</v>
      </c>
      <c r="G209" s="225">
        <v>59</v>
      </c>
      <c r="H209" s="227" t="s">
        <v>654</v>
      </c>
      <c r="I209" s="226">
        <v>43088.786793981482</v>
      </c>
      <c r="J209" s="225">
        <v>0</v>
      </c>
      <c r="K209" s="237" t="str">
        <f t="shared" ref="K209:K232" si="167">IF(ISEVEN(B209),(B209-1)&amp;"/"&amp;B209,B209&amp;"/"&amp;(B209+1))</f>
        <v>4027/4028</v>
      </c>
      <c r="L209" s="245" t="str">
        <f>VLOOKUP(A209,'Trips&amp;Operators'!$C$1:$G$99911,5,FALSE)</f>
        <v>HAMMOND JUSTYNN</v>
      </c>
      <c r="M209" s="224">
        <f t="shared" ref="M209:M232" si="168">I209-F209</f>
        <v>6.5740740756154992E-3</v>
      </c>
      <c r="N209" s="225">
        <f t="shared" ref="N209:N232" si="169">24*60*SUM($M209:$M209)</f>
        <v>9.4666666688863188</v>
      </c>
      <c r="O209" s="225"/>
      <c r="P209" s="225"/>
      <c r="Q209" s="228"/>
      <c r="R209" s="242"/>
      <c r="S209" s="249">
        <f t="shared" ref="S209:S232" si="170">1/IF(AG209="EC",12,1)*SUM(U209:U209)</f>
        <v>1</v>
      </c>
      <c r="T209" s="242" t="str">
        <f t="shared" ref="T209:T232" si="171"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64"/>
        <v>https://d0f6bd738d7f1b3e5a7ca70fe4ff75f0.us-east-1.aws.found.io/app/kibana#/discover/Steve-Slow-Train-Analysis-(2080s-and-2083s)?_g=(refreshInterval:(display:Off,pause:!f,section:0,value:0),time:(from:'2017-12-19T17:40:27-0700',mode:absolute,to:'2017-12-19T19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247" t="str">
        <f>IF(AA209&lt;VLOOKUP(AG209,Variables!$AC$3:$AD$8,2,FALSE),"Y","N")</f>
        <v>Y</v>
      </c>
      <c r="X209" s="247">
        <f t="shared" si="153"/>
        <v>-548</v>
      </c>
      <c r="Y209" s="247">
        <f t="shared" ref="Y209:Y232" si="172">RIGHT(D209,LEN(D209)-4)/10000</f>
        <v>0.1361</v>
      </c>
      <c r="Z209" s="247">
        <f t="shared" ref="Z209:Z232" si="173">RIGHT(H209,LEN(H209)-4)/10000</f>
        <v>2.3308</v>
      </c>
      <c r="AA209" s="247">
        <f t="shared" ref="AA209:AA232" si="174">ABS(Z209-Y209)</f>
        <v>2.1947000000000001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ref="AD209:AD232" si="175">VALUE(LEFT(A209,LEN(A209)-3))</f>
        <v>301</v>
      </c>
      <c r="AE209" s="235" t="str">
        <f t="shared" si="165"/>
        <v>aws s3 cp s3://rtdc.mdm.uploadarchive.raw/RTDC4028/ "%USERPROFILE%\AppData\Local\Temp\OnboardLogs"\RTDC4028\2017-12-19 --exclude "*" --recursive --include "*20171219*" &amp; "%USERPROFILE%\Documents\GitHub\mrs-test-scripts\Headless Mode &amp; Sideloading\WalkAndUnGZ.bat" "%USERPROFILE%\AppData\Local\Temp\OnboardLogs"\RTDC4028\2017-12-19 &amp; aws s3 cp s3://rtdc.mdm.uploadarchive.raw/RTDC4028/ "%USERPROFILE%\AppData\Local\Temp\OnboardLogs"\RTDC4028\2017-12-20 --exclude "*" --recursive --include "*20171220*" &amp; "%USERPROFILE%\Documents\GitHub\mrs-test-scripts\Headless Mode &amp; Sideloading\WalkAndUnGZ.bat" "%USERPROFILE%\AppData\Local\Temp\OnboardLogs"\RTDC4028\2017-12-20</v>
      </c>
      <c r="AF209" s="234" t="str">
        <f t="shared" si="166"/>
        <v>"C:\Program Files (x86)\AstroGrep\AstroGrep.exe" /e /r /s /spath="%USERPROFILE%\AppData\Local\Temp\OnboardLogs" /stypes="app*4028*20171220*" /stext=" 01:.+((SYSTEM_STATE.+slice.+state.+changed )|(ment ac)|(multiple cpu faults)|(system.+state.+changed )|(\[timeout)|(PRM\|1\|D)|(kpr)|(kdp)|(train st.+moving)|(\|gpps)|(penalty))"</v>
      </c>
      <c r="AG209" s="244" t="str">
        <f t="shared" ref="AG209:AG232" si="176">DetSubdiv(A209)</f>
        <v>Other</v>
      </c>
      <c r="AH209" s="236" t="str">
        <f t="shared" si="92"/>
        <v>"%USERPROFILE%\Documents\GitHub\eaglep3\Utilities\RefineRTDCRunTimes.py" --tripid 301-19 --locoid 4028 --swversion DE.1.0.9.0 --startMP 204:1361 --initTime 2017-12-19T18:40:27 --startdatetime 2017-12-19T18:43:31 --delay 59 --endMP 300:23308 --enddatetime 2017-12-19T18:52:59 --enforcementcount 0 &gt;&gt;%USERPROFILE%\Documents\GitHub\eaglep3-reporting\EC\2017-12-19-refined-times.txt</v>
      </c>
      <c r="AI209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{"issue":{"subject":"","project_id":79,"tracker_id":40,"status_id":1,"priority_id":2,"assigned_to_id":338,"start_date":"2017-12-19","description":"","custom_fields":[{"id":1,"name":"Subdivision","value":"Other"},{"id":4,"name":"Milepost","value":"2.3308"},{"id":17,"name":"Train ID","value":"301-19"},{"id":16,"name":"Locomotive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94"/>
        <v>start /low /b %USERPROFILE%\Documents\GitHub\eaglep3\Utilities\DownloadLogsFromS3.py --loco 4028 --day 2017-12-19</v>
      </c>
      <c r="AN209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96"/>
        <v>https://d0f6bd738d7f1b3e5a7ca70fe4ff75f0.us-east-1.aws.found.io/app/kibana#/discover/Steve-Slow-Train-Analysis-(2080s-and-2083s)?_g=(refreshInterval:(display:Off,pause:!f,section:0,value:0),time:(from:'2017-12-19T17:40:27-0700',mode:absolute,to:'2017-12-19T19:52:59-0700'))&amp;_a=(columns:!('Message%20ID',Summary),filters:!(),index:'emp_*',interval:auto,query:(query_string:(analyze_wildcard:!t,query:'%22rtdc.l.rtdc.4028%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700</v>
      </c>
      <c r="B210" s="225">
        <v>4039</v>
      </c>
      <c r="C210" s="227" t="s">
        <v>192</v>
      </c>
      <c r="D210" s="227" t="s">
        <v>1007</v>
      </c>
      <c r="E210" s="226">
        <v>43088.137708333335</v>
      </c>
      <c r="F210" s="226">
        <v>43088.140763888892</v>
      </c>
      <c r="G210" s="225">
        <v>93</v>
      </c>
      <c r="H210" s="227" t="s">
        <v>941</v>
      </c>
      <c r="I210" s="226">
        <v>43088.146331018521</v>
      </c>
      <c r="J210" s="225">
        <v>0</v>
      </c>
      <c r="K210" s="237" t="str">
        <f t="shared" si="167"/>
        <v>4039/4040</v>
      </c>
      <c r="L210" s="245" t="str">
        <f>VLOOKUP(A210,'Trips&amp;Operators'!$C$1:$G$99911,5,FALSE)</f>
        <v>ACKERMAN JARED</v>
      </c>
      <c r="M210" s="224">
        <f t="shared" si="168"/>
        <v>5.5671296286163852E-3</v>
      </c>
      <c r="N210" s="225">
        <f t="shared" si="169"/>
        <v>8.0166666652075946</v>
      </c>
      <c r="O210" s="225"/>
      <c r="P210" s="225"/>
      <c r="Q210" s="228"/>
      <c r="R210" s="242"/>
      <c r="S210" s="249">
        <f t="shared" si="170"/>
        <v>1</v>
      </c>
      <c r="T210" s="242" t="str">
        <f t="shared" si="171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64"/>
        <v>https://d0f6bd738d7f1b3e5a7ca70fe4ff75f0.us-east-1.aws.found.io/app/kibana#/discover/Steve-Slow-Train-Analysis-(2080s-and-2083s)?_g=(refreshInterval:(display:Off,pause:!f,section:0,value:0),time:(from:'2017-12-19T02:18:18-0700',mode:absolute,to:'2017-12-19T04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247" t="str">
        <f>IF(AA210&lt;VLOOKUP(AG210,Variables!$AC$3:$AD$8,2,FALSE),"Y","N")</f>
        <v>Y</v>
      </c>
      <c r="X210" s="247">
        <f t="shared" si="153"/>
        <v>1</v>
      </c>
      <c r="Y210" s="247">
        <f t="shared" si="172"/>
        <v>2.3393999999999999</v>
      </c>
      <c r="Z210" s="247">
        <f t="shared" si="173"/>
        <v>1.43E-2</v>
      </c>
      <c r="AA210" s="247">
        <f t="shared" si="174"/>
        <v>2.3250999999999999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75"/>
        <v>302</v>
      </c>
      <c r="AE210" s="235" t="str">
        <f t="shared" si="165"/>
        <v>aws s3 cp s3://rtdc.mdm.uploadarchive.raw/RTDC4039/ "%USERPROFILE%\AppData\Local\Temp\OnboardLogs"\RTDC4039\2017-12-19 --exclude "*" --recursive --include "*20171219*" &amp; "%USERPROFILE%\Documents\GitHub\mrs-test-scripts\Headless Mode &amp; Sideloading\WalkAndUnGZ.bat" "%USERPROFILE%\AppData\Local\Temp\OnboardLogs"\RTDC4039\2017-12-19 &amp; 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</v>
      </c>
      <c r="AF210" s="234" t="str">
        <f t="shared" si="166"/>
        <v>"C:\Program Files (x86)\AstroGrep\AstroGrep.exe" /e /r /s /spath="%USERPROFILE%\AppData\Local\Temp\OnboardLogs" /stypes="app*4039*20171219*" /stext=" 10:.+((SYSTEM_STATE.+slice.+state.+changed )|(ment ac)|(multiple cpu faults)|(system.+state.+changed )|(\[timeout)|(PRM\|1\|D)|(kpr)|(kdp)|(train st.+moving)|(\|gpps)|(penalty))"</v>
      </c>
      <c r="AG210" s="244" t="str">
        <f t="shared" si="176"/>
        <v>Other</v>
      </c>
      <c r="AH210" s="236" t="str">
        <f t="shared" si="92"/>
        <v>"%USERPROFILE%\Documents\GitHub\eaglep3\Utilities\RefineRTDCRunTimes.py" --tripid 302-19 --locoid 4039 --swversion DE.1.0.9.0 --startMP 300:23394 --initTime 2017-12-19T03:18:18 --startdatetime 2017-12-19T03:22:42 --delay 93 --endMP 204:143 --enddatetime 2017-12-19T03:30:43 --enforcementcount 0 &gt;&gt;%USERPROFILE%\Documents\GitHub\eaglep3-reporting\EC\2017-12-19-refined-times.txt</v>
      </c>
      <c r="AI210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{"issue":{"subject":"","project_id":79,"tracker_id":40,"status_id":1,"priority_id":2,"assigned_to_id":338,"start_date":"2017-12-19","description":"","custom_fields":[{"id":1,"name":"Subdivision","value":"Other"},{"id":4,"name":"Milepost","value":"0.0143"},{"id":17,"name":"Train ID","value":"302-19"},{"id":16,"name":"Locomotive ID","value":"4039"},{"id":130,"name":"Impact","value":""},{"id":150,"name":"Time of Event (Mountain Time)","value":"03:30:43"},{"id":151,"name":"Denver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94"/>
        <v>start /low /b %USERPROFILE%\Documents\GitHub\eaglep3\Utilities\DownloadLogsFromS3.py --loco 4039 --day 2017-12-19</v>
      </c>
      <c r="AN210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10:30:43"},{"id":29,"name":"Sharepoint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96"/>
        <v>https://d0f6bd738d7f1b3e5a7ca70fe4ff75f0.us-east-1.aws.found.io/app/kibana#/discover/Steve-Slow-Train-Analysis-(2080s-and-2083s)?_g=(refreshInterval:(display:Off,pause:!f,section:0,value:0),time:(from:'2017-12-19T02:18:18-0700',mode:absolute,to:'2017-12-19T04:30:43-0700'))&amp;_a=(columns:!('Message%20ID',Summary),filters:!(),index:'emp_*',interval:auto,query:(query_string:(analyze_wildcard:!t,query:'%22rtdc.l.rtdc.4039%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25">
      <c r="A211" s="229" t="s">
        <v>877</v>
      </c>
      <c r="B211" s="225">
        <v>4064</v>
      </c>
      <c r="C211" s="227" t="s">
        <v>192</v>
      </c>
      <c r="D211" s="227" t="s">
        <v>534</v>
      </c>
      <c r="E211" s="226">
        <v>43088.797071759262</v>
      </c>
      <c r="F211" s="226">
        <v>43088.801944444444</v>
      </c>
      <c r="G211" s="225">
        <v>70</v>
      </c>
      <c r="H211" s="227" t="s">
        <v>654</v>
      </c>
      <c r="I211" s="226">
        <v>43088.808344907404</v>
      </c>
      <c r="J211" s="225">
        <v>0</v>
      </c>
      <c r="K211" s="237" t="str">
        <f t="shared" si="167"/>
        <v>4063/4064</v>
      </c>
      <c r="L211" s="245" t="str">
        <f>VLOOKUP(A211,'Trips&amp;Operators'!$C$1:$G$99911,5,FALSE)</f>
        <v>SAFIEF AEIMEN</v>
      </c>
      <c r="M211" s="224">
        <f t="shared" si="168"/>
        <v>6.4004629603005014E-3</v>
      </c>
      <c r="N211" s="225">
        <f t="shared" si="169"/>
        <v>9.2166666628327221</v>
      </c>
      <c r="O211" s="225"/>
      <c r="P211" s="225"/>
      <c r="Q211" s="228"/>
      <c r="R211" s="242"/>
      <c r="S211" s="249">
        <f t="shared" si="170"/>
        <v>1</v>
      </c>
      <c r="T211" s="242" t="str">
        <f t="shared" si="171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64"/>
        <v>https://d0f6bd738d7f1b3e5a7ca70fe4ff75f0.us-east-1.aws.found.io/app/kibana#/discover/Steve-Slow-Train-Analysis-(2080s-and-2083s)?_g=(refreshInterval:(display:Off,pause:!f,section:0,value:0),time:(from:'2017-12-19T18:07:47-0700',mode:absolute,to:'2017-12-19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47" t="str">
        <f>IF(AA211&lt;VLOOKUP(AG211,Variables!$AC$3:$AD$8,2,FALSE),"Y","N")</f>
        <v>Y</v>
      </c>
      <c r="X211" s="247">
        <f t="shared" ref="X211:X232" si="177">VALUE(LEFT(AD211,4))-VALUE(LEFT(AD210,4))</f>
        <v>1</v>
      </c>
      <c r="Y211" s="247">
        <f t="shared" si="172"/>
        <v>5.04E-2</v>
      </c>
      <c r="Z211" s="247">
        <f t="shared" si="173"/>
        <v>2.3308</v>
      </c>
      <c r="AA211" s="247">
        <f t="shared" si="174"/>
        <v>2.2804000000000002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75"/>
        <v>303</v>
      </c>
      <c r="AE211" s="235" t="str">
        <f t="shared" si="165"/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AF211" s="234" t="str">
        <f t="shared" si="166"/>
        <v>"C:\Program Files (x86)\AstroGrep\AstroGrep.exe" /e /r /s /spath="%USERPROFILE%\AppData\Local\Temp\OnboardLogs" /stypes="app*4064*20171220*" /stext=" 02:.+((SYSTEM_STATE.+slice.+state.+changed )|(ment ac)|(multiple cpu faults)|(system.+state.+changed )|(\[timeout)|(PRM\|1\|D)|(kpr)|(kdp)|(train st.+moving)|(\|gpps)|(penalty))"</v>
      </c>
      <c r="AG211" s="244" t="str">
        <f t="shared" si="176"/>
        <v>Other</v>
      </c>
      <c r="AH211" s="236" t="str">
        <f t="shared" si="92"/>
        <v>"%USERPROFILE%\Documents\GitHub\eaglep3\Utilities\RefineRTDCRunTimes.py" --tripid 303-19 --locoid 4064 --swversion DE.1.0.9.0 --startMP 204:504 --initTime 2017-12-19T19:07:47 --startdatetime 2017-12-19T19:14:48 --delay 70 --endMP 300:23308 --enddatetime 2017-12-19T19:24:01 --enforcementcount 0 &gt;&gt;%USERPROFILE%\Documents\GitHub\eaglep3-reporting\EC\2017-12-19-refined-times.txt</v>
      </c>
      <c r="AI211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{"issue":{"subject":"","project_id":79,"tracker_id":40,"status_id":1,"priority_id":2,"assigned_to_id":338,"start_date":"2017-12-19","description":"","custom_fields":[{"id":1,"name":"Subdivision","value":"Other"},{"id":4,"name":"Milepost","value":"2.3308"},{"id":17,"name":"Train ID","value":"303-19"},{"id":16,"name":"Locomotive ID","value":"4064"},{"id":130,"name":"Impact","value":""},{"id":150,"name":"Time of Event (Mountain Time)","value":"19:24:01"},{"id":151,"name":"Denver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94"/>
        <v>start /low /b %USERPROFILE%\Documents\GitHub\eaglep3\Utilities\DownloadLogsFromS3.py --loco 4064 --day 2017-12-19</v>
      </c>
      <c r="AN211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96"/>
        <v>https://d0f6bd738d7f1b3e5a7ca70fe4ff75f0.us-east-1.aws.found.io/app/kibana#/discover/Steve-Slow-Train-Analysis-(2080s-and-2083s)?_g=(refreshInterval:(display:Off,pause:!f,section:0,value:0),time:(from:'2017-12-19T18:07:47-0700',mode:absolute,to:'2017-12-19T20:24:01-0700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707</v>
      </c>
      <c r="B212" s="225">
        <v>4017</v>
      </c>
      <c r="C212" s="227" t="s">
        <v>192</v>
      </c>
      <c r="D212" s="227" t="s">
        <v>1008</v>
      </c>
      <c r="E212" s="226">
        <v>43088.162858796299</v>
      </c>
      <c r="F212" s="226">
        <v>43088.167175925926</v>
      </c>
      <c r="G212" s="225">
        <v>83</v>
      </c>
      <c r="H212" s="227" t="s">
        <v>1009</v>
      </c>
      <c r="I212" s="226">
        <v>43088.172592592593</v>
      </c>
      <c r="J212" s="225">
        <v>0</v>
      </c>
      <c r="K212" s="237" t="str">
        <f t="shared" si="167"/>
        <v>4017/4018</v>
      </c>
      <c r="L212" s="245" t="str">
        <f>VLOOKUP(A212,'Trips&amp;Operators'!$C$1:$G$99911,5,FALSE)</f>
        <v>THOMPSON LESTER</v>
      </c>
      <c r="M212" s="224">
        <f t="shared" si="168"/>
        <v>5.4166666668606922E-3</v>
      </c>
      <c r="N212" s="225">
        <f t="shared" si="169"/>
        <v>7.8000000002793968</v>
      </c>
      <c r="O212" s="225"/>
      <c r="P212" s="225"/>
      <c r="Q212" s="228"/>
      <c r="R212" s="242"/>
      <c r="S212" s="249">
        <f t="shared" si="170"/>
        <v>1</v>
      </c>
      <c r="T212" s="242" t="str">
        <f t="shared" si="171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64"/>
        <v>https://d0f6bd738d7f1b3e5a7ca70fe4ff75f0.us-east-1.aws.found.io/app/kibana#/discover/Steve-Slow-Train-Analysis-(2080s-and-2083s)?_g=(refreshInterval:(display:Off,pause:!f,section:0,value:0),time:(from:'2017-12-19T02:54:31-0700',mode:absolute,to:'2017-12-19T05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47" t="str">
        <f>IF(AA212&lt;VLOOKUP(AG212,Variables!$AC$3:$AD$8,2,FALSE),"Y","N")</f>
        <v>Y</v>
      </c>
      <c r="X212" s="247">
        <f t="shared" si="177"/>
        <v>1</v>
      </c>
      <c r="Y212" s="247">
        <f t="shared" si="172"/>
        <v>2.3477999999999999</v>
      </c>
      <c r="Z212" s="247">
        <f t="shared" si="173"/>
        <v>1.67E-2</v>
      </c>
      <c r="AA212" s="247">
        <f t="shared" si="174"/>
        <v>2.3310999999999997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75"/>
        <v>304</v>
      </c>
      <c r="AE212" s="235" t="str">
        <f t="shared" si="165"/>
        <v>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 &amp; aws s3 cp s3://rtdc.mdm.uploadarchive.raw/RTDC4017/ "%USERPROFILE%\AppData\Local\Temp\OnboardLogs"\RTDC4017\2017-12-20 --exclude "*" --recursive --include "*20171220*" &amp; "%USERPROFILE%\Documents\GitHub\mrs-test-scripts\Headless Mode &amp; Sideloading\WalkAndUnGZ.bat" "%USERPROFILE%\AppData\Local\Temp\OnboardLogs"\RTDC4017\2017-12-20</v>
      </c>
      <c r="AF212" s="234" t="str">
        <f t="shared" si="166"/>
        <v>"C:\Program Files (x86)\AstroGrep\AstroGrep.exe" /e /r /s /spath="%USERPROFILE%\AppData\Local\Temp\OnboardLogs" /stypes="app*4017*20171219*" /stext=" 11:.+((SYSTEM_STATE.+slice.+state.+changed )|(ment ac)|(multiple cpu faults)|(system.+state.+changed )|(\[timeout)|(PRM\|1\|D)|(kpr)|(kdp)|(train st.+moving)|(\|gpps)|(penalty))"</v>
      </c>
      <c r="AG212" s="244" t="str">
        <f t="shared" si="176"/>
        <v>Other</v>
      </c>
      <c r="AH212" s="236" t="str">
        <f t="shared" si="92"/>
        <v>"%USERPROFILE%\Documents\GitHub\eaglep3\Utilities\RefineRTDCRunTimes.py" --tripid 304-19 --locoid 4017 --swversion DE.1.0.9.0 --startMP 300:23478 --initTime 2017-12-19T03:54:31 --startdatetime 2017-12-19T04:00:44 --delay 83 --endMP 204:167 --enddatetime 2017-12-19T04:08:32 --enforcementcount 0 &gt;&gt;%USERPROFILE%\Documents\GitHub\eaglep3-reporting\EC\2017-12-19-refined-times.txt</v>
      </c>
      <c r="AI212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{"issue":{"subject":"","project_id":79,"tracker_id":40,"status_id":1,"priority_id":2,"assigned_to_id":338,"start_date":"2017-12-19","description":"","custom_fields":[{"id":1,"name":"Subdivision","value":"Other"},{"id":4,"name":"Milepost","value":"0.0167"},{"id":17,"name":"Train ID","value":"304-19"},{"id":16,"name":"Locomotive ID","value":"4017"},{"id":130,"name":"Impact","value":""},{"id":150,"name":"Time of Event (Mountain Time)","value":"04:08:32"},{"id":151,"name":"Denver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94"/>
        <v>start /low /b %USERPROFILE%\Documents\GitHub\eaglep3\Utilities\DownloadLogsFromS3.py --loco 4017 --day 2017-12-19</v>
      </c>
      <c r="AN212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96"/>
        <v>https://d0f6bd738d7f1b3e5a7ca70fe4ff75f0.us-east-1.aws.found.io/app/kibana#/discover/Steve-Slow-Train-Analysis-(2080s-and-2083s)?_g=(refreshInterval:(display:Off,pause:!f,section:0,value:0),time:(from:'2017-12-19T02:54:31-0700',mode:absolute,to:'2017-12-19T05:08:32-0700'))&amp;_a=(columns:!('Message%20ID',Summary),filters:!(),index:'emp_*',interval:auto,query:(query_string:(analyze_wildcard:!t,query:'%22rtdc.l.rtdc.4017%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881</v>
      </c>
      <c r="B213" s="225">
        <v>4032</v>
      </c>
      <c r="C213" s="227" t="s">
        <v>192</v>
      </c>
      <c r="D213" s="227" t="s">
        <v>1010</v>
      </c>
      <c r="E213" s="226">
        <v>43088.819421296299</v>
      </c>
      <c r="F213" s="226">
        <v>43088.821145833332</v>
      </c>
      <c r="G213" s="225">
        <v>57</v>
      </c>
      <c r="H213" s="227" t="s">
        <v>585</v>
      </c>
      <c r="I213" s="226">
        <v>43088.831932870373</v>
      </c>
      <c r="J213" s="225">
        <v>0</v>
      </c>
      <c r="K213" s="237" t="str">
        <f t="shared" si="167"/>
        <v>4031/4032</v>
      </c>
      <c r="L213" s="245" t="str">
        <f>VLOOKUP(A213,'Trips&amp;Operators'!$C$1:$G$99911,5,FALSE)</f>
        <v>SMITH MICHAEL</v>
      </c>
      <c r="M213" s="224">
        <f t="shared" si="168"/>
        <v>1.078703704115469E-2</v>
      </c>
      <c r="N213" s="225">
        <f t="shared" si="169"/>
        <v>15.533333339262754</v>
      </c>
      <c r="O213" s="225"/>
      <c r="P213" s="225"/>
      <c r="Q213" s="228"/>
      <c r="R213" s="242"/>
      <c r="S213" s="249">
        <f t="shared" si="170"/>
        <v>1</v>
      </c>
      <c r="T213" s="242" t="str">
        <f t="shared" si="171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64"/>
        <v>https://d0f6bd738d7f1b3e5a7ca70fe4ff75f0.us-east-1.aws.found.io/app/kibana#/discover/Steve-Slow-Train-Analysis-(2080s-and-2083s)?_g=(refreshInterval:(display:Off,pause:!f,section:0,value:0),time:(from:'2017-12-19T18:39:58-0700',mode:absolute,to:'2017-12-19T20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3" s="247" t="str">
        <f>IF(AA213&lt;VLOOKUP(AG213,Variables!$AC$3:$AD$8,2,FALSE),"Y","N")</f>
        <v>Y</v>
      </c>
      <c r="X213" s="247">
        <f t="shared" si="177"/>
        <v>1</v>
      </c>
      <c r="Y213" s="247">
        <f t="shared" si="172"/>
        <v>5.5500000000000001E-2</v>
      </c>
      <c r="Z213" s="247">
        <f t="shared" si="173"/>
        <v>2.3298999999999999</v>
      </c>
      <c r="AA213" s="247">
        <f t="shared" si="174"/>
        <v>2.2744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75"/>
        <v>305</v>
      </c>
      <c r="AE213" s="235" t="str">
        <f t="shared" si="165"/>
        <v>aws s3 cp s3://rtdc.mdm.uploadarchive.raw/RTDC4032/ "%USERPROFILE%\AppData\Local\Temp\OnboardLogs"\RTDC4032\2017-12-19 --exclude "*" --recursive --include "*20171219*" &amp; "%USERPROFILE%\Documents\GitHub\mrs-test-scripts\Headless Mode &amp; Sideloading\WalkAndUnGZ.bat" "%USERPROFILE%\AppData\Local\Temp\OnboardLogs"\RTDC4032\2017-12-19 &amp; 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</v>
      </c>
      <c r="AF213" s="234" t="str">
        <f t="shared" si="166"/>
        <v>"C:\Program Files (x86)\AstroGrep\AstroGrep.exe" /e /r /s /spath="%USERPROFILE%\AppData\Local\Temp\OnboardLogs" /stypes="app*4032*20171220*" /stext=" 02:.+((SYSTEM_STATE.+slice.+state.+changed )|(ment ac)|(multiple cpu faults)|(system.+state.+changed )|(\[timeout)|(PRM\|1\|D)|(kpr)|(kdp)|(train st.+moving)|(\|gpps)|(penalty))"</v>
      </c>
      <c r="AG213" s="244" t="str">
        <f t="shared" si="176"/>
        <v>Other</v>
      </c>
      <c r="AH213" s="236" t="str">
        <f t="shared" si="92"/>
        <v>"%USERPROFILE%\Documents\GitHub\eaglep3\Utilities\RefineRTDCRunTimes.py" --tripid 305-19 --locoid 4032 --swversion DE.1.0.9.0 --startMP 204:555 --initTime 2017-12-19T19:39:58 --startdatetime 2017-12-19T19:42:27 --delay 57 --endMP 300:23299 --enddatetime 2017-12-19T19:57:59 --enforcementcount 0 &gt;&gt;%USERPROFILE%\Documents\GitHub\eaglep3-reporting\EC\2017-12-19-refined-times.txt</v>
      </c>
      <c r="AI213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{"issue":{"subject":"","project_id":79,"tracker_id":40,"status_id":1,"priority_id":2,"assigned_to_id":338,"start_date":"2017-12-19","description":"","custom_fields":[{"id":1,"name":"Subdivision","value":"Other"},{"id":4,"name":"Milepost","value":"2.3299"},{"id":17,"name":"Train ID","value":"305-19"},{"id":16,"name":"Locomotive ID","value":"4032"},{"id":130,"name":"Impact","value":""},{"id":150,"name":"Time of Event (Mountain Time)","value":"19:57:59"},{"id":151,"name":"Denver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94"/>
        <v>start /low /b %USERPROFILE%\Documents\GitHub\eaglep3\Utilities\DownloadLogsFromS3.py --loco 4032 --day 2017-12-19</v>
      </c>
      <c r="AN213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96"/>
        <v>https://d0f6bd738d7f1b3e5a7ca70fe4ff75f0.us-east-1.aws.found.io/app/kibana#/discover/Steve-Slow-Train-Analysis-(2080s-and-2083s)?_g=(refreshInterval:(display:Off,pause:!f,section:0,value:0),time:(from:'2017-12-19T18:39:58-0700',mode:absolute,to:'2017-12-19T20:57:59-0700'))&amp;_a=(columns:!('Message%20ID',Summary),filters:!(),index:'emp_*',interval:auto,query:(query_string:(analyze_wildcard:!t,query:'%22rtdc.l.rtdc.4032%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708</v>
      </c>
      <c r="B214" s="225">
        <v>4013</v>
      </c>
      <c r="C214" s="227" t="s">
        <v>192</v>
      </c>
      <c r="D214" s="227" t="s">
        <v>1011</v>
      </c>
      <c r="E214" s="226">
        <v>43088.168715277781</v>
      </c>
      <c r="F214" s="226">
        <v>43088.172847222224</v>
      </c>
      <c r="G214" s="225">
        <v>75</v>
      </c>
      <c r="H214" s="227" t="s">
        <v>617</v>
      </c>
      <c r="I214" s="226">
        <v>43088.180543981478</v>
      </c>
      <c r="J214" s="225">
        <v>0</v>
      </c>
      <c r="K214" s="237" t="str">
        <f t="shared" si="167"/>
        <v>4013/4014</v>
      </c>
      <c r="L214" s="245" t="str">
        <f>VLOOKUP(A214,'Trips&amp;Operators'!$C$1:$G$99911,5,FALSE)</f>
        <v>DELGADO DIANAH</v>
      </c>
      <c r="M214" s="224">
        <f t="shared" si="168"/>
        <v>7.696759254031349E-3</v>
      </c>
      <c r="N214" s="225">
        <f t="shared" si="169"/>
        <v>11.083333325805143</v>
      </c>
      <c r="O214" s="225"/>
      <c r="P214" s="225"/>
      <c r="Q214" s="228"/>
      <c r="R214" s="242"/>
      <c r="S214" s="249">
        <f t="shared" si="170"/>
        <v>1</v>
      </c>
      <c r="T214" s="242" t="str">
        <f t="shared" si="171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64"/>
        <v>https://d0f6bd738d7f1b3e5a7ca70fe4ff75f0.us-east-1.aws.found.io/app/kibana#/discover/Steve-Slow-Train-Analysis-(2080s-and-2083s)?_g=(refreshInterval:(display:Off,pause:!f,section:0,value:0),time:(from:'2017-12-19T03:02:57-0700',mode:absolute,to:'2017-12-19T05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47" t="str">
        <f>IF(AA214&lt;VLOOKUP(AG214,Variables!$AC$3:$AD$8,2,FALSE),"Y","N")</f>
        <v>Y</v>
      </c>
      <c r="X214" s="247">
        <f t="shared" si="177"/>
        <v>1</v>
      </c>
      <c r="Y214" s="247">
        <f t="shared" si="172"/>
        <v>2.2965</v>
      </c>
      <c r="Z214" s="247">
        <f t="shared" si="173"/>
        <v>1.52E-2</v>
      </c>
      <c r="AA214" s="247">
        <f t="shared" si="174"/>
        <v>2.2812999999999999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75"/>
        <v>306</v>
      </c>
      <c r="AE214" s="235" t="str">
        <f t="shared" si="165"/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AF214" s="234" t="str">
        <f t="shared" si="166"/>
        <v>"C:\Program Files (x86)\AstroGrep\AstroGrep.exe" /e /r /s /spath="%USERPROFILE%\AppData\Local\Temp\OnboardLogs" /stypes="app*4013*20171219*" /stext=" 11:.+((SYSTEM_STATE.+slice.+state.+changed )|(ment ac)|(multiple cpu faults)|(system.+state.+changed )|(\[timeout)|(PRM\|1\|D)|(kpr)|(kdp)|(train st.+moving)|(\|gpps)|(penalty))"</v>
      </c>
      <c r="AG214" s="244" t="str">
        <f t="shared" si="176"/>
        <v>Other</v>
      </c>
      <c r="AH214" s="236" t="str">
        <f t="shared" si="92"/>
        <v>"%USERPROFILE%\Documents\GitHub\eaglep3\Utilities\RefineRTDCRunTimes.py" --tripid 306-19 --locoid 4013 --swversion DE.1.0.9.0 --startMP 300:22965 --initTime 2017-12-19T04:02:57 --startdatetime 2017-12-19T04:08:54 --delay 75 --endMP 204:152 --enddatetime 2017-12-19T04:19:59 --enforcementcount 0 &gt;&gt;%USERPROFILE%\Documents\GitHub\eaglep3-reporting\EC\2017-12-19-refined-times.txt</v>
      </c>
      <c r="AI214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{"issue":{"subject":"","project_id":79,"tracker_id":40,"status_id":1,"priority_id":2,"assigned_to_id":338,"start_date":"2017-12-19","description":"","custom_fields":[{"id":1,"name":"Subdivision","value":"Other"},{"id":4,"name":"Milepost","value":"0.0152"},{"id":17,"name":"Train ID","value":"306-19"},{"id":16,"name":"Locomotive ID","value":"4013"},{"id":130,"name":"Impact","value":""},{"id":150,"name":"Time of Event (Mountain Time)","value":"04:19:59"},{"id":151,"name":"Denver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94"/>
        <v>start /low /b %USERPROFILE%\Documents\GitHub\eaglep3\Utilities\DownloadLogsFromS3.py --loco 4013 --day 2017-12-19</v>
      </c>
      <c r="AN214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96"/>
        <v>https://d0f6bd738d7f1b3e5a7ca70fe4ff75f0.us-east-1.aws.found.io/app/kibana#/discover/Steve-Slow-Train-Analysis-(2080s-and-2083s)?_g=(refreshInterval:(display:Off,pause:!f,section:0,value:0),time:(from:'2017-12-19T03:02:57-0700',mode:absolute,to:'2017-12-19T05:19:59-0700'))&amp;_a=(columns:!('Message%20ID',Summary),filters:!(),index:'emp_*',interval:auto,query:(query_string:(analyze_wildcard:!t,query:'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25">
      <c r="A215" s="229" t="s">
        <v>712</v>
      </c>
      <c r="B215" s="225">
        <v>4027</v>
      </c>
      <c r="C215" s="227" t="s">
        <v>192</v>
      </c>
      <c r="D215" s="227" t="s">
        <v>1012</v>
      </c>
      <c r="E215" s="226">
        <v>43088.183020833334</v>
      </c>
      <c r="F215" s="226">
        <v>43088.187141203707</v>
      </c>
      <c r="G215" s="225">
        <v>84</v>
      </c>
      <c r="H215" s="227" t="s">
        <v>562</v>
      </c>
      <c r="I215" s="226">
        <v>43088.192337962966</v>
      </c>
      <c r="J215" s="225">
        <v>0</v>
      </c>
      <c r="K215" s="237" t="str">
        <f t="shared" si="167"/>
        <v>4027/4028</v>
      </c>
      <c r="L215" s="245" t="str">
        <f>VLOOKUP(A215,'Trips&amp;Operators'!$C$1:$G$99911,5,FALSE)</f>
        <v>LAMAR NEKESHA</v>
      </c>
      <c r="M215" s="224">
        <f t="shared" si="168"/>
        <v>5.1967592589790002E-3</v>
      </c>
      <c r="N215" s="225">
        <f t="shared" si="169"/>
        <v>7.4833333329297602</v>
      </c>
      <c r="O215" s="225"/>
      <c r="P215" s="225"/>
      <c r="Q215" s="228"/>
      <c r="R215" s="242"/>
      <c r="S215" s="249">
        <f t="shared" si="170"/>
        <v>1</v>
      </c>
      <c r="T215" s="242" t="str">
        <f t="shared" si="171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64"/>
        <v>https://d0f6bd738d7f1b3e5a7ca70fe4ff75f0.us-east-1.aws.found.io/app/kibana#/discover/Steve-Slow-Train-Analysis-(2080s-and-2083s)?_g=(refreshInterval:(display:Off,pause:!f,section:0,value:0),time:(from:'2017-12-19T03:23:33-0700',mode:absolute,to:'2017-12-19T05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247" t="str">
        <f>IF(AA215&lt;VLOOKUP(AG215,Variables!$AC$3:$AD$8,2,FALSE),"Y","N")</f>
        <v>Y</v>
      </c>
      <c r="X215" s="247">
        <f t="shared" si="177"/>
        <v>2</v>
      </c>
      <c r="Y215" s="247">
        <f t="shared" si="172"/>
        <v>2.2408000000000001</v>
      </c>
      <c r="Z215" s="247">
        <f t="shared" si="173"/>
        <v>1.8100000000000002E-2</v>
      </c>
      <c r="AA215" s="247">
        <f t="shared" si="174"/>
        <v>2.2227000000000001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75"/>
        <v>308</v>
      </c>
      <c r="AE215" s="235" t="str">
        <f t="shared" si="165"/>
        <v>aws s3 cp s3://rtdc.mdm.uploadarchive.raw/RTDC4027/ "%USERPROFILE%\AppData\Local\Temp\OnboardLogs"\RTDC4027\2017-12-19 --exclude "*" --recursive --include "*20171219*" &amp; "%USERPROFILE%\Documents\GitHub\mrs-test-scripts\Headless Mode &amp; Sideloading\WalkAndUnGZ.bat" "%USERPROFILE%\AppData\Local\Temp\OnboardLogs"\RTDC4027\2017-12-19 &amp; aws s3 cp s3://rtdc.mdm.uploadarchive.raw/RTDC4027/ "%USERPROFILE%\AppData\Local\Temp\OnboardLogs"\RTDC4027\2017-12-20 --exclude "*" --recursive --include "*20171220*" &amp; "%USERPROFILE%\Documents\GitHub\mrs-test-scripts\Headless Mode &amp; Sideloading\WalkAndUnGZ.bat" "%USERPROFILE%\AppData\Local\Temp\OnboardLogs"\RTDC4027\2017-12-20</v>
      </c>
      <c r="AF215" s="234" t="str">
        <f t="shared" si="166"/>
        <v>"C:\Program Files (x86)\AstroGrep\AstroGrep.exe" /e /r /s /spath="%USERPROFILE%\AppData\Local\Temp\OnboardLogs" /stypes="app*4027*20171219*" /stext=" 11:.+((SYSTEM_STATE.+slice.+state.+changed )|(ment ac)|(multiple cpu faults)|(system.+state.+changed )|(\[timeout)|(PRM\|1\|D)|(kpr)|(kdp)|(train st.+moving)|(\|gpps)|(penalty))"</v>
      </c>
      <c r="AG215" s="244" t="str">
        <f t="shared" si="176"/>
        <v>Other</v>
      </c>
      <c r="AH215" s="236" t="str">
        <f t="shared" si="92"/>
        <v>"%USERPROFILE%\Documents\GitHub\eaglep3\Utilities\RefineRTDCRunTimes.py" --tripid 308-19 --locoid 4027 --swversion DE.1.0.9.0 --startMP 300:22408 --initTime 2017-12-19T04:23:33 --startdatetime 2017-12-19T04:29:29 --delay 84 --endMP 204:181 --enddatetime 2017-12-19T04:36:58 --enforcementcount 0 &gt;&gt;%USERPROFILE%\Documents\GitHub\eaglep3-reporting\EC\2017-12-19-refined-times.txt</v>
      </c>
      <c r="AI215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{"issue":{"subject":"","project_id":79,"tracker_id":40,"status_id":1,"priority_id":2,"assigned_to_id":338,"start_date":"2017-12-19","description":"","custom_fields":[{"id":1,"name":"Subdivision","value":"Other"},{"id":4,"name":"Milepost","value":"0.0181"},{"id":17,"name":"Train ID","value":"308-19"},{"id":16,"name":"Locomotive ID","value":"4027"},{"id":130,"name":"Impact","value":""},{"id":150,"name":"Time of Event (Mountain Time)","value":"04:36:58"},{"id":151,"name":"Denver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94"/>
        <v>start /low /b %USERPROFILE%\Documents\GitHub\eaglep3\Utilities\DownloadLogsFromS3.py --loco 4027 --day 2017-12-19</v>
      </c>
      <c r="AN215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96"/>
        <v>https://d0f6bd738d7f1b3e5a7ca70fe4ff75f0.us-east-1.aws.found.io/app/kibana#/discover/Steve-Slow-Train-Analysis-(2080s-and-2083s)?_g=(refreshInterval:(display:Off,pause:!f,section:0,value:0),time:(from:'2017-12-19T03:23:33-0700',mode:absolute,to:'2017-12-19T05:36:58-0700'))&amp;_a=(columns:!('Message%20ID',Summary),filters:!(),index:'emp_*',interval:auto,query:(query_string:(analyze_wildcard:!t,query:'%22rtdc.l.rtdc.4027%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912</v>
      </c>
      <c r="B216" s="225">
        <v>4018</v>
      </c>
      <c r="C216" s="227" t="s">
        <v>192</v>
      </c>
      <c r="D216" s="227" t="s">
        <v>948</v>
      </c>
      <c r="E216" s="226">
        <v>43089.070335648146</v>
      </c>
      <c r="F216" s="226">
        <v>43089.071875000001</v>
      </c>
      <c r="G216" s="225">
        <v>64</v>
      </c>
      <c r="H216" s="227" t="s">
        <v>652</v>
      </c>
      <c r="I216" s="226">
        <v>43089.083449074074</v>
      </c>
      <c r="J216" s="225">
        <v>0</v>
      </c>
      <c r="K216" s="237" t="str">
        <f t="shared" si="167"/>
        <v>4017/4018</v>
      </c>
      <c r="L216" s="245" t="str">
        <f>VLOOKUP(A216,'Trips&amp;Operators'!$C$1:$G$99911,5,FALSE)</f>
        <v>NICHOLSON WESLEY</v>
      </c>
      <c r="M216" s="224">
        <f t="shared" si="168"/>
        <v>1.1574074072996154E-2</v>
      </c>
      <c r="N216" s="225">
        <f t="shared" si="169"/>
        <v>16.666666665114462</v>
      </c>
      <c r="O216" s="225"/>
      <c r="P216" s="225"/>
      <c r="Q216" s="228"/>
      <c r="R216" s="242"/>
      <c r="S216" s="249">
        <f t="shared" si="170"/>
        <v>1</v>
      </c>
      <c r="T216" s="242" t="str">
        <f t="shared" si="171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64"/>
        <v>https://d0f6bd738d7f1b3e5a7ca70fe4ff75f0.us-east-1.aws.found.io/app/kibana#/discover/Steve-Slow-Train-Analysis-(2080s-and-2083s)?_g=(refreshInterval:(display:Off,pause:!f,section:0,value:0),time:(from:'2017-12-20T00:41:17-0700',mode:absolute,to:'2017-12-20T03:00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247" t="str">
        <f>IF(AA216&lt;VLOOKUP(AG216,Variables!$AC$3:$AD$8,2,FALSE),"Y","N")</f>
        <v>Y</v>
      </c>
      <c r="X216" s="247">
        <f t="shared" si="177"/>
        <v>1</v>
      </c>
      <c r="Y216" s="247">
        <f t="shared" si="172"/>
        <v>5.4800000000000001E-2</v>
      </c>
      <c r="Z216" s="247">
        <f t="shared" si="173"/>
        <v>2.3304</v>
      </c>
      <c r="AA216" s="247">
        <f t="shared" si="174"/>
        <v>2.2755999999999998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75"/>
        <v>309</v>
      </c>
      <c r="AE216" s="235" t="str">
        <f t="shared" si="165"/>
        <v>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 &amp; 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</v>
      </c>
      <c r="AF216" s="234" t="str">
        <f t="shared" si="166"/>
        <v>"C:\Program Files (x86)\AstroGrep\AstroGrep.exe" /e /r /s /spath="%USERPROFILE%\AppData\Local\Temp\OnboardLogs" /stypes="app*4018*20171220*" /stext=" 09:.+((SYSTEM_STATE.+slice.+state.+changed )|(ment ac)|(multiple cpu faults)|(system.+state.+changed )|(\[timeout)|(PRM\|1\|D)|(kpr)|(kdp)|(train st.+moving)|(\|gpps)|(penalty))"</v>
      </c>
      <c r="AG216" s="244" t="str">
        <f t="shared" si="176"/>
        <v>Other</v>
      </c>
      <c r="AH216" s="236" t="str">
        <f t="shared" si="92"/>
        <v>"%USERPROFILE%\Documents\GitHub\eaglep3\Utilities\RefineRTDCRunTimes.py" --tripid 309-19 --locoid 4018 --swversion DE.1.0.9.0 --startMP 204:548 --initTime 2017-12-20T01:41:17 --startdatetime 2017-12-20T01:43:30 --delay 64 --endMP 300:23304 --enddatetime 2017-12-20T02:00:10 --enforcementcount 0 &gt;&gt;%USERPROFILE%\Documents\GitHub\eaglep3-reporting\EC\2017-12-19-refined-times.txt</v>
      </c>
      <c r="AI216" s="238" t="str">
        <f t="shared" si="93"/>
        <v>echo {"issue":{"subject":"","project_id":79,"tracker_id":40,"status_id":1,"priority_id":2,"assigned_to_id":338,"start_date":"2017-12-20","description":"","custom_fields":[{"id":1,"name":"Subdivision","value":"Other"},{"id":4,"name":"Milepost","value":"2.3304"},{"id":17,"name":"Train ID","value":"309-19"},{"id":16,"name":"Locomotive ID","value":"4018"},{"id":130,"name":"Impact","value":""},{"id":150,"name":"Time of Event (Mountain Time)","value":"02:00:10"},{"id":151,"name":"Denver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94"/>
        <v>start /low /b %USERPROFILE%\Documents\GitHub\eaglep3\Utilities\DownloadLogsFromS3.py --loco 4018 --day 2017-12-20</v>
      </c>
      <c r="AN216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09:00:10"},{"id":29,"name":"Sharepoint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96"/>
        <v>https://d0f6bd738d7f1b3e5a7ca70fe4ff75f0.us-east-1.aws.found.io/app/kibana#/discover/Steve-Slow-Train-Analysis-(2080s-and-2083s)?_g=(refreshInterval:(display:Off,pause:!f,section:0,value:0),time:(from:'2017-12-20T00:41:17-0700',mode:absolute,to:'2017-12-20T03:00:10-0700'))&amp;_a=(columns:!('Message%20ID',Summary),filters:!(),index:'emp_*',interval:auto,query:(query_string:(analyze_wildcard:!t,query:'%22rtdc.l.rtdc.4018%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25">
      <c r="A217" s="229" t="s">
        <v>716</v>
      </c>
      <c r="B217" s="225">
        <v>4063</v>
      </c>
      <c r="C217" s="227" t="s">
        <v>192</v>
      </c>
      <c r="D217" s="227" t="s">
        <v>1013</v>
      </c>
      <c r="E217" s="226">
        <v>43088.197696759256</v>
      </c>
      <c r="F217" s="226">
        <v>43088.200127314813</v>
      </c>
      <c r="G217" s="225">
        <v>80</v>
      </c>
      <c r="H217" s="227" t="s">
        <v>921</v>
      </c>
      <c r="I217" s="226">
        <v>43088.205185185187</v>
      </c>
      <c r="J217" s="225">
        <v>0</v>
      </c>
      <c r="K217" s="237" t="str">
        <f t="shared" si="167"/>
        <v>4063/4064</v>
      </c>
      <c r="L217" s="245" t="str">
        <f>VLOOKUP(A217,'Trips&amp;Operators'!$C$1:$G$99911,5,FALSE)</f>
        <v>YANAI IAN</v>
      </c>
      <c r="M217" s="224">
        <f t="shared" si="168"/>
        <v>5.0578703740029596E-3</v>
      </c>
      <c r="N217" s="225">
        <f t="shared" si="169"/>
        <v>7.2833333385642618</v>
      </c>
      <c r="O217" s="225"/>
      <c r="P217" s="225"/>
      <c r="Q217" s="228"/>
      <c r="R217" s="242"/>
      <c r="S217" s="249">
        <f t="shared" si="170"/>
        <v>1</v>
      </c>
      <c r="T217" s="242" t="str">
        <f t="shared" si="171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64"/>
        <v>https://d0f6bd738d7f1b3e5a7ca70fe4ff75f0.us-east-1.aws.found.io/app/kibana#/discover/Steve-Slow-Train-Analysis-(2080s-and-2083s)?_g=(refreshInterval:(display:Off,pause:!f,section:0,value:0),time:(from:'2017-12-19T03:44:41-0700',mode:absolute,to:'2017-12-19T05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247" t="str">
        <f>IF(AA217&lt;VLOOKUP(AG217,Variables!$AC$3:$AD$8,2,FALSE),"Y","N")</f>
        <v>Y</v>
      </c>
      <c r="X217" s="247">
        <f t="shared" si="177"/>
        <v>1</v>
      </c>
      <c r="Y217" s="247">
        <f t="shared" si="172"/>
        <v>2.3727999999999998</v>
      </c>
      <c r="Z217" s="247">
        <f t="shared" si="173"/>
        <v>1.47E-2</v>
      </c>
      <c r="AA217" s="247">
        <f t="shared" si="174"/>
        <v>2.3580999999999999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75"/>
        <v>310</v>
      </c>
      <c r="AE217" s="235" t="str">
        <f t="shared" si="165"/>
        <v>aws s3 cp s3://rtdc.mdm.uploadarchive.raw/RTDC4063/ "%USERPROFILE%\AppData\Local\Temp\OnboardLogs"\RTDC4063\2017-12-19 --exclude "*" --recursive --include "*20171219*" &amp; "%USERPROFILE%\Documents\GitHub\mrs-test-scripts\Headless Mode &amp; Sideloading\WalkAndUnGZ.bat" "%USERPROFILE%\AppData\Local\Temp\OnboardLogs"\RTDC4063\2017-12-19 &amp; aws s3 cp s3://rtdc.mdm.uploadarchive.raw/RTDC4063/ "%USERPROFILE%\AppData\Local\Temp\OnboardLogs"\RTDC4063\2017-12-20 --exclude "*" --recursive --include "*20171220*" &amp; "%USERPROFILE%\Documents\GitHub\mrs-test-scripts\Headless Mode &amp; Sideloading\WalkAndUnGZ.bat" "%USERPROFILE%\AppData\Local\Temp\OnboardLogs"\RTDC4063\2017-12-20</v>
      </c>
      <c r="AF217" s="234" t="str">
        <f t="shared" si="166"/>
        <v>"C:\Program Files (x86)\AstroGrep\AstroGrep.exe" /e /r /s /spath="%USERPROFILE%\AppData\Local\Temp\OnboardLogs" /stypes="app*4063*20171219*" /stext=" 11:.+((SYSTEM_STATE.+slice.+state.+changed )|(ment ac)|(multiple cpu faults)|(system.+state.+changed )|(\[timeout)|(PRM\|1\|D)|(kpr)|(kdp)|(train st.+moving)|(\|gpps)|(penalty))"</v>
      </c>
      <c r="AG217" s="244" t="str">
        <f t="shared" si="176"/>
        <v>Other</v>
      </c>
      <c r="AH217" s="236" t="str">
        <f t="shared" si="92"/>
        <v>"%USERPROFILE%\Documents\GitHub\eaglep3\Utilities\RefineRTDCRunTimes.py" --tripid 310-19 --locoid 4063 --swversion DE.1.0.9.0 --startMP 300:23728 --initTime 2017-12-19T04:44:41 --startdatetime 2017-12-19T04:48:11 --delay 80 --endMP 204:147 --enddatetime 2017-12-19T04:55:28 --enforcementcount 0 &gt;&gt;%USERPROFILE%\Documents\GitHub\eaglep3-reporting\EC\2017-12-19-refined-times.txt</v>
      </c>
      <c r="AI217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{"issue":{"subject":"","project_id":79,"tracker_id":40,"status_id":1,"priority_id":2,"assigned_to_id":338,"start_date":"2017-12-19","description":"","custom_fields":[{"id":1,"name":"Subdivision","value":"Other"},{"id":4,"name":"Milepost","value":"0.0147"},{"id":17,"name":"Train ID","value":"310-19"},{"id":16,"name":"Locomotive ID","value":"4063"},{"id":130,"name":"Impact","value":""},{"id":150,"name":"Time of Event (Mountain Time)","value":"04:55:28"},{"id":151,"name":"Denver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94"/>
        <v>start /low /b %USERPROFILE%\Documents\GitHub\eaglep3\Utilities\DownloadLogsFromS3.py --loco 4063 --day 2017-12-19</v>
      </c>
      <c r="AN217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96"/>
        <v>https://d0f6bd738d7f1b3e5a7ca70fe4ff75f0.us-east-1.aws.found.io/app/kibana#/discover/Steve-Slow-Train-Analysis-(2080s-and-2083s)?_g=(refreshInterval:(display:Off,pause:!f,section:0,value:0),time:(from:'2017-12-19T03:44:41-0700',mode:absolute,to:'2017-12-19T05:55:28-0700'))&amp;_a=(columns:!('Message%20ID',Summary),filters:!(),index:'emp_*',interval:auto,query:(query_string:(analyze_wildcard:!t,query:'%22rtdc.l.rtdc.4063%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723</v>
      </c>
      <c r="B218" s="225">
        <v>4031</v>
      </c>
      <c r="C218" s="227" t="s">
        <v>192</v>
      </c>
      <c r="D218" s="227" t="s">
        <v>1014</v>
      </c>
      <c r="E218" s="226">
        <v>43088.216006944444</v>
      </c>
      <c r="F218" s="226">
        <v>43088.219398148147</v>
      </c>
      <c r="G218" s="225">
        <v>64</v>
      </c>
      <c r="H218" s="227" t="s">
        <v>647</v>
      </c>
      <c r="I218" s="226">
        <v>43088.224479166667</v>
      </c>
      <c r="J218" s="225">
        <v>0</v>
      </c>
      <c r="K218" s="237" t="str">
        <f t="shared" si="167"/>
        <v>4031/4032</v>
      </c>
      <c r="L218" s="245" t="str">
        <f>VLOOKUP(A218,'Trips&amp;Operators'!$C$1:$G$99911,5,FALSE)</f>
        <v>MACDONALD THOMAS</v>
      </c>
      <c r="M218" s="224">
        <f t="shared" si="168"/>
        <v>5.0810185202863067E-3</v>
      </c>
      <c r="N218" s="225">
        <f t="shared" si="169"/>
        <v>7.3166666692122817</v>
      </c>
      <c r="O218" s="225"/>
      <c r="P218" s="225"/>
      <c r="Q218" s="228"/>
      <c r="R218" s="242"/>
      <c r="S218" s="249">
        <f t="shared" si="170"/>
        <v>1</v>
      </c>
      <c r="T218" s="242" t="str">
        <f t="shared" si="171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64"/>
        <v>https://d0f6bd738d7f1b3e5a7ca70fe4ff75f0.us-east-1.aws.found.io/app/kibana#/discover/Steve-Slow-Train-Analysis-(2080s-and-2083s)?_g=(refreshInterval:(display:Off,pause:!f,section:0,value:0),time:(from:'2017-12-19T04:11:03-0700',mode:absolute,to:'2017-12-19T06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8" s="247" t="str">
        <f>IF(AA218&lt;VLOOKUP(AG218,Variables!$AC$3:$AD$8,2,FALSE),"Y","N")</f>
        <v>Y</v>
      </c>
      <c r="X218" s="247">
        <f t="shared" si="177"/>
        <v>2</v>
      </c>
      <c r="Y218" s="247">
        <f t="shared" si="172"/>
        <v>2.3048000000000002</v>
      </c>
      <c r="Z218" s="247">
        <f t="shared" si="173"/>
        <v>2.12E-2</v>
      </c>
      <c r="AA218" s="247">
        <f t="shared" si="174"/>
        <v>2.2836000000000003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75"/>
        <v>312</v>
      </c>
      <c r="AE218" s="235" t="str">
        <f t="shared" si="165"/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AF218" s="234" t="str">
        <f t="shared" si="166"/>
        <v>"C:\Program Files (x86)\AstroGrep\AstroGrep.exe" /e /r /s /spath="%USERPROFILE%\AppData\Local\Temp\OnboardLogs" /stypes="app*4031*20171219*" /stext=" 12:.+((SYSTEM_STATE.+slice.+state.+changed )|(ment ac)|(multiple cpu faults)|(system.+state.+changed )|(\[timeout)|(PRM\|1\|D)|(kpr)|(kdp)|(train st.+moving)|(\|gpps)|(penalty))"</v>
      </c>
      <c r="AG218" s="244" t="str">
        <f t="shared" si="176"/>
        <v>Other</v>
      </c>
      <c r="AH218" s="236" t="str">
        <f t="shared" si="92"/>
        <v>"%USERPROFILE%\Documents\GitHub\eaglep3\Utilities\RefineRTDCRunTimes.py" --tripid 312-19 --locoid 4031 --swversion DE.1.0.9.0 --startMP 300:23048 --initTime 2017-12-19T05:11:03 --startdatetime 2017-12-19T05:15:56 --delay 64 --endMP 204:212 --enddatetime 2017-12-19T05:23:15 --enforcementcount 0 &gt;&gt;%USERPROFILE%\Documents\GitHub\eaglep3-reporting\EC\2017-12-19-refined-times.txt</v>
      </c>
      <c r="AI218" s="238" t="str">
        <f t="shared" si="93"/>
        <v>echo {"issue":{"subject":"","project_id":79,"tracker_id":40,"status_id":1,"priority_id":2,"assigned_to_id":338,"start_date":"2017-12-19","description":"","custom_fields":[{"id":1,"name":"Subdivision","value":"Other"},{"id":4,"name":"Milepost","value":"0.0212"},{"id":17,"name":"Train ID","value":"312-19"},{"id":16,"name":"Locomotive ID","value":"4031"},{"id":130,"name":"Impact","value":""},{"id":150,"name":"Time of Event (Mountain Time)","value":"05:23:15"},{"id":151,"name":"Denver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94"/>
        <v>start /low /b %USERPROFILE%\Documents\GitHub\eaglep3\Utilities\DownloadLogsFromS3.py --loco 4031 --day 2017-12-19</v>
      </c>
      <c r="AN218" s="241" t="str">
        <f t="shared" si="95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96"/>
        <v>https://d0f6bd738d7f1b3e5a7ca70fe4ff75f0.us-east-1.aws.found.io/app/kibana#/discover/Steve-Slow-Train-Analysis-(2080s-and-2083s)?_g=(refreshInterval:(display:Off,pause:!f,section:0,value:0),time:(from:'2017-12-19T04:11:03-0700',mode:absolute,to:'2017-12-19T06:23:15-0700'))&amp;_a=(columns:!('Message%20ID',Summary),filters:!(),index:'emp_*',interval:auto,query:(query_string:(analyze_wildcard:!t,query:'%22rtdc.l.rtdc.4031%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25">
      <c r="A219" s="229" t="s">
        <v>909</v>
      </c>
      <c r="B219" s="225">
        <v>4056</v>
      </c>
      <c r="C219" s="227" t="s">
        <v>192</v>
      </c>
      <c r="D219" s="227" t="s">
        <v>1015</v>
      </c>
      <c r="E219" s="226">
        <v>43089.024756944447</v>
      </c>
      <c r="F219" s="226">
        <v>43089.029664351852</v>
      </c>
      <c r="G219" s="225">
        <v>51</v>
      </c>
      <c r="H219" s="227" t="s">
        <v>1016</v>
      </c>
      <c r="I219" s="226">
        <v>43089.041944444441</v>
      </c>
      <c r="J219" s="225">
        <v>0</v>
      </c>
      <c r="K219" s="237" t="str">
        <f t="shared" si="167"/>
        <v>4055/4056</v>
      </c>
      <c r="L219" s="245" t="str">
        <f>VLOOKUP(A219,'Trips&amp;Operators'!$C$1:$G$99911,5,FALSE)</f>
        <v>RESPASS AARON</v>
      </c>
      <c r="M219" s="224">
        <f t="shared" si="168"/>
        <v>1.2280092589207925E-2</v>
      </c>
      <c r="N219" s="225">
        <f t="shared" si="169"/>
        <v>17.683333328459412</v>
      </c>
      <c r="O219" s="225"/>
      <c r="P219" s="225"/>
      <c r="Q219" s="228"/>
      <c r="R219" s="242"/>
      <c r="S219" s="249">
        <f t="shared" si="170"/>
        <v>1</v>
      </c>
      <c r="T219" s="242" t="str">
        <f t="shared" si="171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64"/>
        <v>https://d0f6bd738d7f1b3e5a7ca70fe4ff75f0.us-east-1.aws.found.io/app/kibana#/discover/Steve-Slow-Train-Analysis-(2080s-and-2083s)?_g=(refreshInterval:(display:Off,pause:!f,section:0,value:0),time:(from:'2017-12-19T23:35:39-0700',mode:absolute,to:'2017-12-20T02:00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247" t="str">
        <f>IF(AA219&lt;VLOOKUP(AG219,Variables!$AC$3:$AD$8,2,FALSE),"Y","N")</f>
        <v>Y</v>
      </c>
      <c r="X219" s="247">
        <f t="shared" si="177"/>
        <v>1</v>
      </c>
      <c r="Y219" s="247">
        <f t="shared" si="172"/>
        <v>5.79E-2</v>
      </c>
      <c r="Z219" s="247">
        <f t="shared" si="173"/>
        <v>2.3294999999999999</v>
      </c>
      <c r="AA219" s="247">
        <f t="shared" si="174"/>
        <v>2.2715999999999998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75"/>
        <v>313</v>
      </c>
      <c r="AE219" s="235" t="str">
        <f t="shared" si="165"/>
        <v>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 &amp; aws s3 cp s3://rtdc.mdm.uploadarchive.raw/RTDC4056/ "%USERPROFILE%\AppData\Local\Temp\OnboardLogs"\RTDC4056\2017-12-21 --exclude "*" --recursive --include "*20171221*" &amp; "%USERPROFILE%\Documents\GitHub\mrs-test-scripts\Headless Mode &amp; Sideloading\WalkAndUnGZ.bat" "%USERPROFILE%\AppData\Local\Temp\OnboardLogs"\RTDC4056\2017-12-21</v>
      </c>
      <c r="AF219" s="234" t="str">
        <f t="shared" si="166"/>
        <v>"C:\Program Files (x86)\AstroGrep\AstroGrep.exe" /e /r /s /spath="%USERPROFILE%\AppData\Local\Temp\OnboardLogs" /stypes="app*4056*20171220*" /stext=" 08:.+((SYSTEM_STATE.+slice.+state.+changed )|(ment ac)|(multiple cpu faults)|(system.+state.+changed )|(\[timeout)|(PRM\|1\|D)|(kpr)|(kdp)|(train st.+moving)|(\|gpps)|(penalty))"</v>
      </c>
      <c r="AG219" s="244" t="str">
        <f t="shared" si="176"/>
        <v>Other</v>
      </c>
      <c r="AH219" s="236" t="str">
        <f t="shared" si="92"/>
        <v>"%USERPROFILE%\Documents\GitHub\eaglep3\Utilities\RefineRTDCRunTimes.py" --tripid 313-19 --locoid 4056 --swversion DE.1.0.9.0 --startMP 204:579 --initTime 2017-12-20T00:35:39 --startdatetime 2017-12-20T00:42:43 --delay 51 --endMP 300:23295 --enddatetime 2017-12-20T01:00:24 --enforcementcount 0 &gt;&gt;%USERPROFILE%\Documents\GitHub\eaglep3-reporting\EC\2017-12-19-refined-times.txt</v>
      </c>
      <c r="AI219" s="238" t="str">
        <f t="shared" si="93"/>
        <v>echo {"issue":{"subject":"","project_id":79,"tracker_id":40,"status_id":1,"priority_id":2,"assigned_to_id":338,"start_date":"2017-12-20","description":"","custom_fields":[{"id":1,"name":"Subdivision","value":"Other"},{"id":4,"name":"Milepost","value":"2.3295"},{"id":17,"name":"Train ID","value":"313-19"},{"id":16,"name":"Locomotive ID","value":"4056"},{"id":130,"name":"Impact","value":""},{"id":150,"name":"Time of Event (Mountain Time)","value":"01:00:24"},{"id":151,"name":"Denver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94"/>
        <v>start /low /b %USERPROFILE%\Documents\GitHub\eaglep3\Utilities\DownloadLogsFromS3.py --loco 4056 --day 2017-12-20</v>
      </c>
      <c r="AN219" s="241" t="str">
        <f t="shared" si="9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08:00:24"},{"id":29,"name":"Sharepoint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96"/>
        <v>https://d0f6bd738d7f1b3e5a7ca70fe4ff75f0.us-east-1.aws.found.io/app/kibana#/discover/Steve-Slow-Train-Analysis-(2080s-and-2083s)?_g=(refreshInterval:(display:Off,pause:!f,section:0,value:0),time:(from:'2017-12-19T23:35:39-0700',mode:absolute,to:'2017-12-20T02:00:24-0700'))&amp;_a=(columns:!('Message%20ID',Summary),filters:!(),index:'emp_*',interval:auto,query:(query_string:(analyze_wildcard:!t,query:'%22rtdc.l.rtdc.4056%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717</v>
      </c>
      <c r="B220" s="225">
        <v>4058</v>
      </c>
      <c r="C220" s="227" t="s">
        <v>192</v>
      </c>
      <c r="D220" s="227" t="s">
        <v>1058</v>
      </c>
      <c r="E220" s="226">
        <v>43088.197372685187</v>
      </c>
      <c r="F220" s="226">
        <v>43088.202245370368</v>
      </c>
      <c r="G220" s="225">
        <v>116</v>
      </c>
      <c r="H220" s="227" t="s">
        <v>669</v>
      </c>
      <c r="I220" s="226">
        <v>43088.208298611113</v>
      </c>
      <c r="J220" s="225">
        <v>0</v>
      </c>
      <c r="K220" s="237" t="str">
        <f t="shared" si="167"/>
        <v>4057/4058</v>
      </c>
      <c r="L220" s="245" t="str">
        <f>VLOOKUP(A220,'Trips&amp;Operators'!$C$1:$G$99911,5,FALSE)</f>
        <v>DAVIDSON DAVID</v>
      </c>
      <c r="M220" s="224">
        <f t="shared" si="168"/>
        <v>6.0532407442224212E-3</v>
      </c>
      <c r="N220" s="225">
        <f t="shared" si="169"/>
        <v>8.7166666716802865</v>
      </c>
      <c r="O220" s="225"/>
      <c r="P220" s="225"/>
      <c r="Q220" s="228"/>
      <c r="R220" s="242"/>
      <c r="S220" s="249">
        <f t="shared" si="170"/>
        <v>0</v>
      </c>
      <c r="T220" s="242" t="str">
        <f t="shared" si="171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 t="shared" si="164"/>
        <v>https://d0f6bd738d7f1b3e5a7ca70fe4ff75f0.us-east-1.aws.found.io/app/kibana#/discover/Steve-Slow-Train-Analysis-(2080s-and-2083s)?_g=(refreshInterval:(display:Off,pause:!f,section:0,value:0),time:(from:'2017-12-19T03:44:13-0700',mode:absolute,to:'2017-12-19T05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247" t="str">
        <f>IF(AA220&lt;VLOOKUP(AG220,Variables!$AC$3:$AD$8,2,FALSE),"Y","N")</f>
        <v>Y</v>
      </c>
      <c r="X220" s="247">
        <f t="shared" si="177"/>
        <v>588</v>
      </c>
      <c r="Y220" s="247">
        <f t="shared" si="172"/>
        <v>3.0366</v>
      </c>
      <c r="Z220" s="247">
        <f t="shared" si="173"/>
        <v>5.8933</v>
      </c>
      <c r="AA220" s="247">
        <f t="shared" si="174"/>
        <v>2.8567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75"/>
        <v>901</v>
      </c>
      <c r="AE220" s="235" t="str">
        <f t="shared" si="165"/>
        <v>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 &amp; 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</v>
      </c>
      <c r="AF220" s="234" t="str">
        <f t="shared" si="166"/>
        <v>"C:\Program Files (x86)\AstroGrep\AstroGrep.exe" /e /r /s /spath="%USERPROFILE%\AppData\Local\Temp\OnboardLogs" /stypes="app*4058*20171219*" /stext=" 11:.+((SYSTEM_STATE.+slice.+state.+changed )|(ment ac)|(multiple cpu faults)|(system.+state.+changed )|(\[timeout)|(PRM\|1\|D)|(kpr)|(kdp)|(train st.+moving)|(\|gpps)|(penalty))"</v>
      </c>
      <c r="AG220" s="244" t="str">
        <f t="shared" si="176"/>
        <v>Other</v>
      </c>
      <c r="AH220" s="236" t="str">
        <f t="shared" ref="AH220:AH232" si="178"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901-19 --locoid 4058 --swversion DE.1.0.9.0 --startMP 300:30366 --initTime 2017-12-19T04:44:13 --startdatetime 2017-12-19T04:51:14 --delay 116 --endMP 300:58933 --enddatetime 2017-12-19T04:59:57 --enforcementcount 0 &gt;&gt;%USERPROFILE%\Documents\GitHub\eaglep3-reporting\EC\2017-12-19-refined-times.txt</v>
      </c>
      <c r="AI220" s="238" t="str">
        <f t="shared" ref="AI220:AI232" si="179"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{"issue":{"subject":"","project_id":79,"tracker_id":40,"status_id":1,"priority_id":2,"assigned_to_id":338,"start_date":"2017-12-19","description":"","custom_fields":[{"id":1,"name":"Subdivision","value":"Other"},{"id":4,"name":"Milepost","value":"5.8933"},{"id":17,"name":"Train ID","value":"901-19"},{"id":16,"name":"Locomotive ID","value":"4058"},{"id":130,"name":"Impact","value":""},{"id":150,"name":"Time of Event (Mountain Time)","value":"04:59:57"},{"id":151,"name":"Denver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ref="AM220:AM232" si="180">"start /low /b "&amp;dls3logs&amp;" --loco "&amp;B220&amp;" --day "&amp;TEXT(F220,"YYYY-MM-DD")</f>
        <v>start /low /b %USERPROFILE%\Documents\GitHub\eaglep3\Utilities\DownloadLogsFromS3.py --loco 4058 --day 2017-12-19</v>
      </c>
      <c r="AN220" s="241" t="str">
        <f t="shared" ref="AN220:AN232" si="181"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11:59:57"},{"id":29,"name":"Sharepoint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ref="AO220:AO232" si="182"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-19T03:44:13-0700',mode:absolute,to:'2017-12-19T05:59:57-0700'))&amp;_a=(columns:!('Message%20ID',Summary),filters:!(),index:'emp_*',interval:auto,query:(query_string:(analyze_wildcard:!t,query:'%22rtdc.l.rtdc.4058%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728</v>
      </c>
      <c r="B221" s="225">
        <v>4053</v>
      </c>
      <c r="C221" s="227" t="s">
        <v>192</v>
      </c>
      <c r="D221" s="227" t="s">
        <v>1059</v>
      </c>
      <c r="E221" s="226">
        <v>43088.234212962961</v>
      </c>
      <c r="F221" s="226">
        <v>43088.237256944441</v>
      </c>
      <c r="G221" s="225">
        <v>60</v>
      </c>
      <c r="H221" s="227" t="s">
        <v>671</v>
      </c>
      <c r="I221" s="226">
        <v>43088.242893518516</v>
      </c>
      <c r="J221" s="225">
        <v>0</v>
      </c>
      <c r="K221" s="237" t="str">
        <f t="shared" si="167"/>
        <v>4053/4054</v>
      </c>
      <c r="L221" s="245" t="str">
        <f>VLOOKUP(A221,'Trips&amp;Operators'!$C$1:$G$99911,5,FALSE)</f>
        <v>FORTUNATO FRANK</v>
      </c>
      <c r="M221" s="224">
        <f t="shared" si="168"/>
        <v>5.6365740747423843E-3</v>
      </c>
      <c r="N221" s="225">
        <f t="shared" si="169"/>
        <v>8.1166666676290333</v>
      </c>
      <c r="O221" s="225"/>
      <c r="P221" s="225"/>
      <c r="Q221" s="228"/>
      <c r="R221" s="242"/>
      <c r="S221" s="249">
        <f t="shared" si="170"/>
        <v>1</v>
      </c>
      <c r="T221" s="242" t="str">
        <f t="shared" si="171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64"/>
        <v>https://d0f6bd738d7f1b3e5a7ca70fe4ff75f0.us-east-1.aws.found.io/app/kibana#/discover/Steve-Slow-Train-Analysis-(2080s-and-2083s)?_g=(refreshInterval:(display:Off,pause:!f,section:0,value:0),time:(from:'2017-12-19T04:37:16-0700',mode:absolute,to:'2017-12-19T06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1" s="247" t="str">
        <f>IF(AA221&lt;VLOOKUP(AG221,Variables!$AC$3:$AD$8,2,FALSE),"Y","N")</f>
        <v>Y</v>
      </c>
      <c r="X221" s="247">
        <f t="shared" si="177"/>
        <v>1</v>
      </c>
      <c r="Y221" s="247">
        <f t="shared" si="172"/>
        <v>2.38</v>
      </c>
      <c r="Z221" s="247">
        <f t="shared" si="173"/>
        <v>1.6400000000000001E-2</v>
      </c>
      <c r="AA221" s="247">
        <f t="shared" si="174"/>
        <v>2.3635999999999999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75"/>
        <v>902</v>
      </c>
      <c r="AE221" s="235" t="str">
        <f t="shared" si="165"/>
        <v>aws s3 cp s3://rtdc.mdm.uploadarchive.raw/RTDC4053/ "%USERPROFILE%\AppData\Local\Temp\OnboardLogs"\RTDC4053\2017-12-19 --exclude "*" --recursive --include "*20171219*" &amp; "%USERPROFILE%\Documents\GitHub\mrs-test-scripts\Headless Mode &amp; Sideloading\WalkAndUnGZ.bat" "%USERPROFILE%\AppData\Local\Temp\OnboardLogs"\RTDC4053\2017-12-19 &amp; 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</v>
      </c>
      <c r="AF221" s="234" t="str">
        <f t="shared" si="166"/>
        <v>"C:\Program Files (x86)\AstroGrep\AstroGrep.exe" /e /r /s /spath="%USERPROFILE%\AppData\Local\Temp\OnboardLogs" /stypes="app*4053*20171219*" /stext=" 12:.+((SYSTEM_STATE.+slice.+state.+changed )|(ment ac)|(multiple cpu faults)|(system.+state.+changed )|(\[timeout)|(PRM\|1\|D)|(kpr)|(kdp)|(train st.+moving)|(\|gpps)|(penalty))"</v>
      </c>
      <c r="AG221" s="244" t="str">
        <f t="shared" si="176"/>
        <v>Other</v>
      </c>
      <c r="AH221" s="236" t="str">
        <f t="shared" si="178"/>
        <v>"%USERPROFILE%\Documents\GitHub\eaglep3\Utilities\RefineRTDCRunTimes.py" --tripid 902-19 --locoid 4053 --swversion DE.1.0.9.0 --startMP 300:23800 --initTime 2017-12-19T05:37:16 --startdatetime 2017-12-19T05:41:39 --delay 60 --endMP 204:164 --enddatetime 2017-12-19T05:49:46 --enforcementcount 0 &gt;&gt;%USERPROFILE%\Documents\GitHub\eaglep3-reporting\EC\2017-12-19-refined-times.txt</v>
      </c>
      <c r="AI221" s="238" t="str">
        <f t="shared" si="179"/>
        <v>echo {"issue":{"subject":"","project_id":79,"tracker_id":40,"status_id":1,"priority_id":2,"assigned_to_id":338,"start_date":"2017-12-19","description":"","custom_fields":[{"id":1,"name":"Subdivision","value":"Other"},{"id":4,"name":"Milepost","value":"0.0164"},{"id":17,"name":"Train ID","value":"902-19"},{"id":16,"name":"Locomotive ID","value":"4053"},{"id":130,"name":"Impact","value":""},{"id":150,"name":"Time of Event (Mountain Time)","value":"05:49:46"},{"id":151,"name":"Denver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80"/>
        <v>start /low /b %USERPROFILE%\Documents\GitHub\eaglep3\Utilities\DownloadLogsFromS3.py --loco 4053 --day 2017-12-19</v>
      </c>
      <c r="AN221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82"/>
        <v>https://d0f6bd738d7f1b3e5a7ca70fe4ff75f0.us-east-1.aws.found.io/app/kibana#/discover/Steve-Slow-Train-Analysis-(2080s-and-2083s)?_g=(refreshInterval:(display:Off,pause:!f,section:0,value:0),time:(from:'2017-12-19T04:37:16-0700',mode:absolute,to:'2017-12-19T06:49:46-0700'))&amp;_a=(columns:!('Message%20ID',Summary),filters:!(),index:'emp_*',interval:auto,query:(query_string:(analyze_wildcard:!t,query:'%22rtdc.l.rtdc.4053%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25">
      <c r="A222" s="229" t="s">
        <v>765</v>
      </c>
      <c r="B222" s="225">
        <v>4054</v>
      </c>
      <c r="C222" s="227" t="s">
        <v>192</v>
      </c>
      <c r="D222" s="227" t="s">
        <v>1060</v>
      </c>
      <c r="E222" s="226">
        <v>43088.378298611111</v>
      </c>
      <c r="F222" s="226">
        <v>43088.380254629628</v>
      </c>
      <c r="G222" s="225">
        <v>74</v>
      </c>
      <c r="H222" s="227" t="s">
        <v>588</v>
      </c>
      <c r="I222" s="226">
        <v>43088.38821759259</v>
      </c>
      <c r="J222" s="225">
        <v>0</v>
      </c>
      <c r="K222" s="237" t="str">
        <f t="shared" si="167"/>
        <v>4053/4054</v>
      </c>
      <c r="L222" s="245" t="str">
        <f>VLOOKUP(A222,'Trips&amp;Operators'!$C$1:$G$99911,5,FALSE)</f>
        <v>DAVIDSON DAVID</v>
      </c>
      <c r="M222" s="224">
        <f t="shared" si="168"/>
        <v>7.962962961755693E-3</v>
      </c>
      <c r="N222" s="225">
        <f t="shared" si="169"/>
        <v>11.466666664928198</v>
      </c>
      <c r="O222" s="225"/>
      <c r="P222" s="225"/>
      <c r="Q222" s="228"/>
      <c r="R222" s="242"/>
      <c r="S222" s="249">
        <f t="shared" si="170"/>
        <v>1</v>
      </c>
      <c r="T222" s="242" t="str">
        <f t="shared" si="171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 t="shared" si="164"/>
        <v>https://d0f6bd738d7f1b3e5a7ca70fe4ff75f0.us-east-1.aws.found.io/app/kibana#/discover/Steve-Slow-Train-Analysis-(2080s-and-2083s)?_g=(refreshInterval:(display:Off,pause:!f,section:0,value:0),time:(from:'2017-12-19T08:04:45-0700',mode:absolute,to:'2017-12-19T10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247" t="str">
        <f>IF(AA222&lt;VLOOKUP(AG222,Variables!$AC$3:$AD$8,2,FALSE),"Y","N")</f>
        <v>Y</v>
      </c>
      <c r="X222" s="247">
        <f t="shared" si="177"/>
        <v>1</v>
      </c>
      <c r="Y222" s="247">
        <f t="shared" si="172"/>
        <v>0.11550000000000001</v>
      </c>
      <c r="Z222" s="247">
        <f t="shared" si="173"/>
        <v>2.3302</v>
      </c>
      <c r="AA222" s="247">
        <f t="shared" si="174"/>
        <v>2.2147000000000001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75"/>
        <v>903</v>
      </c>
      <c r="AE222" s="235" t="str">
        <f t="shared" si="165"/>
        <v>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 &amp; 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</v>
      </c>
      <c r="AF222" s="234" t="str">
        <f t="shared" si="166"/>
        <v>"C:\Program Files (x86)\AstroGrep\AstroGrep.exe" /e /r /s /spath="%USERPROFILE%\AppData\Local\Temp\OnboardLogs" /stypes="app*4054*20171219*" /stext=" 16:.+((SYSTEM_STATE.+slice.+state.+changed )|(ment ac)|(multiple cpu faults)|(system.+state.+changed )|(\[timeout)|(PRM\|1\|D)|(kpr)|(kdp)|(train st.+moving)|(\|gpps)|(penalty))"</v>
      </c>
      <c r="AG222" s="244" t="str">
        <f t="shared" si="176"/>
        <v>Other</v>
      </c>
      <c r="AH222" s="236" t="str">
        <f t="shared" si="178"/>
        <v>"%USERPROFILE%\Documents\GitHub\eaglep3\Utilities\RefineRTDCRunTimes.py" --tripid 903-19 --locoid 4054 --swversion DE.1.0.9.0 --startMP 204:1155 --initTime 2017-12-19T09:04:45 --startdatetime 2017-12-19T09:07:34 --delay 74 --endMP 300:23302 --enddatetime 2017-12-19T09:19:02 --enforcementcount 0 &gt;&gt;%USERPROFILE%\Documents\GitHub\eaglep3-reporting\EC\2017-12-19-refined-times.txt</v>
      </c>
      <c r="AI222" s="238" t="str">
        <f t="shared" si="179"/>
        <v>echo {"issue":{"subject":"","project_id":79,"tracker_id":40,"status_id":1,"priority_id":2,"assigned_to_id":338,"start_date":"2017-12-19","description":"","custom_fields":[{"id":1,"name":"Subdivision","value":"Other"},{"id":4,"name":"Milepost","value":"2.3302"},{"id":17,"name":"Train ID","value":"903-19"},{"id":16,"name":"Locomotive ID","value":"4054"},{"id":130,"name":"Impact","value":""},{"id":150,"name":"Time of Event (Mountain Time)","value":"09:19:02"},{"id":151,"name":"Denver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180"/>
        <v>start /low /b %USERPROFILE%\Documents\GitHub\eaglep3\Utilities\DownloadLogsFromS3.py --loco 4054 --day 2017-12-19</v>
      </c>
      <c r="AN222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16:19:02"},{"id":29,"name":"Sharepoint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82"/>
        <v>https://d0f6bd738d7f1b3e5a7ca70fe4ff75f0.us-east-1.aws.found.io/app/kibana#/discover/Steve-Slow-Train-Analysis-(2080s-and-2083s)?_g=(refreshInterval:(display:Off,pause:!f,section:0,value:0),time:(from:'2017-12-19T08:04:45-0700',mode:absolute,to:'2017-12-19T10:19:02-0700'))&amp;_a=(columns:!('Message%20ID',Summary),filters:!(),index:'emp_*',interval:auto,query:(query_string:(analyze_wildcard:!t,query:'%22rtdc.l.rtdc.4054%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825</v>
      </c>
      <c r="B223" s="225">
        <v>4021</v>
      </c>
      <c r="C223" s="227" t="s">
        <v>192</v>
      </c>
      <c r="D223" s="227" t="s">
        <v>1061</v>
      </c>
      <c r="E223" s="226">
        <v>43088.637048611112</v>
      </c>
      <c r="F223" s="226">
        <v>43088.639467592591</v>
      </c>
      <c r="G223" s="225">
        <v>70</v>
      </c>
      <c r="H223" s="227" t="s">
        <v>1062</v>
      </c>
      <c r="I223" s="226">
        <v>43088.644212962965</v>
      </c>
      <c r="J223" s="225">
        <v>0</v>
      </c>
      <c r="K223" s="237" t="str">
        <f t="shared" si="167"/>
        <v>4021/4022</v>
      </c>
      <c r="L223" s="245" t="str">
        <f>VLOOKUP(A223,'Trips&amp;Operators'!$C$1:$G$99911,5,FALSE)</f>
        <v>STAMBAUGH JAMES</v>
      </c>
      <c r="M223" s="224">
        <f t="shared" si="168"/>
        <v>4.7453703737119213E-3</v>
      </c>
      <c r="N223" s="225">
        <f t="shared" si="169"/>
        <v>6.8333333381451666</v>
      </c>
      <c r="O223" s="225"/>
      <c r="P223" s="225"/>
      <c r="Q223" s="228"/>
      <c r="R223" s="242"/>
      <c r="S223" s="249">
        <f t="shared" si="170"/>
        <v>1</v>
      </c>
      <c r="T223" s="242" t="str">
        <f t="shared" si="171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64"/>
        <v>https://d0f6bd738d7f1b3e5a7ca70fe4ff75f0.us-east-1.aws.found.io/app/kibana#/discover/Steve-Slow-Train-Analysis-(2080s-and-2083s)?_g=(refreshInterval:(display:Off,pause:!f,section:0,value:0),time:(from:'2017-12-19T14:17:21-0700',mode:absolute,to:'2017-12-19T16:27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3" s="247" t="str">
        <f>IF(AA223&lt;VLOOKUP(AG223,Variables!$AC$3:$AD$8,2,FALSE),"Y","N")</f>
        <v>Y</v>
      </c>
      <c r="X223" s="247">
        <f t="shared" si="177"/>
        <v>1</v>
      </c>
      <c r="Y223" s="247">
        <f t="shared" si="172"/>
        <v>2.3656000000000001</v>
      </c>
      <c r="Z223" s="247">
        <f t="shared" si="173"/>
        <v>1.4200000000000001E-2</v>
      </c>
      <c r="AA223" s="247">
        <f t="shared" si="174"/>
        <v>2.3513999999999999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75"/>
        <v>904</v>
      </c>
      <c r="AE223" s="235" t="str">
        <f t="shared" si="165"/>
        <v>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 &amp; 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</v>
      </c>
      <c r="AF223" s="234" t="str">
        <f t="shared" si="166"/>
        <v>"C:\Program Files (x86)\AstroGrep\AstroGrep.exe" /e /r /s /spath="%USERPROFILE%\AppData\Local\Temp\OnboardLogs" /stypes="app*4021*20171219*" /stext=" 22:.+((SYSTEM_STATE.+slice.+state.+changed )|(ment ac)|(multiple cpu faults)|(system.+state.+changed )|(\[timeout)|(PRM\|1\|D)|(kpr)|(kdp)|(train st.+moving)|(\|gpps)|(penalty))"</v>
      </c>
      <c r="AG223" s="244" t="str">
        <f t="shared" si="176"/>
        <v>Other</v>
      </c>
      <c r="AH223" s="236" t="str">
        <f t="shared" si="178"/>
        <v>"%USERPROFILE%\Documents\GitHub\eaglep3\Utilities\RefineRTDCRunTimes.py" --tripid 904-19 --locoid 4021 --swversion DE.1.0.9.0 --startMP 300:23656 --initTime 2017-12-19T15:17:21 --startdatetime 2017-12-19T15:20:50 --delay 70 --endMP 204:142 --enddatetime 2017-12-19T15:27:40 --enforcementcount 0 &gt;&gt;%USERPROFILE%\Documents\GitHub\eaglep3-reporting\EC\2017-12-19-refined-times.txt</v>
      </c>
      <c r="AI223" s="238" t="str">
        <f t="shared" si="179"/>
        <v>echo {"issue":{"subject":"","project_id":79,"tracker_id":40,"status_id":1,"priority_id":2,"assigned_to_id":338,"start_date":"2017-12-19","description":"","custom_fields":[{"id":1,"name":"Subdivision","value":"Other"},{"id":4,"name":"Milepost","value":"0.0142"},{"id":17,"name":"Train ID","value":"904-19"},{"id":16,"name":"Locomotive ID","value":"4021"},{"id":130,"name":"Impact","value":""},{"id":150,"name":"Time of Event (Mountain Time)","value":"15:27:40"},{"id":151,"name":"Denver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80"/>
        <v>start /low /b %USERPROFILE%\Documents\GitHub\eaglep3\Utilities\DownloadLogsFromS3.py --loco 4021 --day 2017-12-19</v>
      </c>
      <c r="AN223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22:27:40"},{"id":29,"name":"Sharepoint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82"/>
        <v>https://d0f6bd738d7f1b3e5a7ca70fe4ff75f0.us-east-1.aws.found.io/app/kibana#/discover/Steve-Slow-Train-Analysis-(2080s-and-2083s)?_g=(refreshInterval:(display:Off,pause:!f,section:0,value:0),time:(from:'2017-12-19T14:17:21-0700',mode:absolute,to:'2017-12-19T16:27:40-0700'))&amp;_a=(columns:!('Message%20ID',Summary),filters:!(),index:'emp_*',interval:auto,query:(query_string:(analyze_wildcard:!t,query:'%22rtdc.l.rtdc.4021%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873</v>
      </c>
      <c r="B224" s="225">
        <v>4021</v>
      </c>
      <c r="C224" s="227" t="s">
        <v>192</v>
      </c>
      <c r="D224" s="227" t="s">
        <v>1063</v>
      </c>
      <c r="E224" s="226">
        <v>43088.787708333337</v>
      </c>
      <c r="F224" s="226">
        <v>43088.788680555554</v>
      </c>
      <c r="G224" s="225">
        <v>47</v>
      </c>
      <c r="H224" s="227" t="s">
        <v>1064</v>
      </c>
      <c r="I224" s="226">
        <v>43088.794363425928</v>
      </c>
      <c r="J224" s="225">
        <v>0</v>
      </c>
      <c r="K224" s="237" t="str">
        <f t="shared" si="167"/>
        <v>4021/4022</v>
      </c>
      <c r="L224" s="245" t="str">
        <f>VLOOKUP(A224,'Trips&amp;Operators'!$C$1:$G$99911,5,FALSE)</f>
        <v>STAMBAUGH JAMES</v>
      </c>
      <c r="M224" s="224">
        <f t="shared" si="168"/>
        <v>5.6828703745850362E-3</v>
      </c>
      <c r="N224" s="225">
        <f t="shared" si="169"/>
        <v>8.1833333394024521</v>
      </c>
      <c r="O224" s="225"/>
      <c r="P224" s="225"/>
      <c r="Q224" s="228"/>
      <c r="R224" s="242"/>
      <c r="S224" s="249">
        <f t="shared" si="170"/>
        <v>0</v>
      </c>
      <c r="T224" s="242" t="str">
        <f t="shared" si="171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164"/>
        <v>https://d0f6bd738d7f1b3e5a7ca70fe4ff75f0.us-east-1.aws.found.io/app/kibana#/discover/Steve-Slow-Train-Analysis-(2080s-and-2083s)?_g=(refreshInterval:(display:Off,pause:!f,section:0,value:0),time:(from:'2017-12-19T17:54:18-0700',mode:absolute,to:'2017-12-19T20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247" t="str">
        <f>IF(AA224&lt;VLOOKUP(AG224,Variables!$AC$3:$AD$8,2,FALSE),"Y","N")</f>
        <v>Y</v>
      </c>
      <c r="X224" s="247">
        <f t="shared" si="177"/>
        <v>2</v>
      </c>
      <c r="Y224" s="247">
        <f t="shared" si="172"/>
        <v>5.8593999999999999</v>
      </c>
      <c r="Z224" s="247">
        <f t="shared" si="173"/>
        <v>2.8793000000000002</v>
      </c>
      <c r="AA224" s="247">
        <f t="shared" si="174"/>
        <v>2.9800999999999997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75"/>
        <v>906</v>
      </c>
      <c r="AE224" s="235" t="str">
        <f t="shared" si="165"/>
        <v>aws s3 cp s3://rtdc.mdm.uploadarchive.raw/RTDC4021/ "%USERPROFILE%\AppData\Local\Temp\OnboardLogs"\RTDC4021\2017-12-19 --exclude "*" --recursive --include "*20171219*" &amp; "%USERPROFILE%\Documents\GitHub\mrs-test-scripts\Headless Mode &amp; Sideloading\WalkAndUnGZ.bat" "%USERPROFILE%\AppData\Local\Temp\OnboardLogs"\RTDC4021\2017-12-19 &amp; 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</v>
      </c>
      <c r="AF224" s="234" t="str">
        <f t="shared" si="166"/>
        <v>"C:\Program Files (x86)\AstroGrep\AstroGrep.exe" /e /r /s /spath="%USERPROFILE%\AppData\Local\Temp\OnboardLogs" /stypes="app*4021*20171220*" /stext=" 02:.+((SYSTEM_STATE.+slice.+state.+changed )|(ment ac)|(multiple cpu faults)|(system.+state.+changed )|(\[timeout)|(PRM\|1\|D)|(kpr)|(kdp)|(train st.+moving)|(\|gpps)|(penalty))"</v>
      </c>
      <c r="AG224" s="244" t="str">
        <f t="shared" si="176"/>
        <v>Other</v>
      </c>
      <c r="AH224" s="236" t="str">
        <f t="shared" si="178"/>
        <v>"%USERPROFILE%\Documents\GitHub\eaglep3\Utilities\RefineRTDCRunTimes.py" --tripid 906-19 --locoid 4021 --swversion DE.1.0.9.0 --startMP 300:58594 --initTime 2017-12-19T18:54:18 --startdatetime 2017-12-19T18:55:42 --delay 47 --endMP 300:28793 --enddatetime 2017-12-19T19:03:53 --enforcementcount 0 &gt;&gt;%USERPROFILE%\Documents\GitHub\eaglep3-reporting\EC\2017-12-19-refined-times.txt</v>
      </c>
      <c r="AI224" s="238" t="str">
        <f t="shared" si="179"/>
        <v>echo {"issue":{"subject":"","project_id":79,"tracker_id":40,"status_id":1,"priority_id":2,"assigned_to_id":338,"start_date":"2017-12-19","description":"","custom_fields":[{"id":1,"name":"Subdivision","value":"Other"},{"id":4,"name":"Milepost","value":"2.8793"},{"id":17,"name":"Train ID","value":"906-19"},{"id":16,"name":"Locomotive ID","value":"4021"},{"id":130,"name":"Impact","value":""},{"id":150,"name":"Time of Event (Mountain Time)","value":"19:03:53"},{"id":151,"name":"Denver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80"/>
        <v>start /low /b %USERPROFILE%\Documents\GitHub\eaglep3\Utilities\DownloadLogsFromS3.py --loco 4021 --day 2017-12-19</v>
      </c>
      <c r="AN224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02:03:53"},{"id":29,"name":"Sharepoint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82"/>
        <v>https://d0f6bd738d7f1b3e5a7ca70fe4ff75f0.us-east-1.aws.found.io/app/kibana#/discover/Steve-Slow-Train-Analysis-(2080s-and-2083s)?_g=(refreshInterval:(display:Off,pause:!f,section:0,value:0),time:(from:'2017-12-19T17:54:18-0700',mode:absolute,to:'2017-12-19T20:03:53-0700'))&amp;_a=(columns:!('Message%20ID',Summary),filters:!(),index:'emp_*',interval:auto,query:(query_string:(analyze_wildcard:!t,query:'%22rtdc.l.rtdc.4021%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905</v>
      </c>
      <c r="B225" s="225">
        <v>4057</v>
      </c>
      <c r="C225" s="227" t="s">
        <v>192</v>
      </c>
      <c r="D225" s="227" t="s">
        <v>664</v>
      </c>
      <c r="E225" s="226">
        <v>43088.973935185182</v>
      </c>
      <c r="F225" s="226">
        <v>43088.974988425929</v>
      </c>
      <c r="G225" s="225">
        <v>51</v>
      </c>
      <c r="H225" s="227" t="s">
        <v>1064</v>
      </c>
      <c r="I225" s="226">
        <v>43088.982129629629</v>
      </c>
      <c r="J225" s="225">
        <v>0</v>
      </c>
      <c r="K225" s="237" t="str">
        <f t="shared" si="167"/>
        <v>4057/4058</v>
      </c>
      <c r="L225" s="245" t="str">
        <f>VLOOKUP(A225,'Trips&amp;Operators'!$C$1:$G$99911,5,FALSE)</f>
        <v>STAMBAUGH JAMES</v>
      </c>
      <c r="M225" s="224">
        <f t="shared" si="168"/>
        <v>7.1412036995752715E-3</v>
      </c>
      <c r="N225" s="225">
        <f t="shared" si="169"/>
        <v>10.283333327388391</v>
      </c>
      <c r="O225" s="225"/>
      <c r="P225" s="225"/>
      <c r="Q225" s="228"/>
      <c r="R225" s="242"/>
      <c r="S225" s="249">
        <f t="shared" si="170"/>
        <v>0</v>
      </c>
      <c r="T225" s="242" t="str">
        <f t="shared" si="171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64"/>
        <v>https://d0f6bd738d7f1b3e5a7ca70fe4ff75f0.us-east-1.aws.found.io/app/kibana#/discover/Steve-Slow-Train-Analysis-(2080s-and-2083s)?_g=(refreshInterval:(display:Off,pause:!f,section:0,value:0),time:(from:'2017-12-19T22:22:28-0700',mode:absolute,to:'2017-12-20T00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5" s="247" t="str">
        <f>IF(AA225&lt;VLOOKUP(AG225,Variables!$AC$3:$AD$8,2,FALSE),"Y","N")</f>
        <v>Y</v>
      </c>
      <c r="X225" s="247">
        <f t="shared" si="177"/>
        <v>2</v>
      </c>
      <c r="Y225" s="247">
        <f t="shared" si="172"/>
        <v>5.8605999999999998</v>
      </c>
      <c r="Z225" s="247">
        <f t="shared" si="173"/>
        <v>2.8793000000000002</v>
      </c>
      <c r="AA225" s="247">
        <f t="shared" si="174"/>
        <v>2.9812999999999996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75"/>
        <v>908</v>
      </c>
      <c r="AE225" s="235" t="str">
        <f t="shared" si="165"/>
        <v>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 &amp; 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</v>
      </c>
      <c r="AF225" s="234" t="str">
        <f t="shared" si="166"/>
        <v>"C:\Program Files (x86)\AstroGrep\AstroGrep.exe" /e /r /s /spath="%USERPROFILE%\AppData\Local\Temp\OnboardLogs" /stypes="app*4057*20171220*" /stext=" 06:.+((SYSTEM_STATE.+slice.+state.+changed )|(ment ac)|(multiple cpu faults)|(system.+state.+changed )|(\[timeout)|(PRM\|1\|D)|(kpr)|(kdp)|(train st.+moving)|(\|gpps)|(penalty))"</v>
      </c>
      <c r="AG225" s="244" t="str">
        <f t="shared" si="176"/>
        <v>Other</v>
      </c>
      <c r="AH225" s="236" t="str">
        <f t="shared" si="178"/>
        <v>"%USERPROFILE%\Documents\GitHub\eaglep3\Utilities\RefineRTDCRunTimes.py" --tripid 908-19 --locoid 4057 --swversion DE.1.0.9.0 --startMP 300:58606 --initTime 2017-12-19T23:22:28 --startdatetime 2017-12-19T23:23:59 --delay 51 --endMP 300:28793 --enddatetime 2017-12-19T23:34:16 --enforcementcount 0 &gt;&gt;%USERPROFILE%\Documents\GitHub\eaglep3-reporting\EC\2017-12-19-refined-times.txt</v>
      </c>
      <c r="AI225" s="238" t="str">
        <f t="shared" si="179"/>
        <v>echo {"issue":{"subject":"","project_id":79,"tracker_id":40,"status_id":1,"priority_id":2,"assigned_to_id":338,"start_date":"2017-12-19","description":"","custom_fields":[{"id":1,"name":"Subdivision","value":"Other"},{"id":4,"name":"Milepost","value":"2.8793"},{"id":17,"name":"Train ID","value":"908-19"},{"id":16,"name":"Locomotive ID","value":"4057"},{"id":130,"name":"Impact","value":""},{"id":150,"name":"Time of Event (Mountain Time)","value":"23:34:16"},{"id":151,"name":"Denver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80"/>
        <v>start /low /b %USERPROFILE%\Documents\GitHub\eaglep3\Utilities\DownloadLogsFromS3.py --loco 4057 --day 2017-12-19</v>
      </c>
      <c r="AN225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06:34:16"},{"id":29,"name":"Sharepoint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82"/>
        <v>https://d0f6bd738d7f1b3e5a7ca70fe4ff75f0.us-east-1.aws.found.io/app/kibana#/discover/Steve-Slow-Train-Analysis-(2080s-and-2083s)?_g=(refreshInterval:(display:Off,pause:!f,section:0,value:0),time:(from:'2017-12-19T22:22:28-0700',mode:absolute,to:'2017-12-20T00:34:16-0700'))&amp;_a=(columns:!('Message%20ID',Summary),filters:!(),index:'emp_*',interval:auto,query:(query_string:(analyze_wildcard:!t,query:'%22rtdc.l.rtdc.4057%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697</v>
      </c>
      <c r="B226" s="225">
        <v>4012</v>
      </c>
      <c r="C226" s="227" t="s">
        <v>192</v>
      </c>
      <c r="D226" s="227" t="s">
        <v>1017</v>
      </c>
      <c r="E226" s="226">
        <v>43088.126354166663</v>
      </c>
      <c r="F226" s="226">
        <v>43088.137916666667</v>
      </c>
      <c r="G226" s="225">
        <v>70</v>
      </c>
      <c r="H226" s="227" t="s">
        <v>1018</v>
      </c>
      <c r="I226" s="226">
        <v>43088.138854166667</v>
      </c>
      <c r="J226" s="225">
        <v>0</v>
      </c>
      <c r="K226" s="237" t="str">
        <f t="shared" si="167"/>
        <v>4011/4012</v>
      </c>
      <c r="L226" s="245" t="str">
        <f>VLOOKUP(A226,'Trips&amp;Operators'!$C$1:$G$99911,5,FALSE)</f>
        <v>SPECTOR MICHAEL</v>
      </c>
      <c r="M226" s="224">
        <f t="shared" si="168"/>
        <v>9.3750000087311491E-4</v>
      </c>
      <c r="N226" s="225">
        <f t="shared" si="169"/>
        <v>1.3500000012572855</v>
      </c>
      <c r="O226" s="225"/>
      <c r="P226" s="225"/>
      <c r="Q226" s="228"/>
      <c r="R226" s="242"/>
      <c r="S226" s="249">
        <f t="shared" si="170"/>
        <v>0</v>
      </c>
      <c r="T226" s="242" t="str">
        <f t="shared" si="171"/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64"/>
        <v>https://d0f6bd738d7f1b3e5a7ca70fe4ff75f0.us-east-1.aws.found.io/app/kibana#/discover/Steve-Slow-Train-Analysis-(2080s-and-2083s)?_g=(refreshInterval:(display:Off,pause:!f,section:0,value:0),time:(from:'2017-12-19T02:01:57-0700',mode:absolute,to:'2017-12-19T04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6" s="247" t="str">
        <f>IF(AA226&lt;VLOOKUP(AG226,Variables!$AC$3:$AD$8,2,FALSE),"Y","N")</f>
        <v>Y</v>
      </c>
      <c r="X226" s="247">
        <f t="shared" si="177"/>
        <v>-857</v>
      </c>
      <c r="Y226" s="247">
        <f t="shared" si="172"/>
        <v>4.1500000000000002E-2</v>
      </c>
      <c r="Z226" s="247">
        <f t="shared" si="173"/>
        <v>0.35759999999999997</v>
      </c>
      <c r="AA226" s="247">
        <f t="shared" si="174"/>
        <v>0.31609999999999999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75"/>
        <v>51</v>
      </c>
      <c r="AE226" s="235" t="str">
        <f t="shared" si="165"/>
        <v>aws s3 cp s3://rtdc.mdm.uploadarchive.raw/RTDC4012/ "%USERPROFILE%\AppData\Local\Temp\OnboardLogs"\RTDC4012\2017-12-19 --exclude "*" --recursive --include "*20171219*" &amp; "%USERPROFILE%\Documents\GitHub\mrs-test-scripts\Headless Mode &amp; Sideloading\WalkAndUnGZ.bat" "%USERPROFILE%\AppData\Local\Temp\OnboardLogs"\RTDC4012\2017-12-19 &amp; aws s3 cp s3://rtdc.mdm.uploadarchive.raw/RTDC4012/ "%USERPROFILE%\AppData\Local\Temp\OnboardLogs"\RTDC4012\2017-12-20 --exclude "*" --recursive --include "*20171220*" &amp; "%USERPROFILE%\Documents\GitHub\mrs-test-scripts\Headless Mode &amp; Sideloading\WalkAndUnGZ.bat" "%USERPROFILE%\AppData\Local\Temp\OnboardLogs"\RTDC4012\2017-12-20</v>
      </c>
      <c r="AF226" s="234" t="str">
        <f t="shared" si="166"/>
        <v>"C:\Program Files (x86)\AstroGrep\AstroGrep.exe" /e /r /s /spath="%USERPROFILE%\AppData\Local\Temp\OnboardLogs" /stypes="app*4012*20171219*" /stext=" 10:.+((SYSTEM_STATE.+slice.+state.+changed )|(ment ac)|(multiple cpu faults)|(system.+state.+changed )|(\[timeout)|(PRM\|1\|D)|(kpr)|(kdp)|(train st.+moving)|(\|gpps)|(penalty))"</v>
      </c>
      <c r="AG226" s="244" t="str">
        <f t="shared" si="176"/>
        <v>Shuttle/Test</v>
      </c>
      <c r="AH226" s="236" t="str">
        <f t="shared" si="178"/>
        <v>"%USERPROFILE%\Documents\GitHub\eaglep3\Utilities\RefineRTDCRunTimes.py" --tripid 51-19 --locoid 4012 --swversion DE.1.0.9.0 --startMP 204:415 --initTime 2017-12-19T03:01:57 --startdatetime 2017-12-19T03:18:36 --delay 70 --endMP 204:3576 --enddatetime 2017-12-19T03:19:57 --enforcementcount 0 &gt;&gt;%USERPROFILE%\Documents\GitHub\eaglep3-reporting\EC\2017-12-19-refined-times.txt</v>
      </c>
      <c r="AI226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0.3576"},{"id":17,"name":"Train ID","value":"51-19"},{"id":16,"name":"Locomotive ID","value":"4012"},{"id":130,"name":"Impact","value":""},{"id":150,"name":"Time of Event (Mountain Time)","value":"03:19:57"},{"id":151,"name":"Denver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80"/>
        <v>start /low /b %USERPROFILE%\Documents\GitHub\eaglep3\Utilities\DownloadLogsFromS3.py --loco 4012 --day 2017-12-19</v>
      </c>
      <c r="AN226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82"/>
        <v>https://d0f6bd738d7f1b3e5a7ca70fe4ff75f0.us-east-1.aws.found.io/app/kibana#/discover/Steve-Slow-Train-Analysis-(2080s-and-2083s)?_g=(refreshInterval:(display:Off,pause:!f,section:0,value:0),time:(from:'2017-12-19T02:01:57-0700',mode:absolute,to:'2017-12-19T04:19:57-0700'))&amp;_a=(columns:!('Message%20ID',Summary),filters:!(),index:'emp_*',interval:auto,query:(query_string:(analyze_wildcard:!t,query:'%22rtdc.l.rtdc.4012%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703</v>
      </c>
      <c r="B227" s="225">
        <v>4011</v>
      </c>
      <c r="C227" s="227" t="s">
        <v>192</v>
      </c>
      <c r="D227" s="227" t="s">
        <v>1019</v>
      </c>
      <c r="E227" s="226">
        <v>43088.139976851853</v>
      </c>
      <c r="F227" s="226">
        <v>43088.141423611109</v>
      </c>
      <c r="G227" s="225">
        <v>69</v>
      </c>
      <c r="H227" s="227" t="s">
        <v>1020</v>
      </c>
      <c r="I227" s="226">
        <v>43088.14267361111</v>
      </c>
      <c r="J227" s="225">
        <v>0</v>
      </c>
      <c r="K227" s="237" t="str">
        <f t="shared" si="167"/>
        <v>4011/4012</v>
      </c>
      <c r="L227" s="245" t="str">
        <f>VLOOKUP(A227,'Trips&amp;Operators'!$C$1:$G$99911,5,FALSE)</f>
        <v>SPECTOR MICHAEL</v>
      </c>
      <c r="M227" s="224">
        <f t="shared" si="168"/>
        <v>1.2500000011641532E-3</v>
      </c>
      <c r="N227" s="225">
        <f t="shared" si="169"/>
        <v>1.8000000016763806</v>
      </c>
      <c r="O227" s="225"/>
      <c r="P227" s="225"/>
      <c r="Q227" s="228"/>
      <c r="R227" s="242"/>
      <c r="S227" s="249">
        <f t="shared" si="170"/>
        <v>0</v>
      </c>
      <c r="T227" s="242" t="str">
        <f t="shared" si="171"/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64"/>
        <v>https://d0f6bd738d7f1b3e5a7ca70fe4ff75f0.us-east-1.aws.found.io/app/kibana#/discover/Steve-Slow-Train-Analysis-(2080s-and-2083s)?_g=(refreshInterval:(display:Off,pause:!f,section:0,value:0),time:(from:'2017-12-19T02:21:34-0700',mode:absolute,to:'2017-12-19T04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7" s="247" t="str">
        <f>IF(AA227&lt;VLOOKUP(AG227,Variables!$AC$3:$AD$8,2,FALSE),"Y","N")</f>
        <v>Y</v>
      </c>
      <c r="X227" s="247">
        <f t="shared" si="177"/>
        <v>1</v>
      </c>
      <c r="Y227" s="247">
        <f t="shared" si="172"/>
        <v>0.3241</v>
      </c>
      <c r="Z227" s="247">
        <f t="shared" si="173"/>
        <v>0.1188</v>
      </c>
      <c r="AA227" s="247">
        <f t="shared" si="174"/>
        <v>0.20529999999999998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75"/>
        <v>52</v>
      </c>
      <c r="AE227" s="235" t="str">
        <f t="shared" si="165"/>
        <v>aws s3 cp s3://rtdc.mdm.uploadarchive.raw/RTDC4011/ "%USERPROFILE%\AppData\Local\Temp\OnboardLogs"\RTDC4011\2017-12-19 --exclude "*" --recursive --include "*20171219*" &amp; "%USERPROFILE%\Documents\GitHub\mrs-test-scripts\Headless Mode &amp; Sideloading\WalkAndUnGZ.bat" "%USERPROFILE%\AppData\Local\Temp\OnboardLogs"\RTDC4011\2017-12-19 &amp; aws s3 cp s3://rtdc.mdm.uploadarchive.raw/RTDC4011/ "%USERPROFILE%\AppData\Local\Temp\OnboardLogs"\RTDC4011\2017-12-20 --exclude "*" --recursive --include "*20171220*" &amp; "%USERPROFILE%\Documents\GitHub\mrs-test-scripts\Headless Mode &amp; Sideloading\WalkAndUnGZ.bat" "%USERPROFILE%\AppData\Local\Temp\OnboardLogs"\RTDC4011\2017-12-20</v>
      </c>
      <c r="AF227" s="234" t="str">
        <f t="shared" si="166"/>
        <v>"C:\Program Files (x86)\AstroGrep\AstroGrep.exe" /e /r /s /spath="%USERPROFILE%\AppData\Local\Temp\OnboardLogs" /stypes="app*4011*20171219*" /stext=" 10:.+((SYSTEM_STATE.+slice.+state.+changed )|(ment ac)|(multiple cpu faults)|(system.+state.+changed )|(\[timeout)|(PRM\|1\|D)|(kpr)|(kdp)|(train st.+moving)|(\|gpps)|(penalty))"</v>
      </c>
      <c r="AG227" s="244" t="str">
        <f t="shared" si="176"/>
        <v>Shuttle/Test</v>
      </c>
      <c r="AH227" s="236" t="str">
        <f t="shared" si="178"/>
        <v>"%USERPROFILE%\Documents\GitHub\eaglep3\Utilities\RefineRTDCRunTimes.py" --tripid 52-19 --locoid 4011 --swversion DE.1.0.9.0 --startMP 204:3241 --initTime 2017-12-19T03:21:34 --startdatetime 2017-12-19T03:23:39 --delay 69 --endMP 204:1188 --enddatetime 2017-12-19T03:25:27 --enforcementcount 0 &gt;&gt;%USERPROFILE%\Documents\GitHub\eaglep3-reporting\EC\2017-12-19-refined-times.txt</v>
      </c>
      <c r="AI227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0.1188"},{"id":17,"name":"Train ID","value":"52-19"},{"id":16,"name":"Locomotive ID","value":"4011"},{"id":130,"name":"Impact","value":""},{"id":150,"name":"Time of Event (Mountain Time)","value":"03:25:27"},{"id":151,"name":"Denver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80"/>
        <v>start /low /b %USERPROFILE%\Documents\GitHub\eaglep3\Utilities\DownloadLogsFromS3.py --loco 4011 --day 2017-12-19</v>
      </c>
      <c r="AN227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10:25:27"},{"id":29,"name":"Sharepoint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82"/>
        <v>https://d0f6bd738d7f1b3e5a7ca70fe4ff75f0.us-east-1.aws.found.io/app/kibana#/discover/Steve-Slow-Train-Analysis-(2080s-and-2083s)?_g=(refreshInterval:(display:Off,pause:!f,section:0,value:0),time:(from:'2017-12-19T02:21:34-0700',mode:absolute,to:'2017-12-19T04:25:27-0700'))&amp;_a=(columns:!('Message%20ID',Summary),filters:!(),index:'emp_*',interval:auto,query:(query_string:(analyze_wildcard:!t,query:'%22rtdc.l.rtdc.4011%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836</v>
      </c>
      <c r="B228" s="225">
        <v>4012</v>
      </c>
      <c r="C228" s="227" t="s">
        <v>192</v>
      </c>
      <c r="D228" s="227" t="s">
        <v>1021</v>
      </c>
      <c r="E228" s="226">
        <v>43088.67559027778</v>
      </c>
      <c r="F228" s="226">
        <v>43088.68074074074</v>
      </c>
      <c r="G228" s="225">
        <v>91</v>
      </c>
      <c r="H228" s="227" t="s">
        <v>1022</v>
      </c>
      <c r="I228" s="226">
        <v>43088.686782407407</v>
      </c>
      <c r="J228" s="225">
        <v>0</v>
      </c>
      <c r="K228" s="237" t="str">
        <f t="shared" si="167"/>
        <v>4011/4012</v>
      </c>
      <c r="L228" s="245" t="str">
        <f>VLOOKUP(A228,'Trips&amp;Operators'!$C$1:$G$99911,5,FALSE)</f>
        <v>NEWELL JAMES</v>
      </c>
      <c r="M228" s="224">
        <f t="shared" si="168"/>
        <v>6.0416666674427688E-3</v>
      </c>
      <c r="N228" s="225">
        <f t="shared" si="169"/>
        <v>8.7000000011175871</v>
      </c>
      <c r="O228" s="225"/>
      <c r="P228" s="225"/>
      <c r="Q228" s="228"/>
      <c r="R228" s="242"/>
      <c r="S228" s="249">
        <f t="shared" si="170"/>
        <v>1</v>
      </c>
      <c r="T228" s="242" t="str">
        <f t="shared" si="171"/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8" t="str">
        <f t="shared" si="164"/>
        <v>https://d0f6bd738d7f1b3e5a7ca70fe4ff75f0.us-east-1.aws.found.io/app/kibana#/discover/Steve-Slow-Train-Analysis-(2080s-and-2083s)?_g=(refreshInterval:(display:Off,pause:!f,section:0,value:0),time:(from:'2017-12-19T15:12:51-0700',mode:absolute,to:'2017-12-19T17:28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8" s="247" t="str">
        <f>IF(AA228&lt;VLOOKUP(AG228,Variables!$AC$3:$AD$8,2,FALSE),"Y","N")</f>
        <v>Y</v>
      </c>
      <c r="X228" s="247">
        <f t="shared" si="177"/>
        <v>23</v>
      </c>
      <c r="Y228" s="247">
        <f t="shared" si="172"/>
        <v>0.14940000000000001</v>
      </c>
      <c r="Z228" s="247">
        <f t="shared" si="173"/>
        <v>2.3311999999999999</v>
      </c>
      <c r="AA228" s="247">
        <f t="shared" si="174"/>
        <v>2.1818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75"/>
        <v>75</v>
      </c>
      <c r="AE228" s="235" t="str">
        <f t="shared" si="165"/>
        <v>aws s3 cp s3://rtdc.mdm.uploadarchive.raw/RTDC4012/ "%USERPROFILE%\AppData\Local\Temp\OnboardLogs"\RTDC4012\2017-12-19 --exclude "*" --recursive --include "*20171219*" &amp; "%USERPROFILE%\Documents\GitHub\mrs-test-scripts\Headless Mode &amp; Sideloading\WalkAndUnGZ.bat" "%USERPROFILE%\AppData\Local\Temp\OnboardLogs"\RTDC4012\2017-12-19 &amp; aws s3 cp s3://rtdc.mdm.uploadarchive.raw/RTDC4012/ "%USERPROFILE%\AppData\Local\Temp\OnboardLogs"\RTDC4012\2017-12-20 --exclude "*" --recursive --include "*20171220*" &amp; "%USERPROFILE%\Documents\GitHub\mrs-test-scripts\Headless Mode &amp; Sideloading\WalkAndUnGZ.bat" "%USERPROFILE%\AppData\Local\Temp\OnboardLogs"\RTDC4012\2017-12-20</v>
      </c>
      <c r="AF228" s="234" t="str">
        <f t="shared" si="166"/>
        <v>"C:\Program Files (x86)\AstroGrep\AstroGrep.exe" /e /r /s /spath="%USERPROFILE%\AppData\Local\Temp\OnboardLogs" /stypes="app*4012*20171219*" /stext=" 23:.+((SYSTEM_STATE.+slice.+state.+changed )|(ment ac)|(multiple cpu faults)|(system.+state.+changed )|(\[timeout)|(PRM\|1\|D)|(kpr)|(kdp)|(train st.+moving)|(\|gpps)|(penalty))"</v>
      </c>
      <c r="AG228" s="244" t="str">
        <f t="shared" si="176"/>
        <v>Shuttle/Test</v>
      </c>
      <c r="AH228" s="236" t="str">
        <f t="shared" si="178"/>
        <v>"%USERPROFILE%\Documents\GitHub\eaglep3\Utilities\RefineRTDCRunTimes.py" --tripid 75-19 --locoid 4012 --swversion DE.1.0.9.0 --startMP 204:1494 --initTime 2017-12-19T16:12:51 --startdatetime 2017-12-19T16:20:16 --delay 91 --endMP 300:23312 --enddatetime 2017-12-19T16:28:58 --enforcementcount 0 &gt;&gt;%USERPROFILE%\Documents\GitHub\eaglep3-reporting\EC\2017-12-19-refined-times.txt</v>
      </c>
      <c r="AI228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2.3312"},{"id":17,"name":"Train ID","value":"75-19"},{"id":16,"name":"Locomotive ID","value":"4012"},{"id":130,"name":"Impact","value":""},{"id":150,"name":"Time of Event (Mountain Time)","value":"16:28:58"},{"id":151,"name":"Denver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80"/>
        <v>start /low /b %USERPROFILE%\Documents\GitHub\eaglep3\Utilities\DownloadLogsFromS3.py --loco 4012 --day 2017-12-19</v>
      </c>
      <c r="AN228" s="241" t="str">
        <f t="shared" si="181"/>
        <v>echo {"issue":{"subject":"","project_id":30,"tracker_id":4,"status_id":1,"priority_id":1,"assigned_to_id":10,"start_date":"2017-12-19","description":"","custom_fields":[{"id":30,"name":"Category","value":"Issue"},{"id":3,"name":"Functional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UTC","value":"2017-12-19 23:28:58"},{"id":29,"name":"Sharepoint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82"/>
        <v>https://d0f6bd738d7f1b3e5a7ca70fe4ff75f0.us-east-1.aws.found.io/app/kibana#/discover/Steve-Slow-Train-Analysis-(2080s-and-2083s)?_g=(refreshInterval:(display:Off,pause:!f,section:0,value:0),time:(from:'2017-12-19T15:12:51-0700',mode:absolute,to:'2017-12-19T17:28:58-0700'))&amp;_a=(columns:!('Message%20ID',Summary),filters:!(),index:'emp_*',interval:auto,query:(query_string:(analyze_wildcard:!t,query:'%22rtdc.l.rtdc.4012%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858</v>
      </c>
      <c r="B229" s="225">
        <v>4029</v>
      </c>
      <c r="C229" s="227" t="s">
        <v>192</v>
      </c>
      <c r="D229" s="227" t="s">
        <v>1023</v>
      </c>
      <c r="E229" s="226">
        <v>43088.744467592594</v>
      </c>
      <c r="F229" s="226">
        <v>43088.748819444445</v>
      </c>
      <c r="G229" s="225">
        <v>89</v>
      </c>
      <c r="H229" s="227" t="s">
        <v>1024</v>
      </c>
      <c r="I229" s="226">
        <v>43088.753981481481</v>
      </c>
      <c r="J229" s="225">
        <v>0</v>
      </c>
      <c r="K229" s="237" t="str">
        <f t="shared" si="167"/>
        <v>4029/4030</v>
      </c>
      <c r="L229" s="245" t="str">
        <f>VLOOKUP(A229,'Trips&amp;Operators'!$C$1:$G$99911,5,FALSE)</f>
        <v>WEST BRYAN</v>
      </c>
      <c r="M229" s="224">
        <f t="shared" si="168"/>
        <v>5.1620370359160006E-3</v>
      </c>
      <c r="N229" s="225">
        <f t="shared" si="169"/>
        <v>7.4333333317190409</v>
      </c>
      <c r="O229" s="225"/>
      <c r="P229" s="225"/>
      <c r="Q229" s="228"/>
      <c r="R229" s="242"/>
      <c r="S229" s="249">
        <f t="shared" si="170"/>
        <v>1</v>
      </c>
      <c r="T229" s="242" t="str">
        <f t="shared" si="171"/>
        <v>Southbound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8" t="str">
        <f t="shared" si="164"/>
        <v>https://d0f6bd738d7f1b3e5a7ca70fe4ff75f0.us-east-1.aws.found.io/app/kibana#/discover/Steve-Slow-Train-Analysis-(2080s-and-2083s)?_g=(refreshInterval:(display:Off,pause:!f,section:0,value:0),time:(from:'2017-12-19T16:52:02-0700',mode:absolute,to:'2017-12-19T19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247" t="str">
        <f>IF(AA229&lt;VLOOKUP(AG229,Variables!$AC$3:$AD$8,2,FALSE),"Y","N")</f>
        <v>Y</v>
      </c>
      <c r="X229" s="247">
        <f t="shared" si="177"/>
        <v>1</v>
      </c>
      <c r="Y229" s="247">
        <f t="shared" si="172"/>
        <v>2.3561000000000001</v>
      </c>
      <c r="Z229" s="247">
        <f t="shared" si="173"/>
        <v>0.1298</v>
      </c>
      <c r="AA229" s="247">
        <f t="shared" si="174"/>
        <v>2.2263000000000002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75"/>
        <v>76</v>
      </c>
      <c r="AE229" s="235" t="str">
        <f t="shared" si="165"/>
        <v>aws s3 cp s3://rtdc.mdm.uploadarchive.raw/RTDC4029/ "%USERPROFILE%\AppData\Local\Temp\OnboardLogs"\RTDC4029\2017-12-19 --exclude "*" --recursive --include "*20171219*" &amp; "%USERPROFILE%\Documents\GitHub\mrs-test-scripts\Headless Mode &amp; Sideloading\WalkAndUnGZ.bat" "%USERPROFILE%\AppData\Local\Temp\OnboardLogs"\RTDC4029\2017-12-19 &amp; aws s3 cp s3://rtdc.mdm.uploadarchive.raw/RTDC4029/ "%USERPROFILE%\AppData\Local\Temp\OnboardLogs"\RTDC4029\2017-12-20 --exclude "*" --recursive --include "*20171220*" &amp; "%USERPROFILE%\Documents\GitHub\mrs-test-scripts\Headless Mode &amp; Sideloading\WalkAndUnGZ.bat" "%USERPROFILE%\AppData\Local\Temp\OnboardLogs"\RTDC4029\2017-12-20</v>
      </c>
      <c r="AF229" s="234" t="str">
        <f t="shared" si="166"/>
        <v>"C:\Program Files (x86)\AstroGrep\AstroGrep.exe" /e /r /s /spath="%USERPROFILE%\AppData\Local\Temp\OnboardLogs" /stypes="app*4029*20171220*" /stext=" 01:.+((SYSTEM_STATE.+slice.+state.+changed )|(ment ac)|(multiple cpu faults)|(system.+state.+changed )|(\[timeout)|(PRM\|1\|D)|(kpr)|(kdp)|(train st.+moving)|(\|gpps)|(penalty))"</v>
      </c>
      <c r="AG229" s="244" t="str">
        <f t="shared" si="176"/>
        <v>Shuttle/Test</v>
      </c>
      <c r="AH229" s="236" t="str">
        <f t="shared" si="178"/>
        <v>"%USERPROFILE%\Documents\GitHub\eaglep3\Utilities\RefineRTDCRunTimes.py" --tripid 76-19 --locoid 4029 --swversion DE.1.0.9.0 --startMP 300:23561 --initTime 2017-12-19T17:52:02 --startdatetime 2017-12-19T17:58:18 --delay 89 --endMP 204:1298 --enddatetime 2017-12-19T18:05:44 --enforcementcount 0 &gt;&gt;%USERPROFILE%\Documents\GitHub\eaglep3-reporting\EC\2017-12-19-refined-times.txt</v>
      </c>
      <c r="AI229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0.1298"},{"id":17,"name":"Train ID","value":"76-19"},{"id":16,"name":"Locomotive ID","value":"4029"},{"id":130,"name":"Impact","value":""},{"id":150,"name":"Time of Event (Mountain Time)","value":"18:05:44"},{"id":151,"name":"Denver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80"/>
        <v>start /low /b %USERPROFILE%\Documents\GitHub\eaglep3\Utilities\DownloadLogsFromS3.py --loco 4029 --day 2017-12-19</v>
      </c>
      <c r="AN229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82"/>
        <v>https://d0f6bd738d7f1b3e5a7ca70fe4ff75f0.us-east-1.aws.found.io/app/kibana#/discover/Steve-Slow-Train-Analysis-(2080s-and-2083s)?_g=(refreshInterval:(display:Off,pause:!f,section:0,value:0),time:(from:'2017-12-19T16:52:02-0700',mode:absolute,to:'2017-12-19T19:05:44-0700'))&amp;_a=(columns:!('Message%20ID',Summary),filters:!(),index:'emp_*',interval:auto,query:(query_string:(analyze_wildcard:!t,query:'%22rtdc.l.rtdc.4029%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9" t="s">
        <v>844</v>
      </c>
      <c r="B230" s="225">
        <v>4060</v>
      </c>
      <c r="C230" s="227" t="s">
        <v>192</v>
      </c>
      <c r="D230" s="227" t="s">
        <v>1054</v>
      </c>
      <c r="E230" s="226">
        <v>43088.698854166665</v>
      </c>
      <c r="F230" s="226">
        <v>43088.742800925924</v>
      </c>
      <c r="G230" s="225">
        <v>77</v>
      </c>
      <c r="H230" s="227" t="s">
        <v>1055</v>
      </c>
      <c r="I230" s="226">
        <v>43088.748993055553</v>
      </c>
      <c r="J230" s="225">
        <v>0</v>
      </c>
      <c r="K230" s="237" t="str">
        <f t="shared" si="167"/>
        <v>4059/4060</v>
      </c>
      <c r="L230" s="245" t="str">
        <f>VLOOKUP(A230,'Trips&amp;Operators'!$C$1:$G$99911,5,FALSE)</f>
        <v>MOSES BRADLEY</v>
      </c>
      <c r="M230" s="224">
        <f t="shared" si="168"/>
        <v>6.1921296291984618E-3</v>
      </c>
      <c r="N230" s="225">
        <f t="shared" si="169"/>
        <v>8.916666666045785</v>
      </c>
      <c r="O230" s="225"/>
      <c r="P230" s="225"/>
      <c r="Q230" s="228"/>
      <c r="R230" s="242"/>
      <c r="S230" s="249">
        <f t="shared" si="170"/>
        <v>0</v>
      </c>
      <c r="T230" s="242" t="str">
        <f t="shared" si="171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164"/>
        <v>https://d0f6bd738d7f1b3e5a7ca70fe4ff75f0.us-east-1.aws.found.io/app/kibana#/discover/Steve-Slow-Train-Analysis-(2080s-and-2083s)?_g=(refreshInterval:(display:Off,pause:!f,section:0,value:0),time:(from:'2017-12-19T15:46:21-0700',mode:absolute,to:'2017-12-19T18:58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0" s="247" t="str">
        <f>IF(AA230&lt;VLOOKUP(AG230,Variables!$AC$3:$AD$8,2,FALSE),"Y","N")</f>
        <v>Y</v>
      </c>
      <c r="X230" s="247">
        <f t="shared" si="177"/>
        <v>12</v>
      </c>
      <c r="Y230" s="247">
        <f t="shared" si="172"/>
        <v>0.11559999999999999</v>
      </c>
      <c r="Z230" s="247">
        <f t="shared" si="173"/>
        <v>0.35320000000000001</v>
      </c>
      <c r="AA230" s="247">
        <f t="shared" si="174"/>
        <v>0.23760000000000003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75"/>
        <v>88</v>
      </c>
      <c r="AE230" s="235" t="str">
        <f t="shared" si="165"/>
        <v>aws s3 cp s3://rtdc.mdm.uploadarchive.raw/RTDC4060/ "%USERPROFILE%\AppData\Local\Temp\OnboardLogs"\RTDC4060\2017-12-19 --exclude "*" --recursive --include "*20171219*" &amp; "%USERPROFILE%\Documents\GitHub\mrs-test-scripts\Headless Mode &amp; Sideloading\WalkAndUnGZ.bat" "%USERPROFILE%\AppData\Local\Temp\OnboardLogs"\RTDC4060\2017-12-19 &amp; aws s3 cp s3://rtdc.mdm.uploadarchive.raw/RTDC4060/ "%USERPROFILE%\AppData\Local\Temp\OnboardLogs"\RTDC4060\2017-12-20 --exclude "*" --recursive --include "*20171220*" &amp; "%USERPROFILE%\Documents\GitHub\mrs-test-scripts\Headless Mode &amp; Sideloading\WalkAndUnGZ.bat" "%USERPROFILE%\AppData\Local\Temp\OnboardLogs"\RTDC4060\2017-12-20</v>
      </c>
      <c r="AF230" s="234" t="str">
        <f t="shared" si="166"/>
        <v>"C:\Program Files (x86)\AstroGrep\AstroGrep.exe" /e /r /s /spath="%USERPROFILE%\AppData\Local\Temp\OnboardLogs" /stypes="app*4060*20171220*" /stext=" 00:.+((SYSTEM_STATE.+slice.+state.+changed )|(ment ac)|(multiple cpu faults)|(system.+state.+changed )|(\[timeout)|(PRM\|1\|D)|(kpr)|(kdp)|(train st.+moving)|(\|gpps)|(penalty))"</v>
      </c>
      <c r="AG230" s="244" t="str">
        <f t="shared" si="176"/>
        <v>Shuttle/Test</v>
      </c>
      <c r="AH230" s="236" t="str">
        <f t="shared" si="178"/>
        <v>"%USERPROFILE%\Documents\GitHub\eaglep3\Utilities\RefineRTDCRunTimes.py" --tripid 88-19 --locoid 4060 --swversion DE.1.0.9.0 --startMP 204:1156 --initTime 2017-12-19T16:46:21 --startdatetime 2017-12-19T17:49:38 --delay 77 --endMP 204:3532 --enddatetime 2017-12-19T17:58:33 --enforcementcount 0 &gt;&gt;%USERPROFILE%\Documents\GitHub\eaglep3-reporting\EC\2017-12-19-refined-times.txt</v>
      </c>
      <c r="AI230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0.3532"},{"id":17,"name":"Train ID","value":"88-19"},{"id":16,"name":"Locomotive ID","value":"4060"},{"id":130,"name":"Impact","value":""},{"id":150,"name":"Time of Event (Mountain Time)","value":"17:58:33"},{"id":151,"name":"Denver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80"/>
        <v>start /low /b %USERPROFILE%\Documents\GitHub\eaglep3\Utilities\DownloadLogsFromS3.py --loco 4060 --day 2017-12-19</v>
      </c>
      <c r="AN230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82"/>
        <v>https://d0f6bd738d7f1b3e5a7ca70fe4ff75f0.us-east-1.aws.found.io/app/kibana#/discover/Steve-Slow-Train-Analysis-(2080s-and-2083s)?_g=(refreshInterval:(display:Off,pause:!f,section:0,value:0),time:(from:'2017-12-19T15:46:21-0700',mode:absolute,to:'2017-12-19T18:58:33-0700'))&amp;_a=(columns:!('Message%20ID',Summary),filters:!(),index:'emp_*',interval:auto,query:(query_string:(analyze_wildcard:!t,query:'%22rtdc.l.rtdc.4060%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844</v>
      </c>
      <c r="B231" s="225">
        <v>4040</v>
      </c>
      <c r="C231" s="227" t="s">
        <v>192</v>
      </c>
      <c r="D231" s="227" t="s">
        <v>1056</v>
      </c>
      <c r="E231" s="226">
        <v>43088.736805555556</v>
      </c>
      <c r="F231" s="226">
        <v>43088.742800925924</v>
      </c>
      <c r="G231" s="225">
        <v>58</v>
      </c>
      <c r="H231" s="227" t="s">
        <v>586</v>
      </c>
      <c r="I231" s="226">
        <v>43088.748993055553</v>
      </c>
      <c r="J231" s="225">
        <v>0</v>
      </c>
      <c r="K231" s="237" t="str">
        <f t="shared" si="167"/>
        <v>4039/4040</v>
      </c>
      <c r="L231" s="245" t="str">
        <f>VLOOKUP(A231,'Trips&amp;Operators'!$C$1:$G$99911,5,FALSE)</f>
        <v>MOSES BRADLEY</v>
      </c>
      <c r="M231" s="224">
        <f t="shared" si="168"/>
        <v>6.1921296291984618E-3</v>
      </c>
      <c r="N231" s="225">
        <f t="shared" si="169"/>
        <v>8.916666666045785</v>
      </c>
      <c r="O231" s="225"/>
      <c r="P231" s="225"/>
      <c r="Q231" s="228"/>
      <c r="R231" s="242"/>
      <c r="S231" s="249">
        <f t="shared" si="170"/>
        <v>0</v>
      </c>
      <c r="T231" s="242" t="str">
        <f t="shared" si="171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164"/>
        <v>https://d0f6bd738d7f1b3e5a7ca70fe4ff75f0.us-east-1.aws.found.io/app/kibana#/discover/Steve-Slow-Train-Analysis-(2080s-and-2083s)?_g=(refreshInterval:(display:Off,pause:!f,section:0,value:0),time:(from:'2017-12-19T16:41:00-0700',mode:absolute,to:'2017-12-19T18:58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1" s="247" t="str">
        <f>IF(AA231&lt;VLOOKUP(AG231,Variables!$AC$3:$AD$8,2,FALSE),"Y","N")</f>
        <v>Y</v>
      </c>
      <c r="X231" s="247">
        <f t="shared" si="177"/>
        <v>0</v>
      </c>
      <c r="Y231" s="247">
        <f t="shared" si="172"/>
        <v>0.1196</v>
      </c>
      <c r="Z231" s="247">
        <f t="shared" si="173"/>
        <v>2.3313999999999999</v>
      </c>
      <c r="AA231" s="247">
        <f t="shared" si="174"/>
        <v>2.2117999999999998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75"/>
        <v>88</v>
      </c>
      <c r="AE231" s="235" t="str">
        <f t="shared" si="165"/>
        <v>aws s3 cp s3://rtdc.mdm.uploadarchive.raw/RTDC4040/ "%USERPROFILE%\AppData\Local\Temp\OnboardLogs"\RTDC4040\2017-12-19 --exclude "*" --recursive --include "*20171219*" &amp; "%USERPROFILE%\Documents\GitHub\mrs-test-scripts\Headless Mode &amp; Sideloading\WalkAndUnGZ.bat" "%USERPROFILE%\AppData\Local\Temp\OnboardLogs"\RTDC4040\2017-12-19 &amp; 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</v>
      </c>
      <c r="AF231" s="234" t="str">
        <f t="shared" si="166"/>
        <v>"C:\Program Files (x86)\AstroGrep\AstroGrep.exe" /e /r /s /spath="%USERPROFILE%\AppData\Local\Temp\OnboardLogs" /stypes="app*4040*20171220*" /stext=" 00:.+((SYSTEM_STATE.+slice.+state.+changed )|(ment ac)|(multiple cpu faults)|(system.+state.+changed )|(\[timeout)|(PRM\|1\|D)|(kpr)|(kdp)|(train st.+moving)|(\|gpps)|(penalty))"</v>
      </c>
      <c r="AG231" s="244" t="str">
        <f t="shared" si="176"/>
        <v>Shuttle/Test</v>
      </c>
      <c r="AH231" s="236" t="str">
        <f t="shared" si="178"/>
        <v>"%USERPROFILE%\Documents\GitHub\eaglep3\Utilities\RefineRTDCRunTimes.py" --tripid 88-19 --locoid 4040 --swversion DE.1.0.9.0 --startMP 204:1196 --initTime 2017-12-19T17:41:00 --startdatetime 2017-12-19T17:49:38 --delay 58 --endMP 300:23314 --enddatetime 2017-12-19T17:58:33 --enforcementcount 0 &gt;&gt;%USERPROFILE%\Documents\GitHub\eaglep3-reporting\EC\2017-12-19-refined-times.txt</v>
      </c>
      <c r="AI231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2.3314"},{"id":17,"name":"Train ID","value":"88-19"},{"id":16,"name":"Locomotive ID","value":"4040"},{"id":130,"name":"Impact","value":""},{"id":150,"name":"Time of Event (Mountain Time)","value":"17:58:33"},{"id":151,"name":"Denver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80"/>
        <v>start /low /b %USERPROFILE%\Documents\GitHub\eaglep3\Utilities\DownloadLogsFromS3.py --loco 4040 --day 2017-12-19</v>
      </c>
      <c r="AN231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82"/>
        <v>https://d0f6bd738d7f1b3e5a7ca70fe4ff75f0.us-east-1.aws.found.io/app/kibana#/discover/Steve-Slow-Train-Analysis-(2080s-and-2083s)?_g=(refreshInterval:(display:Off,pause:!f,section:0,value:0),time:(from:'2017-12-19T16:41:00-0700',mode:absolute,to:'2017-12-19T18:58:33-0700'))&amp;_a=(columns:!('Message%20ID',Summary),filters:!(),index:'emp_*',interval:auto,query:(query_string:(analyze_wildcard:!t,query:'%22rtdc.l.rtdc.4040%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844</v>
      </c>
      <c r="B232" s="225">
        <v>4059</v>
      </c>
      <c r="C232" s="227" t="s">
        <v>192</v>
      </c>
      <c r="D232" s="227" t="s">
        <v>1057</v>
      </c>
      <c r="E232" s="226">
        <v>43088.72488425926</v>
      </c>
      <c r="F232" s="226">
        <v>43088.742800925924</v>
      </c>
      <c r="G232" s="225">
        <v>70</v>
      </c>
      <c r="H232" s="227" t="s">
        <v>922</v>
      </c>
      <c r="I232" s="226">
        <v>43088.748993055553</v>
      </c>
      <c r="J232" s="225">
        <v>0</v>
      </c>
      <c r="K232" s="237" t="str">
        <f t="shared" si="167"/>
        <v>4059/4060</v>
      </c>
      <c r="L232" s="245" t="str">
        <f>VLOOKUP(A232,'Trips&amp;Operators'!$C$1:$G$99911,5,FALSE)</f>
        <v>MOSES BRADLEY</v>
      </c>
      <c r="M232" s="224">
        <f t="shared" si="168"/>
        <v>6.1921296291984618E-3</v>
      </c>
      <c r="N232" s="225">
        <f t="shared" si="169"/>
        <v>8.916666666045785</v>
      </c>
      <c r="O232" s="225"/>
      <c r="P232" s="225"/>
      <c r="Q232" s="228"/>
      <c r="R232" s="242"/>
      <c r="S232" s="249">
        <f t="shared" si="170"/>
        <v>0</v>
      </c>
      <c r="T232" s="242" t="str">
        <f t="shared" si="171"/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164"/>
        <v>https://d0f6bd738d7f1b3e5a7ca70fe4ff75f0.us-east-1.aws.found.io/app/kibana#/discover/Steve-Slow-Train-Analysis-(2080s-and-2083s)?_g=(refreshInterval:(display:Off,pause:!f,section:0,value:0),time:(from:'2017-12-19T16:23:50-0700',mode:absolute,to:'2017-12-19T18:58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47" t="str">
        <f>IF(AA232&lt;VLOOKUP(AG232,Variables!$AC$3:$AD$8,2,FALSE),"Y","N")</f>
        <v>Y</v>
      </c>
      <c r="X232" s="247">
        <f t="shared" si="177"/>
        <v>0</v>
      </c>
      <c r="Y232" s="247">
        <f t="shared" si="172"/>
        <v>0.3221</v>
      </c>
      <c r="Z232" s="247">
        <f t="shared" si="173"/>
        <v>2.1600000000000001E-2</v>
      </c>
      <c r="AA232" s="247">
        <f t="shared" si="174"/>
        <v>0.30049999999999999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75"/>
        <v>88</v>
      </c>
      <c r="AE232" s="235" t="str">
        <f t="shared" si="165"/>
        <v>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 &amp; 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</v>
      </c>
      <c r="AF232" s="234" t="str">
        <f t="shared" si="166"/>
        <v>"C:\Program Files (x86)\AstroGrep\AstroGrep.exe" /e /r /s /spath="%USERPROFILE%\AppData\Local\Temp\OnboardLogs" /stypes="app*4059*20171220*" /stext=" 00:.+((SYSTEM_STATE.+slice.+state.+changed )|(ment ac)|(multiple cpu faults)|(system.+state.+changed )|(\[timeout)|(PRM\|1\|D)|(kpr)|(kdp)|(train st.+moving)|(\|gpps)|(penalty))"</v>
      </c>
      <c r="AG232" s="244" t="str">
        <f t="shared" si="176"/>
        <v>Shuttle/Test</v>
      </c>
      <c r="AH232" s="236" t="str">
        <f t="shared" si="178"/>
        <v>"%USERPROFILE%\Documents\GitHub\eaglep3\Utilities\RefineRTDCRunTimes.py" --tripid 88-19 --locoid 4059 --swversion DE.1.0.9.0 --startMP 204:3221 --initTime 2017-12-19T17:23:50 --startdatetime 2017-12-19T17:49:38 --delay 70 --endMP 204:216 --enddatetime 2017-12-19T17:58:33 --enforcementcount 0 &gt;&gt;%USERPROFILE%\Documents\GitHub\eaglep3-reporting\EC\2017-12-19-refined-times.txt</v>
      </c>
      <c r="AI232" s="238" t="str">
        <f t="shared" si="179"/>
        <v>echo {"issue":{"subject":"","project_id":79,"tracker_id":40,"status_id":1,"priority_id":2,"assigned_to_id":338,"start_date":"2017-12-19","description":"","custom_fields":[{"id":1,"name":"Subdivision","value":"Shuttle/Test"},{"id":4,"name":"Milepost","value":"0.0216"},{"id":17,"name":"Train ID","value":"88-19"},{"id":16,"name":"Locomotive ID","value":"4059"},{"id":130,"name":"Impact","value":""},{"id":150,"name":"Time of Event (Mountain Time)","value":"17:58:33"},{"id":151,"name":"Denver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80"/>
        <v>start /low /b %USERPROFILE%\Documents\GitHub\eaglep3\Utilities\DownloadLogsFromS3.py --loco 4059 --day 2017-12-19</v>
      </c>
      <c r="AN232" s="241" t="str">
        <f t="shared" si="18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00:58:33"},{"id":29,"name":"Sharepoint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82"/>
        <v>https://d0f6bd738d7f1b3e5a7ca70fe4ff75f0.us-east-1.aws.found.io/app/kibana#/discover/Steve-Slow-Train-Analysis-(2080s-and-2083s)?_g=(refreshInterval:(display:Off,pause:!f,section:0,value:0),time:(from:'2017-12-19T16:23:50-0700',mode:absolute,to:'2017-12-19T18:58:33-0700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s="2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s="2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</sheetData>
  <autoFilter ref="A12:AG529">
    <sortState ref="A13:AG529">
      <sortCondition ref="AG13:AG232"/>
      <sortCondition ref="AD13:AD232"/>
    </sortState>
  </autoFilter>
  <sortState ref="A13:AN434">
    <sortCondition ref="AG13:AG434"/>
    <sortCondition ref="AD13:AD434"/>
  </sortState>
  <mergeCells count="1">
    <mergeCell ref="A11:P11"/>
  </mergeCells>
  <conditionalFormatting sqref="W11:W12 W535:X1048576 W13:X232">
    <cfRule type="cellIs" dxfId="10" priority="472" operator="equal">
      <formula>"Y"</formula>
    </cfRule>
  </conditionalFormatting>
  <conditionalFormatting sqref="X535:X1048576 X13:X232">
    <cfRule type="cellIs" dxfId="9" priority="455" operator="greaterThan">
      <formula>1</formula>
    </cfRule>
  </conditionalFormatting>
  <conditionalFormatting sqref="X535:X1048576 X12:X232">
    <cfRule type="cellIs" dxfId="8" priority="452" operator="equal">
      <formula>0</formula>
    </cfRule>
  </conditionalFormatting>
  <conditionalFormatting sqref="A13:S232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4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COUNTIF($O$7:$O$142,"=Y")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COUNTA($O$7:$O$142)-O2</f>
        <v>10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- 2017-12-19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43088.934606481482</v>
      </c>
      <c r="B7" s="30" t="s">
        <v>350</v>
      </c>
      <c r="C7" s="30" t="s">
        <v>693</v>
      </c>
      <c r="D7" s="30" t="s">
        <v>49</v>
      </c>
      <c r="E7" s="30" t="s">
        <v>183</v>
      </c>
      <c r="F7" s="42">
        <v>0</v>
      </c>
      <c r="G7" s="42">
        <v>184</v>
      </c>
      <c r="H7" s="42">
        <v>31013</v>
      </c>
      <c r="I7" s="42">
        <v>30768</v>
      </c>
      <c r="J7" s="30" t="s">
        <v>184</v>
      </c>
      <c r="K7" s="42">
        <v>30970</v>
      </c>
      <c r="L7" s="131" t="s">
        <v>51</v>
      </c>
      <c r="M7" s="132">
        <f t="shared" ref="M7:M24" si="0">CONVERT((I7-K7)/10000,"mi","ft")*IF(L7="Increasing Mileposts (1)",-1,1)</f>
        <v>-106.65600000000001</v>
      </c>
      <c r="N7" s="133" t="str">
        <f>VLOOKUP(C7,'Trips&amp;Operators'!$C$1:$G$99911,5,FALSE)</f>
        <v>RESPASS AARON</v>
      </c>
      <c r="O7" s="175" t="s">
        <v>178</v>
      </c>
      <c r="P7" s="239" t="s">
        <v>696</v>
      </c>
      <c r="Q7" s="30"/>
      <c r="R7" s="81" t="str">
        <f>VLOOKUP(C7,'Train Runs'!$A$13:$AE$10188,31,0)</f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S7" s="84" t="str">
        <f>VLOOKUP(C7,'Train Runs'!$A$13:$AE$10188,22,0)</f>
        <v>https://d0f6bd738d7f1b3e5a7ca70fe4ff75f0.us-east-1.aws.found.io/app/kibana#/discover/Steve-Slow-Train-Analysis-(2080s-and-2083s)?_g=(refreshInterval:(display:Off,pause:!f,section:0,value:0),time:(from:'2017-12-19T20:53:55-0700',mode:absolute,to:'2017-12-19T23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" s="86" t="str">
        <f t="shared" ref="T7:T2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/stypes="*4055*201712200*" /stext=" 05:.+((SYSTEM_STATE.+slice.+state.+changed )|(ment ac)|(multiple cpu faults)|(system.+state.+changed )|(\[timeout)|(PRM\|1\|D)|(kpr)|(kdp)|(train st.+moving)|(\|gpps)|(penalty))"</v>
      </c>
      <c r="U7" s="9" t="str">
        <f t="shared" ref="U7:U24" si="2">MID(B7,13,4)</f>
        <v>4055</v>
      </c>
      <c r="V7" s="31">
        <f t="shared" ref="V7:V24" si="3">A7-utc_offset/24</f>
        <v>43089.226273148146</v>
      </c>
      <c r="W7" s="45" t="str">
        <f t="shared" ref="W7:W24" si="4">DetSubdiv(C7)</f>
        <v>EC</v>
      </c>
      <c r="X7" s="22">
        <f t="shared" ref="X7:X24" si="5">VALUE(LEFT(C7,LEN(C7)-3))</f>
        <v>230</v>
      </c>
      <c r="Y7" s="96" t="str">
        <f t="shared" ref="Y7:Y2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Arrival","project_id":79,"tracker_id":40,"status_id":1,"priority_id":2,"assigned_to_id":338,"start_date":"2017-12-19","description":"","custom_fields":[{"id":1,"name":"Subdivision","value":"EC"},{"id":4,"name":"Milepost","value":"3.097"},{"id":17,"name":"Train ID","value":"230-19"},{"id":16,"name":"Locomotive ID","value":"4055"},{"id":130,"name":"Impact","value":""},{"id":150,"name":"Time of Event (Mountain Time)","value":"22:25:50"},{"id":151,"name":"Denver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/c/Users/stu/AppData/Local/Temp/OnboardLogs/RTDC4055 --include="*4055*201712200*"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"%USERPROFILE%\AppData\Local\Temp\OnboardLogs"\RTDC4055\*4055*201712200* &gt;&gt; 2017-12-19-SliceDisagreementCheck.txt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4055 --day 2017-12-20</v>
      </c>
    </row>
    <row r="8" spans="1:32" s="1" customFormat="1" x14ac:dyDescent="0.25">
      <c r="A8" s="31">
        <v>43088.512627314813</v>
      </c>
      <c r="B8" s="30" t="s">
        <v>678</v>
      </c>
      <c r="C8" s="30" t="s">
        <v>684</v>
      </c>
      <c r="D8" s="30" t="s">
        <v>49</v>
      </c>
      <c r="E8" s="30" t="s">
        <v>183</v>
      </c>
      <c r="F8" s="42">
        <v>480</v>
      </c>
      <c r="G8" s="42">
        <v>537</v>
      </c>
      <c r="H8" s="42">
        <v>80500</v>
      </c>
      <c r="I8" s="42">
        <v>78424</v>
      </c>
      <c r="J8" s="30" t="s">
        <v>184</v>
      </c>
      <c r="K8" s="42">
        <v>78469</v>
      </c>
      <c r="L8" s="131" t="s">
        <v>51</v>
      </c>
      <c r="M8" s="132">
        <f t="shared" si="0"/>
        <v>-23.76</v>
      </c>
      <c r="N8" s="133" t="str">
        <f>VLOOKUP(C8,'Trips&amp;Operators'!$C$1:$G$99911,5,FALSE)</f>
        <v>MACDONALD THOMAS</v>
      </c>
      <c r="O8" s="175" t="s">
        <v>178</v>
      </c>
      <c r="P8" s="239" t="s">
        <v>696</v>
      </c>
      <c r="Q8" s="30"/>
      <c r="R8" s="81" t="str">
        <f>VLOOKUP(C8,'Train Runs'!$A$13:$AE$10188,31,0)</f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S8" s="84" t="str">
        <f>VLOOKUP(C8,'Train Runs'!$A$13:$AE$10188,22,0)</f>
        <v>https://d0f6bd738d7f1b3e5a7ca70fe4ff75f0.us-east-1.aws.found.io/app/kibana#/discover/Steve-Slow-Train-Analysis-(2080s-and-2083s)?_g=(refreshInterval:(display:Off,pause:!f,section:0,value:0),time:(from:'2017-12-19T10:52:08-0700',mode:absolute,to:'2017-12-19T13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6" t="str">
        <f t="shared" si="1"/>
        <v>"C:\Program Files (x86)\AstroGrep\AstroGrep.exe" /e /r /s /spath="%USERPROFILE%\AppData\Local\Temp\OnboardLogs" /stypes="*4031*201712191*" /stext=" 19:.+((SYSTEM_STATE.+slice.+state.+changed )|(ment ac)|(multiple cpu faults)|(system.+state.+changed )|(\[timeout)|(PRM\|1\|D)|(kpr)|(kdp)|(train st.+moving)|(\|gpps)|(penalty))"</v>
      </c>
      <c r="U8" s="9" t="str">
        <f t="shared" si="2"/>
        <v>4031</v>
      </c>
      <c r="V8" s="31">
        <f t="shared" si="3"/>
        <v>43088.804293981477</v>
      </c>
      <c r="W8" s="45" t="str">
        <f t="shared" si="4"/>
        <v>EC</v>
      </c>
      <c r="X8" s="228">
        <f t="shared" si="5"/>
        <v>160</v>
      </c>
      <c r="Y8" s="238" t="str">
        <f t="shared" si="6"/>
        <v>echo {"issue":{"subject":"Early Arrival","project_id":79,"tracker_id":40,"status_id":1,"priority_id":2,"assigned_to_id":338,"start_date":"2017-12-19","description":"","custom_fields":[{"id":1,"name":"Subdivision","value":"EC"},{"id":4,"name":"Milepost","value":"7.8469"},{"id":17,"name":"Train ID","value":"160-19"},{"id":16,"name":"Locomotive ID","value":"4031"},{"id":130,"name":"Impact","value":""},{"id":150,"name":"Time of Event (Mountain Time)","value":"12:18:11"},{"id":151,"name":"Denver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/c/Users/stu/AppData/Local/Temp/OnboardLogs/RTDC4031 --include="*4031*201712191*"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"%USERPROFILE%\AppData\Local\Temp\OnboardLogs"\RTDC4031\*4031*201712191* &gt;&gt; 2017-12-19-SliceDisagreementCheck.txt</v>
      </c>
      <c r="AE8" s="144" t="str">
        <f t="shared" ref="AE8:AE24" si="9">"start /low /b "&amp;dls3logs&amp;" --loco "&amp;U8&amp;" --day "&amp;TEXT(V8,"YYYY-MM-DD")</f>
        <v>start /low /b %USERPROFILE%\Documents\GitHub\eaglep3\Utilities\DownloadLogsFromS3.py --loco 4031 --day 2017-12-19</v>
      </c>
    </row>
    <row r="9" spans="1:32" s="1" customFormat="1" x14ac:dyDescent="0.25">
      <c r="A9" s="31">
        <v>43088.398252314815</v>
      </c>
      <c r="B9" s="30" t="s">
        <v>359</v>
      </c>
      <c r="C9" s="30" t="s">
        <v>682</v>
      </c>
      <c r="D9" s="30" t="s">
        <v>95</v>
      </c>
      <c r="E9" s="30" t="s">
        <v>190</v>
      </c>
      <c r="F9" s="42">
        <v>200</v>
      </c>
      <c r="G9" s="42">
        <v>254</v>
      </c>
      <c r="H9" s="42">
        <v>5517</v>
      </c>
      <c r="I9" s="42">
        <v>8678</v>
      </c>
      <c r="J9" s="30" t="s">
        <v>191</v>
      </c>
      <c r="K9" s="42">
        <v>4677</v>
      </c>
      <c r="L9" s="131" t="s">
        <v>50</v>
      </c>
      <c r="M9" s="132">
        <f t="shared" si="0"/>
        <v>-2112.5279999999998</v>
      </c>
      <c r="N9" s="133" t="str">
        <f>VLOOKUP(C9,'Trips&amp;Operators'!$C$1:$G$99911,5,FALSE)</f>
        <v>THOMPSON LESTER</v>
      </c>
      <c r="O9" s="175" t="s">
        <v>178</v>
      </c>
      <c r="P9" s="239"/>
      <c r="Q9" s="30"/>
      <c r="R9" s="81" t="str">
        <f>VLOOKUP(C9,'Train Runs'!$A$13:$AE$10188,31,0)</f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S9" s="84" t="str">
        <f>VLOOKUP(C9,'Train Runs'!$A$13:$AE$10188,22,0)</f>
        <v>https://d0f6bd738d7f1b3e5a7ca70fe4ff75f0.us-east-1.aws.found.io/app/kibana#/discover/Steve-Slow-Train-Analysis-(2080s-and-2083s)?_g=(refreshInterval:(display:Off,pause:!f,section:0,value:0),time:(from:'2017-12-19T08:27:36-0700',mode:absolute,to:'2017-12-19T11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86" t="str">
        <f t="shared" si="1"/>
        <v>"C:\Program Files (x86)\AstroGrep\AstroGrep.exe" /e /r /s /spath="%USERPROFILE%\AppData\Local\Temp\OnboardLogs" /stypes="*4018*201712191*" /stext=" 16:.+((SYSTEM_STATE.+slice.+state.+changed )|(ment ac)|(multiple cpu faults)|(system.+state.+changed )|(\[timeout)|(PRM\|1\|D)|(kpr)|(kdp)|(train st.+moving)|(\|gpps)|(penalty))"</v>
      </c>
      <c r="U9" s="9" t="str">
        <f t="shared" si="2"/>
        <v>4018</v>
      </c>
      <c r="V9" s="31">
        <f t="shared" si="3"/>
        <v>43088.689918981479</v>
      </c>
      <c r="W9" s="45" t="str">
        <f t="shared" si="4"/>
        <v>EC</v>
      </c>
      <c r="X9" s="228">
        <f t="shared" si="5"/>
        <v>147</v>
      </c>
      <c r="Y9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{"issue":{"subject":"","project_id":79,"tracker_id":40,"status_id":1,"priority_id":2,"assigned_to_id":338,"start_date":"2017-12-19","description":"","custom_fields":[{"id":1,"name":"Subdivision","value":"EC"},{"id":4,"name":"Milepost","value":"0.4677"},{"id":17,"name":"Train ID","value":"147-19"},{"id":16,"name":"Locomotive ID","value":"4018"},{"id":130,"name":"Impact","value":""},{"id":150,"name":"Time of Event (Mountain Time)","value":"09:33:29"},{"id":151,"name":"Denver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/c/Users/stu/AppData/Local/Temp/OnboardLogs/RTDC4018 --include="*4018*201712191*"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"%USERPROFILE%\AppData\Local\Temp\OnboardLogs"\RTDC4018\*4018*201712191* &gt;&gt; 2017-12-19-SliceDisagreementCheck.txt</v>
      </c>
      <c r="AE9" s="144" t="str">
        <f t="shared" si="9"/>
        <v>start /low /b %USERPROFILE%\Documents\GitHub\eaglep3\Utilities\DownloadLogsFromS3.py --loco 4018 --day 2017-12-19</v>
      </c>
    </row>
    <row r="10" spans="1:32" x14ac:dyDescent="0.25">
      <c r="A10" s="31">
        <v>43088.249606481484</v>
      </c>
      <c r="B10" s="30" t="s">
        <v>479</v>
      </c>
      <c r="C10" s="30" t="s">
        <v>676</v>
      </c>
      <c r="D10" s="30" t="s">
        <v>49</v>
      </c>
      <c r="E10" s="30" t="s">
        <v>190</v>
      </c>
      <c r="F10" s="42">
        <v>450</v>
      </c>
      <c r="G10" s="42">
        <v>500</v>
      </c>
      <c r="H10" s="42">
        <v>17434</v>
      </c>
      <c r="I10" s="42">
        <v>14491</v>
      </c>
      <c r="J10" s="30" t="s">
        <v>191</v>
      </c>
      <c r="K10" s="42">
        <v>15167</v>
      </c>
      <c r="L10" s="131" t="s">
        <v>51</v>
      </c>
      <c r="M10" s="132">
        <f t="shared" si="0"/>
        <v>-356.92799999999994</v>
      </c>
      <c r="N10" s="133" t="str">
        <f>VLOOKUP(C10,'Trips&amp;Operators'!$C$1:$G$99911,5,FALSE)</f>
        <v>DELGADO DIANAH</v>
      </c>
      <c r="O10" s="175" t="s">
        <v>178</v>
      </c>
      <c r="P10" s="239"/>
      <c r="Q10" s="30"/>
      <c r="R10" s="81" t="str">
        <f>VLOOKUP(C10,'Train Runs'!$A$13:$AE$10188,31,0)</f>
        <v>aws s3 cp s3://rtdc.mdm.uploadarchive.raw/RTDC4013/ "%USERPROFILE%\AppData\Local\Temp\OnboardLogs"\RTDC4013\2017-12-19 --exclude "*" --recursive --include "*20171219*" &amp; "%USERPROFILE%\Documents\GitHub\mrs-test-scripts\Headless Mode &amp; Sideloading\WalkAndUnGZ.bat" "%USERPROFILE%\AppData\Local\Temp\OnboardLogs"\RTDC4013\2017-12-19 &amp; 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</v>
      </c>
      <c r="S10" s="84" t="str">
        <f>VLOOKUP(C10,'Train Runs'!$A$13:$AE$10188,22,0)</f>
        <v>https://d0f6bd738d7f1b3e5a7ca70fe4ff75f0.us-east-1.aws.found.io/app/kibana#/discover/Steve-Slow-Train-Analysis-(2080s-and-2083s)?_g=(refreshInterval:(display:Off,pause:!f,section:0,value:0),time:(from:'2017-12-19T04:15:20-0700',mode:absolute,to:'2017-12-19T07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0" s="86" t="str">
        <f t="shared" si="1"/>
        <v>"C:\Program Files (x86)\AstroGrep\AstroGrep.exe" /e /r /s /spath="%USERPROFILE%\AppData\Local\Temp\OnboardLogs" /stypes="*4013*201712191*" /stext=" 12:.+((SYSTEM_STATE.+slice.+state.+changed )|(ment ac)|(multiple cpu faults)|(system.+state.+changed )|(\[timeout)|(PRM\|1\|D)|(kpr)|(kdp)|(train st.+moving)|(\|gpps)|(penalty))"</v>
      </c>
      <c r="U10" s="9" t="str">
        <f t="shared" si="2"/>
        <v>4013</v>
      </c>
      <c r="V10" s="31">
        <f t="shared" si="3"/>
        <v>43088.541273148148</v>
      </c>
      <c r="W10" s="45" t="str">
        <f t="shared" si="4"/>
        <v>EC</v>
      </c>
      <c r="X10" s="228">
        <f t="shared" si="5"/>
        <v>108</v>
      </c>
      <c r="Y10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{"issue":{"subject":"","project_id":79,"tracker_id":40,"status_id":1,"priority_id":2,"assigned_to_id":338,"start_date":"2017-12-19","description":"","custom_fields":[{"id":1,"name":"Subdivision","value":"EC"},{"id":4,"name":"Milepost","value":"1.5167"},{"id":17,"name":"Train ID","value":"108-19"},{"id":16,"name":"Locomotive ID","value":"4013"},{"id":130,"name":"Impact","value":""},{"id":150,"name":"Time of Event (Mountain Time)","value":"05:59:26"},{"id":151,"name":"Denver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/c/Users/stu/AppData/Local/Temp/OnboardLogs/RTDC4013 --include="*4013*201712191*"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"%USERPROFILE%\AppData\Local\Temp\OnboardLogs"\RTDC4013\*4013*201712191* &gt;&gt; 2017-12-19-SliceDisagreementCheck.txt</v>
      </c>
      <c r="AE10" s="144" t="str">
        <f t="shared" si="9"/>
        <v>start /low /b %USERPROFILE%\Documents\GitHub\eaglep3\Utilities\DownloadLogsFromS3.py --loco 4013 --day 2017-12-19</v>
      </c>
      <c r="AF10" s="1"/>
    </row>
    <row r="11" spans="1:32" x14ac:dyDescent="0.25">
      <c r="A11" s="31">
        <v>43088.180960648147</v>
      </c>
      <c r="B11" s="30" t="s">
        <v>359</v>
      </c>
      <c r="C11" s="30" t="s">
        <v>675</v>
      </c>
      <c r="D11" s="30" t="s">
        <v>49</v>
      </c>
      <c r="E11" s="30" t="s">
        <v>190</v>
      </c>
      <c r="F11" s="42">
        <v>300</v>
      </c>
      <c r="G11" s="42">
        <v>360</v>
      </c>
      <c r="H11" s="42">
        <v>20290</v>
      </c>
      <c r="I11" s="42">
        <v>21139</v>
      </c>
      <c r="J11" s="30" t="s">
        <v>191</v>
      </c>
      <c r="K11" s="42">
        <v>20338</v>
      </c>
      <c r="L11" s="131" t="s">
        <v>50</v>
      </c>
      <c r="M11" s="132">
        <f t="shared" si="0"/>
        <v>-422.928</v>
      </c>
      <c r="N11" s="133" t="str">
        <f>VLOOKUP(C11,'Trips&amp;Operators'!$C$1:$G$99911,5,FALSE)</f>
        <v>THOMPSON LESTER</v>
      </c>
      <c r="O11" s="175" t="s">
        <v>178</v>
      </c>
      <c r="P11" s="239"/>
      <c r="Q11" s="30"/>
      <c r="R11" s="81" t="str">
        <f>VLOOKUP(C11,'Train Runs'!$A$13:$AE$10188,31,0)</f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S11" s="84" t="str">
        <f>VLOOKUP(C11,'Train Runs'!$A$13:$AE$10188,22,0)</f>
        <v>https://d0f6bd738d7f1b3e5a7ca70fe4ff75f0.us-east-1.aws.found.io/app/kibana#/discover/Steve-Slow-Train-Analysis-(2080s-and-2083s)?_g=(refreshInterval:(display:Off,pause:!f,section:0,value:0),time:(from:'2017-12-19T03:11:23-0700',mode:absolute,to:'2017-12-19T05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86" t="str">
        <f t="shared" si="1"/>
        <v>"C:\Program Files (x86)\AstroGrep\AstroGrep.exe" /e /r /s /spath="%USERPROFILE%\AppData\Local\Temp\OnboardLogs" /stypes="*4018*201712191*" /stext=" 11:.+((SYSTEM_STATE.+slice.+state.+changed )|(ment ac)|(multiple cpu faults)|(system.+state.+changed )|(\[timeout)|(PRM\|1\|D)|(kpr)|(kdp)|(train st.+moving)|(\|gpps)|(penalty))"</v>
      </c>
      <c r="U11" s="9" t="str">
        <f t="shared" si="2"/>
        <v>4018</v>
      </c>
      <c r="V11" s="31">
        <f t="shared" si="3"/>
        <v>43088.472627314812</v>
      </c>
      <c r="W11" s="45" t="str">
        <f t="shared" si="4"/>
        <v>EC</v>
      </c>
      <c r="X11" s="228">
        <f t="shared" si="5"/>
        <v>105</v>
      </c>
      <c r="Y11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{"issue":{"subject":"","project_id":79,"tracker_id":40,"status_id":1,"priority_id":2,"assigned_to_id":338,"start_date":"2017-12-19","description":"","custom_fields":[{"id":1,"name":"Subdivision","value":"EC"},{"id":4,"name":"Milepost","value":"2.0338"},{"id":17,"name":"Train ID","value":"105-19"},{"id":16,"name":"Locomotive ID","value":"4018"},{"id":130,"name":"Impact","value":""},{"id":150,"name":"Time of Event (Mountain Time)","value":"04:20:35"},{"id":151,"name":"Denver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/c/Users/stu/AppData/Local/Temp/OnboardLogs/RTDC4018 --include="*4018*201712191*"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"%USERPROFILE%\AppData\Local\Temp\OnboardLogs"\RTDC4018\*4018*201712191* &gt;&gt; 2017-12-19-SliceDisagreementCheck.txt</v>
      </c>
      <c r="AE11" s="144" t="str">
        <f t="shared" si="9"/>
        <v>start /low /b %USERPROFILE%\Documents\GitHub\eaglep3\Utilities\DownloadLogsFromS3.py --loco 4018 --day 2017-12-19</v>
      </c>
      <c r="AF11" s="1"/>
    </row>
    <row r="12" spans="1:32" x14ac:dyDescent="0.25">
      <c r="A12" s="31">
        <v>43088.852696759262</v>
      </c>
      <c r="B12" s="30" t="s">
        <v>350</v>
      </c>
      <c r="C12" s="30" t="s">
        <v>692</v>
      </c>
      <c r="D12" s="30" t="s">
        <v>49</v>
      </c>
      <c r="E12" s="30" t="s">
        <v>190</v>
      </c>
      <c r="F12" s="42">
        <v>300</v>
      </c>
      <c r="G12" s="42">
        <v>357</v>
      </c>
      <c r="H12" s="42">
        <v>22872</v>
      </c>
      <c r="I12" s="42">
        <v>22013</v>
      </c>
      <c r="J12" s="30" t="s">
        <v>191</v>
      </c>
      <c r="K12" s="42">
        <v>21848</v>
      </c>
      <c r="L12" s="131" t="s">
        <v>51</v>
      </c>
      <c r="M12" s="132">
        <f t="shared" si="0"/>
        <v>87.12</v>
      </c>
      <c r="N12" s="133" t="str">
        <f>VLOOKUP(C12,'Trips&amp;Operators'!$C$1:$G$99911,5,FALSE)</f>
        <v>RESPASS AARON</v>
      </c>
      <c r="O12" s="175" t="s">
        <v>178</v>
      </c>
      <c r="P12" s="239"/>
      <c r="Q12" s="30"/>
      <c r="R12" s="81" t="str">
        <f>VLOOKUP(C12,'Train Runs'!$A$13:$AE$10188,31,0)</f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S12" s="84" t="str">
        <f>VLOOKUP(C12,'Train Runs'!$A$13:$AE$10188,22,0)</f>
        <v>https://d0f6bd738d7f1b3e5a7ca70fe4ff75f0.us-east-1.aws.found.io/app/kibana#/discover/Steve-Slow-Train-Analysis-(2080s-and-2083s)?_g=(refreshInterval:(display:Off,pause:!f,section:0,value:0),time:(from:'2017-12-19T18:52:11-0700',mode:absolute,to:'2017-12-19T21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/stypes="*4055*201712200*" /stext=" 03:.+((SYSTEM_STATE.+slice.+state.+changed )|(ment ac)|(multiple cpu faults)|(system.+state.+changed )|(\[timeout)|(PRM\|1\|D)|(kpr)|(kdp)|(train st.+moving)|(\|gpps)|(penalty))"</v>
      </c>
      <c r="U12" s="9" t="str">
        <f t="shared" si="2"/>
        <v>4055</v>
      </c>
      <c r="V12" s="31">
        <f t="shared" si="3"/>
        <v>43089.144363425927</v>
      </c>
      <c r="W12" s="45" t="str">
        <f t="shared" si="4"/>
        <v>EC</v>
      </c>
      <c r="X12" s="228">
        <f t="shared" si="5"/>
        <v>222</v>
      </c>
      <c r="Y12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{"issue":{"subject":"","project_id":79,"tracker_id":40,"status_id":1,"priority_id":2,"assigned_to_id":338,"start_date":"2017-12-19","description":"","custom_fields":[{"id":1,"name":"Subdivision","value":"EC"},{"id":4,"name":"Milepost","value":"2.1848"},{"id":17,"name":"Train ID","value":"222-19"},{"id":16,"name":"Locomotive ID","value":"4055"},{"id":130,"name":"Impact","value":""},{"id":150,"name":"Time of Event (Mountain Time)","value":"20:27:53"},{"id":151,"name":"Denver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/c/Users/stu/AppData/Local/Temp/OnboardLogs/RTDC4055 --include="*4055*201712200*"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"%USERPROFILE%\AppData\Local\Temp\OnboardLogs"\RTDC4055\*4055*201712200* &gt;&gt; 2017-12-19-SliceDisagreementCheck.txt</v>
      </c>
      <c r="AE12" s="144" t="str">
        <f t="shared" si="9"/>
        <v>start /low /b %USERPROFILE%\Documents\GitHub\eaglep3\Utilities\DownloadLogsFromS3.py --loco 4055 --day 2017-12-20</v>
      </c>
      <c r="AF12" s="1"/>
    </row>
    <row r="13" spans="1:32" x14ac:dyDescent="0.25">
      <c r="A13" s="31">
        <v>43088.936354166668</v>
      </c>
      <c r="B13" s="30" t="s">
        <v>350</v>
      </c>
      <c r="C13" s="30" t="s">
        <v>693</v>
      </c>
      <c r="D13" s="30" t="s">
        <v>49</v>
      </c>
      <c r="E13" s="30" t="s">
        <v>190</v>
      </c>
      <c r="F13" s="42">
        <v>300</v>
      </c>
      <c r="G13" s="42">
        <v>422</v>
      </c>
      <c r="H13" s="42">
        <v>23538</v>
      </c>
      <c r="I13" s="42">
        <v>22134</v>
      </c>
      <c r="J13" s="30" t="s">
        <v>191</v>
      </c>
      <c r="K13" s="42">
        <v>21848</v>
      </c>
      <c r="L13" s="131" t="s">
        <v>51</v>
      </c>
      <c r="M13" s="132">
        <f t="shared" si="0"/>
        <v>151.00800000000001</v>
      </c>
      <c r="N13" s="133" t="str">
        <f>VLOOKUP(C13,'Trips&amp;Operators'!$C$1:$G$99911,5,FALSE)</f>
        <v>RESPASS AARON</v>
      </c>
      <c r="O13" s="175" t="s">
        <v>178</v>
      </c>
      <c r="P13" s="239"/>
      <c r="Q13" s="30"/>
      <c r="R13" s="81" t="str">
        <f>VLOOKUP(C13,'Train Runs'!$A$13:$AE$10188,31,0)</f>
        <v>aws s3 cp s3://rtdc.mdm.uploadarchive.raw/RTDC4055/ "%USERPROFILE%\AppData\Local\Temp\OnboardLogs"\RTDC4055\2017-12-19 --exclude "*" --recursive --include "*20171219*" &amp; "%USERPROFILE%\Documents\GitHub\mrs-test-scripts\Headless Mode &amp; Sideloading\WalkAndUnGZ.bat" "%USERPROFILE%\AppData\Local\Temp\OnboardLogs"\RTDC4055\2017-12-19 &amp; aws s3 cp s3://rtdc.mdm.uploadarchive.raw/RTDC4055/ "%USERPROFILE%\AppData\Local\Temp\OnboardLogs"\RTDC4055\2017-12-20 --exclude "*" --recursive --include "*20171220*" &amp; "%USERPROFILE%\Documents\GitHub\mrs-test-scripts\Headless Mode &amp; Sideloading\WalkAndUnGZ.bat" "%USERPROFILE%\AppData\Local\Temp\OnboardLogs"\RTDC4055\2017-12-20</v>
      </c>
      <c r="S13" s="84" t="str">
        <f>VLOOKUP(C13,'Train Runs'!$A$13:$AE$10188,22,0)</f>
        <v>https://d0f6bd738d7f1b3e5a7ca70fe4ff75f0.us-east-1.aws.found.io/app/kibana#/discover/Steve-Slow-Train-Analysis-(2080s-and-2083s)?_g=(refreshInterval:(display:Off,pause:!f,section:0,value:0),time:(from:'2017-12-19T20:53:55-0700',mode:absolute,to:'2017-12-19T23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3" s="86" t="str">
        <f t="shared" si="1"/>
        <v>"C:\Program Files (x86)\AstroGrep\AstroGrep.exe" /e /r /s /spath="%USERPROFILE%\AppData\Local\Temp\OnboardLogs" /stypes="*4055*201712200*" /stext=" 05:.+((SYSTEM_STATE.+slice.+state.+changed )|(ment ac)|(multiple cpu faults)|(system.+state.+changed )|(\[timeout)|(PRM\|1\|D)|(kpr)|(kdp)|(train st.+moving)|(\|gpps)|(penalty))"</v>
      </c>
      <c r="U13" s="9" t="str">
        <f t="shared" si="2"/>
        <v>4055</v>
      </c>
      <c r="V13" s="31">
        <f t="shared" si="3"/>
        <v>43089.228020833332</v>
      </c>
      <c r="W13" s="45" t="str">
        <f t="shared" si="4"/>
        <v>EC</v>
      </c>
      <c r="X13" s="228">
        <f t="shared" si="5"/>
        <v>230</v>
      </c>
      <c r="Y13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{"issue":{"subject":"","project_id":79,"tracker_id":40,"status_id":1,"priority_id":2,"assigned_to_id":338,"start_date":"2017-12-19","description":"","custom_fields":[{"id":1,"name":"Subdivision","value":"EC"},{"id":4,"name":"Milepost","value":"2.1848"},{"id":17,"name":"Train ID","value":"230-19"},{"id":16,"name":"Locomotive ID","value":"4055"},{"id":130,"name":"Impact","value":""},{"id":150,"name":"Time of Event (Mountain Time)","value":"22:28:21"},{"id":151,"name":"Denver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/c/Users/stu/AppData/Local/Temp/OnboardLogs/RTDC4055 --include="*4055*201712200*"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"%USERPROFILE%\AppData\Local\Temp\OnboardLogs"\RTDC4055\*4055*201712200* &gt;&gt; 2017-12-19-SliceDisagreementCheck.txt</v>
      </c>
      <c r="AE13" s="144" t="str">
        <f t="shared" si="9"/>
        <v>start /low /b %USERPROFILE%\Documents\GitHub\eaglep3\Utilities\DownloadLogsFromS3.py --loco 4055 --day 2017-12-20</v>
      </c>
      <c r="AF13" s="1"/>
    </row>
    <row r="14" spans="1:32" x14ac:dyDescent="0.25">
      <c r="A14" s="31">
        <v>43088.299375000002</v>
      </c>
      <c r="B14" s="30" t="s">
        <v>678</v>
      </c>
      <c r="C14" s="30" t="s">
        <v>679</v>
      </c>
      <c r="D14" s="30" t="s">
        <v>49</v>
      </c>
      <c r="E14" s="30" t="s">
        <v>190</v>
      </c>
      <c r="F14" s="42">
        <v>200</v>
      </c>
      <c r="G14" s="42">
        <v>266</v>
      </c>
      <c r="H14" s="42">
        <v>31214</v>
      </c>
      <c r="I14" s="42">
        <v>30810</v>
      </c>
      <c r="J14" s="30" t="s">
        <v>191</v>
      </c>
      <c r="K14" s="42">
        <v>30562</v>
      </c>
      <c r="L14" s="131" t="s">
        <v>51</v>
      </c>
      <c r="M14" s="132">
        <f t="shared" si="0"/>
        <v>130.94399999999999</v>
      </c>
      <c r="N14" s="133" t="str">
        <f>VLOOKUP(C14,'Trips&amp;Operators'!$C$1:$G$99911,5,FALSE)</f>
        <v>MACDONALD THOMAS</v>
      </c>
      <c r="O14" s="175" t="s">
        <v>178</v>
      </c>
      <c r="P14" s="239"/>
      <c r="Q14" s="30"/>
      <c r="R14" s="81" t="str">
        <f>VLOOKUP(C14,'Train Runs'!$A$13:$AE$10188,31,0)</f>
        <v>aws s3 cp s3://rtdc.mdm.uploadarchive.raw/RTDC4031/ "%USERPROFILE%\AppData\Local\Temp\OnboardLogs"\RTDC4031\2017-12-19 --exclude "*" --recursive --include "*20171219*" &amp; "%USERPROFILE%\Documents\GitHub\mrs-test-scripts\Headless Mode &amp; Sideloading\WalkAndUnGZ.bat" "%USERPROFILE%\AppData\Local\Temp\OnboardLogs"\RTDC4031\2017-12-19 &amp; 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</v>
      </c>
      <c r="S14" s="84" t="str">
        <f>VLOOKUP(C14,'Train Runs'!$A$13:$AE$10188,22,0)</f>
        <v>https://d0f6bd738d7f1b3e5a7ca70fe4ff75f0.us-east-1.aws.found.io/app/kibana#/discover/Steve-Slow-Train-Analysis-(2080s-and-2083s)?_g=(refreshInterval:(display:Off,pause:!f,section:0,value:0),time:(from:'2017-12-19T05:24:06-0700',mode:absolute,to:'2017-12-19T08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6" t="str">
        <f t="shared" si="1"/>
        <v>"C:\Program Files (x86)\AstroGrep\AstroGrep.exe" /e /r /s /spath="%USERPROFILE%\AppData\Local\Temp\OnboardLogs" /stypes="*4031*201712191*" /stext=" 14:.+((SYSTEM_STATE.+slice.+state.+changed )|(ment ac)|(multiple cpu faults)|(system.+state.+changed )|(\[timeout)|(PRM\|1\|D)|(kpr)|(kdp)|(train st.+moving)|(\|gpps)|(penalty))"</v>
      </c>
      <c r="U14" s="9" t="str">
        <f t="shared" si="2"/>
        <v>4031</v>
      </c>
      <c r="V14" s="31">
        <f t="shared" si="3"/>
        <v>43088.591041666667</v>
      </c>
      <c r="W14" s="45" t="str">
        <f t="shared" si="4"/>
        <v>EC</v>
      </c>
      <c r="X14" s="228">
        <f t="shared" si="5"/>
        <v>118</v>
      </c>
      <c r="Y14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{"issue":{"subject":"","project_id":79,"tracker_id":40,"status_id":1,"priority_id":2,"assigned_to_id":338,"start_date":"2017-12-19","description":"","custom_fields":[{"id":1,"name":"Subdivision","value":"EC"},{"id":4,"name":"Milepost","value":"3.0562"},{"id":17,"name":"Train ID","value":"118-19"},{"id":16,"name":"Locomotive ID","value":"4031"},{"id":130,"name":"Impact","value":""},{"id":150,"name":"Time of Event (Mountain Time)","value":"07:11:06"},{"id":151,"name":"Denver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/c/Users/stu/AppData/Local/Temp/OnboardLogs/RTDC4031 --include="*4031*201712191*"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"%USERPROFILE%\AppData\Local\Temp\OnboardLogs"\RTDC4031\*4031*201712191* &gt;&gt; 2017-12-19-SliceDisagreementCheck.txt</v>
      </c>
      <c r="AE14" s="144" t="str">
        <f t="shared" si="9"/>
        <v>start /low /b %USERPROFILE%\Documents\GitHub\eaglep3\Utilities\DownloadLogsFromS3.py --loco 4031 --day 2017-12-19</v>
      </c>
      <c r="AF14" s="1"/>
    </row>
    <row r="15" spans="1:32" x14ac:dyDescent="0.25">
      <c r="A15" s="31">
        <v>43089.009525462963</v>
      </c>
      <c r="B15" s="30" t="s">
        <v>359</v>
      </c>
      <c r="C15" s="30" t="s">
        <v>694</v>
      </c>
      <c r="D15" s="30" t="s">
        <v>95</v>
      </c>
      <c r="E15" s="30" t="s">
        <v>353</v>
      </c>
      <c r="F15" s="42">
        <v>0</v>
      </c>
      <c r="G15" s="42">
        <v>226</v>
      </c>
      <c r="H15" s="42">
        <v>64017</v>
      </c>
      <c r="I15" s="42">
        <v>64598</v>
      </c>
      <c r="J15" s="30" t="s">
        <v>354</v>
      </c>
      <c r="K15" s="42">
        <v>63995</v>
      </c>
      <c r="L15" s="131" t="s">
        <v>50</v>
      </c>
      <c r="M15" s="132">
        <f t="shared" si="0"/>
        <v>-318.38400000000001</v>
      </c>
      <c r="N15" s="133" t="str">
        <f>VLOOKUP(C15,'Trips&amp;Operators'!$C$1:$G$99911,5,FALSE)</f>
        <v>NICHOLSON WESLEY</v>
      </c>
      <c r="O15" s="175" t="s">
        <v>347</v>
      </c>
      <c r="P15" s="239" t="s">
        <v>1090</v>
      </c>
      <c r="Q15" s="30"/>
      <c r="R15" s="81" t="str">
        <f>VLOOKUP(C15,'Train Runs'!$A$13:$AE$10188,31,0)</f>
        <v>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 &amp; aws s3 cp s3://rtdc.mdm.uploadarchive.raw/RTDC4018/ "%USERPROFILE%\AppData\Local\Temp\OnboardLogs"\RTDC4018\2017-12-21 --exclude "*" --recursive --include "*20171221*" &amp; "%USERPROFILE%\Documents\GitHub\mrs-test-scripts\Headless Mode &amp; Sideloading\WalkAndUnGZ.bat" "%USERPROFILE%\AppData\Local\Temp\OnboardLogs"\RTDC4018\2017-12-21</v>
      </c>
      <c r="S15" s="84" t="str">
        <f>VLOOKUP(C15,'Train Runs'!$A$13:$AE$10188,22,0)</f>
        <v>https://d0f6bd738d7f1b3e5a7ca70fe4ff75f0.us-east-1.aws.found.io/app/kibana#/discover/Steve-Slow-Train-Analysis-(2080s-and-2083s)?_g=(refreshInterval:(display:Off,pause:!f,section:0,value:0),time:(from:'2017-12-19T22:47:31-0700',mode:absolute,to:'2017-12-20T01:13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5" s="86" t="str">
        <f t="shared" si="1"/>
        <v>"C:\Program Files (x86)\AstroGrep\AstroGrep.exe" /e /r /s /spath="%USERPROFILE%\AppData\Local\Temp\OnboardLogs" /stypes="*4018*201712200*" /stext=" 07:.+((SYSTEM_STATE.+slice.+state.+changed )|(ment ac)|(multiple cpu faults)|(system.+state.+changed )|(\[timeout)|(PRM\|1\|D)|(kpr)|(kdp)|(train st.+moving)|(\|gpps)|(penalty))"</v>
      </c>
      <c r="U15" s="9" t="str">
        <f t="shared" si="2"/>
        <v>4018</v>
      </c>
      <c r="V15" s="31">
        <f t="shared" si="3"/>
        <v>43089.301192129627</v>
      </c>
      <c r="W15" s="45" t="str">
        <f t="shared" si="4"/>
        <v>EC</v>
      </c>
      <c r="X15" s="228">
        <f t="shared" si="5"/>
        <v>241</v>
      </c>
      <c r="Y15" s="238" t="str">
        <f t="shared" si="6"/>
        <v>echo {"issue":{"subject":"Premature downgrade at EC0629XH 57-1T 1N","project_id":79,"tracker_id":40,"status_id":1,"priority_id":2,"assigned_to_id":338,"start_date":"2017-12-20","description":"","custom_fields":[{"id":1,"name":"Subdivision","value":"EC"},{"id":4,"name":"Milepost","value":"6.3995"},{"id":17,"name":"Train ID","value":"241-19"},{"id":16,"name":"Locomotive ID","value":"4018"},{"id":130,"name":"Impact","value":""},{"id":150,"name":"Time of Event (Mountain Time)","value":"00:13:43"},{"id":151,"name":"Denver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/c/Users/stu/AppData/Local/Temp/OnboardLogs/RTDC4018 --include="*4018*201712200*"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"%USERPROFILE%\AppData\Local\Temp\OnboardLogs"\RTDC4018\*4018*201712200* &gt;&gt; 2017-12-19-SliceDisagreementCheck.txt</v>
      </c>
      <c r="AE15" s="144" t="str">
        <f t="shared" si="9"/>
        <v>start /low /b %USERPROFILE%\Documents\GitHub\eaglep3\Utilities\DownloadLogsFromS3.py --loco 4018 --day 2017-12-20</v>
      </c>
      <c r="AF15" s="1"/>
    </row>
    <row r="16" spans="1:32" x14ac:dyDescent="0.25">
      <c r="A16" s="31">
        <v>43088.794004629628</v>
      </c>
      <c r="B16" s="30" t="s">
        <v>389</v>
      </c>
      <c r="C16" s="30" t="s">
        <v>691</v>
      </c>
      <c r="D16" s="30" t="s">
        <v>49</v>
      </c>
      <c r="E16" s="30" t="s">
        <v>353</v>
      </c>
      <c r="F16" s="42">
        <v>0</v>
      </c>
      <c r="G16" s="42">
        <v>684</v>
      </c>
      <c r="H16" s="42">
        <v>79839</v>
      </c>
      <c r="I16" s="42">
        <v>76783</v>
      </c>
      <c r="J16" s="30" t="s">
        <v>354</v>
      </c>
      <c r="K16" s="42">
        <v>75579</v>
      </c>
      <c r="L16" s="131" t="s">
        <v>51</v>
      </c>
      <c r="M16" s="132">
        <f t="shared" si="0"/>
        <v>635.71199999999999</v>
      </c>
      <c r="N16" s="133" t="str">
        <f>VLOOKUP(C16,'Trips&amp;Operators'!$C$1:$G$99911,5,FALSE)</f>
        <v>LOZA FIDEL</v>
      </c>
      <c r="O16" s="175" t="s">
        <v>347</v>
      </c>
      <c r="P16" s="239" t="s">
        <v>468</v>
      </c>
      <c r="Q16" s="30"/>
      <c r="R16" s="81" t="str">
        <f>VLOOKUP(C16,'Train Runs'!$A$13:$AE$10188,31,0)</f>
        <v>aws s3 cp s3://rtdc.mdm.uploadarchive.raw/RTDC4059/ "%USERPROFILE%\AppData\Local\Temp\OnboardLogs"\RTDC4059\2017-12-19 --exclude "*" --recursive --include "*20171219*" &amp; "%USERPROFILE%\Documents\GitHub\mrs-test-scripts\Headless Mode &amp; Sideloading\WalkAndUnGZ.bat" "%USERPROFILE%\AppData\Local\Temp\OnboardLogs"\RTDC4059\2017-12-19 &amp; aws s3 cp s3://rtdc.mdm.uploadarchive.raw/RTDC4059/ "%USERPROFILE%\AppData\Local\Temp\OnboardLogs"\RTDC4059\2017-12-20 --exclude "*" --recursive --include "*20171220*" &amp; "%USERPROFILE%\Documents\GitHub\mrs-test-scripts\Headless Mode &amp; Sideloading\WalkAndUnGZ.bat" "%USERPROFILE%\AppData\Local\Temp\OnboardLogs"\RTDC4059\2017-12-20</v>
      </c>
      <c r="S16" s="84" t="str">
        <f>VLOOKUP(C16,'Train Runs'!$A$13:$AE$10188,22,0)</f>
        <v>https://d0f6bd738d7f1b3e5a7ca70fe4ff75f0.us-east-1.aws.found.io/app/kibana#/discover/Steve-Slow-Train-Analysis-(2080s-and-2083s)?_g=(refreshInterval:(display:Off,pause:!f,section:0,value:0),time:(from:'2017-12-19T17:34:24-0700',mode:absolute,to:'2017-12-19T20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/stypes="*4059*201712200*" /stext=" 02:.+((SYSTEM_STATE.+slice.+state.+changed )|(ment ac)|(multiple cpu faults)|(system.+state.+changed )|(\[timeout)|(PRM\|1\|D)|(kpr)|(kdp)|(train st.+moving)|(\|gpps)|(penalty))"</v>
      </c>
      <c r="U16" s="9" t="str">
        <f t="shared" si="2"/>
        <v>4059</v>
      </c>
      <c r="V16" s="31">
        <f t="shared" si="3"/>
        <v>43089.085671296292</v>
      </c>
      <c r="W16" s="45" t="str">
        <f t="shared" si="4"/>
        <v>EC</v>
      </c>
      <c r="X16" s="228">
        <f t="shared" si="5"/>
        <v>214</v>
      </c>
      <c r="Y16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drop","project_id":79,"tracker_id":40,"status_id":1,"priority_id":2,"assigned_to_id":338,"start_date":"2017-12-19","description":"","custom_fields":[{"id":1,"name":"Subdivision","value":"EC"},{"id":4,"name":"Milepost","value":"7.5579"},{"id":17,"name":"Train ID","value":"214-19"},{"id":16,"name":"Locomotive ID","value":"4059"},{"id":130,"name":"Impact","value":""},{"id":150,"name":"Time of Event (Mountain Time)","value":"19:03:22"},{"id":151,"name":"Denver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/c/Users/stu/AppData/Local/Temp/OnboardLogs/RTDC4059 --include="*4059*201712200*"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"%USERPROFILE%\AppData\Local\Temp\OnboardLogs"\RTDC4059\*4059*201712200* &gt;&gt; 2017-12-19-SliceDisagreementCheck.txt</v>
      </c>
      <c r="AE16" s="144" t="str">
        <f t="shared" si="9"/>
        <v>start /low /b %USERPROFILE%\Documents\GitHub\eaglep3\Utilities\DownloadLogsFromS3.py --loco 4059 --day 2017-12-20</v>
      </c>
      <c r="AF16" s="1"/>
    </row>
    <row r="17" spans="1:32" x14ac:dyDescent="0.25">
      <c r="A17" s="31">
        <v>43088.638842592591</v>
      </c>
      <c r="B17" s="30" t="s">
        <v>478</v>
      </c>
      <c r="C17" s="30" t="s">
        <v>687</v>
      </c>
      <c r="D17" s="30" t="s">
        <v>49</v>
      </c>
      <c r="E17" s="30" t="s">
        <v>353</v>
      </c>
      <c r="F17" s="42">
        <v>0</v>
      </c>
      <c r="G17" s="42">
        <v>688</v>
      </c>
      <c r="H17" s="42">
        <v>95378</v>
      </c>
      <c r="I17" s="42">
        <v>98280</v>
      </c>
      <c r="J17" s="30" t="s">
        <v>354</v>
      </c>
      <c r="K17" s="42">
        <v>95978</v>
      </c>
      <c r="L17" s="131" t="s">
        <v>50</v>
      </c>
      <c r="M17" s="132">
        <f t="shared" si="0"/>
        <v>-1215.4559999999999</v>
      </c>
      <c r="N17" s="133" t="str">
        <f>VLOOKUP(C17,'Trips&amp;Operators'!$C$1:$G$99911,5,FALSE)</f>
        <v>STEWART MICHAEL</v>
      </c>
      <c r="O17" s="175" t="s">
        <v>347</v>
      </c>
      <c r="P17" s="239" t="s">
        <v>468</v>
      </c>
      <c r="Q17" s="30"/>
      <c r="R17" s="81" t="str">
        <f>VLOOKUP(C17,'Train Runs'!$A$13:$AE$10188,31,0)</f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S17" s="84" t="str">
        <f>VLOOKUP(C17,'Train Runs'!$A$13:$AE$10188,22,0)</f>
        <v>https://d0f6bd738d7f1b3e5a7ca70fe4ff75f0.us-east-1.aws.found.io/app/kibana#/discover/Steve-Slow-Train-Analysis-(2080s-and-2083s)?_g=(refreshInterval:(display:Off,pause:!f,section:0,value:0),time:(from:'2017-12-19T13:54:46-0700',mode:absolute,to:'2017-12-19T16:41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 t="shared" si="1"/>
        <v>"C:\Program Files (x86)\AstroGrep\AstroGrep.exe" /e /r /s /spath="%USERPROFILE%\AppData\Local\Temp\OnboardLogs" /stypes="*4014*201712192*" /stext=" 22:.+((SYSTEM_STATE.+slice.+state.+changed )|(ment ac)|(multiple cpu faults)|(system.+state.+changed )|(\[timeout)|(PRM\|1\|D)|(kpr)|(kdp)|(train st.+moving)|(\|gpps)|(penalty))"</v>
      </c>
      <c r="U17" s="9" t="str">
        <f t="shared" si="2"/>
        <v>4014</v>
      </c>
      <c r="V17" s="31">
        <f t="shared" si="3"/>
        <v>43088.930509259255</v>
      </c>
      <c r="W17" s="45" t="str">
        <f t="shared" si="4"/>
        <v>EC</v>
      </c>
      <c r="X17" s="228">
        <f t="shared" si="5"/>
        <v>191</v>
      </c>
      <c r="Y17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drop","project_id":79,"tracker_id":40,"status_id":1,"priority_id":2,"assigned_to_id":338,"start_date":"2017-12-19","description":"","custom_fields":[{"id":1,"name":"Subdivision","value":"EC"},{"id":4,"name":"Milepost","value":"9.5978"},{"id":17,"name":"Train ID","value":"191-19"},{"id":16,"name":"Locomotive ID","value":"4014"},{"id":130,"name":"Impact","value":""},{"id":150,"name":"Time of Event (Mountain Time)","value":"15:19:56"},{"id":151,"name":"Denver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/c/Users/stu/AppData/Local/Temp/OnboardLogs/RTDC4014 --include="*4014*201712192*"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"%USERPROFILE%\AppData\Local\Temp\OnboardLogs"\RTDC4014\*4014*201712192* &gt;&gt; 2017-12-19-SliceDisagreementCheck.txt</v>
      </c>
      <c r="AE17" s="144" t="str">
        <f t="shared" si="9"/>
        <v>start /low /b %USERPROFILE%\Documents\GitHub\eaglep3\Utilities\DownloadLogsFromS3.py --loco 4014 --day 2017-12-19</v>
      </c>
      <c r="AF17" s="1"/>
    </row>
    <row r="18" spans="1:32" x14ac:dyDescent="0.25">
      <c r="A18" s="31">
        <v>43088.645127314812</v>
      </c>
      <c r="B18" s="30" t="s">
        <v>478</v>
      </c>
      <c r="C18" s="30" t="s">
        <v>687</v>
      </c>
      <c r="D18" s="30" t="s">
        <v>49</v>
      </c>
      <c r="E18" s="30" t="s">
        <v>353</v>
      </c>
      <c r="F18" s="42">
        <v>0</v>
      </c>
      <c r="G18" s="42">
        <v>711</v>
      </c>
      <c r="H18" s="42">
        <v>148649</v>
      </c>
      <c r="I18" s="42">
        <v>151937</v>
      </c>
      <c r="J18" s="30" t="s">
        <v>354</v>
      </c>
      <c r="K18" s="42">
        <v>149694</v>
      </c>
      <c r="L18" s="131" t="s">
        <v>50</v>
      </c>
      <c r="M18" s="132">
        <f t="shared" si="0"/>
        <v>-1184.3040000000001</v>
      </c>
      <c r="N18" s="133" t="str">
        <f>VLOOKUP(C18,'Trips&amp;Operators'!$C$1:$G$99911,5,FALSE)</f>
        <v>STEWART MICHAEL</v>
      </c>
      <c r="O18" s="175" t="s">
        <v>347</v>
      </c>
      <c r="P18" s="239" t="s">
        <v>468</v>
      </c>
      <c r="Q18" s="30"/>
      <c r="R18" s="81" t="str">
        <f>VLOOKUP(C18,'Train Runs'!$A$13:$AE$10188,31,0)</f>
        <v>aws s3 cp s3://rtdc.mdm.uploadarchive.raw/RTDC4014/ "%USERPROFILE%\AppData\Local\Temp\OnboardLogs"\RTDC4014\2017-12-19 --exclude "*" --recursive --include "*20171219*" &amp; "%USERPROFILE%\Documents\GitHub\mrs-test-scripts\Headless Mode &amp; Sideloading\WalkAndUnGZ.bat" "%USERPROFILE%\AppData\Local\Temp\OnboardLogs"\RTDC4014\2017-12-19 &amp; aws s3 cp s3://rtdc.mdm.uploadarchive.raw/RTDC4014/ "%USERPROFILE%\AppData\Local\Temp\OnboardLogs"\RTDC4014\2017-12-20 --exclude "*" --recursive --include "*20171220*" &amp; "%USERPROFILE%\Documents\GitHub\mrs-test-scripts\Headless Mode &amp; Sideloading\WalkAndUnGZ.bat" "%USERPROFILE%\AppData\Local\Temp\OnboardLogs"\RTDC4014\2017-12-20</v>
      </c>
      <c r="S18" s="84" t="str">
        <f>VLOOKUP(C18,'Train Runs'!$A$13:$AE$10188,22,0)</f>
        <v>https://d0f6bd738d7f1b3e5a7ca70fe4ff75f0.us-east-1.aws.found.io/app/kibana#/discover/Steve-Slow-Train-Analysis-(2080s-and-2083s)?_g=(refreshInterval:(display:Off,pause:!f,section:0,value:0),time:(from:'2017-12-19T13:54:46-0700',mode:absolute,to:'2017-12-19T16:41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/stypes="*4014*201712192*" /stext=" 22:.+((SYSTEM_STATE.+slice.+state.+changed )|(ment ac)|(multiple cpu faults)|(system.+state.+changed )|(\[timeout)|(PRM\|1\|D)|(kpr)|(kdp)|(train st.+moving)|(\|gpps)|(penalty))"</v>
      </c>
      <c r="U18" s="9" t="str">
        <f t="shared" si="2"/>
        <v>4014</v>
      </c>
      <c r="V18" s="31">
        <f t="shared" si="3"/>
        <v>43088.936793981477</v>
      </c>
      <c r="W18" s="45" t="str">
        <f t="shared" si="4"/>
        <v>EC</v>
      </c>
      <c r="X18" s="228">
        <f t="shared" si="5"/>
        <v>191</v>
      </c>
      <c r="Y18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drop","project_id":79,"tracker_id":40,"status_id":1,"priority_id":2,"assigned_to_id":338,"start_date":"2017-12-19","description":"","custom_fields":[{"id":1,"name":"Subdivision","value":"EC"},{"id":4,"name":"Milepost","value":"14.9694"},{"id":17,"name":"Train ID","value":"191-19"},{"id":16,"name":"Locomotive ID","value":"4014"},{"id":130,"name":"Impact","value":""},{"id":150,"name":"Time of Event (Mountain Time)","value":"15:28:59"},{"id":151,"name":"Denver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/c/Users/stu/AppData/Local/Temp/OnboardLogs/RTDC4014 --include="*4014*201712192*"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"%USERPROFILE%\AppData\Local\Temp\OnboardLogs"\RTDC4014\*4014*201712192* &gt;&gt; 2017-12-19-SliceDisagreementCheck.txt</v>
      </c>
      <c r="AE18" s="144" t="str">
        <f t="shared" si="9"/>
        <v>start /low /b %USERPROFILE%\Documents\GitHub\eaglep3\Utilities\DownloadLogsFromS3.py --loco 4014 --day 2017-12-19</v>
      </c>
      <c r="AF18" s="1"/>
    </row>
    <row r="19" spans="1:32" x14ac:dyDescent="0.25">
      <c r="A19" s="31">
        <v>43088.5312962963</v>
      </c>
      <c r="B19" s="30" t="s">
        <v>685</v>
      </c>
      <c r="C19" s="30" t="s">
        <v>686</v>
      </c>
      <c r="D19" s="30" t="s">
        <v>49</v>
      </c>
      <c r="E19" s="30" t="s">
        <v>353</v>
      </c>
      <c r="F19" s="42">
        <v>0</v>
      </c>
      <c r="G19" s="42">
        <v>734</v>
      </c>
      <c r="H19" s="42">
        <v>196491</v>
      </c>
      <c r="I19" s="42">
        <v>199813</v>
      </c>
      <c r="J19" s="30" t="s">
        <v>354</v>
      </c>
      <c r="K19" s="42">
        <v>198242</v>
      </c>
      <c r="L19" s="131" t="s">
        <v>50</v>
      </c>
      <c r="M19" s="132">
        <f t="shared" si="0"/>
        <v>-829.48800000000006</v>
      </c>
      <c r="N19" s="133" t="str">
        <f>VLOOKUP(C19,'Trips&amp;Operators'!$C$1:$G$99911,5,FALSE)</f>
        <v>SAFIEF AEIMEN</v>
      </c>
      <c r="O19" s="175" t="s">
        <v>347</v>
      </c>
      <c r="P19" s="239" t="s">
        <v>468</v>
      </c>
      <c r="Q19" s="30"/>
      <c r="R19" s="81" t="str">
        <f>VLOOKUP(C19,'Train Runs'!$A$13:$AE$10188,31,0)</f>
        <v>aws s3 cp s3://rtdc.mdm.uploadarchive.raw/RTDC4064/ "%USERPROFILE%\AppData\Local\Temp\OnboardLogs"\RTDC4064\2017-12-19 --exclude "*" --recursive --include "*20171219*" &amp; "%USERPROFILE%\Documents\GitHub\mrs-test-scripts\Headless Mode &amp; Sideloading\WalkAndUnGZ.bat" "%USERPROFILE%\AppData\Local\Temp\OnboardLogs"\RTDC4064\2017-12-19 &amp; aws s3 cp s3://rtdc.mdm.uploadarchive.raw/RTDC4064/ "%USERPROFILE%\AppData\Local\Temp\OnboardLogs"\RTDC4064\2017-12-20 --exclude "*" --recursive --include "*20171220*" &amp; "%USERPROFILE%\Documents\GitHub\mrs-test-scripts\Headless Mode &amp; Sideloading\WalkAndUnGZ.bat" "%USERPROFILE%\AppData\Local\Temp\OnboardLogs"\RTDC4064\2017-12-20</v>
      </c>
      <c r="S19" s="84" t="str">
        <f>VLOOKUP(C19,'Train Runs'!$A$13:$AE$10188,22,0)</f>
        <v>https://d0f6bd738d7f1b3e5a7ca70fe4ff75f0.us-east-1.aws.found.io/app/kibana#/discover/Steve-Slow-Train-Analysis-(2080s-and-2083s)?_g=(refreshInterval:(display:Off,pause:!f,section:0,value:0),time:(from:'2017-12-19T11:07:26-0700',mode:absolute,to:'2017-12-19T13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9" s="86" t="str">
        <f t="shared" si="1"/>
        <v>"C:\Program Files (x86)\AstroGrep\AstroGrep.exe" /e /r /s /spath="%USERPROFILE%\AppData\Local\Temp\OnboardLogs" /stypes="*4064*201712191*" /stext=" 19:.+((SYSTEM_STATE.+slice.+state.+changed )|(ment ac)|(multiple cpu faults)|(system.+state.+changed )|(\[timeout)|(PRM\|1\|D)|(kpr)|(kdp)|(train st.+moving)|(\|gpps)|(penalty))"</v>
      </c>
      <c r="U19" s="9" t="str">
        <f t="shared" si="2"/>
        <v>4064</v>
      </c>
      <c r="V19" s="31">
        <f t="shared" si="3"/>
        <v>43088.822962962964</v>
      </c>
      <c r="W19" s="45" t="str">
        <f t="shared" si="4"/>
        <v>EC</v>
      </c>
      <c r="X19" s="228">
        <f t="shared" si="5"/>
        <v>169</v>
      </c>
      <c r="Y19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drop","project_id":79,"tracker_id":40,"status_id":1,"priority_id":2,"assigned_to_id":338,"start_date":"2017-12-19","description":"","custom_fields":[{"id":1,"name":"Subdivision","value":"EC"},{"id":4,"name":"Milepost","value":"19.8242"},{"id":17,"name":"Train ID","value":"169-19"},{"id":16,"name":"Locomotive ID","value":"4064"},{"id":130,"name":"Impact","value":""},{"id":150,"name":"Time of Event (Mountain Time)","value":"12:45:04"},{"id":151,"name":"Denver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/c/Users/stu/AppData/Local/Temp/OnboardLogs/RTDC4064 --include="*4064*201712191*"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"%USERPROFILE%\AppData\Local\Temp\OnboardLogs"\RTDC4064\*4064*201712191* &gt;&gt; 2017-12-19-SliceDisagreementCheck.txt</v>
      </c>
      <c r="AE19" s="144" t="str">
        <f t="shared" si="9"/>
        <v>start /low /b %USERPROFILE%\Documents\GitHub\eaglep3\Utilities\DownloadLogsFromS3.py --loco 4064 --day 2017-12-19</v>
      </c>
      <c r="AF19" s="1"/>
    </row>
    <row r="20" spans="1:32" x14ac:dyDescent="0.25">
      <c r="A20" s="31">
        <v>43089.074502314812</v>
      </c>
      <c r="B20" s="30" t="s">
        <v>479</v>
      </c>
      <c r="C20" s="30" t="s">
        <v>695</v>
      </c>
      <c r="D20" s="30" t="s">
        <v>49</v>
      </c>
      <c r="E20" s="30" t="s">
        <v>446</v>
      </c>
      <c r="F20" s="42">
        <v>0</v>
      </c>
      <c r="G20" s="42">
        <v>443</v>
      </c>
      <c r="H20" s="42">
        <v>111535</v>
      </c>
      <c r="I20" s="42">
        <v>110329</v>
      </c>
      <c r="J20" s="30" t="s">
        <v>447</v>
      </c>
      <c r="K20" s="42">
        <v>110617</v>
      </c>
      <c r="L20" s="131" t="s">
        <v>51</v>
      </c>
      <c r="M20" s="132">
        <f t="shared" si="0"/>
        <v>-152.06399999999999</v>
      </c>
      <c r="N20" s="133" t="str">
        <f>VLOOKUP(C20,'Trips&amp;Operators'!$C$1:$G$99911,5,FALSE)</f>
        <v>MAGEE KENYA</v>
      </c>
      <c r="O20" s="175" t="s">
        <v>347</v>
      </c>
      <c r="P20" s="239" t="s">
        <v>468</v>
      </c>
      <c r="Q20" s="30"/>
      <c r="R20" s="81" t="str">
        <f>VLOOKUP(C20,'Train Runs'!$A$13:$AE$10188,31,0)</f>
        <v>aws s3 cp s3://rtdc.mdm.uploadarchive.raw/RTDC4013/ "%USERPROFILE%\AppData\Local\Temp\OnboardLogs"\RTDC4013\2017-12-20 --exclude "*" --recursive --include "*20171220*" &amp; "%USERPROFILE%\Documents\GitHub\mrs-test-scripts\Headless Mode &amp; Sideloading\WalkAndUnGZ.bat" "%USERPROFILE%\AppData\Local\Temp\OnboardLogs"\RTDC4013\2017-12-20 &amp; aws s3 cp s3://rtdc.mdm.uploadarchive.raw/RTDC4013/ "%USERPROFILE%\AppData\Local\Temp\OnboardLogs"\RTDC4013\2017-12-21 --exclude "*" --recursive --include "*20171221*" &amp; "%USERPROFILE%\Documents\GitHub\mrs-test-scripts\Headless Mode &amp; Sideloading\WalkAndUnGZ.bat" "%USERPROFILE%\AppData\Local\Temp\OnboardLogs"\RTDC4013\2017-12-21</v>
      </c>
      <c r="S20" s="84" t="str">
        <f>VLOOKUP(C20,'Train Runs'!$A$13:$AE$10188,22,0)</f>
        <v>https://d0f6bd738d7f1b3e5a7ca70fe4ff75f0.us-east-1.aws.found.io/app/kibana#/discover/Steve-Slow-Train-Analysis-(2080s-and-2083s)?_g=(refreshInterval:(display:Off,pause:!f,section:0,value:0),time:(from:'2017-12-20T00:22:03-0700',mode:absolute,to:'2017-12-20T03:09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/stypes="*4013*201712200*" /stext=" 08:.+((SYSTEM_STATE.+slice.+state.+changed )|(ment ac)|(multiple cpu faults)|(system.+state.+changed )|(\[timeout)|(PRM\|1\|D)|(kpr)|(kdp)|(train st.+moving)|(\|gpps)|(penalty))"</v>
      </c>
      <c r="U20" s="9" t="str">
        <f t="shared" si="2"/>
        <v>4013</v>
      </c>
      <c r="V20" s="31">
        <f t="shared" si="3"/>
        <v>43089.366168981476</v>
      </c>
      <c r="W20" s="45" t="str">
        <f t="shared" si="4"/>
        <v>EC</v>
      </c>
      <c r="X20" s="228">
        <f t="shared" si="5"/>
        <v>244</v>
      </c>
      <c r="Y20" s="238" t="str">
        <f t="shared" si="6"/>
        <v>echo {"issue":{"subject":"Wi-MAX data drop","project_id":79,"tracker_id":40,"status_id":1,"priority_id":2,"assigned_to_id":338,"start_date":"2017-12-20","description":"","custom_fields":[{"id":1,"name":"Subdivision","value":"EC"},{"id":4,"name":"Milepost","value":"11.0617"},{"id":17,"name":"Train ID","value":"244-19"},{"id":16,"name":"Locomotive ID","value":"4013"},{"id":130,"name":"Impact","value":""},{"id":150,"name":"Time of Event (Mountain Time)","value":"01:47:17"},{"id":151,"name":"Denver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/c/Users/stu/AppData/Local/Temp/OnboardLogs/RTDC4013 --include="*4013*201712200*"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"%USERPROFILE%\AppData\Local\Temp\OnboardLogs"\RTDC4013\*4013*201712200* &gt;&gt; 2017-12-19-SliceDisagreementCheck.txt</v>
      </c>
      <c r="AE20" s="144" t="str">
        <f t="shared" si="9"/>
        <v>start /low /b %USERPROFILE%\Documents\GitHub\eaglep3\Utilities\DownloadLogsFromS3.py --loco 4013 --day 2017-12-20</v>
      </c>
      <c r="AF20" s="1"/>
    </row>
    <row r="21" spans="1:32" x14ac:dyDescent="0.25">
      <c r="A21" s="31">
        <v>43088.369479166664</v>
      </c>
      <c r="B21" s="30" t="s">
        <v>475</v>
      </c>
      <c r="C21" s="30" t="s">
        <v>681</v>
      </c>
      <c r="D21" s="30" t="s">
        <v>49</v>
      </c>
      <c r="E21" s="30" t="s">
        <v>446</v>
      </c>
      <c r="F21" s="42">
        <v>0</v>
      </c>
      <c r="G21" s="42">
        <v>517</v>
      </c>
      <c r="H21" s="42">
        <v>126587</v>
      </c>
      <c r="I21" s="42">
        <v>127968</v>
      </c>
      <c r="J21" s="30" t="s">
        <v>447</v>
      </c>
      <c r="K21" s="42">
        <v>126678</v>
      </c>
      <c r="L21" s="131" t="s">
        <v>50</v>
      </c>
      <c r="M21" s="132">
        <f t="shared" si="0"/>
        <v>-681.12</v>
      </c>
      <c r="N21" s="133" t="str">
        <f>VLOOKUP(C21,'Trips&amp;Operators'!$C$1:$G$99911,5,FALSE)</f>
        <v>YORK EDGAR</v>
      </c>
      <c r="O21" s="175" t="s">
        <v>347</v>
      </c>
      <c r="P21" s="239" t="s">
        <v>468</v>
      </c>
      <c r="Q21" s="30"/>
      <c r="R21" s="81" t="str">
        <f>VLOOKUP(C21,'Train Runs'!$A$13:$AE$10188,31,0)</f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S21" s="84" t="str">
        <f>VLOOKUP(C21,'Train Runs'!$A$13:$AE$10188,22,0)</f>
        <v>https://d0f6bd738d7f1b3e5a7ca70fe4ff75f0.us-east-1.aws.found.io/app/kibana#/discover/Steve-Slow-Train-Analysis-(2080s-and-2083s)?_g=(refreshInterval:(display:Off,pause:!f,section:0,value:0),time:(from:'2017-12-19T07:26:35-0700',mode:absolute,to:'2017-12-19T10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1" s="86" t="str">
        <f t="shared" si="1"/>
        <v>"C:\Program Files (x86)\AstroGrep\AstroGrep.exe" /e /r /s /spath="%USERPROFILE%\AppData\Local\Temp\OnboardLogs" /stypes="*4056*201712191*" /stext=" 15:.+((SYSTEM_STATE.+slice.+state.+changed )|(ment ac)|(multiple cpu faults)|(system.+state.+changed )|(\[timeout)|(PRM\|1\|D)|(kpr)|(kdp)|(train st.+moving)|(\|gpps)|(penalty))"</v>
      </c>
      <c r="U21" s="9" t="str">
        <f t="shared" si="2"/>
        <v>4056</v>
      </c>
      <c r="V21" s="31">
        <f t="shared" si="3"/>
        <v>43088.661145833328</v>
      </c>
      <c r="W21" s="45" t="str">
        <f t="shared" si="4"/>
        <v>EC</v>
      </c>
      <c r="X21" s="228">
        <f t="shared" si="5"/>
        <v>139</v>
      </c>
      <c r="Y21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drop","project_id":79,"tracker_id":40,"status_id":1,"priority_id":2,"assigned_to_id":338,"start_date":"2017-12-19","description":"","custom_fields":[{"id":1,"name":"Subdivision","value":"EC"},{"id":4,"name":"Milepost","value":"12.6678"},{"id":17,"name":"Train ID","value":"139-19"},{"id":16,"name":"Locomotive ID","value":"4056"},{"id":130,"name":"Impact","value":""},{"id":150,"name":"Time of Event (Mountain Time)","value":"08:52:03"},{"id":151,"name":"Denver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/c/Users/stu/AppData/Local/Temp/OnboardLogs/RTDC4056 --include="*4056*201712191*"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"%USERPROFILE%\AppData\Local\Temp\OnboardLogs"\RTDC4056\*4056*201712191* &gt;&gt; 2017-12-19-SliceDisagreementCheck.txt</v>
      </c>
      <c r="AE21" s="144" t="str">
        <f t="shared" si="9"/>
        <v>start /low /b %USERPROFILE%\Documents\GitHub\eaglep3\Utilities\DownloadLogsFromS3.py --loco 4056 --day 2017-12-19</v>
      </c>
      <c r="AF21" s="1"/>
    </row>
    <row r="22" spans="1:32" x14ac:dyDescent="0.25">
      <c r="A22" s="31">
        <v>43088.669062499997</v>
      </c>
      <c r="B22" s="30" t="s">
        <v>475</v>
      </c>
      <c r="C22" s="30" t="s">
        <v>688</v>
      </c>
      <c r="D22" s="30" t="s">
        <v>49</v>
      </c>
      <c r="E22" s="30" t="s">
        <v>446</v>
      </c>
      <c r="F22" s="42">
        <v>0</v>
      </c>
      <c r="G22" s="42">
        <v>454</v>
      </c>
      <c r="H22" s="42">
        <v>214147</v>
      </c>
      <c r="I22" s="42">
        <v>215661</v>
      </c>
      <c r="J22" s="30" t="s">
        <v>447</v>
      </c>
      <c r="K22" s="42">
        <v>217106</v>
      </c>
      <c r="L22" s="131" t="s">
        <v>50</v>
      </c>
      <c r="M22" s="132">
        <f t="shared" si="0"/>
        <v>762.96</v>
      </c>
      <c r="N22" s="133" t="str">
        <f>VLOOKUP(C22,'Trips&amp;Operators'!$C$1:$G$99911,5,FALSE)</f>
        <v>LEVERE CRAIG</v>
      </c>
      <c r="O22" s="175" t="s">
        <v>347</v>
      </c>
      <c r="P22" s="239" t="s">
        <v>468</v>
      </c>
      <c r="Q22" s="30"/>
      <c r="R22" s="81" t="str">
        <f>VLOOKUP(C22,'Train Runs'!$A$13:$AE$10188,31,0)</f>
        <v>aws s3 cp s3://rtdc.mdm.uploadarchive.raw/RTDC4056/ "%USERPROFILE%\AppData\Local\Temp\OnboardLogs"\RTDC4056\2017-12-19 --exclude "*" --recursive --include "*20171219*" &amp; "%USERPROFILE%\Documents\GitHub\mrs-test-scripts\Headless Mode &amp; Sideloading\WalkAndUnGZ.bat" "%USERPROFILE%\AppData\Local\Temp\OnboardLogs"\RTDC4056\2017-12-19 &amp; aws s3 cp s3://rtdc.mdm.uploadarchive.raw/RTDC4056/ "%USERPROFILE%\AppData\Local\Temp\OnboardLogs"\RTDC4056\2017-12-20 --exclude "*" --recursive --include "*20171220*" &amp; "%USERPROFILE%\Documents\GitHub\mrs-test-scripts\Headless Mode &amp; Sideloading\WalkAndUnGZ.bat" "%USERPROFILE%\AppData\Local\Temp\OnboardLogs"\RTDC4056\2017-12-20</v>
      </c>
      <c r="S22" s="84" t="str">
        <f>VLOOKUP(C22,'Train Runs'!$A$13:$AE$10188,22,0)</f>
        <v>https://d0f6bd738d7f1b3e5a7ca70fe4ff75f0.us-east-1.aws.found.io/app/kibana#/discover/Steve-Slow-Train-Analysis-(2080s-and-2083s)?_g=(refreshInterval:(display:Off,pause:!f,section:0,value:0),time:(from:'2017-12-19T14:23:29-0700',mode:absolute,to:'2017-12-19T17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2" s="86" t="str">
        <f t="shared" si="1"/>
        <v>"C:\Program Files (x86)\AstroGrep\AstroGrep.exe" /e /r /s /spath="%USERPROFILE%\AppData\Local\Temp\OnboardLogs" /stypes="*4056*201712192*" /stext=" 23:.+((SYSTEM_STATE.+slice.+state.+changed )|(ment ac)|(multiple cpu faults)|(system.+state.+changed )|(\[timeout)|(PRM\|1\|D)|(kpr)|(kdp)|(train st.+moving)|(\|gpps)|(penalty))"</v>
      </c>
      <c r="U22" s="9" t="str">
        <f t="shared" si="2"/>
        <v>4056</v>
      </c>
      <c r="V22" s="31">
        <f t="shared" si="3"/>
        <v>43088.960729166662</v>
      </c>
      <c r="W22" s="45" t="str">
        <f t="shared" si="4"/>
        <v>EC</v>
      </c>
      <c r="X22" s="228">
        <f t="shared" si="5"/>
        <v>195</v>
      </c>
      <c r="Y22" s="238" t="str">
        <f t="shared" si="6"/>
        <v>echo {"issue":{"subject":"Wi-MAX data drop","project_id":79,"tracker_id":40,"status_id":1,"priority_id":2,"assigned_to_id":338,"start_date":"2017-12-19","description":"","custom_fields":[{"id":1,"name":"Subdivision","value":"EC"},{"id":4,"name":"Milepost","value":"21.7106"},{"id":17,"name":"Train ID","value":"195-19"},{"id":16,"name":"Locomotive ID","value":"4056"},{"id":130,"name":"Impact","value":""},{"id":150,"name":"Time of Event (Mountain Time)","value":"16:03:27"},{"id":151,"name":"Denver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/c/Users/stu/AppData/Local/Temp/OnboardLogs/RTDC4056 --include="*4056*201712192*"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"%USERPROFILE%\AppData\Local\Temp\OnboardLogs"\RTDC4056\*4056*201712192* &gt;&gt; 2017-12-19-SliceDisagreementCheck.txt</v>
      </c>
      <c r="AE22" s="144" t="str">
        <f t="shared" si="9"/>
        <v>start /low /b %USERPROFILE%\Documents\GitHub\eaglep3\Utilities\DownloadLogsFromS3.py --loco 4056 --day 2017-12-19</v>
      </c>
      <c r="AF22" s="1"/>
    </row>
    <row r="23" spans="1:32" x14ac:dyDescent="0.25">
      <c r="A23" s="31">
        <v>43088.273761574077</v>
      </c>
      <c r="B23" s="30" t="s">
        <v>359</v>
      </c>
      <c r="C23" s="30" t="s">
        <v>677</v>
      </c>
      <c r="D23" s="30" t="s">
        <v>49</v>
      </c>
      <c r="E23" s="30" t="s">
        <v>547</v>
      </c>
      <c r="F23" s="42">
        <v>0</v>
      </c>
      <c r="G23" s="42">
        <v>128</v>
      </c>
      <c r="H23" s="42">
        <v>232729</v>
      </c>
      <c r="I23" s="42">
        <v>232881</v>
      </c>
      <c r="J23" s="30" t="s">
        <v>548</v>
      </c>
      <c r="K23" s="42">
        <v>233491</v>
      </c>
      <c r="L23" s="131" t="s">
        <v>50</v>
      </c>
      <c r="M23" s="132">
        <f t="shared" si="0"/>
        <v>322.08</v>
      </c>
      <c r="N23" s="133" t="str">
        <f>VLOOKUP(C23,'Trips&amp;Operators'!$C$1:$G$99911,5,FALSE)</f>
        <v>BIRENBAUM THOMAS</v>
      </c>
      <c r="O23" s="175" t="s">
        <v>178</v>
      </c>
      <c r="P23" s="239"/>
      <c r="Q23" s="30"/>
      <c r="R23" s="81" t="str">
        <f>VLOOKUP(C23,'Train Runs'!$A$13:$AE$10188,31,0)</f>
        <v>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 &amp; aws s3 cp s3://rtdc.mdm.uploadarchive.raw/RTDC4018/ "%USERPROFILE%\AppData\Local\Temp\OnboardLogs"\RTDC4018\2017-12-20 --exclude "*" --recursive --include "*20171220*" &amp; "%USERPROFILE%\Documents\GitHub\mrs-test-scripts\Headless Mode &amp; Sideloading\WalkAndUnGZ.bat" "%USERPROFILE%\AppData\Local\Temp\OnboardLogs"\RTDC4018\2017-12-20</v>
      </c>
      <c r="S23" s="84" t="str">
        <f>VLOOKUP(C23,'Train Runs'!$A$13:$AE$10188,22,0)</f>
        <v>https://d0f6bd738d7f1b3e5a7ca70fe4ff75f0.us-east-1.aws.found.io/app/kibana#/discover/Steve-Slow-Train-Analysis-(2080s-and-2083s)?_g=(refreshInterval:(display:Off,pause:!f,section:0,value:0),time:(from:'2017-12-19T04:54:35-0700',mode:absolute,to:'2017-12-19T07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86" t="str">
        <f t="shared" si="1"/>
        <v>"C:\Program Files (x86)\AstroGrep\AstroGrep.exe" /e /r /s /spath="%USERPROFILE%\AppData\Local\Temp\OnboardLogs" /stypes="*4018*201712191*" /stext=" 13:.+((SYSTEM_STATE.+slice.+state.+changed )|(ment ac)|(multiple cpu faults)|(system.+state.+changed )|(\[timeout)|(PRM\|1\|D)|(kpr)|(kdp)|(train st.+moving)|(\|gpps)|(penalty))"</v>
      </c>
      <c r="U23" s="9" t="str">
        <f t="shared" si="2"/>
        <v>4018</v>
      </c>
      <c r="V23" s="31">
        <f t="shared" si="3"/>
        <v>43088.565428240741</v>
      </c>
      <c r="W23" s="45" t="str">
        <f t="shared" si="4"/>
        <v>EC</v>
      </c>
      <c r="X23" s="228">
        <f t="shared" si="5"/>
        <v>119</v>
      </c>
      <c r="Y23" s="238" t="str">
        <f t="shared" si="6"/>
        <v>echo {"issue":{"subject":"","project_id":79,"tracker_id":40,"status_id":1,"priority_id":2,"assigned_to_id":338,"start_date":"2017-12-19","description":"","custom_fields":[{"id":1,"name":"Subdivision","value":"EC"},{"id":4,"name":"Milepost","value":"23.3491"},{"id":17,"name":"Train ID","value":"119-19"},{"id":16,"name":"Locomotive ID","value":"4018"},{"id":130,"name":"Impact","value":""},{"id":150,"name":"Time of Event (Mountain Time)","value":"06:34:13"},{"id":151,"name":"Denver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/c/Users/stu/AppData/Local/Temp/OnboardLogs/RTDC4018 --include="*4018*201712191*"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"%USERPROFILE%\AppData\Local\Temp\OnboardLogs"\RTDC4018\*4018*201712191* &gt;&gt; 2017-12-19-SliceDisagreementCheck.txt</v>
      </c>
      <c r="AE23" s="144" t="str">
        <f t="shared" si="9"/>
        <v>start /low /b %USERPROFILE%\Documents\GitHub\eaglep3\Utilities\DownloadLogsFromS3.py --loco 4018 --day 2017-12-19</v>
      </c>
      <c r="AF23" s="1"/>
    </row>
    <row r="24" spans="1:32" x14ac:dyDescent="0.25">
      <c r="A24" s="31">
        <v>43088.120462962965</v>
      </c>
      <c r="B24" s="30" t="s">
        <v>370</v>
      </c>
      <c r="C24" s="30" t="s">
        <v>674</v>
      </c>
      <c r="D24" s="30" t="s">
        <v>49</v>
      </c>
      <c r="E24" s="30" t="s">
        <v>353</v>
      </c>
      <c r="F24" s="42">
        <v>0</v>
      </c>
      <c r="G24" s="42">
        <v>149</v>
      </c>
      <c r="H24" s="42">
        <v>19289</v>
      </c>
      <c r="I24" s="42">
        <v>19083</v>
      </c>
      <c r="J24" s="30" t="s">
        <v>354</v>
      </c>
      <c r="K24" s="42">
        <v>19000</v>
      </c>
      <c r="L24" s="131" t="s">
        <v>51</v>
      </c>
      <c r="M24" s="132">
        <f t="shared" si="0"/>
        <v>43.823999999999998</v>
      </c>
      <c r="N24" s="133" t="str">
        <f>VLOOKUP(C24,'Trips&amp;Operators'!$C$1:$G$99911,5,FALSE)</f>
        <v>YORK EDGAR</v>
      </c>
      <c r="O24" s="175" t="s">
        <v>178</v>
      </c>
      <c r="P24" s="239"/>
      <c r="Q24" s="30"/>
      <c r="R24" s="81" t="e">
        <f>VLOOKUP(C24,'Train Runs'!$A$13:$AE$10188,31,0)</f>
        <v>#N/A</v>
      </c>
      <c r="S24" s="84" t="e">
        <f>VLOOKUP(C24,'Train Runs'!$A$13:$AE$10188,22,0)</f>
        <v>#N/A</v>
      </c>
      <c r="T24" s="86" t="str">
        <f t="shared" si="1"/>
        <v>"C:\Program Files (x86)\AstroGrep\AstroGrep.exe" /e /r /s /spath="%USERPROFILE%\AppData\Local\Temp\OnboardLogs" /stypes="*4011*201712190*" /stext=" 09:.+((SYSTEM_STATE.+slice.+state.+changed )|(ment ac)|(multiple cpu faults)|(system.+state.+changed )|(\[timeout)|(PRM\|1\|D)|(kpr)|(kdp)|(train st.+moving)|(\|gpps)|(penalty))"</v>
      </c>
      <c r="U24" s="9" t="str">
        <f t="shared" si="2"/>
        <v>4011</v>
      </c>
      <c r="V24" s="31">
        <f t="shared" si="3"/>
        <v>43088.412129629629</v>
      </c>
      <c r="W24" s="45" t="str">
        <f t="shared" si="4"/>
        <v>Other</v>
      </c>
      <c r="X24" s="228">
        <f t="shared" si="5"/>
        <v>300</v>
      </c>
      <c r="Y24" s="238" t="str">
        <f t="shared" si="6"/>
        <v>echo {"issue":{"subject":"","project_id":79,"tracker_id":40,"status_id":1,"priority_id":2,"assigned_to_id":338,"start_date":"2017-12-19","description":"","custom_fields":[{"id":1,"name":"Subdivision","value":"Other"},{"id":4,"name":"Milepost","value":"1.9"},{"id":17,"name":"Train ID","value":"300-19"},{"id":16,"name":"Locomotive ID","value":"4011"},{"id":130,"name":"Impact","value":""},{"id":150,"name":"Time of Event (Mountain Time)","value":"02:53:28"},{"id":151,"name":"Denver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/c/Users/stu/AppData/Local/Temp/OnboardLogs/RTDC4011 --include="*4011*201712190*"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"%USERPROFILE%\AppData\Local\Temp\OnboardLogs"\RTDC4011\*4011*201712190* &gt;&gt; 2017-12-19-SliceDisagreementCheck.txt</v>
      </c>
      <c r="AE24" s="144" t="str">
        <f t="shared" si="9"/>
        <v>start /low /b %USERPROFILE%\Documents\GitHub\eaglep3\Utilities\DownloadLogsFromS3.py --loco 4011 --day 2017-12-19</v>
      </c>
      <c r="AF24" s="1"/>
    </row>
  </sheetData>
  <autoFilter ref="A6:AC14">
    <sortState ref="A7:AC24">
      <sortCondition ref="W7:W24"/>
      <sortCondition ref="E7:E24"/>
      <sortCondition ref="K7:K24"/>
      <sortCondition ref="F7:F24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AA7:AA24</xm:sqref>
        </x14:dataValidation>
        <x14:dataValidation type="list" allowBlank="1" showInputMessage="1" showErrorMessage="1">
          <x14:formula1>
            <xm:f>'Redmine List Values'!$C$2:$C$15</xm:f>
          </x14:formula1>
          <xm:sqref>AB7:AB24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2017-12-19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-19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Runs'!$A$13:$A$100185,1,FALSE)</f>
        <v>#N/A</v>
      </c>
    </row>
    <row r="4" spans="1:10" x14ac:dyDescent="0.25">
      <c r="A4" s="197"/>
      <c r="B4" s="42" t="str">
        <f>A4&amp;"-"&amp;IF(DAY(Variables!$A$2)&lt;10,0,"")&amp;DAY(Variables!$A$2)</f>
        <v>-19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Runs'!$A$13:$A$100185,1,FALSE)</f>
        <v>#N/A</v>
      </c>
    </row>
    <row r="5" spans="1:10" x14ac:dyDescent="0.25">
      <c r="A5" s="197"/>
      <c r="B5" s="42" t="str">
        <f>A5&amp;"-"&amp;IF(DAY(Variables!$A$2)&lt;10,0,"")&amp;DAY(Variables!$A$2)</f>
        <v>-19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Runs'!$A$13:$A$100185,1,FALSE)</f>
        <v>#N/A</v>
      </c>
    </row>
    <row r="6" spans="1:10" x14ac:dyDescent="0.25">
      <c r="A6" s="197"/>
      <c r="B6" s="42" t="str">
        <f>A6&amp;"-"&amp;IF(DAY(Variables!$A$2)&lt;10,0,"")&amp;DAY(Variables!$A$2)</f>
        <v>-19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Runs'!$A$13:$A$100185,1,FALSE)</f>
        <v>#N/A</v>
      </c>
    </row>
    <row r="7" spans="1:10" x14ac:dyDescent="0.25">
      <c r="A7" s="197"/>
      <c r="B7" s="42" t="str">
        <f>A7&amp;"-"&amp;IF(DAY(Variables!$A$2)&lt;10,0,"")&amp;DAY(Variables!$A$2)</f>
        <v>-19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Runs'!$A$13:$A$100185,1,FALSE)</f>
        <v>#N/A</v>
      </c>
    </row>
    <row r="8" spans="1:10" x14ac:dyDescent="0.25">
      <c r="A8" s="197"/>
      <c r="B8" s="42" t="str">
        <f>A8&amp;"-"&amp;IF(DAY(Variables!$A$2)&lt;10,0,"")&amp;DAY(Variables!$A$2)</f>
        <v>-19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Runs'!$A$13:$A$100185,1,FALSE)</f>
        <v>#N/A</v>
      </c>
    </row>
    <row r="9" spans="1:10" x14ac:dyDescent="0.25">
      <c r="A9" s="197"/>
      <c r="B9" s="42" t="str">
        <f>A9&amp;"-"&amp;IF(DAY(Variables!$A$2)&lt;10,0,"")&amp;DAY(Variables!$A$2)</f>
        <v>-19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Runs'!$A$13:$A$100185,1,FALSE)</f>
        <v>#N/A</v>
      </c>
    </row>
    <row r="10" spans="1:10" x14ac:dyDescent="0.25">
      <c r="A10" s="197"/>
      <c r="B10" s="42" t="str">
        <f>A10&amp;"-"&amp;IF(DAY(Variables!$A$2)&lt;10,0,"")&amp;DAY(Variables!$A$2)</f>
        <v>-19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Runs'!$A$13:$A$100185,1,FALSE)</f>
        <v>#N/A</v>
      </c>
    </row>
    <row r="11" spans="1:10" x14ac:dyDescent="0.25">
      <c r="A11" s="197"/>
      <c r="B11" s="42" t="str">
        <f>A11&amp;"-"&amp;IF(DAY(Variables!$A$2)&lt;10,0,"")&amp;DAY(Variables!$A$2)</f>
        <v>-19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Runs'!$A$13:$A$100185,1,FALSE)</f>
        <v>#N/A</v>
      </c>
    </row>
    <row r="12" spans="1:10" x14ac:dyDescent="0.25">
      <c r="A12" s="197"/>
      <c r="B12" s="42" t="str">
        <f>A12&amp;"-"&amp;IF(DAY(Variables!$A$2)&lt;10,0,"")&amp;DAY(Variables!$A$2)</f>
        <v>-19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Runs'!$A$13:$A$100185,1,FALSE)</f>
        <v>#N/A</v>
      </c>
    </row>
    <row r="13" spans="1:10" x14ac:dyDescent="0.25">
      <c r="A13" s="197"/>
      <c r="B13" s="42" t="str">
        <f>A13&amp;"-"&amp;IF(DAY(Variables!$A$2)&lt;10,0,"")&amp;DAY(Variables!$A$2)</f>
        <v>-19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Runs'!$A$13:$A$100185,1,FALSE)</f>
        <v>#N/A</v>
      </c>
    </row>
    <row r="14" spans="1:10" x14ac:dyDescent="0.25">
      <c r="A14" s="197"/>
      <c r="B14" s="42" t="str">
        <f>A14&amp;"-"&amp;IF(DAY(Variables!$A$2)&lt;10,0,"")&amp;DAY(Variables!$A$2)</f>
        <v>-19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Runs'!$A$13:$A$100185,1,FALSE)</f>
        <v>#N/A</v>
      </c>
    </row>
    <row r="15" spans="1:10" x14ac:dyDescent="0.25">
      <c r="A15" s="197"/>
      <c r="B15" s="42" t="str">
        <f>A15&amp;"-"&amp;IF(DAY(Variables!$A$2)&lt;10,0,"")&amp;DAY(Variables!$A$2)</f>
        <v>-19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Runs'!$A$13:$A$100185,1,FALSE)</f>
        <v>#N/A</v>
      </c>
    </row>
    <row r="16" spans="1:10" x14ac:dyDescent="0.25">
      <c r="A16" s="197"/>
      <c r="B16" s="42" t="str">
        <f>A16&amp;"-"&amp;IF(DAY(Variables!$A$2)&lt;10,0,"")&amp;DAY(Variables!$A$2)</f>
        <v>-19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Runs'!$A$13:$A$100185,1,FALSE)</f>
        <v>#N/A</v>
      </c>
    </row>
    <row r="17" spans="1:10" x14ac:dyDescent="0.25">
      <c r="A17" s="197"/>
      <c r="B17" s="42" t="str">
        <f>A17&amp;"-"&amp;IF(DAY(Variables!$A$2)&lt;10,0,"")&amp;DAY(Variables!$A$2)</f>
        <v>-19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Runs'!$A$13:$A$100185,1,FALSE)</f>
        <v>#N/A</v>
      </c>
    </row>
    <row r="18" spans="1:10" x14ac:dyDescent="0.25">
      <c r="A18" s="197"/>
      <c r="B18" s="42" t="str">
        <f>A18&amp;"-"&amp;IF(DAY(Variables!$A$2)&lt;10,0,"")&amp;DAY(Variables!$A$2)</f>
        <v>-19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Runs'!$A$13:$A$100185,1,FALSE)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43088.03702546296</v>
      </c>
      <c r="B2" s="20" t="s">
        <v>504</v>
      </c>
      <c r="C2" s="20" t="s">
        <v>607</v>
      </c>
      <c r="D2" s="137">
        <v>3220000</v>
      </c>
      <c r="E2" s="20" t="s">
        <v>377</v>
      </c>
      <c r="F2" s="20" t="s">
        <v>378</v>
      </c>
      <c r="G2" s="8" t="str">
        <f>E2&amp;" "&amp;F2</f>
        <v>RESPASS AARON</v>
      </c>
      <c r="H2" t="str">
        <f>MID(B2,13,4)</f>
        <v>4009</v>
      </c>
    </row>
    <row r="3" spans="1:8" x14ac:dyDescent="0.25">
      <c r="A3" s="8">
        <v>43088.047256944446</v>
      </c>
      <c r="B3" s="20" t="s">
        <v>492</v>
      </c>
      <c r="C3" s="20" t="s">
        <v>608</v>
      </c>
      <c r="D3" s="137">
        <v>890000</v>
      </c>
      <c r="E3" s="20" t="s">
        <v>343</v>
      </c>
      <c r="F3" s="20" t="s">
        <v>344</v>
      </c>
      <c r="G3" s="8" t="str">
        <f t="shared" ref="G3:G66" si="0">E3&amp;" "&amp;F3</f>
        <v>LOZA FIDEL</v>
      </c>
      <c r="H3" s="20" t="str">
        <f t="shared" ref="H3:H66" si="1">MID(B3,13,4)</f>
        <v>4016</v>
      </c>
    </row>
    <row r="4" spans="1:8" x14ac:dyDescent="0.25">
      <c r="A4" s="8">
        <v>43088.058078703703</v>
      </c>
      <c r="B4" s="20" t="s">
        <v>516</v>
      </c>
      <c r="C4" s="20" t="s">
        <v>609</v>
      </c>
      <c r="D4" s="137">
        <v>3700000</v>
      </c>
      <c r="E4" s="20" t="s">
        <v>444</v>
      </c>
      <c r="F4" s="20" t="s">
        <v>368</v>
      </c>
      <c r="G4" s="8" t="str">
        <f t="shared" si="0"/>
        <v>AUSTIN THOMPSON</v>
      </c>
      <c r="H4" s="20" t="str">
        <f t="shared" si="1"/>
        <v>4043</v>
      </c>
    </row>
    <row r="5" spans="1:8" x14ac:dyDescent="0.25">
      <c r="A5" s="8">
        <v>43088.066458333335</v>
      </c>
      <c r="B5" s="20" t="s">
        <v>441</v>
      </c>
      <c r="C5" s="20" t="s">
        <v>610</v>
      </c>
      <c r="D5" s="137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4010</v>
      </c>
    </row>
    <row r="6" spans="1:8" x14ac:dyDescent="0.25">
      <c r="A6" s="8">
        <v>43088.089050925926</v>
      </c>
      <c r="B6" s="20" t="s">
        <v>515</v>
      </c>
      <c r="C6" s="20" t="s">
        <v>591</v>
      </c>
      <c r="D6" s="137">
        <v>3700000</v>
      </c>
      <c r="E6" s="20" t="s">
        <v>444</v>
      </c>
      <c r="F6" s="20" t="s">
        <v>368</v>
      </c>
      <c r="G6" s="8" t="str">
        <f t="shared" si="0"/>
        <v>AUSTIN THOMPSON</v>
      </c>
      <c r="H6" s="20" t="str">
        <f t="shared" si="1"/>
        <v>4044</v>
      </c>
    </row>
    <row r="7" spans="1:8" x14ac:dyDescent="0.25">
      <c r="A7" s="8">
        <v>43088.117905092593</v>
      </c>
      <c r="B7" s="20" t="s">
        <v>370</v>
      </c>
      <c r="C7" s="20" t="s">
        <v>674</v>
      </c>
      <c r="D7" s="137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4011</v>
      </c>
    </row>
    <row r="8" spans="1:8" x14ac:dyDescent="0.25">
      <c r="A8" s="8">
        <v>43088.126828703702</v>
      </c>
      <c r="B8" s="20" t="s">
        <v>369</v>
      </c>
      <c r="C8" s="20" t="s">
        <v>697</v>
      </c>
      <c r="D8" s="137">
        <v>1090000</v>
      </c>
      <c r="E8" s="20" t="s">
        <v>592</v>
      </c>
      <c r="F8" s="20" t="s">
        <v>351</v>
      </c>
      <c r="G8" s="8" t="str">
        <f t="shared" si="0"/>
        <v>SPECTOR MICHAEL</v>
      </c>
      <c r="H8" s="20" t="str">
        <f t="shared" si="1"/>
        <v>4012</v>
      </c>
    </row>
    <row r="9" spans="1:8" ht="15.75" thickBot="1" x14ac:dyDescent="0.3">
      <c r="A9" s="24">
        <v>43088.128437500003</v>
      </c>
      <c r="B9" s="20" t="s">
        <v>475</v>
      </c>
      <c r="C9" s="20" t="s">
        <v>698</v>
      </c>
      <c r="D9" s="137">
        <v>1830000</v>
      </c>
      <c r="E9" s="20" t="s">
        <v>345</v>
      </c>
      <c r="F9" s="20" t="s">
        <v>346</v>
      </c>
      <c r="G9" s="8" t="str">
        <f t="shared" si="0"/>
        <v>YORK EDGAR</v>
      </c>
      <c r="H9" s="20" t="str">
        <f t="shared" si="1"/>
        <v>4056</v>
      </c>
    </row>
    <row r="10" spans="1:8" x14ac:dyDescent="0.25">
      <c r="A10" s="8">
        <v>43088.138391203705</v>
      </c>
      <c r="B10" s="20" t="s">
        <v>699</v>
      </c>
      <c r="C10" s="20" t="s">
        <v>700</v>
      </c>
      <c r="D10" s="137">
        <v>1260000</v>
      </c>
      <c r="E10" s="20" t="s">
        <v>701</v>
      </c>
      <c r="F10" s="20" t="s">
        <v>702</v>
      </c>
      <c r="G10" s="8" t="str">
        <f t="shared" si="0"/>
        <v>ACKERMAN JARED</v>
      </c>
      <c r="H10" s="20" t="str">
        <f t="shared" si="1"/>
        <v>4039</v>
      </c>
    </row>
    <row r="11" spans="1:8" x14ac:dyDescent="0.25">
      <c r="A11" s="8">
        <v>43088.140474537038</v>
      </c>
      <c r="B11" s="20" t="s">
        <v>370</v>
      </c>
      <c r="C11" s="20" t="s">
        <v>703</v>
      </c>
      <c r="D11" s="137">
        <v>1090000</v>
      </c>
      <c r="E11" s="20" t="s">
        <v>592</v>
      </c>
      <c r="F11" s="20" t="s">
        <v>351</v>
      </c>
      <c r="G11" s="8" t="str">
        <f t="shared" si="0"/>
        <v>SPECTOR MICHAEL</v>
      </c>
      <c r="H11" s="20" t="str">
        <f t="shared" si="1"/>
        <v>4011</v>
      </c>
    </row>
    <row r="12" spans="1:8" x14ac:dyDescent="0.25">
      <c r="A12" s="8">
        <v>43088.149456018517</v>
      </c>
      <c r="B12" s="20" t="s">
        <v>704</v>
      </c>
      <c r="C12" s="20" t="s">
        <v>705</v>
      </c>
      <c r="D12" s="137">
        <v>1260000</v>
      </c>
      <c r="E12" s="20" t="s">
        <v>701</v>
      </c>
      <c r="F12" s="20" t="s">
        <v>702</v>
      </c>
      <c r="G12" s="8" t="str">
        <f t="shared" si="0"/>
        <v>ACKERMAN JARED</v>
      </c>
      <c r="H12" s="20" t="str">
        <f t="shared" si="1"/>
        <v>4040</v>
      </c>
    </row>
    <row r="13" spans="1:8" x14ac:dyDescent="0.25">
      <c r="A13" s="8">
        <v>43088.160682870373</v>
      </c>
      <c r="B13" s="20" t="s">
        <v>350</v>
      </c>
      <c r="C13" s="20" t="s">
        <v>706</v>
      </c>
      <c r="D13" s="137">
        <v>1830000</v>
      </c>
      <c r="E13" s="20" t="s">
        <v>345</v>
      </c>
      <c r="F13" s="20" t="s">
        <v>346</v>
      </c>
      <c r="G13" s="8" t="str">
        <f t="shared" si="0"/>
        <v>YORK EDGAR</v>
      </c>
      <c r="H13" s="20" t="str">
        <f t="shared" si="1"/>
        <v>4055</v>
      </c>
    </row>
    <row r="14" spans="1:8" x14ac:dyDescent="0.25">
      <c r="A14" s="8">
        <v>43088.163587962961</v>
      </c>
      <c r="B14" s="20" t="s">
        <v>361</v>
      </c>
      <c r="C14" s="20" t="s">
        <v>707</v>
      </c>
      <c r="D14" s="137">
        <v>3120000</v>
      </c>
      <c r="E14" s="20" t="s">
        <v>368</v>
      </c>
      <c r="F14" s="20" t="s">
        <v>505</v>
      </c>
      <c r="G14" s="8" t="str">
        <f t="shared" si="0"/>
        <v>THOMPSON LESTER</v>
      </c>
      <c r="H14" s="20" t="str">
        <f t="shared" si="1"/>
        <v>4017</v>
      </c>
    </row>
    <row r="15" spans="1:8" x14ac:dyDescent="0.25">
      <c r="A15" s="8">
        <v>43088.167650462965</v>
      </c>
      <c r="B15" s="20" t="s">
        <v>704</v>
      </c>
      <c r="C15" s="20" t="s">
        <v>705</v>
      </c>
      <c r="D15" s="137">
        <v>1260000</v>
      </c>
      <c r="E15" s="20" t="s">
        <v>701</v>
      </c>
      <c r="F15" s="20" t="s">
        <v>702</v>
      </c>
      <c r="G15" s="8" t="str">
        <f t="shared" si="0"/>
        <v>ACKERMAN JARED</v>
      </c>
      <c r="H15" s="20" t="str">
        <f t="shared" si="1"/>
        <v>4040</v>
      </c>
    </row>
    <row r="16" spans="1:8" x14ac:dyDescent="0.25">
      <c r="A16" s="8">
        <v>43088.169363425928</v>
      </c>
      <c r="B16" s="20" t="s">
        <v>479</v>
      </c>
      <c r="C16" s="20" t="s">
        <v>708</v>
      </c>
      <c r="D16" s="137">
        <v>2370000</v>
      </c>
      <c r="E16" s="20" t="s">
        <v>508</v>
      </c>
      <c r="F16" s="20" t="s">
        <v>509</v>
      </c>
      <c r="G16" s="8" t="str">
        <f t="shared" si="0"/>
        <v>DELGADO DIANAH</v>
      </c>
      <c r="H16" s="20" t="str">
        <f t="shared" si="1"/>
        <v>4013</v>
      </c>
    </row>
    <row r="17" spans="1:8" x14ac:dyDescent="0.25">
      <c r="A17" s="8">
        <v>43088.175509259258</v>
      </c>
      <c r="B17" s="20" t="s">
        <v>359</v>
      </c>
      <c r="C17" s="20" t="s">
        <v>675</v>
      </c>
      <c r="D17" s="137">
        <v>3120000</v>
      </c>
      <c r="E17" s="20" t="s">
        <v>368</v>
      </c>
      <c r="F17" s="20" t="s">
        <v>505</v>
      </c>
      <c r="G17" s="8" t="str">
        <f t="shared" si="0"/>
        <v>THOMPSON LESTER</v>
      </c>
      <c r="H17" s="20" t="str">
        <f t="shared" si="1"/>
        <v>4018</v>
      </c>
    </row>
    <row r="18" spans="1:8" x14ac:dyDescent="0.25">
      <c r="A18" s="8">
        <v>43088.183506944442</v>
      </c>
      <c r="B18" s="20" t="s">
        <v>478</v>
      </c>
      <c r="C18" s="20" t="s">
        <v>709</v>
      </c>
      <c r="D18" s="137">
        <v>0</v>
      </c>
      <c r="E18" s="20" t="s">
        <v>710</v>
      </c>
      <c r="F18" s="20" t="s">
        <v>711</v>
      </c>
      <c r="G18" s="8" t="str">
        <f t="shared" si="0"/>
        <v>MAINTENANCE VEHICLE</v>
      </c>
      <c r="H18" s="20" t="str">
        <f t="shared" si="1"/>
        <v>4014</v>
      </c>
    </row>
    <row r="19" spans="1:8" x14ac:dyDescent="0.25">
      <c r="A19" s="8">
        <v>43088.18377314815</v>
      </c>
      <c r="B19" s="20" t="s">
        <v>689</v>
      </c>
      <c r="C19" s="20" t="s">
        <v>712</v>
      </c>
      <c r="D19" s="137">
        <v>3090000</v>
      </c>
      <c r="E19" s="20" t="s">
        <v>506</v>
      </c>
      <c r="F19" s="20" t="s">
        <v>507</v>
      </c>
      <c r="G19" s="8" t="str">
        <f t="shared" si="0"/>
        <v>LAMAR NEKESHA</v>
      </c>
      <c r="H19" s="20" t="str">
        <f t="shared" si="1"/>
        <v>4027</v>
      </c>
    </row>
    <row r="20" spans="1:8" x14ac:dyDescent="0.25">
      <c r="A20" s="8">
        <v>43088.190115740741</v>
      </c>
      <c r="B20" s="20" t="s">
        <v>699</v>
      </c>
      <c r="C20" s="20" t="s">
        <v>713</v>
      </c>
      <c r="D20" s="137">
        <v>1260000</v>
      </c>
      <c r="E20" s="20" t="s">
        <v>701</v>
      </c>
      <c r="F20" s="20" t="s">
        <v>702</v>
      </c>
      <c r="G20" s="8" t="str">
        <f t="shared" si="0"/>
        <v>ACKERMAN JARED</v>
      </c>
      <c r="H20" s="20" t="str">
        <f t="shared" si="1"/>
        <v>4039</v>
      </c>
    </row>
    <row r="21" spans="1:8" x14ac:dyDescent="0.25">
      <c r="A21" s="8">
        <v>43088.195335648146</v>
      </c>
      <c r="B21" s="20" t="s">
        <v>390</v>
      </c>
      <c r="C21" s="20" t="s">
        <v>714</v>
      </c>
      <c r="D21" s="137">
        <v>3090000</v>
      </c>
      <c r="E21" s="20" t="s">
        <v>506</v>
      </c>
      <c r="F21" s="20" t="s">
        <v>507</v>
      </c>
      <c r="G21" s="8" t="str">
        <f t="shared" si="0"/>
        <v>LAMAR NEKESHA</v>
      </c>
      <c r="H21" s="20" t="str">
        <f t="shared" si="1"/>
        <v>4028</v>
      </c>
    </row>
    <row r="22" spans="1:8" x14ac:dyDescent="0.25">
      <c r="A22" s="26">
        <v>43088.198391203703</v>
      </c>
      <c r="B22" s="20" t="s">
        <v>715</v>
      </c>
      <c r="C22" s="20" t="s">
        <v>716</v>
      </c>
      <c r="D22" s="137">
        <v>1230000</v>
      </c>
      <c r="E22" s="20" t="s">
        <v>596</v>
      </c>
      <c r="F22" s="20" t="s">
        <v>597</v>
      </c>
      <c r="G22" s="8" t="str">
        <f t="shared" si="0"/>
        <v>YANAI IAN</v>
      </c>
      <c r="H22" s="20" t="str">
        <f t="shared" si="1"/>
        <v>4063</v>
      </c>
    </row>
    <row r="23" spans="1:8" x14ac:dyDescent="0.25">
      <c r="A23" s="8">
        <v>43088.198483796295</v>
      </c>
      <c r="B23" s="20" t="s">
        <v>549</v>
      </c>
      <c r="C23" s="20" t="s">
        <v>717</v>
      </c>
      <c r="D23" s="137">
        <v>2600000</v>
      </c>
      <c r="E23" s="20" t="s">
        <v>593</v>
      </c>
      <c r="F23" s="20" t="s">
        <v>551</v>
      </c>
      <c r="G23" s="8" t="str">
        <f t="shared" si="0"/>
        <v>DAVIDSON DAVID</v>
      </c>
      <c r="H23" s="20" t="str">
        <f t="shared" si="1"/>
        <v>4058</v>
      </c>
    </row>
    <row r="24" spans="1:8" x14ac:dyDescent="0.25">
      <c r="A24" s="8">
        <v>43088.204375000001</v>
      </c>
      <c r="B24" s="20" t="s">
        <v>475</v>
      </c>
      <c r="C24" s="20" t="s">
        <v>718</v>
      </c>
      <c r="D24" s="137">
        <v>1830000</v>
      </c>
      <c r="E24" s="20" t="s">
        <v>345</v>
      </c>
      <c r="F24" s="20" t="s">
        <v>346</v>
      </c>
      <c r="G24" s="8" t="str">
        <f t="shared" si="0"/>
        <v>YORK EDGAR</v>
      </c>
      <c r="H24" s="20" t="str">
        <f t="shared" si="1"/>
        <v>4056</v>
      </c>
    </row>
    <row r="25" spans="1:8" x14ac:dyDescent="0.25">
      <c r="A25" s="8">
        <v>43088.211006944446</v>
      </c>
      <c r="B25" s="20" t="s">
        <v>719</v>
      </c>
      <c r="C25" s="20" t="s">
        <v>720</v>
      </c>
      <c r="D25" s="137">
        <v>2600000</v>
      </c>
      <c r="E25" s="20" t="s">
        <v>593</v>
      </c>
      <c r="F25" s="20" t="s">
        <v>551</v>
      </c>
      <c r="G25" s="8" t="str">
        <f t="shared" si="0"/>
        <v>DAVIDSON DAVID</v>
      </c>
      <c r="H25" s="20" t="str">
        <f t="shared" si="1"/>
        <v>4057</v>
      </c>
    </row>
    <row r="26" spans="1:8" x14ac:dyDescent="0.25">
      <c r="A26" s="8">
        <v>43088.213194444441</v>
      </c>
      <c r="B26" s="20" t="s">
        <v>685</v>
      </c>
      <c r="C26" s="20" t="s">
        <v>721</v>
      </c>
      <c r="D26" s="137">
        <v>1230000</v>
      </c>
      <c r="E26" s="20" t="s">
        <v>596</v>
      </c>
      <c r="F26" s="20" t="s">
        <v>597</v>
      </c>
      <c r="G26" s="8" t="str">
        <f t="shared" si="0"/>
        <v>YANAI IAN</v>
      </c>
      <c r="H26" s="20" t="str">
        <f t="shared" si="1"/>
        <v>4064</v>
      </c>
    </row>
    <row r="27" spans="1:8" x14ac:dyDescent="0.25">
      <c r="A27" s="8">
        <v>43088.214201388888</v>
      </c>
      <c r="B27" s="20" t="s">
        <v>361</v>
      </c>
      <c r="C27" s="20" t="s">
        <v>722</v>
      </c>
      <c r="D27" s="137">
        <v>3120000</v>
      </c>
      <c r="E27" s="20" t="s">
        <v>368</v>
      </c>
      <c r="F27" s="20" t="s">
        <v>505</v>
      </c>
      <c r="G27" s="8" t="str">
        <f t="shared" si="0"/>
        <v>THOMPSON LESTER</v>
      </c>
      <c r="H27" s="20" t="str">
        <f t="shared" si="1"/>
        <v>4017</v>
      </c>
    </row>
    <row r="28" spans="1:8" x14ac:dyDescent="0.25">
      <c r="A28" s="8">
        <v>43088.216527777775</v>
      </c>
      <c r="B28" s="20" t="s">
        <v>678</v>
      </c>
      <c r="C28" s="20" t="s">
        <v>723</v>
      </c>
      <c r="D28" s="137">
        <v>2560000</v>
      </c>
      <c r="E28" s="20" t="s">
        <v>594</v>
      </c>
      <c r="F28" s="20" t="s">
        <v>595</v>
      </c>
      <c r="G28" s="8" t="str">
        <f t="shared" si="0"/>
        <v>MACDONALD THOMAS</v>
      </c>
      <c r="H28" s="20" t="str">
        <f t="shared" si="1"/>
        <v>4031</v>
      </c>
    </row>
    <row r="29" spans="1:8" x14ac:dyDescent="0.25">
      <c r="A29" s="8">
        <v>43088.222291666665</v>
      </c>
      <c r="B29" s="20" t="s">
        <v>479</v>
      </c>
      <c r="C29" s="20" t="s">
        <v>676</v>
      </c>
      <c r="D29" s="137">
        <v>2370000</v>
      </c>
      <c r="E29" s="20" t="s">
        <v>508</v>
      </c>
      <c r="F29" s="20" t="s">
        <v>509</v>
      </c>
      <c r="G29" s="8" t="str">
        <f t="shared" si="0"/>
        <v>DELGADO DIANAH</v>
      </c>
      <c r="H29" s="20" t="str">
        <f t="shared" si="1"/>
        <v>4013</v>
      </c>
    </row>
    <row r="30" spans="1:8" x14ac:dyDescent="0.25">
      <c r="A30" s="8">
        <v>43088.224988425929</v>
      </c>
      <c r="B30" s="20" t="s">
        <v>704</v>
      </c>
      <c r="C30" s="20" t="s">
        <v>724</v>
      </c>
      <c r="D30" s="137">
        <v>1260000</v>
      </c>
      <c r="E30" s="20" t="s">
        <v>701</v>
      </c>
      <c r="F30" s="20" t="s">
        <v>702</v>
      </c>
      <c r="G30" s="8" t="str">
        <f t="shared" si="0"/>
        <v>ACKERMAN JARED</v>
      </c>
      <c r="H30" s="20" t="str">
        <f t="shared" si="1"/>
        <v>4040</v>
      </c>
    </row>
    <row r="31" spans="1:8" x14ac:dyDescent="0.25">
      <c r="A31" s="8">
        <v>43088.226261574076</v>
      </c>
      <c r="B31" s="20" t="s">
        <v>725</v>
      </c>
      <c r="C31" s="20" t="s">
        <v>726</v>
      </c>
      <c r="D31" s="137">
        <v>2560000</v>
      </c>
      <c r="E31" s="20" t="s">
        <v>594</v>
      </c>
      <c r="F31" s="20" t="s">
        <v>595</v>
      </c>
      <c r="G31" s="8" t="str">
        <f t="shared" si="0"/>
        <v>MACDONALD THOMAS</v>
      </c>
      <c r="H31" s="20" t="str">
        <f t="shared" si="1"/>
        <v>4032</v>
      </c>
    </row>
    <row r="32" spans="1:8" x14ac:dyDescent="0.25">
      <c r="A32" s="8">
        <v>43088.228842592594</v>
      </c>
      <c r="B32" s="20" t="s">
        <v>549</v>
      </c>
      <c r="C32" s="20" t="s">
        <v>727</v>
      </c>
      <c r="D32" s="137">
        <v>2600000</v>
      </c>
      <c r="E32" s="20" t="s">
        <v>593</v>
      </c>
      <c r="F32" s="20" t="s">
        <v>551</v>
      </c>
      <c r="G32" s="8" t="str">
        <f t="shared" si="0"/>
        <v>DAVIDSON DAVID</v>
      </c>
      <c r="H32" s="20" t="str">
        <f t="shared" si="1"/>
        <v>4058</v>
      </c>
    </row>
    <row r="33" spans="1:8" x14ac:dyDescent="0.25">
      <c r="A33" s="8">
        <v>43088.2346875</v>
      </c>
      <c r="B33" s="20" t="s">
        <v>477</v>
      </c>
      <c r="C33" s="20" t="s">
        <v>728</v>
      </c>
      <c r="D33" s="137">
        <v>3000000</v>
      </c>
      <c r="E33" s="20" t="s">
        <v>729</v>
      </c>
      <c r="F33" s="20" t="s">
        <v>730</v>
      </c>
      <c r="G33" s="8" t="str">
        <f t="shared" si="0"/>
        <v>FORTUNATO FRANK</v>
      </c>
      <c r="H33" s="20" t="str">
        <f t="shared" si="1"/>
        <v>4053</v>
      </c>
    </row>
    <row r="34" spans="1:8" x14ac:dyDescent="0.25">
      <c r="A34" s="8">
        <v>43088.235393518517</v>
      </c>
      <c r="B34" s="20" t="s">
        <v>350</v>
      </c>
      <c r="C34" s="20" t="s">
        <v>731</v>
      </c>
      <c r="D34" s="137">
        <v>1830000</v>
      </c>
      <c r="E34" s="20" t="s">
        <v>345</v>
      </c>
      <c r="F34" s="20" t="s">
        <v>346</v>
      </c>
      <c r="G34" s="8" t="str">
        <f t="shared" si="0"/>
        <v>YORK EDGAR</v>
      </c>
      <c r="H34" s="20" t="str">
        <f t="shared" si="1"/>
        <v>4055</v>
      </c>
    </row>
    <row r="35" spans="1:8" x14ac:dyDescent="0.25">
      <c r="A35" s="8">
        <v>43088.236770833333</v>
      </c>
      <c r="B35" s="20" t="s">
        <v>689</v>
      </c>
      <c r="C35" s="20" t="s">
        <v>732</v>
      </c>
      <c r="D35" s="137">
        <v>3090000</v>
      </c>
      <c r="E35" s="20" t="s">
        <v>506</v>
      </c>
      <c r="F35" s="20" t="s">
        <v>507</v>
      </c>
      <c r="G35" s="8" t="str">
        <f t="shared" si="0"/>
        <v>LAMAR NEKESHA</v>
      </c>
      <c r="H35" s="20" t="str">
        <f t="shared" si="1"/>
        <v>4027</v>
      </c>
    </row>
    <row r="36" spans="1:8" x14ac:dyDescent="0.25">
      <c r="A36" s="8">
        <v>43088.245474537034</v>
      </c>
      <c r="B36" s="20" t="s">
        <v>476</v>
      </c>
      <c r="C36" s="20" t="s">
        <v>733</v>
      </c>
      <c r="D36" s="137">
        <v>3000000</v>
      </c>
      <c r="E36" s="20" t="s">
        <v>729</v>
      </c>
      <c r="F36" s="20" t="s">
        <v>730</v>
      </c>
      <c r="G36" s="8" t="str">
        <f t="shared" si="0"/>
        <v>FORTUNATO FRANK</v>
      </c>
      <c r="H36" s="20" t="str">
        <f t="shared" si="1"/>
        <v>4054</v>
      </c>
    </row>
    <row r="37" spans="1:8" x14ac:dyDescent="0.25">
      <c r="A37" s="8">
        <v>43088.245497685188</v>
      </c>
      <c r="B37" s="20" t="s">
        <v>715</v>
      </c>
      <c r="C37" s="20" t="s">
        <v>734</v>
      </c>
      <c r="D37" s="137">
        <v>1230000</v>
      </c>
      <c r="E37" s="20" t="s">
        <v>596</v>
      </c>
      <c r="F37" s="20" t="s">
        <v>597</v>
      </c>
      <c r="G37" s="8" t="str">
        <f t="shared" si="0"/>
        <v>YANAI IAN</v>
      </c>
      <c r="H37" s="20" t="str">
        <f t="shared" si="1"/>
        <v>4063</v>
      </c>
    </row>
    <row r="38" spans="1:8" x14ac:dyDescent="0.25">
      <c r="A38" s="8">
        <v>43088.246701388889</v>
      </c>
      <c r="B38" s="20" t="s">
        <v>359</v>
      </c>
      <c r="C38" s="20" t="s">
        <v>677</v>
      </c>
      <c r="D38" s="137">
        <v>3030000</v>
      </c>
      <c r="E38" s="20" t="s">
        <v>598</v>
      </c>
      <c r="F38" s="20" t="s">
        <v>595</v>
      </c>
      <c r="G38" s="8" t="str">
        <f t="shared" si="0"/>
        <v>BIRENBAUM THOMAS</v>
      </c>
      <c r="H38" s="20" t="str">
        <f t="shared" si="1"/>
        <v>4018</v>
      </c>
    </row>
    <row r="39" spans="1:8" x14ac:dyDescent="0.25">
      <c r="A39" s="8">
        <v>43088.247881944444</v>
      </c>
      <c r="B39" s="20" t="s">
        <v>719</v>
      </c>
      <c r="C39" s="20" t="s">
        <v>735</v>
      </c>
      <c r="D39" s="137">
        <v>2600000</v>
      </c>
      <c r="E39" s="20" t="s">
        <v>593</v>
      </c>
      <c r="F39" s="20" t="s">
        <v>551</v>
      </c>
      <c r="G39" s="8" t="str">
        <f t="shared" si="0"/>
        <v>DAVIDSON DAVID</v>
      </c>
      <c r="H39" s="20" t="str">
        <f t="shared" si="1"/>
        <v>4057</v>
      </c>
    </row>
    <row r="40" spans="1:8" x14ac:dyDescent="0.25">
      <c r="A40" s="8">
        <v>43088.25472222222</v>
      </c>
      <c r="B40" s="25" t="s">
        <v>478</v>
      </c>
      <c r="C40" s="20" t="s">
        <v>736</v>
      </c>
      <c r="D40" s="137">
        <v>2370000</v>
      </c>
      <c r="E40" s="20" t="s">
        <v>508</v>
      </c>
      <c r="F40" s="20" t="s">
        <v>509</v>
      </c>
      <c r="G40" s="8" t="str">
        <f t="shared" si="0"/>
        <v>DELGADO DIANAH</v>
      </c>
      <c r="H40" s="20" t="str">
        <f t="shared" si="1"/>
        <v>4014</v>
      </c>
    </row>
    <row r="41" spans="1:8" x14ac:dyDescent="0.25">
      <c r="A41" s="8">
        <v>43088.262870370374</v>
      </c>
      <c r="B41" s="20" t="s">
        <v>699</v>
      </c>
      <c r="C41" s="20" t="s">
        <v>737</v>
      </c>
      <c r="D41" s="137">
        <v>1260000</v>
      </c>
      <c r="E41" s="20" t="s">
        <v>701</v>
      </c>
      <c r="F41" s="20" t="s">
        <v>702</v>
      </c>
      <c r="G41" s="8" t="str">
        <f t="shared" si="0"/>
        <v>ACKERMAN JARED</v>
      </c>
      <c r="H41" s="20" t="str">
        <f t="shared" si="1"/>
        <v>4039</v>
      </c>
    </row>
    <row r="42" spans="1:8" x14ac:dyDescent="0.25">
      <c r="A42" s="8">
        <v>43088.267094907409</v>
      </c>
      <c r="B42" s="20" t="s">
        <v>390</v>
      </c>
      <c r="C42" s="20" t="s">
        <v>738</v>
      </c>
      <c r="D42" s="137">
        <v>3090000</v>
      </c>
      <c r="E42" s="20" t="s">
        <v>506</v>
      </c>
      <c r="F42" s="20" t="s">
        <v>507</v>
      </c>
      <c r="G42" s="8" t="str">
        <f t="shared" si="0"/>
        <v>LAMAR NEKESHA</v>
      </c>
      <c r="H42" s="20" t="str">
        <f t="shared" si="1"/>
        <v>4028</v>
      </c>
    </row>
    <row r="43" spans="1:8" x14ac:dyDescent="0.25">
      <c r="A43" s="8">
        <v>43088.267592592594</v>
      </c>
      <c r="B43" s="20" t="s">
        <v>678</v>
      </c>
      <c r="C43" s="20" t="s">
        <v>679</v>
      </c>
      <c r="D43" s="137">
        <v>2560000</v>
      </c>
      <c r="E43" s="20" t="s">
        <v>594</v>
      </c>
      <c r="F43" s="20" t="s">
        <v>595</v>
      </c>
      <c r="G43" s="8" t="str">
        <f t="shared" si="0"/>
        <v>MACDONALD THOMAS</v>
      </c>
      <c r="H43" s="20" t="str">
        <f t="shared" si="1"/>
        <v>4031</v>
      </c>
    </row>
    <row r="44" spans="1:8" x14ac:dyDescent="0.25">
      <c r="A44" s="8">
        <v>43088.268703703703</v>
      </c>
      <c r="B44" s="20" t="s">
        <v>477</v>
      </c>
      <c r="C44" s="20" t="s">
        <v>739</v>
      </c>
      <c r="D44" s="137">
        <v>3000000</v>
      </c>
      <c r="E44" s="20" t="s">
        <v>729</v>
      </c>
      <c r="F44" s="20" t="s">
        <v>730</v>
      </c>
      <c r="G44" s="8" t="str">
        <f t="shared" si="0"/>
        <v>FORTUNATO FRANK</v>
      </c>
      <c r="H44" s="20" t="str">
        <f t="shared" si="1"/>
        <v>4053</v>
      </c>
    </row>
    <row r="45" spans="1:8" x14ac:dyDescent="0.25">
      <c r="A45" s="8">
        <v>43088.270381944443</v>
      </c>
      <c r="B45" s="20" t="s">
        <v>549</v>
      </c>
      <c r="C45" s="20" t="s">
        <v>740</v>
      </c>
      <c r="D45" s="137">
        <v>2600000</v>
      </c>
      <c r="E45" s="20" t="s">
        <v>593</v>
      </c>
      <c r="F45" s="20" t="s">
        <v>551</v>
      </c>
      <c r="G45" s="8" t="str">
        <f t="shared" si="0"/>
        <v>DAVIDSON DAVID</v>
      </c>
      <c r="H45" s="20" t="str">
        <f t="shared" si="1"/>
        <v>4058</v>
      </c>
    </row>
    <row r="46" spans="1:8" x14ac:dyDescent="0.25">
      <c r="A46" s="8">
        <v>43088.275081018517</v>
      </c>
      <c r="B46" s="20" t="s">
        <v>475</v>
      </c>
      <c r="C46" s="20" t="s">
        <v>741</v>
      </c>
      <c r="D46" s="137">
        <v>1830000</v>
      </c>
      <c r="E46" s="20" t="s">
        <v>345</v>
      </c>
      <c r="F46" s="20" t="s">
        <v>346</v>
      </c>
      <c r="G46" s="8" t="str">
        <f t="shared" si="0"/>
        <v>YORK EDGAR</v>
      </c>
      <c r="H46" s="20" t="str">
        <f t="shared" si="1"/>
        <v>4056</v>
      </c>
    </row>
    <row r="47" spans="1:8" x14ac:dyDescent="0.25">
      <c r="A47" s="8">
        <v>43088.276273148149</v>
      </c>
      <c r="B47" s="20" t="s">
        <v>361</v>
      </c>
      <c r="C47" s="20" t="s">
        <v>742</v>
      </c>
      <c r="D47" s="137">
        <v>3030000</v>
      </c>
      <c r="E47" s="20" t="s">
        <v>598</v>
      </c>
      <c r="F47" s="20" t="s">
        <v>595</v>
      </c>
      <c r="G47" s="8" t="str">
        <f t="shared" si="0"/>
        <v>BIRENBAUM THOMAS</v>
      </c>
      <c r="H47" s="20" t="str">
        <f t="shared" si="1"/>
        <v>4017</v>
      </c>
    </row>
    <row r="48" spans="1:8" x14ac:dyDescent="0.25">
      <c r="A48" s="8">
        <v>43088.28496527778</v>
      </c>
      <c r="B48" s="20" t="s">
        <v>685</v>
      </c>
      <c r="C48" s="20" t="s">
        <v>743</v>
      </c>
      <c r="D48" s="137">
        <v>1230000</v>
      </c>
      <c r="E48" s="20" t="s">
        <v>596</v>
      </c>
      <c r="F48" s="20" t="s">
        <v>597</v>
      </c>
      <c r="G48" s="8" t="str">
        <f t="shared" si="0"/>
        <v>YANAI IAN</v>
      </c>
      <c r="H48" s="20" t="str">
        <f t="shared" si="1"/>
        <v>4064</v>
      </c>
    </row>
    <row r="49" spans="1:8" x14ac:dyDescent="0.25">
      <c r="A49" s="8">
        <v>43088.286724537036</v>
      </c>
      <c r="B49" s="20" t="s">
        <v>479</v>
      </c>
      <c r="C49" s="20" t="s">
        <v>744</v>
      </c>
      <c r="D49" s="137">
        <v>2370000</v>
      </c>
      <c r="E49" s="20" t="s">
        <v>508</v>
      </c>
      <c r="F49" s="20" t="s">
        <v>509</v>
      </c>
      <c r="G49" s="8" t="str">
        <f t="shared" si="0"/>
        <v>DELGADO DIANAH</v>
      </c>
      <c r="H49" s="20" t="str">
        <f t="shared" si="1"/>
        <v>4013</v>
      </c>
    </row>
    <row r="50" spans="1:8" x14ac:dyDescent="0.25">
      <c r="A50" s="8">
        <v>43088.289560185185</v>
      </c>
      <c r="B50" s="20" t="s">
        <v>719</v>
      </c>
      <c r="C50" s="20" t="s">
        <v>745</v>
      </c>
      <c r="D50" s="137">
        <v>2600000</v>
      </c>
      <c r="E50" s="20" t="s">
        <v>593</v>
      </c>
      <c r="F50" s="20" t="s">
        <v>551</v>
      </c>
      <c r="G50" s="8" t="str">
        <f t="shared" si="0"/>
        <v>DAVIDSON DAVID</v>
      </c>
      <c r="H50" s="20" t="str">
        <f t="shared" si="1"/>
        <v>4057</v>
      </c>
    </row>
    <row r="51" spans="1:8" x14ac:dyDescent="0.25">
      <c r="A51" s="8">
        <v>43088.290868055556</v>
      </c>
      <c r="B51" s="20" t="s">
        <v>476</v>
      </c>
      <c r="C51" s="20" t="s">
        <v>746</v>
      </c>
      <c r="D51" s="137">
        <v>3000000</v>
      </c>
      <c r="E51" s="20" t="s">
        <v>729</v>
      </c>
      <c r="F51" s="20" t="s">
        <v>730</v>
      </c>
      <c r="G51" s="8" t="str">
        <f t="shared" si="0"/>
        <v>FORTUNATO FRANK</v>
      </c>
      <c r="H51" s="20" t="str">
        <f t="shared" si="1"/>
        <v>4054</v>
      </c>
    </row>
    <row r="52" spans="1:8" x14ac:dyDescent="0.25">
      <c r="A52" s="8">
        <v>43088.298807870371</v>
      </c>
      <c r="B52" s="20" t="s">
        <v>704</v>
      </c>
      <c r="C52" s="20" t="s">
        <v>747</v>
      </c>
      <c r="D52" s="137">
        <v>1260000</v>
      </c>
      <c r="E52" s="20" t="s">
        <v>701</v>
      </c>
      <c r="F52" s="20" t="s">
        <v>702</v>
      </c>
      <c r="G52" s="8" t="str">
        <f t="shared" si="0"/>
        <v>ACKERMAN JARED</v>
      </c>
      <c r="H52" s="20" t="str">
        <f t="shared" si="1"/>
        <v>4040</v>
      </c>
    </row>
    <row r="53" spans="1:8" x14ac:dyDescent="0.25">
      <c r="A53" s="8">
        <v>43088.306932870371</v>
      </c>
      <c r="B53" s="20" t="s">
        <v>350</v>
      </c>
      <c r="C53" s="20" t="s">
        <v>748</v>
      </c>
      <c r="D53" s="137">
        <v>1830000</v>
      </c>
      <c r="E53" s="20" t="s">
        <v>345</v>
      </c>
      <c r="F53" s="20" t="s">
        <v>346</v>
      </c>
      <c r="G53" s="8" t="str">
        <f t="shared" si="0"/>
        <v>YORK EDGAR</v>
      </c>
      <c r="H53" s="20" t="str">
        <f t="shared" si="1"/>
        <v>4055</v>
      </c>
    </row>
    <row r="54" spans="1:8" x14ac:dyDescent="0.25">
      <c r="A54" s="8">
        <v>43088.309178240743</v>
      </c>
      <c r="B54" s="20" t="s">
        <v>725</v>
      </c>
      <c r="C54" s="20" t="s">
        <v>749</v>
      </c>
      <c r="D54" s="137">
        <v>2560000</v>
      </c>
      <c r="E54" s="20" t="s">
        <v>594</v>
      </c>
      <c r="F54" s="20" t="s">
        <v>595</v>
      </c>
      <c r="G54" s="8" t="str">
        <f t="shared" si="0"/>
        <v>MACDONALD THOMAS</v>
      </c>
      <c r="H54" s="20" t="str">
        <f t="shared" si="1"/>
        <v>4032</v>
      </c>
    </row>
    <row r="55" spans="1:8" x14ac:dyDescent="0.25">
      <c r="A55" s="8">
        <v>43088.309340277781</v>
      </c>
      <c r="B55" s="20" t="s">
        <v>689</v>
      </c>
      <c r="C55" s="20" t="s">
        <v>750</v>
      </c>
      <c r="D55" s="137">
        <v>3090000</v>
      </c>
      <c r="E55" s="20" t="s">
        <v>506</v>
      </c>
      <c r="F55" s="20" t="s">
        <v>507</v>
      </c>
      <c r="G55" s="8" t="str">
        <f t="shared" si="0"/>
        <v>LAMAR NEKESHA</v>
      </c>
      <c r="H55" s="20" t="str">
        <f t="shared" si="1"/>
        <v>4027</v>
      </c>
    </row>
    <row r="56" spans="1:8" x14ac:dyDescent="0.25">
      <c r="A56" s="8">
        <v>43088.310798611114</v>
      </c>
      <c r="B56" s="20" t="s">
        <v>477</v>
      </c>
      <c r="C56" s="20" t="s">
        <v>680</v>
      </c>
      <c r="D56" s="137">
        <v>3000000</v>
      </c>
      <c r="E56" s="20" t="s">
        <v>729</v>
      </c>
      <c r="F56" s="20" t="s">
        <v>730</v>
      </c>
      <c r="G56" s="8" t="str">
        <f t="shared" si="0"/>
        <v>FORTUNATO FRANK</v>
      </c>
      <c r="H56" s="20" t="str">
        <f t="shared" si="1"/>
        <v>4053</v>
      </c>
    </row>
    <row r="57" spans="1:8" x14ac:dyDescent="0.25">
      <c r="A57" s="8">
        <v>43088.312245370369</v>
      </c>
      <c r="B57" s="20" t="s">
        <v>549</v>
      </c>
      <c r="C57" s="20" t="s">
        <v>751</v>
      </c>
      <c r="D57" s="137">
        <v>2600000</v>
      </c>
      <c r="E57" s="20" t="s">
        <v>593</v>
      </c>
      <c r="F57" s="20" t="s">
        <v>551</v>
      </c>
      <c r="G57" s="8" t="str">
        <f t="shared" si="0"/>
        <v>DAVIDSON DAVID</v>
      </c>
      <c r="H57" s="20" t="str">
        <f t="shared" si="1"/>
        <v>4058</v>
      </c>
    </row>
    <row r="58" spans="1:8" x14ac:dyDescent="0.25">
      <c r="A58" s="8">
        <v>43088.316805555558</v>
      </c>
      <c r="B58" s="20" t="s">
        <v>715</v>
      </c>
      <c r="C58" s="20" t="s">
        <v>752</v>
      </c>
      <c r="D58" s="137">
        <v>1230000</v>
      </c>
      <c r="E58" s="20" t="s">
        <v>596</v>
      </c>
      <c r="F58" s="20" t="s">
        <v>597</v>
      </c>
      <c r="G58" s="8" t="str">
        <f t="shared" si="0"/>
        <v>YANAI IAN</v>
      </c>
      <c r="H58" s="20" t="str">
        <f t="shared" si="1"/>
        <v>4063</v>
      </c>
    </row>
    <row r="59" spans="1:8" x14ac:dyDescent="0.25">
      <c r="A59" s="8">
        <v>43088.321504629632</v>
      </c>
      <c r="B59" s="20" t="s">
        <v>359</v>
      </c>
      <c r="C59" s="20" t="s">
        <v>753</v>
      </c>
      <c r="D59" s="137">
        <v>3120000</v>
      </c>
      <c r="E59" s="20" t="s">
        <v>368</v>
      </c>
      <c r="F59" s="20" t="s">
        <v>505</v>
      </c>
      <c r="G59" s="8" t="str">
        <f t="shared" si="0"/>
        <v>THOMPSON LESTER</v>
      </c>
      <c r="H59" s="20" t="str">
        <f t="shared" si="1"/>
        <v>4018</v>
      </c>
    </row>
    <row r="60" spans="1:8" x14ac:dyDescent="0.25">
      <c r="A60" s="8">
        <v>43088.33084490741</v>
      </c>
      <c r="B60" s="20" t="s">
        <v>478</v>
      </c>
      <c r="C60" s="20" t="s">
        <v>754</v>
      </c>
      <c r="D60" s="137">
        <v>2370000</v>
      </c>
      <c r="E60" s="20" t="s">
        <v>508</v>
      </c>
      <c r="F60" s="20" t="s">
        <v>509</v>
      </c>
      <c r="G60" s="8" t="str">
        <f t="shared" si="0"/>
        <v>DELGADO DIANAH</v>
      </c>
      <c r="H60" s="20" t="str">
        <f t="shared" si="1"/>
        <v>4014</v>
      </c>
    </row>
    <row r="61" spans="1:8" x14ac:dyDescent="0.25">
      <c r="A61" s="8">
        <v>43088.330960648149</v>
      </c>
      <c r="B61" s="20" t="s">
        <v>719</v>
      </c>
      <c r="C61" s="20" t="s">
        <v>755</v>
      </c>
      <c r="D61" s="137">
        <v>2600000</v>
      </c>
      <c r="E61" s="20" t="s">
        <v>593</v>
      </c>
      <c r="F61" s="20" t="s">
        <v>551</v>
      </c>
      <c r="G61" s="8" t="str">
        <f t="shared" si="0"/>
        <v>DAVIDSON DAVID</v>
      </c>
      <c r="H61" s="20" t="str">
        <f t="shared" si="1"/>
        <v>4057</v>
      </c>
    </row>
    <row r="62" spans="1:8" x14ac:dyDescent="0.25">
      <c r="A62" s="8">
        <v>43088.332002314812</v>
      </c>
      <c r="B62" s="20" t="s">
        <v>476</v>
      </c>
      <c r="C62" s="20" t="s">
        <v>756</v>
      </c>
      <c r="D62" s="137">
        <v>3000000</v>
      </c>
      <c r="E62" s="20" t="s">
        <v>729</v>
      </c>
      <c r="F62" s="20" t="s">
        <v>730</v>
      </c>
      <c r="G62" s="8" t="str">
        <f t="shared" si="0"/>
        <v>FORTUNATO FRANK</v>
      </c>
      <c r="H62" s="20" t="str">
        <f t="shared" si="1"/>
        <v>4054</v>
      </c>
    </row>
    <row r="63" spans="1:8" x14ac:dyDescent="0.25">
      <c r="A63" s="8">
        <v>43088.333912037036</v>
      </c>
      <c r="B63" s="20" t="s">
        <v>699</v>
      </c>
      <c r="C63" s="20" t="s">
        <v>757</v>
      </c>
      <c r="D63" s="137">
        <v>1260000</v>
      </c>
      <c r="E63" s="20" t="s">
        <v>701</v>
      </c>
      <c r="F63" s="20" t="s">
        <v>702</v>
      </c>
      <c r="G63" s="8" t="str">
        <f t="shared" si="0"/>
        <v>ACKERMAN JARED</v>
      </c>
      <c r="H63" s="20" t="str">
        <f t="shared" si="1"/>
        <v>4039</v>
      </c>
    </row>
    <row r="64" spans="1:8" x14ac:dyDescent="0.25">
      <c r="A64" s="26">
        <v>43088.342164351852</v>
      </c>
      <c r="B64" s="20" t="s">
        <v>390</v>
      </c>
      <c r="C64" s="20" t="s">
        <v>758</v>
      </c>
      <c r="D64" s="137">
        <v>3090000</v>
      </c>
      <c r="E64" s="20" t="s">
        <v>506</v>
      </c>
      <c r="F64" s="20" t="s">
        <v>507</v>
      </c>
      <c r="G64" s="8" t="str">
        <f t="shared" si="0"/>
        <v>LAMAR NEKESHA</v>
      </c>
      <c r="H64" s="20" t="str">
        <f t="shared" si="1"/>
        <v>4028</v>
      </c>
    </row>
    <row r="65" spans="1:8" x14ac:dyDescent="0.25">
      <c r="A65" s="8">
        <v>43088.34275462963</v>
      </c>
      <c r="B65" s="20" t="s">
        <v>678</v>
      </c>
      <c r="C65" s="20" t="s">
        <v>759</v>
      </c>
      <c r="D65" s="137">
        <v>2560000</v>
      </c>
      <c r="E65" s="20" t="s">
        <v>594</v>
      </c>
      <c r="F65" s="20" t="s">
        <v>595</v>
      </c>
      <c r="G65" s="8" t="str">
        <f t="shared" si="0"/>
        <v>MACDONALD THOMAS</v>
      </c>
      <c r="H65" s="20" t="str">
        <f t="shared" si="1"/>
        <v>4031</v>
      </c>
    </row>
    <row r="66" spans="1:8" x14ac:dyDescent="0.25">
      <c r="A66" s="8">
        <v>43088.351446759261</v>
      </c>
      <c r="B66" s="20" t="s">
        <v>477</v>
      </c>
      <c r="C66" s="20" t="s">
        <v>760</v>
      </c>
      <c r="D66" s="137">
        <v>3000000</v>
      </c>
      <c r="E66" s="20" t="s">
        <v>729</v>
      </c>
      <c r="F66" s="20" t="s">
        <v>730</v>
      </c>
      <c r="G66" s="8" t="str">
        <f t="shared" si="0"/>
        <v>FORTUNATO FRANK</v>
      </c>
      <c r="H66" s="20" t="str">
        <f t="shared" si="1"/>
        <v>4053</v>
      </c>
    </row>
    <row r="67" spans="1:8" x14ac:dyDescent="0.25">
      <c r="A67" s="8">
        <v>43088.352268518516</v>
      </c>
      <c r="B67" s="20" t="s">
        <v>475</v>
      </c>
      <c r="C67" s="20" t="s">
        <v>681</v>
      </c>
      <c r="D67" s="137">
        <v>1830000</v>
      </c>
      <c r="E67" s="20" t="s">
        <v>345</v>
      </c>
      <c r="F67" s="20" t="s">
        <v>346</v>
      </c>
      <c r="G67" s="8" t="str">
        <f t="shared" ref="G67:G130" si="2">E67&amp;" "&amp;F67</f>
        <v>YORK EDGAR</v>
      </c>
      <c r="H67" s="20" t="str">
        <f t="shared" ref="H67:H130" si="3">MID(B67,13,4)</f>
        <v>4056</v>
      </c>
    </row>
    <row r="68" spans="1:8" x14ac:dyDescent="0.25">
      <c r="A68" s="8">
        <v>43088.358518518522</v>
      </c>
      <c r="B68" s="20" t="s">
        <v>685</v>
      </c>
      <c r="C68" s="20" t="s">
        <v>761</v>
      </c>
      <c r="D68" s="137">
        <v>1230000</v>
      </c>
      <c r="E68" s="20" t="s">
        <v>596</v>
      </c>
      <c r="F68" s="20" t="s">
        <v>597</v>
      </c>
      <c r="G68" s="8" t="str">
        <f t="shared" si="2"/>
        <v>YANAI IAN</v>
      </c>
      <c r="H68" s="20" t="str">
        <f t="shared" si="3"/>
        <v>4064</v>
      </c>
    </row>
    <row r="69" spans="1:8" x14ac:dyDescent="0.25">
      <c r="A69" s="8">
        <v>43088.358946759261</v>
      </c>
      <c r="B69" s="20" t="s">
        <v>479</v>
      </c>
      <c r="C69" s="20" t="s">
        <v>762</v>
      </c>
      <c r="D69" s="137">
        <v>2370000</v>
      </c>
      <c r="E69" s="20" t="s">
        <v>508</v>
      </c>
      <c r="F69" s="20" t="s">
        <v>509</v>
      </c>
      <c r="G69" s="8" t="str">
        <f t="shared" si="2"/>
        <v>DELGADO DIANAH</v>
      </c>
      <c r="H69" s="20" t="str">
        <f t="shared" si="3"/>
        <v>4013</v>
      </c>
    </row>
    <row r="70" spans="1:8" x14ac:dyDescent="0.25">
      <c r="A70" s="8">
        <v>43088.361238425925</v>
      </c>
      <c r="B70" s="20" t="s">
        <v>361</v>
      </c>
      <c r="C70" s="20" t="s">
        <v>763</v>
      </c>
      <c r="D70" s="137">
        <v>3120000</v>
      </c>
      <c r="E70" s="20" t="s">
        <v>368</v>
      </c>
      <c r="F70" s="20" t="s">
        <v>505</v>
      </c>
      <c r="G70" s="8" t="str">
        <f t="shared" si="2"/>
        <v>THOMPSON LESTER</v>
      </c>
      <c r="H70" s="20" t="str">
        <f t="shared" si="3"/>
        <v>4017</v>
      </c>
    </row>
    <row r="71" spans="1:8" x14ac:dyDescent="0.25">
      <c r="A71" s="8">
        <v>43088.370937500003</v>
      </c>
      <c r="B71" s="20" t="s">
        <v>704</v>
      </c>
      <c r="C71" s="20" t="s">
        <v>764</v>
      </c>
      <c r="D71" s="137">
        <v>1260000</v>
      </c>
      <c r="E71" s="20" t="s">
        <v>701</v>
      </c>
      <c r="F71" s="20" t="s">
        <v>702</v>
      </c>
      <c r="G71" s="8" t="str">
        <f t="shared" si="2"/>
        <v>ACKERMAN JARED</v>
      </c>
      <c r="H71" s="20" t="str">
        <f t="shared" si="3"/>
        <v>4040</v>
      </c>
    </row>
    <row r="72" spans="1:8" x14ac:dyDescent="0.25">
      <c r="A72" s="8">
        <v>43088.376585648148</v>
      </c>
      <c r="B72" s="20" t="s">
        <v>476</v>
      </c>
      <c r="C72" s="20" t="s">
        <v>765</v>
      </c>
      <c r="D72" s="137">
        <v>2600000</v>
      </c>
      <c r="E72" s="20" t="s">
        <v>593</v>
      </c>
      <c r="F72" s="20" t="s">
        <v>551</v>
      </c>
      <c r="G72" s="8" t="str">
        <f t="shared" si="2"/>
        <v>DAVIDSON DAVID</v>
      </c>
      <c r="H72" s="20" t="str">
        <f t="shared" si="3"/>
        <v>4054</v>
      </c>
    </row>
    <row r="73" spans="1:8" x14ac:dyDescent="0.25">
      <c r="A73" s="8">
        <v>43088.376967592594</v>
      </c>
      <c r="B73" s="20" t="s">
        <v>549</v>
      </c>
      <c r="C73" s="20" t="s">
        <v>766</v>
      </c>
      <c r="D73" s="137">
        <v>3000000</v>
      </c>
      <c r="E73" s="20" t="s">
        <v>729</v>
      </c>
      <c r="F73" s="20" t="s">
        <v>730</v>
      </c>
      <c r="G73" s="8" t="str">
        <f t="shared" si="2"/>
        <v>FORTUNATO FRANK</v>
      </c>
      <c r="H73" s="20" t="str">
        <f t="shared" si="3"/>
        <v>4058</v>
      </c>
    </row>
    <row r="74" spans="1:8" x14ac:dyDescent="0.25">
      <c r="A74" s="8">
        <v>43088.378912037035</v>
      </c>
      <c r="B74" s="20" t="s">
        <v>476</v>
      </c>
      <c r="C74" s="20" t="s">
        <v>765</v>
      </c>
      <c r="D74" s="137">
        <v>2600000</v>
      </c>
      <c r="E74" s="20" t="s">
        <v>593</v>
      </c>
      <c r="F74" s="20" t="s">
        <v>551</v>
      </c>
      <c r="G74" s="8" t="str">
        <f t="shared" si="2"/>
        <v>DAVIDSON DAVID</v>
      </c>
      <c r="H74" s="20" t="str">
        <f t="shared" si="3"/>
        <v>4054</v>
      </c>
    </row>
    <row r="75" spans="1:8" x14ac:dyDescent="0.25">
      <c r="A75" s="8">
        <v>43088.379976851851</v>
      </c>
      <c r="B75" s="20" t="s">
        <v>350</v>
      </c>
      <c r="C75" s="20" t="s">
        <v>767</v>
      </c>
      <c r="D75" s="137">
        <v>1830000</v>
      </c>
      <c r="E75" s="20" t="s">
        <v>345</v>
      </c>
      <c r="F75" s="20" t="s">
        <v>346</v>
      </c>
      <c r="G75" s="8" t="str">
        <f t="shared" si="2"/>
        <v>YORK EDGAR</v>
      </c>
      <c r="H75" s="20" t="str">
        <f t="shared" si="3"/>
        <v>4055</v>
      </c>
    </row>
    <row r="76" spans="1:8" x14ac:dyDescent="0.25">
      <c r="A76" s="8">
        <v>43088.382152777776</v>
      </c>
      <c r="B76" s="20" t="s">
        <v>689</v>
      </c>
      <c r="C76" s="20" t="s">
        <v>768</v>
      </c>
      <c r="D76" s="137">
        <v>3090000</v>
      </c>
      <c r="E76" s="20" t="s">
        <v>506</v>
      </c>
      <c r="F76" s="20" t="s">
        <v>507</v>
      </c>
      <c r="G76" s="8" t="str">
        <f t="shared" si="2"/>
        <v>LAMAR NEKESHA</v>
      </c>
      <c r="H76" s="20" t="str">
        <f t="shared" si="3"/>
        <v>4027</v>
      </c>
    </row>
    <row r="77" spans="1:8" x14ac:dyDescent="0.25">
      <c r="A77" s="8">
        <v>43088.382303240738</v>
      </c>
      <c r="B77" s="20" t="s">
        <v>725</v>
      </c>
      <c r="C77" s="20" t="s">
        <v>769</v>
      </c>
      <c r="D77" s="137">
        <v>2560000</v>
      </c>
      <c r="E77" s="20" t="s">
        <v>594</v>
      </c>
      <c r="F77" s="20" t="s">
        <v>595</v>
      </c>
      <c r="G77" s="8" t="str">
        <f t="shared" si="2"/>
        <v>MACDONALD THOMAS</v>
      </c>
      <c r="H77" s="20" t="str">
        <f t="shared" si="3"/>
        <v>4032</v>
      </c>
    </row>
    <row r="78" spans="1:8" x14ac:dyDescent="0.25">
      <c r="A78" s="8">
        <v>43088.390740740739</v>
      </c>
      <c r="B78" s="20" t="s">
        <v>715</v>
      </c>
      <c r="C78" s="20" t="s">
        <v>770</v>
      </c>
      <c r="D78" s="137">
        <v>1230000</v>
      </c>
      <c r="E78" s="20" t="s">
        <v>596</v>
      </c>
      <c r="F78" s="20" t="s">
        <v>597</v>
      </c>
      <c r="G78" s="8" t="str">
        <f t="shared" si="2"/>
        <v>YANAI IAN</v>
      </c>
      <c r="H78" s="20" t="str">
        <f t="shared" si="3"/>
        <v>4063</v>
      </c>
    </row>
    <row r="79" spans="1:8" x14ac:dyDescent="0.25">
      <c r="A79" s="8">
        <v>43088.394143518519</v>
      </c>
      <c r="B79" s="20" t="s">
        <v>719</v>
      </c>
      <c r="C79" s="20" t="s">
        <v>771</v>
      </c>
      <c r="D79" s="137">
        <v>3000000</v>
      </c>
      <c r="E79" s="20" t="s">
        <v>729</v>
      </c>
      <c r="F79" s="20" t="s">
        <v>730</v>
      </c>
      <c r="G79" s="8" t="str">
        <f t="shared" si="2"/>
        <v>FORTUNATO FRANK</v>
      </c>
      <c r="H79" s="20" t="str">
        <f t="shared" si="3"/>
        <v>4057</v>
      </c>
    </row>
    <row r="80" spans="1:8" x14ac:dyDescent="0.25">
      <c r="A80" s="8">
        <v>43088.394675925927</v>
      </c>
      <c r="B80" s="20" t="s">
        <v>359</v>
      </c>
      <c r="C80" s="20" t="s">
        <v>682</v>
      </c>
      <c r="D80" s="137">
        <v>3120000</v>
      </c>
      <c r="E80" s="20" t="s">
        <v>368</v>
      </c>
      <c r="F80" s="20" t="s">
        <v>505</v>
      </c>
      <c r="G80" s="8" t="str">
        <f t="shared" si="2"/>
        <v>THOMPSON LESTER</v>
      </c>
      <c r="H80" s="20" t="str">
        <f t="shared" si="3"/>
        <v>4018</v>
      </c>
    </row>
    <row r="81" spans="1:8" x14ac:dyDescent="0.25">
      <c r="A81" s="8">
        <v>43088.401284722226</v>
      </c>
      <c r="B81" s="20" t="s">
        <v>478</v>
      </c>
      <c r="C81" s="20" t="s">
        <v>772</v>
      </c>
      <c r="D81" s="137">
        <v>2370000</v>
      </c>
      <c r="E81" s="20" t="s">
        <v>508</v>
      </c>
      <c r="F81" s="20" t="s">
        <v>509</v>
      </c>
      <c r="G81" s="8" t="str">
        <f t="shared" si="2"/>
        <v>DELGADO DIANAH</v>
      </c>
      <c r="H81" s="20" t="str">
        <f t="shared" si="3"/>
        <v>4014</v>
      </c>
    </row>
    <row r="82" spans="1:8" x14ac:dyDescent="0.25">
      <c r="A82" s="8">
        <v>43088.407037037039</v>
      </c>
      <c r="B82" s="20" t="s">
        <v>699</v>
      </c>
      <c r="C82" s="20" t="s">
        <v>773</v>
      </c>
      <c r="D82" s="137">
        <v>1260000</v>
      </c>
      <c r="E82" s="20" t="s">
        <v>701</v>
      </c>
      <c r="F82" s="20" t="s">
        <v>702</v>
      </c>
      <c r="G82" s="8" t="str">
        <f t="shared" si="2"/>
        <v>ACKERMAN JARED</v>
      </c>
      <c r="H82" s="20" t="str">
        <f t="shared" si="3"/>
        <v>4039</v>
      </c>
    </row>
    <row r="83" spans="1:8" x14ac:dyDescent="0.25">
      <c r="A83" s="8">
        <v>43088.415393518517</v>
      </c>
      <c r="B83" s="20" t="s">
        <v>390</v>
      </c>
      <c r="C83" s="20" t="s">
        <v>774</v>
      </c>
      <c r="D83" s="137">
        <v>3090000</v>
      </c>
      <c r="E83" s="20" t="s">
        <v>506</v>
      </c>
      <c r="F83" s="20" t="s">
        <v>507</v>
      </c>
      <c r="G83" s="8" t="str">
        <f t="shared" si="2"/>
        <v>LAMAR NEKESHA</v>
      </c>
      <c r="H83" s="20" t="str">
        <f t="shared" si="3"/>
        <v>4028</v>
      </c>
    </row>
    <row r="84" spans="1:8" x14ac:dyDescent="0.25">
      <c r="A84" s="8">
        <v>43088.420532407406</v>
      </c>
      <c r="B84" s="20" t="s">
        <v>390</v>
      </c>
      <c r="C84" s="20" t="s">
        <v>774</v>
      </c>
      <c r="D84" s="137">
        <v>3090000</v>
      </c>
      <c r="E84" s="20" t="s">
        <v>506</v>
      </c>
      <c r="F84" s="20" t="s">
        <v>507</v>
      </c>
      <c r="G84" s="8" t="str">
        <f t="shared" si="2"/>
        <v>LAMAR NEKESHA</v>
      </c>
      <c r="H84" s="20" t="str">
        <f t="shared" si="3"/>
        <v>4028</v>
      </c>
    </row>
    <row r="85" spans="1:8" x14ac:dyDescent="0.25">
      <c r="A85" s="8">
        <v>43088.421979166669</v>
      </c>
      <c r="B85" s="20" t="s">
        <v>475</v>
      </c>
      <c r="C85" s="20" t="s">
        <v>775</v>
      </c>
      <c r="D85" s="137">
        <v>2600000</v>
      </c>
      <c r="E85" s="20" t="s">
        <v>593</v>
      </c>
      <c r="F85" s="20" t="s">
        <v>551</v>
      </c>
      <c r="G85" s="8" t="str">
        <f t="shared" si="2"/>
        <v>DAVIDSON DAVID</v>
      </c>
      <c r="H85" s="20" t="str">
        <f t="shared" si="3"/>
        <v>4056</v>
      </c>
    </row>
    <row r="86" spans="1:8" x14ac:dyDescent="0.25">
      <c r="A86" s="8">
        <v>43088.422303240739</v>
      </c>
      <c r="B86" s="20" t="s">
        <v>549</v>
      </c>
      <c r="C86" s="20" t="s">
        <v>776</v>
      </c>
      <c r="D86" s="137">
        <v>3000000</v>
      </c>
      <c r="E86" s="20" t="s">
        <v>729</v>
      </c>
      <c r="F86" s="20" t="s">
        <v>730</v>
      </c>
      <c r="G86" s="8" t="str">
        <f t="shared" si="2"/>
        <v>FORTUNATO FRANK</v>
      </c>
      <c r="H86" s="20" t="str">
        <f t="shared" si="3"/>
        <v>4058</v>
      </c>
    </row>
    <row r="87" spans="1:8" x14ac:dyDescent="0.25">
      <c r="A87" s="8">
        <v>43088.423854166664</v>
      </c>
      <c r="B87" s="20" t="s">
        <v>678</v>
      </c>
      <c r="C87" s="20" t="s">
        <v>777</v>
      </c>
      <c r="D87" s="137">
        <v>2560000</v>
      </c>
      <c r="E87" s="20" t="s">
        <v>594</v>
      </c>
      <c r="F87" s="20" t="s">
        <v>595</v>
      </c>
      <c r="G87" s="8" t="str">
        <f t="shared" si="2"/>
        <v>MACDONALD THOMAS</v>
      </c>
      <c r="H87" s="20" t="str">
        <f t="shared" si="3"/>
        <v>4031</v>
      </c>
    </row>
    <row r="88" spans="1:8" x14ac:dyDescent="0.25">
      <c r="A88" s="8">
        <v>43088.431435185186</v>
      </c>
      <c r="B88" s="20" t="s">
        <v>685</v>
      </c>
      <c r="C88" s="20" t="s">
        <v>778</v>
      </c>
      <c r="D88" s="137">
        <v>1230000</v>
      </c>
      <c r="E88" s="20" t="s">
        <v>596</v>
      </c>
      <c r="F88" s="20" t="s">
        <v>597</v>
      </c>
      <c r="G88" s="8" t="str">
        <f t="shared" si="2"/>
        <v>YANAI IAN</v>
      </c>
      <c r="H88" s="20" t="str">
        <f t="shared" si="3"/>
        <v>4064</v>
      </c>
    </row>
    <row r="89" spans="1:8" x14ac:dyDescent="0.25">
      <c r="A89" s="8">
        <v>43088.433391203704</v>
      </c>
      <c r="B89" s="20" t="s">
        <v>479</v>
      </c>
      <c r="C89" s="20" t="s">
        <v>779</v>
      </c>
      <c r="D89" s="137">
        <v>2370000</v>
      </c>
      <c r="E89" s="20" t="s">
        <v>508</v>
      </c>
      <c r="F89" s="20" t="s">
        <v>509</v>
      </c>
      <c r="G89" s="8" t="str">
        <f t="shared" si="2"/>
        <v>DELGADO DIANAH</v>
      </c>
      <c r="H89" s="20" t="str">
        <f t="shared" si="3"/>
        <v>4013</v>
      </c>
    </row>
    <row r="90" spans="1:8" x14ac:dyDescent="0.25">
      <c r="A90" s="8">
        <v>43088.434687499997</v>
      </c>
      <c r="B90" s="20" t="s">
        <v>361</v>
      </c>
      <c r="C90" s="20" t="s">
        <v>780</v>
      </c>
      <c r="D90" s="137">
        <v>3120000</v>
      </c>
      <c r="E90" s="20" t="s">
        <v>368</v>
      </c>
      <c r="F90" s="20" t="s">
        <v>505</v>
      </c>
      <c r="G90" s="8" t="str">
        <f t="shared" si="2"/>
        <v>THOMPSON LESTER</v>
      </c>
      <c r="H90" s="20" t="str">
        <f t="shared" si="3"/>
        <v>4017</v>
      </c>
    </row>
    <row r="91" spans="1:8" x14ac:dyDescent="0.25">
      <c r="A91" s="8">
        <v>43088.434942129628</v>
      </c>
      <c r="B91" s="20" t="s">
        <v>719</v>
      </c>
      <c r="C91" s="20" t="s">
        <v>781</v>
      </c>
      <c r="D91" s="137">
        <v>3000000</v>
      </c>
      <c r="E91" s="20" t="s">
        <v>729</v>
      </c>
      <c r="F91" s="20" t="s">
        <v>730</v>
      </c>
      <c r="G91" s="8" t="str">
        <f t="shared" si="2"/>
        <v>FORTUNATO FRANK</v>
      </c>
      <c r="H91" s="20" t="str">
        <f t="shared" si="3"/>
        <v>4057</v>
      </c>
    </row>
    <row r="92" spans="1:8" x14ac:dyDescent="0.25">
      <c r="A92" s="8">
        <v>43088.443877314814</v>
      </c>
      <c r="B92" s="20" t="s">
        <v>689</v>
      </c>
      <c r="C92" s="20" t="s">
        <v>782</v>
      </c>
      <c r="D92" s="137">
        <v>3090000</v>
      </c>
      <c r="E92" s="20" t="s">
        <v>506</v>
      </c>
      <c r="F92" s="20" t="s">
        <v>507</v>
      </c>
      <c r="G92" s="8" t="str">
        <f t="shared" si="2"/>
        <v>LAMAR NEKESHA</v>
      </c>
      <c r="H92" s="20" t="str">
        <f t="shared" si="3"/>
        <v>4027</v>
      </c>
    </row>
    <row r="93" spans="1:8" x14ac:dyDescent="0.25">
      <c r="A93" s="8">
        <v>43088.446296296293</v>
      </c>
      <c r="B93" s="20" t="s">
        <v>704</v>
      </c>
      <c r="C93" s="20" t="s">
        <v>783</v>
      </c>
      <c r="D93" s="137">
        <v>920000</v>
      </c>
      <c r="E93" s="20" t="s">
        <v>520</v>
      </c>
      <c r="F93" s="20" t="s">
        <v>351</v>
      </c>
      <c r="G93" s="8" t="str">
        <f t="shared" si="2"/>
        <v>DAVIS MICHAEL</v>
      </c>
      <c r="H93" s="20" t="str">
        <f t="shared" si="3"/>
        <v>4040</v>
      </c>
    </row>
    <row r="94" spans="1:8" x14ac:dyDescent="0.25">
      <c r="A94" s="8">
        <v>43088.455289351848</v>
      </c>
      <c r="B94" s="20" t="s">
        <v>350</v>
      </c>
      <c r="C94" s="20" t="s">
        <v>784</v>
      </c>
      <c r="D94" s="137">
        <v>2600000</v>
      </c>
      <c r="E94" s="20" t="s">
        <v>593</v>
      </c>
      <c r="F94" s="20" t="s">
        <v>551</v>
      </c>
      <c r="G94" s="8" t="str">
        <f t="shared" si="2"/>
        <v>DAVIDSON DAVID</v>
      </c>
      <c r="H94" s="20" t="str">
        <f t="shared" si="3"/>
        <v>4055</v>
      </c>
    </row>
    <row r="95" spans="1:8" x14ac:dyDescent="0.25">
      <c r="A95" s="8">
        <v>43088.456238425926</v>
      </c>
      <c r="B95" s="20" t="s">
        <v>725</v>
      </c>
      <c r="C95" s="20" t="s">
        <v>785</v>
      </c>
      <c r="D95" s="137">
        <v>2560000</v>
      </c>
      <c r="E95" s="20" t="s">
        <v>594</v>
      </c>
      <c r="F95" s="20" t="s">
        <v>595</v>
      </c>
      <c r="G95" s="8" t="str">
        <f t="shared" si="2"/>
        <v>MACDONALD THOMAS</v>
      </c>
      <c r="H95" s="20" t="str">
        <f t="shared" si="3"/>
        <v>4032</v>
      </c>
    </row>
    <row r="96" spans="1:8" x14ac:dyDescent="0.25">
      <c r="A96" s="8">
        <v>43088.457557870373</v>
      </c>
      <c r="B96" s="20" t="s">
        <v>549</v>
      </c>
      <c r="C96" s="20" t="s">
        <v>683</v>
      </c>
      <c r="D96" s="137">
        <v>3000000</v>
      </c>
      <c r="E96" s="20" t="s">
        <v>729</v>
      </c>
      <c r="F96" s="20" t="s">
        <v>730</v>
      </c>
      <c r="G96" s="8" t="str">
        <f t="shared" si="2"/>
        <v>FORTUNATO FRANK</v>
      </c>
      <c r="H96" s="20" t="str">
        <f t="shared" si="3"/>
        <v>4058</v>
      </c>
    </row>
    <row r="97" spans="1:8" x14ac:dyDescent="0.25">
      <c r="A97" s="8">
        <v>43088.463113425925</v>
      </c>
      <c r="B97" s="20" t="s">
        <v>715</v>
      </c>
      <c r="C97" s="20" t="s">
        <v>786</v>
      </c>
      <c r="D97" s="137">
        <v>1230000</v>
      </c>
      <c r="E97" s="20" t="s">
        <v>596</v>
      </c>
      <c r="F97" s="20" t="s">
        <v>597</v>
      </c>
      <c r="G97" s="8" t="str">
        <f t="shared" si="2"/>
        <v>YANAI IAN</v>
      </c>
      <c r="H97" s="20" t="str">
        <f t="shared" si="3"/>
        <v>4063</v>
      </c>
    </row>
    <row r="98" spans="1:8" x14ac:dyDescent="0.25">
      <c r="A98" s="8">
        <v>43088.465509259258</v>
      </c>
      <c r="B98" s="20" t="s">
        <v>359</v>
      </c>
      <c r="C98" s="20" t="s">
        <v>787</v>
      </c>
      <c r="D98" s="137">
        <v>2140000</v>
      </c>
      <c r="E98" s="20" t="s">
        <v>601</v>
      </c>
      <c r="F98" s="20" t="s">
        <v>602</v>
      </c>
      <c r="G98" s="8" t="str">
        <f t="shared" si="2"/>
        <v>ROBINSON KADDIBA</v>
      </c>
      <c r="H98" s="20" t="str">
        <f t="shared" si="3"/>
        <v>4018</v>
      </c>
    </row>
    <row r="99" spans="1:8" x14ac:dyDescent="0.25">
      <c r="A99" s="8">
        <v>43088.474074074074</v>
      </c>
      <c r="B99" s="20" t="s">
        <v>478</v>
      </c>
      <c r="C99" s="20" t="s">
        <v>788</v>
      </c>
      <c r="D99" s="137">
        <v>880000</v>
      </c>
      <c r="E99" s="20" t="s">
        <v>550</v>
      </c>
      <c r="F99" s="20" t="s">
        <v>351</v>
      </c>
      <c r="G99" s="8" t="str">
        <f t="shared" si="2"/>
        <v>STEWART MICHAEL</v>
      </c>
      <c r="H99" s="20" t="str">
        <f t="shared" si="3"/>
        <v>4014</v>
      </c>
    </row>
    <row r="100" spans="1:8" x14ac:dyDescent="0.25">
      <c r="A100" s="8">
        <v>43088.477719907409</v>
      </c>
      <c r="B100" s="20" t="s">
        <v>719</v>
      </c>
      <c r="C100" s="20" t="s">
        <v>789</v>
      </c>
      <c r="D100" s="137">
        <v>3000000</v>
      </c>
      <c r="E100" s="20" t="s">
        <v>729</v>
      </c>
      <c r="F100" s="20" t="s">
        <v>730</v>
      </c>
      <c r="G100" s="8" t="str">
        <f t="shared" si="2"/>
        <v>FORTUNATO FRANK</v>
      </c>
      <c r="H100" s="20" t="str">
        <f t="shared" si="3"/>
        <v>4057</v>
      </c>
    </row>
    <row r="101" spans="1:8" x14ac:dyDescent="0.25">
      <c r="A101" s="8">
        <v>43088.485150462962</v>
      </c>
      <c r="B101" s="20" t="s">
        <v>390</v>
      </c>
      <c r="C101" s="20" t="s">
        <v>790</v>
      </c>
      <c r="D101" s="137">
        <v>3680000</v>
      </c>
      <c r="E101" s="20" t="s">
        <v>469</v>
      </c>
      <c r="F101" s="20" t="s">
        <v>470</v>
      </c>
      <c r="G101" s="8" t="str">
        <f t="shared" si="2"/>
        <v>HAMMOND JUSTYNN</v>
      </c>
      <c r="H101" s="20" t="str">
        <f t="shared" si="3"/>
        <v>4028</v>
      </c>
    </row>
    <row r="102" spans="1:8" x14ac:dyDescent="0.25">
      <c r="A102" s="8">
        <v>43088.485752314817</v>
      </c>
      <c r="B102" s="20" t="s">
        <v>699</v>
      </c>
      <c r="C102" s="20" t="s">
        <v>791</v>
      </c>
      <c r="D102" s="137">
        <v>920000</v>
      </c>
      <c r="E102" s="20" t="s">
        <v>520</v>
      </c>
      <c r="F102" s="20" t="s">
        <v>351</v>
      </c>
      <c r="G102" s="8" t="str">
        <f t="shared" si="2"/>
        <v>DAVIS MICHAEL</v>
      </c>
      <c r="H102" s="20" t="str">
        <f t="shared" si="3"/>
        <v>4039</v>
      </c>
    </row>
    <row r="103" spans="1:8" x14ac:dyDescent="0.25">
      <c r="A103" s="8">
        <v>43088.495138888888</v>
      </c>
      <c r="B103" s="20" t="s">
        <v>678</v>
      </c>
      <c r="C103" s="20" t="s">
        <v>684</v>
      </c>
      <c r="D103" s="137">
        <v>2560000</v>
      </c>
      <c r="E103" s="20" t="s">
        <v>594</v>
      </c>
      <c r="F103" s="20" t="s">
        <v>595</v>
      </c>
      <c r="G103" s="8" t="str">
        <f t="shared" si="2"/>
        <v>MACDONALD THOMAS</v>
      </c>
      <c r="H103" s="20" t="str">
        <f t="shared" si="3"/>
        <v>4031</v>
      </c>
    </row>
    <row r="104" spans="1:8" x14ac:dyDescent="0.25">
      <c r="A104" s="8">
        <v>43088.496168981481</v>
      </c>
      <c r="B104" s="20" t="s">
        <v>361</v>
      </c>
      <c r="C104" s="20" t="s">
        <v>792</v>
      </c>
      <c r="D104" s="137">
        <v>2140000</v>
      </c>
      <c r="E104" s="20" t="s">
        <v>601</v>
      </c>
      <c r="F104" s="20" t="s">
        <v>602</v>
      </c>
      <c r="G104" s="8" t="str">
        <f t="shared" si="2"/>
        <v>ROBINSON KADDIBA</v>
      </c>
      <c r="H104" s="20" t="str">
        <f t="shared" si="3"/>
        <v>4017</v>
      </c>
    </row>
    <row r="105" spans="1:8" x14ac:dyDescent="0.25">
      <c r="A105" s="8">
        <v>43088.497407407405</v>
      </c>
      <c r="B105" s="20" t="s">
        <v>475</v>
      </c>
      <c r="C105" s="20" t="s">
        <v>793</v>
      </c>
      <c r="D105" s="137">
        <v>1180000</v>
      </c>
      <c r="E105" s="20" t="s">
        <v>599</v>
      </c>
      <c r="F105" s="20" t="s">
        <v>600</v>
      </c>
      <c r="G105" s="8" t="str">
        <f t="shared" si="2"/>
        <v>LEVERE CRAIG</v>
      </c>
      <c r="H105" s="20" t="str">
        <f t="shared" si="3"/>
        <v>4056</v>
      </c>
    </row>
    <row r="106" spans="1:8" x14ac:dyDescent="0.25">
      <c r="A106" s="8">
        <v>43088.499189814815</v>
      </c>
      <c r="B106" s="20" t="s">
        <v>549</v>
      </c>
      <c r="C106" s="20" t="s">
        <v>794</v>
      </c>
      <c r="D106" s="137">
        <v>3000000</v>
      </c>
      <c r="E106" s="20" t="s">
        <v>729</v>
      </c>
      <c r="F106" s="20" t="s">
        <v>730</v>
      </c>
      <c r="G106" s="8" t="str">
        <f t="shared" si="2"/>
        <v>FORTUNATO FRANK</v>
      </c>
      <c r="H106" s="20" t="str">
        <f t="shared" si="3"/>
        <v>4058</v>
      </c>
    </row>
    <row r="107" spans="1:8" x14ac:dyDescent="0.25">
      <c r="A107" s="8">
        <v>43088.506678240738</v>
      </c>
      <c r="B107" s="20" t="s">
        <v>685</v>
      </c>
      <c r="C107" s="20" t="s">
        <v>686</v>
      </c>
      <c r="D107" s="137">
        <v>2630000</v>
      </c>
      <c r="E107" s="20" t="s">
        <v>371</v>
      </c>
      <c r="F107" s="20" t="s">
        <v>372</v>
      </c>
      <c r="G107" s="8" t="str">
        <f t="shared" si="2"/>
        <v>SAFIEF AEIMEN</v>
      </c>
      <c r="H107" s="20" t="str">
        <f t="shared" si="3"/>
        <v>4064</v>
      </c>
    </row>
    <row r="108" spans="1:8" x14ac:dyDescent="0.25">
      <c r="A108" s="8">
        <v>43088.515740740739</v>
      </c>
      <c r="B108" s="20" t="s">
        <v>479</v>
      </c>
      <c r="C108" s="20" t="s">
        <v>795</v>
      </c>
      <c r="D108" s="137">
        <v>880000</v>
      </c>
      <c r="E108" s="20" t="s">
        <v>550</v>
      </c>
      <c r="F108" s="20" t="s">
        <v>351</v>
      </c>
      <c r="G108" s="8" t="str">
        <f t="shared" si="2"/>
        <v>STEWART MICHAEL</v>
      </c>
      <c r="H108" s="20" t="str">
        <f t="shared" si="3"/>
        <v>4013</v>
      </c>
    </row>
    <row r="109" spans="1:8" x14ac:dyDescent="0.25">
      <c r="A109" s="8">
        <v>43088.517696759256</v>
      </c>
      <c r="B109" s="20" t="s">
        <v>704</v>
      </c>
      <c r="C109" s="20" t="s">
        <v>796</v>
      </c>
      <c r="D109" s="137">
        <v>920000</v>
      </c>
      <c r="E109" s="20" t="s">
        <v>520</v>
      </c>
      <c r="F109" s="20" t="s">
        <v>351</v>
      </c>
      <c r="G109" s="8" t="str">
        <f t="shared" si="2"/>
        <v>DAVIS MICHAEL</v>
      </c>
      <c r="H109" s="20" t="str">
        <f t="shared" si="3"/>
        <v>4040</v>
      </c>
    </row>
    <row r="110" spans="1:8" x14ac:dyDescent="0.25">
      <c r="A110" s="8">
        <v>43088.518310185187</v>
      </c>
      <c r="B110" s="20" t="s">
        <v>719</v>
      </c>
      <c r="C110" s="20" t="s">
        <v>797</v>
      </c>
      <c r="D110" s="137">
        <v>3000000</v>
      </c>
      <c r="E110" s="20" t="s">
        <v>729</v>
      </c>
      <c r="F110" s="20" t="s">
        <v>730</v>
      </c>
      <c r="G110" s="8" t="str">
        <f t="shared" si="2"/>
        <v>FORTUNATO FRANK</v>
      </c>
      <c r="H110" s="20" t="str">
        <f t="shared" si="3"/>
        <v>4057</v>
      </c>
    </row>
    <row r="111" spans="1:8" x14ac:dyDescent="0.25">
      <c r="A111" s="8">
        <v>43088.526539351849</v>
      </c>
      <c r="B111" s="20" t="s">
        <v>689</v>
      </c>
      <c r="C111" s="20" t="s">
        <v>798</v>
      </c>
      <c r="D111" s="137">
        <v>3680000</v>
      </c>
      <c r="E111" s="20" t="s">
        <v>469</v>
      </c>
      <c r="F111" s="20" t="s">
        <v>470</v>
      </c>
      <c r="G111" s="8" t="str">
        <f t="shared" si="2"/>
        <v>HAMMOND JUSTYNN</v>
      </c>
      <c r="H111" s="20" t="str">
        <f t="shared" si="3"/>
        <v>4027</v>
      </c>
    </row>
    <row r="112" spans="1:8" x14ac:dyDescent="0.25">
      <c r="A112" s="8">
        <v>43088.527777777781</v>
      </c>
      <c r="B112" s="20" t="s">
        <v>725</v>
      </c>
      <c r="C112" s="20" t="s">
        <v>799</v>
      </c>
      <c r="D112" s="137">
        <v>2230000</v>
      </c>
      <c r="E112" s="20" t="s">
        <v>392</v>
      </c>
      <c r="F112" s="20" t="s">
        <v>351</v>
      </c>
      <c r="G112" s="8" t="str">
        <f t="shared" si="2"/>
        <v>SMITH MICHAEL</v>
      </c>
      <c r="H112" s="20" t="str">
        <f t="shared" si="3"/>
        <v>4032</v>
      </c>
    </row>
    <row r="113" spans="1:8" x14ac:dyDescent="0.25">
      <c r="A113" s="8">
        <v>43088.534884259258</v>
      </c>
      <c r="B113" s="20" t="s">
        <v>350</v>
      </c>
      <c r="C113" s="20" t="s">
        <v>800</v>
      </c>
      <c r="D113" s="137">
        <v>1180000</v>
      </c>
      <c r="E113" s="20" t="s">
        <v>599</v>
      </c>
      <c r="F113" s="20" t="s">
        <v>600</v>
      </c>
      <c r="G113" s="8" t="str">
        <f t="shared" si="2"/>
        <v>LEVERE CRAIG</v>
      </c>
      <c r="H113" s="20" t="str">
        <f t="shared" si="3"/>
        <v>4055</v>
      </c>
    </row>
    <row r="114" spans="1:8" x14ac:dyDescent="0.25">
      <c r="A114" s="8">
        <v>43088.537893518522</v>
      </c>
      <c r="B114" s="20" t="s">
        <v>359</v>
      </c>
      <c r="C114" s="20" t="s">
        <v>801</v>
      </c>
      <c r="D114" s="137">
        <v>2040000</v>
      </c>
      <c r="E114" s="20" t="s">
        <v>395</v>
      </c>
      <c r="F114" s="20" t="s">
        <v>396</v>
      </c>
      <c r="G114" s="8" t="str">
        <f t="shared" si="2"/>
        <v>MOSES BRADLEY</v>
      </c>
      <c r="H114" s="20" t="str">
        <f t="shared" si="3"/>
        <v>4018</v>
      </c>
    </row>
    <row r="115" spans="1:8" x14ac:dyDescent="0.25">
      <c r="A115" s="8">
        <v>43088.540694444448</v>
      </c>
      <c r="B115" s="20" t="s">
        <v>715</v>
      </c>
      <c r="C115" s="20" t="s">
        <v>802</v>
      </c>
      <c r="D115" s="137">
        <v>2630000</v>
      </c>
      <c r="E115" s="20" t="s">
        <v>371</v>
      </c>
      <c r="F115" s="20" t="s">
        <v>372</v>
      </c>
      <c r="G115" s="8" t="str">
        <f t="shared" si="2"/>
        <v>SAFIEF AEIMEN</v>
      </c>
      <c r="H115" s="20" t="str">
        <f t="shared" si="3"/>
        <v>4063</v>
      </c>
    </row>
    <row r="116" spans="1:8" x14ac:dyDescent="0.25">
      <c r="A116" s="8">
        <v>43088.543749999997</v>
      </c>
      <c r="B116" s="20" t="s">
        <v>549</v>
      </c>
      <c r="C116" s="20" t="s">
        <v>803</v>
      </c>
      <c r="D116" s="137">
        <v>2970000</v>
      </c>
      <c r="E116" s="20" t="s">
        <v>373</v>
      </c>
      <c r="F116" s="20" t="s">
        <v>374</v>
      </c>
      <c r="G116" s="8" t="str">
        <f t="shared" si="2"/>
        <v>GUZMAN DANNY</v>
      </c>
      <c r="H116" s="20" t="str">
        <f t="shared" si="3"/>
        <v>4058</v>
      </c>
    </row>
    <row r="117" spans="1:8" x14ac:dyDescent="0.25">
      <c r="A117" s="8">
        <v>43088.547997685186</v>
      </c>
      <c r="B117" s="20" t="s">
        <v>478</v>
      </c>
      <c r="C117" s="20" t="s">
        <v>804</v>
      </c>
      <c r="D117" s="137">
        <v>880000</v>
      </c>
      <c r="E117" s="20" t="s">
        <v>550</v>
      </c>
      <c r="F117" s="20" t="s">
        <v>351</v>
      </c>
      <c r="G117" s="8" t="str">
        <f t="shared" si="2"/>
        <v>STEWART MICHAEL</v>
      </c>
      <c r="H117" s="20" t="str">
        <f t="shared" si="3"/>
        <v>4014</v>
      </c>
    </row>
    <row r="118" spans="1:8" x14ac:dyDescent="0.25">
      <c r="A118" s="8">
        <v>43088.558761574073</v>
      </c>
      <c r="B118" s="20" t="s">
        <v>390</v>
      </c>
      <c r="C118" s="20" t="s">
        <v>805</v>
      </c>
      <c r="D118" s="137">
        <v>3680000</v>
      </c>
      <c r="E118" s="20" t="s">
        <v>469</v>
      </c>
      <c r="F118" s="20" t="s">
        <v>470</v>
      </c>
      <c r="G118" s="8" t="str">
        <f t="shared" si="2"/>
        <v>HAMMOND JUSTYNN</v>
      </c>
      <c r="H118" s="20" t="str">
        <f t="shared" si="3"/>
        <v>4028</v>
      </c>
    </row>
    <row r="119" spans="1:8" x14ac:dyDescent="0.25">
      <c r="A119" s="8">
        <v>43088.559247685182</v>
      </c>
      <c r="B119" s="20" t="s">
        <v>699</v>
      </c>
      <c r="C119" s="20" t="s">
        <v>806</v>
      </c>
      <c r="D119" s="137">
        <v>920000</v>
      </c>
      <c r="E119" s="20" t="s">
        <v>520</v>
      </c>
      <c r="F119" s="20" t="s">
        <v>351</v>
      </c>
      <c r="G119" s="8" t="str">
        <f t="shared" si="2"/>
        <v>DAVIS MICHAEL</v>
      </c>
      <c r="H119" s="20" t="str">
        <f t="shared" si="3"/>
        <v>4039</v>
      </c>
    </row>
    <row r="120" spans="1:8" x14ac:dyDescent="0.25">
      <c r="A120" s="8">
        <v>43088.561203703706</v>
      </c>
      <c r="B120" s="20" t="s">
        <v>719</v>
      </c>
      <c r="C120" s="20" t="s">
        <v>807</v>
      </c>
      <c r="D120" s="137">
        <v>2970000</v>
      </c>
      <c r="E120" s="20" t="s">
        <v>373</v>
      </c>
      <c r="F120" s="20" t="s">
        <v>374</v>
      </c>
      <c r="G120" s="8" t="str">
        <f t="shared" si="2"/>
        <v>GUZMAN DANNY</v>
      </c>
      <c r="H120" s="20" t="str">
        <f t="shared" si="3"/>
        <v>4057</v>
      </c>
    </row>
    <row r="121" spans="1:8" x14ac:dyDescent="0.25">
      <c r="A121" s="8">
        <v>43088.564467592594</v>
      </c>
      <c r="B121" s="20" t="s">
        <v>678</v>
      </c>
      <c r="C121" s="20" t="s">
        <v>808</v>
      </c>
      <c r="D121" s="137">
        <v>2230000</v>
      </c>
      <c r="E121" s="20" t="s">
        <v>392</v>
      </c>
      <c r="F121" s="20" t="s">
        <v>351</v>
      </c>
      <c r="G121" s="8" t="str">
        <f t="shared" si="2"/>
        <v>SMITH MICHAEL</v>
      </c>
      <c r="H121" s="20" t="str">
        <f t="shared" si="3"/>
        <v>4031</v>
      </c>
    </row>
    <row r="122" spans="1:8" x14ac:dyDescent="0.25">
      <c r="A122" s="8">
        <v>43088.568969907406</v>
      </c>
      <c r="B122" s="25" t="s">
        <v>475</v>
      </c>
      <c r="C122" s="20" t="s">
        <v>809</v>
      </c>
      <c r="D122" s="137">
        <v>1180000</v>
      </c>
      <c r="E122" s="20" t="s">
        <v>599</v>
      </c>
      <c r="F122" s="20" t="s">
        <v>600</v>
      </c>
      <c r="G122" s="8" t="str">
        <f t="shared" si="2"/>
        <v>LEVERE CRAIG</v>
      </c>
      <c r="H122" s="20" t="str">
        <f t="shared" si="3"/>
        <v>4056</v>
      </c>
    </row>
    <row r="123" spans="1:8" x14ac:dyDescent="0.25">
      <c r="A123" s="8">
        <v>43088.577974537038</v>
      </c>
      <c r="B123" s="20" t="s">
        <v>361</v>
      </c>
      <c r="C123" s="20" t="s">
        <v>810</v>
      </c>
      <c r="D123" s="137">
        <v>2040000</v>
      </c>
      <c r="E123" s="20" t="s">
        <v>395</v>
      </c>
      <c r="F123" s="20" t="s">
        <v>396</v>
      </c>
      <c r="G123" s="8" t="str">
        <f t="shared" si="2"/>
        <v>MOSES BRADLEY</v>
      </c>
      <c r="H123" s="20" t="str">
        <f t="shared" si="3"/>
        <v>4017</v>
      </c>
    </row>
    <row r="124" spans="1:8" x14ac:dyDescent="0.25">
      <c r="A124" s="8">
        <v>43088.58048611111</v>
      </c>
      <c r="B124" s="20" t="s">
        <v>685</v>
      </c>
      <c r="C124" s="20" t="s">
        <v>811</v>
      </c>
      <c r="D124" s="137">
        <v>2630000</v>
      </c>
      <c r="E124" s="20" t="s">
        <v>371</v>
      </c>
      <c r="F124" s="20" t="s">
        <v>372</v>
      </c>
      <c r="G124" s="8" t="str">
        <f t="shared" si="2"/>
        <v>SAFIEF AEIMEN</v>
      </c>
      <c r="H124" s="20" t="str">
        <f t="shared" si="3"/>
        <v>4064</v>
      </c>
    </row>
    <row r="125" spans="1:8" x14ac:dyDescent="0.25">
      <c r="A125" s="8">
        <v>43088.587858796294</v>
      </c>
      <c r="B125" s="20" t="s">
        <v>549</v>
      </c>
      <c r="C125" s="20" t="s">
        <v>812</v>
      </c>
      <c r="D125" s="137">
        <v>2970000</v>
      </c>
      <c r="E125" s="20" t="s">
        <v>373</v>
      </c>
      <c r="F125" s="20" t="s">
        <v>374</v>
      </c>
      <c r="G125" s="8" t="str">
        <f t="shared" si="2"/>
        <v>GUZMAN DANNY</v>
      </c>
      <c r="H125" s="20" t="str">
        <f t="shared" si="3"/>
        <v>4058</v>
      </c>
    </row>
    <row r="126" spans="1:8" x14ac:dyDescent="0.25">
      <c r="A126" s="8">
        <v>43088.589143518519</v>
      </c>
      <c r="B126" s="20" t="s">
        <v>479</v>
      </c>
      <c r="C126" s="20" t="s">
        <v>813</v>
      </c>
      <c r="D126" s="137">
        <v>880000</v>
      </c>
      <c r="E126" s="20" t="s">
        <v>550</v>
      </c>
      <c r="F126" s="20" t="s">
        <v>351</v>
      </c>
      <c r="G126" s="8" t="str">
        <f t="shared" si="2"/>
        <v>STEWART MICHAEL</v>
      </c>
      <c r="H126" s="20" t="str">
        <f t="shared" si="3"/>
        <v>4013</v>
      </c>
    </row>
    <row r="127" spans="1:8" x14ac:dyDescent="0.25">
      <c r="A127" s="8">
        <v>43088.592314814814</v>
      </c>
      <c r="B127" s="20" t="s">
        <v>704</v>
      </c>
      <c r="C127" s="20" t="s">
        <v>814</v>
      </c>
      <c r="D127" s="137">
        <v>920000</v>
      </c>
      <c r="E127" s="20" t="s">
        <v>520</v>
      </c>
      <c r="F127" s="20" t="s">
        <v>351</v>
      </c>
      <c r="G127" s="8" t="str">
        <f t="shared" si="2"/>
        <v>DAVIS MICHAEL</v>
      </c>
      <c r="H127" s="20" t="str">
        <f t="shared" si="3"/>
        <v>4040</v>
      </c>
    </row>
    <row r="128" spans="1:8" x14ac:dyDescent="0.25">
      <c r="A128" s="8">
        <v>43088.598252314812</v>
      </c>
      <c r="B128" s="20" t="s">
        <v>689</v>
      </c>
      <c r="C128" s="20" t="s">
        <v>815</v>
      </c>
      <c r="D128" s="137">
        <v>3680000</v>
      </c>
      <c r="E128" s="20" t="s">
        <v>469</v>
      </c>
      <c r="F128" s="20" t="s">
        <v>470</v>
      </c>
      <c r="G128" s="8" t="str">
        <f t="shared" si="2"/>
        <v>HAMMOND JUSTYNN</v>
      </c>
      <c r="H128" s="20" t="str">
        <f t="shared" si="3"/>
        <v>4027</v>
      </c>
    </row>
    <row r="129" spans="1:8" x14ac:dyDescent="0.25">
      <c r="A129" s="8">
        <v>43088.599988425929</v>
      </c>
      <c r="B129" s="20" t="s">
        <v>725</v>
      </c>
      <c r="C129" s="20" t="s">
        <v>816</v>
      </c>
      <c r="D129" s="137">
        <v>2230000</v>
      </c>
      <c r="E129" s="20" t="s">
        <v>392</v>
      </c>
      <c r="F129" s="20" t="s">
        <v>351</v>
      </c>
      <c r="G129" s="8" t="str">
        <f t="shared" si="2"/>
        <v>SMITH MICHAEL</v>
      </c>
      <c r="H129" s="20" t="str">
        <f t="shared" si="3"/>
        <v>4032</v>
      </c>
    </row>
    <row r="130" spans="1:8" x14ac:dyDescent="0.25">
      <c r="A130" s="8">
        <v>43088.600335648145</v>
      </c>
      <c r="B130" s="20" t="s">
        <v>719</v>
      </c>
      <c r="C130" s="20" t="s">
        <v>817</v>
      </c>
      <c r="D130" s="137">
        <v>2970000</v>
      </c>
      <c r="E130" s="20" t="s">
        <v>373</v>
      </c>
      <c r="F130" s="20" t="s">
        <v>374</v>
      </c>
      <c r="G130" s="8" t="str">
        <f t="shared" si="2"/>
        <v>GUZMAN DANNY</v>
      </c>
      <c r="H130" s="20" t="str">
        <f t="shared" si="3"/>
        <v>4057</v>
      </c>
    </row>
    <row r="131" spans="1:8" x14ac:dyDescent="0.25">
      <c r="A131" s="8">
        <v>43088.609247685185</v>
      </c>
      <c r="B131" s="20" t="s">
        <v>350</v>
      </c>
      <c r="C131" s="20" t="s">
        <v>818</v>
      </c>
      <c r="D131" s="137">
        <v>1180000</v>
      </c>
      <c r="E131" s="20" t="s">
        <v>599</v>
      </c>
      <c r="F131" s="20" t="s">
        <v>600</v>
      </c>
      <c r="G131" s="8" t="str">
        <f t="shared" ref="G131:G194" si="4">E131&amp;" "&amp;F131</f>
        <v>LEVERE CRAIG</v>
      </c>
      <c r="H131" s="20" t="str">
        <f t="shared" ref="H131:H194" si="5">MID(B131,13,4)</f>
        <v>4055</v>
      </c>
    </row>
    <row r="132" spans="1:8" x14ac:dyDescent="0.25">
      <c r="A132" s="8">
        <v>43088.609571759262</v>
      </c>
      <c r="B132" s="20" t="s">
        <v>359</v>
      </c>
      <c r="C132" s="20" t="s">
        <v>819</v>
      </c>
      <c r="D132" s="137">
        <v>2140000</v>
      </c>
      <c r="E132" s="20" t="s">
        <v>601</v>
      </c>
      <c r="F132" s="20" t="s">
        <v>602</v>
      </c>
      <c r="G132" s="8" t="str">
        <f t="shared" si="4"/>
        <v>ROBINSON KADDIBA</v>
      </c>
      <c r="H132" s="20" t="str">
        <f t="shared" si="5"/>
        <v>4018</v>
      </c>
    </row>
    <row r="133" spans="1:8" x14ac:dyDescent="0.25">
      <c r="A133" s="8">
        <v>43088.611388888887</v>
      </c>
      <c r="B133" s="20" t="s">
        <v>715</v>
      </c>
      <c r="C133" s="20" t="s">
        <v>820</v>
      </c>
      <c r="D133" s="137">
        <v>2630000</v>
      </c>
      <c r="E133" s="20" t="s">
        <v>371</v>
      </c>
      <c r="F133" s="20" t="s">
        <v>372</v>
      </c>
      <c r="G133" s="8" t="str">
        <f t="shared" si="4"/>
        <v>SAFIEF AEIMEN</v>
      </c>
      <c r="H133" s="20" t="str">
        <f t="shared" si="5"/>
        <v>4063</v>
      </c>
    </row>
    <row r="134" spans="1:8" x14ac:dyDescent="0.25">
      <c r="A134" s="8">
        <v>43088.621793981481</v>
      </c>
      <c r="B134" s="20" t="s">
        <v>478</v>
      </c>
      <c r="C134" s="20" t="s">
        <v>687</v>
      </c>
      <c r="D134" s="137">
        <v>880000</v>
      </c>
      <c r="E134" s="20" t="s">
        <v>550</v>
      </c>
      <c r="F134" s="20" t="s">
        <v>351</v>
      </c>
      <c r="G134" s="8" t="str">
        <f t="shared" si="4"/>
        <v>STEWART MICHAEL</v>
      </c>
      <c r="H134" s="20" t="str">
        <f t="shared" si="5"/>
        <v>4014</v>
      </c>
    </row>
    <row r="135" spans="1:8" x14ac:dyDescent="0.25">
      <c r="A135" s="8">
        <v>43088.623472222222</v>
      </c>
      <c r="B135" s="20" t="s">
        <v>549</v>
      </c>
      <c r="C135" s="20" t="s">
        <v>821</v>
      </c>
      <c r="D135" s="137">
        <v>2970000</v>
      </c>
      <c r="E135" s="20" t="s">
        <v>373</v>
      </c>
      <c r="F135" s="20" t="s">
        <v>374</v>
      </c>
      <c r="G135" s="8" t="str">
        <f t="shared" si="4"/>
        <v>GUZMAN DANNY</v>
      </c>
      <c r="H135" s="20" t="str">
        <f t="shared" si="5"/>
        <v>4058</v>
      </c>
    </row>
    <row r="136" spans="1:8" x14ac:dyDescent="0.25">
      <c r="A136" s="8">
        <v>43088.631145833337</v>
      </c>
      <c r="B136" s="20" t="s">
        <v>390</v>
      </c>
      <c r="C136" s="20" t="s">
        <v>822</v>
      </c>
      <c r="D136" s="137">
        <v>3680000</v>
      </c>
      <c r="E136" s="20" t="s">
        <v>469</v>
      </c>
      <c r="F136" s="20" t="s">
        <v>470</v>
      </c>
      <c r="G136" s="8" t="str">
        <f t="shared" si="4"/>
        <v>HAMMOND JUSTYNN</v>
      </c>
      <c r="H136" s="20" t="str">
        <f t="shared" si="5"/>
        <v>4028</v>
      </c>
    </row>
    <row r="137" spans="1:8" x14ac:dyDescent="0.25">
      <c r="A137" s="8">
        <v>43088.632048611114</v>
      </c>
      <c r="B137" s="20" t="s">
        <v>699</v>
      </c>
      <c r="C137" s="20" t="s">
        <v>823</v>
      </c>
      <c r="D137" s="137">
        <v>920000</v>
      </c>
      <c r="E137" s="20" t="s">
        <v>520</v>
      </c>
      <c r="F137" s="20" t="s">
        <v>351</v>
      </c>
      <c r="G137" s="8" t="str">
        <f t="shared" si="4"/>
        <v>DAVIS MICHAEL</v>
      </c>
      <c r="H137" s="20" t="str">
        <f t="shared" si="5"/>
        <v>4039</v>
      </c>
    </row>
    <row r="138" spans="1:8" x14ac:dyDescent="0.25">
      <c r="A138" s="8">
        <v>43088.636481481481</v>
      </c>
      <c r="B138" s="20" t="s">
        <v>678</v>
      </c>
      <c r="C138" s="20" t="s">
        <v>824</v>
      </c>
      <c r="D138" s="137">
        <v>2230000</v>
      </c>
      <c r="E138" s="20" t="s">
        <v>392</v>
      </c>
      <c r="F138" s="20" t="s">
        <v>351</v>
      </c>
      <c r="G138" s="8" t="str">
        <f t="shared" si="4"/>
        <v>SMITH MICHAEL</v>
      </c>
      <c r="H138" s="20" t="str">
        <f t="shared" si="5"/>
        <v>4031</v>
      </c>
    </row>
    <row r="139" spans="1:8" x14ac:dyDescent="0.25">
      <c r="A139" s="8">
        <v>43088.637604166666</v>
      </c>
      <c r="B139" s="20" t="s">
        <v>532</v>
      </c>
      <c r="C139" s="20" t="s">
        <v>825</v>
      </c>
      <c r="D139" s="137">
        <v>2000000</v>
      </c>
      <c r="E139" s="20" t="s">
        <v>393</v>
      </c>
      <c r="F139" s="20" t="s">
        <v>394</v>
      </c>
      <c r="G139" s="8" t="str">
        <f t="shared" si="4"/>
        <v>STAMBAUGH JAMES</v>
      </c>
      <c r="H139" s="20" t="str">
        <f t="shared" si="5"/>
        <v>4021</v>
      </c>
    </row>
    <row r="140" spans="1:8" x14ac:dyDescent="0.25">
      <c r="A140" s="8">
        <v>43088.641400462962</v>
      </c>
      <c r="B140" s="20" t="s">
        <v>361</v>
      </c>
      <c r="C140" s="20" t="s">
        <v>826</v>
      </c>
      <c r="D140" s="137">
        <v>2140000</v>
      </c>
      <c r="E140" s="20" t="s">
        <v>601</v>
      </c>
      <c r="F140" s="20" t="s">
        <v>602</v>
      </c>
      <c r="G140" s="8" t="str">
        <f t="shared" si="4"/>
        <v>ROBINSON KADDIBA</v>
      </c>
      <c r="H140" s="20" t="str">
        <f t="shared" si="5"/>
        <v>4017</v>
      </c>
    </row>
    <row r="141" spans="1:8" x14ac:dyDescent="0.25">
      <c r="A141" s="8">
        <v>43088.641712962963</v>
      </c>
      <c r="B141" s="20" t="s">
        <v>475</v>
      </c>
      <c r="C141" s="20" t="s">
        <v>688</v>
      </c>
      <c r="D141" s="137">
        <v>1180000</v>
      </c>
      <c r="E141" s="20" t="s">
        <v>599</v>
      </c>
      <c r="F141" s="20" t="s">
        <v>600</v>
      </c>
      <c r="G141" s="8" t="str">
        <f t="shared" si="4"/>
        <v>LEVERE CRAIG</v>
      </c>
      <c r="H141" s="20" t="str">
        <f t="shared" si="5"/>
        <v>4056</v>
      </c>
    </row>
    <row r="142" spans="1:8" x14ac:dyDescent="0.25">
      <c r="A142" s="8">
        <v>43088.642604166664</v>
      </c>
      <c r="B142" s="20" t="s">
        <v>719</v>
      </c>
      <c r="C142" s="20" t="s">
        <v>827</v>
      </c>
      <c r="D142" s="137">
        <v>2970000</v>
      </c>
      <c r="E142" s="20" t="s">
        <v>373</v>
      </c>
      <c r="F142" s="20" t="s">
        <v>374</v>
      </c>
      <c r="G142" s="8" t="str">
        <f t="shared" si="4"/>
        <v>GUZMAN DANNY</v>
      </c>
      <c r="H142" s="20" t="str">
        <f t="shared" si="5"/>
        <v>4057</v>
      </c>
    </row>
    <row r="143" spans="1:8" x14ac:dyDescent="0.25">
      <c r="A143" s="8">
        <v>43088.65011574074</v>
      </c>
      <c r="B143" s="20" t="s">
        <v>383</v>
      </c>
      <c r="C143" s="20" t="s">
        <v>828</v>
      </c>
      <c r="D143" s="137">
        <v>2000000</v>
      </c>
      <c r="E143" s="20" t="s">
        <v>393</v>
      </c>
      <c r="F143" s="20" t="s">
        <v>394</v>
      </c>
      <c r="G143" s="8" t="str">
        <f t="shared" si="4"/>
        <v>STAMBAUGH JAMES</v>
      </c>
      <c r="H143" s="20" t="str">
        <f t="shared" si="5"/>
        <v>4022</v>
      </c>
    </row>
    <row r="144" spans="1:8" x14ac:dyDescent="0.25">
      <c r="A144" s="8">
        <v>43088.652511574073</v>
      </c>
      <c r="B144" s="20" t="s">
        <v>685</v>
      </c>
      <c r="C144" s="20" t="s">
        <v>829</v>
      </c>
      <c r="D144" s="137">
        <v>2630000</v>
      </c>
      <c r="E144" s="20" t="s">
        <v>371</v>
      </c>
      <c r="F144" s="20" t="s">
        <v>372</v>
      </c>
      <c r="G144" s="8" t="str">
        <f t="shared" si="4"/>
        <v>SAFIEF AEIMEN</v>
      </c>
      <c r="H144" s="20" t="str">
        <f t="shared" si="5"/>
        <v>4064</v>
      </c>
    </row>
    <row r="145" spans="1:8" x14ac:dyDescent="0.25">
      <c r="A145" s="8">
        <v>43088.661851851852</v>
      </c>
      <c r="B145" s="20" t="s">
        <v>479</v>
      </c>
      <c r="C145" s="20" t="s">
        <v>830</v>
      </c>
      <c r="D145" s="137">
        <v>880000</v>
      </c>
      <c r="E145" s="20" t="s">
        <v>550</v>
      </c>
      <c r="F145" s="20" t="s">
        <v>351</v>
      </c>
      <c r="G145" s="8" t="str">
        <f t="shared" si="4"/>
        <v>STEWART MICHAEL</v>
      </c>
      <c r="H145" s="20" t="str">
        <f t="shared" si="5"/>
        <v>4013</v>
      </c>
    </row>
    <row r="146" spans="1:8" x14ac:dyDescent="0.25">
      <c r="A146" s="8">
        <v>43088.664178240739</v>
      </c>
      <c r="B146" s="20" t="s">
        <v>532</v>
      </c>
      <c r="C146" s="20" t="s">
        <v>831</v>
      </c>
      <c r="D146" s="137">
        <v>2000000</v>
      </c>
      <c r="E146" s="20" t="s">
        <v>393</v>
      </c>
      <c r="F146" s="20" t="s">
        <v>394</v>
      </c>
      <c r="G146" s="8" t="str">
        <f t="shared" si="4"/>
        <v>STAMBAUGH JAMES</v>
      </c>
      <c r="H146" s="20" t="str">
        <f t="shared" si="5"/>
        <v>4021</v>
      </c>
    </row>
    <row r="147" spans="1:8" x14ac:dyDescent="0.25">
      <c r="A147" s="8">
        <v>43088.665648148148</v>
      </c>
      <c r="B147" s="20" t="s">
        <v>704</v>
      </c>
      <c r="C147" s="20" t="s">
        <v>832</v>
      </c>
      <c r="D147" s="137">
        <v>920000</v>
      </c>
      <c r="E147" s="20" t="s">
        <v>520</v>
      </c>
      <c r="F147" s="20" t="s">
        <v>351</v>
      </c>
      <c r="G147" s="8" t="str">
        <f t="shared" si="4"/>
        <v>DAVIS MICHAEL</v>
      </c>
      <c r="H147" s="20" t="str">
        <f t="shared" si="5"/>
        <v>4040</v>
      </c>
    </row>
    <row r="148" spans="1:8" x14ac:dyDescent="0.25">
      <c r="A148" s="8">
        <v>43088.667210648149</v>
      </c>
      <c r="B148" s="20" t="s">
        <v>549</v>
      </c>
      <c r="C148" s="20" t="s">
        <v>833</v>
      </c>
      <c r="D148" s="137">
        <v>2970000</v>
      </c>
      <c r="E148" s="20" t="s">
        <v>373</v>
      </c>
      <c r="F148" s="20" t="s">
        <v>374</v>
      </c>
      <c r="G148" s="8" t="str">
        <f t="shared" si="4"/>
        <v>GUZMAN DANNY</v>
      </c>
      <c r="H148" s="20" t="str">
        <f t="shared" si="5"/>
        <v>4058</v>
      </c>
    </row>
    <row r="149" spans="1:8" x14ac:dyDescent="0.25">
      <c r="A149" s="8">
        <v>43088.669618055559</v>
      </c>
      <c r="B149" s="20" t="s">
        <v>689</v>
      </c>
      <c r="C149" s="20" t="s">
        <v>834</v>
      </c>
      <c r="D149" s="137">
        <v>3680000</v>
      </c>
      <c r="E149" s="20" t="s">
        <v>469</v>
      </c>
      <c r="F149" s="20" t="s">
        <v>470</v>
      </c>
      <c r="G149" s="8" t="str">
        <f t="shared" si="4"/>
        <v>HAMMOND JUSTYNN</v>
      </c>
      <c r="H149" s="20" t="str">
        <f t="shared" si="5"/>
        <v>4027</v>
      </c>
    </row>
    <row r="150" spans="1:8" x14ac:dyDescent="0.25">
      <c r="A150" s="8">
        <v>43088.674942129626</v>
      </c>
      <c r="B150" s="20" t="s">
        <v>725</v>
      </c>
      <c r="C150" s="20" t="s">
        <v>835</v>
      </c>
      <c r="D150" s="137">
        <v>2230000</v>
      </c>
      <c r="E150" s="20" t="s">
        <v>392</v>
      </c>
      <c r="F150" s="20" t="s">
        <v>351</v>
      </c>
      <c r="G150" s="8" t="str">
        <f t="shared" si="4"/>
        <v>SMITH MICHAEL</v>
      </c>
      <c r="H150" s="20" t="str">
        <f t="shared" si="5"/>
        <v>4032</v>
      </c>
    </row>
    <row r="151" spans="1:8" x14ac:dyDescent="0.25">
      <c r="A151" s="8">
        <v>43088.676423611112</v>
      </c>
      <c r="B151" s="20" t="s">
        <v>369</v>
      </c>
      <c r="C151" s="20" t="s">
        <v>836</v>
      </c>
      <c r="D151" s="137">
        <v>1810000</v>
      </c>
      <c r="E151" s="20" t="s">
        <v>837</v>
      </c>
      <c r="F151" s="20" t="s">
        <v>394</v>
      </c>
      <c r="G151" s="8" t="str">
        <f t="shared" si="4"/>
        <v>NEWELL JAMES</v>
      </c>
      <c r="H151" s="20" t="str">
        <f t="shared" si="5"/>
        <v>4012</v>
      </c>
    </row>
    <row r="152" spans="1:8" x14ac:dyDescent="0.25">
      <c r="A152" s="8">
        <v>43088.681979166664</v>
      </c>
      <c r="B152" s="20" t="s">
        <v>350</v>
      </c>
      <c r="C152" s="20" t="s">
        <v>838</v>
      </c>
      <c r="D152" s="137">
        <v>1180000</v>
      </c>
      <c r="E152" s="20" t="s">
        <v>599</v>
      </c>
      <c r="F152" s="20" t="s">
        <v>600</v>
      </c>
      <c r="G152" s="8" t="str">
        <f t="shared" si="4"/>
        <v>LEVERE CRAIG</v>
      </c>
      <c r="H152" s="20" t="str">
        <f t="shared" si="5"/>
        <v>4055</v>
      </c>
    </row>
    <row r="153" spans="1:8" x14ac:dyDescent="0.25">
      <c r="A153" s="8">
        <v>43088.683506944442</v>
      </c>
      <c r="B153" s="20" t="s">
        <v>359</v>
      </c>
      <c r="C153" s="20" t="s">
        <v>839</v>
      </c>
      <c r="D153" s="137">
        <v>2140000</v>
      </c>
      <c r="E153" s="20" t="s">
        <v>601</v>
      </c>
      <c r="F153" s="20" t="s">
        <v>602</v>
      </c>
      <c r="G153" s="8" t="str">
        <f t="shared" si="4"/>
        <v>ROBINSON KADDIBA</v>
      </c>
      <c r="H153" s="20" t="str">
        <f t="shared" si="5"/>
        <v>4018</v>
      </c>
    </row>
    <row r="154" spans="1:8" x14ac:dyDescent="0.25">
      <c r="A154" s="8">
        <v>43088.684236111112</v>
      </c>
      <c r="B154" s="20" t="s">
        <v>719</v>
      </c>
      <c r="C154" s="20" t="s">
        <v>840</v>
      </c>
      <c r="D154" s="137">
        <v>2970000</v>
      </c>
      <c r="E154" s="20" t="s">
        <v>373</v>
      </c>
      <c r="F154" s="20" t="s">
        <v>374</v>
      </c>
      <c r="G154" s="8" t="str">
        <f t="shared" si="4"/>
        <v>GUZMAN DANNY</v>
      </c>
      <c r="H154" s="20" t="str">
        <f t="shared" si="5"/>
        <v>4057</v>
      </c>
    </row>
    <row r="155" spans="1:8" x14ac:dyDescent="0.25">
      <c r="A155" s="8">
        <v>43088.685312499998</v>
      </c>
      <c r="B155" s="20" t="s">
        <v>715</v>
      </c>
      <c r="C155" s="20" t="s">
        <v>841</v>
      </c>
      <c r="D155" s="137">
        <v>2630000</v>
      </c>
      <c r="E155" s="20" t="s">
        <v>371</v>
      </c>
      <c r="F155" s="20" t="s">
        <v>372</v>
      </c>
      <c r="G155" s="8" t="str">
        <f t="shared" si="4"/>
        <v>SAFIEF AEIMEN</v>
      </c>
      <c r="H155" s="20" t="str">
        <f t="shared" si="5"/>
        <v>4063</v>
      </c>
    </row>
    <row r="156" spans="1:8" x14ac:dyDescent="0.25">
      <c r="A156" s="8">
        <v>43088.691967592589</v>
      </c>
      <c r="B156" s="20" t="s">
        <v>383</v>
      </c>
      <c r="C156" s="20" t="s">
        <v>842</v>
      </c>
      <c r="D156" s="137">
        <v>2000000</v>
      </c>
      <c r="E156" s="20" t="s">
        <v>393</v>
      </c>
      <c r="F156" s="20" t="s">
        <v>394</v>
      </c>
      <c r="G156" s="8" t="str">
        <f t="shared" si="4"/>
        <v>STAMBAUGH JAMES</v>
      </c>
      <c r="H156" s="20" t="str">
        <f t="shared" si="5"/>
        <v>4022</v>
      </c>
    </row>
    <row r="157" spans="1:8" x14ac:dyDescent="0.25">
      <c r="A157" s="8">
        <v>43088.695173611108</v>
      </c>
      <c r="B157" s="20" t="s">
        <v>478</v>
      </c>
      <c r="C157" s="20" t="s">
        <v>843</v>
      </c>
      <c r="D157" s="137">
        <v>880000</v>
      </c>
      <c r="E157" s="20" t="s">
        <v>550</v>
      </c>
      <c r="F157" s="20" t="s">
        <v>351</v>
      </c>
      <c r="G157" s="8" t="str">
        <f t="shared" si="4"/>
        <v>STEWART MICHAEL</v>
      </c>
      <c r="H157" s="20" t="str">
        <f t="shared" si="5"/>
        <v>4014</v>
      </c>
    </row>
    <row r="158" spans="1:8" x14ac:dyDescent="0.25">
      <c r="A158" s="8">
        <v>43088.699490740742</v>
      </c>
      <c r="B158" s="20" t="s">
        <v>356</v>
      </c>
      <c r="C158" s="20" t="s">
        <v>844</v>
      </c>
      <c r="D158" s="137">
        <v>2040000</v>
      </c>
      <c r="E158" s="20" t="s">
        <v>395</v>
      </c>
      <c r="F158" s="20" t="s">
        <v>396</v>
      </c>
      <c r="G158" s="8" t="str">
        <f t="shared" si="4"/>
        <v>MOSES BRADLEY</v>
      </c>
      <c r="H158" s="20" t="str">
        <f t="shared" si="5"/>
        <v>4060</v>
      </c>
    </row>
    <row r="159" spans="1:8" x14ac:dyDescent="0.25">
      <c r="A159" s="8">
        <v>43088.704398148147</v>
      </c>
      <c r="B159" s="20" t="s">
        <v>390</v>
      </c>
      <c r="C159" s="20" t="s">
        <v>845</v>
      </c>
      <c r="D159" s="137">
        <v>3680000</v>
      </c>
      <c r="E159" s="20" t="s">
        <v>469</v>
      </c>
      <c r="F159" s="20" t="s">
        <v>470</v>
      </c>
      <c r="G159" s="8" t="str">
        <f t="shared" si="4"/>
        <v>HAMMOND JUSTYNN</v>
      </c>
      <c r="H159" s="20" t="str">
        <f t="shared" si="5"/>
        <v>4028</v>
      </c>
    </row>
    <row r="160" spans="1:8" x14ac:dyDescent="0.25">
      <c r="A160" s="8">
        <v>43088.704756944448</v>
      </c>
      <c r="B160" s="20" t="s">
        <v>532</v>
      </c>
      <c r="C160" s="20" t="s">
        <v>846</v>
      </c>
      <c r="D160" s="137">
        <v>2000000</v>
      </c>
      <c r="E160" s="20" t="s">
        <v>393</v>
      </c>
      <c r="F160" s="20" t="s">
        <v>394</v>
      </c>
      <c r="G160" s="8" t="str">
        <f t="shared" si="4"/>
        <v>STAMBAUGH JAMES</v>
      </c>
      <c r="H160" s="20" t="str">
        <f t="shared" si="5"/>
        <v>4021</v>
      </c>
    </row>
    <row r="161" spans="1:8" x14ac:dyDescent="0.25">
      <c r="A161" s="8">
        <v>43088.704861111109</v>
      </c>
      <c r="B161" s="20" t="s">
        <v>699</v>
      </c>
      <c r="C161" s="20" t="s">
        <v>847</v>
      </c>
      <c r="D161" s="137">
        <v>920000</v>
      </c>
      <c r="E161" s="20" t="s">
        <v>520</v>
      </c>
      <c r="F161" s="20" t="s">
        <v>351</v>
      </c>
      <c r="G161" s="8" t="str">
        <f t="shared" si="4"/>
        <v>DAVIS MICHAEL</v>
      </c>
      <c r="H161" s="20" t="str">
        <f t="shared" si="5"/>
        <v>4039</v>
      </c>
    </row>
    <row r="162" spans="1:8" x14ac:dyDescent="0.25">
      <c r="A162" s="8">
        <v>43088.709293981483</v>
      </c>
      <c r="B162" s="20" t="s">
        <v>678</v>
      </c>
      <c r="C162" s="20" t="s">
        <v>848</v>
      </c>
      <c r="D162" s="137">
        <v>2230000</v>
      </c>
      <c r="E162" s="20" t="s">
        <v>392</v>
      </c>
      <c r="F162" s="20" t="s">
        <v>351</v>
      </c>
      <c r="G162" s="8" t="str">
        <f t="shared" si="4"/>
        <v>SMITH MICHAEL</v>
      </c>
      <c r="H162" s="20" t="str">
        <f t="shared" si="5"/>
        <v>4031</v>
      </c>
    </row>
    <row r="163" spans="1:8" x14ac:dyDescent="0.25">
      <c r="A163" s="8">
        <v>43088.711875000001</v>
      </c>
      <c r="B163" s="20" t="s">
        <v>549</v>
      </c>
      <c r="C163" s="20" t="s">
        <v>849</v>
      </c>
      <c r="D163" s="137">
        <v>2970000</v>
      </c>
      <c r="E163" s="20" t="s">
        <v>373</v>
      </c>
      <c r="F163" s="20" t="s">
        <v>374</v>
      </c>
      <c r="G163" s="8" t="str">
        <f t="shared" si="4"/>
        <v>GUZMAN DANNY</v>
      </c>
      <c r="H163" s="20" t="str">
        <f t="shared" si="5"/>
        <v>4058</v>
      </c>
    </row>
    <row r="164" spans="1:8" x14ac:dyDescent="0.25">
      <c r="A164" s="8">
        <v>43088.715636574074</v>
      </c>
      <c r="B164" s="20" t="s">
        <v>475</v>
      </c>
      <c r="C164" s="20" t="s">
        <v>850</v>
      </c>
      <c r="D164" s="137">
        <v>1180000</v>
      </c>
      <c r="E164" s="20" t="s">
        <v>599</v>
      </c>
      <c r="F164" s="20" t="s">
        <v>600</v>
      </c>
      <c r="G164" s="8" t="str">
        <f t="shared" si="4"/>
        <v>LEVERE CRAIG</v>
      </c>
      <c r="H164" s="20" t="str">
        <f t="shared" si="5"/>
        <v>4056</v>
      </c>
    </row>
    <row r="165" spans="1:8" x14ac:dyDescent="0.25">
      <c r="A165" s="8">
        <v>43088.722442129627</v>
      </c>
      <c r="B165" s="20" t="s">
        <v>361</v>
      </c>
      <c r="C165" s="20" t="s">
        <v>851</v>
      </c>
      <c r="D165" s="137">
        <v>2140000</v>
      </c>
      <c r="E165" s="20" t="s">
        <v>601</v>
      </c>
      <c r="F165" s="20" t="s">
        <v>602</v>
      </c>
      <c r="G165" s="8" t="str">
        <f t="shared" si="4"/>
        <v>ROBINSON KADDIBA</v>
      </c>
      <c r="H165" s="20" t="str">
        <f t="shared" si="5"/>
        <v>4017</v>
      </c>
    </row>
    <row r="166" spans="1:8" x14ac:dyDescent="0.25">
      <c r="A166" s="8">
        <v>43088.725486111114</v>
      </c>
      <c r="B166" s="20" t="s">
        <v>389</v>
      </c>
      <c r="C166" s="20" t="s">
        <v>844</v>
      </c>
      <c r="D166" s="137">
        <v>2040000</v>
      </c>
      <c r="E166" s="20" t="s">
        <v>395</v>
      </c>
      <c r="F166" s="20" t="s">
        <v>396</v>
      </c>
      <c r="G166" s="8" t="str">
        <f t="shared" si="4"/>
        <v>MOSES BRADLEY</v>
      </c>
      <c r="H166" s="20" t="str">
        <f t="shared" si="5"/>
        <v>4059</v>
      </c>
    </row>
    <row r="167" spans="1:8" x14ac:dyDescent="0.25">
      <c r="A167" s="8">
        <v>43088.726261574076</v>
      </c>
      <c r="B167" s="20" t="s">
        <v>719</v>
      </c>
      <c r="C167" s="20" t="s">
        <v>852</v>
      </c>
      <c r="D167" s="137">
        <v>2970000</v>
      </c>
      <c r="E167" s="20" t="s">
        <v>373</v>
      </c>
      <c r="F167" s="20" t="s">
        <v>374</v>
      </c>
      <c r="G167" s="8" t="str">
        <f t="shared" si="4"/>
        <v>GUZMAN DANNY</v>
      </c>
      <c r="H167" s="20" t="str">
        <f t="shared" si="5"/>
        <v>4057</v>
      </c>
    </row>
    <row r="168" spans="1:8" x14ac:dyDescent="0.25">
      <c r="A168" s="8">
        <v>43088.726840277777</v>
      </c>
      <c r="B168" s="20" t="s">
        <v>685</v>
      </c>
      <c r="C168" s="20" t="s">
        <v>853</v>
      </c>
      <c r="D168" s="137">
        <v>2630000</v>
      </c>
      <c r="E168" s="20" t="s">
        <v>371</v>
      </c>
      <c r="F168" s="20" t="s">
        <v>372</v>
      </c>
      <c r="G168" s="8" t="str">
        <f t="shared" si="4"/>
        <v>SAFIEF AEIMEN</v>
      </c>
      <c r="H168" s="20" t="str">
        <f t="shared" si="5"/>
        <v>4064</v>
      </c>
    </row>
    <row r="169" spans="1:8" x14ac:dyDescent="0.25">
      <c r="A169" s="8">
        <v>43088.733217592591</v>
      </c>
      <c r="B169" s="20" t="s">
        <v>383</v>
      </c>
      <c r="C169" s="20" t="s">
        <v>854</v>
      </c>
      <c r="D169" s="137">
        <v>2000000</v>
      </c>
      <c r="E169" s="20" t="s">
        <v>393</v>
      </c>
      <c r="F169" s="20" t="s">
        <v>394</v>
      </c>
      <c r="G169" s="8" t="str">
        <f t="shared" si="4"/>
        <v>STAMBAUGH JAMES</v>
      </c>
      <c r="H169" s="20" t="str">
        <f t="shared" si="5"/>
        <v>4022</v>
      </c>
    </row>
    <row r="170" spans="1:8" x14ac:dyDescent="0.25">
      <c r="A170" s="8">
        <v>43088.733587962961</v>
      </c>
      <c r="B170" s="20" t="s">
        <v>479</v>
      </c>
      <c r="C170" s="20" t="s">
        <v>855</v>
      </c>
      <c r="D170" s="137">
        <v>880000</v>
      </c>
      <c r="E170" s="20" t="s">
        <v>550</v>
      </c>
      <c r="F170" s="20" t="s">
        <v>351</v>
      </c>
      <c r="G170" s="8" t="str">
        <f t="shared" si="4"/>
        <v>STEWART MICHAEL</v>
      </c>
      <c r="H170" s="20" t="str">
        <f t="shared" si="5"/>
        <v>4013</v>
      </c>
    </row>
    <row r="171" spans="1:8" x14ac:dyDescent="0.25">
      <c r="A171" s="8">
        <v>43088.736909722225</v>
      </c>
      <c r="B171" s="20" t="s">
        <v>356</v>
      </c>
      <c r="C171" s="20" t="s">
        <v>856</v>
      </c>
      <c r="D171" s="137">
        <v>890000</v>
      </c>
      <c r="E171" s="20" t="s">
        <v>343</v>
      </c>
      <c r="F171" s="20" t="s">
        <v>344</v>
      </c>
      <c r="G171" s="8" t="str">
        <f t="shared" si="4"/>
        <v>LOZA FIDEL</v>
      </c>
      <c r="H171" s="20" t="str">
        <f t="shared" si="5"/>
        <v>4060</v>
      </c>
    </row>
    <row r="172" spans="1:8" x14ac:dyDescent="0.25">
      <c r="A172" s="8">
        <v>43088.737268518518</v>
      </c>
      <c r="B172" s="20" t="s">
        <v>704</v>
      </c>
      <c r="C172" s="20" t="s">
        <v>844</v>
      </c>
      <c r="D172" s="137">
        <v>2040000</v>
      </c>
      <c r="E172" s="20" t="s">
        <v>395</v>
      </c>
      <c r="F172" s="20" t="s">
        <v>396</v>
      </c>
      <c r="G172" s="8" t="str">
        <f t="shared" si="4"/>
        <v>MOSES BRADLEY</v>
      </c>
      <c r="H172" s="20" t="str">
        <f t="shared" si="5"/>
        <v>4040</v>
      </c>
    </row>
    <row r="173" spans="1:8" x14ac:dyDescent="0.25">
      <c r="A173" s="8">
        <v>43088.743449074071</v>
      </c>
      <c r="B173" s="20" t="s">
        <v>689</v>
      </c>
      <c r="C173" s="20" t="s">
        <v>690</v>
      </c>
      <c r="D173" s="137">
        <v>3680000</v>
      </c>
      <c r="E173" s="20" t="s">
        <v>469</v>
      </c>
      <c r="F173" s="20" t="s">
        <v>470</v>
      </c>
      <c r="G173" s="8" t="str">
        <f t="shared" si="4"/>
        <v>HAMMOND JUSTYNN</v>
      </c>
      <c r="H173" s="20" t="str">
        <f t="shared" si="5"/>
        <v>4027</v>
      </c>
    </row>
    <row r="174" spans="1:8" x14ac:dyDescent="0.25">
      <c r="A174" s="8">
        <v>43088.744687500002</v>
      </c>
      <c r="B174" s="20" t="s">
        <v>725</v>
      </c>
      <c r="C174" s="20" t="s">
        <v>857</v>
      </c>
      <c r="D174" s="137">
        <v>2230000</v>
      </c>
      <c r="E174" s="20" t="s">
        <v>392</v>
      </c>
      <c r="F174" s="20" t="s">
        <v>351</v>
      </c>
      <c r="G174" s="8" t="str">
        <f t="shared" si="4"/>
        <v>SMITH MICHAEL</v>
      </c>
      <c r="H174" s="20" t="str">
        <f t="shared" si="5"/>
        <v>4032</v>
      </c>
    </row>
    <row r="175" spans="1:8" x14ac:dyDescent="0.25">
      <c r="A175" s="8">
        <v>43088.745092592595</v>
      </c>
      <c r="B175" s="20" t="s">
        <v>385</v>
      </c>
      <c r="C175" s="20" t="s">
        <v>858</v>
      </c>
      <c r="D175" s="137">
        <v>3490000</v>
      </c>
      <c r="E175" s="20" t="s">
        <v>859</v>
      </c>
      <c r="F175" s="20" t="s">
        <v>860</v>
      </c>
      <c r="G175" s="8" t="str">
        <f t="shared" si="4"/>
        <v>WEST BRYAN</v>
      </c>
      <c r="H175" s="20" t="str">
        <f t="shared" si="5"/>
        <v>4029</v>
      </c>
    </row>
    <row r="176" spans="1:8" x14ac:dyDescent="0.25">
      <c r="A176" s="8">
        <v>43088.746620370373</v>
      </c>
      <c r="B176" s="20" t="s">
        <v>532</v>
      </c>
      <c r="C176" s="20" t="s">
        <v>861</v>
      </c>
      <c r="D176" s="137">
        <v>2000000</v>
      </c>
      <c r="E176" s="20" t="s">
        <v>393</v>
      </c>
      <c r="F176" s="20" t="s">
        <v>394</v>
      </c>
      <c r="G176" s="8" t="str">
        <f t="shared" si="4"/>
        <v>STAMBAUGH JAMES</v>
      </c>
      <c r="H176" s="20" t="str">
        <f t="shared" si="5"/>
        <v>4021</v>
      </c>
    </row>
    <row r="177" spans="1:8" x14ac:dyDescent="0.25">
      <c r="A177" s="8">
        <v>43088.753993055558</v>
      </c>
      <c r="B177" s="20" t="s">
        <v>549</v>
      </c>
      <c r="C177" s="20" t="s">
        <v>862</v>
      </c>
      <c r="D177" s="137">
        <v>2970000</v>
      </c>
      <c r="E177" s="20" t="s">
        <v>373</v>
      </c>
      <c r="F177" s="20" t="s">
        <v>374</v>
      </c>
      <c r="G177" s="8" t="str">
        <f t="shared" si="4"/>
        <v>GUZMAN DANNY</v>
      </c>
      <c r="H177" s="20" t="str">
        <f t="shared" si="5"/>
        <v>4058</v>
      </c>
    </row>
    <row r="178" spans="1:8" x14ac:dyDescent="0.25">
      <c r="A178" s="8">
        <v>43088.754953703705</v>
      </c>
      <c r="B178" s="20" t="s">
        <v>350</v>
      </c>
      <c r="C178" s="20" t="s">
        <v>863</v>
      </c>
      <c r="D178" s="137">
        <v>1180000</v>
      </c>
      <c r="E178" s="20" t="s">
        <v>599</v>
      </c>
      <c r="F178" s="20" t="s">
        <v>600</v>
      </c>
      <c r="G178" s="8" t="str">
        <f t="shared" si="4"/>
        <v>LEVERE CRAIG</v>
      </c>
      <c r="H178" s="20" t="str">
        <f t="shared" si="5"/>
        <v>4055</v>
      </c>
    </row>
    <row r="179" spans="1:8" x14ac:dyDescent="0.25">
      <c r="A179" s="8">
        <v>43088.758055555554</v>
      </c>
      <c r="B179" s="20" t="s">
        <v>359</v>
      </c>
      <c r="C179" s="20" t="s">
        <v>864</v>
      </c>
      <c r="D179" s="137">
        <v>3320000</v>
      </c>
      <c r="E179" s="20" t="s">
        <v>362</v>
      </c>
      <c r="F179" s="20" t="s">
        <v>363</v>
      </c>
      <c r="G179" s="8" t="str">
        <f t="shared" si="4"/>
        <v>NICHOLSON WESLEY</v>
      </c>
      <c r="H179" s="20" t="str">
        <f t="shared" si="5"/>
        <v>4018</v>
      </c>
    </row>
    <row r="180" spans="1:8" x14ac:dyDescent="0.25">
      <c r="A180" s="8">
        <v>43088.759745370371</v>
      </c>
      <c r="B180" s="20" t="s">
        <v>715</v>
      </c>
      <c r="C180" s="20" t="s">
        <v>865</v>
      </c>
      <c r="D180" s="137">
        <v>2630000</v>
      </c>
      <c r="E180" s="20" t="s">
        <v>371</v>
      </c>
      <c r="F180" s="20" t="s">
        <v>372</v>
      </c>
      <c r="G180" s="8" t="str">
        <f t="shared" si="4"/>
        <v>SAFIEF AEIMEN</v>
      </c>
      <c r="H180" s="20" t="str">
        <f t="shared" si="5"/>
        <v>4063</v>
      </c>
    </row>
    <row r="181" spans="1:8" x14ac:dyDescent="0.25">
      <c r="A181" s="8">
        <v>43088.767916666664</v>
      </c>
      <c r="B181" s="20" t="s">
        <v>719</v>
      </c>
      <c r="C181" s="20" t="s">
        <v>866</v>
      </c>
      <c r="D181" s="137">
        <v>2970000</v>
      </c>
      <c r="E181" s="20" t="s">
        <v>373</v>
      </c>
      <c r="F181" s="20" t="s">
        <v>374</v>
      </c>
      <c r="G181" s="8" t="str">
        <f t="shared" si="4"/>
        <v>GUZMAN DANNY</v>
      </c>
      <c r="H181" s="20" t="str">
        <f t="shared" si="5"/>
        <v>4057</v>
      </c>
    </row>
    <row r="182" spans="1:8" x14ac:dyDescent="0.25">
      <c r="A182" s="8">
        <v>43088.768425925926</v>
      </c>
      <c r="B182" s="20" t="s">
        <v>478</v>
      </c>
      <c r="C182" s="20" t="s">
        <v>867</v>
      </c>
      <c r="D182" s="137">
        <v>3310000</v>
      </c>
      <c r="E182" s="20" t="s">
        <v>868</v>
      </c>
      <c r="F182" s="20" t="s">
        <v>869</v>
      </c>
      <c r="G182" s="8" t="str">
        <f t="shared" si="4"/>
        <v>ANDERS STEVEN</v>
      </c>
      <c r="H182" s="20" t="str">
        <f t="shared" si="5"/>
        <v>4014</v>
      </c>
    </row>
    <row r="183" spans="1:8" x14ac:dyDescent="0.25">
      <c r="A183" s="8">
        <v>43088.770983796298</v>
      </c>
      <c r="B183" s="20" t="s">
        <v>383</v>
      </c>
      <c r="C183" s="20" t="s">
        <v>870</v>
      </c>
      <c r="D183" s="137">
        <v>2000000</v>
      </c>
      <c r="E183" s="20" t="s">
        <v>393</v>
      </c>
      <c r="F183" s="20" t="s">
        <v>394</v>
      </c>
      <c r="G183" s="8" t="str">
        <f t="shared" si="4"/>
        <v>STAMBAUGH JAMES</v>
      </c>
      <c r="H183" s="20" t="str">
        <f t="shared" si="5"/>
        <v>4022</v>
      </c>
    </row>
    <row r="184" spans="1:8" x14ac:dyDescent="0.25">
      <c r="A184" s="8">
        <v>43088.774537037039</v>
      </c>
      <c r="B184" s="20" t="s">
        <v>389</v>
      </c>
      <c r="C184" s="20" t="s">
        <v>691</v>
      </c>
      <c r="D184" s="137">
        <v>890000</v>
      </c>
      <c r="E184" s="20" t="s">
        <v>343</v>
      </c>
      <c r="F184" s="20" t="s">
        <v>344</v>
      </c>
      <c r="G184" s="8" t="str">
        <f t="shared" si="4"/>
        <v>LOZA FIDEL</v>
      </c>
      <c r="H184" s="20" t="str">
        <f t="shared" si="5"/>
        <v>4059</v>
      </c>
    </row>
    <row r="185" spans="1:8" x14ac:dyDescent="0.25">
      <c r="A185" s="8">
        <v>43088.778541666667</v>
      </c>
      <c r="B185" s="20" t="s">
        <v>390</v>
      </c>
      <c r="C185" s="20" t="s">
        <v>871</v>
      </c>
      <c r="D185" s="137">
        <v>3680000</v>
      </c>
      <c r="E185" s="20" t="s">
        <v>469</v>
      </c>
      <c r="F185" s="20" t="s">
        <v>470</v>
      </c>
      <c r="G185" s="8" t="str">
        <f t="shared" si="4"/>
        <v>HAMMOND JUSTYNN</v>
      </c>
      <c r="H185" s="20" t="str">
        <f t="shared" si="5"/>
        <v>4028</v>
      </c>
    </row>
    <row r="186" spans="1:8" x14ac:dyDescent="0.25">
      <c r="A186" s="8">
        <v>43088.780613425923</v>
      </c>
      <c r="B186" s="20" t="s">
        <v>678</v>
      </c>
      <c r="C186" s="20" t="s">
        <v>872</v>
      </c>
      <c r="D186" s="137">
        <v>2230000</v>
      </c>
      <c r="E186" s="20" t="s">
        <v>392</v>
      </c>
      <c r="F186" s="20" t="s">
        <v>351</v>
      </c>
      <c r="G186" s="8" t="str">
        <f t="shared" si="4"/>
        <v>SMITH MICHAEL</v>
      </c>
      <c r="H186" s="20" t="str">
        <f t="shared" si="5"/>
        <v>4031</v>
      </c>
    </row>
    <row r="187" spans="1:8" x14ac:dyDescent="0.25">
      <c r="A187" s="8">
        <v>43088.788032407407</v>
      </c>
      <c r="B187" s="20" t="s">
        <v>532</v>
      </c>
      <c r="C187" s="20" t="s">
        <v>873</v>
      </c>
      <c r="D187" s="137">
        <v>2000000</v>
      </c>
      <c r="E187" s="20" t="s">
        <v>393</v>
      </c>
      <c r="F187" s="20" t="s">
        <v>394</v>
      </c>
      <c r="G187" s="8" t="str">
        <f t="shared" si="4"/>
        <v>STAMBAUGH JAMES</v>
      </c>
      <c r="H187" s="20" t="str">
        <f t="shared" si="5"/>
        <v>4021</v>
      </c>
    </row>
    <row r="188" spans="1:8" x14ac:dyDescent="0.25">
      <c r="A188" s="8">
        <v>43088.788287037038</v>
      </c>
      <c r="B188" s="20" t="s">
        <v>475</v>
      </c>
      <c r="C188" s="20" t="s">
        <v>874</v>
      </c>
      <c r="D188" s="137">
        <v>3220000</v>
      </c>
      <c r="E188" s="20" t="s">
        <v>377</v>
      </c>
      <c r="F188" s="20" t="s">
        <v>378</v>
      </c>
      <c r="G188" s="8" t="str">
        <f t="shared" si="4"/>
        <v>RESPASS AARON</v>
      </c>
      <c r="H188" s="20" t="str">
        <f t="shared" si="5"/>
        <v>4056</v>
      </c>
    </row>
    <row r="189" spans="1:8" x14ac:dyDescent="0.25">
      <c r="A189" s="8">
        <v>43088.790173611109</v>
      </c>
      <c r="B189" s="20" t="s">
        <v>549</v>
      </c>
      <c r="C189" s="20" t="s">
        <v>875</v>
      </c>
      <c r="D189" s="137">
        <v>2970000</v>
      </c>
      <c r="E189" s="20" t="s">
        <v>373</v>
      </c>
      <c r="F189" s="20" t="s">
        <v>374</v>
      </c>
      <c r="G189" s="8" t="str">
        <f t="shared" si="4"/>
        <v>GUZMAN DANNY</v>
      </c>
      <c r="H189" s="20" t="str">
        <f t="shared" si="5"/>
        <v>4058</v>
      </c>
    </row>
    <row r="190" spans="1:8" x14ac:dyDescent="0.25">
      <c r="A190" s="8">
        <v>43088.791539351849</v>
      </c>
      <c r="B190" s="20" t="s">
        <v>361</v>
      </c>
      <c r="C190" s="20" t="s">
        <v>876</v>
      </c>
      <c r="D190" s="137">
        <v>3320000</v>
      </c>
      <c r="E190" s="20" t="s">
        <v>362</v>
      </c>
      <c r="F190" s="20" t="s">
        <v>363</v>
      </c>
      <c r="G190" s="8" t="str">
        <f t="shared" si="4"/>
        <v>NICHOLSON WESLEY</v>
      </c>
      <c r="H190" s="20" t="str">
        <f t="shared" si="5"/>
        <v>4017</v>
      </c>
    </row>
    <row r="191" spans="1:8" x14ac:dyDescent="0.25">
      <c r="A191" s="8">
        <v>43088.797615740739</v>
      </c>
      <c r="B191" s="20" t="s">
        <v>685</v>
      </c>
      <c r="C191" s="20" t="s">
        <v>877</v>
      </c>
      <c r="D191" s="137">
        <v>2630000</v>
      </c>
      <c r="E191" s="20" t="s">
        <v>371</v>
      </c>
      <c r="F191" s="20" t="s">
        <v>372</v>
      </c>
      <c r="G191" s="8" t="str">
        <f t="shared" si="4"/>
        <v>SAFIEF AEIMEN</v>
      </c>
      <c r="H191" s="20" t="str">
        <f t="shared" si="5"/>
        <v>4064</v>
      </c>
    </row>
    <row r="192" spans="1:8" x14ac:dyDescent="0.25">
      <c r="A192" s="8">
        <v>43088.799560185187</v>
      </c>
      <c r="B192" s="20" t="s">
        <v>479</v>
      </c>
      <c r="C192" s="20" t="s">
        <v>878</v>
      </c>
      <c r="D192" s="137">
        <v>3310000</v>
      </c>
      <c r="E192" s="20" t="s">
        <v>868</v>
      </c>
      <c r="F192" s="20" t="s">
        <v>869</v>
      </c>
      <c r="G192" s="8" t="str">
        <f t="shared" si="4"/>
        <v>ANDERS STEVEN</v>
      </c>
      <c r="H192" s="20" t="str">
        <f t="shared" si="5"/>
        <v>4013</v>
      </c>
    </row>
    <row r="193" spans="1:8" x14ac:dyDescent="0.25">
      <c r="A193" s="8">
        <v>43088.809386574074</v>
      </c>
      <c r="B193" s="20" t="s">
        <v>719</v>
      </c>
      <c r="C193" s="20" t="s">
        <v>879</v>
      </c>
      <c r="D193" s="137">
        <v>2970000</v>
      </c>
      <c r="E193" s="20" t="s">
        <v>373</v>
      </c>
      <c r="F193" s="20" t="s">
        <v>374</v>
      </c>
      <c r="G193" s="8" t="str">
        <f t="shared" si="4"/>
        <v>GUZMAN DANNY</v>
      </c>
      <c r="H193" s="20" t="str">
        <f t="shared" si="5"/>
        <v>4057</v>
      </c>
    </row>
    <row r="194" spans="1:8" x14ac:dyDescent="0.25">
      <c r="A194" s="8">
        <v>43088.810555555552</v>
      </c>
      <c r="B194" s="20" t="s">
        <v>356</v>
      </c>
      <c r="C194" s="20" t="s">
        <v>880</v>
      </c>
      <c r="D194" s="137">
        <v>890000</v>
      </c>
      <c r="E194" s="20" t="s">
        <v>343</v>
      </c>
      <c r="F194" s="20" t="s">
        <v>344</v>
      </c>
      <c r="G194" s="8" t="str">
        <f t="shared" si="4"/>
        <v>LOZA FIDEL</v>
      </c>
      <c r="H194" s="20" t="str">
        <f t="shared" si="5"/>
        <v>4060</v>
      </c>
    </row>
    <row r="195" spans="1:8" x14ac:dyDescent="0.25">
      <c r="A195" s="8">
        <v>43088.819872685184</v>
      </c>
      <c r="B195" s="20" t="s">
        <v>725</v>
      </c>
      <c r="C195" s="20" t="s">
        <v>881</v>
      </c>
      <c r="D195" s="137">
        <v>2230000</v>
      </c>
      <c r="E195" s="20" t="s">
        <v>392</v>
      </c>
      <c r="F195" s="20" t="s">
        <v>351</v>
      </c>
      <c r="G195" s="8" t="str">
        <f t="shared" ref="G195:G258" si="6">E195&amp;" "&amp;F195</f>
        <v>SMITH MICHAEL</v>
      </c>
      <c r="H195" s="20" t="str">
        <f t="shared" ref="H195:H258" si="7">MID(B195,13,4)</f>
        <v>4032</v>
      </c>
    </row>
    <row r="196" spans="1:8" x14ac:dyDescent="0.25">
      <c r="A196" s="8">
        <v>43088.828414351854</v>
      </c>
      <c r="B196" s="20" t="s">
        <v>350</v>
      </c>
      <c r="C196" s="20" t="s">
        <v>692</v>
      </c>
      <c r="D196" s="137">
        <v>3220000</v>
      </c>
      <c r="E196" s="20" t="s">
        <v>377</v>
      </c>
      <c r="F196" s="20" t="s">
        <v>378</v>
      </c>
      <c r="G196" s="8" t="str">
        <f t="shared" si="6"/>
        <v>RESPASS AARON</v>
      </c>
      <c r="H196" s="20" t="str">
        <f t="shared" si="7"/>
        <v>4055</v>
      </c>
    </row>
    <row r="197" spans="1:8" x14ac:dyDescent="0.25">
      <c r="A197" s="8">
        <v>43088.830717592595</v>
      </c>
      <c r="B197" s="20" t="s">
        <v>359</v>
      </c>
      <c r="C197" s="20" t="s">
        <v>882</v>
      </c>
      <c r="D197" s="137">
        <v>3130000</v>
      </c>
      <c r="E197" s="20" t="s">
        <v>883</v>
      </c>
      <c r="F197" s="20" t="s">
        <v>884</v>
      </c>
      <c r="G197" s="8" t="str">
        <f t="shared" si="6"/>
        <v>ZEWDU DEREJE</v>
      </c>
      <c r="H197" s="20" t="str">
        <f t="shared" si="7"/>
        <v>4018</v>
      </c>
    </row>
    <row r="198" spans="1:8" x14ac:dyDescent="0.25">
      <c r="A198" s="8">
        <v>43088.832025462965</v>
      </c>
      <c r="B198" s="20" t="s">
        <v>549</v>
      </c>
      <c r="C198" s="20" t="s">
        <v>885</v>
      </c>
      <c r="D198" s="137">
        <v>2970000</v>
      </c>
      <c r="E198" s="20" t="s">
        <v>373</v>
      </c>
      <c r="F198" s="20" t="s">
        <v>374</v>
      </c>
      <c r="G198" s="8" t="str">
        <f t="shared" si="6"/>
        <v>GUZMAN DANNY</v>
      </c>
      <c r="H198" s="20" t="str">
        <f t="shared" si="7"/>
        <v>4058</v>
      </c>
    </row>
    <row r="199" spans="1:8" x14ac:dyDescent="0.25">
      <c r="A199" s="8">
        <v>43088.850486111114</v>
      </c>
      <c r="B199" s="20" t="s">
        <v>478</v>
      </c>
      <c r="C199" s="20" t="s">
        <v>886</v>
      </c>
      <c r="D199" s="137">
        <v>2610000</v>
      </c>
      <c r="E199" s="20" t="s">
        <v>379</v>
      </c>
      <c r="F199" s="20" t="s">
        <v>380</v>
      </c>
      <c r="G199" s="8" t="str">
        <f t="shared" si="6"/>
        <v>MAGEE KENYA</v>
      </c>
      <c r="H199" s="20" t="str">
        <f t="shared" si="7"/>
        <v>4014</v>
      </c>
    </row>
    <row r="200" spans="1:8" x14ac:dyDescent="0.25">
      <c r="A200" s="8">
        <v>43088.850532407407</v>
      </c>
      <c r="B200" s="20" t="s">
        <v>719</v>
      </c>
      <c r="C200" s="20" t="s">
        <v>887</v>
      </c>
      <c r="D200" s="137">
        <v>2970000</v>
      </c>
      <c r="E200" s="20" t="s">
        <v>373</v>
      </c>
      <c r="F200" s="20" t="s">
        <v>374</v>
      </c>
      <c r="G200" s="8" t="str">
        <f t="shared" si="6"/>
        <v>GUZMAN DANNY</v>
      </c>
      <c r="H200" s="20" t="str">
        <f t="shared" si="7"/>
        <v>4057</v>
      </c>
    </row>
    <row r="201" spans="1:8" x14ac:dyDescent="0.25">
      <c r="A201" s="8">
        <v>43088.851203703707</v>
      </c>
      <c r="B201" s="20" t="s">
        <v>389</v>
      </c>
      <c r="C201" s="20" t="s">
        <v>888</v>
      </c>
      <c r="D201" s="137">
        <v>890000</v>
      </c>
      <c r="E201" s="20" t="s">
        <v>343</v>
      </c>
      <c r="F201" s="20" t="s">
        <v>344</v>
      </c>
      <c r="G201" s="8" t="str">
        <f t="shared" si="6"/>
        <v>LOZA FIDEL</v>
      </c>
      <c r="H201" s="20" t="str">
        <f t="shared" si="7"/>
        <v>4059</v>
      </c>
    </row>
    <row r="202" spans="1:8" x14ac:dyDescent="0.25">
      <c r="A202" s="26">
        <v>43088.865057870367</v>
      </c>
      <c r="B202" s="20" t="s">
        <v>361</v>
      </c>
      <c r="C202" s="20" t="s">
        <v>889</v>
      </c>
      <c r="D202" s="137">
        <v>3130000</v>
      </c>
      <c r="E202" s="20" t="s">
        <v>883</v>
      </c>
      <c r="F202" s="20" t="s">
        <v>884</v>
      </c>
      <c r="G202" s="8" t="str">
        <f t="shared" si="6"/>
        <v>ZEWDU DEREJE</v>
      </c>
      <c r="H202" s="20" t="str">
        <f t="shared" si="7"/>
        <v>4017</v>
      </c>
    </row>
    <row r="203" spans="1:8" x14ac:dyDescent="0.25">
      <c r="A203" s="8">
        <v>43088.86614583333</v>
      </c>
      <c r="B203" s="20" t="s">
        <v>475</v>
      </c>
      <c r="C203" s="20" t="s">
        <v>890</v>
      </c>
      <c r="D203" s="137">
        <v>3220000</v>
      </c>
      <c r="E203" s="20" t="s">
        <v>377</v>
      </c>
      <c r="F203" s="20" t="s">
        <v>378</v>
      </c>
      <c r="G203" s="8" t="str">
        <f t="shared" si="6"/>
        <v>RESPASS AARON</v>
      </c>
      <c r="H203" s="20" t="str">
        <f t="shared" si="7"/>
        <v>4056</v>
      </c>
    </row>
    <row r="204" spans="1:8" x14ac:dyDescent="0.25">
      <c r="A204" s="8">
        <v>43088.877280092594</v>
      </c>
      <c r="B204" s="20" t="s">
        <v>549</v>
      </c>
      <c r="C204" s="20" t="s">
        <v>891</v>
      </c>
      <c r="D204" s="137">
        <v>2000000</v>
      </c>
      <c r="E204" s="20" t="s">
        <v>393</v>
      </c>
      <c r="F204" s="20" t="s">
        <v>394</v>
      </c>
      <c r="G204" s="8" t="str">
        <f t="shared" si="6"/>
        <v>STAMBAUGH JAMES</v>
      </c>
      <c r="H204" s="20" t="str">
        <f t="shared" si="7"/>
        <v>4058</v>
      </c>
    </row>
    <row r="205" spans="1:8" x14ac:dyDescent="0.25">
      <c r="A205" s="8">
        <v>43088.890821759262</v>
      </c>
      <c r="B205" s="20" t="s">
        <v>479</v>
      </c>
      <c r="C205" s="20" t="s">
        <v>892</v>
      </c>
      <c r="D205" s="137">
        <v>2610000</v>
      </c>
      <c r="E205" s="20" t="s">
        <v>379</v>
      </c>
      <c r="F205" s="20" t="s">
        <v>380</v>
      </c>
      <c r="G205" s="8" t="str">
        <f t="shared" si="6"/>
        <v>MAGEE KENYA</v>
      </c>
      <c r="H205" s="20" t="str">
        <f t="shared" si="7"/>
        <v>4013</v>
      </c>
    </row>
    <row r="206" spans="1:8" x14ac:dyDescent="0.25">
      <c r="A206" s="8">
        <v>43088.892800925925</v>
      </c>
      <c r="B206" s="20" t="s">
        <v>719</v>
      </c>
      <c r="C206" s="20" t="s">
        <v>893</v>
      </c>
      <c r="D206" s="137">
        <v>2000000</v>
      </c>
      <c r="E206" s="20" t="s">
        <v>393</v>
      </c>
      <c r="F206" s="20" t="s">
        <v>394</v>
      </c>
      <c r="G206" s="8" t="str">
        <f t="shared" si="6"/>
        <v>STAMBAUGH JAMES</v>
      </c>
      <c r="H206" s="20" t="str">
        <f t="shared" si="7"/>
        <v>4057</v>
      </c>
    </row>
    <row r="207" spans="1:8" x14ac:dyDescent="0.25">
      <c r="A207" s="8">
        <v>43088.893969907411</v>
      </c>
      <c r="B207" s="20" t="s">
        <v>356</v>
      </c>
      <c r="C207" s="20" t="s">
        <v>894</v>
      </c>
      <c r="D207" s="137">
        <v>890000</v>
      </c>
      <c r="E207" s="20" t="s">
        <v>343</v>
      </c>
      <c r="F207" s="20" t="s">
        <v>344</v>
      </c>
      <c r="G207" s="8" t="str">
        <f t="shared" si="6"/>
        <v>LOZA FIDEL</v>
      </c>
      <c r="H207" s="20" t="str">
        <f t="shared" si="7"/>
        <v>4060</v>
      </c>
    </row>
    <row r="208" spans="1:8" x14ac:dyDescent="0.25">
      <c r="A208" s="8">
        <v>43088.902280092596</v>
      </c>
      <c r="B208" s="20" t="s">
        <v>359</v>
      </c>
      <c r="C208" s="20" t="s">
        <v>895</v>
      </c>
      <c r="D208" s="137">
        <v>3320000</v>
      </c>
      <c r="E208" s="20" t="s">
        <v>362</v>
      </c>
      <c r="F208" s="20" t="s">
        <v>363</v>
      </c>
      <c r="G208" s="8" t="str">
        <f t="shared" si="6"/>
        <v>NICHOLSON WESLEY</v>
      </c>
      <c r="H208" s="20" t="str">
        <f t="shared" si="7"/>
        <v>4018</v>
      </c>
    </row>
    <row r="209" spans="1:8" x14ac:dyDescent="0.25">
      <c r="A209" s="8">
        <v>43088.904513888891</v>
      </c>
      <c r="B209" s="20" t="s">
        <v>361</v>
      </c>
      <c r="C209" s="20" t="s">
        <v>895</v>
      </c>
      <c r="D209" s="137">
        <v>3320000</v>
      </c>
      <c r="E209" s="20" t="s">
        <v>362</v>
      </c>
      <c r="F209" s="20" t="s">
        <v>363</v>
      </c>
      <c r="G209" s="8" t="str">
        <f t="shared" si="6"/>
        <v>NICHOLSON WESLEY</v>
      </c>
      <c r="H209" s="20" t="str">
        <f t="shared" si="7"/>
        <v>4017</v>
      </c>
    </row>
    <row r="210" spans="1:8" x14ac:dyDescent="0.25">
      <c r="A210" s="8">
        <v>43088.912847222222</v>
      </c>
      <c r="B210" s="20" t="s">
        <v>350</v>
      </c>
      <c r="C210" s="20" t="s">
        <v>693</v>
      </c>
      <c r="D210" s="137">
        <v>3220000</v>
      </c>
      <c r="E210" s="20" t="s">
        <v>377</v>
      </c>
      <c r="F210" s="20" t="s">
        <v>378</v>
      </c>
      <c r="G210" s="8" t="str">
        <f t="shared" si="6"/>
        <v>RESPASS AARON</v>
      </c>
      <c r="H210" s="20" t="str">
        <f t="shared" si="7"/>
        <v>4055</v>
      </c>
    </row>
    <row r="211" spans="1:8" x14ac:dyDescent="0.25">
      <c r="A211" s="8">
        <v>43088.917905092596</v>
      </c>
      <c r="B211" s="20" t="s">
        <v>549</v>
      </c>
      <c r="C211" s="20" t="s">
        <v>896</v>
      </c>
      <c r="D211" s="137">
        <v>2000000</v>
      </c>
      <c r="E211" s="20" t="s">
        <v>393</v>
      </c>
      <c r="F211" s="20" t="s">
        <v>394</v>
      </c>
      <c r="G211" s="8" t="str">
        <f t="shared" si="6"/>
        <v>STAMBAUGH JAMES</v>
      </c>
      <c r="H211" s="20" t="str">
        <f t="shared" si="7"/>
        <v>4058</v>
      </c>
    </row>
    <row r="212" spans="1:8" x14ac:dyDescent="0.25">
      <c r="A212" s="8">
        <v>43088.93172453704</v>
      </c>
      <c r="B212" s="20" t="s">
        <v>389</v>
      </c>
      <c r="C212" s="20" t="s">
        <v>897</v>
      </c>
      <c r="D212" s="137">
        <v>890000</v>
      </c>
      <c r="E212" s="20" t="s">
        <v>343</v>
      </c>
      <c r="F212" s="20" t="s">
        <v>344</v>
      </c>
      <c r="G212" s="8" t="str">
        <f t="shared" si="6"/>
        <v>LOZA FIDEL</v>
      </c>
      <c r="H212" s="20" t="str">
        <f t="shared" si="7"/>
        <v>4059</v>
      </c>
    </row>
    <row r="213" spans="1:8" x14ac:dyDescent="0.25">
      <c r="A213" s="8">
        <v>43088.93304398148</v>
      </c>
      <c r="B213" s="20" t="s">
        <v>719</v>
      </c>
      <c r="C213" s="20" t="s">
        <v>898</v>
      </c>
      <c r="D213" s="137">
        <v>2000000</v>
      </c>
      <c r="E213" s="20" t="s">
        <v>393</v>
      </c>
      <c r="F213" s="20" t="s">
        <v>394</v>
      </c>
      <c r="G213" s="8" t="str">
        <f t="shared" si="6"/>
        <v>STAMBAUGH JAMES</v>
      </c>
      <c r="H213" s="20" t="str">
        <f t="shared" si="7"/>
        <v>4057</v>
      </c>
    </row>
    <row r="214" spans="1:8" x14ac:dyDescent="0.25">
      <c r="A214" s="8">
        <v>43088.936261574076</v>
      </c>
      <c r="B214" s="20" t="s">
        <v>478</v>
      </c>
      <c r="C214" s="20" t="s">
        <v>899</v>
      </c>
      <c r="D214" s="137">
        <v>2610000</v>
      </c>
      <c r="E214" s="20" t="s">
        <v>379</v>
      </c>
      <c r="F214" s="20" t="s">
        <v>380</v>
      </c>
      <c r="G214" s="8" t="str">
        <f t="shared" si="6"/>
        <v>MAGEE KENYA</v>
      </c>
      <c r="H214" s="20" t="str">
        <f t="shared" si="7"/>
        <v>4014</v>
      </c>
    </row>
    <row r="215" spans="1:8" x14ac:dyDescent="0.25">
      <c r="A215" s="8">
        <v>43088.949652777781</v>
      </c>
      <c r="B215" s="20" t="s">
        <v>475</v>
      </c>
      <c r="C215" s="20" t="s">
        <v>900</v>
      </c>
      <c r="D215" s="137">
        <v>3220000</v>
      </c>
      <c r="E215" s="20" t="s">
        <v>377</v>
      </c>
      <c r="F215" s="20" t="s">
        <v>378</v>
      </c>
      <c r="G215" s="8" t="str">
        <f t="shared" si="6"/>
        <v>RESPASS AARON</v>
      </c>
      <c r="H215" s="20" t="str">
        <f t="shared" si="7"/>
        <v>4056</v>
      </c>
    </row>
    <row r="216" spans="1:8" x14ac:dyDescent="0.25">
      <c r="A216" s="8">
        <v>43088.950231481482</v>
      </c>
      <c r="B216" s="20" t="s">
        <v>361</v>
      </c>
      <c r="C216" s="20" t="s">
        <v>901</v>
      </c>
      <c r="D216" s="137">
        <v>3320000</v>
      </c>
      <c r="E216" s="20" t="s">
        <v>362</v>
      </c>
      <c r="F216" s="20" t="s">
        <v>363</v>
      </c>
      <c r="G216" s="8" t="str">
        <f t="shared" si="6"/>
        <v>NICHOLSON WESLEY</v>
      </c>
      <c r="H216" s="20" t="str">
        <f t="shared" si="7"/>
        <v>4017</v>
      </c>
    </row>
    <row r="217" spans="1:8" x14ac:dyDescent="0.25">
      <c r="A217" s="8">
        <v>43088.962476851855</v>
      </c>
      <c r="B217" s="20" t="s">
        <v>549</v>
      </c>
      <c r="C217" s="20" t="s">
        <v>902</v>
      </c>
      <c r="D217" s="137">
        <v>2000000</v>
      </c>
      <c r="E217" s="20" t="s">
        <v>393</v>
      </c>
      <c r="F217" s="20" t="s">
        <v>394</v>
      </c>
      <c r="G217" s="8" t="str">
        <f t="shared" si="6"/>
        <v>STAMBAUGH JAMES</v>
      </c>
      <c r="H217" s="20" t="str">
        <f t="shared" si="7"/>
        <v>4058</v>
      </c>
    </row>
    <row r="218" spans="1:8" x14ac:dyDescent="0.25">
      <c r="A218" s="8">
        <v>43088.963240740741</v>
      </c>
      <c r="B218" s="20" t="s">
        <v>356</v>
      </c>
      <c r="C218" s="20" t="s">
        <v>903</v>
      </c>
      <c r="D218" s="137">
        <v>890000</v>
      </c>
      <c r="E218" s="20" t="s">
        <v>343</v>
      </c>
      <c r="F218" s="20" t="s">
        <v>344</v>
      </c>
      <c r="G218" s="8" t="str">
        <f t="shared" si="6"/>
        <v>LOZA FIDEL</v>
      </c>
      <c r="H218" s="20" t="str">
        <f t="shared" si="7"/>
        <v>4060</v>
      </c>
    </row>
    <row r="219" spans="1:8" x14ac:dyDescent="0.25">
      <c r="A219" s="8">
        <v>43088.970277777778</v>
      </c>
      <c r="B219" s="20" t="s">
        <v>479</v>
      </c>
      <c r="C219" s="20" t="s">
        <v>904</v>
      </c>
      <c r="D219" s="137">
        <v>2610000</v>
      </c>
      <c r="E219" s="20" t="s">
        <v>379</v>
      </c>
      <c r="F219" s="20" t="s">
        <v>380</v>
      </c>
      <c r="G219" s="8" t="str">
        <f t="shared" si="6"/>
        <v>MAGEE KENYA</v>
      </c>
      <c r="H219" s="20" t="str">
        <f t="shared" si="7"/>
        <v>4013</v>
      </c>
    </row>
    <row r="220" spans="1:8" x14ac:dyDescent="0.25">
      <c r="A220" s="8">
        <v>43088.974305555559</v>
      </c>
      <c r="B220" s="20" t="s">
        <v>719</v>
      </c>
      <c r="C220" s="20" t="s">
        <v>905</v>
      </c>
      <c r="D220" s="137">
        <v>2000000</v>
      </c>
      <c r="E220" s="20" t="s">
        <v>393</v>
      </c>
      <c r="F220" s="20" t="s">
        <v>394</v>
      </c>
      <c r="G220" s="8" t="str">
        <f t="shared" si="6"/>
        <v>STAMBAUGH JAMES</v>
      </c>
      <c r="H220" s="20" t="str">
        <f t="shared" si="7"/>
        <v>4057</v>
      </c>
    </row>
    <row r="221" spans="1:8" x14ac:dyDescent="0.25">
      <c r="A221" s="8">
        <v>43088.988437499997</v>
      </c>
      <c r="B221" s="20" t="s">
        <v>350</v>
      </c>
      <c r="C221" s="20" t="s">
        <v>906</v>
      </c>
      <c r="D221" s="137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4055</v>
      </c>
    </row>
    <row r="222" spans="1:8" x14ac:dyDescent="0.25">
      <c r="A222" s="8">
        <v>43088.991724537038</v>
      </c>
      <c r="B222" s="20" t="s">
        <v>359</v>
      </c>
      <c r="C222" s="20" t="s">
        <v>694</v>
      </c>
      <c r="D222" s="137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4018</v>
      </c>
    </row>
    <row r="223" spans="1:8" x14ac:dyDescent="0.25">
      <c r="A223" s="8">
        <v>43089.008368055554</v>
      </c>
      <c r="B223" s="20" t="s">
        <v>478</v>
      </c>
      <c r="C223" s="20" t="s">
        <v>907</v>
      </c>
      <c r="D223" s="137">
        <v>2610000</v>
      </c>
      <c r="E223" s="20" t="s">
        <v>379</v>
      </c>
      <c r="F223" s="20" t="s">
        <v>380</v>
      </c>
      <c r="G223" s="8" t="str">
        <f t="shared" si="6"/>
        <v>MAGEE KENYA</v>
      </c>
      <c r="H223" s="20" t="str">
        <f t="shared" si="7"/>
        <v>4014</v>
      </c>
    </row>
    <row r="224" spans="1:8" x14ac:dyDescent="0.25">
      <c r="A224" s="8">
        <v>43089.013333333336</v>
      </c>
      <c r="B224" t="s">
        <v>389</v>
      </c>
      <c r="C224" t="s">
        <v>908</v>
      </c>
      <c r="D224" s="137">
        <v>890000</v>
      </c>
      <c r="E224" t="s">
        <v>343</v>
      </c>
      <c r="F224" s="20" t="s">
        <v>344</v>
      </c>
      <c r="G224" s="8" t="str">
        <f t="shared" si="6"/>
        <v>LOZA FIDEL</v>
      </c>
      <c r="H224" s="20" t="str">
        <f t="shared" si="7"/>
        <v>4059</v>
      </c>
    </row>
    <row r="225" spans="1:8" x14ac:dyDescent="0.25">
      <c r="A225" s="8">
        <v>43089.025138888886</v>
      </c>
      <c r="B225" t="s">
        <v>475</v>
      </c>
      <c r="C225" t="s">
        <v>909</v>
      </c>
      <c r="D225" s="137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4056</v>
      </c>
    </row>
    <row r="226" spans="1:8" x14ac:dyDescent="0.25">
      <c r="A226" s="8">
        <v>43089.03670138889</v>
      </c>
      <c r="B226" t="s">
        <v>361</v>
      </c>
      <c r="C226" t="s">
        <v>910</v>
      </c>
      <c r="D226" s="137">
        <v>3320000</v>
      </c>
      <c r="E226" t="s">
        <v>362</v>
      </c>
      <c r="F226" s="20" t="s">
        <v>363</v>
      </c>
      <c r="G226" s="8" t="str">
        <f t="shared" si="6"/>
        <v>NICHOLSON WESLEY</v>
      </c>
      <c r="H226" s="20" t="str">
        <f t="shared" si="7"/>
        <v>4017</v>
      </c>
    </row>
    <row r="227" spans="1:8" x14ac:dyDescent="0.25">
      <c r="A227" s="8">
        <v>43089.047199074077</v>
      </c>
      <c r="B227" t="s">
        <v>356</v>
      </c>
      <c r="C227" t="s">
        <v>911</v>
      </c>
      <c r="D227" s="137">
        <v>890000</v>
      </c>
      <c r="E227" t="s">
        <v>343</v>
      </c>
      <c r="F227" s="20" t="s">
        <v>344</v>
      </c>
      <c r="G227" s="8" t="str">
        <f t="shared" si="6"/>
        <v>LOZA FIDEL</v>
      </c>
      <c r="H227" s="20" t="str">
        <f t="shared" si="7"/>
        <v>4060</v>
      </c>
    </row>
    <row r="228" spans="1:8" x14ac:dyDescent="0.25">
      <c r="A228" s="8">
        <v>43089.062638888892</v>
      </c>
      <c r="B228" t="s">
        <v>479</v>
      </c>
      <c r="C228" t="s">
        <v>695</v>
      </c>
      <c r="D228" s="137">
        <v>2610000</v>
      </c>
      <c r="E228" t="s">
        <v>379</v>
      </c>
      <c r="F228" s="20" t="s">
        <v>380</v>
      </c>
      <c r="G228" s="8" t="str">
        <f t="shared" si="6"/>
        <v>MAGEE KENYA</v>
      </c>
      <c r="H228" s="20" t="str">
        <f t="shared" si="7"/>
        <v>4013</v>
      </c>
    </row>
    <row r="229" spans="1:8" x14ac:dyDescent="0.25">
      <c r="A229" s="8">
        <v>43089.070844907408</v>
      </c>
      <c r="B229" t="s">
        <v>359</v>
      </c>
      <c r="C229" t="s">
        <v>912</v>
      </c>
      <c r="D229" s="137">
        <v>3320000</v>
      </c>
      <c r="E229" t="s">
        <v>362</v>
      </c>
      <c r="F229" s="20" t="s">
        <v>363</v>
      </c>
      <c r="G229" s="8" t="str">
        <f t="shared" si="6"/>
        <v>NICHOLSON WESLEY</v>
      </c>
      <c r="H229" s="20" t="str">
        <f t="shared" si="7"/>
        <v>4018</v>
      </c>
    </row>
    <row r="230" spans="1:8" x14ac:dyDescent="0.25">
      <c r="A230" s="8">
        <v>43089.079629629632</v>
      </c>
      <c r="B230" t="s">
        <v>479</v>
      </c>
      <c r="C230" t="s">
        <v>695</v>
      </c>
      <c r="D230" s="137">
        <v>2610000</v>
      </c>
      <c r="E230" t="s">
        <v>379</v>
      </c>
      <c r="F230" s="20" t="s">
        <v>380</v>
      </c>
      <c r="G230" s="8" t="str">
        <f t="shared" si="6"/>
        <v>MAGEE KENYA</v>
      </c>
      <c r="H230" s="20" t="str">
        <f t="shared" si="7"/>
        <v>4013</v>
      </c>
    </row>
    <row r="231" spans="1:8" x14ac:dyDescent="0.25">
      <c r="A231" s="8">
        <v>43089.093032407407</v>
      </c>
      <c r="B231" t="s">
        <v>478</v>
      </c>
      <c r="C231" t="s">
        <v>913</v>
      </c>
      <c r="D231" s="137">
        <v>2610000</v>
      </c>
      <c r="E231" t="s">
        <v>379</v>
      </c>
      <c r="F231" s="20" t="s">
        <v>380</v>
      </c>
      <c r="G231" s="8" t="str">
        <f t="shared" si="6"/>
        <v>MAGEE KENYA</v>
      </c>
      <c r="H231" s="20" t="str">
        <f t="shared" si="7"/>
        <v>4014</v>
      </c>
    </row>
    <row r="232" spans="1:8" x14ac:dyDescent="0.25">
      <c r="A232" s="8">
        <v>43087.994502314818</v>
      </c>
      <c r="B232" t="s">
        <v>441</v>
      </c>
      <c r="C232" t="s">
        <v>603</v>
      </c>
      <c r="D232" s="137">
        <v>3220000</v>
      </c>
      <c r="E232" t="s">
        <v>377</v>
      </c>
      <c r="F232" s="20" t="s">
        <v>378</v>
      </c>
      <c r="G232" s="8" t="str">
        <f t="shared" si="6"/>
        <v>RESPASS AARON</v>
      </c>
      <c r="H232" s="20" t="str">
        <f t="shared" si="7"/>
        <v>4010</v>
      </c>
    </row>
    <row r="233" spans="1:8" x14ac:dyDescent="0.25">
      <c r="A233" s="8">
        <v>43088.008912037039</v>
      </c>
      <c r="B233" t="s">
        <v>515</v>
      </c>
      <c r="C233" t="s">
        <v>604</v>
      </c>
      <c r="D233" s="137">
        <v>3700000</v>
      </c>
      <c r="E233" t="s">
        <v>444</v>
      </c>
      <c r="F233" s="20" t="s">
        <v>368</v>
      </c>
      <c r="G233" s="8" t="str">
        <f t="shared" si="6"/>
        <v>AUSTIN THOMPSON</v>
      </c>
      <c r="H233" s="20" t="str">
        <f t="shared" si="7"/>
        <v>4044</v>
      </c>
    </row>
    <row r="234" spans="1:8" x14ac:dyDescent="0.25">
      <c r="A234" s="8">
        <v>43088.011493055557</v>
      </c>
      <c r="B234" t="s">
        <v>515</v>
      </c>
      <c r="C234" t="s">
        <v>604</v>
      </c>
      <c r="D234" s="137">
        <v>3700000</v>
      </c>
      <c r="E234" t="s">
        <v>444</v>
      </c>
      <c r="F234" s="20" t="s">
        <v>368</v>
      </c>
      <c r="G234" s="8" t="str">
        <f t="shared" si="6"/>
        <v>AUSTIN THOMPSON</v>
      </c>
      <c r="H234" s="20" t="str">
        <f t="shared" si="7"/>
        <v>4044</v>
      </c>
    </row>
    <row r="235" spans="1:8" x14ac:dyDescent="0.25">
      <c r="A235" s="8">
        <v>43088.016759259262</v>
      </c>
      <c r="B235" t="s">
        <v>490</v>
      </c>
      <c r="C235" t="s">
        <v>605</v>
      </c>
      <c r="D235" s="137">
        <v>890000</v>
      </c>
      <c r="E235" t="s">
        <v>343</v>
      </c>
      <c r="F235" s="20" t="s">
        <v>344</v>
      </c>
      <c r="G235" s="8" t="str">
        <f t="shared" si="6"/>
        <v>LOZA FIDEL</v>
      </c>
      <c r="H235" s="20" t="str">
        <f t="shared" si="7"/>
        <v>4015</v>
      </c>
    </row>
    <row r="236" spans="1:8" x14ac:dyDescent="0.25">
      <c r="A236" s="8">
        <v>43088.025150462963</v>
      </c>
      <c r="B236" t="s">
        <v>448</v>
      </c>
      <c r="C236" t="s">
        <v>606</v>
      </c>
      <c r="D236" s="137">
        <v>3340000</v>
      </c>
      <c r="E236" t="s">
        <v>464</v>
      </c>
      <c r="F236" s="20" t="s">
        <v>465</v>
      </c>
      <c r="G236" s="8" t="str">
        <f t="shared" si="6"/>
        <v>ELBAUM MIKE</v>
      </c>
      <c r="H236" s="20" t="str">
        <f t="shared" si="7"/>
        <v>4052</v>
      </c>
    </row>
    <row r="237" spans="1:8" x14ac:dyDescent="0.25">
      <c r="A237" s="8">
        <v>43088.03702546296</v>
      </c>
      <c r="B237" t="s">
        <v>504</v>
      </c>
      <c r="C237" t="s">
        <v>607</v>
      </c>
      <c r="D237" s="137">
        <v>3220000</v>
      </c>
      <c r="E237" t="s">
        <v>377</v>
      </c>
      <c r="F237" s="20" t="s">
        <v>378</v>
      </c>
      <c r="G237" s="8" t="str">
        <f t="shared" si="6"/>
        <v>RESPASS AARON</v>
      </c>
      <c r="H237" s="20" t="str">
        <f t="shared" si="7"/>
        <v>4009</v>
      </c>
    </row>
    <row r="238" spans="1:8" x14ac:dyDescent="0.25">
      <c r="A238" s="8">
        <v>43088.047256944446</v>
      </c>
      <c r="B238" t="s">
        <v>492</v>
      </c>
      <c r="C238" t="s">
        <v>608</v>
      </c>
      <c r="D238" s="137">
        <v>890000</v>
      </c>
      <c r="E238" t="s">
        <v>343</v>
      </c>
      <c r="F238" s="20" t="s">
        <v>344</v>
      </c>
      <c r="G238" s="8" t="str">
        <f t="shared" si="6"/>
        <v>LOZA FIDEL</v>
      </c>
      <c r="H238" s="20" t="str">
        <f t="shared" si="7"/>
        <v>4016</v>
      </c>
    </row>
    <row r="239" spans="1:8" x14ac:dyDescent="0.25">
      <c r="A239" s="8">
        <v>43088.058078703703</v>
      </c>
      <c r="B239" t="s">
        <v>516</v>
      </c>
      <c r="C239" t="s">
        <v>609</v>
      </c>
      <c r="D239" s="137">
        <v>3700000</v>
      </c>
      <c r="E239" t="s">
        <v>444</v>
      </c>
      <c r="F239" s="20" t="s">
        <v>368</v>
      </c>
      <c r="G239" s="8" t="str">
        <f t="shared" si="6"/>
        <v>AUSTIN THOMPSON</v>
      </c>
      <c r="H239" s="20" t="str">
        <f t="shared" si="7"/>
        <v>4043</v>
      </c>
    </row>
    <row r="240" spans="1:8" x14ac:dyDescent="0.25">
      <c r="A240" s="8">
        <v>43088.066458333335</v>
      </c>
      <c r="B240" t="s">
        <v>441</v>
      </c>
      <c r="C240" t="s">
        <v>610</v>
      </c>
      <c r="D240" s="137">
        <v>3220000</v>
      </c>
      <c r="E240" t="s">
        <v>377</v>
      </c>
      <c r="F240" s="20" t="s">
        <v>378</v>
      </c>
      <c r="G240" s="8" t="str">
        <f t="shared" si="6"/>
        <v>RESPASS AARON</v>
      </c>
      <c r="H240" s="20" t="str">
        <f t="shared" si="7"/>
        <v>4010</v>
      </c>
    </row>
    <row r="241" spans="1:8" x14ac:dyDescent="0.25">
      <c r="A241" s="8">
        <v>43088.089050925926</v>
      </c>
      <c r="B241" t="s">
        <v>515</v>
      </c>
      <c r="C241" t="s">
        <v>591</v>
      </c>
      <c r="D241" s="137">
        <v>3700000</v>
      </c>
      <c r="E241" t="s">
        <v>444</v>
      </c>
      <c r="F241" s="20" t="s">
        <v>368</v>
      </c>
      <c r="G241" s="8" t="str">
        <f t="shared" si="6"/>
        <v>AUSTIN THOMPSON</v>
      </c>
      <c r="H241" s="20" t="str">
        <f t="shared" si="7"/>
        <v>4044</v>
      </c>
    </row>
    <row r="242" spans="1:8" x14ac:dyDescent="0.25">
      <c r="A242" s="8">
        <v>43062.050451388888</v>
      </c>
      <c r="B242" t="s">
        <v>493</v>
      </c>
      <c r="C242" t="s">
        <v>494</v>
      </c>
      <c r="D242" s="137">
        <v>2440000</v>
      </c>
      <c r="E242" t="s">
        <v>451</v>
      </c>
      <c r="F242" s="20" t="s">
        <v>452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492</v>
      </c>
      <c r="C243" t="s">
        <v>495</v>
      </c>
      <c r="D243" s="137">
        <v>890000</v>
      </c>
      <c r="E243" t="s">
        <v>343</v>
      </c>
      <c r="F243" s="20" t="s">
        <v>344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491</v>
      </c>
      <c r="C244" t="s">
        <v>496</v>
      </c>
      <c r="D244" s="137">
        <v>2440000</v>
      </c>
      <c r="E244" t="s">
        <v>451</v>
      </c>
      <c r="F244" s="20" t="s">
        <v>452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475</v>
      </c>
      <c r="C245" t="s">
        <v>481</v>
      </c>
      <c r="D245" s="137">
        <v>3320000</v>
      </c>
      <c r="E245" t="s">
        <v>362</v>
      </c>
      <c r="F245" s="20" t="s">
        <v>363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478</v>
      </c>
      <c r="C246" t="s">
        <v>482</v>
      </c>
      <c r="D246" s="137">
        <v>2610000</v>
      </c>
      <c r="E246" t="s">
        <v>379</v>
      </c>
      <c r="F246" s="20" t="s">
        <v>380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477</v>
      </c>
      <c r="C247" t="s">
        <v>483</v>
      </c>
      <c r="D247" s="137">
        <v>890000</v>
      </c>
      <c r="E247" t="s">
        <v>343</v>
      </c>
      <c r="F247" s="20" t="s">
        <v>344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441</v>
      </c>
      <c r="C248" t="s">
        <v>484</v>
      </c>
      <c r="D248" s="137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350</v>
      </c>
      <c r="C249" t="s">
        <v>485</v>
      </c>
      <c r="D249" s="137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476</v>
      </c>
      <c r="C250" t="s">
        <v>486</v>
      </c>
      <c r="D250" s="137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479</v>
      </c>
      <c r="C251" t="s">
        <v>487</v>
      </c>
      <c r="D251" s="137">
        <v>2610000</v>
      </c>
      <c r="E251" t="s">
        <v>379</v>
      </c>
      <c r="F251" s="20" t="s">
        <v>380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475</v>
      </c>
      <c r="C252" t="s">
        <v>488</v>
      </c>
      <c r="D252" s="137">
        <v>3320000</v>
      </c>
      <c r="E252" t="s">
        <v>362</v>
      </c>
      <c r="F252" s="20" t="s">
        <v>363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478</v>
      </c>
      <c r="C253" t="s">
        <v>480</v>
      </c>
      <c r="D253" s="137">
        <v>2610000</v>
      </c>
      <c r="E253" t="s">
        <v>379</v>
      </c>
      <c r="F253" s="20" t="s">
        <v>380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365</v>
      </c>
      <c r="C254" t="s">
        <v>471</v>
      </c>
      <c r="D254" s="137">
        <v>3320000</v>
      </c>
      <c r="E254" t="s">
        <v>362</v>
      </c>
      <c r="F254" s="20" t="s">
        <v>363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445</v>
      </c>
      <c r="C255" t="s">
        <v>472</v>
      </c>
      <c r="D255" s="137">
        <v>3340000</v>
      </c>
      <c r="E255" t="s">
        <v>464</v>
      </c>
      <c r="F255" s="20" t="s">
        <v>465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441</v>
      </c>
      <c r="C256" t="s">
        <v>473</v>
      </c>
      <c r="D256" s="137">
        <v>3680000</v>
      </c>
      <c r="E256" t="s">
        <v>469</v>
      </c>
      <c r="F256" s="20" t="s">
        <v>470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455</v>
      </c>
      <c r="D257" s="137">
        <v>2540000</v>
      </c>
      <c r="E257" t="s">
        <v>453</v>
      </c>
      <c r="F257" s="20" t="s">
        <v>454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449</v>
      </c>
      <c r="D258" s="137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456</v>
      </c>
      <c r="D259" s="137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450</v>
      </c>
      <c r="C260" t="s">
        <v>457</v>
      </c>
      <c r="D260" s="137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458</v>
      </c>
      <c r="D261" s="137">
        <v>2440000</v>
      </c>
      <c r="E261" t="s">
        <v>451</v>
      </c>
      <c r="F261" s="20" t="s">
        <v>452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459</v>
      </c>
      <c r="D262" s="137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448</v>
      </c>
      <c r="C263" t="s">
        <v>460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461</v>
      </c>
      <c r="D264" s="137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333</v>
      </c>
      <c r="O1" s="217" t="s">
        <v>154</v>
      </c>
      <c r="P1" s="217" t="s">
        <v>161</v>
      </c>
      <c r="Q1" s="217" t="s">
        <v>334</v>
      </c>
      <c r="R1" s="217" t="s">
        <v>158</v>
      </c>
      <c r="S1"/>
      <c r="T1"/>
    </row>
    <row r="2" spans="1:20" x14ac:dyDescent="0.25">
      <c r="A2" s="195">
        <v>32.36</v>
      </c>
      <c r="B2" s="195">
        <v>0.03</v>
      </c>
      <c r="C2" s="195">
        <v>19.86</v>
      </c>
      <c r="D2" s="8">
        <v>43088</v>
      </c>
      <c r="E2" s="195">
        <v>0.6</v>
      </c>
      <c r="F2" s="195" t="s">
        <v>463</v>
      </c>
      <c r="G2" s="195">
        <v>293.42</v>
      </c>
      <c r="H2" s="195">
        <v>0</v>
      </c>
      <c r="I2" s="195">
        <v>0</v>
      </c>
      <c r="J2" s="195">
        <v>1014.35</v>
      </c>
      <c r="K2" s="195" t="s">
        <v>462</v>
      </c>
      <c r="L2" s="195">
        <v>32.36</v>
      </c>
      <c r="M2" s="195">
        <v>1513666800</v>
      </c>
      <c r="N2" s="195">
        <v>0</v>
      </c>
      <c r="O2" s="195">
        <v>3.73</v>
      </c>
      <c r="P2" s="195">
        <v>204</v>
      </c>
      <c r="Q2" s="195">
        <v>2.0099999999999998</v>
      </c>
      <c r="R2" s="195">
        <v>0.53</v>
      </c>
      <c r="S2"/>
      <c r="T2"/>
    </row>
    <row r="3" spans="1:20" x14ac:dyDescent="0.25">
      <c r="A3" s="195">
        <v>31.15</v>
      </c>
      <c r="B3" s="195">
        <v>0.05</v>
      </c>
      <c r="C3" s="195">
        <v>19.55</v>
      </c>
      <c r="D3" s="8">
        <v>43088.041666666664</v>
      </c>
      <c r="E3" s="195">
        <v>0.62</v>
      </c>
      <c r="F3" s="195" t="s">
        <v>463</v>
      </c>
      <c r="G3" s="195">
        <v>292.64</v>
      </c>
      <c r="H3" s="195">
        <v>0</v>
      </c>
      <c r="I3" s="195">
        <v>0</v>
      </c>
      <c r="J3" s="195">
        <v>1014.98</v>
      </c>
      <c r="K3" s="195" t="s">
        <v>462</v>
      </c>
      <c r="L3" s="195">
        <v>31.15</v>
      </c>
      <c r="M3" s="195">
        <v>1513670400</v>
      </c>
      <c r="N3" s="195">
        <v>0</v>
      </c>
      <c r="O3" s="195">
        <v>2.92</v>
      </c>
      <c r="P3" s="195">
        <v>209</v>
      </c>
      <c r="Q3" s="195">
        <v>1.61</v>
      </c>
      <c r="R3" s="195">
        <v>0.47</v>
      </c>
      <c r="S3"/>
      <c r="T3"/>
    </row>
    <row r="4" spans="1:20" x14ac:dyDescent="0.25">
      <c r="A4" s="195">
        <v>30.71</v>
      </c>
      <c r="B4" s="195">
        <v>0.01</v>
      </c>
      <c r="C4" s="195">
        <v>19.489999999999998</v>
      </c>
      <c r="D4" s="8">
        <v>43088.083333333336</v>
      </c>
      <c r="E4" s="195">
        <v>0.63</v>
      </c>
      <c r="F4" s="195" t="s">
        <v>463</v>
      </c>
      <c r="G4" s="195">
        <v>291.74</v>
      </c>
      <c r="H4" s="195">
        <v>0</v>
      </c>
      <c r="I4" s="195">
        <v>0</v>
      </c>
      <c r="J4" s="195">
        <v>1015.48</v>
      </c>
      <c r="K4" s="195" t="s">
        <v>462</v>
      </c>
      <c r="L4" s="195">
        <v>30.71</v>
      </c>
      <c r="M4" s="195">
        <v>1513674000</v>
      </c>
      <c r="N4" s="195">
        <v>0</v>
      </c>
      <c r="O4" s="195">
        <v>3.73</v>
      </c>
      <c r="P4" s="195">
        <v>208</v>
      </c>
      <c r="Q4" s="195">
        <v>1.73</v>
      </c>
      <c r="R4" s="195">
        <v>0.47</v>
      </c>
      <c r="S4"/>
      <c r="T4"/>
    </row>
    <row r="5" spans="1:20" x14ac:dyDescent="0.25">
      <c r="A5" s="195">
        <v>29.21</v>
      </c>
      <c r="B5" s="195">
        <v>0</v>
      </c>
      <c r="C5" s="195">
        <v>19.309999999999999</v>
      </c>
      <c r="D5" s="8">
        <v>43088.125</v>
      </c>
      <c r="E5" s="195">
        <v>0.66</v>
      </c>
      <c r="F5" s="195" t="s">
        <v>463</v>
      </c>
      <c r="G5" s="195">
        <v>290.83999999999997</v>
      </c>
      <c r="H5" s="195">
        <v>0</v>
      </c>
      <c r="I5" s="195">
        <v>0</v>
      </c>
      <c r="J5" s="195">
        <v>1016.15</v>
      </c>
      <c r="K5" s="195" t="s">
        <v>462</v>
      </c>
      <c r="L5" s="195">
        <v>29.21</v>
      </c>
      <c r="M5" s="195">
        <v>1513677600</v>
      </c>
      <c r="N5" s="195">
        <v>0</v>
      </c>
      <c r="O5" s="195">
        <v>3.89</v>
      </c>
      <c r="P5" s="195">
        <v>198</v>
      </c>
      <c r="Q5" s="195">
        <v>1.74</v>
      </c>
      <c r="R5" s="195">
        <v>0.42</v>
      </c>
      <c r="S5"/>
      <c r="T5"/>
    </row>
    <row r="6" spans="1:20" x14ac:dyDescent="0.25">
      <c r="A6" s="195">
        <v>29.18</v>
      </c>
      <c r="B6" s="195">
        <v>0.02</v>
      </c>
      <c r="C6" s="195">
        <v>19.059999999999999</v>
      </c>
      <c r="D6" s="8">
        <v>43088.166666666664</v>
      </c>
      <c r="E6" s="195">
        <v>0.65</v>
      </c>
      <c r="F6" s="195" t="s">
        <v>463</v>
      </c>
      <c r="G6" s="195">
        <v>289.82</v>
      </c>
      <c r="H6" s="195">
        <v>0</v>
      </c>
      <c r="I6" s="195">
        <v>0</v>
      </c>
      <c r="J6" s="195">
        <v>1016.41</v>
      </c>
      <c r="K6" s="195" t="s">
        <v>462</v>
      </c>
      <c r="L6" s="195">
        <v>29.18</v>
      </c>
      <c r="M6" s="195">
        <v>1513681200</v>
      </c>
      <c r="N6" s="195">
        <v>0</v>
      </c>
      <c r="O6" s="195">
        <v>3.62</v>
      </c>
      <c r="P6" s="195">
        <v>207</v>
      </c>
      <c r="Q6" s="195">
        <v>1.86</v>
      </c>
      <c r="R6" s="195">
        <v>0.45</v>
      </c>
      <c r="S6"/>
      <c r="T6"/>
    </row>
    <row r="7" spans="1:20" x14ac:dyDescent="0.25">
      <c r="A7" s="195">
        <v>28.56</v>
      </c>
      <c r="B7" s="195">
        <v>0.06</v>
      </c>
      <c r="C7" s="195">
        <v>19.14</v>
      </c>
      <c r="D7" s="8">
        <v>43088.208333333336</v>
      </c>
      <c r="E7" s="195">
        <v>0.67</v>
      </c>
      <c r="F7" s="195" t="s">
        <v>463</v>
      </c>
      <c r="G7" s="195">
        <v>289.26</v>
      </c>
      <c r="H7" s="195">
        <v>0</v>
      </c>
      <c r="I7" s="195">
        <v>0</v>
      </c>
      <c r="J7" s="195">
        <v>1018.39</v>
      </c>
      <c r="K7" s="195" t="s">
        <v>462</v>
      </c>
      <c r="L7" s="195">
        <v>28.56</v>
      </c>
      <c r="M7" s="195">
        <v>1513684800</v>
      </c>
      <c r="N7" s="195">
        <v>0</v>
      </c>
      <c r="O7" s="195">
        <v>3.11</v>
      </c>
      <c r="P7" s="195">
        <v>192</v>
      </c>
      <c r="Q7" s="195">
        <v>2.4</v>
      </c>
      <c r="R7" s="195">
        <v>0.68</v>
      </c>
      <c r="S7"/>
      <c r="T7"/>
    </row>
    <row r="8" spans="1:20" x14ac:dyDescent="0.25">
      <c r="A8" s="195">
        <v>28.11</v>
      </c>
      <c r="B8" s="195">
        <v>7.0000000000000007E-2</v>
      </c>
      <c r="C8" s="195">
        <v>19.100000000000001</v>
      </c>
      <c r="D8" s="8">
        <v>43088.25</v>
      </c>
      <c r="E8" s="195">
        <v>0.68</v>
      </c>
      <c r="F8" s="195" t="s">
        <v>463</v>
      </c>
      <c r="G8" s="195">
        <v>288.47000000000003</v>
      </c>
      <c r="H8" s="195">
        <v>0</v>
      </c>
      <c r="I8" s="195">
        <v>0</v>
      </c>
      <c r="J8" s="195">
        <v>1020.5</v>
      </c>
      <c r="K8" s="195" t="s">
        <v>462</v>
      </c>
      <c r="L8" s="195">
        <v>28.11</v>
      </c>
      <c r="M8" s="195">
        <v>1513688400</v>
      </c>
      <c r="N8" s="195">
        <v>0</v>
      </c>
      <c r="O8" s="195">
        <v>4.6900000000000004</v>
      </c>
      <c r="P8" s="195">
        <v>214</v>
      </c>
      <c r="Q8" s="195">
        <v>2.37</v>
      </c>
      <c r="R8" s="195">
        <v>0.95</v>
      </c>
      <c r="S8"/>
      <c r="T8"/>
    </row>
    <row r="9" spans="1:20" x14ac:dyDescent="0.25">
      <c r="A9" s="195">
        <v>28.2</v>
      </c>
      <c r="B9" s="195">
        <v>0.15</v>
      </c>
      <c r="C9" s="195">
        <v>19.09</v>
      </c>
      <c r="D9" s="8">
        <v>43088.291666666664</v>
      </c>
      <c r="E9" s="195">
        <v>0.68</v>
      </c>
      <c r="F9" s="195" t="s">
        <v>463</v>
      </c>
      <c r="G9" s="195">
        <v>287.8</v>
      </c>
      <c r="H9" s="195">
        <v>0</v>
      </c>
      <c r="I9" s="195">
        <v>0</v>
      </c>
      <c r="J9" s="195">
        <v>1020.72</v>
      </c>
      <c r="K9" s="195" t="s">
        <v>462</v>
      </c>
      <c r="L9" s="195">
        <v>28.2</v>
      </c>
      <c r="M9" s="195">
        <v>1513692000</v>
      </c>
      <c r="N9" s="195">
        <v>0</v>
      </c>
      <c r="O9" s="195">
        <v>4.62</v>
      </c>
      <c r="P9" s="195">
        <v>196</v>
      </c>
      <c r="Q9" s="195">
        <v>2.56</v>
      </c>
      <c r="R9" s="195">
        <v>0.95</v>
      </c>
      <c r="S9"/>
      <c r="T9"/>
    </row>
    <row r="10" spans="1:20" x14ac:dyDescent="0.25">
      <c r="A10" s="195">
        <v>30.64</v>
      </c>
      <c r="B10" s="195">
        <v>0.16</v>
      </c>
      <c r="C10" s="195">
        <v>19.899999999999999</v>
      </c>
      <c r="D10" s="8">
        <v>43088.333333333336</v>
      </c>
      <c r="E10" s="195">
        <v>0.64</v>
      </c>
      <c r="F10" s="195" t="s">
        <v>497</v>
      </c>
      <c r="G10" s="195">
        <v>288.38</v>
      </c>
      <c r="H10" s="195">
        <v>0</v>
      </c>
      <c r="I10" s="195">
        <v>0</v>
      </c>
      <c r="J10" s="195">
        <v>1019.52</v>
      </c>
      <c r="K10" s="195" t="s">
        <v>462</v>
      </c>
      <c r="L10" s="195">
        <v>30.64</v>
      </c>
      <c r="M10" s="195">
        <v>1513695600</v>
      </c>
      <c r="N10" s="195">
        <v>0</v>
      </c>
      <c r="O10" s="195">
        <v>3.96</v>
      </c>
      <c r="P10" s="195">
        <v>174</v>
      </c>
      <c r="Q10" s="195">
        <v>2.97</v>
      </c>
      <c r="R10" s="195">
        <v>0.88</v>
      </c>
      <c r="S10"/>
      <c r="T10"/>
    </row>
    <row r="11" spans="1:20" x14ac:dyDescent="0.25">
      <c r="A11" s="195">
        <v>36.869999999999997</v>
      </c>
      <c r="B11" s="195">
        <v>0.12</v>
      </c>
      <c r="C11" s="195">
        <v>21.62</v>
      </c>
      <c r="D11" s="8">
        <v>43088.375</v>
      </c>
      <c r="E11" s="195">
        <v>0.54</v>
      </c>
      <c r="F11" s="195" t="s">
        <v>497</v>
      </c>
      <c r="G11" s="195">
        <v>290.67</v>
      </c>
      <c r="H11" s="195">
        <v>0</v>
      </c>
      <c r="I11" s="195">
        <v>0</v>
      </c>
      <c r="J11" s="195">
        <v>1021.03</v>
      </c>
      <c r="K11" s="195" t="s">
        <v>462</v>
      </c>
      <c r="L11" s="195">
        <v>36.869999999999997</v>
      </c>
      <c r="M11" s="195">
        <v>1513699200</v>
      </c>
      <c r="N11" s="195">
        <v>1</v>
      </c>
      <c r="O11" s="195">
        <v>5.59</v>
      </c>
      <c r="P11" s="195">
        <v>180</v>
      </c>
      <c r="Q11" s="195">
        <v>3.32</v>
      </c>
      <c r="R11" s="195">
        <v>0.31</v>
      </c>
      <c r="S11"/>
      <c r="T11"/>
    </row>
    <row r="12" spans="1:20" x14ac:dyDescent="0.25">
      <c r="A12" s="195">
        <v>41.79</v>
      </c>
      <c r="B12" s="195">
        <v>0.06</v>
      </c>
      <c r="C12" s="195">
        <v>21.91</v>
      </c>
      <c r="D12" s="8">
        <v>43088.416666666664</v>
      </c>
      <c r="E12" s="195">
        <v>0.45</v>
      </c>
      <c r="F12" s="195" t="s">
        <v>497</v>
      </c>
      <c r="G12" s="195">
        <v>294.07</v>
      </c>
      <c r="H12" s="195">
        <v>0</v>
      </c>
      <c r="I12" s="195">
        <v>0</v>
      </c>
      <c r="J12" s="195">
        <v>1019.14</v>
      </c>
      <c r="K12" s="195" t="s">
        <v>462</v>
      </c>
      <c r="L12" s="195">
        <v>41.79</v>
      </c>
      <c r="M12" s="195">
        <v>1513702800</v>
      </c>
      <c r="N12" s="195">
        <v>1</v>
      </c>
      <c r="O12" s="195">
        <v>4.59</v>
      </c>
      <c r="P12" s="195">
        <v>337</v>
      </c>
      <c r="Q12" s="195">
        <v>4.42</v>
      </c>
      <c r="R12" s="195">
        <v>0.36</v>
      </c>
      <c r="S12"/>
      <c r="T12"/>
    </row>
    <row r="13" spans="1:20" x14ac:dyDescent="0.25">
      <c r="A13" s="195">
        <v>44.55</v>
      </c>
      <c r="B13" s="195">
        <v>0.15</v>
      </c>
      <c r="C13" s="195">
        <v>22.34</v>
      </c>
      <c r="D13" s="8">
        <v>43088.458333333336</v>
      </c>
      <c r="E13" s="195">
        <v>0.41</v>
      </c>
      <c r="F13" s="195" t="s">
        <v>497</v>
      </c>
      <c r="G13" s="195">
        <v>294.51</v>
      </c>
      <c r="H13" s="195">
        <v>0</v>
      </c>
      <c r="I13" s="195">
        <v>0</v>
      </c>
      <c r="J13" s="195">
        <v>1017.46</v>
      </c>
      <c r="K13" s="195" t="s">
        <v>462</v>
      </c>
      <c r="L13" s="195">
        <v>44.55</v>
      </c>
      <c r="M13" s="195">
        <v>1513706400</v>
      </c>
      <c r="N13" s="195">
        <v>2</v>
      </c>
      <c r="O13" s="195">
        <v>5.26</v>
      </c>
      <c r="P13" s="195">
        <v>353</v>
      </c>
      <c r="Q13" s="195">
        <v>6.27</v>
      </c>
      <c r="R13" s="195">
        <v>1.41</v>
      </c>
      <c r="S13"/>
      <c r="T13"/>
    </row>
    <row r="14" spans="1:20" x14ac:dyDescent="0.25">
      <c r="A14" s="195">
        <v>47.19</v>
      </c>
      <c r="B14" s="195">
        <v>0.11</v>
      </c>
      <c r="C14" s="195">
        <v>21.64</v>
      </c>
      <c r="D14" s="8">
        <v>43088.5</v>
      </c>
      <c r="E14" s="195">
        <v>0.36</v>
      </c>
      <c r="F14" s="195" t="s">
        <v>497</v>
      </c>
      <c r="G14" s="195">
        <v>296.41000000000003</v>
      </c>
      <c r="H14" s="195">
        <v>0</v>
      </c>
      <c r="I14" s="195">
        <v>0</v>
      </c>
      <c r="J14" s="195">
        <v>1016.25</v>
      </c>
      <c r="K14" s="195" t="s">
        <v>462</v>
      </c>
      <c r="L14" s="195">
        <v>47.19</v>
      </c>
      <c r="M14" s="195">
        <v>1513710000</v>
      </c>
      <c r="N14" s="195">
        <v>2</v>
      </c>
      <c r="O14" s="195">
        <v>5.72</v>
      </c>
      <c r="P14" s="195">
        <v>10</v>
      </c>
      <c r="Q14" s="195">
        <v>7.29</v>
      </c>
      <c r="R14" s="195">
        <v>2.1</v>
      </c>
      <c r="S14"/>
      <c r="T14"/>
    </row>
    <row r="15" spans="1:20" x14ac:dyDescent="0.25">
      <c r="A15" s="195">
        <v>49.12</v>
      </c>
      <c r="B15" s="195">
        <v>0.09</v>
      </c>
      <c r="C15" s="195">
        <v>21.36</v>
      </c>
      <c r="D15" s="8">
        <v>43088.541666666664</v>
      </c>
      <c r="E15" s="195">
        <v>0.33</v>
      </c>
      <c r="F15" s="195" t="s">
        <v>497</v>
      </c>
      <c r="G15" s="195">
        <v>298.38</v>
      </c>
      <c r="H15" s="195">
        <v>0</v>
      </c>
      <c r="I15" s="195">
        <v>0</v>
      </c>
      <c r="J15" s="195">
        <v>1015.2</v>
      </c>
      <c r="K15" s="195" t="s">
        <v>462</v>
      </c>
      <c r="L15" s="195">
        <v>49.12</v>
      </c>
      <c r="M15" s="195">
        <v>1513713600</v>
      </c>
      <c r="N15" s="195">
        <v>2</v>
      </c>
      <c r="O15" s="195">
        <v>5.24</v>
      </c>
      <c r="P15" s="195">
        <v>18</v>
      </c>
      <c r="Q15" s="195">
        <v>6.88</v>
      </c>
      <c r="R15" s="195">
        <v>2.17</v>
      </c>
      <c r="S15"/>
      <c r="T15"/>
    </row>
    <row r="16" spans="1:20" x14ac:dyDescent="0.25">
      <c r="A16" s="195">
        <v>50.93</v>
      </c>
      <c r="B16" s="195">
        <v>7.0000000000000007E-2</v>
      </c>
      <c r="C16" s="195">
        <v>21.23</v>
      </c>
      <c r="D16" s="8">
        <v>43088.583333333336</v>
      </c>
      <c r="E16" s="195">
        <v>0.31</v>
      </c>
      <c r="F16" s="195" t="s">
        <v>497</v>
      </c>
      <c r="G16" s="195">
        <v>299.48</v>
      </c>
      <c r="H16" s="195">
        <v>0</v>
      </c>
      <c r="I16" s="195">
        <v>0</v>
      </c>
      <c r="J16" s="195">
        <v>1014.3</v>
      </c>
      <c r="K16" s="195" t="s">
        <v>462</v>
      </c>
      <c r="L16" s="195">
        <v>50.93</v>
      </c>
      <c r="M16" s="195">
        <v>1513717200</v>
      </c>
      <c r="N16" s="195">
        <v>1</v>
      </c>
      <c r="O16" s="195">
        <v>5.45</v>
      </c>
      <c r="P16" s="195">
        <v>4</v>
      </c>
      <c r="Q16" s="195">
        <v>5.91</v>
      </c>
      <c r="R16" s="195">
        <v>1.45</v>
      </c>
      <c r="S16"/>
      <c r="T16"/>
    </row>
    <row r="17" spans="1:20" x14ac:dyDescent="0.25">
      <c r="A17" s="195">
        <v>51.06</v>
      </c>
      <c r="B17" s="195">
        <v>0.06</v>
      </c>
      <c r="C17" s="195">
        <v>21.08</v>
      </c>
      <c r="D17" s="8">
        <v>43088.625</v>
      </c>
      <c r="E17" s="195">
        <v>0.3</v>
      </c>
      <c r="F17" s="195" t="s">
        <v>497</v>
      </c>
      <c r="G17" s="195">
        <v>299.8</v>
      </c>
      <c r="H17" s="195">
        <v>0</v>
      </c>
      <c r="I17" s="195">
        <v>0</v>
      </c>
      <c r="J17" s="195">
        <v>1014.14</v>
      </c>
      <c r="K17" s="195" t="s">
        <v>462</v>
      </c>
      <c r="L17" s="195">
        <v>51.06</v>
      </c>
      <c r="M17" s="195">
        <v>1513720800</v>
      </c>
      <c r="N17" s="195">
        <v>1</v>
      </c>
      <c r="O17" s="195">
        <v>4.04</v>
      </c>
      <c r="P17" s="195">
        <v>341</v>
      </c>
      <c r="Q17" s="195">
        <v>5.35</v>
      </c>
      <c r="R17" s="195">
        <v>1.38</v>
      </c>
      <c r="S17"/>
      <c r="T17"/>
    </row>
    <row r="18" spans="1:20" x14ac:dyDescent="0.25">
      <c r="A18" s="195">
        <v>49.61</v>
      </c>
      <c r="B18" s="195">
        <v>0.03</v>
      </c>
      <c r="C18" s="195">
        <v>20.84</v>
      </c>
      <c r="D18" s="8">
        <v>43088.666666666664</v>
      </c>
      <c r="E18" s="195">
        <v>0.32</v>
      </c>
      <c r="F18" s="195" t="s">
        <v>497</v>
      </c>
      <c r="G18" s="195">
        <v>299.47000000000003</v>
      </c>
      <c r="H18" s="195">
        <v>0</v>
      </c>
      <c r="I18" s="195">
        <v>0</v>
      </c>
      <c r="J18" s="195">
        <v>1014.05</v>
      </c>
      <c r="K18" s="195" t="s">
        <v>462</v>
      </c>
      <c r="L18" s="195">
        <v>49.61</v>
      </c>
      <c r="M18" s="195">
        <v>1513724400</v>
      </c>
      <c r="N18" s="195">
        <v>0</v>
      </c>
      <c r="O18" s="195">
        <v>4.04</v>
      </c>
      <c r="P18" s="195">
        <v>315</v>
      </c>
      <c r="Q18" s="195">
        <v>4.95</v>
      </c>
      <c r="R18" s="195">
        <v>1.74</v>
      </c>
      <c r="S18"/>
      <c r="T18"/>
    </row>
    <row r="19" spans="1:20" x14ac:dyDescent="0.25">
      <c r="A19" s="195">
        <v>44.74</v>
      </c>
      <c r="B19" s="195">
        <v>0.05</v>
      </c>
      <c r="C19" s="195">
        <v>20.78</v>
      </c>
      <c r="D19" s="8">
        <v>43088.708333333336</v>
      </c>
      <c r="E19" s="195">
        <v>0.38</v>
      </c>
      <c r="F19" s="195" t="s">
        <v>463</v>
      </c>
      <c r="G19" s="195">
        <v>293.23</v>
      </c>
      <c r="H19" s="195">
        <v>0</v>
      </c>
      <c r="I19" s="195">
        <v>0</v>
      </c>
      <c r="J19" s="195">
        <v>1015.06</v>
      </c>
      <c r="K19" s="195" t="s">
        <v>462</v>
      </c>
      <c r="L19" s="195">
        <v>44.74</v>
      </c>
      <c r="M19" s="195">
        <v>1513728000</v>
      </c>
      <c r="N19" s="195">
        <v>0</v>
      </c>
      <c r="O19" s="195">
        <v>3.62</v>
      </c>
      <c r="P19" s="195">
        <v>293</v>
      </c>
      <c r="Q19" s="195">
        <v>3.96</v>
      </c>
      <c r="R19" s="195">
        <v>1.42</v>
      </c>
      <c r="S19"/>
      <c r="T19"/>
    </row>
    <row r="20" spans="1:20" x14ac:dyDescent="0.25">
      <c r="A20" s="195">
        <v>40.270000000000003</v>
      </c>
      <c r="B20" s="195">
        <v>0.05</v>
      </c>
      <c r="C20" s="195">
        <v>20.68</v>
      </c>
      <c r="D20" s="8">
        <v>43088.75</v>
      </c>
      <c r="E20" s="195">
        <v>0.45</v>
      </c>
      <c r="F20" s="195" t="s">
        <v>463</v>
      </c>
      <c r="G20" s="195">
        <v>292.56</v>
      </c>
      <c r="H20" s="195">
        <v>0</v>
      </c>
      <c r="I20" s="195">
        <v>0</v>
      </c>
      <c r="J20" s="195">
        <v>1015.1</v>
      </c>
      <c r="K20" s="195" t="s">
        <v>462</v>
      </c>
      <c r="L20" s="195">
        <v>40.270000000000003</v>
      </c>
      <c r="M20" s="195">
        <v>1513731600</v>
      </c>
      <c r="N20" s="195">
        <v>0</v>
      </c>
      <c r="O20" s="195">
        <v>4.46</v>
      </c>
      <c r="P20" s="195">
        <v>267</v>
      </c>
      <c r="Q20" s="195">
        <v>2.79</v>
      </c>
      <c r="R20" s="195">
        <v>1.0900000000000001</v>
      </c>
      <c r="S20"/>
      <c r="T20"/>
    </row>
    <row r="21" spans="1:20" x14ac:dyDescent="0.25">
      <c r="A21" s="195">
        <v>37.03</v>
      </c>
      <c r="B21" s="195">
        <v>0.02</v>
      </c>
      <c r="C21" s="195">
        <v>20.22</v>
      </c>
      <c r="D21" s="8">
        <v>43088.791666666664</v>
      </c>
      <c r="E21" s="195">
        <v>0.5</v>
      </c>
      <c r="F21" s="195" t="s">
        <v>463</v>
      </c>
      <c r="G21" s="195">
        <v>292.44</v>
      </c>
      <c r="H21" s="195">
        <v>0</v>
      </c>
      <c r="I21" s="195">
        <v>0</v>
      </c>
      <c r="J21" s="195">
        <v>1016.01</v>
      </c>
      <c r="K21" s="195" t="s">
        <v>462</v>
      </c>
      <c r="L21" s="195">
        <v>37.03</v>
      </c>
      <c r="M21" s="195">
        <v>1513735200</v>
      </c>
      <c r="N21" s="195">
        <v>0</v>
      </c>
      <c r="O21" s="195">
        <v>4.21</v>
      </c>
      <c r="P21" s="195">
        <v>204</v>
      </c>
      <c r="Q21" s="195">
        <v>2.54</v>
      </c>
      <c r="R21" s="195">
        <v>0.67</v>
      </c>
      <c r="S21"/>
      <c r="T21"/>
    </row>
    <row r="22" spans="1:20" x14ac:dyDescent="0.25">
      <c r="A22" s="195">
        <v>35.380000000000003</v>
      </c>
      <c r="B22" s="195">
        <v>0.05</v>
      </c>
      <c r="C22" s="195">
        <v>20.2</v>
      </c>
      <c r="D22" s="8">
        <v>43088.833333333336</v>
      </c>
      <c r="E22" s="195">
        <v>0.54</v>
      </c>
      <c r="F22" s="195" t="s">
        <v>463</v>
      </c>
      <c r="G22" s="195">
        <v>292.44</v>
      </c>
      <c r="H22" s="195">
        <v>0</v>
      </c>
      <c r="I22" s="195">
        <v>0</v>
      </c>
      <c r="J22" s="195">
        <v>1015.82</v>
      </c>
      <c r="K22" s="195" t="s">
        <v>462</v>
      </c>
      <c r="L22" s="195">
        <v>35.380000000000003</v>
      </c>
      <c r="M22" s="195">
        <v>1513738800</v>
      </c>
      <c r="N22" s="195">
        <v>0</v>
      </c>
      <c r="O22" s="195">
        <v>4.82</v>
      </c>
      <c r="P22" s="195">
        <v>222</v>
      </c>
      <c r="Q22" s="195">
        <v>2.66</v>
      </c>
      <c r="R22" s="195">
        <v>0.94</v>
      </c>
      <c r="S22"/>
      <c r="T22"/>
    </row>
    <row r="23" spans="1:20" x14ac:dyDescent="0.25">
      <c r="A23" s="195">
        <v>34.340000000000003</v>
      </c>
      <c r="B23" s="195">
        <v>0.16</v>
      </c>
      <c r="C23" s="195">
        <v>20.38</v>
      </c>
      <c r="D23" s="8">
        <v>43088.875</v>
      </c>
      <c r="E23" s="195">
        <v>0.56000000000000005</v>
      </c>
      <c r="F23" s="195" t="s">
        <v>463</v>
      </c>
      <c r="G23" s="195">
        <v>292.45</v>
      </c>
      <c r="H23" s="195">
        <v>0</v>
      </c>
      <c r="I23" s="195">
        <v>0</v>
      </c>
      <c r="J23" s="195">
        <v>1015.62</v>
      </c>
      <c r="K23" s="195" t="s">
        <v>462</v>
      </c>
      <c r="L23" s="195">
        <v>34.340000000000003</v>
      </c>
      <c r="M23" s="195">
        <v>1513742400</v>
      </c>
      <c r="N23" s="195">
        <v>0</v>
      </c>
      <c r="O23" s="195">
        <v>3.16</v>
      </c>
      <c r="P23" s="195">
        <v>215</v>
      </c>
      <c r="Q23" s="195">
        <v>2.29</v>
      </c>
      <c r="R23" s="195">
        <v>0.78</v>
      </c>
      <c r="S23"/>
      <c r="T23"/>
    </row>
    <row r="24" spans="1:20" x14ac:dyDescent="0.25">
      <c r="A24" s="195">
        <v>34.22</v>
      </c>
      <c r="B24" s="195">
        <v>0.06</v>
      </c>
      <c r="C24" s="195">
        <v>20.76</v>
      </c>
      <c r="D24" s="8">
        <v>43088.916666666664</v>
      </c>
      <c r="E24" s="195">
        <v>0.56999999999999995</v>
      </c>
      <c r="F24" s="195" t="s">
        <v>463</v>
      </c>
      <c r="G24" s="195">
        <v>292.67</v>
      </c>
      <c r="H24" s="195">
        <v>0</v>
      </c>
      <c r="I24" s="195">
        <v>0</v>
      </c>
      <c r="J24" s="195">
        <v>1013.9</v>
      </c>
      <c r="K24" s="195" t="s">
        <v>462</v>
      </c>
      <c r="L24" s="195">
        <v>34.22</v>
      </c>
      <c r="M24" s="195">
        <v>1513746000</v>
      </c>
      <c r="N24" s="195">
        <v>0</v>
      </c>
      <c r="O24" s="195">
        <v>3.79</v>
      </c>
      <c r="P24" s="195">
        <v>213</v>
      </c>
      <c r="Q24" s="195">
        <v>2.72</v>
      </c>
      <c r="R24" s="195">
        <v>0.72</v>
      </c>
      <c r="S24"/>
      <c r="T24"/>
    </row>
    <row r="25" spans="1:20" x14ac:dyDescent="0.25">
      <c r="A25" s="195">
        <v>34.07</v>
      </c>
      <c r="B25" s="195">
        <v>7.0000000000000007E-2</v>
      </c>
      <c r="C25" s="195">
        <v>20.8</v>
      </c>
      <c r="D25" s="8">
        <v>43088.958333333336</v>
      </c>
      <c r="E25" s="195">
        <v>0.57999999999999996</v>
      </c>
      <c r="F25" s="195" t="s">
        <v>463</v>
      </c>
      <c r="G25" s="195">
        <v>293.01</v>
      </c>
      <c r="H25" s="195">
        <v>0</v>
      </c>
      <c r="I25" s="195">
        <v>0</v>
      </c>
      <c r="J25" s="195">
        <v>1015.13</v>
      </c>
      <c r="K25" s="195" t="s">
        <v>462</v>
      </c>
      <c r="L25" s="195">
        <v>34.07</v>
      </c>
      <c r="M25" s="195">
        <v>1513749600</v>
      </c>
      <c r="N25" s="195">
        <v>0</v>
      </c>
      <c r="O25" s="195">
        <v>3.62</v>
      </c>
      <c r="P25" s="195">
        <v>173</v>
      </c>
      <c r="Q25" s="195">
        <v>3.19</v>
      </c>
      <c r="R25" s="195">
        <v>0.78</v>
      </c>
      <c r="S25"/>
      <c r="T25"/>
    </row>
    <row r="26" spans="1:20" x14ac:dyDescent="0.25">
      <c r="A26" s="195">
        <v>34.020000000000003</v>
      </c>
      <c r="B26" s="195">
        <v>0.06</v>
      </c>
      <c r="C26" s="195">
        <v>20.88</v>
      </c>
      <c r="D26" s="8">
        <v>43089</v>
      </c>
      <c r="E26" s="195">
        <v>0.57999999999999996</v>
      </c>
      <c r="F26" s="195" t="s">
        <v>463</v>
      </c>
      <c r="G26" s="195">
        <v>293.8</v>
      </c>
      <c r="H26" s="195">
        <v>0</v>
      </c>
      <c r="I26" s="195">
        <v>0</v>
      </c>
      <c r="J26" s="195">
        <v>1012.55</v>
      </c>
      <c r="K26" s="195" t="s">
        <v>462</v>
      </c>
      <c r="L26" s="195">
        <v>34.020000000000003</v>
      </c>
      <c r="M26" s="195">
        <v>1513753200</v>
      </c>
      <c r="N26" s="195">
        <v>0</v>
      </c>
      <c r="O26" s="195">
        <v>4.04</v>
      </c>
      <c r="P26" s="195">
        <v>188</v>
      </c>
      <c r="Q26" s="195">
        <v>3.09</v>
      </c>
      <c r="R26" s="195">
        <v>0.97</v>
      </c>
      <c r="S26"/>
      <c r="T26"/>
    </row>
    <row r="27" spans="1:20" x14ac:dyDescent="0.25">
      <c r="A27" s="195">
        <v>34.53</v>
      </c>
      <c r="B27" s="195">
        <v>0.04</v>
      </c>
      <c r="C27" s="195">
        <v>20.48</v>
      </c>
      <c r="D27" s="8">
        <v>43089.041666666664</v>
      </c>
      <c r="E27" s="195">
        <v>0.56000000000000005</v>
      </c>
      <c r="F27" s="195" t="s">
        <v>463</v>
      </c>
      <c r="G27" s="195">
        <v>294.93</v>
      </c>
      <c r="H27" s="195">
        <v>0</v>
      </c>
      <c r="I27" s="195">
        <v>0</v>
      </c>
      <c r="J27" s="195">
        <v>1011.56</v>
      </c>
      <c r="K27" s="195" t="s">
        <v>462</v>
      </c>
      <c r="L27" s="195">
        <v>34.53</v>
      </c>
      <c r="M27" s="195">
        <v>1513756800</v>
      </c>
      <c r="N27" s="195">
        <v>0</v>
      </c>
      <c r="O27" s="195">
        <v>4.04</v>
      </c>
      <c r="P27" s="195">
        <v>184</v>
      </c>
      <c r="Q27" s="195">
        <v>4.53</v>
      </c>
      <c r="R27" s="195">
        <v>1.23</v>
      </c>
      <c r="S27"/>
      <c r="T27"/>
    </row>
    <row r="28" spans="1:20" x14ac:dyDescent="0.25">
      <c r="A28" s="195">
        <v>36.64</v>
      </c>
      <c r="B28" s="195">
        <v>0.08</v>
      </c>
      <c r="C28" s="195">
        <v>18.739999999999998</v>
      </c>
      <c r="D28" s="8">
        <v>43089.083333333336</v>
      </c>
      <c r="E28" s="195">
        <v>0.48</v>
      </c>
      <c r="F28" s="195" t="s">
        <v>463</v>
      </c>
      <c r="G28" s="195">
        <v>295.93</v>
      </c>
      <c r="H28" s="195">
        <v>0</v>
      </c>
      <c r="I28" s="195">
        <v>0</v>
      </c>
      <c r="J28" s="195">
        <v>1010.43</v>
      </c>
      <c r="K28" s="195" t="s">
        <v>462</v>
      </c>
      <c r="L28" s="195">
        <v>36.64</v>
      </c>
      <c r="M28" s="195">
        <v>1513760400</v>
      </c>
      <c r="N28" s="195">
        <v>0</v>
      </c>
      <c r="O28" s="195">
        <v>3.44</v>
      </c>
      <c r="P28" s="195">
        <v>189</v>
      </c>
      <c r="Q28" s="195">
        <v>6.12</v>
      </c>
      <c r="R28" s="195">
        <v>1.87</v>
      </c>
      <c r="S28"/>
      <c r="T28"/>
    </row>
    <row r="29" spans="1:20" x14ac:dyDescent="0.25">
      <c r="A29" s="195">
        <v>37.159999999999997</v>
      </c>
      <c r="B29" s="195">
        <v>0.27</v>
      </c>
      <c r="C29" s="195">
        <v>17.18</v>
      </c>
      <c r="D29" s="8">
        <v>43089.125</v>
      </c>
      <c r="E29" s="195">
        <v>0.44</v>
      </c>
      <c r="F29" s="195" t="s">
        <v>914</v>
      </c>
      <c r="G29" s="195">
        <v>296.72000000000003</v>
      </c>
      <c r="H29" s="195">
        <v>0</v>
      </c>
      <c r="I29" s="195">
        <v>0</v>
      </c>
      <c r="J29" s="195">
        <v>1010.73</v>
      </c>
      <c r="K29" s="195" t="s">
        <v>915</v>
      </c>
      <c r="L29" s="195">
        <v>37.159999999999997</v>
      </c>
      <c r="M29" s="195">
        <v>1513764000</v>
      </c>
      <c r="N29" s="195">
        <v>0</v>
      </c>
      <c r="O29" s="195">
        <v>5.3</v>
      </c>
      <c r="P29" s="195">
        <v>190</v>
      </c>
      <c r="Q29" s="195">
        <v>6.25</v>
      </c>
      <c r="R29" s="195">
        <v>2.5499999999999998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1065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1066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1067</v>
      </c>
      <c r="J20" s="139" t="s">
        <v>87</v>
      </c>
      <c r="M20" s="153" t="s">
        <v>1080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1069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1070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1071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1072</v>
      </c>
      <c r="J25" s="139" t="s">
        <v>144</v>
      </c>
      <c r="M25" s="153" t="b">
        <v>1</v>
      </c>
    </row>
    <row r="26" spans="3:24" x14ac:dyDescent="0.25">
      <c r="C26" t="s">
        <v>1073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%USERPROFILE%\Documents\GitHub\eaglep3-reporting\EC\2017-12-19-refined-times.txt</v>
      </c>
    </row>
    <row r="27" spans="3:24" x14ac:dyDescent="0.25">
      <c r="C27" t="s">
        <v>1074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%USERPROFILE%\Documents\GitHub\eaglep3-reporting\EC\2017-12-19-Enforcements.txt</v>
      </c>
    </row>
    <row r="28" spans="3:24" x14ac:dyDescent="0.25">
      <c r="C28" t="s">
        <v>1075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%USERPROFILE%\Documents\GitHub\eaglep3-reporting\EC\2017-12-19-Runs-refined.txt</v>
      </c>
    </row>
    <row r="29" spans="3:24" x14ac:dyDescent="0.25">
      <c r="C29" t="s">
        <v>1076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%USERPROFILE%\Documents\GitHub\eaglep3-reporting\EC\2017-12-19-Trips.txt</v>
      </c>
    </row>
    <row r="30" spans="3:24" x14ac:dyDescent="0.25">
      <c r="C30" t="s">
        <v>1077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%USERPROFILE%\Documents\GitHub\eaglep3-reporting\EC\2017-12-19-Weather.txt</v>
      </c>
    </row>
    <row r="31" spans="3:24" x14ac:dyDescent="0.25">
      <c r="C31" t="s">
        <v>1078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2017-12-21T16:33:47Z</dcterms:modified>
</cp:coreProperties>
</file>