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3" l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U14" i="1" s="1"/>
  <c r="AH14" i="1"/>
  <c r="K15" i="1"/>
  <c r="L15" i="1"/>
  <c r="M15" i="1"/>
  <c r="N15" i="1"/>
  <c r="T15" i="1"/>
  <c r="V15" i="1"/>
  <c r="Y15" i="1"/>
  <c r="Z15" i="1"/>
  <c r="AA15" i="1" s="1"/>
  <c r="W15" i="1" s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G16" i="1"/>
  <c r="AH16" i="1"/>
  <c r="AI16" i="1"/>
  <c r="K17" i="1"/>
  <c r="L17" i="1"/>
  <c r="M17" i="1"/>
  <c r="N17" i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/>
  <c r="V19" i="1"/>
  <c r="Y19" i="1"/>
  <c r="Z19" i="1"/>
  <c r="AA19" i="1" s="1"/>
  <c r="W19" i="1" s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G20" i="1"/>
  <c r="U20" i="1" s="1"/>
  <c r="S20" i="1" s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T22" i="1"/>
  <c r="V22" i="1"/>
  <c r="Y22" i="1"/>
  <c r="AA22" i="1" s="1"/>
  <c r="Z22" i="1"/>
  <c r="AB22" i="1"/>
  <c r="AC22" i="1"/>
  <c r="AD22" i="1"/>
  <c r="AG22" i="1" s="1"/>
  <c r="AE22" i="1"/>
  <c r="AF22" i="1"/>
  <c r="AH22" i="1"/>
  <c r="K23" i="1"/>
  <c r="L23" i="1"/>
  <c r="M23" i="1"/>
  <c r="N23" i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AA24" i="1" s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AA28" i="1" s="1"/>
  <c r="Z28" i="1"/>
  <c r="AB28" i="1"/>
  <c r="AC28" i="1"/>
  <c r="AD28" i="1"/>
  <c r="T28" i="1" s="1"/>
  <c r="AE28" i="1"/>
  <c r="AF28" i="1"/>
  <c r="AH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T30" i="1"/>
  <c r="V30" i="1"/>
  <c r="Y30" i="1"/>
  <c r="Z30" i="1"/>
  <c r="AB30" i="1"/>
  <c r="AC30" i="1"/>
  <c r="AD30" i="1"/>
  <c r="AE30" i="1"/>
  <c r="AF30" i="1"/>
  <c r="AG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G34" i="1"/>
  <c r="AI34" i="1" s="1"/>
  <c r="AH34" i="1"/>
  <c r="K35" i="1"/>
  <c r="L35" i="1"/>
  <c r="M35" i="1"/>
  <c r="N35" i="1" s="1"/>
  <c r="V35" i="1"/>
  <c r="Y35" i="1"/>
  <c r="Z35" i="1"/>
  <c r="AA35" i="1" s="1"/>
  <c r="W35" i="1" s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/>
  <c r="V39" i="1"/>
  <c r="Y39" i="1"/>
  <c r="AA39" i="1" s="1"/>
  <c r="Z39" i="1"/>
  <c r="AB39" i="1"/>
  <c r="AC39" i="1"/>
  <c r="AD39" i="1"/>
  <c r="AG39" i="1" s="1"/>
  <c r="AE39" i="1"/>
  <c r="AF39" i="1"/>
  <c r="AH39" i="1"/>
  <c r="AI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A46" i="1" s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A47" i="1" s="1"/>
  <c r="W47" i="1" s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G48" i="1"/>
  <c r="AH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I51" i="1"/>
  <c r="K52" i="1"/>
  <c r="L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H52" i="1"/>
  <c r="K53" i="1"/>
  <c r="L53" i="1"/>
  <c r="M53" i="1"/>
  <c r="N53" i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/>
  <c r="V54" i="1"/>
  <c r="Y54" i="1"/>
  <c r="Z54" i="1"/>
  <c r="AB54" i="1"/>
  <c r="AC54" i="1"/>
  <c r="AD54" i="1"/>
  <c r="AG54" i="1" s="1"/>
  <c r="AE54" i="1"/>
  <c r="AF54" i="1"/>
  <c r="AH54" i="1"/>
  <c r="AI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T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A57" i="1" s="1"/>
  <c r="W57" i="1" s="1"/>
  <c r="AB57" i="1"/>
  <c r="AC57" i="1"/>
  <c r="AD57" i="1"/>
  <c r="AG57" i="1" s="1"/>
  <c r="AE57" i="1"/>
  <c r="AF57" i="1"/>
  <c r="AH57" i="1"/>
  <c r="K58" i="1"/>
  <c r="L58" i="1"/>
  <c r="M58" i="1"/>
  <c r="N58" i="1"/>
  <c r="V58" i="1"/>
  <c r="Y58" i="1"/>
  <c r="AA58" i="1" s="1"/>
  <c r="W58" i="1" s="1"/>
  <c r="Z58" i="1"/>
  <c r="AB58" i="1"/>
  <c r="AC58" i="1"/>
  <c r="AD58" i="1"/>
  <c r="AG58" i="1" s="1"/>
  <c r="AE58" i="1"/>
  <c r="AF58" i="1"/>
  <c r="AH58" i="1"/>
  <c r="AI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K68" i="1"/>
  <c r="L68" i="1"/>
  <c r="M68" i="1"/>
  <c r="N68" i="1" s="1"/>
  <c r="V68" i="1"/>
  <c r="Y68" i="1"/>
  <c r="AA68" i="1" s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A72" i="1" s="1"/>
  <c r="W72" i="1" s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/>
  <c r="V74" i="1"/>
  <c r="Y74" i="1"/>
  <c r="AA74" i="1" s="1"/>
  <c r="Z74" i="1"/>
  <c r="AB74" i="1"/>
  <c r="AC74" i="1"/>
  <c r="AD74" i="1"/>
  <c r="AG74" i="1" s="1"/>
  <c r="AE74" i="1"/>
  <c r="AF74" i="1"/>
  <c r="AH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G76" i="1"/>
  <c r="AI76" i="1" s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I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G80" i="1"/>
  <c r="AH80" i="1"/>
  <c r="K81" i="1"/>
  <c r="L81" i="1"/>
  <c r="M81" i="1"/>
  <c r="N81" i="1" s="1"/>
  <c r="V81" i="1"/>
  <c r="Y81" i="1"/>
  <c r="Z81" i="1"/>
  <c r="AA81" i="1"/>
  <c r="W81" i="1" s="1"/>
  <c r="AB81" i="1"/>
  <c r="AC81" i="1"/>
  <c r="AD81" i="1"/>
  <c r="AG81" i="1" s="1"/>
  <c r="AE81" i="1"/>
  <c r="AF81" i="1"/>
  <c r="AH81" i="1"/>
  <c r="AI81" i="1"/>
  <c r="K82" i="1"/>
  <c r="L82" i="1"/>
  <c r="M82" i="1"/>
  <c r="N82" i="1" s="1"/>
  <c r="V82" i="1"/>
  <c r="Y82" i="1"/>
  <c r="AA82" i="1" s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AA86" i="1" s="1"/>
  <c r="W86" i="1" s="1"/>
  <c r="Z86" i="1"/>
  <c r="AB86" i="1"/>
  <c r="AC86" i="1"/>
  <c r="AD86" i="1"/>
  <c r="AG86" i="1" s="1"/>
  <c r="AE86" i="1"/>
  <c r="AF86" i="1"/>
  <c r="AH86" i="1"/>
  <c r="K87" i="1"/>
  <c r="L87" i="1"/>
  <c r="M87" i="1"/>
  <c r="N87" i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A88" i="1" s="1"/>
  <c r="AB88" i="1"/>
  <c r="AC88" i="1"/>
  <c r="AD88" i="1"/>
  <c r="AG88" i="1" s="1"/>
  <c r="AI88" i="1" s="1"/>
  <c r="AE88" i="1"/>
  <c r="AF88" i="1"/>
  <c r="AH88" i="1"/>
  <c r="K89" i="1"/>
  <c r="L89" i="1"/>
  <c r="M89" i="1"/>
  <c r="N89" i="1" s="1"/>
  <c r="V89" i="1"/>
  <c r="Y89" i="1"/>
  <c r="Z89" i="1"/>
  <c r="AA89" i="1" s="1"/>
  <c r="W89" i="1" s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G90" i="1"/>
  <c r="AH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A93" i="1" s="1"/>
  <c r="W93" i="1" s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AA96" i="1" s="1"/>
  <c r="Z96" i="1"/>
  <c r="AB96" i="1"/>
  <c r="AC96" i="1"/>
  <c r="AD96" i="1"/>
  <c r="T96" i="1" s="1"/>
  <c r="AE96" i="1"/>
  <c r="AF96" i="1"/>
  <c r="AH96" i="1"/>
  <c r="K97" i="1"/>
  <c r="L97" i="1"/>
  <c r="M97" i="1"/>
  <c r="N97" i="1"/>
  <c r="V97" i="1"/>
  <c r="X97" i="1"/>
  <c r="Y97" i="1"/>
  <c r="Z97" i="1"/>
  <c r="AI97" i="1" s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A98" i="1"/>
  <c r="AB98" i="1"/>
  <c r="AC98" i="1"/>
  <c r="AD98" i="1"/>
  <c r="AE98" i="1"/>
  <c r="AF98" i="1"/>
  <c r="AH98" i="1"/>
  <c r="K99" i="1"/>
  <c r="L99" i="1"/>
  <c r="M99" i="1"/>
  <c r="N99" i="1"/>
  <c r="V99" i="1"/>
  <c r="X99" i="1"/>
  <c r="Y99" i="1"/>
  <c r="Z99" i="1"/>
  <c r="AA99" i="1" s="1"/>
  <c r="AB99" i="1"/>
  <c r="AC99" i="1"/>
  <c r="AD99" i="1"/>
  <c r="T99" i="1" s="1"/>
  <c r="AE99" i="1"/>
  <c r="AF99" i="1"/>
  <c r="AG99" i="1"/>
  <c r="AH99" i="1"/>
  <c r="K100" i="1"/>
  <c r="L100" i="1"/>
  <c r="M100" i="1"/>
  <c r="N100" i="1" s="1"/>
  <c r="V100" i="1"/>
  <c r="Y100" i="1"/>
  <c r="AA100" i="1" s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AA105" i="1" s="1"/>
  <c r="Z105" i="1"/>
  <c r="AB105" i="1"/>
  <c r="AC105" i="1"/>
  <c r="AD105" i="1"/>
  <c r="AG105" i="1" s="1"/>
  <c r="AE105" i="1"/>
  <c r="AF105" i="1"/>
  <c r="AH105" i="1"/>
  <c r="AI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G106" i="1"/>
  <c r="AH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08" i="1"/>
  <c r="K109" i="1"/>
  <c r="L109" i="1"/>
  <c r="M109" i="1"/>
  <c r="N109" i="1" s="1"/>
  <c r="V109" i="1"/>
  <c r="Y109" i="1"/>
  <c r="AA109" i="1" s="1"/>
  <c r="Z109" i="1"/>
  <c r="AB109" i="1"/>
  <c r="AC109" i="1"/>
  <c r="AD109" i="1"/>
  <c r="AG109" i="1" s="1"/>
  <c r="AE109" i="1"/>
  <c r="AF109" i="1"/>
  <c r="AH109" i="1"/>
  <c r="AI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K113" i="1"/>
  <c r="L113" i="1"/>
  <c r="M113" i="1"/>
  <c r="N113" i="1"/>
  <c r="V113" i="1"/>
  <c r="Y113" i="1"/>
  <c r="Z113" i="1"/>
  <c r="AA113" i="1"/>
  <c r="W113" i="1" s="1"/>
  <c r="AB113" i="1"/>
  <c r="AC113" i="1"/>
  <c r="AD113" i="1"/>
  <c r="AG113" i="1" s="1"/>
  <c r="AE113" i="1"/>
  <c r="AF113" i="1"/>
  <c r="AH113" i="1"/>
  <c r="AI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G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I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I121" i="1" s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AA122" i="1" s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AA124" i="1" s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/>
  <c r="V125" i="1"/>
  <c r="X125" i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T128" i="1"/>
  <c r="V128" i="1"/>
  <c r="Y128" i="1"/>
  <c r="Z128" i="1"/>
  <c r="AB128" i="1"/>
  <c r="AC128" i="1"/>
  <c r="AD128" i="1"/>
  <c r="AG128" i="1" s="1"/>
  <c r="U128" i="1" s="1"/>
  <c r="AE128" i="1"/>
  <c r="AF128" i="1"/>
  <c r="AH128" i="1"/>
  <c r="K129" i="1"/>
  <c r="L129" i="1"/>
  <c r="M129" i="1"/>
  <c r="N129" i="1" s="1"/>
  <c r="V129" i="1"/>
  <c r="Y129" i="1"/>
  <c r="Z129" i="1"/>
  <c r="AA129" i="1" s="1"/>
  <c r="W129" i="1" s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I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K134" i="1"/>
  <c r="L134" i="1"/>
  <c r="M134" i="1"/>
  <c r="N134" i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A136" i="1"/>
  <c r="AB136" i="1"/>
  <c r="AC136" i="1"/>
  <c r="AD136" i="1"/>
  <c r="T136" i="1" s="1"/>
  <c r="AE136" i="1"/>
  <c r="AF136" i="1"/>
  <c r="AG136" i="1"/>
  <c r="AH136" i="1"/>
  <c r="AI136" i="1"/>
  <c r="K137" i="1"/>
  <c r="L137" i="1"/>
  <c r="M137" i="1"/>
  <c r="N137" i="1"/>
  <c r="V137" i="1"/>
  <c r="Y137" i="1"/>
  <c r="AA137" i="1" s="1"/>
  <c r="Z137" i="1"/>
  <c r="AB137" i="1"/>
  <c r="AC137" i="1"/>
  <c r="AD137" i="1"/>
  <c r="AG137" i="1" s="1"/>
  <c r="AE137" i="1"/>
  <c r="AF137" i="1"/>
  <c r="AH137" i="1"/>
  <c r="AI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/>
  <c r="V139" i="1"/>
  <c r="X139" i="1"/>
  <c r="Y139" i="1"/>
  <c r="Z139" i="1"/>
  <c r="AA139" i="1" s="1"/>
  <c r="AB139" i="1"/>
  <c r="AC139" i="1"/>
  <c r="AD139" i="1"/>
  <c r="T139" i="1" s="1"/>
  <c r="AE139" i="1"/>
  <c r="AF139" i="1"/>
  <c r="AG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49" i="1"/>
  <c r="K150" i="1"/>
  <c r="L150" i="1"/>
  <c r="M150" i="1"/>
  <c r="N150" i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A153" i="1" s="1"/>
  <c r="W153" i="1" s="1"/>
  <c r="AB153" i="1"/>
  <c r="AC153" i="1"/>
  <c r="AD153" i="1"/>
  <c r="AG153" i="1" s="1"/>
  <c r="AE153" i="1"/>
  <c r="AF153" i="1"/>
  <c r="AH153" i="1"/>
  <c r="AI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/>
  <c r="V155" i="1"/>
  <c r="Y155" i="1"/>
  <c r="Z155" i="1"/>
  <c r="AA155" i="1" s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A156" i="1" s="1"/>
  <c r="W156" i="1" s="1"/>
  <c r="AB156" i="1"/>
  <c r="AC156" i="1"/>
  <c r="AD156" i="1"/>
  <c r="T156" i="1" s="1"/>
  <c r="AE156" i="1"/>
  <c r="AF156" i="1"/>
  <c r="AG156" i="1"/>
  <c r="AI156" i="1" s="1"/>
  <c r="AH156" i="1"/>
  <c r="K204" i="1"/>
  <c r="L204" i="1"/>
  <c r="M204" i="1"/>
  <c r="N204" i="1" s="1"/>
  <c r="V204" i="1"/>
  <c r="Y204" i="1"/>
  <c r="Z204" i="1"/>
  <c r="AA204" i="1" s="1"/>
  <c r="W204" i="1" s="1"/>
  <c r="AB204" i="1"/>
  <c r="AC204" i="1"/>
  <c r="AD204" i="1"/>
  <c r="AG204" i="1" s="1"/>
  <c r="AE204" i="1"/>
  <c r="AF204" i="1"/>
  <c r="AH157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K207" i="1"/>
  <c r="L207" i="1"/>
  <c r="M207" i="1"/>
  <c r="N207" i="1" s="1"/>
  <c r="T207" i="1"/>
  <c r="V207" i="1"/>
  <c r="X207" i="1"/>
  <c r="Y207" i="1"/>
  <c r="Z207" i="1"/>
  <c r="AB207" i="1"/>
  <c r="AC207" i="1"/>
  <c r="AD207" i="1"/>
  <c r="AE207" i="1"/>
  <c r="AF207" i="1"/>
  <c r="AG207" i="1"/>
  <c r="AH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K213" i="1"/>
  <c r="L213" i="1"/>
  <c r="M213" i="1"/>
  <c r="N213" i="1"/>
  <c r="V213" i="1"/>
  <c r="Y213" i="1"/>
  <c r="AA213" i="1" s="1"/>
  <c r="Z213" i="1"/>
  <c r="AB213" i="1"/>
  <c r="AC213" i="1"/>
  <c r="AD213" i="1"/>
  <c r="AG213" i="1" s="1"/>
  <c r="AE213" i="1"/>
  <c r="AF213" i="1"/>
  <c r="AH16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7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68" i="1"/>
  <c r="K221" i="1"/>
  <c r="L221" i="1"/>
  <c r="M221" i="1"/>
  <c r="N221" i="1"/>
  <c r="V221" i="1"/>
  <c r="Y221" i="1"/>
  <c r="Z221" i="1"/>
  <c r="AB221" i="1"/>
  <c r="AC221" i="1"/>
  <c r="AD221" i="1"/>
  <c r="AG221" i="1" s="1"/>
  <c r="AE221" i="1"/>
  <c r="AF221" i="1"/>
  <c r="AH169" i="1"/>
  <c r="K222" i="1"/>
  <c r="L222" i="1"/>
  <c r="M222" i="1"/>
  <c r="N222" i="1" s="1"/>
  <c r="V222" i="1"/>
  <c r="Y222" i="1"/>
  <c r="Z222" i="1"/>
  <c r="AA222" i="1"/>
  <c r="W222" i="1" s="1"/>
  <c r="AB222" i="1"/>
  <c r="AC222" i="1"/>
  <c r="AD222" i="1"/>
  <c r="T222" i="1" s="1"/>
  <c r="AE222" i="1"/>
  <c r="AF222" i="1"/>
  <c r="AG222" i="1"/>
  <c r="AH170" i="1"/>
  <c r="K223" i="1"/>
  <c r="L223" i="1"/>
  <c r="M223" i="1"/>
  <c r="N223" i="1"/>
  <c r="V223" i="1"/>
  <c r="Y223" i="1"/>
  <c r="Z223" i="1"/>
  <c r="AB223" i="1"/>
  <c r="AC223" i="1"/>
  <c r="AD223" i="1"/>
  <c r="AG223" i="1" s="1"/>
  <c r="AE223" i="1"/>
  <c r="AF223" i="1"/>
  <c r="AH171" i="1"/>
  <c r="K224" i="1"/>
  <c r="L224" i="1"/>
  <c r="M224" i="1"/>
  <c r="N224" i="1"/>
  <c r="V224" i="1"/>
  <c r="Y224" i="1"/>
  <c r="Z224" i="1"/>
  <c r="AB224" i="1"/>
  <c r="AC224" i="1"/>
  <c r="AD224" i="1"/>
  <c r="AE224" i="1"/>
  <c r="AF224" i="1"/>
  <c r="AH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4" i="1"/>
  <c r="K157" i="1"/>
  <c r="L157" i="1"/>
  <c r="M157" i="1"/>
  <c r="N157" i="1" s="1"/>
  <c r="V157" i="1"/>
  <c r="X157" i="1"/>
  <c r="Y157" i="1"/>
  <c r="Z157" i="1"/>
  <c r="AA157" i="1" s="1"/>
  <c r="W157" i="1" s="1"/>
  <c r="AB157" i="1"/>
  <c r="AC157" i="1"/>
  <c r="AD157" i="1"/>
  <c r="AG157" i="1" s="1"/>
  <c r="AE157" i="1"/>
  <c r="AF157" i="1"/>
  <c r="AH175" i="1"/>
  <c r="K158" i="1"/>
  <c r="L158" i="1"/>
  <c r="M158" i="1"/>
  <c r="N158" i="1" s="1"/>
  <c r="V158" i="1"/>
  <c r="Y158" i="1"/>
  <c r="Z158" i="1"/>
  <c r="AA158" i="1" s="1"/>
  <c r="AB158" i="1"/>
  <c r="AC158" i="1"/>
  <c r="AD158" i="1"/>
  <c r="AG158" i="1" s="1"/>
  <c r="AE158" i="1"/>
  <c r="AF158" i="1"/>
  <c r="AH17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7" i="1"/>
  <c r="K160" i="1"/>
  <c r="L160" i="1"/>
  <c r="M160" i="1"/>
  <c r="N160" i="1" s="1"/>
  <c r="T160" i="1"/>
  <c r="V160" i="1"/>
  <c r="Y160" i="1"/>
  <c r="Z160" i="1"/>
  <c r="AB160" i="1"/>
  <c r="AC160" i="1"/>
  <c r="AD160" i="1"/>
  <c r="AG160" i="1" s="1"/>
  <c r="AE160" i="1"/>
  <c r="AF160" i="1"/>
  <c r="AH178" i="1"/>
  <c r="K161" i="1"/>
  <c r="L161" i="1"/>
  <c r="M161" i="1"/>
  <c r="N161" i="1"/>
  <c r="V161" i="1"/>
  <c r="Y161" i="1"/>
  <c r="Z161" i="1"/>
  <c r="AB161" i="1"/>
  <c r="AC161" i="1"/>
  <c r="AD161" i="1"/>
  <c r="AG161" i="1" s="1"/>
  <c r="AI161" i="1" s="1"/>
  <c r="AE161" i="1"/>
  <c r="AF161" i="1"/>
  <c r="AH179" i="1"/>
  <c r="K162" i="1"/>
  <c r="L162" i="1"/>
  <c r="M162" i="1"/>
  <c r="N162" i="1"/>
  <c r="V162" i="1"/>
  <c r="Y162" i="1"/>
  <c r="Z162" i="1"/>
  <c r="AB162" i="1"/>
  <c r="AC162" i="1"/>
  <c r="AD162" i="1"/>
  <c r="AG162" i="1" s="1"/>
  <c r="AE162" i="1"/>
  <c r="AF162" i="1"/>
  <c r="AH18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1" i="1"/>
  <c r="K164" i="1"/>
  <c r="L164" i="1"/>
  <c r="M164" i="1"/>
  <c r="N164" i="1" s="1"/>
  <c r="T164" i="1"/>
  <c r="V164" i="1"/>
  <c r="Y164" i="1"/>
  <c r="Z164" i="1"/>
  <c r="AB164" i="1"/>
  <c r="AC164" i="1"/>
  <c r="AD164" i="1"/>
  <c r="AG164" i="1" s="1"/>
  <c r="U164" i="1" s="1"/>
  <c r="S164" i="1" s="1"/>
  <c r="AE164" i="1"/>
  <c r="AF164" i="1"/>
  <c r="AH182" i="1"/>
  <c r="K165" i="1"/>
  <c r="L165" i="1"/>
  <c r="M165" i="1"/>
  <c r="N165" i="1"/>
  <c r="V165" i="1"/>
  <c r="Y165" i="1"/>
  <c r="AA165" i="1" s="1"/>
  <c r="Z165" i="1"/>
  <c r="AB165" i="1"/>
  <c r="AC165" i="1"/>
  <c r="AD165" i="1"/>
  <c r="AG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G166" i="1"/>
  <c r="AH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86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187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8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9" i="1"/>
  <c r="K172" i="1"/>
  <c r="L172" i="1"/>
  <c r="M172" i="1"/>
  <c r="N172" i="1" s="1"/>
  <c r="V172" i="1"/>
  <c r="Y172" i="1"/>
  <c r="Z172" i="1"/>
  <c r="AA172" i="1" s="1"/>
  <c r="AB172" i="1"/>
  <c r="AC172" i="1"/>
  <c r="AD172" i="1"/>
  <c r="X172" i="1" s="1"/>
  <c r="AE172" i="1"/>
  <c r="AF172" i="1"/>
  <c r="AH190" i="1"/>
  <c r="K173" i="1"/>
  <c r="L173" i="1"/>
  <c r="M173" i="1"/>
  <c r="N173" i="1" s="1"/>
  <c r="V173" i="1"/>
  <c r="Y173" i="1"/>
  <c r="Z173" i="1"/>
  <c r="AA173" i="1" s="1"/>
  <c r="AB173" i="1"/>
  <c r="AC173" i="1"/>
  <c r="AD173" i="1"/>
  <c r="AG173" i="1" s="1"/>
  <c r="AE173" i="1"/>
  <c r="AF173" i="1"/>
  <c r="AH191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I175" i="1" s="1"/>
  <c r="AE175" i="1"/>
  <c r="AF175" i="1"/>
  <c r="AH193" i="1"/>
  <c r="K176" i="1"/>
  <c r="L176" i="1"/>
  <c r="M176" i="1"/>
  <c r="N176" i="1" s="1"/>
  <c r="V176" i="1"/>
  <c r="X176" i="1"/>
  <c r="Y176" i="1"/>
  <c r="Z176" i="1"/>
  <c r="AB176" i="1"/>
  <c r="AC176" i="1"/>
  <c r="AD176" i="1"/>
  <c r="T176" i="1" s="1"/>
  <c r="AE176" i="1"/>
  <c r="AF176" i="1"/>
  <c r="AH19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5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9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K180" i="1"/>
  <c r="L180" i="1"/>
  <c r="M180" i="1"/>
  <c r="N180" i="1" s="1"/>
  <c r="V180" i="1"/>
  <c r="Y180" i="1"/>
  <c r="Z180" i="1"/>
  <c r="AA180" i="1" s="1"/>
  <c r="AB180" i="1"/>
  <c r="AC180" i="1"/>
  <c r="AD180" i="1"/>
  <c r="X180" i="1" s="1"/>
  <c r="AE180" i="1"/>
  <c r="AF180" i="1"/>
  <c r="AH198" i="1"/>
  <c r="K181" i="1"/>
  <c r="L181" i="1"/>
  <c r="M181" i="1"/>
  <c r="N181" i="1" s="1"/>
  <c r="V181" i="1"/>
  <c r="Y181" i="1"/>
  <c r="Z181" i="1"/>
  <c r="AA181" i="1" s="1"/>
  <c r="W181" i="1" s="1"/>
  <c r="AB181" i="1"/>
  <c r="AC181" i="1"/>
  <c r="AD181" i="1"/>
  <c r="AG181" i="1" s="1"/>
  <c r="AE181" i="1"/>
  <c r="AF181" i="1"/>
  <c r="AH199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00" i="1"/>
  <c r="K183" i="1"/>
  <c r="L183" i="1"/>
  <c r="M183" i="1"/>
  <c r="N183" i="1" s="1"/>
  <c r="T183" i="1"/>
  <c r="V183" i="1"/>
  <c r="Y183" i="1"/>
  <c r="Z183" i="1"/>
  <c r="AB183" i="1"/>
  <c r="AC183" i="1"/>
  <c r="AD183" i="1"/>
  <c r="AG183" i="1" s="1"/>
  <c r="AI183" i="1" s="1"/>
  <c r="AE183" i="1"/>
  <c r="AF183" i="1"/>
  <c r="AH201" i="1"/>
  <c r="K184" i="1"/>
  <c r="L184" i="1"/>
  <c r="M184" i="1"/>
  <c r="N184" i="1" s="1"/>
  <c r="V184" i="1"/>
  <c r="X184" i="1"/>
  <c r="Y184" i="1"/>
  <c r="Z184" i="1"/>
  <c r="AA184" i="1" s="1"/>
  <c r="AB184" i="1"/>
  <c r="AC184" i="1"/>
  <c r="AD184" i="1"/>
  <c r="T184" i="1" s="1"/>
  <c r="AE184" i="1"/>
  <c r="AF184" i="1"/>
  <c r="AH202" i="1"/>
  <c r="K185" i="1"/>
  <c r="L185" i="1"/>
  <c r="M185" i="1"/>
  <c r="N185" i="1" s="1"/>
  <c r="V185" i="1"/>
  <c r="Y185" i="1"/>
  <c r="Z185" i="1"/>
  <c r="AA185" i="1" s="1"/>
  <c r="AB185" i="1"/>
  <c r="AC185" i="1"/>
  <c r="AD185" i="1"/>
  <c r="AG185" i="1" s="1"/>
  <c r="AE185" i="1"/>
  <c r="AF185" i="1"/>
  <c r="AH203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0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5" i="1"/>
  <c r="K188" i="1"/>
  <c r="L188" i="1"/>
  <c r="M188" i="1"/>
  <c r="N188" i="1" s="1"/>
  <c r="V188" i="1"/>
  <c r="Y188" i="1"/>
  <c r="Z188" i="1"/>
  <c r="AA188" i="1" s="1"/>
  <c r="AB188" i="1"/>
  <c r="AC188" i="1"/>
  <c r="AD188" i="1"/>
  <c r="X188" i="1" s="1"/>
  <c r="AE188" i="1"/>
  <c r="AF188" i="1"/>
  <c r="AH206" i="1"/>
  <c r="K189" i="1"/>
  <c r="L189" i="1"/>
  <c r="M189" i="1"/>
  <c r="N189" i="1" s="1"/>
  <c r="V189" i="1"/>
  <c r="Y189" i="1"/>
  <c r="Z189" i="1"/>
  <c r="AA189" i="1" s="1"/>
  <c r="W189" i="1" s="1"/>
  <c r="AB189" i="1"/>
  <c r="AC189" i="1"/>
  <c r="AD189" i="1"/>
  <c r="AG189" i="1" s="1"/>
  <c r="AE189" i="1"/>
  <c r="AF189" i="1"/>
  <c r="AH207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R30" i="3" s="1"/>
  <c r="AF190" i="1"/>
  <c r="AH20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9" i="1"/>
  <c r="K192" i="1"/>
  <c r="L192" i="1"/>
  <c r="M192" i="1"/>
  <c r="N192" i="1" s="1"/>
  <c r="V192" i="1"/>
  <c r="X192" i="1"/>
  <c r="Y192" i="1"/>
  <c r="Z192" i="1"/>
  <c r="AA192" i="1" s="1"/>
  <c r="AB192" i="1"/>
  <c r="AC192" i="1"/>
  <c r="AD192" i="1"/>
  <c r="T192" i="1" s="1"/>
  <c r="AE192" i="1"/>
  <c r="AF192" i="1"/>
  <c r="AH210" i="1"/>
  <c r="K193" i="1"/>
  <c r="L193" i="1"/>
  <c r="M193" i="1"/>
  <c r="N193" i="1" s="1"/>
  <c r="V193" i="1"/>
  <c r="Y193" i="1"/>
  <c r="Z193" i="1"/>
  <c r="AA193" i="1" s="1"/>
  <c r="AB193" i="1"/>
  <c r="AC193" i="1"/>
  <c r="AD193" i="1"/>
  <c r="AG193" i="1" s="1"/>
  <c r="AE193" i="1"/>
  <c r="AF193" i="1"/>
  <c r="AH211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2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3" i="1"/>
  <c r="K196" i="1"/>
  <c r="L196" i="1"/>
  <c r="M196" i="1"/>
  <c r="N196" i="1" s="1"/>
  <c r="V196" i="1"/>
  <c r="Y196" i="1"/>
  <c r="Z196" i="1"/>
  <c r="AA196" i="1" s="1"/>
  <c r="AB196" i="1"/>
  <c r="AC196" i="1"/>
  <c r="AD196" i="1"/>
  <c r="X196" i="1" s="1"/>
  <c r="AE196" i="1"/>
  <c r="AF196" i="1"/>
  <c r="AH214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AG197" i="1" s="1"/>
  <c r="AE197" i="1"/>
  <c r="AF197" i="1"/>
  <c r="AH215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16" i="1"/>
  <c r="K199" i="1"/>
  <c r="L199" i="1"/>
  <c r="M199" i="1"/>
  <c r="N199" i="1" s="1"/>
  <c r="T199" i="1"/>
  <c r="V199" i="1"/>
  <c r="Y199" i="1"/>
  <c r="Z199" i="1"/>
  <c r="AB199" i="1"/>
  <c r="AC199" i="1"/>
  <c r="AD199" i="1"/>
  <c r="AG199" i="1" s="1"/>
  <c r="AE199" i="1"/>
  <c r="AF199" i="1"/>
  <c r="AH217" i="1"/>
  <c r="K200" i="1"/>
  <c r="L200" i="1"/>
  <c r="M200" i="1"/>
  <c r="N200" i="1" s="1"/>
  <c r="V200" i="1"/>
  <c r="X200" i="1"/>
  <c r="Y200" i="1"/>
  <c r="Z200" i="1"/>
  <c r="AA200" i="1" s="1"/>
  <c r="W200" i="1" s="1"/>
  <c r="AB200" i="1"/>
  <c r="AC200" i="1"/>
  <c r="AD200" i="1"/>
  <c r="AG200" i="1" s="1"/>
  <c r="AE200" i="1"/>
  <c r="AF200" i="1"/>
  <c r="AH218" i="1"/>
  <c r="K201" i="1"/>
  <c r="L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19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0" i="1"/>
  <c r="K203" i="1"/>
  <c r="L203" i="1"/>
  <c r="M203" i="1"/>
  <c r="N203" i="1" s="1"/>
  <c r="V203" i="1"/>
  <c r="Y203" i="1"/>
  <c r="Z203" i="1"/>
  <c r="AB203" i="1"/>
  <c r="AC203" i="1"/>
  <c r="AD203" i="1"/>
  <c r="X204" i="1" s="1"/>
  <c r="AE203" i="1"/>
  <c r="AF203" i="1"/>
  <c r="AH221" i="1"/>
  <c r="K214" i="1"/>
  <c r="L214" i="1"/>
  <c r="M214" i="1"/>
  <c r="N214" i="1" s="1"/>
  <c r="V214" i="1"/>
  <c r="Y214" i="1"/>
  <c r="Z214" i="1"/>
  <c r="AA214" i="1" s="1"/>
  <c r="W214" i="1" s="1"/>
  <c r="AB214" i="1"/>
  <c r="AC214" i="1"/>
  <c r="AD214" i="1"/>
  <c r="AG214" i="1" s="1"/>
  <c r="AE214" i="1"/>
  <c r="AF214" i="1"/>
  <c r="AH222" i="1"/>
  <c r="AI222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2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4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5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6" i="1"/>
  <c r="M37" i="3"/>
  <c r="N37" i="3"/>
  <c r="R37" i="3"/>
  <c r="S37" i="3"/>
  <c r="U37" i="3"/>
  <c r="T37" i="3" s="1"/>
  <c r="V37" i="3"/>
  <c r="W37" i="3"/>
  <c r="Y37" i="3" s="1"/>
  <c r="X37" i="3"/>
  <c r="AC37" i="3"/>
  <c r="M39" i="3"/>
  <c r="N39" i="3"/>
  <c r="R39" i="3"/>
  <c r="S39" i="3"/>
  <c r="U39" i="3"/>
  <c r="T39" i="3" s="1"/>
  <c r="V39" i="3"/>
  <c r="W39" i="3"/>
  <c r="X39" i="3"/>
  <c r="AC39" i="3"/>
  <c r="M26" i="3"/>
  <c r="N26" i="3"/>
  <c r="R26" i="3"/>
  <c r="S26" i="3"/>
  <c r="U26" i="3"/>
  <c r="T26" i="3" s="1"/>
  <c r="V26" i="3"/>
  <c r="W26" i="3"/>
  <c r="X26" i="3"/>
  <c r="AC26" i="3"/>
  <c r="M8" i="3"/>
  <c r="N8" i="3"/>
  <c r="R8" i="3"/>
  <c r="S8" i="3"/>
  <c r="U8" i="3"/>
  <c r="T8" i="3" s="1"/>
  <c r="V8" i="3"/>
  <c r="W8" i="3"/>
  <c r="X8" i="3"/>
  <c r="AC8" i="3"/>
  <c r="M14" i="3"/>
  <c r="N14" i="3"/>
  <c r="R14" i="3"/>
  <c r="S14" i="3"/>
  <c r="U14" i="3"/>
  <c r="T14" i="3" s="1"/>
  <c r="V14" i="3"/>
  <c r="W14" i="3"/>
  <c r="Y14" i="3" s="1"/>
  <c r="X14" i="3"/>
  <c r="AC14" i="3"/>
  <c r="M10" i="3"/>
  <c r="N10" i="3"/>
  <c r="R10" i="3"/>
  <c r="S10" i="3"/>
  <c r="U10" i="3"/>
  <c r="T10" i="3" s="1"/>
  <c r="V10" i="3"/>
  <c r="W10" i="3"/>
  <c r="X10" i="3"/>
  <c r="AC10" i="3"/>
  <c r="M25" i="3"/>
  <c r="N25" i="3"/>
  <c r="R25" i="3"/>
  <c r="S25" i="3"/>
  <c r="U25" i="3"/>
  <c r="T25" i="3" s="1"/>
  <c r="V25" i="3"/>
  <c r="W25" i="3"/>
  <c r="X25" i="3"/>
  <c r="AC25" i="3"/>
  <c r="M28" i="3"/>
  <c r="N28" i="3"/>
  <c r="R28" i="3"/>
  <c r="S28" i="3"/>
  <c r="U28" i="3"/>
  <c r="T28" i="3" s="1"/>
  <c r="V28" i="3"/>
  <c r="W28" i="3"/>
  <c r="X28" i="3"/>
  <c r="AC28" i="3"/>
  <c r="M7" i="3"/>
  <c r="N7" i="3"/>
  <c r="R7" i="3"/>
  <c r="S7" i="3"/>
  <c r="U7" i="3"/>
  <c r="T7" i="3" s="1"/>
  <c r="V7" i="3"/>
  <c r="W7" i="3"/>
  <c r="Y7" i="3" s="1"/>
  <c r="X7" i="3"/>
  <c r="AC7" i="3"/>
  <c r="M32" i="3"/>
  <c r="N32" i="3"/>
  <c r="R32" i="3"/>
  <c r="S32" i="3"/>
  <c r="U32" i="3"/>
  <c r="T32" i="3" s="1"/>
  <c r="V32" i="3"/>
  <c r="W32" i="3"/>
  <c r="X32" i="3"/>
  <c r="AC32" i="3"/>
  <c r="M16" i="3"/>
  <c r="N16" i="3"/>
  <c r="R16" i="3"/>
  <c r="S16" i="3"/>
  <c r="U16" i="3"/>
  <c r="T16" i="3" s="1"/>
  <c r="V16" i="3"/>
  <c r="W16" i="3"/>
  <c r="X16" i="3"/>
  <c r="M11" i="3"/>
  <c r="N11" i="3"/>
  <c r="R11" i="3"/>
  <c r="S11" i="3"/>
  <c r="U11" i="3"/>
  <c r="T11" i="3" s="1"/>
  <c r="V11" i="3"/>
  <c r="W11" i="3"/>
  <c r="X11" i="3"/>
  <c r="AC11" i="3"/>
  <c r="M21" i="3"/>
  <c r="N21" i="3"/>
  <c r="R21" i="3"/>
  <c r="S21" i="3"/>
  <c r="U21" i="3"/>
  <c r="T21" i="3" s="1"/>
  <c r="V21" i="3"/>
  <c r="W21" i="3"/>
  <c r="Y21" i="3" s="1"/>
  <c r="X21" i="3"/>
  <c r="AC21" i="3"/>
  <c r="M22" i="3"/>
  <c r="N22" i="3"/>
  <c r="R22" i="3"/>
  <c r="S22" i="3"/>
  <c r="U22" i="3"/>
  <c r="T22" i="3" s="1"/>
  <c r="V22" i="3"/>
  <c r="W22" i="3"/>
  <c r="X22" i="3"/>
  <c r="AC22" i="3"/>
  <c r="M13" i="3"/>
  <c r="N13" i="3"/>
  <c r="R13" i="3"/>
  <c r="S13" i="3"/>
  <c r="U13" i="3"/>
  <c r="T13" i="3" s="1"/>
  <c r="V13" i="3"/>
  <c r="W13" i="3"/>
  <c r="X13" i="3"/>
  <c r="AC13" i="3"/>
  <c r="M40" i="3"/>
  <c r="N40" i="3"/>
  <c r="R40" i="3"/>
  <c r="S40" i="3"/>
  <c r="U40" i="3"/>
  <c r="T40" i="3" s="1"/>
  <c r="V40" i="3"/>
  <c r="W40" i="3"/>
  <c r="X40" i="3"/>
  <c r="AC40" i="3"/>
  <c r="M33" i="3"/>
  <c r="N33" i="3"/>
  <c r="R33" i="3"/>
  <c r="S33" i="3"/>
  <c r="U33" i="3"/>
  <c r="T33" i="3" s="1"/>
  <c r="V33" i="3"/>
  <c r="W33" i="3"/>
  <c r="Y33" i="3" s="1"/>
  <c r="X33" i="3"/>
  <c r="AC33" i="3"/>
  <c r="M19" i="3"/>
  <c r="N19" i="3"/>
  <c r="R19" i="3"/>
  <c r="S19" i="3"/>
  <c r="U19" i="3"/>
  <c r="T19" i="3" s="1"/>
  <c r="V19" i="3"/>
  <c r="W19" i="3"/>
  <c r="X19" i="3"/>
  <c r="AC19" i="3"/>
  <c r="M41" i="3"/>
  <c r="N41" i="3"/>
  <c r="R41" i="3"/>
  <c r="S41" i="3"/>
  <c r="U41" i="3"/>
  <c r="T41" i="3" s="1"/>
  <c r="V41" i="3"/>
  <c r="W41" i="3"/>
  <c r="X41" i="3"/>
  <c r="AC41" i="3"/>
  <c r="M9" i="3"/>
  <c r="N9" i="3"/>
  <c r="R9" i="3"/>
  <c r="S9" i="3"/>
  <c r="U9" i="3"/>
  <c r="T9" i="3" s="1"/>
  <c r="V9" i="3"/>
  <c r="W9" i="3"/>
  <c r="X9" i="3"/>
  <c r="AC9" i="3"/>
  <c r="M31" i="3"/>
  <c r="N31" i="3"/>
  <c r="R31" i="3"/>
  <c r="S31" i="3"/>
  <c r="U31" i="3"/>
  <c r="T31" i="3" s="1"/>
  <c r="V31" i="3"/>
  <c r="W31" i="3"/>
  <c r="Y31" i="3" s="1"/>
  <c r="X31" i="3"/>
  <c r="AC31" i="3"/>
  <c r="M17" i="3"/>
  <c r="N17" i="3"/>
  <c r="R17" i="3"/>
  <c r="S17" i="3"/>
  <c r="U17" i="3"/>
  <c r="T17" i="3" s="1"/>
  <c r="V17" i="3"/>
  <c r="W17" i="3"/>
  <c r="X17" i="3"/>
  <c r="AC17" i="3"/>
  <c r="M20" i="3"/>
  <c r="N20" i="3"/>
  <c r="R20" i="3"/>
  <c r="S20" i="3"/>
  <c r="U20" i="3"/>
  <c r="T20" i="3" s="1"/>
  <c r="V20" i="3"/>
  <c r="W20" i="3"/>
  <c r="X20" i="3"/>
  <c r="AC20" i="3"/>
  <c r="M36" i="3"/>
  <c r="N36" i="3"/>
  <c r="R36" i="3"/>
  <c r="S36" i="3"/>
  <c r="U36" i="3"/>
  <c r="T36" i="3" s="1"/>
  <c r="V36" i="3"/>
  <c r="W36" i="3"/>
  <c r="X36" i="3"/>
  <c r="AC36" i="3"/>
  <c r="M34" i="3"/>
  <c r="N34" i="3"/>
  <c r="R34" i="3"/>
  <c r="S34" i="3"/>
  <c r="U34" i="3"/>
  <c r="T34" i="3" s="1"/>
  <c r="V34" i="3"/>
  <c r="W34" i="3"/>
  <c r="Y34" i="3" s="1"/>
  <c r="X34" i="3"/>
  <c r="AC34" i="3"/>
  <c r="M23" i="3"/>
  <c r="N23" i="3"/>
  <c r="R23" i="3"/>
  <c r="S23" i="3"/>
  <c r="U23" i="3"/>
  <c r="T23" i="3" s="1"/>
  <c r="V23" i="3"/>
  <c r="W23" i="3"/>
  <c r="X23" i="3"/>
  <c r="AC23" i="3"/>
  <c r="M24" i="3"/>
  <c r="N24" i="3"/>
  <c r="R24" i="3"/>
  <c r="S24" i="3"/>
  <c r="U24" i="3"/>
  <c r="T24" i="3" s="1"/>
  <c r="V24" i="3"/>
  <c r="W24" i="3"/>
  <c r="X24" i="3"/>
  <c r="AC24" i="3"/>
  <c r="M12" i="3"/>
  <c r="N12" i="3"/>
  <c r="R12" i="3"/>
  <c r="S12" i="3"/>
  <c r="U12" i="3"/>
  <c r="T12" i="3" s="1"/>
  <c r="V12" i="3"/>
  <c r="W12" i="3"/>
  <c r="X12" i="3"/>
  <c r="AC12" i="3"/>
  <c r="M29" i="3"/>
  <c r="N29" i="3"/>
  <c r="R29" i="3"/>
  <c r="S29" i="3"/>
  <c r="U29" i="3"/>
  <c r="T29" i="3" s="1"/>
  <c r="V29" i="3"/>
  <c r="W29" i="3"/>
  <c r="Y29" i="3" s="1"/>
  <c r="X29" i="3"/>
  <c r="AC29" i="3"/>
  <c r="M35" i="3"/>
  <c r="N35" i="3"/>
  <c r="R35" i="3"/>
  <c r="S35" i="3"/>
  <c r="U35" i="3"/>
  <c r="T35" i="3" s="1"/>
  <c r="V35" i="3"/>
  <c r="W35" i="3"/>
  <c r="X35" i="3"/>
  <c r="AC35" i="3"/>
  <c r="M27" i="3"/>
  <c r="N27" i="3"/>
  <c r="R27" i="3"/>
  <c r="S27" i="3"/>
  <c r="U27" i="3"/>
  <c r="T27" i="3" s="1"/>
  <c r="V27" i="3"/>
  <c r="W27" i="3"/>
  <c r="X27" i="3"/>
  <c r="AC27" i="3"/>
  <c r="M30" i="3"/>
  <c r="N30" i="3"/>
  <c r="S30" i="3"/>
  <c r="U30" i="3"/>
  <c r="T30" i="3" s="1"/>
  <c r="V30" i="3"/>
  <c r="W30" i="3"/>
  <c r="X30" i="3"/>
  <c r="AC30" i="3"/>
  <c r="M38" i="3"/>
  <c r="N38" i="3"/>
  <c r="R38" i="3"/>
  <c r="S38" i="3"/>
  <c r="U38" i="3"/>
  <c r="T38" i="3" s="1"/>
  <c r="V38" i="3"/>
  <c r="W38" i="3"/>
  <c r="Y38" i="3" s="1"/>
  <c r="X38" i="3"/>
  <c r="AC38" i="3"/>
  <c r="M18" i="3"/>
  <c r="N18" i="3"/>
  <c r="R18" i="3"/>
  <c r="S18" i="3"/>
  <c r="U18" i="3"/>
  <c r="T18" i="3" s="1"/>
  <c r="V18" i="3"/>
  <c r="W18" i="3"/>
  <c r="X18" i="3"/>
  <c r="AC18" i="3"/>
  <c r="M28" i="5"/>
  <c r="W88" i="1" l="1"/>
  <c r="AI72" i="1"/>
  <c r="W220" i="1"/>
  <c r="X140" i="1"/>
  <c r="W137" i="1"/>
  <c r="W109" i="1"/>
  <c r="AA77" i="1"/>
  <c r="W77" i="1" s="1"/>
  <c r="AA76" i="1"/>
  <c r="W76" i="1" s="1"/>
  <c r="T73" i="1"/>
  <c r="AA69" i="1"/>
  <c r="AG66" i="1"/>
  <c r="AI66" i="1" s="1"/>
  <c r="AA64" i="1"/>
  <c r="AA54" i="1"/>
  <c r="W54" i="1" s="1"/>
  <c r="W39" i="1"/>
  <c r="W34" i="1"/>
  <c r="AA16" i="1"/>
  <c r="W16" i="1" s="1"/>
  <c r="AA218" i="1"/>
  <c r="T217" i="1"/>
  <c r="AA164" i="1"/>
  <c r="W164" i="1" s="1"/>
  <c r="AG226" i="1"/>
  <c r="AI226" i="1" s="1"/>
  <c r="X226" i="1"/>
  <c r="AG220" i="1"/>
  <c r="U220" i="1" s="1"/>
  <c r="AG211" i="1"/>
  <c r="U211" i="1" s="1"/>
  <c r="X211" i="1"/>
  <c r="AA209" i="1"/>
  <c r="AA208" i="1"/>
  <c r="W208" i="1" s="1"/>
  <c r="AG148" i="1"/>
  <c r="X148" i="1"/>
  <c r="AA146" i="1"/>
  <c r="W146" i="1" s="1"/>
  <c r="AG144" i="1"/>
  <c r="X144" i="1"/>
  <c r="AA142" i="1"/>
  <c r="T132" i="1"/>
  <c r="AI129" i="1"/>
  <c r="AG123" i="1"/>
  <c r="X123" i="1"/>
  <c r="AA117" i="1"/>
  <c r="W117" i="1" s="1"/>
  <c r="AA104" i="1"/>
  <c r="AA97" i="1"/>
  <c r="W97" i="1" s="1"/>
  <c r="AG96" i="1"/>
  <c r="U96" i="1" s="1"/>
  <c r="X96" i="1"/>
  <c r="AA90" i="1"/>
  <c r="T88" i="1"/>
  <c r="AG83" i="1"/>
  <c r="X83" i="1"/>
  <c r="X81" i="1"/>
  <c r="T72" i="1"/>
  <c r="U72" i="1" s="1"/>
  <c r="S72" i="1" s="1"/>
  <c r="AA60" i="1"/>
  <c r="AA53" i="1"/>
  <c r="AA44" i="1"/>
  <c r="AG41" i="1"/>
  <c r="X41" i="1"/>
  <c r="X38" i="1"/>
  <c r="AA38" i="1"/>
  <c r="AA37" i="1"/>
  <c r="T19" i="1"/>
  <c r="U16" i="1"/>
  <c r="S16" i="1" s="1"/>
  <c r="AA177" i="1"/>
  <c r="AA176" i="1"/>
  <c r="T175" i="1"/>
  <c r="X168" i="1"/>
  <c r="AI162" i="1"/>
  <c r="AA162" i="1"/>
  <c r="AI157" i="1"/>
  <c r="AA223" i="1"/>
  <c r="W223" i="1" s="1"/>
  <c r="W136" i="1"/>
  <c r="X120" i="1"/>
  <c r="W105" i="1"/>
  <c r="X77" i="1"/>
  <c r="AA66" i="1"/>
  <c r="W66" i="1" s="1"/>
  <c r="U56" i="1"/>
  <c r="T191" i="1"/>
  <c r="X218" i="1"/>
  <c r="AA216" i="1"/>
  <c r="AA215" i="1"/>
  <c r="W215" i="1" s="1"/>
  <c r="W165" i="1"/>
  <c r="AG155" i="1"/>
  <c r="W155" i="1" s="1"/>
  <c r="X155" i="1"/>
  <c r="AA154" i="1"/>
  <c r="T153" i="1"/>
  <c r="AI145" i="1"/>
  <c r="X141" i="1"/>
  <c r="AG140" i="1"/>
  <c r="AI140" i="1" s="1"/>
  <c r="AA138" i="1"/>
  <c r="AA134" i="1"/>
  <c r="W134" i="1" s="1"/>
  <c r="AG132" i="1"/>
  <c r="AA130" i="1"/>
  <c r="W130" i="1" s="1"/>
  <c r="AG124" i="1"/>
  <c r="AI124" i="1" s="1"/>
  <c r="X124" i="1"/>
  <c r="AA123" i="1"/>
  <c r="AA121" i="1"/>
  <c r="W121" i="1" s="1"/>
  <c r="AG120" i="1"/>
  <c r="AI120" i="1" s="1"/>
  <c r="AA119" i="1"/>
  <c r="U116" i="1"/>
  <c r="X116" i="1"/>
  <c r="AA112" i="1"/>
  <c r="AA108" i="1"/>
  <c r="AA107" i="1"/>
  <c r="AA102" i="1"/>
  <c r="W102" i="1" s="1"/>
  <c r="AI93" i="1"/>
  <c r="AG92" i="1"/>
  <c r="AI92" i="1" s="1"/>
  <c r="AI89" i="1"/>
  <c r="AA84" i="1"/>
  <c r="AA83" i="1"/>
  <c r="T68" i="1"/>
  <c r="AA63" i="1"/>
  <c r="AA62" i="1"/>
  <c r="T60" i="1"/>
  <c r="U60" i="1" s="1"/>
  <c r="S60" i="1" s="1"/>
  <c r="AA51" i="1"/>
  <c r="W51" i="1" s="1"/>
  <c r="AA50" i="1"/>
  <c r="AI47" i="1"/>
  <c r="T46" i="1"/>
  <c r="X42" i="1"/>
  <c r="AA42" i="1"/>
  <c r="AA41" i="1"/>
  <c r="AG37" i="1"/>
  <c r="AI35" i="1"/>
  <c r="AA30" i="1"/>
  <c r="AG28" i="1"/>
  <c r="U28" i="1" s="1"/>
  <c r="S28" i="1" s="1"/>
  <c r="AA26" i="1"/>
  <c r="AG24" i="1"/>
  <c r="W24" i="1" s="1"/>
  <c r="AA20" i="1"/>
  <c r="W20" i="1" s="1"/>
  <c r="W218" i="1"/>
  <c r="AI214" i="1"/>
  <c r="W158" i="1"/>
  <c r="W209" i="1"/>
  <c r="AI218" i="1"/>
  <c r="T196" i="1"/>
  <c r="T218" i="1"/>
  <c r="U218" i="1" s="1"/>
  <c r="S218" i="1" s="1"/>
  <c r="X214" i="1"/>
  <c r="T203" i="1"/>
  <c r="T200" i="1"/>
  <c r="U200" i="1" s="1"/>
  <c r="S200" i="1" s="1"/>
  <c r="AA203" i="1"/>
  <c r="AA195" i="1"/>
  <c r="AG192" i="1"/>
  <c r="U192" i="1" s="1"/>
  <c r="S192" i="1" s="1"/>
  <c r="AA187" i="1"/>
  <c r="AG184" i="1"/>
  <c r="U184" i="1" s="1"/>
  <c r="S184" i="1" s="1"/>
  <c r="AA179" i="1"/>
  <c r="AG176" i="1"/>
  <c r="AA171" i="1"/>
  <c r="AG168" i="1"/>
  <c r="W168" i="1" s="1"/>
  <c r="AG167" i="1"/>
  <c r="X167" i="1"/>
  <c r="AA159" i="1"/>
  <c r="AA226" i="1"/>
  <c r="W226" i="1" s="1"/>
  <c r="AG225" i="1"/>
  <c r="X222" i="1"/>
  <c r="AA221" i="1"/>
  <c r="AA211" i="1"/>
  <c r="W211" i="1" s="1"/>
  <c r="AG210" i="1"/>
  <c r="AI210" i="1" s="1"/>
  <c r="X210" i="1"/>
  <c r="X156" i="1"/>
  <c r="T152" i="1"/>
  <c r="AG152" i="1"/>
  <c r="T147" i="1"/>
  <c r="X147" i="1"/>
  <c r="AG147" i="1"/>
  <c r="AI146" i="1"/>
  <c r="W145" i="1"/>
  <c r="T145" i="1"/>
  <c r="U46" i="1"/>
  <c r="S46" i="1" s="1"/>
  <c r="AI46" i="1"/>
  <c r="T188" i="1"/>
  <c r="T180" i="1"/>
  <c r="T172" i="1"/>
  <c r="W162" i="1"/>
  <c r="T208" i="1"/>
  <c r="AA141" i="1"/>
  <c r="W141" i="1" s="1"/>
  <c r="AI141" i="1"/>
  <c r="U68" i="1"/>
  <c r="AI68" i="1"/>
  <c r="T214" i="1"/>
  <c r="U214" i="1" s="1"/>
  <c r="S214" i="1" s="1"/>
  <c r="AA217" i="1"/>
  <c r="W217" i="1" s="1"/>
  <c r="AG203" i="1"/>
  <c r="AA199" i="1"/>
  <c r="W199" i="1" s="1"/>
  <c r="AG196" i="1"/>
  <c r="U196" i="1" s="1"/>
  <c r="S196" i="1" s="1"/>
  <c r="AG195" i="1"/>
  <c r="AA191" i="1"/>
  <c r="W191" i="1" s="1"/>
  <c r="AG188" i="1"/>
  <c r="U188" i="1" s="1"/>
  <c r="S188" i="1" s="1"/>
  <c r="AG187" i="1"/>
  <c r="AA183" i="1"/>
  <c r="W183" i="1" s="1"/>
  <c r="AG180" i="1"/>
  <c r="W180" i="1" s="1"/>
  <c r="AG179" i="1"/>
  <c r="AI179" i="1" s="1"/>
  <c r="AA175" i="1"/>
  <c r="W175" i="1" s="1"/>
  <c r="AG172" i="1"/>
  <c r="AG171" i="1"/>
  <c r="AI171" i="1" s="1"/>
  <c r="AA167" i="1"/>
  <c r="W167" i="1" s="1"/>
  <c r="AA166" i="1"/>
  <c r="W166" i="1" s="1"/>
  <c r="X163" i="1"/>
  <c r="AA161" i="1"/>
  <c r="W161" i="1" s="1"/>
  <c r="AA160" i="1"/>
  <c r="W160" i="1" s="1"/>
  <c r="AG159" i="1"/>
  <c r="X159" i="1"/>
  <c r="AA225" i="1"/>
  <c r="W225" i="1" s="1"/>
  <c r="AA224" i="1"/>
  <c r="AA210" i="1"/>
  <c r="AA207" i="1"/>
  <c r="W207" i="1" s="1"/>
  <c r="AG154" i="1"/>
  <c r="X145" i="1"/>
  <c r="U167" i="1"/>
  <c r="AI184" i="1"/>
  <c r="U160" i="1"/>
  <c r="X160" i="1"/>
  <c r="T157" i="1"/>
  <c r="U225" i="1"/>
  <c r="X225" i="1"/>
  <c r="X223" i="1"/>
  <c r="U222" i="1"/>
  <c r="S222" i="1" s="1"/>
  <c r="X208" i="1"/>
  <c r="U207" i="1"/>
  <c r="U156" i="1"/>
  <c r="S156" i="1" s="1"/>
  <c r="W152" i="1"/>
  <c r="U148" i="1"/>
  <c r="W62" i="1"/>
  <c r="X129" i="1"/>
  <c r="T117" i="1"/>
  <c r="T108" i="1"/>
  <c r="W96" i="1"/>
  <c r="X92" i="1"/>
  <c r="AA91" i="1"/>
  <c r="AA85" i="1"/>
  <c r="AG84" i="1"/>
  <c r="U84" i="1" s="1"/>
  <c r="X84" i="1"/>
  <c r="X80" i="1"/>
  <c r="AA79" i="1"/>
  <c r="AA78" i="1"/>
  <c r="T76" i="1"/>
  <c r="X71" i="1"/>
  <c r="AG70" i="1"/>
  <c r="U70" i="1" s="1"/>
  <c r="AA65" i="1"/>
  <c r="W65" i="1" s="1"/>
  <c r="T65" i="1"/>
  <c r="X61" i="1"/>
  <c r="T57" i="1"/>
  <c r="T53" i="1"/>
  <c r="W46" i="1"/>
  <c r="T42" i="1"/>
  <c r="T39" i="1"/>
  <c r="T38" i="1"/>
  <c r="U37" i="1"/>
  <c r="U34" i="1"/>
  <c r="S34" i="1" s="1"/>
  <c r="X31" i="1"/>
  <c r="AA27" i="1"/>
  <c r="W27" i="1" s="1"/>
  <c r="T27" i="1"/>
  <c r="X23" i="1"/>
  <c r="X15" i="1"/>
  <c r="AA150" i="1"/>
  <c r="W150" i="1" s="1"/>
  <c r="AA148" i="1"/>
  <c r="W148" i="1" s="1"/>
  <c r="AA132" i="1"/>
  <c r="W132" i="1" s="1"/>
  <c r="AG131" i="1"/>
  <c r="X131" i="1"/>
  <c r="T120" i="1"/>
  <c r="AA118" i="1"/>
  <c r="AA116" i="1"/>
  <c r="W116" i="1" s="1"/>
  <c r="AA115" i="1"/>
  <c r="T113" i="1"/>
  <c r="X109" i="1"/>
  <c r="AG108" i="1"/>
  <c r="AA106" i="1"/>
  <c r="W106" i="1" s="1"/>
  <c r="AG104" i="1"/>
  <c r="W104" i="1" s="1"/>
  <c r="AA101" i="1"/>
  <c r="AG100" i="1"/>
  <c r="U100" i="1" s="1"/>
  <c r="X100" i="1"/>
  <c r="AA56" i="1"/>
  <c r="W56" i="1" s="1"/>
  <c r="T50" i="1"/>
  <c r="W44" i="1"/>
  <c r="T35" i="1"/>
  <c r="AA18" i="1"/>
  <c r="AA17" i="1"/>
  <c r="W139" i="1"/>
  <c r="W138" i="1"/>
  <c r="U136" i="1"/>
  <c r="S136" i="1" s="1"/>
  <c r="U132" i="1"/>
  <c r="T129" i="1"/>
  <c r="W123" i="1"/>
  <c r="W122" i="1"/>
  <c r="X117" i="1"/>
  <c r="T112" i="1"/>
  <c r="T81" i="1"/>
  <c r="AA75" i="1"/>
  <c r="AA71" i="1"/>
  <c r="X65" i="1"/>
  <c r="AG64" i="1"/>
  <c r="U64" i="1" s="1"/>
  <c r="AG62" i="1"/>
  <c r="AI62" i="1" s="1"/>
  <c r="AA61" i="1"/>
  <c r="W61" i="1" s="1"/>
  <c r="T61" i="1"/>
  <c r="X57" i="1"/>
  <c r="AA55" i="1"/>
  <c r="X53" i="1"/>
  <c r="AG52" i="1"/>
  <c r="X52" i="1"/>
  <c r="X51" i="1"/>
  <c r="AG50" i="1"/>
  <c r="W50" i="1" s="1"/>
  <c r="AA48" i="1"/>
  <c r="AA43" i="1"/>
  <c r="AG42" i="1"/>
  <c r="U42" i="1" s="1"/>
  <c r="X39" i="1"/>
  <c r="AG38" i="1"/>
  <c r="W38" i="1" s="1"/>
  <c r="AG32" i="1"/>
  <c r="W32" i="1" s="1"/>
  <c r="AA31" i="1"/>
  <c r="W31" i="1" s="1"/>
  <c r="T31" i="1"/>
  <c r="AI28" i="1"/>
  <c r="X27" i="1"/>
  <c r="AG26" i="1"/>
  <c r="W26" i="1" s="1"/>
  <c r="AA23" i="1"/>
  <c r="W23" i="1" s="1"/>
  <c r="T23" i="1"/>
  <c r="AI20" i="1"/>
  <c r="X19" i="1"/>
  <c r="AG18" i="1"/>
  <c r="W14" i="1"/>
  <c r="AA147" i="1"/>
  <c r="AA144" i="1"/>
  <c r="U139" i="1"/>
  <c r="T137" i="1"/>
  <c r="AA131" i="1"/>
  <c r="AA128" i="1"/>
  <c r="W128" i="1" s="1"/>
  <c r="AI125" i="1"/>
  <c r="U123" i="1"/>
  <c r="T121" i="1"/>
  <c r="X113" i="1"/>
  <c r="AG112" i="1"/>
  <c r="U112" i="1" s="1"/>
  <c r="T97" i="1"/>
  <c r="X93" i="1"/>
  <c r="U92" i="1"/>
  <c r="S92" i="1" s="1"/>
  <c r="U88" i="1"/>
  <c r="S88" i="1" s="1"/>
  <c r="W84" i="1"/>
  <c r="X75" i="1"/>
  <c r="W70" i="1"/>
  <c r="W68" i="1"/>
  <c r="AA59" i="1"/>
  <c r="AA49" i="1"/>
  <c r="W37" i="1"/>
  <c r="AA36" i="1"/>
  <c r="X35" i="1"/>
  <c r="W30" i="1"/>
  <c r="AA29" i="1"/>
  <c r="W22" i="1"/>
  <c r="AA21" i="1"/>
  <c r="AI195" i="1"/>
  <c r="AI187" i="1"/>
  <c r="AI203" i="1"/>
  <c r="W173" i="1"/>
  <c r="AI211" i="1"/>
  <c r="AI223" i="1"/>
  <c r="AI215" i="1"/>
  <c r="AI207" i="1"/>
  <c r="AI199" i="1"/>
  <c r="AI191" i="1"/>
  <c r="W201" i="1"/>
  <c r="W193" i="1"/>
  <c r="W185" i="1"/>
  <c r="W177" i="1"/>
  <c r="W169" i="1"/>
  <c r="U199" i="1"/>
  <c r="S199" i="1" s="1"/>
  <c r="X215" i="1"/>
  <c r="T215" i="1"/>
  <c r="U215" i="1" s="1"/>
  <c r="S215" i="1" s="1"/>
  <c r="X201" i="1"/>
  <c r="T201" i="1"/>
  <c r="U201" i="1" s="1"/>
  <c r="S201" i="1" s="1"/>
  <c r="X197" i="1"/>
  <c r="T197" i="1"/>
  <c r="U197" i="1" s="1"/>
  <c r="S197" i="1" s="1"/>
  <c r="X193" i="1"/>
  <c r="T193" i="1"/>
  <c r="U193" i="1" s="1"/>
  <c r="S193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T166" i="1"/>
  <c r="X166" i="1"/>
  <c r="U166" i="1"/>
  <c r="X165" i="1"/>
  <c r="X164" i="1"/>
  <c r="AA163" i="1"/>
  <c r="S160" i="1"/>
  <c r="U157" i="1"/>
  <c r="S157" i="1" s="1"/>
  <c r="S225" i="1"/>
  <c r="AI173" i="1"/>
  <c r="T223" i="1"/>
  <c r="W221" i="1"/>
  <c r="T221" i="1"/>
  <c r="S220" i="1"/>
  <c r="T205" i="1"/>
  <c r="X205" i="1"/>
  <c r="AG205" i="1"/>
  <c r="W154" i="1"/>
  <c r="X151" i="1"/>
  <c r="AG151" i="1"/>
  <c r="X152" i="1"/>
  <c r="AG149" i="1"/>
  <c r="X149" i="1"/>
  <c r="T149" i="1"/>
  <c r="W144" i="1"/>
  <c r="U140" i="1"/>
  <c r="S140" i="1" s="1"/>
  <c r="AI138" i="1"/>
  <c r="AI134" i="1"/>
  <c r="S128" i="1"/>
  <c r="AI128" i="1"/>
  <c r="U195" i="1"/>
  <c r="S195" i="1" s="1"/>
  <c r="U191" i="1"/>
  <c r="S191" i="1" s="1"/>
  <c r="U187" i="1"/>
  <c r="S187" i="1" s="1"/>
  <c r="U183" i="1"/>
  <c r="S183" i="1" s="1"/>
  <c r="U179" i="1"/>
  <c r="S179" i="1" s="1"/>
  <c r="U175" i="1"/>
  <c r="S175" i="1" s="1"/>
  <c r="U171" i="1"/>
  <c r="S171" i="1" s="1"/>
  <c r="S166" i="1"/>
  <c r="T163" i="1"/>
  <c r="AI177" i="1"/>
  <c r="U226" i="1"/>
  <c r="S226" i="1" s="1"/>
  <c r="T224" i="1"/>
  <c r="X224" i="1"/>
  <c r="U221" i="1"/>
  <c r="S221" i="1" s="1"/>
  <c r="AI169" i="1"/>
  <c r="AI166" i="1"/>
  <c r="AG212" i="1"/>
  <c r="W212" i="1" s="1"/>
  <c r="X212" i="1"/>
  <c r="T212" i="1"/>
  <c r="AI154" i="1"/>
  <c r="AI150" i="1"/>
  <c r="AI144" i="1"/>
  <c r="AI131" i="1"/>
  <c r="U131" i="1"/>
  <c r="S131" i="1" s="1"/>
  <c r="T126" i="1"/>
  <c r="X126" i="1"/>
  <c r="AG126" i="1"/>
  <c r="W126" i="1" s="1"/>
  <c r="X103" i="1"/>
  <c r="AG103" i="1"/>
  <c r="X104" i="1"/>
  <c r="T103" i="1"/>
  <c r="U217" i="1"/>
  <c r="S217" i="1" s="1"/>
  <c r="U203" i="1"/>
  <c r="S203" i="1" s="1"/>
  <c r="X217" i="1"/>
  <c r="AG216" i="1"/>
  <c r="X203" i="1"/>
  <c r="AG202" i="1"/>
  <c r="X199" i="1"/>
  <c r="AG198" i="1"/>
  <c r="AI198" i="1" s="1"/>
  <c r="X195" i="1"/>
  <c r="AG194" i="1"/>
  <c r="X191" i="1"/>
  <c r="AG190" i="1"/>
  <c r="AI190" i="1" s="1"/>
  <c r="X187" i="1"/>
  <c r="AG186" i="1"/>
  <c r="X183" i="1"/>
  <c r="AG182" i="1"/>
  <c r="AI182" i="1" s="1"/>
  <c r="X179" i="1"/>
  <c r="AG178" i="1"/>
  <c r="X175" i="1"/>
  <c r="AG174" i="1"/>
  <c r="X171" i="1"/>
  <c r="AG170" i="1"/>
  <c r="AG163" i="1"/>
  <c r="T161" i="1"/>
  <c r="U161" i="1" s="1"/>
  <c r="S161" i="1" s="1"/>
  <c r="T158" i="1"/>
  <c r="U158" i="1" s="1"/>
  <c r="S158" i="1" s="1"/>
  <c r="X158" i="1"/>
  <c r="AG224" i="1"/>
  <c r="W224" i="1" s="1"/>
  <c r="X221" i="1"/>
  <c r="S207" i="1"/>
  <c r="AI160" i="1"/>
  <c r="T151" i="1"/>
  <c r="AI147" i="1"/>
  <c r="U147" i="1"/>
  <c r="S147" i="1" s="1"/>
  <c r="U124" i="1"/>
  <c r="S124" i="1" s="1"/>
  <c r="AI122" i="1"/>
  <c r="T94" i="1"/>
  <c r="X94" i="1"/>
  <c r="AG94" i="1"/>
  <c r="AA80" i="1"/>
  <c r="W80" i="1" s="1"/>
  <c r="U80" i="1"/>
  <c r="AI52" i="1"/>
  <c r="U52" i="1"/>
  <c r="S52" i="1" s="1"/>
  <c r="AI225" i="1"/>
  <c r="X216" i="1"/>
  <c r="AI221" i="1"/>
  <c r="X202" i="1"/>
  <c r="AI217" i="1"/>
  <c r="X198" i="1"/>
  <c r="AI213" i="1"/>
  <c r="X194" i="1"/>
  <c r="AI209" i="1"/>
  <c r="X190" i="1"/>
  <c r="AI205" i="1"/>
  <c r="X186" i="1"/>
  <c r="AI201" i="1"/>
  <c r="X182" i="1"/>
  <c r="AI197" i="1"/>
  <c r="X178" i="1"/>
  <c r="AI193" i="1"/>
  <c r="X174" i="1"/>
  <c r="AI189" i="1"/>
  <c r="X170" i="1"/>
  <c r="S167" i="1"/>
  <c r="AI185" i="1"/>
  <c r="T165" i="1"/>
  <c r="U165" i="1" s="1"/>
  <c r="S165" i="1" s="1"/>
  <c r="T162" i="1"/>
  <c r="U162" i="1" s="1"/>
  <c r="S162" i="1" s="1"/>
  <c r="X162" i="1"/>
  <c r="X161" i="1"/>
  <c r="W159" i="1"/>
  <c r="U159" i="1"/>
  <c r="S159" i="1" s="1"/>
  <c r="AI174" i="1"/>
  <c r="U223" i="1"/>
  <c r="S223" i="1" s="1"/>
  <c r="X219" i="1"/>
  <c r="AG219" i="1"/>
  <c r="AI219" i="1" s="1"/>
  <c r="X220" i="1"/>
  <c r="W213" i="1"/>
  <c r="AI163" i="1"/>
  <c r="U210" i="1"/>
  <c r="S210" i="1" s="1"/>
  <c r="W205" i="1"/>
  <c r="U155" i="1"/>
  <c r="W149" i="1"/>
  <c r="U144" i="1"/>
  <c r="S144" i="1" s="1"/>
  <c r="T142" i="1"/>
  <c r="X142" i="1"/>
  <c r="AG142" i="1"/>
  <c r="X135" i="1"/>
  <c r="AG135" i="1"/>
  <c r="X136" i="1"/>
  <c r="AG133" i="1"/>
  <c r="X133" i="1"/>
  <c r="T133" i="1"/>
  <c r="AI119" i="1"/>
  <c r="AI99" i="1"/>
  <c r="U99" i="1"/>
  <c r="S99" i="1" s="1"/>
  <c r="AI90" i="1"/>
  <c r="AA219" i="1"/>
  <c r="AI164" i="1"/>
  <c r="S211" i="1"/>
  <c r="U208" i="1"/>
  <c r="S208" i="1" s="1"/>
  <c r="AG206" i="1"/>
  <c r="AI206" i="1" s="1"/>
  <c r="X206" i="1"/>
  <c r="T204" i="1"/>
  <c r="T154" i="1"/>
  <c r="U154" i="1" s="1"/>
  <c r="S154" i="1" s="1"/>
  <c r="X154" i="1"/>
  <c r="X153" i="1"/>
  <c r="AA151" i="1"/>
  <c r="W151" i="1" s="1"/>
  <c r="AI148" i="1"/>
  <c r="S148" i="1"/>
  <c r="U145" i="1"/>
  <c r="S145" i="1" s="1"/>
  <c r="AG143" i="1"/>
  <c r="X143" i="1"/>
  <c r="T141" i="1"/>
  <c r="T138" i="1"/>
  <c r="U138" i="1" s="1"/>
  <c r="S138" i="1" s="1"/>
  <c r="X138" i="1"/>
  <c r="X137" i="1"/>
  <c r="AA135" i="1"/>
  <c r="AI132" i="1"/>
  <c r="S132" i="1"/>
  <c r="U129" i="1"/>
  <c r="S129" i="1" s="1"/>
  <c r="AG127" i="1"/>
  <c r="X127" i="1"/>
  <c r="T125" i="1"/>
  <c r="T122" i="1"/>
  <c r="U122" i="1" s="1"/>
  <c r="S122" i="1" s="1"/>
  <c r="X122" i="1"/>
  <c r="X121" i="1"/>
  <c r="T119" i="1"/>
  <c r="U119" i="1" s="1"/>
  <c r="S119" i="1" s="1"/>
  <c r="X119" i="1"/>
  <c r="U117" i="1"/>
  <c r="S117" i="1" s="1"/>
  <c r="S116" i="1"/>
  <c r="AI116" i="1"/>
  <c r="S112" i="1"/>
  <c r="AI112" i="1"/>
  <c r="W94" i="1"/>
  <c r="W90" i="1"/>
  <c r="X87" i="1"/>
  <c r="AG87" i="1"/>
  <c r="X88" i="1"/>
  <c r="AI83" i="1"/>
  <c r="U83" i="1"/>
  <c r="S83" i="1" s="1"/>
  <c r="T78" i="1"/>
  <c r="X78" i="1"/>
  <c r="AG78" i="1"/>
  <c r="AI74" i="1"/>
  <c r="AA73" i="1"/>
  <c r="W73" i="1" s="1"/>
  <c r="AI73" i="1"/>
  <c r="T36" i="1"/>
  <c r="X36" i="1"/>
  <c r="AG36" i="1"/>
  <c r="X37" i="1"/>
  <c r="T209" i="1"/>
  <c r="U209" i="1" s="1"/>
  <c r="S209" i="1" s="1"/>
  <c r="X209" i="1"/>
  <c r="W206" i="1"/>
  <c r="U153" i="1"/>
  <c r="S153" i="1" s="1"/>
  <c r="T146" i="1"/>
  <c r="U146" i="1" s="1"/>
  <c r="S146" i="1" s="1"/>
  <c r="X146" i="1"/>
  <c r="AA143" i="1"/>
  <c r="W143" i="1" s="1"/>
  <c r="U137" i="1"/>
  <c r="S137" i="1" s="1"/>
  <c r="T130" i="1"/>
  <c r="U130" i="1" s="1"/>
  <c r="S130" i="1" s="1"/>
  <c r="X130" i="1"/>
  <c r="X128" i="1"/>
  <c r="AA127" i="1"/>
  <c r="W127" i="1" s="1"/>
  <c r="U121" i="1"/>
  <c r="S121" i="1" s="1"/>
  <c r="T115" i="1"/>
  <c r="X115" i="1"/>
  <c r="AG115" i="1"/>
  <c r="T110" i="1"/>
  <c r="X110" i="1"/>
  <c r="AG110" i="1"/>
  <c r="AI106" i="1"/>
  <c r="T87" i="1"/>
  <c r="AI86" i="1"/>
  <c r="AG85" i="1"/>
  <c r="W85" i="1" s="1"/>
  <c r="X85" i="1"/>
  <c r="T85" i="1"/>
  <c r="S80" i="1"/>
  <c r="AI80" i="1"/>
  <c r="U76" i="1"/>
  <c r="S76" i="1" s="1"/>
  <c r="T55" i="1"/>
  <c r="X55" i="1"/>
  <c r="AG55" i="1"/>
  <c r="X56" i="1"/>
  <c r="AI48" i="1"/>
  <c r="U38" i="1"/>
  <c r="T213" i="1"/>
  <c r="U213" i="1" s="1"/>
  <c r="S213" i="1" s="1"/>
  <c r="X213" i="1"/>
  <c r="W210" i="1"/>
  <c r="U204" i="1"/>
  <c r="S204" i="1" s="1"/>
  <c r="S155" i="1"/>
  <c r="AI155" i="1"/>
  <c r="T150" i="1"/>
  <c r="U150" i="1" s="1"/>
  <c r="S150" i="1" s="1"/>
  <c r="X150" i="1"/>
  <c r="W147" i="1"/>
  <c r="U141" i="1"/>
  <c r="S141" i="1" s="1"/>
  <c r="S139" i="1"/>
  <c r="AI139" i="1"/>
  <c r="T134" i="1"/>
  <c r="U134" i="1" s="1"/>
  <c r="S134" i="1" s="1"/>
  <c r="X134" i="1"/>
  <c r="W131" i="1"/>
  <c r="U125" i="1"/>
  <c r="S125" i="1" s="1"/>
  <c r="S123" i="1"/>
  <c r="AI123" i="1"/>
  <c r="U120" i="1"/>
  <c r="S120" i="1" s="1"/>
  <c r="W119" i="1"/>
  <c r="AG118" i="1"/>
  <c r="T118" i="1"/>
  <c r="X118" i="1"/>
  <c r="AI102" i="1"/>
  <c r="AG101" i="1"/>
  <c r="X101" i="1"/>
  <c r="T101" i="1"/>
  <c r="S96" i="1"/>
  <c r="AI96" i="1"/>
  <c r="W78" i="1"/>
  <c r="W74" i="1"/>
  <c r="S70" i="1"/>
  <c r="AG69" i="1"/>
  <c r="X69" i="1"/>
  <c r="T69" i="1"/>
  <c r="U113" i="1"/>
  <c r="S113" i="1" s="1"/>
  <c r="AG111" i="1"/>
  <c r="W111" i="1" s="1"/>
  <c r="X111" i="1"/>
  <c r="T109" i="1"/>
  <c r="T106" i="1"/>
  <c r="U106" i="1" s="1"/>
  <c r="S106" i="1" s="1"/>
  <c r="X106" i="1"/>
  <c r="X105" i="1"/>
  <c r="AA103" i="1"/>
  <c r="W103" i="1" s="1"/>
  <c r="AI100" i="1"/>
  <c r="S100" i="1"/>
  <c r="U97" i="1"/>
  <c r="S97" i="1" s="1"/>
  <c r="AG95" i="1"/>
  <c r="X95" i="1"/>
  <c r="T93" i="1"/>
  <c r="T90" i="1"/>
  <c r="U90" i="1" s="1"/>
  <c r="S90" i="1" s="1"/>
  <c r="X90" i="1"/>
  <c r="X89" i="1"/>
  <c r="AA87" i="1"/>
  <c r="W87" i="1" s="1"/>
  <c r="AI84" i="1"/>
  <c r="S84" i="1"/>
  <c r="U81" i="1"/>
  <c r="S81" i="1" s="1"/>
  <c r="AG79" i="1"/>
  <c r="X79" i="1"/>
  <c r="T77" i="1"/>
  <c r="T74" i="1"/>
  <c r="U74" i="1" s="1"/>
  <c r="S74" i="1" s="1"/>
  <c r="X74" i="1"/>
  <c r="AG71" i="1"/>
  <c r="X72" i="1"/>
  <c r="AI70" i="1"/>
  <c r="W69" i="1"/>
  <c r="T67" i="1"/>
  <c r="X67" i="1"/>
  <c r="AG67" i="1"/>
  <c r="W67" i="1" s="1"/>
  <c r="X68" i="1"/>
  <c r="U66" i="1"/>
  <c r="S66" i="1" s="1"/>
  <c r="T63" i="1"/>
  <c r="X63" i="1"/>
  <c r="AG63" i="1"/>
  <c r="X64" i="1"/>
  <c r="U62" i="1"/>
  <c r="S62" i="1" s="1"/>
  <c r="T59" i="1"/>
  <c r="X59" i="1"/>
  <c r="AG59" i="1"/>
  <c r="X60" i="1"/>
  <c r="S56" i="1"/>
  <c r="AI56" i="1"/>
  <c r="W55" i="1"/>
  <c r="W52" i="1"/>
  <c r="W48" i="1"/>
  <c r="X45" i="1"/>
  <c r="AG45" i="1"/>
  <c r="X46" i="1"/>
  <c r="AI41" i="1"/>
  <c r="U41" i="1"/>
  <c r="S41" i="1" s="1"/>
  <c r="W36" i="1"/>
  <c r="T114" i="1"/>
  <c r="X114" i="1"/>
  <c r="T107" i="1"/>
  <c r="T98" i="1"/>
  <c r="X98" i="1"/>
  <c r="W95" i="1"/>
  <c r="T91" i="1"/>
  <c r="T82" i="1"/>
  <c r="X82" i="1"/>
  <c r="W79" i="1"/>
  <c r="T75" i="1"/>
  <c r="U73" i="1"/>
  <c r="S73" i="1" s="1"/>
  <c r="AI65" i="1"/>
  <c r="U65" i="1"/>
  <c r="S65" i="1" s="1"/>
  <c r="AI61" i="1"/>
  <c r="U61" i="1"/>
  <c r="S61" i="1" s="1"/>
  <c r="W60" i="1"/>
  <c r="AI57" i="1"/>
  <c r="U57" i="1"/>
  <c r="S57" i="1" s="1"/>
  <c r="W53" i="1"/>
  <c r="AI44" i="1"/>
  <c r="AG43" i="1"/>
  <c r="X43" i="1"/>
  <c r="T43" i="1"/>
  <c r="S38" i="1"/>
  <c r="AI38" i="1"/>
  <c r="AG114" i="1"/>
  <c r="U109" i="1"/>
  <c r="S109" i="1" s="1"/>
  <c r="AG107" i="1"/>
  <c r="W107" i="1" s="1"/>
  <c r="T105" i="1"/>
  <c r="U105" i="1" s="1"/>
  <c r="S105" i="1" s="1"/>
  <c r="T102" i="1"/>
  <c r="U102" i="1" s="1"/>
  <c r="S102" i="1" s="1"/>
  <c r="X102" i="1"/>
  <c r="W99" i="1"/>
  <c r="AG98" i="1"/>
  <c r="W98" i="1" s="1"/>
  <c r="U93" i="1"/>
  <c r="S93" i="1" s="1"/>
  <c r="AG91" i="1"/>
  <c r="T89" i="1"/>
  <c r="U89" i="1" s="1"/>
  <c r="S89" i="1" s="1"/>
  <c r="T86" i="1"/>
  <c r="U86" i="1" s="1"/>
  <c r="S86" i="1" s="1"/>
  <c r="X86" i="1"/>
  <c r="W83" i="1"/>
  <c r="AG82" i="1"/>
  <c r="U77" i="1"/>
  <c r="S77" i="1" s="1"/>
  <c r="AG75" i="1"/>
  <c r="X73" i="1"/>
  <c r="S68" i="1"/>
  <c r="S64" i="1"/>
  <c r="AI64" i="1"/>
  <c r="W63" i="1"/>
  <c r="AI60" i="1"/>
  <c r="AI53" i="1"/>
  <c r="U53" i="1"/>
  <c r="S53" i="1" s="1"/>
  <c r="X70" i="1"/>
  <c r="X66" i="1"/>
  <c r="X62" i="1"/>
  <c r="X58" i="1"/>
  <c r="T58" i="1"/>
  <c r="U58" i="1" s="1"/>
  <c r="S58" i="1" s="1"/>
  <c r="X54" i="1"/>
  <c r="T54" i="1"/>
  <c r="U54" i="1" s="1"/>
  <c r="S54" i="1" s="1"/>
  <c r="T51" i="1"/>
  <c r="U51" i="1" s="1"/>
  <c r="S51" i="1" s="1"/>
  <c r="T48" i="1"/>
  <c r="U48" i="1" s="1"/>
  <c r="S48" i="1" s="1"/>
  <c r="X48" i="1"/>
  <c r="X47" i="1"/>
  <c r="AA45" i="1"/>
  <c r="AI42" i="1"/>
  <c r="S42" i="1"/>
  <c r="U39" i="1"/>
  <c r="S39" i="1" s="1"/>
  <c r="S37" i="1"/>
  <c r="AI37" i="1"/>
  <c r="T33" i="1"/>
  <c r="X33" i="1"/>
  <c r="AG33" i="1"/>
  <c r="W33" i="1" s="1"/>
  <c r="X34" i="1"/>
  <c r="U30" i="1"/>
  <c r="T29" i="1"/>
  <c r="X29" i="1"/>
  <c r="AG29" i="1"/>
  <c r="X30" i="1"/>
  <c r="U26" i="1"/>
  <c r="T25" i="1"/>
  <c r="X25" i="1"/>
  <c r="AG25" i="1"/>
  <c r="W25" i="1" s="1"/>
  <c r="X26" i="1"/>
  <c r="U22" i="1"/>
  <c r="S22" i="1" s="1"/>
  <c r="T21" i="1"/>
  <c r="X21" i="1"/>
  <c r="AG21" i="1"/>
  <c r="X22" i="1"/>
  <c r="U18" i="1"/>
  <c r="T17" i="1"/>
  <c r="X17" i="1"/>
  <c r="AG17" i="1"/>
  <c r="W17" i="1" s="1"/>
  <c r="X18" i="1"/>
  <c r="T49" i="1"/>
  <c r="T40" i="1"/>
  <c r="X40" i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AG49" i="1"/>
  <c r="T47" i="1"/>
  <c r="U47" i="1" s="1"/>
  <c r="S47" i="1" s="1"/>
  <c r="T44" i="1"/>
  <c r="U44" i="1" s="1"/>
  <c r="S44" i="1" s="1"/>
  <c r="X44" i="1"/>
  <c r="W41" i="1"/>
  <c r="AG40" i="1"/>
  <c r="W40" i="1" s="1"/>
  <c r="U35" i="1"/>
  <c r="S35" i="1" s="1"/>
  <c r="S30" i="1"/>
  <c r="AI30" i="1"/>
  <c r="W29" i="1"/>
  <c r="S26" i="1"/>
  <c r="AI26" i="1"/>
  <c r="AI22" i="1"/>
  <c r="S18" i="1"/>
  <c r="AI18" i="1"/>
  <c r="S14" i="1"/>
  <c r="AI14" i="1"/>
  <c r="X32" i="1"/>
  <c r="X28" i="1"/>
  <c r="X24" i="1"/>
  <c r="X20" i="1"/>
  <c r="X16" i="1"/>
  <c r="AC16" i="3"/>
  <c r="Y27" i="3"/>
  <c r="Y24" i="3"/>
  <c r="Y20" i="3"/>
  <c r="Y41" i="3"/>
  <c r="Y13" i="3"/>
  <c r="Y16" i="3"/>
  <c r="Y25" i="3"/>
  <c r="Y26" i="3"/>
  <c r="AD8" i="3"/>
  <c r="Y30" i="3"/>
  <c r="Y17" i="3"/>
  <c r="Y9" i="3"/>
  <c r="Y19" i="3"/>
  <c r="Y11" i="3"/>
  <c r="Y28" i="3"/>
  <c r="AD41" i="3"/>
  <c r="AD39" i="3"/>
  <c r="AD37" i="3"/>
  <c r="AD35" i="3"/>
  <c r="AD33" i="3"/>
  <c r="AD31" i="3"/>
  <c r="AD29" i="3"/>
  <c r="AD27" i="3"/>
  <c r="AD25" i="3"/>
  <c r="AD23" i="3"/>
  <c r="AD21" i="3"/>
  <c r="AD19" i="3"/>
  <c r="AD17" i="3"/>
  <c r="AD13" i="3"/>
  <c r="AD11" i="3"/>
  <c r="AD9" i="3"/>
  <c r="AD40" i="3"/>
  <c r="AD38" i="3"/>
  <c r="AD36" i="3"/>
  <c r="AD34" i="3"/>
  <c r="AD32" i="3"/>
  <c r="AD30" i="3"/>
  <c r="AD28" i="3"/>
  <c r="AD26" i="3"/>
  <c r="AD24" i="3"/>
  <c r="AD22" i="3"/>
  <c r="AD20" i="3"/>
  <c r="AD18" i="3"/>
  <c r="AD16" i="3"/>
  <c r="AD14" i="3"/>
  <c r="AD12" i="3"/>
  <c r="AD10" i="3"/>
  <c r="Y18" i="3"/>
  <c r="Y35" i="3"/>
  <c r="Y12" i="3"/>
  <c r="Y23" i="3"/>
  <c r="Y36" i="3"/>
  <c r="Y40" i="3"/>
  <c r="Y22" i="3"/>
  <c r="Y32" i="3"/>
  <c r="Y10" i="3"/>
  <c r="Y8" i="3"/>
  <c r="Y39" i="3"/>
  <c r="M15" i="3"/>
  <c r="N15" i="3"/>
  <c r="U15" i="3"/>
  <c r="T15" i="3" s="1"/>
  <c r="V15" i="3"/>
  <c r="W15" i="3"/>
  <c r="X15" i="3"/>
  <c r="W42" i="1" l="1"/>
  <c r="W140" i="1"/>
  <c r="W28" i="1"/>
  <c r="W18" i="1"/>
  <c r="U24" i="1"/>
  <c r="S24" i="1" s="1"/>
  <c r="AI24" i="1"/>
  <c r="W92" i="1"/>
  <c r="W124" i="1"/>
  <c r="W120" i="1"/>
  <c r="W45" i="1"/>
  <c r="W100" i="1"/>
  <c r="U172" i="1"/>
  <c r="S172" i="1" s="1"/>
  <c r="U176" i="1"/>
  <c r="S176" i="1" s="1"/>
  <c r="AI176" i="1"/>
  <c r="W176" i="1"/>
  <c r="W170" i="1"/>
  <c r="AI170" i="1"/>
  <c r="W178" i="1"/>
  <c r="AI178" i="1"/>
  <c r="W186" i="1"/>
  <c r="AI186" i="1"/>
  <c r="W194" i="1"/>
  <c r="AI194" i="1"/>
  <c r="W202" i="1"/>
  <c r="AI202" i="1"/>
  <c r="U32" i="1"/>
  <c r="S32" i="1" s="1"/>
  <c r="AI32" i="1"/>
  <c r="W64" i="1"/>
  <c r="U104" i="1"/>
  <c r="S104" i="1" s="1"/>
  <c r="AI104" i="1"/>
  <c r="U152" i="1"/>
  <c r="S152" i="1" s="1"/>
  <c r="AI152" i="1"/>
  <c r="W179" i="1"/>
  <c r="W195" i="1"/>
  <c r="W172" i="1"/>
  <c r="U168" i="1"/>
  <c r="S168" i="1" s="1"/>
  <c r="AI168" i="1"/>
  <c r="W203" i="1"/>
  <c r="W192" i="1"/>
  <c r="W184" i="1"/>
  <c r="U50" i="1"/>
  <c r="S50" i="1" s="1"/>
  <c r="AI50" i="1"/>
  <c r="W112" i="1"/>
  <c r="U108" i="1"/>
  <c r="S108" i="1" s="1"/>
  <c r="AI108" i="1"/>
  <c r="W108" i="1"/>
  <c r="U180" i="1"/>
  <c r="S180" i="1" s="1"/>
  <c r="AI180" i="1"/>
  <c r="W171" i="1"/>
  <c r="W187" i="1"/>
  <c r="W196" i="1"/>
  <c r="W188" i="1"/>
  <c r="U29" i="1"/>
  <c r="S29" i="1" s="1"/>
  <c r="AI29" i="1"/>
  <c r="AI91" i="1"/>
  <c r="U91" i="1"/>
  <c r="S91" i="1" s="1"/>
  <c r="AI45" i="1"/>
  <c r="U45" i="1"/>
  <c r="S45" i="1" s="1"/>
  <c r="AI95" i="1"/>
  <c r="U95" i="1"/>
  <c r="S95" i="1" s="1"/>
  <c r="U101" i="1"/>
  <c r="S101" i="1" s="1"/>
  <c r="AI101" i="1"/>
  <c r="U118" i="1"/>
  <c r="S118" i="1" s="1"/>
  <c r="AI118" i="1"/>
  <c r="U55" i="1"/>
  <c r="S55" i="1" s="1"/>
  <c r="AI55" i="1"/>
  <c r="U85" i="1"/>
  <c r="S85" i="1" s="1"/>
  <c r="AI85" i="1"/>
  <c r="U115" i="1"/>
  <c r="S115" i="1" s="1"/>
  <c r="AI115" i="1"/>
  <c r="AI36" i="1"/>
  <c r="U36" i="1"/>
  <c r="S36" i="1" s="1"/>
  <c r="AI127" i="1"/>
  <c r="U127" i="1"/>
  <c r="S127" i="1" s="1"/>
  <c r="W135" i="1"/>
  <c r="AI159" i="1"/>
  <c r="U206" i="1"/>
  <c r="S206" i="1" s="1"/>
  <c r="W219" i="1"/>
  <c r="W115" i="1"/>
  <c r="U133" i="1"/>
  <c r="S133" i="1" s="1"/>
  <c r="AI133" i="1"/>
  <c r="AI142" i="1"/>
  <c r="U142" i="1"/>
  <c r="S142" i="1" s="1"/>
  <c r="S94" i="1"/>
  <c r="AI94" i="1"/>
  <c r="U94" i="1"/>
  <c r="W142" i="1"/>
  <c r="S163" i="1"/>
  <c r="AI181" i="1"/>
  <c r="U163" i="1"/>
  <c r="U174" i="1"/>
  <c r="S174" i="1" s="1"/>
  <c r="AI192" i="1"/>
  <c r="U182" i="1"/>
  <c r="S182" i="1" s="1"/>
  <c r="AI200" i="1"/>
  <c r="U190" i="1"/>
  <c r="S190" i="1" s="1"/>
  <c r="AI208" i="1"/>
  <c r="U198" i="1"/>
  <c r="S198" i="1" s="1"/>
  <c r="AI216" i="1"/>
  <c r="U216" i="1"/>
  <c r="S216" i="1" s="1"/>
  <c r="AI224" i="1"/>
  <c r="W174" i="1"/>
  <c r="W198" i="1"/>
  <c r="U17" i="1"/>
  <c r="S17" i="1" s="1"/>
  <c r="AI17" i="1"/>
  <c r="U33" i="1"/>
  <c r="S33" i="1"/>
  <c r="AI33" i="1"/>
  <c r="AI75" i="1"/>
  <c r="U75" i="1"/>
  <c r="S75" i="1" s="1"/>
  <c r="U114" i="1"/>
  <c r="S114" i="1" s="1"/>
  <c r="AI114" i="1"/>
  <c r="U59" i="1"/>
  <c r="S59" i="1" s="1"/>
  <c r="AI59" i="1"/>
  <c r="U71" i="1"/>
  <c r="S71" i="1" s="1"/>
  <c r="AI71" i="1"/>
  <c r="W75" i="1"/>
  <c r="W114" i="1"/>
  <c r="AI110" i="1"/>
  <c r="U110" i="1"/>
  <c r="S110" i="1" s="1"/>
  <c r="W91" i="1"/>
  <c r="AI167" i="1"/>
  <c r="U219" i="1"/>
  <c r="S219" i="1" s="1"/>
  <c r="U149" i="1"/>
  <c r="S149" i="1" s="1"/>
  <c r="AI149" i="1"/>
  <c r="W182" i="1"/>
  <c r="W216" i="1"/>
  <c r="U21" i="1"/>
  <c r="S21" i="1" s="1"/>
  <c r="AI21" i="1"/>
  <c r="U98" i="1"/>
  <c r="S98" i="1" s="1"/>
  <c r="AI98" i="1"/>
  <c r="U43" i="1"/>
  <c r="S43" i="1" s="1"/>
  <c r="AI43" i="1"/>
  <c r="U63" i="1"/>
  <c r="S63" i="1" s="1"/>
  <c r="AI63" i="1"/>
  <c r="AI79" i="1"/>
  <c r="U79" i="1"/>
  <c r="S79" i="1" s="1"/>
  <c r="AI111" i="1"/>
  <c r="U111" i="1"/>
  <c r="S111" i="1" s="1"/>
  <c r="AI69" i="1"/>
  <c r="U69" i="1"/>
  <c r="S69" i="1" s="1"/>
  <c r="W101" i="1"/>
  <c r="AI87" i="1"/>
  <c r="U87" i="1"/>
  <c r="S87" i="1" s="1"/>
  <c r="AI143" i="1"/>
  <c r="U143" i="1"/>
  <c r="S143" i="1" s="1"/>
  <c r="AI135" i="1"/>
  <c r="U135" i="1"/>
  <c r="S135" i="1" s="1"/>
  <c r="U170" i="1"/>
  <c r="S170" i="1"/>
  <c r="AI188" i="1"/>
  <c r="U178" i="1"/>
  <c r="S178" i="1" s="1"/>
  <c r="AI196" i="1"/>
  <c r="U186" i="1"/>
  <c r="S186" i="1" s="1"/>
  <c r="AI204" i="1"/>
  <c r="U194" i="1"/>
  <c r="S194" i="1" s="1"/>
  <c r="AI212" i="1"/>
  <c r="U202" i="1"/>
  <c r="S202" i="1" s="1"/>
  <c r="AI220" i="1"/>
  <c r="AI126" i="1"/>
  <c r="U126" i="1"/>
  <c r="S126" i="1" s="1"/>
  <c r="AI158" i="1"/>
  <c r="U205" i="1"/>
  <c r="S205" i="1" s="1"/>
  <c r="W190" i="1"/>
  <c r="W118" i="1"/>
  <c r="U40" i="1"/>
  <c r="S40" i="1" s="1"/>
  <c r="AI40" i="1"/>
  <c r="W21" i="1"/>
  <c r="AI49" i="1"/>
  <c r="U49" i="1"/>
  <c r="S49" i="1" s="1"/>
  <c r="U25" i="1"/>
  <c r="S25" i="1" s="1"/>
  <c r="AI25" i="1"/>
  <c r="W59" i="1"/>
  <c r="W71" i="1"/>
  <c r="S82" i="1"/>
  <c r="U82" i="1"/>
  <c r="AI82" i="1"/>
  <c r="AI107" i="1"/>
  <c r="U107" i="1"/>
  <c r="S107" i="1" s="1"/>
  <c r="W49" i="1"/>
  <c r="U67" i="1"/>
  <c r="S67" i="1" s="1"/>
  <c r="AI67" i="1"/>
  <c r="W43" i="1"/>
  <c r="AI78" i="1"/>
  <c r="U78" i="1"/>
  <c r="S78" i="1" s="1"/>
  <c r="W82" i="1"/>
  <c r="W110" i="1"/>
  <c r="W133" i="1"/>
  <c r="U224" i="1"/>
  <c r="S224" i="1" s="1"/>
  <c r="AI172" i="1"/>
  <c r="AI103" i="1"/>
  <c r="U103" i="1"/>
  <c r="S103" i="1" s="1"/>
  <c r="U212" i="1"/>
  <c r="S212" i="1" s="1"/>
  <c r="AI165" i="1"/>
  <c r="AI151" i="1"/>
  <c r="U151" i="1"/>
  <c r="S151" i="1" s="1"/>
  <c r="W163" i="1"/>
  <c r="AD15" i="3"/>
  <c r="Y15" i="3"/>
  <c r="AC15" i="3"/>
  <c r="B82" i="9"/>
  <c r="C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AD7" i="3" l="1"/>
  <c r="B76" i="9"/>
  <c r="B77" i="9"/>
  <c r="B78" i="9"/>
  <c r="B79" i="9"/>
  <c r="C80" i="9" s="1"/>
  <c r="B80" i="9"/>
  <c r="B81" i="9"/>
  <c r="C81" i="9"/>
  <c r="B6" i="6"/>
  <c r="H6" i="6" s="1"/>
  <c r="K6" i="6"/>
  <c r="B7" i="6"/>
  <c r="F7" i="6" s="1"/>
  <c r="K7" i="6"/>
  <c r="B8" i="6"/>
  <c r="G8" i="6" s="1"/>
  <c r="F8" i="6"/>
  <c r="K8" i="6"/>
  <c r="B9" i="6"/>
  <c r="H9" i="6" s="1"/>
  <c r="K9" i="6"/>
  <c r="B10" i="6"/>
  <c r="H10" i="6" s="1"/>
  <c r="K10" i="6"/>
  <c r="J9" i="6" l="1"/>
  <c r="I6" i="6"/>
  <c r="C77" i="9"/>
  <c r="C79" i="9"/>
  <c r="C78" i="9"/>
  <c r="G10" i="6"/>
  <c r="J10" i="6"/>
  <c r="F10" i="6"/>
  <c r="I9" i="6"/>
  <c r="G6" i="6"/>
  <c r="G9" i="6"/>
  <c r="J8" i="6"/>
  <c r="J6" i="6"/>
  <c r="F6" i="6"/>
  <c r="I10" i="6"/>
  <c r="F9" i="6"/>
  <c r="I8" i="6"/>
  <c r="I7" i="6"/>
  <c r="H7" i="6"/>
  <c r="H8" i="6"/>
  <c r="G7" i="6"/>
  <c r="J7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R15" i="3" s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4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<sst xmlns="http://schemas.openxmlformats.org/spreadsheetml/2006/main" count="2354" uniqueCount="906">
  <si>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</si>
  <si>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</si>
  <si>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</si>
  <si>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</si>
  <si>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</si>
  <si>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</si>
  <si>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</si>
  <si>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</si>
  <si>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</si>
  <si>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</si>
  <si>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</si>
  <si>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</si>
  <si>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</si>
  <si>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</si>
  <si>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</si>
  <si>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</si>
  <si>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</si>
  <si>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</si>
  <si>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</si>
  <si>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</si>
  <si>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</si>
  <si>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</si>
  <si>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</si>
  <si>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</si>
  <si>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</si>
  <si>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</si>
  <si>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</si>
  <si>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</si>
  <si>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</si>
  <si>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</si>
  <si>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</si>
  <si>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</si>
  <si>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</si>
  <si>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</si>
  <si>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</si>
  <si>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</si>
  <si>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</si>
  <si>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</si>
  <si>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</si>
  <si>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</si>
  <si>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</si>
  <si>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</si>
  <si>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</si>
  <si>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</si>
  <si>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</si>
  <si>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</si>
  <si>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</si>
  <si>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</si>
  <si>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</si>
  <si>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</si>
  <si>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</si>
  <si>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</si>
  <si>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</si>
  <si>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</si>
  <si>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</si>
  <si>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</si>
  <si>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</si>
  <si>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</si>
  <si>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</si>
  <si>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</si>
  <si>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</si>
  <si>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</si>
  <si>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</si>
  <si>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</si>
  <si>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</si>
  <si>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</si>
  <si>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</si>
  <si>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</si>
  <si>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</si>
  <si>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</si>
  <si>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</si>
  <si>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</si>
  <si>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</si>
  <si>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</si>
  <si>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</si>
  <si>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</si>
  <si>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</si>
  <si>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</si>
  <si>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</si>
  <si>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</si>
  <si>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</si>
  <si>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</si>
  <si>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</si>
  <si>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</si>
  <si>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</si>
  <si>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</si>
  <si>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</si>
  <si>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</si>
  <si>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</si>
  <si>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</si>
  <si>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</si>
  <si>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</si>
  <si>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</si>
  <si>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</si>
  <si>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</si>
  <si>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</si>
  <si>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</si>
  <si>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</si>
  <si>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</si>
  <si>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</si>
  <si>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</si>
  <si>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</si>
  <si>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</si>
  <si>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</si>
  <si>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</si>
  <si>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</si>
  <si>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</si>
  <si>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</si>
  <si>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</si>
  <si>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</si>
  <si>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</si>
  <si>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</si>
  <si>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</si>
  <si>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</si>
  <si>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</si>
  <si>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</si>
  <si>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</si>
  <si>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</si>
  <si>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</si>
  <si>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</si>
  <si>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</si>
  <si>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</si>
  <si>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</si>
  <si>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</si>
  <si>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</si>
  <si>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</si>
  <si>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</si>
  <si>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</si>
  <si>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</si>
  <si>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</si>
  <si>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</si>
  <si>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</si>
  <si>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</si>
  <si>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</si>
  <si>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</si>
  <si>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</si>
  <si>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</si>
  <si>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</si>
  <si>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</si>
  <si>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</si>
  <si>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</si>
  <si>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</si>
  <si>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</si>
  <si>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</si>
  <si>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</si>
  <si>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</si>
  <si>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</si>
  <si>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</si>
  <si>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</si>
  <si>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</si>
  <si>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</si>
  <si>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</si>
  <si>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</si>
  <si>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</si>
  <si>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</si>
  <si>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</si>
  <si>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</si>
  <si>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</si>
  <si>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</si>
  <si>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</si>
  <si>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</si>
  <si>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</si>
  <si>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</si>
  <si>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</si>
  <si>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</si>
  <si>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</si>
  <si>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</si>
  <si>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</si>
  <si>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</si>
  <si>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</si>
  <si>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</si>
  <si>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</si>
  <si>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</si>
  <si>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</si>
  <si>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</si>
  <si>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</si>
  <si>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</si>
  <si>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</si>
  <si>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</si>
  <si>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</si>
  <si>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</si>
  <si>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</si>
  <si>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</si>
  <si>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</si>
  <si>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</si>
  <si>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</si>
  <si>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</si>
  <si>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</si>
  <si>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</si>
  <si>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</si>
  <si>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</si>
  <si>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</si>
  <si>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</si>
  <si>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</si>
  <si>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</si>
  <si>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</si>
  <si>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</si>
  <si>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</si>
  <si>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</si>
  <si>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</si>
  <si>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</si>
  <si>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</si>
  <si>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</si>
  <si>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</si>
  <si>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</si>
  <si>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</si>
  <si>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</si>
  <si>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</si>
  <si>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</si>
  <si>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</si>
  <si>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</si>
  <si>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</si>
  <si>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</si>
  <si>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</si>
  <si>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</si>
  <si>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</si>
  <si>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</si>
  <si>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</si>
  <si>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</si>
  <si>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</si>
  <si>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</si>
  <si>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</si>
  <si>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MAGEE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</si>
  <si>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</si>
  <si>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</si>
  <si>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</si>
  <si>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</si>
  <si>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</si>
  <si>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</si>
  <si>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</si>
  <si>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</si>
  <si>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</si>
  <si>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</si>
  <si>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</si>
  <si>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</si>
  <si>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</si>
  <si>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</si>
  <si>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</si>
  <si>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</si>
  <si>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204:232975</t>
  </si>
  <si>
    <t>204:232994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</si>
  <si>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</si>
  <si>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</si>
  <si>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</si>
  <si>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</si>
  <si>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</si>
  <si>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</si>
  <si>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</si>
  <si>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</si>
  <si>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204:232983</t>
  </si>
  <si>
    <t>rtdc.l.rtdc.4031:itc</t>
  </si>
  <si>
    <t>204:442</t>
  </si>
  <si>
    <t>rtdc.l.rtdc.4045:itc</t>
  </si>
  <si>
    <t>rtdc.l.rtdc.4046:itc</t>
  </si>
  <si>
    <t>DAVIS</t>
  </si>
  <si>
    <t>204:161</t>
  </si>
  <si>
    <t>204:460</t>
  </si>
  <si>
    <t>204:233302</t>
  </si>
  <si>
    <t>204:139</t>
  </si>
  <si>
    <t>204:457</t>
  </si>
  <si>
    <t>204:471</t>
  </si>
  <si>
    <t>204:233293</t>
  </si>
  <si>
    <t>204:167</t>
  </si>
  <si>
    <t>rtdc.l.rtdc.4042:itc</t>
  </si>
  <si>
    <t>rtdc.l.rtdc.4041:itc</t>
  </si>
  <si>
    <t>DAVIDSON</t>
  </si>
  <si>
    <t>SAFIEF</t>
  </si>
  <si>
    <t>204:233306</t>
  </si>
  <si>
    <t>204:469</t>
  </si>
  <si>
    <t>204:233307</t>
  </si>
  <si>
    <t>204:233000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</si>
  <si>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</si>
  <si>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</si>
  <si>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</si>
  <si>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</si>
  <si>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</si>
  <si>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</si>
  <si>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204:232984</t>
  </si>
  <si>
    <t>204:232988</t>
  </si>
  <si>
    <t>204:145</t>
  </si>
  <si>
    <t>204:232996</t>
  </si>
  <si>
    <t>204:232980</t>
  </si>
  <si>
    <t>204:467</t>
  </si>
  <si>
    <t>204:233298</t>
  </si>
  <si>
    <t>300:58611</t>
  </si>
  <si>
    <t>300:58922</t>
  </si>
  <si>
    <t>rtdc.l.rtdc.4032:itc</t>
  </si>
  <si>
    <t>242-25</t>
  </si>
  <si>
    <t>CHANDLER</t>
  </si>
  <si>
    <t>LALONDE</t>
  </si>
  <si>
    <t>81-25</t>
  </si>
  <si>
    <t>80-25</t>
  </si>
  <si>
    <t>908-25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</si>
  <si>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</si>
  <si>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</si>
  <si>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</si>
  <si>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</si>
  <si>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</si>
  <si>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</si>
  <si>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</si>
  <si>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</si>
  <si>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</si>
  <si>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</si>
  <si>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</si>
  <si>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</si>
  <si>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</si>
  <si>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</si>
  <si>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</si>
  <si>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204:232967</t>
  </si>
  <si>
    <t>204:233291</t>
  </si>
  <si>
    <t>204:232985</t>
  </si>
  <si>
    <t>204:233301</t>
  </si>
  <si>
    <t>204:473</t>
  </si>
  <si>
    <t>204:965</t>
  </si>
  <si>
    <t>KILLION</t>
  </si>
  <si>
    <t>CLARK</t>
  </si>
  <si>
    <t>STEWART</t>
  </si>
  <si>
    <t>BARTLETT</t>
  </si>
  <si>
    <t>rtdc.l.rtdc.4025:itc</t>
  </si>
  <si>
    <t>partly-cloudy-night</t>
  </si>
  <si>
    <t>partly-cloudy-day</t>
  </si>
  <si>
    <t>Mostly Cloudy</t>
  </si>
  <si>
    <t>204:717</t>
  </si>
  <si>
    <t>204:232990</t>
  </si>
  <si>
    <t>204:138</t>
  </si>
  <si>
    <t>204:233004</t>
  </si>
  <si>
    <t>204:160</t>
  </si>
  <si>
    <t>204:170</t>
  </si>
  <si>
    <t>204:232982</t>
  </si>
  <si>
    <t>204:458</t>
  </si>
  <si>
    <t>204:233325</t>
  </si>
  <si>
    <t>204:477</t>
  </si>
  <si>
    <t>rtdc.l.rtdc.4016:itc</t>
  </si>
  <si>
    <t>rtdc.l.rtdc.4001:itc</t>
  </si>
  <si>
    <t>rtdc.l.rtdc.4015:itc</t>
  </si>
  <si>
    <t>STARKS</t>
  </si>
  <si>
    <t>LEVERE</t>
  </si>
  <si>
    <t>COOLAHAN</t>
  </si>
  <si>
    <t>204:233304</t>
  </si>
  <si>
    <t>204:233278</t>
  </si>
  <si>
    <t>204:134</t>
  </si>
  <si>
    <t>204:233319</t>
  </si>
  <si>
    <t>204:486</t>
  </si>
  <si>
    <t>204:163</t>
  </si>
  <si>
    <t>204:233002</t>
  </si>
  <si>
    <t>300:58626</t>
  </si>
  <si>
    <t>300:58963</t>
  </si>
  <si>
    <t>300:58950</t>
  </si>
  <si>
    <t>204:684</t>
  </si>
  <si>
    <t>204:233289</t>
  </si>
  <si>
    <t>204:233297</t>
  </si>
  <si>
    <t>300:23299</t>
  </si>
  <si>
    <t>:.+((SYSTEM_STATE.+slice.+state.+changed )|(ment ac)|(multiple cpu faults)|(system.+state.+changed )|(\[timeout)|(PRM\|1\|D)|(kpr)|(kdp)|(\|lc)|(penalty))</t>
  </si>
  <si>
    <t>rtdc.l.rtdc.4008:itc</t>
  </si>
  <si>
    <t>rtdc.l.rtdc.4007:itc</t>
  </si>
  <si>
    <t>SWITCH UNKNOWN</t>
  </si>
  <si>
    <t>Track device (7)</t>
  </si>
  <si>
    <t>PERKINS</t>
  </si>
  <si>
    <t>SPECTOR</t>
  </si>
  <si>
    <t>CRAYTON</t>
  </si>
  <si>
    <t>HAITHCOX</t>
  </si>
  <si>
    <t>GRASTON</t>
  </si>
  <si>
    <t>BONDS</t>
  </si>
  <si>
    <t>NEWELL</t>
  </si>
  <si>
    <t>YANAI</t>
  </si>
  <si>
    <t>309-28</t>
  </si>
  <si>
    <t>311-28</t>
  </si>
  <si>
    <t>244-28</t>
  </si>
  <si>
    <t>313-28</t>
  </si>
  <si>
    <t>Partly Cloudy</t>
  </si>
  <si>
    <t>204:438</t>
  </si>
  <si>
    <t>204:233013</t>
  </si>
  <si>
    <t>204:152</t>
  </si>
  <si>
    <t>204:233011</t>
  </si>
  <si>
    <t>204:482</t>
  </si>
  <si>
    <t>204:233017</t>
  </si>
  <si>
    <t>204:233317</t>
  </si>
  <si>
    <t>204:232972</t>
  </si>
  <si>
    <t>204:232963</t>
  </si>
  <si>
    <t>204:233276</t>
  </si>
  <si>
    <t>204:233329</t>
  </si>
  <si>
    <t>204:437</t>
  </si>
  <si>
    <t>204:232973</t>
  </si>
  <si>
    <t>204:233280</t>
  </si>
  <si>
    <t>204:136</t>
  </si>
  <si>
    <t>204:232968</t>
  </si>
  <si>
    <t>204:233288</t>
  </si>
  <si>
    <t>204:233285</t>
  </si>
  <si>
    <t>204:475</t>
  </si>
  <si>
    <t>204:233300</t>
  </si>
  <si>
    <t>300:23310</t>
  </si>
  <si>
    <t>204:701</t>
  </si>
  <si>
    <t>204:983</t>
  </si>
  <si>
    <t>204:979</t>
  </si>
  <si>
    <t>204:978</t>
  </si>
  <si>
    <t>300:58935</t>
  </si>
  <si>
    <t>300:58636</t>
  </si>
  <si>
    <t>300:58924</t>
  </si>
  <si>
    <t>300:58606</t>
  </si>
  <si>
    <t>204:691</t>
  </si>
  <si>
    <t>204:971</t>
  </si>
  <si>
    <t>300:58926</t>
  </si>
  <si>
    <t>300:58623</t>
  </si>
  <si>
    <t>204:969</t>
  </si>
  <si>
    <t>300:58928</t>
  </si>
  <si>
    <t>204:696</t>
  </si>
  <si>
    <t>300:58651</t>
  </si>
  <si>
    <t>204:689</t>
  </si>
  <si>
    <t>300:58941</t>
  </si>
  <si>
    <t>204:678</t>
  </si>
  <si>
    <t>204:967</t>
  </si>
  <si>
    <t>204:682</t>
  </si>
  <si>
    <t>204:955</t>
  </si>
  <si>
    <t>SYS :2016/11/28 11:15:40.777:ENFORCEMENT:Predictive Enforcement Action:  Target Number: 00006026  Target Speed:   0.0  Current Speed:  50.5</t>
  </si>
  <si>
    <t>SYS :2016/11/28 11:15:40.990:ENFORCEMENT:Predictive Enforcement Action:  Target Number: 00006033  Target Speed:   0.0  Current Speed:  51.6</t>
  </si>
  <si>
    <t>SYS :2016/11/28 11:15:41.493:ENFORCEMENT:Predictive Enforcement Action:  Target Number: 00006027  Target Speed:   0.0  Current Speed:  50.5</t>
  </si>
  <si>
    <t>SYS :2016/11/28 12:10:21.877:ENFORCEMENT:Reactive Enforcement Action:  Target Number: 00001002  Target Speed:   0.0  Current Speed:   0.5</t>
  </si>
  <si>
    <t>SYS :2016/11/28 12:10:22.011:ENFORCEMENT:Reactive Enforcement Action:  Target Number: 00001002  Target Speed:   0.0  Current Speed:   0.7</t>
  </si>
  <si>
    <t>SYS :2016/11/28 12:10:22.745:ENFORCEMENT:Reactive Enforcement Action:  Target Number: 00001002  Target Speed:   0.0  Current Speed:   0.7</t>
  </si>
  <si>
    <t>SYS :2016/11/28 12:16:02.064:ENFORCEMENT:Reactive Enforcement Action:  Target Number: 0001000B  Target Speed:  15.0  Current Speed:  21.1</t>
  </si>
  <si>
    <t>SYS :2016/11/28 12:16:02.466:ENFORCEMENT:Reactive Enforcement Action:  Target Number: 0001000B  Target Speed:  15.0  Current Speed:  21.1</t>
  </si>
  <si>
    <t>SYS :2016/11/28 12:16:02.872:ENFORCEMENT:Reactive Enforcement Action:  Target Number: 0001000B  Target Speed:  15.0  Current Speed:  21.1</t>
  </si>
  <si>
    <t>SYS :2016/11/28 12:28:25.435:ENFORCEMENT:Predictive Enforcement Action:  Target Number: 00001003  Target Speed:   0.0  Current Speed:   4.3</t>
  </si>
  <si>
    <t>SYS :2016/11/28 12:28:25.820:ENFORCEMENT:Predictive Enforcement Action:  Target Number: 00001003  Target Speed:   0.0  Current Speed:   4.3</t>
  </si>
  <si>
    <t>SYS :2016/11/28 12:28:26.025:ENFORCEMENT:Predictive Enforcement Action:  Target Number: 00001003  Target Speed:   0.0  Current Speed:   4.1</t>
  </si>
  <si>
    <t>SYS :2016/11/28 12:32:06.289:ENFORCEMENT:Reactive Enforcement Action:  Target Number: 00010356  Target Speed:  20.0  Current Speed:  25.5</t>
  </si>
  <si>
    <t>SYS :2016/11/28 12:32:06.837:ENFORCEMENT:Reactive Enforcement Action:  Target Number: 00010351  Target Speed:  20.0  Current Speed:  25.5</t>
  </si>
  <si>
    <t>SYS :2016/11/28 12:50:08.096:ENFORCEMENT:Predictive Enforcement Action:  Target Number: 00010029  Target Speed:  15.0  Current Speed:  35.0</t>
  </si>
  <si>
    <t>SYS :2016/11/28 12:50:08.388:ENFORCEMENT:Predictive Enforcement Action:  Target Number: 0001002A  Target Speed:  15.0  Current Speed:  35.0</t>
  </si>
  <si>
    <t>SYS :2016/11/28 13:05:57.742:ENFORCEMENT:Reactive Enforcement Action:  Target Number: 00001004  Target Speed:   0.0  Current Speed:   0.6</t>
  </si>
  <si>
    <t>SYS :2016/11/28 13:05:57.879:ENFORCEMENT:Reactive Enforcement Action:  Target Number: 00001004  Target Speed:   0.0  Current Speed:   0.6</t>
  </si>
  <si>
    <t>SYS :2016/11/28 13:05:58.007:ENFORCEMENT:Reactive Enforcement Action:  Target Number: 00001004  Target Speed:   0.0  Current Speed:   0.6</t>
  </si>
  <si>
    <t>SYS :2016/11/28 13:06:06.605:ENFORCEMENT:Predictive Enforcement Action:  Target Number: 00001004  Target Speed:   0.0  Current Speed:   5.8</t>
  </si>
  <si>
    <t>SYS :2016/11/28 13:26:08.014:ENFORCEMENT:Predictive Enforcement Action:  Target Number: 00001006  Target Speed:   0.0  Current Speed:   2.1</t>
  </si>
  <si>
    <t>SYS :2016/11/28 13:26:08.434:ENFORCEMENT:Predictive Enforcement Action:  Target Number: 00001006  Target Speed:   0.0  Current Speed:   2.1</t>
  </si>
  <si>
    <t>SYS :2016/11/28 13:26:08.819:ENFORCEMENT:Predictive Enforcement Action:  Target Number: 00001006  Target Speed:   0.0  Current Speed:   2.1</t>
  </si>
  <si>
    <t>SYS :2016/11/28 14:05:21.873:ENFORCEMENT:Reactive Enforcement Action:  Target Number: 00001006  Target Speed:   0.0  Current Speed:   0.5</t>
  </si>
  <si>
    <t>SYS :2016/11/28 14:05:22.008:ENFORCEMENT:Reactive Enforcement Action:  Target Number: 00001007  Target Speed:   0.0  Current Speed:   0.3</t>
  </si>
  <si>
    <t>SYS :2016/11/28 14:05:22.744:ENFORCEMENT:Reactive Enforcement Action:  Target Number: 00001006  Target Speed:   0.0  Current Speed:   0.1</t>
  </si>
  <si>
    <t>SYS :2016/11/28 14:50:58.279:ENFORCEMENT:Predictive Enforcement Action:  Target Number: 00001035  Target Speed:   0.0  Current Speed:   5.8</t>
  </si>
  <si>
    <t>SYS :2016/11/28 15:04:22.611:ENFORCEMENT:Predictive Enforcement Action:  Target Number: 00010052  Target Speed:  20.0  Current Speed:  25.9</t>
  </si>
  <si>
    <t>SYS :2016/11/28 15:04:23.103:ENFORCEMENT:Predictive Enforcement Action:  Target Number: 00010051  Target Speed:  20.0  Current Speed:  26.0</t>
  </si>
  <si>
    <t>SYS :2016/11/28 15:06:19.006:ENFORCEMENT:Reactive Enforcement Action:  Target Number: 0000100A  Target Speed:   0.0  Current Speed:   0.7</t>
  </si>
  <si>
    <t>SYS :2016/11/28 15:06:19.749:ENFORCEMENT:Reactive Enforcement Action:  Target Number: 00001009  Target Speed:   0.0  Current Speed:   0.7</t>
  </si>
  <si>
    <t>SYS :2016/11/28 15:06:19.873:ENFORCEMENT:Reactive Enforcement Action:  Target Number: 00001009  Target Speed:   0.0  Current Speed:   0.7</t>
  </si>
  <si>
    <t>SYS :2016/11/28 15:25:57.012:ENFORCEMENT:Predictive Enforcement Action:  Target Number: 0000100D  Target Speed:   0.0  Current Speed:   2.4</t>
  </si>
  <si>
    <t>SYS :2016/11/28 15:31:07.828:ENFORCEMENT:Predictive Enforcement Action:  Target Number: 000060C0  Target Speed:   0.0  Current Speed:  12.9</t>
  </si>
  <si>
    <t>SYS :2016/11/28 15:31:08.012:ENFORCEMENT:Predictive Enforcement Action:  Target Number: 000060BC  Target Speed:   0.0  Current Speed:  12.8</t>
  </si>
  <si>
    <t>SYS :2016/11/28 15:34:41.579:ENFORCEMENT:Predictive Enforcement Action:  Target Number: 00001008  Target Speed:   0.0  Current Speed:   3.3</t>
  </si>
  <si>
    <t>SYS :2016/11/28 15:34:42.194:ENFORCEMENT:Predictive Enforcement Action:  Target Number: 00001008  Target Speed:   0.0  Current Speed:   3.1</t>
  </si>
  <si>
    <t>SYS :2016/11/28 15:34:42.228:ENFORCEMENT:Predictive Enforcement Action:  Target Number: 00001007  Target Speed:   0.0  Current Speed:   3.1</t>
  </si>
  <si>
    <t>SYS :2016/11/28 16:16:56.839:ENFORCEMENT:Predictive Enforcement Action:  Target Number: 000066C6  Target Speed:   0.0  Current Speed:  52.9</t>
  </si>
  <si>
    <t>SYS :2016/11/28 16:16:57.322:ENFORCEMENT:Predictive Enforcement Action:  Target Number: 000066B4  Target Speed:   0.0  Current Speed:  52.9</t>
  </si>
  <si>
    <t>SYS :2016/11/28 16:46:00.781:ENFORCEMENT:Predictive Enforcement Action:  Target Number: 00006102  Target Speed:   0.0  Current Speed:  46.1</t>
  </si>
  <si>
    <t>SYS :2016/11/28 16:46:02.040:ENFORCEMENT:Predictive Enforcement Action:  Target Number: 00006060  Target Speed:   0.0  Current Speed:  45.9</t>
  </si>
  <si>
    <t>SYS :2016/11/28 17:21:19.069:ENFORCEMENT:Predictive Enforcement Action:  Target Number: 00001004  Target Speed:   0.0  Current Speed:  13.3</t>
  </si>
  <si>
    <t>SYS :2016/11/28 17:21:19.321:ENFORCEMENT:Predictive Enforcement Action:  Target Number: 00001004  Target Speed:   0.0  Current Speed:  13.3</t>
  </si>
  <si>
    <t>SYS :2016/11/28 17:22:10.964:ENFORCEMENT:Predictive Enforcement Action:  Target Number: 00001004  Target Speed:   0.0  Current Speed:   4.8</t>
  </si>
  <si>
    <t>SYS :2016/11/28 17:22:11.068:ENFORCEMENT:Predictive Enforcement Action:  Target Number: 00001004  Target Speed:   0.0  Current Speed:   4.8</t>
  </si>
  <si>
    <t>SYS :2016/11/28 17:22:11.321:ENFORCEMENT:Predictive Enforcement Action:  Target Number: 00001004  Target Speed:   0.0  Current Speed:   4.8</t>
  </si>
  <si>
    <t>SYS :2016/11/28 17:23:53.484:ENFORCEMENT:Predictive Enforcement Action:  Target Number: 0000100C  Target Speed:   0.0  Current Speed:   3.7</t>
  </si>
  <si>
    <t>SYS :2016/11/28 17:23:53.770:ENFORCEMENT:Predictive Enforcement Action:  Target Number: 0000100C  Target Speed:   0.0  Current Speed:   3.6</t>
  </si>
  <si>
    <t>SYS :2016/11/28 18:06:53.404:ENFORCEMENT:Predictive Enforcement Action:  Target Number: 00001009  Target Speed:   0.0  Current Speed:  11.0</t>
  </si>
  <si>
    <t>SYS :2016/11/28 18:06:54.101:ENFORCEMENT:Predictive Enforcement Action:  Target Number: 00001009  Target Speed:   0.0  Current Speed:  10.9</t>
  </si>
  <si>
    <t>SYS :2016/11/28 19:48:20.406:ENFORCEMENT:Predictive Enforcement Action:  Target Number: 000100BA  Target Speed:  35.0  Current Speed:  52.8</t>
  </si>
  <si>
    <t>SYS :2016/11/28 19:48:21.101:ENFORCEMENT:Predictive Enforcement Action:  Target Number: 000100B8  Target Speed:  35.0  Current Speed:  52.2</t>
  </si>
  <si>
    <t>SYS :2016/11/28 20:04:33.286:ENFORCEMENT:Predictive Enforcement Action:  Target Number: 0000100C  Target Speed:   0.0  Current Speed:   4.8</t>
  </si>
  <si>
    <t>SYS :2016/11/28 20:49:24.362:ENFORCEMENT:Predictive Enforcement Action:  Target Number: 00001002  Target Speed:   0.0  Current Speed:   8.2</t>
  </si>
  <si>
    <t>SYS :2016/11/28 20:49:24.484:ENFORCEMENT:Predictive Enforcement Action:  Target Number: 00001012  Target Speed:   0.0  Current Speed:   8.2</t>
  </si>
  <si>
    <t>SYS :2016/11/28 20:49:25.034:ENFORCEMENT:Predictive Enforcement Action:  Target Number: 0000100C  Target Speed:   0.0  Current Speed:   8.1</t>
  </si>
  <si>
    <t>SYS :2016/11/28 20:54:43.367:ENFORCEMENT:Predictive Enforcement Action:  Target Number: 0000101B  Target Speed:   0.0  Current Speed:   4.3</t>
  </si>
  <si>
    <t>SYS :2016/11/28 20:54:43.497:ENFORCEMENT:Predictive Enforcement Action:  Target Number: 0000101B  Target Speed:   0.0  Current Speed:   4.3</t>
  </si>
  <si>
    <t>SYS :2016/11/28 20:54:43.892:ENFORCEMENT:Predictive Enforcement Action:  Target Number: 0000101B  Target Speed:   0.0  Current Speed:   4.3</t>
  </si>
  <si>
    <t>SYS :2016/11/28 21:30:21.100:ENFORCEMENT:Predictive Enforcement Action:  Target Number: 0000407D  Target Speed:   0.0  Current Speed:  60.8</t>
  </si>
  <si>
    <t>SYS :2016/11/28 21:30:21.402:ENFORCEMENT:Predictive Enforcement Action:  Target Number: 0000408D  Target Speed:   0.0  Current Speed:  60.8</t>
  </si>
  <si>
    <t>SYS :2016/11/28 21:49:38.607:ENFORCEMENT:Predictive Enforcement Action:  Target Number: 0000100E  Target Speed:   0.0  Current Speed:   4.7</t>
  </si>
  <si>
    <t>SYS :2016/11/28 21:49:38.614:ENFORCEMENT:Predictive Enforcement Action:  Target Number: 0000100A  Target Speed:   0.0  Current Speed:   4.7</t>
  </si>
  <si>
    <t>SYS :2016/11/28 21:49:39.288:ENFORCEMENT:Predictive Enforcement Action:  Target Number: 0000100E  Target Speed:   0.0  Current Speed:   4.7</t>
  </si>
  <si>
    <t>SYS :2016/11/28 22:06:56.576:ENFORCEMENT:Predictive Enforcement Action:  Target Number: 0000100E  Target Speed:   0.0  Current Speed:   7.0</t>
  </si>
  <si>
    <t>SYS :2016/11/28 22:06:56.900:ENFORCEMENT:Predictive Enforcement Action:  Target Number: 00001014  Target Speed:   0.0  Current Speed:   7.0</t>
  </si>
  <si>
    <t>SYS :2016/11/28 22:15:46.156:ENFORCEMENT:Predictive Enforcement Action:  Target Number: 0000623E  Target Speed:   0.0  Current Speed:  38.2</t>
  </si>
  <si>
    <t>SYS :2016/11/28 22:15:46.222:ENFORCEMENT:Predictive Enforcement Action:  Target Number: 00006876  Target Speed:   0.0  Current Speed:  38.2</t>
  </si>
  <si>
    <t>SYS :2016/11/28 22:15:46.334:ENFORCEMENT:Predictive Enforcement Action:  Target Number: 00006873  Target Speed:   0.0  Current Speed:  38.2</t>
  </si>
  <si>
    <t>SYS :2016/11/28 22:28:17.223:ENFORCEMENT:Predictive Enforcement Action:  Target Number: 0001011C  Target Speed:  30.0  Current Speed:  40.2</t>
  </si>
  <si>
    <t>SYS :2016/11/28 22:28:17.268:ENFORCEMENT:Predictive Enforcement Action:  Target Number: 00010119  Target Speed:  30.0  Current Speed:  40.2</t>
  </si>
  <si>
    <t>SYS :2016/11/28 22:28:17.612:ENFORCEMENT:Predictive Enforcement Action:  Target Number: 0001011C  Target Speed:  30.0  Current Speed:  40.2</t>
  </si>
  <si>
    <t>SYS :2016/11/28 22:36:45.159:ENFORCEMENT:Predictive Enforcement Action:  Target Number: 0000627C  Target Speed:   0.0  Current Speed:  28.0</t>
  </si>
  <si>
    <t>SYS :2016/11/28 22:36:45.242:ENFORCEMENT:Predictive Enforcement Action:  Target Number: 000068B4  Target Speed:   0.0  Current Speed:  28.0</t>
  </si>
  <si>
    <t>SYS :2016/11/28 22:36:45.344:ENFORCEMENT:Predictive Enforcement Action:  Target Number: 000068B1  Target Speed:   0.0  Current Speed:  28.0</t>
  </si>
  <si>
    <t>SYS :2016/11/28 22:38:19.157:ENFORCEMENT:Predictive Enforcement Action:  Target Number: 0000627C  Target Speed:   0.0  Current Speed:   4.5</t>
  </si>
  <si>
    <t>SYS :2016/11/28 22:38:19.210:ENFORCEMENT:Predictive Enforcement Action:  Target Number: 000068B4  Target Speed:   0.0  Current Speed:   4.4</t>
  </si>
  <si>
    <t>SYS :2016/11/28 22:38:19.326:ENFORCEMENT:Predictive Enforcement Action:  Target Number: 000068B1  Target Speed:   0.0  Current Speed:   4.5</t>
  </si>
  <si>
    <t>SYS :2016/11/28 22:39:40.194:ENFORCEMENT:Predictive Enforcement Action:  Target Number: 0000101C  Target Speed:   0.0  Current Speed:   4.4</t>
  </si>
  <si>
    <t>SYS :2016/11/28 22:39:40.233:ENFORCEMENT:Predictive Enforcement Action:  Target Number: 0000101B  Target Speed:   0.0  Current Speed:   4.6</t>
  </si>
  <si>
    <t>SYS :2016/11/28 22:39:40.589:ENFORCEMENT:Predictive Enforcement Action:  Target Number: 0000101C  Target Speed:   0.0  Current Speed:   4.6</t>
  </si>
  <si>
    <t>SYS :2016/11/28 22:40:23.201:ENFORCEMENT:Predictive Enforcement Action:  Target Number: 0000101C  Target Speed:   0.0  Current Speed:   3.4</t>
  </si>
  <si>
    <t>SYS :2016/11/29 00:14:00.040:ENFORCEMENT:Predictive Enforcement Action:  Target Number: 000100DA  Target Speed:  30.0  Current Speed:  39.8</t>
  </si>
  <si>
    <t>SYS :2016/11/29 00:14:00.372:ENFORCEMENT:Predictive Enforcement Action:  Target Number: 0001004D  Target Speed:  30.0  Current Speed:  39.4</t>
  </si>
  <si>
    <t>SYS :2016/11/29 00:14:00.489:ENFORCEMENT:Predictive Enforcement Action:  Target Number: 0001011F  Target Speed:  30.0  Current Speed:  39.4</t>
  </si>
  <si>
    <t>SYS :2016/11/29 00:25:52.024:ENFORCEMENT:Predictive Enforcement Action:  Target Number: 00001013  Target Speed:   0.0  Current Speed:   7.9</t>
  </si>
  <si>
    <t>SYS :2016/11/29 00:25:52.824:ENFORCEMENT:Predictive Enforcement Action:  Target Number: 00001013  Target Speed:   0.0  Current Speed:   7.9</t>
  </si>
  <si>
    <t>SYS :2016/11/29 00:25:53.440:ENFORCEMENT:Predictive Enforcement Action:  Target Number: 00001013  Target Speed:   0.0  Current Speed:   7.9</t>
  </si>
  <si>
    <t>SYS :2016/11/29 00:52:10.899:ENFORCEMENT:Reactive Enforcement Action:  Target Number: 00006158  Target Speed:  20.0  Current Speed:  26.2</t>
  </si>
  <si>
    <t>SYS :2016/11/29 00:52:11.504:ENFORCEMENT:Reactive Enforcement Action:  Target Number: 0000617B  Target Speed:  20.0  Current Speed:  26.2</t>
  </si>
  <si>
    <t>SYS :2016/11/29 00:52:12.372:ENFORCEMENT:Reactive Enforcement Action:  Target Number: 00006152  Target Speed:  20.0  Current Speed:  26.2</t>
  </si>
  <si>
    <t>SYS :2016/11/29 00:56:32.498:ENFORCEMENT:Predictive Enforcement Action:  Target Number: 00001026  Target Speed:   0.0  Current Speed:   9.1</t>
  </si>
  <si>
    <t>SYS :2016/11/29 00:56:32.892:ENFORCEMENT:Predictive Enforcement Action:  Target Number: 00001026  Target Speed:   0.0  Current Speed:   9.0</t>
  </si>
  <si>
    <t>SYS :2016/11/29 00:57:10.361:ENFORCEMENT:Predictive Enforcement Action:  Target Number: 00001026  Target Speed:   0.0  Current Speed:   4.8</t>
  </si>
  <si>
    <t>SYS :2016/11/29 00:57:10.487:ENFORCEMENT:Predictive Enforcement Action:  Target Number: 00001026  Target Speed:   0.0  Current Speed:   4.8</t>
  </si>
  <si>
    <t>SYS :2016/11/29 00:57:10.891:ENFORCEMENT:Predictive Enforcement Action:  Target Number: 00001026  Target Speed:   0.0  Current Speed:   4.7</t>
  </si>
  <si>
    <t>SYS :2016/11/29 01:02:48.829:ENFORCEMENT:Predictive Enforcement Action:  Target Number: 0001005C  Target Speed:  15.0  Current Speed:  23.9</t>
  </si>
  <si>
    <t>SYS :2016/11/29 01:02:48.886:ENFORCEMENT:Predictive Enforcement Action:  Target Number: 00010117  Target Speed:  15.0  Current Speed:  23.9</t>
  </si>
  <si>
    <t>SYS :2016/11/29 01:02:49.014:ENFORCEMENT:Predictive Enforcement Action:  Target Number: 000100FF  Target Speed:  15.0  Current Speed:  23.9</t>
  </si>
  <si>
    <t>SYS :2016/11/29 01:26:10.016:ENFORCEMENT:Predictive Enforcement Action:  Target Number: 00001018  Target Speed:   0.0  Current Speed:   3.7</t>
  </si>
  <si>
    <t>SYS :2016/11/29 01:26:10.434:ENFORCEMENT:Predictive Enforcement Action:  Target Number: 00001019  Target Speed:   0.0  Current Speed:   3.7</t>
  </si>
  <si>
    <t>SYS :2016/11/29 02:06:52.357:ENFORCEMENT:Predictive Enforcement Action:  Target Number: 0000100A  Target Speed:   0.0  Current Speed:   5.3</t>
  </si>
  <si>
    <t>SYS :2016/11/29 02:06:52.478:ENFORCEMENT:Predictive Enforcement Action:  Target Number: 0000101A  Target Speed:   0.0  Current Speed:   5.3</t>
  </si>
  <si>
    <t>SYS :2016/11/29 02:06:53.032:ENFORCEMENT:Predictive Enforcement Action:  Target Number: 00001014  Target Speed:   0.0  Current Speed:   5.3</t>
  </si>
  <si>
    <t>SYS :2016/11/29 02:34:37.583:ENFORCEMENT:Predictive Enforcement Action:  Target Number: 00001024  Target Speed:   0.0  Current Speed:   5.5</t>
  </si>
  <si>
    <t>SYS :2016/11/29 02:34:38.195:ENFORCEMENT:Predictive Enforcement Action:  Target Number: 00001024  Target Speed:   0.0  Current Speed:   5.3</t>
  </si>
  <si>
    <t>SYS :2016/11/29 02:34:38.227:ENFORCEMENT:Predictive Enforcement Action:  Target Number: 00001023  Target Speed:   0.0  Current Speed:   5.3</t>
  </si>
  <si>
    <t>SYS :2016/11/29 02:35:14.579:ENFORCEMENT:Predictive Enforcement Action:  Target Number: 00001024  Target Speed:   0.0  Current Speed:   2.3</t>
  </si>
  <si>
    <t>SYS :2016/11/29 02:35:15.195:ENFORCEMENT:Predictive Enforcement Action:  Target Number: 00001024  Target Speed:   0.0  Current Speed:   2.0</t>
  </si>
  <si>
    <t>SYS :2016/11/29 02:35:15.228:ENFORCEMENT:Predictive Enforcement Action:  Target Number: 00001023  Target Speed:   0.0  Current Speed:   2.0</t>
  </si>
  <si>
    <t>SYS :2016/11/29 02:58:01.677:ENFORCEMENT:Reactive Enforcement Action:  Target Number: 0001012F  Target Speed:  15.0  Current Speed:  20.7</t>
  </si>
  <si>
    <t>SYS :2016/11/29 02:58:01.923:ENFORCEMENT:Reactive Enforcement Action:  Target Number: 0001012F  Target Speed:  15.0  Current Speed:  20.7</t>
  </si>
  <si>
    <t>SYS :2016/11/29 02:58:02.235:ENFORCEMENT:Reactive Enforcement Action:  Target Number: 00010061  Target Speed:  15.0  Current Speed:  20.7</t>
  </si>
  <si>
    <t>101-29</t>
  </si>
  <si>
    <t>rtdc.l.rtdc.4030:itc</t>
  </si>
  <si>
    <t>304-29</t>
  </si>
  <si>
    <t>308-29</t>
  </si>
  <si>
    <t>800-29</t>
  </si>
  <si>
    <t>113-29</t>
  </si>
  <si>
    <t>GRADE CROSSING</t>
  </si>
  <si>
    <t>Bulletin (2)</t>
  </si>
  <si>
    <t>120-29</t>
  </si>
  <si>
    <t>807-29</t>
  </si>
  <si>
    <t>rtdc.l.rtdc.4029:itc</t>
  </si>
  <si>
    <t>131-29</t>
  </si>
  <si>
    <t>810-29</t>
  </si>
  <si>
    <t>134-29</t>
  </si>
  <si>
    <t>136-29</t>
  </si>
  <si>
    <t>140-29</t>
  </si>
  <si>
    <t>148-29</t>
  </si>
  <si>
    <t>50-29</t>
  </si>
  <si>
    <t>816-29</t>
  </si>
  <si>
    <t>152-29</t>
  </si>
  <si>
    <t>rtdc.l.rtdc.4028:itc</t>
  </si>
  <si>
    <t>52-29</t>
  </si>
  <si>
    <t>150-29</t>
  </si>
  <si>
    <t>817-29</t>
  </si>
  <si>
    <t>161-29</t>
  </si>
  <si>
    <t>158-29</t>
  </si>
  <si>
    <t>rtdc.l.rtdc.4027:itc</t>
  </si>
  <si>
    <t>53-29</t>
  </si>
  <si>
    <t>819-29</t>
  </si>
  <si>
    <t>166-29</t>
  </si>
  <si>
    <t>175-29</t>
  </si>
  <si>
    <t>180-29</t>
  </si>
  <si>
    <t>825-29</t>
  </si>
  <si>
    <t>828-29</t>
  </si>
  <si>
    <t>833-29</t>
  </si>
  <si>
    <t>66-29</t>
  </si>
  <si>
    <t>TEMPORARY SPEED RESTRICTION</t>
  </si>
  <si>
    <t>215-29</t>
  </si>
  <si>
    <t>103-29</t>
  </si>
  <si>
    <t>306-29</t>
  </si>
  <si>
    <t>rtdc.l.rtdc.4021:itc</t>
  </si>
  <si>
    <t>102-29</t>
  </si>
  <si>
    <t>105-29</t>
  </si>
  <si>
    <t>310-29</t>
  </si>
  <si>
    <t>107-29</t>
  </si>
  <si>
    <t>104-29</t>
  </si>
  <si>
    <t>109-29</t>
  </si>
  <si>
    <t>901-29</t>
  </si>
  <si>
    <t>111-29</t>
  </si>
  <si>
    <t>GEBRETEKLE</t>
  </si>
  <si>
    <t>106-29</t>
  </si>
  <si>
    <t>108-29</t>
  </si>
  <si>
    <t>115-29</t>
  </si>
  <si>
    <t>110-29</t>
  </si>
  <si>
    <t>117-29</t>
  </si>
  <si>
    <t>rtdc.l.rtdc.4043:itc</t>
  </si>
  <si>
    <t>902-29</t>
  </si>
  <si>
    <t>112-29</t>
  </si>
  <si>
    <t>802-29</t>
  </si>
  <si>
    <t>801-29</t>
  </si>
  <si>
    <t>119-29</t>
  </si>
  <si>
    <t>121-29</t>
  </si>
  <si>
    <t>114-29</t>
  </si>
  <si>
    <t>803-29</t>
  </si>
  <si>
    <t>116-29</t>
  </si>
  <si>
    <t>123-29</t>
  </si>
  <si>
    <t>BEAM</t>
  </si>
  <si>
    <t>118-29</t>
  </si>
  <si>
    <t>804-29</t>
  </si>
  <si>
    <t>125-29</t>
  </si>
  <si>
    <t>805-29</t>
  </si>
  <si>
    <t>SWANSON</t>
  </si>
  <si>
    <t>127-29</t>
  </si>
  <si>
    <t>122-29</t>
  </si>
  <si>
    <t>129-29</t>
  </si>
  <si>
    <t>806-29</t>
  </si>
  <si>
    <t>124-29</t>
  </si>
  <si>
    <t>126-29</t>
  </si>
  <si>
    <t>808-29</t>
  </si>
  <si>
    <t>133-29</t>
  </si>
  <si>
    <t>128-29</t>
  </si>
  <si>
    <t>809-29</t>
  </si>
  <si>
    <t>135-29</t>
  </si>
  <si>
    <t>130-29</t>
  </si>
  <si>
    <t>137-29</t>
  </si>
  <si>
    <t>132-29</t>
  </si>
  <si>
    <t>811-29</t>
  </si>
  <si>
    <t>139-29</t>
  </si>
  <si>
    <t>812-29</t>
  </si>
  <si>
    <t>141-29</t>
  </si>
  <si>
    <t>143-29</t>
  </si>
  <si>
    <t>903-29</t>
  </si>
  <si>
    <t>138-29</t>
  </si>
  <si>
    <t>145-29</t>
  </si>
  <si>
    <t>813-29</t>
  </si>
  <si>
    <t>147-29</t>
  </si>
  <si>
    <t>142-29</t>
  </si>
  <si>
    <t>814-29</t>
  </si>
  <si>
    <t>149-29</t>
  </si>
  <si>
    <t>144-29</t>
  </si>
  <si>
    <t>151-29</t>
  </si>
  <si>
    <t>146-29</t>
  </si>
  <si>
    <t>153-29</t>
  </si>
  <si>
    <t>815-29</t>
  </si>
  <si>
    <t>155-29</t>
  </si>
  <si>
    <t>157-29</t>
  </si>
  <si>
    <t>159-29</t>
  </si>
  <si>
    <t>154-29</t>
  </si>
  <si>
    <t>51-29</t>
  </si>
  <si>
    <t>156-29</t>
  </si>
  <si>
    <t>163-29</t>
  </si>
  <si>
    <t>818-29</t>
  </si>
  <si>
    <t>165-29</t>
  </si>
  <si>
    <t>160-29</t>
  </si>
  <si>
    <t>167-29</t>
  </si>
  <si>
    <t>MAHAN</t>
  </si>
  <si>
    <t>162-29</t>
  </si>
  <si>
    <t>169-29</t>
  </si>
  <si>
    <t>164-29</t>
  </si>
  <si>
    <t>171-29</t>
  </si>
  <si>
    <t>STORY</t>
  </si>
  <si>
    <t>820-29</t>
  </si>
  <si>
    <t>173-29</t>
  </si>
  <si>
    <t>168-29</t>
  </si>
  <si>
    <t>170-29</t>
  </si>
  <si>
    <t>821-29</t>
  </si>
  <si>
    <t>177-29</t>
  </si>
  <si>
    <t>172-29</t>
  </si>
  <si>
    <t>179-29</t>
  </si>
  <si>
    <t>174-29</t>
  </si>
  <si>
    <t>822-29</t>
  </si>
  <si>
    <t>181-29</t>
  </si>
  <si>
    <t>176-29</t>
  </si>
  <si>
    <t>183-29</t>
  </si>
  <si>
    <t>178-29</t>
  </si>
  <si>
    <t>185-29</t>
  </si>
  <si>
    <t>823-29</t>
  </si>
  <si>
    <t>187-29</t>
  </si>
  <si>
    <t>182-29</t>
  </si>
  <si>
    <t>189-29</t>
  </si>
  <si>
    <t>824-29</t>
  </si>
  <si>
    <t>184-29</t>
  </si>
  <si>
    <t>191-29</t>
  </si>
  <si>
    <t>186-29</t>
  </si>
  <si>
    <t>193-29</t>
  </si>
  <si>
    <t>188-29</t>
  </si>
  <si>
    <t>195-29</t>
  </si>
  <si>
    <t>904-29</t>
  </si>
  <si>
    <t>190-29</t>
  </si>
  <si>
    <t>197-29</t>
  </si>
  <si>
    <t>826-29</t>
  </si>
  <si>
    <t>827-29</t>
  </si>
  <si>
    <t>192-29</t>
  </si>
  <si>
    <t>199-29</t>
  </si>
  <si>
    <t>194-29</t>
  </si>
  <si>
    <t>201-29</t>
  </si>
  <si>
    <t>829-29</t>
  </si>
  <si>
    <t>196-29</t>
  </si>
  <si>
    <t>203-29</t>
  </si>
  <si>
    <t>198-29</t>
  </si>
  <si>
    <t>830-29</t>
  </si>
  <si>
    <t>205-29</t>
  </si>
  <si>
    <t>831-29</t>
  </si>
  <si>
    <t>200-29</t>
  </si>
  <si>
    <t>207-29</t>
  </si>
  <si>
    <t>202-29</t>
  </si>
  <si>
    <t>71-29</t>
  </si>
  <si>
    <t>832-29</t>
  </si>
  <si>
    <t>209-29</t>
  </si>
  <si>
    <t>204-29</t>
  </si>
  <si>
    <t>211-29</t>
  </si>
  <si>
    <t>206-29</t>
  </si>
  <si>
    <t>834-29</t>
  </si>
  <si>
    <t>213-29</t>
  </si>
  <si>
    <t>208-29</t>
  </si>
  <si>
    <t>835-29</t>
  </si>
  <si>
    <t>70-29</t>
  </si>
  <si>
    <t>NELSON</t>
  </si>
  <si>
    <t>837-29</t>
  </si>
  <si>
    <t>210-29</t>
  </si>
  <si>
    <t>836-29</t>
  </si>
  <si>
    <t>217-29</t>
  </si>
  <si>
    <t>73-29</t>
  </si>
  <si>
    <t>212-29</t>
  </si>
  <si>
    <t>219-29</t>
  </si>
  <si>
    <t>214-29</t>
  </si>
  <si>
    <t>838-29</t>
  </si>
  <si>
    <t>303-29</t>
  </si>
  <si>
    <t>839-29</t>
  </si>
  <si>
    <t>216-29</t>
  </si>
  <si>
    <t>221-29</t>
  </si>
  <si>
    <t>218-29</t>
  </si>
  <si>
    <t>906-29</t>
  </si>
  <si>
    <t>841-29</t>
  </si>
  <si>
    <t>305-29</t>
  </si>
  <si>
    <t>223-29</t>
  </si>
  <si>
    <t>220-29</t>
  </si>
  <si>
    <t>840-29</t>
  </si>
  <si>
    <t>307-29</t>
  </si>
  <si>
    <t>222-29</t>
  </si>
  <si>
    <t>225-29</t>
  </si>
  <si>
    <t>843-29</t>
  </si>
  <si>
    <t>224-29</t>
  </si>
  <si>
    <t>227-29</t>
  </si>
  <si>
    <t>226-29</t>
  </si>
  <si>
    <t>842-29</t>
  </si>
  <si>
    <t>229-29</t>
  </si>
  <si>
    <t>845-29</t>
  </si>
  <si>
    <t>228-29</t>
  </si>
  <si>
    <t>231-29</t>
  </si>
  <si>
    <t>233-29</t>
  </si>
  <si>
    <t>844-29</t>
  </si>
  <si>
    <t>230-29</t>
  </si>
  <si>
    <t>847-29</t>
  </si>
  <si>
    <t>232-29</t>
  </si>
  <si>
    <t>235-29</t>
  </si>
  <si>
    <t>908-29</t>
  </si>
  <si>
    <t>234-29</t>
  </si>
  <si>
    <t>237-29</t>
  </si>
  <si>
    <t>236-29</t>
  </si>
  <si>
    <t>239-29</t>
  </si>
  <si>
    <t>241-29</t>
  </si>
  <si>
    <t>238-29</t>
  </si>
  <si>
    <t>240-29</t>
  </si>
  <si>
    <t>243-29</t>
  </si>
  <si>
    <t>309-29</t>
  </si>
  <si>
    <t>242-29</t>
  </si>
  <si>
    <t>311-29</t>
  </si>
  <si>
    <t>244-29</t>
  </si>
  <si>
    <t>313-29</t>
  </si>
  <si>
    <t>fog</t>
  </si>
  <si>
    <t>Foggy</t>
  </si>
  <si>
    <t>204:761</t>
  </si>
  <si>
    <t>204:233381</t>
  </si>
  <si>
    <t>204:232753</t>
  </si>
  <si>
    <t>204:759</t>
  </si>
  <si>
    <t>204:233310</t>
  </si>
  <si>
    <t>204:232675</t>
  </si>
  <si>
    <t>204:768</t>
  </si>
  <si>
    <t>204:232681</t>
  </si>
  <si>
    <t>204:233005</t>
  </si>
  <si>
    <t>204:790</t>
  </si>
  <si>
    <t>204:233312</t>
  </si>
  <si>
    <t>204:777</t>
  </si>
  <si>
    <t>204:232953</t>
  </si>
  <si>
    <t>204:743</t>
  </si>
  <si>
    <t>204:233316</t>
  </si>
  <si>
    <t>204:233321</t>
  </si>
  <si>
    <t>204:440</t>
  </si>
  <si>
    <t>204:233342</t>
  </si>
  <si>
    <t>204:233019</t>
  </si>
  <si>
    <t>204:416</t>
  </si>
  <si>
    <t>204:233132</t>
  </si>
  <si>
    <t>204:232819</t>
  </si>
  <si>
    <t>204:232986</t>
  </si>
  <si>
    <t>204:196</t>
  </si>
  <si>
    <t>204:488</t>
  </si>
  <si>
    <t>204:520</t>
  </si>
  <si>
    <t>204:233008</t>
  </si>
  <si>
    <t>204:232981</t>
  </si>
  <si>
    <t>204:232969</t>
  </si>
  <si>
    <t>204:433</t>
  </si>
  <si>
    <t>204:233359</t>
  </si>
  <si>
    <t>204:233032</t>
  </si>
  <si>
    <t>204:233120</t>
  </si>
  <si>
    <t>204:169</t>
  </si>
  <si>
    <t>204:232974</t>
  </si>
  <si>
    <t>204:233266</t>
  </si>
  <si>
    <t>204:232952</t>
  </si>
  <si>
    <t>204:233380</t>
  </si>
  <si>
    <t>204:233034</t>
  </si>
  <si>
    <t>204:233327</t>
  </si>
  <si>
    <t>204:232961</t>
  </si>
  <si>
    <t>204:232966</t>
  </si>
  <si>
    <t>204:480</t>
  </si>
  <si>
    <t>204:232955</t>
  </si>
  <si>
    <t>204:233387</t>
  </si>
  <si>
    <t>204:233065</t>
  </si>
  <si>
    <t>204:233270</t>
  </si>
  <si>
    <t>204:172</t>
  </si>
  <si>
    <t>204:422</t>
  </si>
  <si>
    <t>204:232976</t>
  </si>
  <si>
    <t>204:105</t>
  </si>
  <si>
    <t>204:431</t>
  </si>
  <si>
    <t>204:127</t>
  </si>
  <si>
    <t>204:291</t>
  </si>
  <si>
    <t>204:232945</t>
  </si>
  <si>
    <t>300:23301</t>
  </si>
  <si>
    <t>300:22327</t>
  </si>
  <si>
    <t>300:23304</t>
  </si>
  <si>
    <t>300:20030</t>
  </si>
  <si>
    <t>300:23302</t>
  </si>
  <si>
    <t>300:23250</t>
  </si>
  <si>
    <t>300:22846</t>
  </si>
  <si>
    <t>300:22921</t>
  </si>
  <si>
    <t>204:580</t>
  </si>
  <si>
    <t>300:23126</t>
  </si>
  <si>
    <t>300:22051</t>
  </si>
  <si>
    <t>204:100</t>
  </si>
  <si>
    <t>204:388</t>
  </si>
  <si>
    <t>300:24241</t>
  </si>
  <si>
    <t>300:23141</t>
  </si>
  <si>
    <t>204:976</t>
  </si>
  <si>
    <t>204:1279</t>
  </si>
  <si>
    <t>300:24197</t>
  </si>
  <si>
    <t>300:23474</t>
  </si>
  <si>
    <t>204:66</t>
  </si>
  <si>
    <t>300:22248</t>
  </si>
  <si>
    <t>204:1910</t>
  </si>
  <si>
    <t>204:1507</t>
  </si>
  <si>
    <t>204:354</t>
  </si>
  <si>
    <t>300:24243</t>
  </si>
  <si>
    <t>204:757</t>
  </si>
  <si>
    <t>204:1048</t>
  </si>
  <si>
    <t>204:792</t>
  </si>
  <si>
    <t>300:58604</t>
  </si>
  <si>
    <t>204:1079</t>
  </si>
  <si>
    <t>204:687</t>
  </si>
  <si>
    <t>204:986</t>
  </si>
  <si>
    <t>300:58929</t>
  </si>
  <si>
    <t>300:58617</t>
  </si>
  <si>
    <t>204:734</t>
  </si>
  <si>
    <t>204:981</t>
  </si>
  <si>
    <t>204:129</t>
  </si>
  <si>
    <t>204:1030</t>
  </si>
  <si>
    <t>204:694</t>
  </si>
  <si>
    <t>300:58916</t>
  </si>
  <si>
    <t>300:58608</t>
  </si>
  <si>
    <t>204:671</t>
  </si>
  <si>
    <t>204:1020</t>
  </si>
  <si>
    <t>204:720</t>
  </si>
  <si>
    <t>204:1000</t>
  </si>
  <si>
    <t>300:58619</t>
  </si>
  <si>
    <t>300:58931</t>
  </si>
  <si>
    <t>300:58613</t>
  </si>
  <si>
    <t>204:666</t>
  </si>
  <si>
    <t>300:58933</t>
  </si>
  <si>
    <t>300:58598</t>
  </si>
  <si>
    <t>300:58621</t>
  </si>
  <si>
    <t>204:677</t>
  </si>
  <si>
    <t>300:58912</t>
  </si>
  <si>
    <t>300:58591</t>
  </si>
  <si>
    <t>300:58914</t>
  </si>
  <si>
    <t>204:680</t>
  </si>
  <si>
    <t>300:58647</t>
  </si>
  <si>
    <t>204:692</t>
  </si>
  <si>
    <t>300:58961</t>
  </si>
  <si>
    <t>300:29773</t>
  </si>
  <si>
    <t>300:23466</t>
  </si>
  <si>
    <t>204:430</t>
  </si>
  <si>
    <t>300:21943</t>
  </si>
  <si>
    <t>204:713</t>
  </si>
  <si>
    <t>300:21526</t>
  </si>
  <si>
    <t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t>
  </si>
  <si>
    <t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t>
  </si>
  <si>
    <t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t>
  </si>
  <si>
    <t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t>
  </si>
  <si>
    <t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t>
  </si>
  <si>
    <t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t>
  </si>
  <si>
    <t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t>
  </si>
  <si>
    <t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t>
  </si>
  <si>
    <t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t>
  </si>
  <si>
    <t>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 &amp; 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</t>
  </si>
  <si>
    <t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t>
  </si>
  <si>
    <t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t>
  </si>
  <si>
    <t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t>
  </si>
  <si>
    <t>Early arrival</t>
  </si>
  <si>
    <t>STOP aspect</t>
  </si>
  <si>
    <t>Premature downgrade at EC0816RH 75-1T 1N</t>
  </si>
  <si>
    <t>Pena 4S STOP</t>
  </si>
  <si>
    <t>Wi-MAX data drop</t>
  </si>
  <si>
    <t>4039,,,,0:00:54.382646,2016-11-29 11:42:06.526046-07:00</t>
  </si>
  <si>
    <t>4011,,,,0:00:54.523049,2016-11-29 15:29:04.953734-07:00</t>
  </si>
  <si>
    <t>4011,,,,0:01:05.655554,2016-11-29 17:29:20.262202-07:00</t>
  </si>
  <si>
    <t>4011,,,,0:00:39.983569,2016-11-29 11:28:30.108058-07:00</t>
  </si>
  <si>
    <t>Premature downgrade at EC0365RH 40-2T 2S</t>
  </si>
  <si>
    <t>At approx 2016-11-29 09:07:55, seems like EC0365RH 40-2T 2S dropped to STOP &amp; PROCEED. Do logs tell us anything odd here?</t>
  </si>
  <si>
    <t>At 11:31:24, EC0816RH 75-1T 1N dropped to STOP &amp; PROCEED. Did anything wrong occur during this timeframe?</t>
  </si>
  <si>
    <t>At 18:17:39, EC0816RH 75-1T 1N dropped to STOP &amp; PROCEED. Did anything wrong occur during this timeframe?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</si>
</sst>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1"/>
  <sheetViews>
    <sheetView topLeftCell="A157" workbookViewId="0">
      <selection activeCell="K27" sqref="K2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42703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COUNTIFS($N$13:$N$9375,"&gt;0",$AG$13:$AG$9375,I1)</f>
        <v>144</v>
      </c>
      <c r="K5" s="44"/>
      <c r="L5" s="44"/>
      <c r="M5" s="45">
        <f>AVERAGEIFS($N$13:$N$9375,$AG$13:$AG$9375,I1)</f>
        <v>37.424537037004484</v>
      </c>
      <c r="N5" s="43">
        <f t="array" ref="N5">MIN(IF($AG$13:$AG$9375=I1,IF(ISNUMBER($N$13:$N$9375),IF($N$13:$N$9375&gt;0,$N$13:$N$9375))))</f>
        <v>34.549999998416752</v>
      </c>
      <c r="O5" s="3">
        <f t="array" ref="O5">MAX(IF($AG$13:$AG$9375=I1,IF(ISNUMBER($N$13:$N$9375),IF($N$13:$N$9375&gt;0,$N$13:$N$9375))))</f>
        <v>40.549999997019768</v>
      </c>
      <c r="P5" s="2"/>
      <c r="R5" s="80" t="s">
        <v>17</v>
      </c>
      <c r="S5" s="55">
        <f>COUNTIFS($N$13:$N$9375,"&gt;0",$AG$13:$AG$9375,R1)</f>
        <v>47</v>
      </c>
      <c r="T5" s="44"/>
      <c r="U5" s="169"/>
      <c r="V5" s="45">
        <f>AVERAGEIFS($N$13:$N$9375,$AG$13:$AG$9375,R1)</f>
        <v>15.064539008209126</v>
      </c>
      <c r="W5" s="43">
        <f t="array" ref="W5">MIN(IF($AG$13:$AG$9375=R1,IF(ISNUMBER($N$13:$N$9375),IF($N$13:$N$9375&gt;0,$N$13:$N$9375))))</f>
        <v>12.483333328273147</v>
      </c>
      <c r="X5" s="173">
        <f t="array" ref="X5">MAX(IF($AG$13:$AG$9375=R1,IF(ISNUMBER($N$13:$N$9375),IF($N$13:$N$9375&gt;0,$N$13:$N$9375))))</f>
        <v>19.000000009546056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COUNT($O$13:$O$155)</f>
        <v>0</v>
      </c>
      <c r="K6" s="44"/>
      <c r="L6" s="44"/>
      <c r="M6" s="45">
        <f>IFERROR(AVERAGE($O$13:$O$155),0)</f>
        <v>0</v>
      </c>
      <c r="N6" s="43">
        <f>MIN($O$13:$O$155)</f>
        <v>0</v>
      </c>
      <c r="O6" s="3">
        <f>MAX($O$13:$O$155)</f>
        <v>0</v>
      </c>
      <c r="P6" s="2"/>
      <c r="R6" s="81" t="s">
        <v>43</v>
      </c>
      <c r="S6" s="55">
        <f>COUNT($O$13:$O$155)</f>
        <v>0</v>
      </c>
      <c r="T6" s="44"/>
      <c r="U6" s="169"/>
      <c r="V6" s="45">
        <f>IFERROR(AVERAGE($O$13:$O$155),0)</f>
        <v>0</v>
      </c>
      <c r="W6" s="43">
        <f>MIN($O$13:$O$155)</f>
        <v>0</v>
      </c>
      <c r="X6" s="173">
        <f>MAX($O$13:$O$155)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COUNTIFS($P$13:$P$9375,"&gt;0",$AG$13:$AG$9375,I1)</f>
        <v>0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COUNTIFS($P$13:$P$9375,"&gt;0",$AG$13:$AG$9375,R1)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37.424537037004484</v>
      </c>
      <c r="N8" s="43">
        <f>N5</f>
        <v>34.549999998416752</v>
      </c>
      <c r="O8" s="3">
        <f>O5</f>
        <v>40.549999997019768</v>
      </c>
      <c r="P8" s="2"/>
      <c r="R8" s="80" t="s">
        <v>16</v>
      </c>
      <c r="S8" s="55">
        <f>S5</f>
        <v>47</v>
      </c>
      <c r="T8" s="44"/>
      <c r="U8" s="169"/>
      <c r="V8" s="45">
        <f>V5</f>
        <v>15.064539008209126</v>
      </c>
      <c r="W8" s="43">
        <f>W5</f>
        <v>12.483333328273147</v>
      </c>
      <c r="X8" s="173">
        <f>X5</f>
        <v>19.000000009546056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- 2016-11-29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AVERAGE(S13:S105)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527</v>
      </c>
      <c r="B13" s="7">
        <v>4003</v>
      </c>
      <c r="C13" s="22" t="s">
        <v>212</v>
      </c>
      <c r="D13" s="22" t="s">
        <v>759</v>
      </c>
      <c r="E13" s="13">
        <v>42703.130300925928</v>
      </c>
      <c r="F13" s="13">
        <v>42703.135636574072</v>
      </c>
      <c r="G13" s="7">
        <v>1</v>
      </c>
      <c r="H13" s="22" t="s">
        <v>760</v>
      </c>
      <c r="I13" s="13">
        <v>42703.161620370367</v>
      </c>
      <c r="J13" s="7">
        <v>1</v>
      </c>
      <c r="K13" s="109" t="str">
        <f t="shared" ref="K13:K76" si="0">IF(ISEVEN(B13),(B13-1)&amp;"/"&amp;B13,B13&amp;"/"&amp;(B13+1))</f>
        <v>4003/4004</v>
      </c>
      <c r="L13" s="22" t="str">
        <f>VLOOKUP(A13,'Trips&amp;Operators'!$C$1:$E$10000,3,FALSE)</f>
        <v>KILLION</v>
      </c>
      <c r="M13" s="6">
        <f t="shared" ref="M13:M76" si="1">I13-F13</f>
        <v>2.5983796294895001E-2</v>
      </c>
      <c r="N13" s="7">
        <f t="shared" ref="N13:N76" si="2">24*60*SUM($M13:$M13)</f>
        <v>37.416666664648801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https://search-rtdc-monitor-bjffxe2xuh6vdkpspy63sjmuny.us-east-1.es.amazonaws.com/_plugin/kibana/#/discover/Steve-Slow-Train-Analysis-(2080s-and-2083s)?_g=(refreshInterval:(display:Off,section:0,value:0),time:(from:'2016-11-29 02:07:38-700',mode:absolute,to:'2016-11-29 04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7.6100000000000001E-2</v>
      </c>
      <c r="Z13" s="67">
        <f t="shared" ref="Z13:Z76" si="9">RIGHT(H13,LEN(H13)-4)/10000</f>
        <v>23.338100000000001</v>
      </c>
      <c r="AA13" s="67">
        <f t="shared" ref="AA13:AA76" si="10">ABS(Z13-Y13)</f>
        <v>23.262</v>
      </c>
      <c r="AB13" s="64" t="str">
        <f>VLOOKUP(A13,Enforcements!$C$7:$K$20,8,0)</f>
        <v>Signal based authority (5)</v>
      </c>
      <c r="AC13" s="60" t="str">
        <f>VLOOKUP(A13,Enforcements!$C$7:$E$20,3,0)</f>
        <v>SIGNAL</v>
      </c>
      <c r="AD13" s="61" t="str">
        <f t="shared" ref="AD13:AD76" si="11">IF(LEN(A13)=6,"0"&amp;A13,A13)</f>
        <v>0101-29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/stypes="app*4003*20161129*"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4003 --swversion DE.1.0.8.0 --startMP 204:761 --initTime 2016-11-29T03:07:38 --startdatetime 2016-11-29T03:15:19 --delay 1 --endMP 204:233381 --enddatetime 2016-11-29T03:52:44 --enforcementcount 1 &gt;&gt;C:\Users\stu\Documents\GitHub\eaglep3-reporting\EC\2016-11-29-refined-times.txt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{"issue":{"subject":"","project_id":79,"tracker_id":40,"status_id":1,"priority_id":2,"assigned_to_id":23,"start_date":"2016-11-29","description":"","custom_fields":[{"id":1,"name":"Subdivision","value":"EC"},{"id":4,"name":"Milepost","value":"23.3381"},{"id":17,"name":"Train ID","value":"101-29"},{"id":16,"name":"Locomotive ID","value":"4003"},{"id":130,"name":"Impact","value":""},{"id":150,"name":"Time of Event (Mountain Time)","value":"03:52:44"},{"id":151,"name":"Denver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568</v>
      </c>
      <c r="B14" s="7">
        <v>4021</v>
      </c>
      <c r="C14" s="22" t="s">
        <v>212</v>
      </c>
      <c r="D14" s="22" t="s">
        <v>761</v>
      </c>
      <c r="E14" s="13">
        <v>42703.167337962965</v>
      </c>
      <c r="F14" s="13">
        <v>42703.174513888887</v>
      </c>
      <c r="G14" s="7">
        <v>1</v>
      </c>
      <c r="H14" s="22" t="s">
        <v>192</v>
      </c>
      <c r="I14" s="13">
        <v>42703.202326388891</v>
      </c>
      <c r="J14" s="7">
        <v>1</v>
      </c>
      <c r="K14" s="109" t="str">
        <f t="shared" si="0"/>
        <v>4021/4022</v>
      </c>
      <c r="L14" s="22" t="str">
        <f>VLOOKUP(A14,'Trips&amp;Operators'!$C$1:$E$10000,3,FALSE)</f>
        <v>KILLION</v>
      </c>
      <c r="M14" s="6">
        <f t="shared" si="1"/>
        <v>2.7812500004074536E-2</v>
      </c>
      <c r="N14" s="7">
        <f t="shared" si="2"/>
        <v>40.050000005867332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03:00:58-700',mode:absolute,to:'2016-11-29 05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23.275300000000001</v>
      </c>
      <c r="Z14" s="67">
        <f t="shared" si="9"/>
        <v>1.49E-2</v>
      </c>
      <c r="AA14" s="67">
        <f t="shared" si="10"/>
        <v>23.260400000000001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0102-29</v>
      </c>
      <c r="AE14" s="91" t="str">
        <f t="shared" si="12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14" s="88" t="str">
        <f t="shared" si="13"/>
        <v>"C:\Program Files (x86)\AstroGrep\AstroGrep.exe" /spath="%USERPROFILE%\AppData\Local\Temp\OnboardLogs" /stypes="app*4021*20161129*"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4021 --swversion DE.1.0.8.0 --startMP 204:232753 --initTime 2016-11-29T04:00:58 --startdatetime 2016-11-29T04:11:18 --delay 1 --endMP 204:149 --enddatetime 2016-11-29T04:51:21 --enforcementcount 1 &gt;&gt;C:\Users\stu\Documents\GitHub\eaglep3-reporting\EC\2016-11-29-refined-times.txt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ID","value":"102-29"},{"id":16,"name":"Locomotive ID","value":"4021"},{"id":130,"name":"Impact","value":""},{"id":150,"name":"Time of Event (Mountain Time)","value":"04:51:21"},{"id":151,"name":"Denver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565</v>
      </c>
      <c r="B15" s="7">
        <v>4040</v>
      </c>
      <c r="C15" s="22" t="s">
        <v>212</v>
      </c>
      <c r="D15" s="22" t="s">
        <v>762</v>
      </c>
      <c r="E15" s="13">
        <v>42703.155856481484</v>
      </c>
      <c r="F15" s="13">
        <v>42703.157824074071</v>
      </c>
      <c r="G15" s="7">
        <v>1</v>
      </c>
      <c r="H15" s="22" t="s">
        <v>763</v>
      </c>
      <c r="I15" s="13">
        <v>42703.184062499997</v>
      </c>
      <c r="J15" s="7">
        <v>1</v>
      </c>
      <c r="K15" s="109" t="str">
        <f t="shared" si="0"/>
        <v>4039/4040</v>
      </c>
      <c r="L15" s="22" t="str">
        <f>VLOOKUP(A15,'Trips&amp;Operators'!$C$1:$E$10000,3,FALSE)</f>
        <v>MAGEE</v>
      </c>
      <c r="M15" s="6">
        <f t="shared" si="1"/>
        <v>2.6238425925839692E-2</v>
      </c>
      <c r="N15" s="7">
        <f t="shared" si="2"/>
        <v>37.783333333209157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02:44:26-700',mode:absolute,to:'2016-11-29 05:25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7.5899999999999995E-2</v>
      </c>
      <c r="Z15" s="67">
        <f t="shared" si="9"/>
        <v>23.331</v>
      </c>
      <c r="AA15" s="67">
        <f t="shared" si="10"/>
        <v>23.255099999999999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0103-29</v>
      </c>
      <c r="AE15" s="91" t="str">
        <f t="shared" si="12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15" s="88" t="str">
        <f t="shared" si="13"/>
        <v>"C:\Program Files (x86)\AstroGrep\AstroGrep.exe" /spath="%USERPROFILE%\AppData\Local\Temp\OnboardLogs" /stypes="app*4040*20161129*"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103-29 --locoid 4040 --swversion DE.1.0.8.0 --startMP 204:759 --initTime 2016-11-29T03:44:26 --startdatetime 2016-11-29T03:47:16 --delay 1 --endMP 204:233310 --enddatetime 2016-11-29T04:25:03 --enforcementcount 1 &gt;&gt;C:\Users\stu\Documents\GitHub\eaglep3-reporting\EC\2016-11-29-refined-times.txt</v>
      </c>
      <c r="AI1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{"issue":{"subject":"","project_id":79,"tracker_id":40,"status_id":1,"priority_id":2,"assigned_to_id":23,"start_date":"2016-11-29","description":"","custom_fields":[{"id":1,"name":"Subdivision","value":"EC"},{"id":4,"name":"Milepost","value":"23.331"},{"id":17,"name":"Train ID","value":"103-29"},{"id":16,"name":"Locomotive ID","value":"4040"},{"id":130,"name":"Impact","value":""},{"id":150,"name":"Time of Event (Mountain Time)","value":"04:25:03"},{"id":151,"name":"Denver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572</v>
      </c>
      <c r="B16" s="7">
        <v>4030</v>
      </c>
      <c r="C16" s="22" t="s">
        <v>212</v>
      </c>
      <c r="D16" s="22" t="s">
        <v>764</v>
      </c>
      <c r="E16" s="13">
        <v>42703.189131944448</v>
      </c>
      <c r="F16" s="13">
        <v>42703.1953587963</v>
      </c>
      <c r="G16" s="7">
        <v>2</v>
      </c>
      <c r="H16" s="22" t="s">
        <v>192</v>
      </c>
      <c r="I16" s="13">
        <v>42703.223252314812</v>
      </c>
      <c r="J16" s="7">
        <v>1</v>
      </c>
      <c r="K16" s="109" t="str">
        <f t="shared" si="0"/>
        <v>4029/4030</v>
      </c>
      <c r="L16" s="22" t="str">
        <f>VLOOKUP(A16,'Trips&amp;Operators'!$C$1:$E$10000,3,FALSE)</f>
        <v>MAGEE</v>
      </c>
      <c r="M16" s="6">
        <f t="shared" si="1"/>
        <v>2.7893518512428273E-2</v>
      </c>
      <c r="N16" s="7">
        <f t="shared" si="2"/>
        <v>40.166666657896712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03:32:21-700',mode:absolute,to:'2016-11-29 06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23.267499999999998</v>
      </c>
      <c r="Z16" s="67">
        <f t="shared" si="9"/>
        <v>1.49E-2</v>
      </c>
      <c r="AA16" s="67">
        <f t="shared" si="10"/>
        <v>23.252599999999997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0104-29</v>
      </c>
      <c r="AE16" s="91" t="str">
        <f t="shared" si="12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16" s="88" t="str">
        <f t="shared" si="13"/>
        <v>"C:\Program Files (x86)\AstroGrep\AstroGrep.exe" /spath="%USERPROFILE%\AppData\Local\Temp\OnboardLogs" /stypes="app*4030*20161129*"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104-29 --locoid 4030 --swversion DE.1.0.8.0 --startMP 204:232675 --initTime 2016-11-29T04:32:21 --startdatetime 2016-11-29T04:41:19 --delay 2 --endMP 204:149 --enddatetime 2016-11-29T05:21:29 --enforcementcount 1 &gt;&gt;C:\Users\stu\Documents\GitHub\eaglep3-reporting\EC\2016-11-29-refined-times.txt</v>
      </c>
      <c r="AI1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ID","value":"104-29"},{"id":16,"name":"Locomotive ID","value":"4030"},{"id":130,"name":"Impact","value":""},{"id":150,"name":"Time of Event (Mountain Time)","value":"05:21:29"},{"id":151,"name":"Denver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569</v>
      </c>
      <c r="B17" s="7">
        <v>4016</v>
      </c>
      <c r="C17" s="22" t="s">
        <v>212</v>
      </c>
      <c r="D17" s="22" t="s">
        <v>765</v>
      </c>
      <c r="E17" s="13">
        <v>42703.169178240743</v>
      </c>
      <c r="F17" s="13">
        <v>42703.17728009259</v>
      </c>
      <c r="G17" s="7">
        <v>1</v>
      </c>
      <c r="H17" s="22" t="s">
        <v>247</v>
      </c>
      <c r="I17" s="13">
        <v>42703.202268518522</v>
      </c>
      <c r="J17" s="7">
        <v>1</v>
      </c>
      <c r="K17" s="109" t="str">
        <f t="shared" si="0"/>
        <v>4015/4016</v>
      </c>
      <c r="L17" s="22" t="str">
        <f>VLOOKUP(A17,'Trips&amp;Operators'!$C$1:$E$10000,3,FALSE)</f>
        <v>PERKINS</v>
      </c>
      <c r="M17" s="6">
        <f t="shared" si="1"/>
        <v>2.4988425931951497E-2</v>
      </c>
      <c r="N17" s="7">
        <f t="shared" si="2"/>
        <v>35.983333342010155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03:03:37-700',mode:absolute,to:'2016-11-29 05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7.6799999999999993E-2</v>
      </c>
      <c r="Z17" s="67">
        <f t="shared" si="9"/>
        <v>23.331399999999999</v>
      </c>
      <c r="AA17" s="67">
        <f t="shared" si="10"/>
        <v>23.2546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0105-29</v>
      </c>
      <c r="AE17" s="91" t="str">
        <f t="shared" si="12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17" s="88" t="str">
        <f t="shared" si="13"/>
        <v>"C:\Program Files (x86)\AstroGrep\AstroGrep.exe" /spath="%USERPROFILE%\AppData\Local\Temp\OnboardLogs" /stypes="app*4016*20161129*"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105-29 --locoid 4016 --swversion DE.1.0.8.0 --startMP 204:768 --initTime 2016-11-29T04:03:37 --startdatetime 2016-11-29T04:15:17 --delay 1 --endMP 204:233314 --enddatetime 2016-11-29T04:51:16 --enforcementcount 1 &gt;&gt;C:\Users\stu\Documents\GitHub\eaglep3-reporting\EC\2016-11-29-refined-times.txt</v>
      </c>
      <c r="AI1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ID","value":"105-29"},{"id":16,"name":"Locomotive ID","value":"4016"},{"id":130,"name":"Impact","value":""},{"id":150,"name":"Time of Event (Mountain Time)","value":"04:51:16"},{"id":151,"name":"Denver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577</v>
      </c>
      <c r="B18" s="7">
        <v>4010</v>
      </c>
      <c r="C18" s="22" t="s">
        <v>212</v>
      </c>
      <c r="D18" s="22" t="s">
        <v>766</v>
      </c>
      <c r="E18" s="13">
        <v>42703.205405092594</v>
      </c>
      <c r="F18" s="13">
        <v>42703.216180555559</v>
      </c>
      <c r="G18" s="7">
        <v>1</v>
      </c>
      <c r="H18" s="22" t="s">
        <v>233</v>
      </c>
      <c r="I18" s="13">
        <v>42703.242893518516</v>
      </c>
      <c r="J18" s="7">
        <v>1</v>
      </c>
      <c r="K18" s="109" t="str">
        <f t="shared" si="0"/>
        <v>4009/4010</v>
      </c>
      <c r="L18" s="22" t="str">
        <f>VLOOKUP(A18,'Trips&amp;Operators'!$C$1:$E$10000,3,FALSE)</f>
        <v>PERKINS</v>
      </c>
      <c r="M18" s="6">
        <f t="shared" si="1"/>
        <v>2.6712962957390118E-2</v>
      </c>
      <c r="N18" s="7">
        <f t="shared" si="2"/>
        <v>38.46666665864177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03:55:47-700',mode:absolute,to:'2016-11-29 06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23.2681</v>
      </c>
      <c r="Z18" s="67">
        <f t="shared" si="9"/>
        <v>1.54E-2</v>
      </c>
      <c r="AA18" s="67">
        <f t="shared" si="10"/>
        <v>23.252700000000001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0106-29</v>
      </c>
      <c r="AE18" s="91" t="str">
        <f t="shared" si="12"/>
        <v>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 &amp; aws s3 cp s3://rtdc.mdm.uploadarchive.raw/RTDC4010/ "%USERPROFILE%\AppData\Local\Temp\OnboardLogs"\RTDC4010\2016-11-30 --exclude "*" --recursive --include "*20161130*" &amp; "%USERPROFILE%\Documents\GitHub\mrs-test-scripts\Headless Mode &amp; Sideloading\WalkAndUnGZ.bat" "%USERPROFILE%\AppData\Local\Temp\OnboardLogs"\RTDC4010\2016-11-30</v>
      </c>
      <c r="AF18" s="88" t="str">
        <f t="shared" si="13"/>
        <v>"C:\Program Files (x86)\AstroGrep\AstroGrep.exe" /spath="%USERPROFILE%\AppData\Local\Temp\OnboardLogs" /stypes="app*4010*20161129*"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106-29 --locoid 4010 --swversion DE.1.0.8.0 --startMP 204:232681 --initTime 2016-11-29T04:55:47 --startdatetime 2016-11-29T05:11:18 --delay 1 --endMP 204:154 --enddatetime 2016-11-29T05:49:46 --enforcementcount 1 &gt;&gt;C:\Users\stu\Documents\GitHub\eaglep3-reporting\EC\2016-11-29-refined-times.txt</v>
      </c>
      <c r="AI18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{"issue":{"subject":"","project_id":79,"tracker_id":40,"status_id":1,"priority_id":2,"assigned_to_id":23,"start_date":"2016-11-29","description":"","custom_fields":[{"id":1,"name":"Subdivision","value":"EC"},{"id":4,"name":"Milepost","value":"0.0154"},{"id":17,"name":"Train ID","value":"106-29"},{"id":16,"name":"Locomotive ID","value":"4010"},{"id":130,"name":"Impact","value":""},{"id":150,"name":"Time of Event (Mountain Time)","value":"05:49:46"},{"id":151,"name":"Denver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571</v>
      </c>
      <c r="B19" s="7">
        <v>4014</v>
      </c>
      <c r="C19" s="22" t="s">
        <v>212</v>
      </c>
      <c r="D19" s="22" t="s">
        <v>235</v>
      </c>
      <c r="E19" s="13">
        <v>42703.184293981481</v>
      </c>
      <c r="F19" s="13">
        <v>42703.187696759262</v>
      </c>
      <c r="G19" s="7">
        <v>1</v>
      </c>
      <c r="H19" s="22" t="s">
        <v>311</v>
      </c>
      <c r="I19" s="13">
        <v>42703.212546296294</v>
      </c>
      <c r="J19" s="7">
        <v>1</v>
      </c>
      <c r="K19" s="109" t="str">
        <f t="shared" si="0"/>
        <v>4013/4014</v>
      </c>
      <c r="L19" s="22" t="str">
        <f>VLOOKUP(A19,'Trips&amp;Operators'!$C$1:$E$10000,3,FALSE)</f>
        <v>SPECTOR</v>
      </c>
      <c r="M19" s="6">
        <f t="shared" si="1"/>
        <v>2.4849537032423541E-2</v>
      </c>
      <c r="N19" s="7">
        <f t="shared" si="2"/>
        <v>35.783333326689899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03:25:23-700',mode:absolute,to:'2016-11-29 06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4.4900000000000002E-2</v>
      </c>
      <c r="Z19" s="67">
        <f t="shared" si="9"/>
        <v>23.330100000000002</v>
      </c>
      <c r="AA19" s="67">
        <f t="shared" si="10"/>
        <v>23.285200000000003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0107-29</v>
      </c>
      <c r="AE19" s="91" t="str">
        <f t="shared" si="12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19" s="88" t="str">
        <f t="shared" si="13"/>
        <v>"C:\Program Files (x86)\AstroGrep\AstroGrep.exe" /spath="%USERPROFILE%\AppData\Local\Temp\OnboardLogs" /stypes="app*4014*20161129*"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107-29 --locoid 4014 --swversion DE.1.0.8.0 --startMP 204:449 --initTime 2016-11-29T04:25:23 --startdatetime 2016-11-29T04:30:17 --delay 1 --endMP 204:233301 --enddatetime 2016-11-29T05:06:04 --enforcementcount 1 &gt;&gt;C:\Users\stu\Documents\GitHub\eaglep3-reporting\EC\2016-11-29-refined-times.txt</v>
      </c>
      <c r="AI19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{"issue":{"subject":"","project_id":79,"tracker_id":40,"status_id":1,"priority_id":2,"assigned_to_id":23,"start_date":"2016-11-29","description":"","custom_fields":[{"id":1,"name":"Subdivision","value":"EC"},{"id":4,"name":"Milepost","value":"23.3301"},{"id":17,"name":"Train ID","value":"107-29"},{"id":16,"name":"Locomotive ID","value":"4014"},{"id":130,"name":"Impact","value":""},{"id":150,"name":"Time of Event (Mountain Time)","value":"05:06:04"},{"id":151,"name":"Denver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578</v>
      </c>
      <c r="B20" s="7">
        <v>4013</v>
      </c>
      <c r="C20" s="22" t="s">
        <v>212</v>
      </c>
      <c r="D20" s="22" t="s">
        <v>767</v>
      </c>
      <c r="E20" s="13">
        <v>42703.224780092591</v>
      </c>
      <c r="F20" s="13">
        <v>42703.226574074077</v>
      </c>
      <c r="G20" s="7">
        <v>1</v>
      </c>
      <c r="H20" s="22" t="s">
        <v>193</v>
      </c>
      <c r="I20" s="13">
        <v>42703.253518518519</v>
      </c>
      <c r="J20" s="7">
        <v>1</v>
      </c>
      <c r="K20" s="109" t="str">
        <f t="shared" si="0"/>
        <v>4013/4014</v>
      </c>
      <c r="L20" s="22" t="str">
        <f>VLOOKUP(A20,'Trips&amp;Operators'!$C$1:$E$10000,3,FALSE)</f>
        <v>SPECTOR</v>
      </c>
      <c r="M20" s="6">
        <f t="shared" si="1"/>
        <v>2.6944444442051463E-2</v>
      </c>
      <c r="N20" s="7">
        <f t="shared" si="2"/>
        <v>38.799999996554106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04:23:41-700',mode:absolute,to:'2016-11-29 07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23.3005</v>
      </c>
      <c r="Z20" s="67">
        <f t="shared" si="9"/>
        <v>1.43E-2</v>
      </c>
      <c r="AA20" s="67">
        <f t="shared" si="10"/>
        <v>23.286200000000001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0108-29</v>
      </c>
      <c r="AE20" s="91" t="str">
        <f t="shared" si="12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20" s="88" t="str">
        <f t="shared" si="13"/>
        <v>"C:\Program Files (x86)\AstroGrep\AstroGrep.exe" /spath="%USERPROFILE%\AppData\Local\Temp\OnboardLogs" /stypes="app*4013*20161129*"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108-29 --locoid 4013 --swversion DE.1.0.8.0 --startMP 204:233005 --initTime 2016-11-29T05:23:41 --startdatetime 2016-11-29T05:26:16 --delay 1 --endMP 204:143 --enddatetime 2016-11-29T06:05:04 --enforcementcount 1 &gt;&gt;C:\Users\stu\Documents\GitHub\eaglep3-reporting\EC\2016-11-29-refined-times.txt</v>
      </c>
      <c r="AI20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{"issue":{"subject":"","project_id":79,"tracker_id":40,"status_id":1,"priority_id":2,"assigned_to_id":23,"start_date":"2016-11-29","description":"","custom_fields":[{"id":1,"name":"Subdivision","value":"EC"},{"id":4,"name":"Milepost","value":"0.0143"},{"id":17,"name":"Train ID","value":"108-29"},{"id":16,"name":"Locomotive ID","value":"4013"},{"id":130,"name":"Impact","value":""},{"id":150,"name":"Time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573</v>
      </c>
      <c r="B21" s="7">
        <v>4031</v>
      </c>
      <c r="C21" s="22" t="s">
        <v>212</v>
      </c>
      <c r="D21" s="22" t="s">
        <v>329</v>
      </c>
      <c r="E21" s="13">
        <v>42703.192870370367</v>
      </c>
      <c r="F21" s="13">
        <v>42703.198159722226</v>
      </c>
      <c r="G21" s="7">
        <v>1</v>
      </c>
      <c r="H21" s="22" t="s">
        <v>380</v>
      </c>
      <c r="I21" s="13">
        <v>42703.223564814813</v>
      </c>
      <c r="J21" s="7">
        <v>1</v>
      </c>
      <c r="K21" s="109" t="str">
        <f t="shared" si="0"/>
        <v>4031/4032</v>
      </c>
      <c r="L21" s="22" t="str">
        <f>VLOOKUP(A21,'Trips&amp;Operators'!$C$1:$E$10000,3,FALSE)</f>
        <v>DAVIS</v>
      </c>
      <c r="M21" s="6">
        <f t="shared" si="1"/>
        <v>2.5405092586879618E-2</v>
      </c>
      <c r="N21" s="7">
        <f t="shared" si="2"/>
        <v>36.583333325106651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03:37:44-700',mode:absolute,to:'2016-11-29 06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4.58E-2</v>
      </c>
      <c r="Z21" s="67">
        <f t="shared" si="9"/>
        <v>23.332899999999999</v>
      </c>
      <c r="AA21" s="67">
        <f t="shared" si="10"/>
        <v>23.287099999999999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0109-29</v>
      </c>
      <c r="AE21" s="91" t="str">
        <f t="shared" si="12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21" s="88" t="str">
        <f t="shared" si="13"/>
        <v>"C:\Program Files (x86)\AstroGrep\AstroGrep.exe" /spath="%USERPROFILE%\AppData\Local\Temp\OnboardLogs" /stypes="app*4031*20161129*"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109-29 --locoid 4031 --swversion DE.1.0.8.0 --startMP 204:458 --initTime 2016-11-29T04:37:44 --startdatetime 2016-11-29T04:45:21 --delay 1 --endMP 204:233329 --enddatetime 2016-11-29T05:21:56 --enforcementcount 1 &gt;&gt;C:\Users\stu\Documents\GitHub\eaglep3-reporting\EC\2016-11-29-refined-times.txt</v>
      </c>
      <c r="AI21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{"issue":{"subject":"","project_id":79,"tracker_id":40,"status_id":1,"priority_id":2,"assigned_to_id":23,"start_date":"2016-11-29","description":"","custom_fields":[{"id":1,"name":"Subdivision","value":"EC"},{"id":4,"name":"Milepost","value":"23.3329"},{"id":17,"name":"Train ID","value":"109-29"},{"id":16,"name":"Locomotive ID","value":"4031"},{"id":130,"name":"Impact","value":""},{"id":150,"name":"Time of Event (Mountain Time)","value":"05:21:56"},{"id":151,"name":"Denver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580</v>
      </c>
      <c r="B22" s="7">
        <v>4032</v>
      </c>
      <c r="C22" s="22" t="s">
        <v>212</v>
      </c>
      <c r="D22" s="22" t="s">
        <v>371</v>
      </c>
      <c r="E22" s="13">
        <v>42703.231504629628</v>
      </c>
      <c r="F22" s="13">
        <v>42703.237083333333</v>
      </c>
      <c r="G22" s="7">
        <v>2</v>
      </c>
      <c r="H22" s="22" t="s">
        <v>372</v>
      </c>
      <c r="I22" s="13">
        <v>42703.265046296299</v>
      </c>
      <c r="J22" s="7">
        <v>1</v>
      </c>
      <c r="K22" s="109" t="str">
        <f t="shared" si="0"/>
        <v>4031/4032</v>
      </c>
      <c r="L22" s="22" t="str">
        <f>VLOOKUP(A22,'Trips&amp;Operators'!$C$1:$E$10000,3,FALSE)</f>
        <v>DAVIS</v>
      </c>
      <c r="M22" s="6">
        <f t="shared" si="1"/>
        <v>2.7962962965830229E-2</v>
      </c>
      <c r="N22" s="7">
        <f t="shared" si="2"/>
        <v>40.26666667079553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04:33:22-700',mode:absolute,to:'2016-11-29 07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23.301300000000001</v>
      </c>
      <c r="Z22" s="67">
        <f t="shared" si="9"/>
        <v>1.52E-2</v>
      </c>
      <c r="AA22" s="67">
        <f t="shared" si="10"/>
        <v>23.286100000000001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0110-29</v>
      </c>
      <c r="AE22" s="91" t="str">
        <f t="shared" si="12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22" s="88" t="str">
        <f t="shared" si="13"/>
        <v>"C:\Program Files (x86)\AstroGrep\AstroGrep.exe" /spath="%USERPROFILE%\AppData\Local\Temp\OnboardLogs" /stypes="app*4032*20161129*"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110-29 --locoid 4032 --swversion DE.1.0.8.0 --startMP 204:233013 --initTime 2016-11-29T05:33:22 --startdatetime 2016-11-29T05:41:24 --delay 2 --endMP 204:152 --enddatetime 2016-11-29T06:21:40 --enforcementcount 1 &gt;&gt;C:\Users\stu\Documents\GitHub\eaglep3-reporting\EC\2016-11-29-refined-times.txt</v>
      </c>
      <c r="AI22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{"issue":{"subject":"","project_id":79,"tracker_id":40,"status_id":1,"priority_id":2,"assigned_to_id":23,"start_date":"2016-11-29","description":"","custom_fields":[{"id":1,"name":"Subdivision","value":"EC"},{"id":4,"name":"Milepost","value":"0.0152"},{"id":17,"name":"Train ID","value":"110-29"},{"id":16,"name":"Locomotive ID","value":"4032"},{"id":130,"name":"Impact","value":""},{"id":150,"name":"Time of Event (Mountain Time)","value":"06:21:40"},{"id":151,"name":"Denver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575</v>
      </c>
      <c r="B23" s="7">
        <v>4003</v>
      </c>
      <c r="C23" s="22" t="s">
        <v>212</v>
      </c>
      <c r="D23" s="22" t="s">
        <v>768</v>
      </c>
      <c r="E23" s="13">
        <v>42703.204363425924</v>
      </c>
      <c r="F23" s="13">
        <v>42703.208541666667</v>
      </c>
      <c r="G23" s="7">
        <v>5</v>
      </c>
      <c r="H23" s="22" t="s">
        <v>769</v>
      </c>
      <c r="I23" s="13">
        <v>42703.233020833337</v>
      </c>
      <c r="J23" s="7">
        <v>1</v>
      </c>
      <c r="K23" s="109" t="str">
        <f t="shared" si="0"/>
        <v>4003/4004</v>
      </c>
      <c r="L23" s="22" t="str">
        <f>VLOOKUP(A23,'Trips&amp;Operators'!$C$1:$E$10000,3,FALSE)</f>
        <v>GEBRETEKLE</v>
      </c>
      <c r="M23" s="6">
        <f t="shared" si="1"/>
        <v>2.4479166670062114E-2</v>
      </c>
      <c r="N23" s="7">
        <f t="shared" si="2"/>
        <v>35.250000004889444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03:54:17-700',mode:absolute,to:'2016-11-29 06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7.9000000000000001E-2</v>
      </c>
      <c r="Z23" s="67">
        <f t="shared" si="9"/>
        <v>23.331199999999999</v>
      </c>
      <c r="AA23" s="67">
        <f t="shared" si="10"/>
        <v>23.252199999999998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0111-29</v>
      </c>
      <c r="AE23" s="91" t="str">
        <f t="shared" si="12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23" s="88" t="str">
        <f t="shared" si="13"/>
        <v>"C:\Program Files (x86)\AstroGrep\AstroGrep.exe" /spath="%USERPROFILE%\AppData\Local\Temp\OnboardLogs" /stypes="app*4003*20161129*"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111-29 --locoid 4003 --swversion DE.1.0.8.0 --startMP 204:790 --initTime 2016-11-29T04:54:17 --startdatetime 2016-11-29T05:00:18 --delay 5 --endMP 204:233312 --enddatetime 2016-11-29T05:35:33 --enforcementcount 1 &gt;&gt;C:\Users\stu\Documents\GitHub\eaglep3-reporting\EC\2016-11-29-refined-times.txt</v>
      </c>
      <c r="AI23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{"issue":{"subject":"","project_id":79,"tracker_id":40,"status_id":1,"priority_id":2,"assigned_to_id":23,"start_date":"2016-11-29","description":"","custom_fields":[{"id":1,"name":"Subdivision","value":"EC"},{"id":4,"name":"Milepost","value":"23.3312"},{"id":17,"name":"Train ID","value":"111-29"},{"id":16,"name":"Locomotive ID","value":"4003"},{"id":130,"name":"Impact","value":""},{"id":150,"name":"Time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584</v>
      </c>
      <c r="B24" s="7">
        <v>4004</v>
      </c>
      <c r="C24" s="22" t="s">
        <v>212</v>
      </c>
      <c r="D24" s="22" t="s">
        <v>323</v>
      </c>
      <c r="E24" s="13">
        <v>42703.241574074076</v>
      </c>
      <c r="F24" s="13">
        <v>42703.247418981482</v>
      </c>
      <c r="G24" s="7">
        <v>1</v>
      </c>
      <c r="H24" s="22" t="s">
        <v>258</v>
      </c>
      <c r="I24" s="13">
        <v>42703.273576388892</v>
      </c>
      <c r="J24" s="7">
        <v>1</v>
      </c>
      <c r="K24" s="109" t="str">
        <f t="shared" si="0"/>
        <v>4003/4004</v>
      </c>
      <c r="L24" s="22" t="str">
        <f>VLOOKUP(A24,'Trips&amp;Operators'!$C$1:$E$10000,3,FALSE)</f>
        <v>GEBRETEKLE</v>
      </c>
      <c r="M24" s="6">
        <f t="shared" si="1"/>
        <v>2.6157407410209998E-2</v>
      </c>
      <c r="N24" s="7">
        <f t="shared" si="2"/>
        <v>37.666666670702398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04:47:52-700',mode:absolute,to:'2016-11-29 07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23.298999999999999</v>
      </c>
      <c r="Z24" s="67">
        <f t="shared" si="9"/>
        <v>1.3899999999999999E-2</v>
      </c>
      <c r="AA24" s="67">
        <f t="shared" si="10"/>
        <v>23.2851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0112-29</v>
      </c>
      <c r="AE24" s="91" t="str">
        <f t="shared" si="12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24" s="88" t="str">
        <f t="shared" si="13"/>
        <v>"C:\Program Files (x86)\AstroGrep\AstroGrep.exe" /spath="%USERPROFILE%\AppData\Local\Temp\OnboardLogs" /stypes="app*4004*20161129*"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112-29 --locoid 4004 --swversion DE.1.0.8.0 --startMP 204:232990 --initTime 2016-11-29T05:47:52 --startdatetime 2016-11-29T05:56:17 --delay 1 --endMP 204:139 --enddatetime 2016-11-29T06:33:57 --enforcementcount 1 &gt;&gt;C:\Users\stu\Documents\GitHub\eaglep3-reporting\EC\2016-11-29-refined-times.txt</v>
      </c>
      <c r="AI24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{"issue":{"subject":"","project_id":79,"tracker_id":40,"status_id":1,"priority_id":2,"assigned_to_id":23,"start_date":"2016-11-29","description":"","custom_fields":[{"id":1,"name":"Subdivision","value":"EC"},{"id":4,"name":"Milepost","value":"0.0139"},{"id":17,"name":"Train ID","value":"112-29"},{"id":16,"name":"Locomotive ID","value":"4004"},{"id":130,"name":"Impact","value":""},{"id":150,"name":"Time of Event (Mountain Time)","value":"06:33:57"},{"id":151,"name":"Denver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532</v>
      </c>
      <c r="B25" s="7">
        <v>4022</v>
      </c>
      <c r="C25" s="22" t="s">
        <v>212</v>
      </c>
      <c r="D25" s="22" t="s">
        <v>194</v>
      </c>
      <c r="E25" s="13">
        <v>42703.207175925927</v>
      </c>
      <c r="F25" s="13">
        <v>42703.218993055554</v>
      </c>
      <c r="G25" s="7">
        <v>1</v>
      </c>
      <c r="H25" s="22" t="s">
        <v>387</v>
      </c>
      <c r="I25" s="13">
        <v>42703.245520833334</v>
      </c>
      <c r="J25" s="7">
        <v>1</v>
      </c>
      <c r="K25" s="109" t="str">
        <f t="shared" si="0"/>
        <v>4021/4022</v>
      </c>
      <c r="L25" s="22" t="str">
        <f>VLOOKUP(A25,'Trips&amp;Operators'!$C$1:$E$10000,3,FALSE)</f>
        <v>KILLION</v>
      </c>
      <c r="M25" s="6">
        <f t="shared" si="1"/>
        <v>2.6527777779847383E-2</v>
      </c>
      <c r="N25" s="7">
        <f t="shared" si="2"/>
        <v>38.200000002980232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03:58:20-700',mode:absolute,to:'2016-11-29 06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4.4699999999999997E-2</v>
      </c>
      <c r="Z25" s="67">
        <f t="shared" si="9"/>
        <v>23.328499999999998</v>
      </c>
      <c r="AA25" s="67">
        <f t="shared" si="10"/>
        <v>23.283799999999999</v>
      </c>
      <c r="AB25" s="64" t="str">
        <f>VLOOKUP(A25,Enforcements!$C$7:$K$20,8,0)</f>
        <v>Bulletin (2)</v>
      </c>
      <c r="AC25" s="60" t="str">
        <f>VLOOKUP(A25,Enforcements!$C$7:$E$20,3,0)</f>
        <v>GRADE CROSSING</v>
      </c>
      <c r="AD25" s="61" t="str">
        <f t="shared" si="11"/>
        <v>0113-29</v>
      </c>
      <c r="AE25" s="91" t="str">
        <f t="shared" si="12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25" s="88" t="str">
        <f t="shared" si="13"/>
        <v>"C:\Program Files (x86)\AstroGrep\AstroGrep.exe" /spath="%USERPROFILE%\AppData\Local\Temp\OnboardLogs" /stypes="app*4022*20161129*"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113-29 --locoid 4022 --swversion DE.1.0.8.0 --startMP 204:447 --initTime 2016-11-29T04:58:20 --startdatetime 2016-11-29T05:15:21 --delay 1 --endMP 204:233285 --enddatetime 2016-11-29T05:53:33 --enforcementcount 1 &gt;&gt;C:\Users\stu\Documents\GitHub\eaglep3-reporting\EC\2016-11-29-refined-times.txt</v>
      </c>
      <c r="AI2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{"issue":{"subject":"","project_id":79,"tracker_id":40,"status_id":1,"priority_id":2,"assigned_to_id":23,"start_date":"2016-11-29","description":"","custom_fields":[{"id":1,"name":"Subdivision","value":"EC"},{"id":4,"name":"Milepost","value":"23.3285"},{"id":17,"name":"Train ID","value":"113-29"},{"id":16,"name":"Locomotive ID","value":"4022"},{"id":130,"name":"Impact","value":""},{"id":150,"name":"Time of Event (Mountain Time)","value":"05:53:33"},{"id":151,"name":"Denver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589</v>
      </c>
      <c r="B26" s="7">
        <v>4021</v>
      </c>
      <c r="C26" s="22" t="s">
        <v>212</v>
      </c>
      <c r="D26" s="22" t="s">
        <v>275</v>
      </c>
      <c r="E26" s="13">
        <v>42703.256006944444</v>
      </c>
      <c r="F26" s="13">
        <v>42703.257835648146</v>
      </c>
      <c r="G26" s="7">
        <v>1</v>
      </c>
      <c r="H26" s="22" t="s">
        <v>246</v>
      </c>
      <c r="I26" s="13">
        <v>42703.284675925926</v>
      </c>
      <c r="J26" s="7">
        <v>1</v>
      </c>
      <c r="K26" s="109" t="str">
        <f t="shared" si="0"/>
        <v>4021/4022</v>
      </c>
      <c r="L26" s="22" t="str">
        <f>VLOOKUP(A26,'Trips&amp;Operators'!$C$1:$E$10000,3,FALSE)</f>
        <v>KILLION</v>
      </c>
      <c r="M26" s="6">
        <f t="shared" si="1"/>
        <v>2.6840277780138422E-2</v>
      </c>
      <c r="N26" s="7">
        <f t="shared" si="2"/>
        <v>38.650000003399327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05:08:39-700',mode:absolute,to:'2016-11-29 07:49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23.2989</v>
      </c>
      <c r="Z26" s="67">
        <f t="shared" si="9"/>
        <v>1.6500000000000001E-2</v>
      </c>
      <c r="AA26" s="67">
        <f t="shared" si="10"/>
        <v>23.282399999999999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0114-29</v>
      </c>
      <c r="AE26" s="91" t="str">
        <f t="shared" si="12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26" s="88" t="str">
        <f t="shared" si="13"/>
        <v>"C:\Program Files (x86)\AstroGrep\AstroGrep.exe" /spath="%USERPROFILE%\AppData\Local\Temp\OnboardLogs" /stypes="app*4021*20161129*"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114-29 --locoid 4021 --swversion DE.1.0.8.0 --startMP 204:232989 --initTime 2016-11-29T06:08:39 --startdatetime 2016-11-29T06:11:17 --delay 1 --endMP 204:165 --enddatetime 2016-11-29T06:49:56 --enforcementcount 1 &gt;&gt;C:\Users\stu\Documents\GitHub\eaglep3-reporting\EC\2016-11-29-refined-times.txt</v>
      </c>
      <c r="AI2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{"issue":{"subject":"","project_id":79,"tracker_id":40,"status_id":1,"priority_id":2,"assigned_to_id":23,"start_date":"2016-11-29","description":"","custom_fields":[{"id":1,"name":"Subdivision","value":"EC"},{"id":4,"name":"Milepost","value":"0.0165"},{"id":17,"name":"Train ID","value":"114-29"},{"id":16,"name":"Locomotive ID","value":"4021"},{"id":130,"name":"Impact","value":""},{"id":150,"name":"Time of Event (Mountain Time)","value":"06:49:56"},{"id":151,"name":"Denver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579</v>
      </c>
      <c r="B27" s="7">
        <v>4040</v>
      </c>
      <c r="C27" s="22" t="s">
        <v>212</v>
      </c>
      <c r="D27" s="22" t="s">
        <v>770</v>
      </c>
      <c r="E27" s="13">
        <v>42703.226539351854</v>
      </c>
      <c r="F27" s="13">
        <v>42703.229537037034</v>
      </c>
      <c r="G27" s="7">
        <v>1</v>
      </c>
      <c r="H27" s="22" t="s">
        <v>379</v>
      </c>
      <c r="I27" s="13">
        <v>42703.253541666665</v>
      </c>
      <c r="J27" s="7">
        <v>1</v>
      </c>
      <c r="K27" s="109" t="str">
        <f t="shared" si="0"/>
        <v>4039/4040</v>
      </c>
      <c r="L27" s="22" t="str">
        <f>VLOOKUP(A27,'Trips&amp;Operators'!$C$1:$E$10000,3,FALSE)</f>
        <v>SAFIEF</v>
      </c>
      <c r="M27" s="6">
        <f t="shared" si="1"/>
        <v>2.400462963123573E-2</v>
      </c>
      <c r="N27" s="7">
        <f t="shared" si="2"/>
        <v>34.566666668979451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04:26:13-700',mode:absolute,to:'2016-11-29 07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7.7700000000000005E-2</v>
      </c>
      <c r="Z27" s="67">
        <f t="shared" si="9"/>
        <v>23.3276</v>
      </c>
      <c r="AA27" s="67">
        <f t="shared" si="10"/>
        <v>23.2499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0115-29</v>
      </c>
      <c r="AE27" s="91" t="str">
        <f t="shared" si="12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27" s="88" t="str">
        <f t="shared" si="13"/>
        <v>"C:\Program Files (x86)\AstroGrep\AstroGrep.exe" /spath="%USERPROFILE%\AppData\Local\Temp\OnboardLogs" /stypes="app*4040*20161129*"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115-29 --locoid 4040 --swversion DE.1.0.8.0 --startMP 204:777 --initTime 2016-11-29T05:26:13 --startdatetime 2016-11-29T05:30:32 --delay 1 --endMP 204:233276 --enddatetime 2016-11-29T06:05:06 --enforcementcount 1 &gt;&gt;C:\Users\stu\Documents\GitHub\eaglep3-reporting\EC\2016-11-29-refined-times.txt</v>
      </c>
      <c r="AI2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{"issue":{"subject":"","project_id":79,"tracker_id":40,"status_id":1,"priority_id":2,"assigned_to_id":23,"start_date":"2016-11-29","description":"","custom_fields":[{"id":1,"name":"Subdivision","value":"EC"},{"id":4,"name":"Milepost","value":"23.3276"},{"id":17,"name":"Train ID","value":"115-29"},{"id":16,"name":"Locomotive ID","value":"4040"},{"id":130,"name":"Impact","value":""},{"id":150,"name":"Time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591</v>
      </c>
      <c r="B28" s="7">
        <v>4039</v>
      </c>
      <c r="C28" s="22" t="s">
        <v>212</v>
      </c>
      <c r="D28" s="22" t="s">
        <v>771</v>
      </c>
      <c r="E28" s="13">
        <v>42703.264421296299</v>
      </c>
      <c r="F28" s="13">
        <v>42703.268252314818</v>
      </c>
      <c r="G28" s="7">
        <v>2</v>
      </c>
      <c r="H28" s="22" t="s">
        <v>340</v>
      </c>
      <c r="I28" s="13">
        <v>42703.293969907405</v>
      </c>
      <c r="J28" s="7">
        <v>1</v>
      </c>
      <c r="K28" s="109" t="str">
        <f t="shared" si="0"/>
        <v>4039/4040</v>
      </c>
      <c r="L28" s="22" t="str">
        <f>VLOOKUP(A28,'Trips&amp;Operators'!$C$1:$E$10000,3,FALSE)</f>
        <v>SAFIEF</v>
      </c>
      <c r="M28" s="6">
        <f t="shared" si="1"/>
        <v>2.5717592587170657E-2</v>
      </c>
      <c r="N28" s="7">
        <f t="shared" si="2"/>
        <v>37.033333325525746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05:20:46-700',mode:absolute,to:'2016-11-29 08:03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23.295300000000001</v>
      </c>
      <c r="Z28" s="67">
        <f t="shared" si="9"/>
        <v>1.34E-2</v>
      </c>
      <c r="AA28" s="67">
        <f t="shared" si="10"/>
        <v>23.2819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0116-29</v>
      </c>
      <c r="AE28" s="91" t="str">
        <f t="shared" si="12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28" s="88" t="str">
        <f t="shared" si="13"/>
        <v>"C:\Program Files (x86)\AstroGrep\AstroGrep.exe" /spath="%USERPROFILE%\AppData\Local\Temp\OnboardLogs" /stypes="app*4039*20161129*"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116-29 --locoid 4039 --swversion DE.1.0.8.0 --startMP 204:232953 --initTime 2016-11-29T06:20:46 --startdatetime 2016-11-29T06:26:17 --delay 2 --endMP 204:134 --enddatetime 2016-11-29T07:03:19 --enforcementcount 1 &gt;&gt;C:\Users\stu\Documents\GitHub\eaglep3-reporting\EC\2016-11-29-refined-times.txt</v>
      </c>
      <c r="AI28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{"issue":{"subject":"","project_id":79,"tracker_id":40,"status_id":1,"priority_id":2,"assigned_to_id":23,"start_date":"2016-11-29","description":"","custom_fields":[{"id":1,"name":"Subdivision","value":"EC"},{"id":4,"name":"Milepost","value":"0.0134"},{"id":17,"name":"Train ID","value":"116-29"},{"id":16,"name":"Locomotive ID","value":"4039"},{"id":130,"name":"Impact","value":""},{"id":150,"name":"Time of Event (Mountain Time)","value":"07:03:19"},{"id":151,"name":"Denver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581</v>
      </c>
      <c r="B29" s="7">
        <v>4029</v>
      </c>
      <c r="C29" s="22" t="s">
        <v>212</v>
      </c>
      <c r="D29" s="22" t="s">
        <v>370</v>
      </c>
      <c r="E29" s="13">
        <v>42703.235219907408</v>
      </c>
      <c r="F29" s="13">
        <v>42703.23978009259</v>
      </c>
      <c r="G29" s="7">
        <v>1</v>
      </c>
      <c r="H29" s="22" t="s">
        <v>350</v>
      </c>
      <c r="I29" s="13">
        <v>42703.265636574077</v>
      </c>
      <c r="J29" s="7">
        <v>1</v>
      </c>
      <c r="K29" s="109" t="str">
        <f t="shared" si="0"/>
        <v>4029/4030</v>
      </c>
      <c r="L29" s="22" t="str">
        <f>VLOOKUP(A29,'Trips&amp;Operators'!$C$1:$E$10000,3,FALSE)</f>
        <v>MAGEE</v>
      </c>
      <c r="M29" s="6">
        <f t="shared" si="1"/>
        <v>2.5856481486698613E-2</v>
      </c>
      <c r="N29" s="7">
        <f t="shared" si="2"/>
        <v>37.233333340846002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04:38:43-700',mode:absolute,to:'2016-11-29 07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4.3799999999999999E-2</v>
      </c>
      <c r="Z29" s="67">
        <f t="shared" si="9"/>
        <v>23.329699999999999</v>
      </c>
      <c r="AA29" s="67">
        <f t="shared" si="10"/>
        <v>23.285899999999998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0117-29</v>
      </c>
      <c r="AE29" s="91" t="str">
        <f t="shared" si="12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29" s="88" t="str">
        <f t="shared" si="13"/>
        <v>"C:\Program Files (x86)\AstroGrep\AstroGrep.exe" /spath="%USERPROFILE%\AppData\Local\Temp\OnboardLogs" /stypes="app*4029*20161129*"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117-29 --locoid 4029 --swversion DE.1.0.8.0 --startMP 204:438 --initTime 2016-11-29T05:38:43 --startdatetime 2016-11-29T05:45:17 --delay 1 --endMP 204:233297 --enddatetime 2016-11-29T06:22:31 --enforcementcount 1 &gt;&gt;C:\Users\stu\Documents\GitHub\eaglep3-reporting\EC\2016-11-29-refined-times.txt</v>
      </c>
      <c r="AI29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{"issue":{"subject":"","project_id":79,"tracker_id":40,"status_id":1,"priority_id":2,"assigned_to_id":23,"start_date":"2016-11-29","description":"","custom_fields":[{"id":1,"name":"Subdivision","value":"EC"},{"id":4,"name":"Milepost","value":"23.3297"},{"id":17,"name":"Train ID","value":"117-29"},{"id":16,"name":"Locomotive ID","value":"4029"},{"id":130,"name":"Impact","value":""},{"id":150,"name":"Time of Event (Mountain Time)","value":"06:22:31"},{"id":151,"name":"Denver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594</v>
      </c>
      <c r="B30" s="7">
        <v>4030</v>
      </c>
      <c r="C30" s="22" t="s">
        <v>212</v>
      </c>
      <c r="D30" s="22" t="s">
        <v>206</v>
      </c>
      <c r="E30" s="13">
        <v>42703.272303240738</v>
      </c>
      <c r="F30" s="13">
        <v>42703.278611111113</v>
      </c>
      <c r="G30" s="7">
        <v>1</v>
      </c>
      <c r="H30" s="22" t="s">
        <v>233</v>
      </c>
      <c r="I30" s="13">
        <v>42703.305081018516</v>
      </c>
      <c r="J30" s="7">
        <v>1</v>
      </c>
      <c r="K30" s="109" t="str">
        <f t="shared" si="0"/>
        <v>4029/4030</v>
      </c>
      <c r="L30" s="22" t="str">
        <f>VLOOKUP(A30,'Trips&amp;Operators'!$C$1:$E$10000,3,FALSE)</f>
        <v>MAGEE</v>
      </c>
      <c r="M30" s="6">
        <f t="shared" si="1"/>
        <v>2.6469907403225079E-2</v>
      </c>
      <c r="N30" s="7">
        <f t="shared" si="2"/>
        <v>38.116666660644114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05:32:07-700',mode:absolute,to:'2016-11-29 08:19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23.297699999999999</v>
      </c>
      <c r="Z30" s="67">
        <f t="shared" si="9"/>
        <v>1.54E-2</v>
      </c>
      <c r="AA30" s="67">
        <f t="shared" si="10"/>
        <v>23.282299999999999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0118-29</v>
      </c>
      <c r="AE30" s="91" t="str">
        <f t="shared" si="12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30" s="88" t="str">
        <f t="shared" si="13"/>
        <v>"C:\Program Files (x86)\AstroGrep\AstroGrep.exe" /spath="%USERPROFILE%\AppData\Local\Temp\OnboardLogs" /stypes="app*4030*20161129*"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118-29 --locoid 4030 --swversion DE.1.0.8.0 --startMP 204:232977 --initTime 2016-11-29T06:32:07 --startdatetime 2016-11-29T06:41:12 --delay 1 --endMP 204:154 --enddatetime 2016-11-29T07:19:19 --enforcementcount 1 &gt;&gt;C:\Users\stu\Documents\GitHub\eaglep3-reporting\EC\2016-11-29-refined-times.txt</v>
      </c>
      <c r="AI30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{"issue":{"subject":"","project_id":79,"tracker_id":40,"status_id":1,"priority_id":2,"assigned_to_id":23,"start_date":"2016-11-29","description":"","custom_fields":[{"id":1,"name":"Subdivision","value":"EC"},{"id":4,"name":"Milepost","value":"0.0154"},{"id":17,"name":"Train ID","value":"118-29"},{"id":16,"name":"Locomotive ID","value":"4030"},{"id":130,"name":"Impact","value":""},{"id":150,"name":"Time of Event (Mountain Time)","value":"07:19:19"},{"id":151,"name":"Denver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587</v>
      </c>
      <c r="B31" s="7">
        <v>4016</v>
      </c>
      <c r="C31" s="22" t="s">
        <v>212</v>
      </c>
      <c r="D31" s="22" t="s">
        <v>772</v>
      </c>
      <c r="E31" s="13">
        <v>42703.248298611114</v>
      </c>
      <c r="F31" s="13">
        <v>42703.250428240739</v>
      </c>
      <c r="G31" s="7">
        <v>1</v>
      </c>
      <c r="H31" s="22" t="s">
        <v>773</v>
      </c>
      <c r="I31" s="13">
        <v>42703.275462962964</v>
      </c>
      <c r="J31" s="7">
        <v>1</v>
      </c>
      <c r="K31" s="109" t="str">
        <f t="shared" si="0"/>
        <v>4015/4016</v>
      </c>
      <c r="L31" s="22" t="str">
        <f>VLOOKUP(A31,'Trips&amp;Operators'!$C$1:$E$10000,3,FALSE)</f>
        <v>PERKINS</v>
      </c>
      <c r="M31" s="6">
        <f t="shared" si="1"/>
        <v>2.5034722224518191E-2</v>
      </c>
      <c r="N31" s="7">
        <f t="shared" si="2"/>
        <v>36.050000003306195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04:57:33-700',mode:absolute,to:'2016-11-29 07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7.4300000000000005E-2</v>
      </c>
      <c r="Z31" s="67">
        <f t="shared" si="9"/>
        <v>23.331600000000002</v>
      </c>
      <c r="AA31" s="67">
        <f t="shared" si="10"/>
        <v>23.257300000000001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0119-29</v>
      </c>
      <c r="AE31" s="91" t="str">
        <f t="shared" si="12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31" s="88" t="str">
        <f t="shared" si="13"/>
        <v>"C:\Program Files (x86)\AstroGrep\AstroGrep.exe" /spath="%USERPROFILE%\AppData\Local\Temp\OnboardLogs" /stypes="app*4016*20161129*"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119-29 --locoid 4016 --swversion DE.1.0.8.0 --startMP 204:743 --initTime 2016-11-29T05:57:33 --startdatetime 2016-11-29T06:00:37 --delay 1 --endMP 204:233316 --enddatetime 2016-11-29T06:36:40 --enforcementcount 1 &gt;&gt;C:\Users\stu\Documents\GitHub\eaglep3-reporting\EC\2016-11-29-refined-times.txt</v>
      </c>
      <c r="AI31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{"issue":{"subject":"","project_id":79,"tracker_id":40,"status_id":1,"priority_id":2,"assigned_to_id":23,"start_date":"2016-11-29","description":"","custom_fields":[{"id":1,"name":"Subdivision","value":"EC"},{"id":4,"name":"Milepost","value":"23.3316"},{"id":17,"name":"Train ID","value":"119-29"},{"id":16,"name":"Locomotive ID","value":"4016"},{"id":130,"name":"Impact","value":""},{"id":150,"name":"Time of Event (Mountain Time)","value":"06:36:40"},{"id":151,"name":"Denver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535</v>
      </c>
      <c r="B32" s="7">
        <v>4015</v>
      </c>
      <c r="C32" s="22" t="s">
        <v>212</v>
      </c>
      <c r="D32" s="22" t="s">
        <v>323</v>
      </c>
      <c r="E32" s="13">
        <v>42703.288530092592</v>
      </c>
      <c r="F32" s="13">
        <v>42703.289780092593</v>
      </c>
      <c r="G32" s="7">
        <v>1</v>
      </c>
      <c r="H32" s="22" t="s">
        <v>214</v>
      </c>
      <c r="I32" s="13">
        <v>42703.316967592589</v>
      </c>
      <c r="J32" s="7">
        <v>1</v>
      </c>
      <c r="K32" s="109" t="str">
        <f t="shared" si="0"/>
        <v>4015/4016</v>
      </c>
      <c r="L32" s="22" t="str">
        <f>VLOOKUP(A32,'Trips&amp;Operators'!$C$1:$E$10000,3,FALSE)</f>
        <v>PERKINS</v>
      </c>
      <c r="M32" s="6">
        <f t="shared" si="1"/>
        <v>2.7187499996216502E-2</v>
      </c>
      <c r="N32" s="7">
        <f t="shared" si="2"/>
        <v>39.149999994551763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05:55:29-700',mode:absolute,to:'2016-11-29 08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23.298999999999999</v>
      </c>
      <c r="Z32" s="67">
        <f t="shared" si="9"/>
        <v>1.5800000000000002E-2</v>
      </c>
      <c r="AA32" s="67">
        <f t="shared" si="10"/>
        <v>23.283200000000001</v>
      </c>
      <c r="AB32" s="64" t="str">
        <f>VLOOKUP(A32,Enforcements!$C$7:$K$20,8,0)</f>
        <v>Bulletin (2)</v>
      </c>
      <c r="AC32" s="60" t="str">
        <f>VLOOKUP(A32,Enforcements!$C$7:$E$20,3,0)</f>
        <v>GRADE CROSSING</v>
      </c>
      <c r="AD32" s="61" t="str">
        <f t="shared" si="11"/>
        <v>0120-29</v>
      </c>
      <c r="AE32" s="91" t="str">
        <f t="shared" si="12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32" s="88" t="str">
        <f t="shared" si="13"/>
        <v>"C:\Program Files (x86)\AstroGrep\AstroGrep.exe" /spath="%USERPROFILE%\AppData\Local\Temp\OnboardLogs" /stypes="app*4015*20161129*"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120-29 --locoid 4015 --swversion DE.1.0.8.0 --startMP 204:232990 --initTime 2016-11-29T06:55:29 --startdatetime 2016-11-29T06:57:17 --delay 1 --endMP 204:158 --enddatetime 2016-11-29T07:36:26 --enforcementcount 1 &gt;&gt;C:\Users\stu\Documents\GitHub\eaglep3-reporting\EC\2016-11-29-refined-times.txt</v>
      </c>
      <c r="AI32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{"issue":{"subject":"","project_id":79,"tracker_id":40,"status_id":1,"priority_id":2,"assigned_to_id":23,"start_date":"2016-11-29","description":"","custom_fields":[{"id":1,"name":"Subdivision","value":"EC"},{"id":4,"name":"Milepost","value":"0.0158"},{"id":17,"name":"Train ID","value":"120-29"},{"id":16,"name":"Locomotive ID","value":"4015"},{"id":130,"name":"Impact","value":""},{"id":150,"name":"Time of Event (Mountain Time)","value":"07:36:26"},{"id":151,"name":"Denver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588</v>
      </c>
      <c r="B33" s="7">
        <v>4014</v>
      </c>
      <c r="C33" s="22" t="s">
        <v>212</v>
      </c>
      <c r="D33" s="22" t="s">
        <v>256</v>
      </c>
      <c r="E33" s="13">
        <v>42703.256273148145</v>
      </c>
      <c r="F33" s="13">
        <v>42703.260601851849</v>
      </c>
      <c r="G33" s="7">
        <v>1</v>
      </c>
      <c r="H33" s="22" t="s">
        <v>774</v>
      </c>
      <c r="I33" s="13">
        <v>42703.28528935185</v>
      </c>
      <c r="J33" s="7">
        <v>1</v>
      </c>
      <c r="K33" s="109" t="str">
        <f t="shared" si="0"/>
        <v>4013/4014</v>
      </c>
      <c r="L33" s="22" t="str">
        <f>VLOOKUP(A33,'Trips&amp;Operators'!$C$1:$E$10000,3,FALSE)</f>
        <v>SPECTOR</v>
      </c>
      <c r="M33" s="6">
        <f t="shared" si="1"/>
        <v>2.4687500001164153E-2</v>
      </c>
      <c r="N33" s="7">
        <f t="shared" si="2"/>
        <v>35.550000001676381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05:09:02-700',mode:absolute,to:'2016-11-29 07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4.5999999999999999E-2</v>
      </c>
      <c r="Z33" s="67">
        <f t="shared" si="9"/>
        <v>23.332100000000001</v>
      </c>
      <c r="AA33" s="67">
        <f t="shared" si="10"/>
        <v>23.286100000000001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0121-29</v>
      </c>
      <c r="AE33" s="91" t="str">
        <f t="shared" si="12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33" s="88" t="str">
        <f t="shared" si="13"/>
        <v>"C:\Program Files (x86)\AstroGrep\AstroGrep.exe" /spath="%USERPROFILE%\AppData\Local\Temp\OnboardLogs" /stypes="app*4014*20161129*"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121-29 --locoid 4014 --swversion DE.1.0.8.0 --startMP 204:460 --initTime 2016-11-29T06:09:02 --startdatetime 2016-11-29T06:15:16 --delay 1 --endMP 204:233321 --enddatetime 2016-11-29T06:50:49 --enforcementcount 1 &gt;&gt;C:\Users\stu\Documents\GitHub\eaglep3-reporting\EC\2016-11-29-refined-times.txt</v>
      </c>
      <c r="AI33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{"issue":{"subject":"","project_id":79,"tracker_id":40,"status_id":1,"priority_id":2,"assigned_to_id":23,"start_date":"2016-11-29","description":"","custom_fields":[{"id":1,"name":"Subdivision","value":"EC"},{"id":4,"name":"Milepost","value":"23.3321"},{"id":17,"name":"Train ID","value":"121-29"},{"id":16,"name":"Locomotive ID","value":"4014"},{"id":130,"name":"Impact","value":""},{"id":150,"name":"Time of Event (Mountain Time)","value":"06:50:49"},{"id":151,"name":"Denver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600</v>
      </c>
      <c r="B34" s="7">
        <v>4013</v>
      </c>
      <c r="C34" s="22" t="s">
        <v>212</v>
      </c>
      <c r="D34" s="22" t="s">
        <v>344</v>
      </c>
      <c r="E34" s="13">
        <v>42703.293796296297</v>
      </c>
      <c r="F34" s="13">
        <v>42703.299629629626</v>
      </c>
      <c r="G34" s="7">
        <v>1</v>
      </c>
      <c r="H34" s="22" t="s">
        <v>219</v>
      </c>
      <c r="I34" s="13">
        <v>42703.325416666667</v>
      </c>
      <c r="J34" s="7">
        <v>1</v>
      </c>
      <c r="K34" s="109" t="str">
        <f t="shared" si="0"/>
        <v>4013/4014</v>
      </c>
      <c r="L34" s="22" t="str">
        <f>VLOOKUP(A34,'Trips&amp;Operators'!$C$1:$E$10000,3,FALSE)</f>
        <v>SPECTOR</v>
      </c>
      <c r="M34" s="6">
        <f t="shared" si="1"/>
        <v>2.5787037040572613E-2</v>
      </c>
      <c r="N34" s="7">
        <f t="shared" si="2"/>
        <v>37.133333338424563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06:03:04-700',mode:absolute,to:'2016-11-29 08:48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23.3002</v>
      </c>
      <c r="Z34" s="67">
        <f t="shared" si="9"/>
        <v>1.4999999999999999E-2</v>
      </c>
      <c r="AA34" s="67">
        <f t="shared" si="10"/>
        <v>23.2852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0122-29</v>
      </c>
      <c r="AE34" s="91" t="str">
        <f t="shared" si="12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34" s="88" t="str">
        <f t="shared" si="13"/>
        <v>"C:\Program Files (x86)\AstroGrep\AstroGrep.exe" /spath="%USERPROFILE%\AppData\Local\Temp\OnboardLogs" /stypes="app*4013*20161129*"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122-29 --locoid 4013 --swversion DE.1.0.8.0 --startMP 204:233002 --initTime 2016-11-29T07:03:04 --startdatetime 2016-11-29T07:11:28 --delay 1 --endMP 204:150 --enddatetime 2016-11-29T07:48:36 --enforcementcount 1 &gt;&gt;C:\Users\stu\Documents\GitHub\eaglep3-reporting\EC\2016-11-29-refined-times.txt</v>
      </c>
      <c r="AI34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{"issue":{"subject":"","project_id":79,"tracker_id":40,"status_id":1,"priority_id":2,"assigned_to_id":23,"start_date":"2016-11-29","description":"","custom_fields":[{"id":1,"name":"Subdivision","value":"EC"},{"id":4,"name":"Milepost","value":"0.015"},{"id":17,"name":"Train ID","value":"122-29"},{"id":16,"name":"Locomotive ID","value":"4013"},{"id":130,"name":"Impact","value":""},{"id":150,"name":"Time of Event (Mountain Time)","value":"07:48:36"},{"id":151,"name":"Denver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592</v>
      </c>
      <c r="B35" s="7">
        <v>4031</v>
      </c>
      <c r="C35" s="22" t="s">
        <v>212</v>
      </c>
      <c r="D35" s="22" t="s">
        <v>775</v>
      </c>
      <c r="E35" s="13">
        <v>42703.26766203704</v>
      </c>
      <c r="F35" s="13">
        <v>42703.27103009259</v>
      </c>
      <c r="G35" s="7">
        <v>1</v>
      </c>
      <c r="H35" s="22" t="s">
        <v>769</v>
      </c>
      <c r="I35" s="13">
        <v>42703.295486111114</v>
      </c>
      <c r="J35" s="7">
        <v>1</v>
      </c>
      <c r="K35" s="109" t="str">
        <f t="shared" si="0"/>
        <v>4031/4032</v>
      </c>
      <c r="L35" s="22" t="str">
        <f>VLOOKUP(A35,'Trips&amp;Operators'!$C$1:$E$10000,3,FALSE)</f>
        <v>BEAM</v>
      </c>
      <c r="M35" s="6">
        <f t="shared" si="1"/>
        <v>2.4456018523778766E-2</v>
      </c>
      <c r="N35" s="7">
        <f t="shared" si="2"/>
        <v>35.216666674241424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05:25:26-700',mode:absolute,to:'2016-11-29 08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4.3999999999999997E-2</v>
      </c>
      <c r="Z35" s="67">
        <f t="shared" si="9"/>
        <v>23.331199999999999</v>
      </c>
      <c r="AA35" s="67">
        <f t="shared" si="10"/>
        <v>23.287199999999999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0123-29</v>
      </c>
      <c r="AE35" s="91" t="str">
        <f t="shared" si="12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35" s="88" t="str">
        <f t="shared" si="13"/>
        <v>"C:\Program Files (x86)\AstroGrep\AstroGrep.exe" /spath="%USERPROFILE%\AppData\Local\Temp\OnboardLogs" /stypes="app*4031*20161129*"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123-29 --locoid 4031 --swversion DE.1.0.8.0 --startMP 204:440 --initTime 2016-11-29T06:25:26 --startdatetime 2016-11-29T06:30:17 --delay 1 --endMP 204:233312 --enddatetime 2016-11-29T07:05:30 --enforcementcount 1 &gt;&gt;C:\Users\stu\Documents\GitHub\eaglep3-reporting\EC\2016-11-29-refined-times.txt</v>
      </c>
      <c r="AI3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{"issue":{"subject":"","project_id":79,"tracker_id":40,"status_id":1,"priority_id":2,"assigned_to_id":23,"start_date":"2016-11-29","description":"","custom_fields":[{"id":1,"name":"Subdivision","value":"EC"},{"id":4,"name":"Milepost","value":"23.3312"},{"id":17,"name":"Train ID","value":"123-29"},{"id":16,"name":"Locomotive ID","value":"4031"},{"id":130,"name":"Impact","value":""},{"id":150,"name":"Time of Event (Mountain Time)","value":"07:05:30"},{"id":151,"name":"Denver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603</v>
      </c>
      <c r="B36" s="7">
        <v>4032</v>
      </c>
      <c r="C36" s="22" t="s">
        <v>212</v>
      </c>
      <c r="D36" s="22" t="s">
        <v>278</v>
      </c>
      <c r="E36" s="13">
        <v>42703.307719907411</v>
      </c>
      <c r="F36" s="13">
        <v>42703.309965277775</v>
      </c>
      <c r="G36" s="7">
        <v>1</v>
      </c>
      <c r="H36" s="22" t="s">
        <v>236</v>
      </c>
      <c r="I36" s="13">
        <v>42703.336574074077</v>
      </c>
      <c r="J36" s="7">
        <v>1</v>
      </c>
      <c r="K36" s="109" t="str">
        <f t="shared" si="0"/>
        <v>4031/4032</v>
      </c>
      <c r="L36" s="22" t="str">
        <f>VLOOKUP(A36,'Trips&amp;Operators'!$C$1:$E$10000,3,FALSE)</f>
        <v>BEAM</v>
      </c>
      <c r="M36" s="6">
        <f t="shared" si="1"/>
        <v>2.6608796302753035E-2</v>
      </c>
      <c r="N36" s="7">
        <f t="shared" si="2"/>
        <v>38.31666667596437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06:23:07-700',mode:absolute,to:'2016-11-29 09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23.2988</v>
      </c>
      <c r="Z36" s="67">
        <f t="shared" si="9"/>
        <v>1.41E-2</v>
      </c>
      <c r="AA36" s="67">
        <f t="shared" si="10"/>
        <v>23.284700000000001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0124-29</v>
      </c>
      <c r="AE36" s="91" t="str">
        <f t="shared" si="12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36" s="88" t="str">
        <f t="shared" si="13"/>
        <v>"C:\Program Files (x86)\AstroGrep\AstroGrep.exe" /spath="%USERPROFILE%\AppData\Local\Temp\OnboardLogs" /stypes="app*4032*20161129*"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124-29 --locoid 4032 --swversion DE.1.0.8.0 --startMP 204:232988 --initTime 2016-11-29T07:23:07 --startdatetime 2016-11-29T07:26:21 --delay 1 --endMP 204:141 --enddatetime 2016-11-29T08:04:40 --enforcementcount 1 &gt;&gt;C:\Users\stu\Documents\GitHub\eaglep3-reporting\EC\2016-11-29-refined-times.txt</v>
      </c>
      <c r="AI3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{"issue":{"subject":"","project_id":79,"tracker_id":40,"status_id":1,"priority_id":2,"assigned_to_id":23,"start_date":"2016-11-29","description":"","custom_fields":[{"id":1,"name":"Subdivision","value":"EC"},{"id":4,"name":"Milepost","value":"0.0141"},{"id":17,"name":"Train ID","value":"124-29"},{"id":16,"name":"Locomotive ID","value":"4032"},{"id":130,"name":"Impact","value":""},{"id":150,"name":"Time of Event (Mountain Time)","value":"08:04:40"},{"id":151,"name":"Denver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596</v>
      </c>
      <c r="B37" s="7">
        <v>4003</v>
      </c>
      <c r="C37" s="22" t="s">
        <v>212</v>
      </c>
      <c r="D37" s="22" t="s">
        <v>194</v>
      </c>
      <c r="E37" s="13">
        <v>42703.277407407404</v>
      </c>
      <c r="F37" s="13">
        <v>42703.281446759262</v>
      </c>
      <c r="G37" s="7">
        <v>5</v>
      </c>
      <c r="H37" s="22" t="s">
        <v>776</v>
      </c>
      <c r="I37" s="13">
        <v>42703.305833333332</v>
      </c>
      <c r="J37" s="7">
        <v>1</v>
      </c>
      <c r="K37" s="109" t="str">
        <f t="shared" si="0"/>
        <v>4003/4004</v>
      </c>
      <c r="L37" s="22" t="str">
        <f>VLOOKUP(A37,'Trips&amp;Operators'!$C$1:$E$10000,3,FALSE)</f>
        <v>GEBRETEKLE</v>
      </c>
      <c r="M37" s="6">
        <f t="shared" si="1"/>
        <v>2.438657407037681E-2</v>
      </c>
      <c r="N37" s="7">
        <f t="shared" si="2"/>
        <v>35.116666661342606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05:39:28-700',mode:absolute,to:'2016-11-29 08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4.4699999999999997E-2</v>
      </c>
      <c r="Z37" s="67">
        <f t="shared" si="9"/>
        <v>23.334199999999999</v>
      </c>
      <c r="AA37" s="67">
        <f t="shared" si="10"/>
        <v>23.2895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0125-29</v>
      </c>
      <c r="AE37" s="91" t="str">
        <f t="shared" si="12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37" s="88" t="str">
        <f t="shared" si="13"/>
        <v>"C:\Program Files (x86)\AstroGrep\AstroGrep.exe" /spath="%USERPROFILE%\AppData\Local\Temp\OnboardLogs" /stypes="app*4003*20161129*"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125-29 --locoid 4003 --swversion DE.1.0.8.0 --startMP 204:447 --initTime 2016-11-29T06:39:28 --startdatetime 2016-11-29T06:45:17 --delay 5 --endMP 204:233342 --enddatetime 2016-11-29T07:20:24 --enforcementcount 1 &gt;&gt;C:\Users\stu\Documents\GitHub\eaglep3-reporting\EC\2016-11-29-refined-times.txt</v>
      </c>
      <c r="AI3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{"issue":{"subject":"","project_id":79,"tracker_id":40,"status_id":1,"priority_id":2,"assigned_to_id":23,"start_date":"2016-11-29","description":"","custom_fields":[{"id":1,"name":"Subdivision","value":"EC"},{"id":4,"name":"Milepost","value":"23.3342"},{"id":17,"name":"Train ID","value":"125-29"},{"id":16,"name":"Locomotive ID","value":"4003"},{"id":130,"name":"Impact","value":""},{"id":150,"name":"Time of Event (Mountain Time)","value":"07:20:24"},{"id":151,"name":"Denver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604</v>
      </c>
      <c r="B38" s="7">
        <v>4004</v>
      </c>
      <c r="C38" s="22" t="s">
        <v>212</v>
      </c>
      <c r="D38" s="22" t="s">
        <v>777</v>
      </c>
      <c r="E38" s="13">
        <v>42703.314629629633</v>
      </c>
      <c r="F38" s="13">
        <v>42703.320451388892</v>
      </c>
      <c r="G38" s="7">
        <v>1</v>
      </c>
      <c r="H38" s="22" t="s">
        <v>219</v>
      </c>
      <c r="I38" s="13">
        <v>42703.346863425926</v>
      </c>
      <c r="J38" s="7">
        <v>1</v>
      </c>
      <c r="K38" s="109" t="str">
        <f t="shared" si="0"/>
        <v>4003/4004</v>
      </c>
      <c r="L38" s="22" t="str">
        <f>VLOOKUP(A38,'Trips&amp;Operators'!$C$1:$E$10000,3,FALSE)</f>
        <v>GEBRETEKLE</v>
      </c>
      <c r="M38" s="6">
        <f t="shared" si="1"/>
        <v>2.6412037033878732E-2</v>
      </c>
      <c r="N38" s="7">
        <f t="shared" si="2"/>
        <v>38.033333328785375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06:33:04-700',mode:absolute,to:'2016-11-29 09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23.3019</v>
      </c>
      <c r="Z38" s="67">
        <f t="shared" si="9"/>
        <v>1.4999999999999999E-2</v>
      </c>
      <c r="AA38" s="67">
        <f t="shared" si="10"/>
        <v>23.286899999999999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0126-29</v>
      </c>
      <c r="AE38" s="91" t="str">
        <f t="shared" si="12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38" s="88" t="str">
        <f t="shared" si="13"/>
        <v>"C:\Program Files (x86)\AstroGrep\AstroGrep.exe" /spath="%USERPROFILE%\AppData\Local\Temp\OnboardLogs" /stypes="app*4004*20161129*"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126-29 --locoid 4004 --swversion DE.1.0.8.0 --startMP 204:233019 --initTime 2016-11-29T07:33:04 --startdatetime 2016-11-29T07:41:27 --delay 1 --endMP 204:150 --enddatetime 2016-11-29T08:19:29 --enforcementcount 1 &gt;&gt;C:\Users\stu\Documents\GitHub\eaglep3-reporting\EC\2016-11-29-refined-times.txt</v>
      </c>
      <c r="AI38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{"issue":{"subject":"","project_id":79,"tracker_id":40,"status_id":1,"priority_id":2,"assigned_to_id":23,"start_date":"2016-11-29","description":"","custom_fields":[{"id":1,"name":"Subdivision","value":"EC"},{"id":4,"name":"Milepost","value":"0.015"},{"id":17,"name":"Train ID","value":"126-29"},{"id":16,"name":"Locomotive ID","value":"4004"},{"id":130,"name":"Impact","value":""},{"id":150,"name":"Time of Event (Mountain Time)","value":"08:19:29"},{"id":151,"name":"Denver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599</v>
      </c>
      <c r="B39" s="7">
        <v>4022</v>
      </c>
      <c r="C39" s="22" t="s">
        <v>212</v>
      </c>
      <c r="D39" s="22" t="s">
        <v>329</v>
      </c>
      <c r="E39" s="13">
        <v>42703.289409722223</v>
      </c>
      <c r="F39" s="13">
        <v>42703.291875000003</v>
      </c>
      <c r="G39" s="7">
        <v>1</v>
      </c>
      <c r="H39" s="22" t="s">
        <v>773</v>
      </c>
      <c r="I39" s="13">
        <v>42703.317037037035</v>
      </c>
      <c r="J39" s="7">
        <v>1</v>
      </c>
      <c r="K39" s="109" t="str">
        <f t="shared" si="0"/>
        <v>4021/4022</v>
      </c>
      <c r="L39" s="22" t="str">
        <f>VLOOKUP(A39,'Trips&amp;Operators'!$C$1:$E$10000,3,FALSE)</f>
        <v>KILLION</v>
      </c>
      <c r="M39" s="6">
        <f t="shared" si="1"/>
        <v>2.5162037032714579E-2</v>
      </c>
      <c r="N39" s="7">
        <f t="shared" si="2"/>
        <v>36.233333327108994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05:56:45-700',mode:absolute,to:'2016-11-29 08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4.58E-2</v>
      </c>
      <c r="Z39" s="67">
        <f t="shared" si="9"/>
        <v>23.331600000000002</v>
      </c>
      <c r="AA39" s="67">
        <f t="shared" si="10"/>
        <v>23.285800000000002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0127-29</v>
      </c>
      <c r="AE39" s="91" t="str">
        <f t="shared" si="12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39" s="88" t="str">
        <f t="shared" si="13"/>
        <v>"C:\Program Files (x86)\AstroGrep\AstroGrep.exe" /spath="%USERPROFILE%\AppData\Local\Temp\OnboardLogs" /stypes="app*4022*20161129*"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127-29 --locoid 4022 --swversion DE.1.0.8.0 --startMP 204:458 --initTime 2016-11-29T06:56:45 --startdatetime 2016-11-29T07:00:18 --delay 1 --endMP 204:233316 --enddatetime 2016-11-29T07:36:32 --enforcementcount 1 &gt;&gt;C:\Users\stu\Documents\GitHub\eaglep3-reporting\EC\2016-11-29-refined-times.txt</v>
      </c>
      <c r="AI39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{"issue":{"subject":"","project_id":79,"tracker_id":40,"status_id":1,"priority_id":2,"assigned_to_id":23,"start_date":"2016-11-29","description":"","custom_fields":[{"id":1,"name":"Subdivision","value":"EC"},{"id":4,"name":"Milepost","value":"23.3316"},{"id":17,"name":"Train ID","value":"127-29"},{"id":16,"name":"Locomotive ID","value":"4022"},{"id":130,"name":"Impact","value":""},{"id":150,"name":"Time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607</v>
      </c>
      <c r="B40" s="7">
        <v>4021</v>
      </c>
      <c r="C40" s="22" t="s">
        <v>212</v>
      </c>
      <c r="D40" s="22" t="s">
        <v>328</v>
      </c>
      <c r="E40" s="13">
        <v>42703.322314814817</v>
      </c>
      <c r="F40" s="13">
        <v>42703.330949074072</v>
      </c>
      <c r="G40" s="7">
        <v>1</v>
      </c>
      <c r="H40" s="22" t="s">
        <v>326</v>
      </c>
      <c r="I40" s="13">
        <v>42703.358275462961</v>
      </c>
      <c r="J40" s="7">
        <v>1</v>
      </c>
      <c r="K40" s="109" t="str">
        <f t="shared" si="0"/>
        <v>4021/4022</v>
      </c>
      <c r="L40" s="22" t="str">
        <f>VLOOKUP(A40,'Trips&amp;Operators'!$C$1:$E$10000,3,FALSE)</f>
        <v>KILLION</v>
      </c>
      <c r="M40" s="6">
        <f t="shared" si="1"/>
        <v>2.73263888884685E-2</v>
      </c>
      <c r="N40" s="7">
        <f t="shared" si="2"/>
        <v>39.34999999939464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06:44:08-700',mode:absolute,to:'2016-11-29 09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23.298200000000001</v>
      </c>
      <c r="Z40" s="67">
        <f t="shared" si="9"/>
        <v>1.6E-2</v>
      </c>
      <c r="AA40" s="67">
        <f t="shared" si="10"/>
        <v>23.282200000000003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0128-29</v>
      </c>
      <c r="AE40" s="91" t="str">
        <f t="shared" si="12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40" s="88" t="str">
        <f t="shared" si="13"/>
        <v>"C:\Program Files (x86)\AstroGrep\AstroGrep.exe" /spath="%USERPROFILE%\AppData\Local\Temp\OnboardLogs" /stypes="app*4021*20161129*"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128-29 --locoid 4021 --swversion DE.1.0.8.0 --startMP 204:232982 --initTime 2016-11-29T07:44:08 --startdatetime 2016-11-29T07:56:34 --delay 1 --endMP 204:160 --enddatetime 2016-11-29T08:35:55 --enforcementcount 1 &gt;&gt;C:\Users\stu\Documents\GitHub\eaglep3-reporting\EC\2016-11-29-refined-times.txt</v>
      </c>
      <c r="AI40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{"issue":{"subject":"","project_id":79,"tracker_id":40,"status_id":1,"priority_id":2,"assigned_to_id":23,"start_date":"2016-11-29","description":"","custom_fields":[{"id":1,"name":"Subdivision","value":"EC"},{"id":4,"name":"Milepost","value":"0.016"},{"id":17,"name":"Train ID","value":"128-29"},{"id":16,"name":"Locomotive ID","value":"4021"},{"id":130,"name":"Impact","value":""},{"id":150,"name":"Time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601</v>
      </c>
      <c r="B41" s="7">
        <v>4040</v>
      </c>
      <c r="C41" s="22" t="s">
        <v>212</v>
      </c>
      <c r="D41" s="22" t="s">
        <v>211</v>
      </c>
      <c r="E41" s="13">
        <v>42703.295682870368</v>
      </c>
      <c r="F41" s="13">
        <v>42703.302395833336</v>
      </c>
      <c r="G41" s="7">
        <v>1</v>
      </c>
      <c r="H41" s="22" t="s">
        <v>247</v>
      </c>
      <c r="I41" s="13">
        <v>42703.327268518522</v>
      </c>
      <c r="J41" s="7">
        <v>1</v>
      </c>
      <c r="K41" s="109" t="str">
        <f t="shared" si="0"/>
        <v>4039/4040</v>
      </c>
      <c r="L41" s="22" t="str">
        <f>VLOOKUP(A41,'Trips&amp;Operators'!$C$1:$E$10000,3,FALSE)</f>
        <v>SAFIEF</v>
      </c>
      <c r="M41" s="6">
        <f t="shared" si="1"/>
        <v>2.4872685185982846E-2</v>
      </c>
      <c r="N41" s="7">
        <f t="shared" si="2"/>
        <v>35.816666667815298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06:05:47-700',mode:absolute,to:'2016-11-29 08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4.6399999999999997E-2</v>
      </c>
      <c r="Z41" s="67">
        <f t="shared" si="9"/>
        <v>23.331399999999999</v>
      </c>
      <c r="AA41" s="67">
        <f t="shared" si="10"/>
        <v>23.285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0129-29</v>
      </c>
      <c r="AE41" s="91" t="str">
        <f t="shared" si="12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41" s="88" t="str">
        <f t="shared" si="13"/>
        <v>"C:\Program Files (x86)\AstroGrep\AstroGrep.exe" /spath="%USERPROFILE%\AppData\Local\Temp\OnboardLogs" /stypes="app*4040*20161129*"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129-29 --locoid 4040 --swversion DE.1.0.8.0 --startMP 204:464 --initTime 2016-11-29T07:05:47 --startdatetime 2016-11-29T07:15:27 --delay 1 --endMP 204:233314 --enddatetime 2016-11-29T07:51:16 --enforcementcount 1 &gt;&gt;C:\Users\stu\Documents\GitHub\eaglep3-reporting\EC\2016-11-29-refined-times.txt</v>
      </c>
      <c r="AI41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ID","value":"129-29"},{"id":16,"name":"Locomotive ID","value":"4040"},{"id":130,"name":"Impact","value":""},{"id":150,"name":"Time of Event (Mountain Time)","value":"07:51:16"},{"id":151,"name":"Denver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610</v>
      </c>
      <c r="B42" s="7">
        <v>4039</v>
      </c>
      <c r="C42" s="22" t="s">
        <v>212</v>
      </c>
      <c r="D42" s="22" t="s">
        <v>270</v>
      </c>
      <c r="E42" s="13">
        <v>42703.333796296298</v>
      </c>
      <c r="F42" s="13">
        <v>42703.341192129628</v>
      </c>
      <c r="G42" s="7">
        <v>1</v>
      </c>
      <c r="H42" s="22" t="s">
        <v>384</v>
      </c>
      <c r="I42" s="13">
        <v>42703.367361111108</v>
      </c>
      <c r="J42" s="7">
        <v>1</v>
      </c>
      <c r="K42" s="109" t="str">
        <f t="shared" si="0"/>
        <v>4039/4040</v>
      </c>
      <c r="L42" s="22" t="str">
        <f>VLOOKUP(A42,'Trips&amp;Operators'!$C$1:$E$10000,3,FALSE)</f>
        <v>SAFIEF</v>
      </c>
      <c r="M42" s="6">
        <f t="shared" si="1"/>
        <v>2.6168981479713693E-2</v>
      </c>
      <c r="N42" s="7">
        <f t="shared" si="2"/>
        <v>37.683333330787718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07:00:40-700',mode:absolute,to:'2016-11-29 09:49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</v>
      </c>
      <c r="Z42" s="67">
        <f t="shared" si="9"/>
        <v>1.3599999999999999E-2</v>
      </c>
      <c r="AA42" s="67">
        <f t="shared" si="10"/>
        <v>23.2864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0130-29</v>
      </c>
      <c r="AE42" s="91" t="str">
        <f t="shared" si="12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42" s="88" t="str">
        <f t="shared" si="13"/>
        <v>"C:\Program Files (x86)\AstroGrep\AstroGrep.exe" /spath="%USERPROFILE%\AppData\Local\Temp\OnboardLogs" /stypes="app*4039*20161129*"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130-29 --locoid 4039 --swversion DE.1.0.8.0 --startMP 204:233000 --initTime 2016-11-29T08:00:40 --startdatetime 2016-11-29T08:11:19 --delay 1 --endMP 204:136 --enddatetime 2016-11-29T08:49:00 --enforcementcount 1 &gt;&gt;C:\Users\stu\Documents\GitHub\eaglep3-reporting\EC\2016-11-29-refined-times.txt</v>
      </c>
      <c r="AI42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{"issue":{"subject":"","project_id":79,"tracker_id":40,"status_id":1,"priority_id":2,"assigned_to_id":23,"start_date":"2016-11-29","description":"","custom_fields":[{"id":1,"name":"Subdivision","value":"EC"},{"id":4,"name":"Milepost","value":"0.0136"},{"id":17,"name":"Train ID","value":"130-29"},{"id":16,"name":"Locomotive ID","value":"4039"},{"id":130,"name":"Impact","value":""},{"id":150,"name":"Time of Event (Mountain Time)","value":"08:49:00"},{"id":151,"name":"Denver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538</v>
      </c>
      <c r="B43" s="7">
        <v>4029</v>
      </c>
      <c r="C43" s="22" t="s">
        <v>212</v>
      </c>
      <c r="D43" s="22" t="s">
        <v>282</v>
      </c>
      <c r="E43" s="13">
        <v>42703.306493055556</v>
      </c>
      <c r="F43" s="13">
        <v>42703.312893518516</v>
      </c>
      <c r="G43" s="7">
        <v>1</v>
      </c>
      <c r="H43" s="22" t="s">
        <v>274</v>
      </c>
      <c r="I43" s="13">
        <v>42703.339791666665</v>
      </c>
      <c r="J43" s="7">
        <v>1</v>
      </c>
      <c r="K43" s="109" t="str">
        <f t="shared" si="0"/>
        <v>4029/4030</v>
      </c>
      <c r="L43" s="22" t="str">
        <f>VLOOKUP(A43,'Trips&amp;Operators'!$C$1:$E$10000,3,FALSE)</f>
        <v>MAGEE</v>
      </c>
      <c r="M43" s="6">
        <f t="shared" si="1"/>
        <v>2.6898148149484769E-2</v>
      </c>
      <c r="N43" s="7">
        <f t="shared" si="2"/>
        <v>38.733333335258067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06:21:21-700',mode:absolute,to:'2016-11-29 09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4.6699999999999998E-2</v>
      </c>
      <c r="Z43" s="67">
        <f t="shared" si="9"/>
        <v>23.330300000000001</v>
      </c>
      <c r="AA43" s="67">
        <f t="shared" si="10"/>
        <v>23.2836</v>
      </c>
      <c r="AB43" s="64" t="str">
        <f>VLOOKUP(A43,Enforcements!$C$7:$K$20,8,0)</f>
        <v>Bulletin (2)</v>
      </c>
      <c r="AC43" s="60" t="str">
        <f>VLOOKUP(A43,Enforcements!$C$7:$E$20,3,0)</f>
        <v>GRADE CROSSING</v>
      </c>
      <c r="AD43" s="61" t="str">
        <f t="shared" si="11"/>
        <v>0131-29</v>
      </c>
      <c r="AE43" s="91" t="str">
        <f t="shared" si="12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43" s="88" t="str">
        <f t="shared" si="13"/>
        <v>"C:\Program Files (x86)\AstroGrep\AstroGrep.exe" /spath="%USERPROFILE%\AppData\Local\Temp\OnboardLogs" /stypes="app*4029*20161129*"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131-29 --locoid 4029 --swversion DE.1.0.8.0 --startMP 204:467 --initTime 2016-11-29T07:21:21 --startdatetime 2016-11-29T07:30:34 --delay 1 --endMP 204:233303 --enddatetime 2016-11-29T08:09:18 --enforcementcount 1 &gt;&gt;C:\Users\stu\Documents\GitHub\eaglep3-reporting\EC\2016-11-29-refined-times.txt</v>
      </c>
      <c r="AI43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{"issue":{"subject":"","project_id":79,"tracker_id":40,"status_id":1,"priority_id":2,"assigned_to_id":23,"start_date":"2016-11-29","description":"","custom_fields":[{"id":1,"name":"Subdivision","value":"EC"},{"id":4,"name":"Milepost","value":"23.3303"},{"id":17,"name":"Train ID","value":"131-29"},{"id":16,"name":"Locomotive ID","value":"4029"},{"id":130,"name":"Impact","value":""},{"id":150,"name":"Time of Event (Mountain Time)","value":"08:09:18"},{"id":151,"name":"Denver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612</v>
      </c>
      <c r="B44" s="7">
        <v>4030</v>
      </c>
      <c r="C44" s="22" t="s">
        <v>212</v>
      </c>
      <c r="D44" s="22" t="s">
        <v>382</v>
      </c>
      <c r="E44" s="13">
        <v>42703.346805555557</v>
      </c>
      <c r="F44" s="13">
        <v>42703.351898148147</v>
      </c>
      <c r="G44" s="7">
        <v>1</v>
      </c>
      <c r="H44" s="22" t="s">
        <v>279</v>
      </c>
      <c r="I44" s="13">
        <v>42703.379687499997</v>
      </c>
      <c r="J44" s="7">
        <v>1</v>
      </c>
      <c r="K44" s="109" t="str">
        <f t="shared" si="0"/>
        <v>4029/4030</v>
      </c>
      <c r="L44" s="22" t="str">
        <f>VLOOKUP(A44,'Trips&amp;Operators'!$C$1:$E$10000,3,FALSE)</f>
        <v>MAGEE</v>
      </c>
      <c r="M44" s="6">
        <f t="shared" si="1"/>
        <v>2.7789351850515231E-2</v>
      </c>
      <c r="N44" s="7">
        <f t="shared" si="2"/>
        <v>40.016666664741933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07:19:24-700',mode:absolute,to:'2016-11-29 10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23.2973</v>
      </c>
      <c r="Z44" s="67">
        <f t="shared" si="9"/>
        <v>1.4500000000000001E-2</v>
      </c>
      <c r="AA44" s="67">
        <f t="shared" si="10"/>
        <v>23.282799999999998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0132-29</v>
      </c>
      <c r="AE44" s="91" t="str">
        <f t="shared" si="12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44" s="88" t="str">
        <f t="shared" si="13"/>
        <v>"C:\Program Files (x86)\AstroGrep\AstroGrep.exe" /spath="%USERPROFILE%\AppData\Local\Temp\OnboardLogs" /stypes="app*4030*20161129*"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132-29 --locoid 4030 --swversion DE.1.0.8.0 --startMP 204:232973 --initTime 2016-11-29T08:19:24 --startdatetime 2016-11-29T08:26:44 --delay 1 --endMP 204:145 --enddatetime 2016-11-29T09:06:45 --enforcementcount 1 &gt;&gt;C:\Users\stu\Documents\GitHub\eaglep3-reporting\EC\2016-11-29-refined-times.txt</v>
      </c>
      <c r="AI44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{"issue":{"subject":"","project_id":79,"tracker_id":40,"status_id":1,"priority_id":2,"assigned_to_id":23,"start_date":"2016-11-29","description":"","custom_fields":[{"id":1,"name":"Subdivision","value":"EC"},{"id":4,"name":"Milepost","value":"0.0145"},{"id":17,"name":"Train ID","value":"132-29"},{"id":16,"name":"Locomotive ID","value":"4030"},{"id":130,"name":"Impact","value":""},{"id":150,"name":"Time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606</v>
      </c>
      <c r="B45" s="7">
        <v>4016</v>
      </c>
      <c r="C45" s="22" t="s">
        <v>212</v>
      </c>
      <c r="D45" s="22" t="s">
        <v>778</v>
      </c>
      <c r="E45" s="13">
        <v>42703.318368055552</v>
      </c>
      <c r="F45" s="13">
        <v>42703.323125000003</v>
      </c>
      <c r="G45" s="7">
        <v>1</v>
      </c>
      <c r="H45" s="22" t="s">
        <v>779</v>
      </c>
      <c r="I45" s="13">
        <v>42703.347314814811</v>
      </c>
      <c r="J45" s="7">
        <v>1</v>
      </c>
      <c r="K45" s="109" t="str">
        <f t="shared" si="0"/>
        <v>4015/4016</v>
      </c>
      <c r="L45" s="22" t="str">
        <f>VLOOKUP(A45,'Trips&amp;Operators'!$C$1:$E$10000,3,FALSE)</f>
        <v>PERKINS</v>
      </c>
      <c r="M45" s="6">
        <f t="shared" si="1"/>
        <v>2.4189814808778465E-2</v>
      </c>
      <c r="N45" s="7">
        <f t="shared" si="2"/>
        <v>34.833333324640989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06:38:27-700',mode:absolute,to:'2016-11-29 09:20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4.1599999999999998E-2</v>
      </c>
      <c r="Z45" s="67">
        <f t="shared" si="9"/>
        <v>23.313199999999998</v>
      </c>
      <c r="AA45" s="67">
        <f t="shared" si="10"/>
        <v>23.271599999999999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0133-29</v>
      </c>
      <c r="AE45" s="91" t="str">
        <f t="shared" si="12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45" s="88" t="str">
        <f t="shared" si="13"/>
        <v>"C:\Program Files (x86)\AstroGrep\AstroGrep.exe" /spath="%USERPROFILE%\AppData\Local\Temp\OnboardLogs" /stypes="app*4016*20161129*"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133-29 --locoid 4016 --swversion DE.1.0.8.0 --startMP 204:416 --initTime 2016-11-29T07:38:27 --startdatetime 2016-11-29T07:45:18 --delay 1 --endMP 204:233132 --enddatetime 2016-11-29T08:20:08 --enforcementcount 1 &gt;&gt;C:\Users\stu\Documents\GitHub\eaglep3-reporting\EC\2016-11-29-refined-times.txt</v>
      </c>
      <c r="AI4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{"issue":{"subject":"","project_id":79,"tracker_id":40,"status_id":1,"priority_id":2,"assigned_to_id":23,"start_date":"2016-11-29","description":"","custom_fields":[{"id":1,"name":"Subdivision","value":"EC"},{"id":4,"name":"Milepost","value":"23.3132"},{"id":17,"name":"Train ID","value":"133-29"},{"id":16,"name":"Locomotive ID","value":"4016"},{"id":130,"name":"Impact","value":""},{"id":150,"name":"Time of Event (Mountain Time)","value":"08:20:08"},{"id":151,"name":"Denver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540</v>
      </c>
      <c r="B46" s="7">
        <v>4015</v>
      </c>
      <c r="C46" s="22" t="s">
        <v>212</v>
      </c>
      <c r="D46" s="22" t="s">
        <v>780</v>
      </c>
      <c r="E46" s="13">
        <v>42703.350486111114</v>
      </c>
      <c r="F46" s="13">
        <v>42703.36204861111</v>
      </c>
      <c r="G46" s="7">
        <v>1</v>
      </c>
      <c r="H46" s="22" t="s">
        <v>192</v>
      </c>
      <c r="I46" s="13">
        <v>42703.389722222222</v>
      </c>
      <c r="J46" s="7">
        <v>1</v>
      </c>
      <c r="K46" s="109" t="str">
        <f t="shared" si="0"/>
        <v>4015/4016</v>
      </c>
      <c r="L46" s="22" t="str">
        <f>VLOOKUP(A46,'Trips&amp;Operators'!$C$1:$E$10000,3,FALSE)</f>
        <v>PERKINS</v>
      </c>
      <c r="M46" s="6">
        <f t="shared" si="1"/>
        <v>2.7673611111822538E-2</v>
      </c>
      <c r="N46" s="7">
        <f t="shared" si="2"/>
        <v>39.850000001024455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07:24:42-700',mode:absolute,to:'2016-11-29 10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23.2819</v>
      </c>
      <c r="Z46" s="67">
        <f t="shared" si="9"/>
        <v>1.49E-2</v>
      </c>
      <c r="AA46" s="67">
        <f t="shared" si="10"/>
        <v>23.266999999999999</v>
      </c>
      <c r="AB46" s="64" t="str">
        <f>VLOOKUP(A46,Enforcements!$C$7:$K$20,8,0)</f>
        <v>Signal based authority (5)</v>
      </c>
      <c r="AC46" s="60" t="str">
        <f>VLOOKUP(A46,Enforcements!$C$7:$E$20,3,0)</f>
        <v>SIGNAL</v>
      </c>
      <c r="AD46" s="61" t="str">
        <f t="shared" si="11"/>
        <v>0134-29</v>
      </c>
      <c r="AE46" s="91" t="str">
        <f t="shared" si="12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46" s="88" t="str">
        <f t="shared" si="13"/>
        <v>"C:\Program Files (x86)\AstroGrep\AstroGrep.exe" /spath="%USERPROFILE%\AppData\Local\Temp\OnboardLogs" /stypes="app*4015*20161129*"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134-29 --locoid 4015 --swversion DE.1.0.8.0 --startMP 204:232819 --initTime 2016-11-29T08:24:42 --startdatetime 2016-11-29T08:41:21 --delay 1 --endMP 204:149 --enddatetime 2016-11-29T09:21:12 --enforcementcount 1 &gt;&gt;C:\Users\stu\Documents\GitHub\eaglep3-reporting\EC\2016-11-29-refined-times.txt</v>
      </c>
      <c r="AI4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ID","value":"134-29"},{"id":16,"name":"Locomotive ID","value":"4015"},{"id":130,"name":"Impact","value":""},{"id":150,"name":"Time of Event (Mountain Time)","value":"09:21:12"},{"id":151,"name":"Denver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609</v>
      </c>
      <c r="B47" s="7">
        <v>4014</v>
      </c>
      <c r="C47" s="22" t="s">
        <v>212</v>
      </c>
      <c r="D47" s="22" t="s">
        <v>248</v>
      </c>
      <c r="E47" s="13">
        <v>42703.328240740739</v>
      </c>
      <c r="F47" s="13">
        <v>42703.333553240744</v>
      </c>
      <c r="G47" s="7">
        <v>1</v>
      </c>
      <c r="H47" s="22" t="s">
        <v>247</v>
      </c>
      <c r="I47" s="13">
        <v>42703.358298611114</v>
      </c>
      <c r="J47" s="7">
        <v>1</v>
      </c>
      <c r="K47" s="109" t="str">
        <f t="shared" si="0"/>
        <v>4013/4014</v>
      </c>
      <c r="L47" s="22" t="str">
        <f>VLOOKUP(A47,'Trips&amp;Operators'!$C$1:$E$10000,3,FALSE)</f>
        <v>SPECTOR</v>
      </c>
      <c r="M47" s="6">
        <f t="shared" si="1"/>
        <v>2.47453703705105E-2</v>
      </c>
      <c r="N47" s="7">
        <f t="shared" si="2"/>
        <v>35.63333333353512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06:52:40-700',mode:absolute,to:'2016-11-29 09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4.5499999999999999E-2</v>
      </c>
      <c r="Z47" s="67">
        <f t="shared" si="9"/>
        <v>23.331399999999999</v>
      </c>
      <c r="AA47" s="67">
        <f t="shared" si="10"/>
        <v>23.285899999999998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0135-29</v>
      </c>
      <c r="AE47" s="91" t="str">
        <f t="shared" si="12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47" s="88" t="str">
        <f t="shared" si="13"/>
        <v>"C:\Program Files (x86)\AstroGrep\AstroGrep.exe" /spath="%USERPROFILE%\AppData\Local\Temp\OnboardLogs" /stypes="app*4014*20161129*"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135-29 --locoid 4014 --swversion DE.1.0.8.0 --startMP 204:455 --initTime 2016-11-29T07:52:40 --startdatetime 2016-11-29T08:00:19 --delay 1 --endMP 204:233314 --enddatetime 2016-11-29T08:35:57 --enforcementcount 1 &gt;&gt;C:\Users\stu\Documents\GitHub\eaglep3-reporting\EC\2016-11-29-refined-times.txt</v>
      </c>
      <c r="AI4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ID","value":"135-29"},{"id":16,"name":"Locomotive ID","value":"4014"},{"id":130,"name":"Impact","value":""},{"id":150,"name":"Time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541</v>
      </c>
      <c r="B48" s="7">
        <v>4013</v>
      </c>
      <c r="C48" s="22" t="s">
        <v>212</v>
      </c>
      <c r="D48" s="22" t="s">
        <v>781</v>
      </c>
      <c r="E48" s="13">
        <v>42703.367326388892</v>
      </c>
      <c r="F48" s="13">
        <v>42703.372395833336</v>
      </c>
      <c r="G48" s="7">
        <v>2</v>
      </c>
      <c r="H48" s="22" t="s">
        <v>782</v>
      </c>
      <c r="I48" s="13">
        <v>42703.398819444446</v>
      </c>
      <c r="J48" s="7">
        <v>1</v>
      </c>
      <c r="K48" s="109" t="str">
        <f t="shared" si="0"/>
        <v>4013/4014</v>
      </c>
      <c r="L48" s="22" t="str">
        <f>VLOOKUP(A48,'Trips&amp;Operators'!$C$1:$E$10000,3,FALSE)</f>
        <v>SPECTOR</v>
      </c>
      <c r="M48" s="6">
        <f t="shared" si="1"/>
        <v>2.6423611110658385E-2</v>
      </c>
      <c r="N48" s="7">
        <f t="shared" si="2"/>
        <v>38.049999999348074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07:48:57-700',mode:absolute,to:'2016-11-29 10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23.2986</v>
      </c>
      <c r="Z48" s="67">
        <f t="shared" si="9"/>
        <v>1.9599999999999999E-2</v>
      </c>
      <c r="AA48" s="67">
        <f t="shared" si="10"/>
        <v>23.279</v>
      </c>
      <c r="AB48" s="64" t="str">
        <f>VLOOKUP(A48,Enforcements!$C$7:$K$20,8,0)</f>
        <v>Bulletin (2)</v>
      </c>
      <c r="AC48" s="60" t="str">
        <f>VLOOKUP(A48,Enforcements!$C$7:$E$20,3,0)</f>
        <v>GRADE CROSSING</v>
      </c>
      <c r="AD48" s="61" t="str">
        <f t="shared" si="11"/>
        <v>0136-29</v>
      </c>
      <c r="AE48" s="91" t="str">
        <f t="shared" si="12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48" s="88" t="str">
        <f t="shared" si="13"/>
        <v>"C:\Program Files (x86)\AstroGrep\AstroGrep.exe" /spath="%USERPROFILE%\AppData\Local\Temp\OnboardLogs" /stypes="app*4013*20161129*"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136-29 --locoid 4013 --swversion DE.1.0.8.0 --startMP 204:232986 --initTime 2016-11-29T08:48:57 --startdatetime 2016-11-29T08:56:15 --delay 2 --endMP 204:196 --enddatetime 2016-11-29T09:34:18 --enforcementcount 1 &gt;&gt;C:\Users\stu\Documents\GitHub\eaglep3-reporting\EC\2016-11-29-refined-times.txt</v>
      </c>
      <c r="AI48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{"issue":{"subject":"","project_id":79,"tracker_id":40,"status_id":1,"priority_id":2,"assigned_to_id":23,"start_date":"2016-11-29","description":"","custom_fields":[{"id":1,"name":"Subdivision","value":"EC"},{"id":4,"name":"Milepost","value":"0.0196"},{"id":17,"name":"Train ID","value":"136-29"},{"id":16,"name":"Locomotive ID","value":"4013"},{"id":130,"name":"Impact","value":""},{"id":150,"name":"Time of Event (Mountain Time)","value":"09:34:18"},{"id":151,"name":"Denver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611</v>
      </c>
      <c r="B49" s="7">
        <v>4031</v>
      </c>
      <c r="C49" s="22" t="s">
        <v>212</v>
      </c>
      <c r="D49" s="22" t="s">
        <v>282</v>
      </c>
      <c r="E49" s="13">
        <v>42703.338773148149</v>
      </c>
      <c r="F49" s="13">
        <v>42703.343912037039</v>
      </c>
      <c r="G49" s="7">
        <v>1</v>
      </c>
      <c r="H49" s="22" t="s">
        <v>341</v>
      </c>
      <c r="I49" s="13">
        <v>42703.36891203704</v>
      </c>
      <c r="J49" s="7">
        <v>1</v>
      </c>
      <c r="K49" s="109" t="str">
        <f t="shared" si="0"/>
        <v>4031/4032</v>
      </c>
      <c r="L49" s="22" t="str">
        <f>VLOOKUP(A49,'Trips&amp;Operators'!$C$1:$E$10000,3,FALSE)</f>
        <v>DAVIS</v>
      </c>
      <c r="M49" s="6">
        <f t="shared" si="1"/>
        <v>2.5000000001455192E-2</v>
      </c>
      <c r="N49" s="7">
        <f t="shared" si="2"/>
        <v>36.000000002095476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07:07:50-700',mode:absolute,to:'2016-11-29 09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4.6699999999999998E-2</v>
      </c>
      <c r="Z49" s="67">
        <f t="shared" si="9"/>
        <v>23.331900000000001</v>
      </c>
      <c r="AA49" s="67">
        <f t="shared" si="10"/>
        <v>23.2852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0137-29</v>
      </c>
      <c r="AE49" s="91" t="str">
        <f t="shared" si="12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49" s="88" t="str">
        <f t="shared" si="13"/>
        <v>"C:\Program Files (x86)\AstroGrep\AstroGrep.exe" /spath="%USERPROFILE%\AppData\Local\Temp\OnboardLogs" /stypes="app*4031*20161129*"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137-29 --locoid 4031 --swversion DE.1.0.8.0 --startMP 204:467 --initTime 2016-11-29T08:07:50 --startdatetime 2016-11-29T08:15:14 --delay 1 --endMP 204:233319 --enddatetime 2016-11-29T08:51:14 --enforcementcount 1 &gt;&gt;C:\Users\stu\Documents\GitHub\eaglep3-reporting\EC\2016-11-29-refined-times.txt</v>
      </c>
      <c r="AI49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{"issue":{"subject":"","project_id":79,"tracker_id":40,"status_id":1,"priority_id":2,"assigned_to_id":23,"start_date":"2016-11-29","description":"","custom_fields":[{"id":1,"name":"Subdivision","value":"EC"},{"id":4,"name":"Milepost","value":"23.3319"},{"id":17,"name":"Train ID","value":"137-29"},{"id":16,"name":"Locomotive ID","value":"4031"},{"id":130,"name":"Impact","value":""},{"id":150,"name":"Time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619</v>
      </c>
      <c r="B50" s="7">
        <v>4032</v>
      </c>
      <c r="C50" s="22" t="s">
        <v>212</v>
      </c>
      <c r="D50" s="22" t="s">
        <v>245</v>
      </c>
      <c r="E50" s="13">
        <v>42703.377766203703</v>
      </c>
      <c r="F50" s="13">
        <v>42703.382800925923</v>
      </c>
      <c r="G50" s="7">
        <v>1</v>
      </c>
      <c r="H50" s="22" t="s">
        <v>244</v>
      </c>
      <c r="I50" s="13">
        <v>42703.410034722219</v>
      </c>
      <c r="J50" s="7">
        <v>1</v>
      </c>
      <c r="K50" s="109" t="str">
        <f t="shared" si="0"/>
        <v>4031/4032</v>
      </c>
      <c r="L50" s="22" t="str">
        <f>VLOOKUP(A50,'Trips&amp;Operators'!$C$1:$E$10000,3,FALSE)</f>
        <v>DAVIS</v>
      </c>
      <c r="M50" s="6">
        <f t="shared" si="1"/>
        <v>2.7233796296059154E-2</v>
      </c>
      <c r="N50" s="7">
        <f t="shared" si="2"/>
        <v>39.216666666325182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08:03:59-700',mode:absolute,to:'2016-11-29 10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23.299299999999999</v>
      </c>
      <c r="Z50" s="67">
        <f t="shared" si="9"/>
        <v>1.47E-2</v>
      </c>
      <c r="AA50" s="67">
        <f t="shared" si="10"/>
        <v>23.284599999999998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0138-29</v>
      </c>
      <c r="AE50" s="91" t="str">
        <f t="shared" si="12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50" s="88" t="str">
        <f t="shared" si="13"/>
        <v>"C:\Program Files (x86)\AstroGrep\AstroGrep.exe" /spath="%USERPROFILE%\AppData\Local\Temp\OnboardLogs" /stypes="app*4032*20161129*"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138-29 --locoid 4032 --swversion DE.1.0.8.0 --startMP 204:232993 --initTime 2016-11-29T09:03:59 --startdatetime 2016-11-29T09:11:14 --delay 1 --endMP 204:147 --enddatetime 2016-11-29T09:50:27 --enforcementcount 1 &gt;&gt;C:\Users\stu\Documents\GitHub\eaglep3-reporting\EC\2016-11-29-refined-times.txt</v>
      </c>
      <c r="AI50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{"issue":{"subject":"","project_id":79,"tracker_id":40,"status_id":1,"priority_id":2,"assigned_to_id":23,"start_date":"2016-11-29","description":"","custom_fields":[{"id":1,"name":"Subdivision","value":"EC"},{"id":4,"name":"Milepost","value":"0.0147"},{"id":17,"name":"Train ID","value":"138-29"},{"id":16,"name":"Locomotive ID","value":"4032"},{"id":130,"name":"Impact","value":""},{"id":150,"name":"Time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614</v>
      </c>
      <c r="B51" s="7">
        <v>4003</v>
      </c>
      <c r="C51" s="22" t="s">
        <v>212</v>
      </c>
      <c r="D51" s="22" t="s">
        <v>259</v>
      </c>
      <c r="E51" s="13">
        <v>42703.349583333336</v>
      </c>
      <c r="F51" s="13">
        <v>42703.354479166665</v>
      </c>
      <c r="G51" s="7">
        <v>1</v>
      </c>
      <c r="H51" s="22" t="s">
        <v>769</v>
      </c>
      <c r="I51" s="13">
        <v>42703.378472222219</v>
      </c>
      <c r="J51" s="7">
        <v>1</v>
      </c>
      <c r="K51" s="109" t="str">
        <f t="shared" si="0"/>
        <v>4003/4004</v>
      </c>
      <c r="L51" s="22" t="str">
        <f>VLOOKUP(A51,'Trips&amp;Operators'!$C$1:$E$10000,3,FALSE)</f>
        <v>GEBRETEKLE</v>
      </c>
      <c r="M51" s="6">
        <f t="shared" si="1"/>
        <v>2.3993055554456078E-2</v>
      </c>
      <c r="N51" s="7">
        <f t="shared" si="2"/>
        <v>34.549999998416752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07:23:24-700',mode:absolute,to:'2016-11-29 10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4.5699999999999998E-2</v>
      </c>
      <c r="Z51" s="67">
        <f t="shared" si="9"/>
        <v>23.331199999999999</v>
      </c>
      <c r="AA51" s="67">
        <f t="shared" si="10"/>
        <v>23.285499999999999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0139-29</v>
      </c>
      <c r="AE51" s="91" t="str">
        <f t="shared" si="12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51" s="88" t="str">
        <f t="shared" si="13"/>
        <v>"C:\Program Files (x86)\AstroGrep\AstroGrep.exe" /spath="%USERPROFILE%\AppData\Local\Temp\OnboardLogs" /stypes="app*4003*20161129*"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139-29 --locoid 4003 --swversion DE.1.0.8.0 --startMP 204:457 --initTime 2016-11-29T08:23:24 --startdatetime 2016-11-29T08:30:27 --delay 1 --endMP 204:233312 --enddatetime 2016-11-29T09:05:00 --enforcementcount 1 &gt;&gt;C:\Users\stu\Documents\GitHub\eaglep3-reporting\EC\2016-11-29-refined-times.txt</v>
      </c>
      <c r="AI51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{"issue":{"subject":"","project_id":79,"tracker_id":40,"status_id":1,"priority_id":2,"assigned_to_id":23,"start_date":"2016-11-29","description":"","custom_fields":[{"id":1,"name":"Subdivision","value":"EC"},{"id":4,"name":"Milepost","value":"23.3312"},{"id":17,"name":"Train ID","value":"139-29"},{"id":16,"name":"Locomotive ID","value":"4003"},{"id":130,"name":"Impact","value":""},{"id":150,"name":"Time of Event (Mountain Time)","value":"09:05:00"},{"id":151,"name":"Denver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542</v>
      </c>
      <c r="B52" s="7">
        <v>4004</v>
      </c>
      <c r="C52" s="22" t="s">
        <v>212</v>
      </c>
      <c r="D52" s="22" t="s">
        <v>280</v>
      </c>
      <c r="E52" s="13">
        <v>42703.388854166667</v>
      </c>
      <c r="F52" s="13">
        <v>42703.393240740741</v>
      </c>
      <c r="G52" s="7">
        <v>1</v>
      </c>
      <c r="H52" s="22" t="s">
        <v>208</v>
      </c>
      <c r="I52" s="13">
        <v>42703.41920138889</v>
      </c>
      <c r="J52" s="7">
        <v>1</v>
      </c>
      <c r="K52" s="109" t="str">
        <f t="shared" si="0"/>
        <v>4003/4004</v>
      </c>
      <c r="L52" s="22" t="str">
        <f>VLOOKUP(A52,'Trips&amp;Operators'!$C$1:$E$10000,3,FALSE)</f>
        <v>GEBRETEKLE</v>
      </c>
      <c r="M52" s="6">
        <f t="shared" si="1"/>
        <v>2.5960648148611654E-2</v>
      </c>
      <c r="N52" s="7">
        <f t="shared" si="2"/>
        <v>37.383333334000781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08:19:57-700',mode:absolute,to:'2016-11-29 11:03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23.299600000000002</v>
      </c>
      <c r="Z52" s="67">
        <f t="shared" si="9"/>
        <v>1.5599999999999999E-2</v>
      </c>
      <c r="AA52" s="67">
        <f t="shared" si="10"/>
        <v>23.284000000000002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0140-29</v>
      </c>
      <c r="AE52" s="91" t="str">
        <f t="shared" si="12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52" s="88" t="str">
        <f t="shared" si="13"/>
        <v>"C:\Program Files (x86)\AstroGrep\AstroGrep.exe" /spath="%USERPROFILE%\AppData\Local\Temp\OnboardLogs" /stypes="app*4004*20161129*"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140-29 --locoid 4004 --swversion DE.1.0.8.0 --startMP 204:232996 --initTime 2016-11-29T09:19:57 --startdatetime 2016-11-29T09:26:16 --delay 1 --endMP 204:156 --enddatetime 2016-11-29T10:03:39 --enforcementcount 1 &gt;&gt;C:\Users\stu\Documents\GitHub\eaglep3-reporting\EC\2016-11-29-refined-times.txt</v>
      </c>
      <c r="AI52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{"issue":{"subject":"","project_id":79,"tracker_id":40,"status_id":1,"priority_id":2,"assigned_to_id":23,"start_date":"2016-11-29","description":"","custom_fields":[{"id":1,"name":"Subdivision","value":"EC"},{"id":4,"name":"Milepost","value":"0.0156"},{"id":17,"name":"Train ID","value":"140-29"},{"id":16,"name":"Locomotive ID","value":"4004"},{"id":130,"name":"Impact","value":""},{"id":150,"name":"Time of Event (Mountain Time)","value":"10:03:39"},{"id":151,"name":"Denver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616</v>
      </c>
      <c r="B53" s="7">
        <v>4022</v>
      </c>
      <c r="C53" s="22" t="s">
        <v>212</v>
      </c>
      <c r="D53" s="22" t="s">
        <v>783</v>
      </c>
      <c r="E53" s="13">
        <v>42703.362858796296</v>
      </c>
      <c r="F53" s="13">
        <v>42703.364756944444</v>
      </c>
      <c r="G53" s="7">
        <v>1</v>
      </c>
      <c r="H53" s="22" t="s">
        <v>769</v>
      </c>
      <c r="I53" s="13">
        <v>42703.389444444445</v>
      </c>
      <c r="J53" s="7">
        <v>1</v>
      </c>
      <c r="K53" s="109" t="str">
        <f t="shared" si="0"/>
        <v>4021/4022</v>
      </c>
      <c r="L53" s="22" t="str">
        <f>VLOOKUP(A53,'Trips&amp;Operators'!$C$1:$E$10000,3,FALSE)</f>
        <v>KILLION</v>
      </c>
      <c r="M53" s="6">
        <f t="shared" si="1"/>
        <v>2.4687500001164153E-2</v>
      </c>
      <c r="N53" s="7">
        <f t="shared" si="2"/>
        <v>35.550000001676381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07:42:31-700',mode:absolute,to:'2016-11-29 10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4.8800000000000003E-2</v>
      </c>
      <c r="Z53" s="67">
        <f t="shared" si="9"/>
        <v>23.331199999999999</v>
      </c>
      <c r="AA53" s="67">
        <f t="shared" si="10"/>
        <v>23.282399999999999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0141-29</v>
      </c>
      <c r="AE53" s="91" t="str">
        <f t="shared" si="12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53" s="88" t="str">
        <f t="shared" si="13"/>
        <v>"C:\Program Files (x86)\AstroGrep\AstroGrep.exe" /spath="%USERPROFILE%\AppData\Local\Temp\OnboardLogs" /stypes="app*4022*20161129*"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141-29 --locoid 4022 --swversion DE.1.0.8.0 --startMP 204:488 --initTime 2016-11-29T08:42:31 --startdatetime 2016-11-29T08:45:15 --delay 1 --endMP 204:233312 --enddatetime 2016-11-29T09:20:48 --enforcementcount 1 &gt;&gt;C:\Users\stu\Documents\GitHub\eaglep3-reporting\EC\2016-11-29-refined-times.txt</v>
      </c>
      <c r="AI53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{"issue":{"subject":"","project_id":79,"tracker_id":40,"status_id":1,"priority_id":2,"assigned_to_id":23,"start_date":"2016-11-29","description":"","custom_fields":[{"id":1,"name":"Subdivision","value":"EC"},{"id":4,"name":"Milepost","value":"23.3312"},{"id":17,"name":"Train ID","value":"141-29"},{"id":16,"name":"Locomotive ID","value":"4022"},{"id":130,"name":"Impact","value":""},{"id":150,"name":"Time of Event (Mountain Time)","value":"09:20:48"},{"id":151,"name":"Denver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623</v>
      </c>
      <c r="B54" s="7">
        <v>4021</v>
      </c>
      <c r="C54" s="22" t="s">
        <v>212</v>
      </c>
      <c r="D54" s="22" t="s">
        <v>245</v>
      </c>
      <c r="E54" s="13">
        <v>42703.395798611113</v>
      </c>
      <c r="F54" s="13">
        <v>42703.403668981482</v>
      </c>
      <c r="G54" s="7">
        <v>1</v>
      </c>
      <c r="H54" s="22" t="s">
        <v>208</v>
      </c>
      <c r="I54" s="13">
        <v>42703.429930555554</v>
      </c>
      <c r="J54" s="7">
        <v>1</v>
      </c>
      <c r="K54" s="109" t="str">
        <f t="shared" si="0"/>
        <v>4021/4022</v>
      </c>
      <c r="L54" s="22" t="str">
        <f>VLOOKUP(A54,'Trips&amp;Operators'!$C$1:$E$10000,3,FALSE)</f>
        <v>KILLION</v>
      </c>
      <c r="M54" s="6">
        <f t="shared" si="1"/>
        <v>2.626157407212304E-2</v>
      </c>
      <c r="N54" s="7">
        <f t="shared" si="2"/>
        <v>37.816666663857177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08:29:57-700',mode:absolute,to:'2016-11-29 11:19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23.299299999999999</v>
      </c>
      <c r="Z54" s="67">
        <f t="shared" si="9"/>
        <v>1.5599999999999999E-2</v>
      </c>
      <c r="AA54" s="67">
        <f t="shared" si="10"/>
        <v>23.2837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0142-29</v>
      </c>
      <c r="AE54" s="91" t="str">
        <f t="shared" si="12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54" s="88" t="str">
        <f t="shared" si="13"/>
        <v>"C:\Program Files (x86)\AstroGrep\AstroGrep.exe" /spath="%USERPROFILE%\AppData\Local\Temp\OnboardLogs" /stypes="app*4021*20161129*"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142-29 --locoid 4021 --swversion DE.1.0.8.0 --startMP 204:232993 --initTime 2016-11-29T09:29:57 --startdatetime 2016-11-29T09:41:17 --delay 1 --endMP 204:156 --enddatetime 2016-11-29T10:19:06 --enforcementcount 1 &gt;&gt;C:\Users\stu\Documents\GitHub\eaglep3-reporting\EC\2016-11-29-refined-times.txt</v>
      </c>
      <c r="AI54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{"issue":{"subject":"","project_id":79,"tracker_id":40,"status_id":1,"priority_id":2,"assigned_to_id":23,"start_date":"2016-11-29","description":"","custom_fields":[{"id":1,"name":"Subdivision","value":"EC"},{"id":4,"name":"Milepost","value":"0.0156"},{"id":17,"name":"Train ID","value":"142-29"},{"id":16,"name":"Locomotive ID","value":"4021"},{"id":130,"name":"Impact","value":""},{"id":150,"name":"Time of Event (Mountain Time)","value":"10:19:06"},{"id":151,"name":"Denver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617</v>
      </c>
      <c r="B55" s="7">
        <v>4040</v>
      </c>
      <c r="C55" s="22" t="s">
        <v>212</v>
      </c>
      <c r="D55" s="22" t="s">
        <v>248</v>
      </c>
      <c r="E55" s="13">
        <v>42703.369444444441</v>
      </c>
      <c r="F55" s="13">
        <v>42703.375567129631</v>
      </c>
      <c r="G55" s="7">
        <v>1</v>
      </c>
      <c r="H55" s="22" t="s">
        <v>247</v>
      </c>
      <c r="I55" s="13">
        <v>42703.399918981479</v>
      </c>
      <c r="J55" s="7">
        <v>1</v>
      </c>
      <c r="K55" s="109" t="str">
        <f t="shared" si="0"/>
        <v>4039/4040</v>
      </c>
      <c r="L55" s="22" t="str">
        <f>VLOOKUP(A55,'Trips&amp;Operators'!$C$1:$E$10000,3,FALSE)</f>
        <v>SAFIEF</v>
      </c>
      <c r="M55" s="6">
        <f t="shared" si="1"/>
        <v>2.435185184731381E-2</v>
      </c>
      <c r="N55" s="7">
        <f t="shared" si="2"/>
        <v>35.066666660131887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07:52:00-700',mode:absolute,to:'2016-11-29 10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4.5499999999999999E-2</v>
      </c>
      <c r="Z55" s="67">
        <f t="shared" si="9"/>
        <v>23.331399999999999</v>
      </c>
      <c r="AA55" s="67">
        <f t="shared" si="10"/>
        <v>23.285899999999998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0143-29</v>
      </c>
      <c r="AE55" s="91" t="str">
        <f t="shared" si="12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55" s="88" t="str">
        <f t="shared" si="13"/>
        <v>"C:\Program Files (x86)\AstroGrep\AstroGrep.exe" /spath="%USERPROFILE%\AppData\Local\Temp\OnboardLogs" /stypes="app*4040*20161129*"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143-29 --locoid 4040 --swversion DE.1.0.8.0 --startMP 204:455 --initTime 2016-11-29T08:52:00 --startdatetime 2016-11-29T09:00:49 --delay 1 --endMP 204:233314 --enddatetime 2016-11-29T09:35:53 --enforcementcount 1 &gt;&gt;C:\Users\stu\Documents\GitHub\eaglep3-reporting\EC\2016-11-29-refined-times.txt</v>
      </c>
      <c r="AI5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ID","value":"143-29"},{"id":16,"name":"Locomotive ID","value":"4040"},{"id":130,"name":"Impact","value":""},{"id":150,"name":"Time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626</v>
      </c>
      <c r="B56" s="7">
        <v>4039</v>
      </c>
      <c r="C56" s="22" t="s">
        <v>212</v>
      </c>
      <c r="D56" s="22" t="s">
        <v>328</v>
      </c>
      <c r="E56" s="13">
        <v>42703.409351851849</v>
      </c>
      <c r="F56" s="13">
        <v>42703.414085648146</v>
      </c>
      <c r="G56" s="7">
        <v>1</v>
      </c>
      <c r="H56" s="22" t="s">
        <v>219</v>
      </c>
      <c r="I56" s="13">
        <v>42703.439780092594</v>
      </c>
      <c r="J56" s="7">
        <v>1</v>
      </c>
      <c r="K56" s="109" t="str">
        <f t="shared" si="0"/>
        <v>4039/4040</v>
      </c>
      <c r="L56" s="22" t="str">
        <f>VLOOKUP(A56,'Trips&amp;Operators'!$C$1:$E$10000,3,FALSE)</f>
        <v>SAFIEF</v>
      </c>
      <c r="M56" s="6">
        <f t="shared" si="1"/>
        <v>2.5694444448163267E-2</v>
      </c>
      <c r="N56" s="7">
        <f t="shared" si="2"/>
        <v>37.000000005355105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08:49:28-700',mode:absolute,to:'2016-11-29 11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23.298200000000001</v>
      </c>
      <c r="Z56" s="67">
        <f t="shared" si="9"/>
        <v>1.4999999999999999E-2</v>
      </c>
      <c r="AA56" s="67">
        <f t="shared" si="10"/>
        <v>23.283200000000001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0144-29</v>
      </c>
      <c r="AE56" s="91" t="str">
        <f t="shared" si="12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56" s="88" t="str">
        <f t="shared" si="13"/>
        <v>"C:\Program Files (x86)\AstroGrep\AstroGrep.exe" /spath="%USERPROFILE%\AppData\Local\Temp\OnboardLogs" /stypes="app*4039*20161129*"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144-29 --locoid 4039 --swversion DE.1.0.8.0 --startMP 204:232982 --initTime 2016-11-29T09:49:28 --startdatetime 2016-11-29T09:56:17 --delay 1 --endMP 204:150 --enddatetime 2016-11-29T10:33:17 --enforcementcount 1 &gt;&gt;C:\Users\stu\Documents\GitHub\eaglep3-reporting\EC\2016-11-29-refined-times.txt</v>
      </c>
      <c r="AI5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{"issue":{"subject":"","project_id":79,"tracker_id":40,"status_id":1,"priority_id":2,"assigned_to_id":23,"start_date":"2016-11-29","description":"","custom_fields":[{"id":1,"name":"Subdivision","value":"EC"},{"id":4,"name":"Milepost","value":"0.015"},{"id":17,"name":"Train ID","value":"144-29"},{"id":16,"name":"Locomotive ID","value":"4039"},{"id":130,"name":"Impact","value":""},{"id":150,"name":"Time of Event (Mountain Time)","value":"10:33:17"},{"id":151,"name":"Denver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620</v>
      </c>
      <c r="B57" s="7">
        <v>4029</v>
      </c>
      <c r="C57" s="22" t="s">
        <v>212</v>
      </c>
      <c r="D57" s="22" t="s">
        <v>209</v>
      </c>
      <c r="E57" s="13">
        <v>42703.384305555555</v>
      </c>
      <c r="F57" s="13">
        <v>42703.385914351849</v>
      </c>
      <c r="G57" s="7">
        <v>1</v>
      </c>
      <c r="H57" s="22" t="s">
        <v>271</v>
      </c>
      <c r="I57" s="13">
        <v>42703.410567129627</v>
      </c>
      <c r="J57" s="7">
        <v>1</v>
      </c>
      <c r="K57" s="109" t="str">
        <f t="shared" si="0"/>
        <v>4029/4030</v>
      </c>
      <c r="L57" s="22" t="str">
        <f>VLOOKUP(A57,'Trips&amp;Operators'!$C$1:$E$10000,3,FALSE)</f>
        <v>MAGEE</v>
      </c>
      <c r="M57" s="6">
        <f t="shared" si="1"/>
        <v>2.4652777778101154E-2</v>
      </c>
      <c r="N57" s="7">
        <f t="shared" si="2"/>
        <v>35.500000000465661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08:13:24-700',mode:absolute,to:'2016-11-29 10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4.6199999999999998E-2</v>
      </c>
      <c r="Z57" s="67">
        <f t="shared" si="9"/>
        <v>23.3308</v>
      </c>
      <c r="AA57" s="67">
        <f t="shared" si="10"/>
        <v>23.284600000000001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0145-29</v>
      </c>
      <c r="AE57" s="91" t="str">
        <f t="shared" si="12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57" s="88" t="str">
        <f t="shared" si="13"/>
        <v>"C:\Program Files (x86)\AstroGrep\AstroGrep.exe" /spath="%USERPROFILE%\AppData\Local\Temp\OnboardLogs" /stypes="app*4029*20161129*"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145-29 --locoid 4029 --swversion DE.1.0.8.0 --startMP 204:462 --initTime 2016-11-29T09:13:24 --startdatetime 2016-11-29T09:15:43 --delay 1 --endMP 204:233308 --enddatetime 2016-11-29T09:51:13 --enforcementcount 1 &gt;&gt;C:\Users\stu\Documents\GitHub\eaglep3-reporting\EC\2016-11-29-refined-times.txt</v>
      </c>
      <c r="AI5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{"issue":{"subject":"","project_id":79,"tracker_id":40,"status_id":1,"priority_id":2,"assigned_to_id":23,"start_date":"2016-11-29","description":"","custom_fields":[{"id":1,"name":"Subdivision","value":"EC"},{"id":4,"name":"Milepost","value":"23.3308"},{"id":17,"name":"Train ID","value":"145-29"},{"id":16,"name":"Locomotive ID","value":"4029"},{"id":130,"name":"Impact","value":""},{"id":150,"name":"Time of Event (Mountain Time)","value":"09:51:13"},{"id":151,"name":"Denver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628</v>
      </c>
      <c r="B58" s="7">
        <v>4030</v>
      </c>
      <c r="C58" s="22" t="s">
        <v>212</v>
      </c>
      <c r="D58" s="22" t="s">
        <v>245</v>
      </c>
      <c r="E58" s="13">
        <v>42703.420960648145</v>
      </c>
      <c r="F58" s="13">
        <v>42703.424525462964</v>
      </c>
      <c r="G58" s="7">
        <v>2</v>
      </c>
      <c r="H58" s="22" t="s">
        <v>236</v>
      </c>
      <c r="I58" s="13">
        <v>42703.451597222222</v>
      </c>
      <c r="J58" s="7">
        <v>1</v>
      </c>
      <c r="K58" s="109" t="str">
        <f t="shared" si="0"/>
        <v>4029/4030</v>
      </c>
      <c r="L58" s="22" t="str">
        <f>VLOOKUP(A58,'Trips&amp;Operators'!$C$1:$E$10000,3,FALSE)</f>
        <v>MAGEE</v>
      </c>
      <c r="M58" s="6">
        <f t="shared" si="1"/>
        <v>2.7071759257523809E-2</v>
      </c>
      <c r="N58" s="7">
        <f t="shared" si="2"/>
        <v>38.983333330834284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09:06:11-700',mode:absolute,to:'2016-11-29 11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23.299299999999999</v>
      </c>
      <c r="Z58" s="67">
        <f t="shared" si="9"/>
        <v>1.41E-2</v>
      </c>
      <c r="AA58" s="67">
        <f t="shared" si="10"/>
        <v>23.2852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0146-29</v>
      </c>
      <c r="AE58" s="91" t="str">
        <f t="shared" si="12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58" s="88" t="str">
        <f t="shared" si="13"/>
        <v>"C:\Program Files (x86)\AstroGrep\AstroGrep.exe" /spath="%USERPROFILE%\AppData\Local\Temp\OnboardLogs" /stypes="app*4030*20161129*"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146-29 --locoid 4030 --swversion DE.1.0.8.0 --startMP 204:232993 --initTime 2016-11-29T10:06:11 --startdatetime 2016-11-29T10:11:19 --delay 2 --endMP 204:141 --enddatetime 2016-11-29T10:50:18 --enforcementcount 1 &gt;&gt;C:\Users\stu\Documents\GitHub\eaglep3-reporting\EC\2016-11-29-refined-times.txt</v>
      </c>
      <c r="AI58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{"issue":{"subject":"","project_id":79,"tracker_id":40,"status_id":1,"priority_id":2,"assigned_to_id":23,"start_date":"2016-11-29","description":"","custom_fields":[{"id":1,"name":"Subdivision","value":"EC"},{"id":4,"name":"Milepost","value":"0.0141"},{"id":17,"name":"Train ID","value":"146-29"},{"id":16,"name":"Locomotive ID","value":"4030"},{"id":130,"name":"Impact","value":""},{"id":150,"name":"Time of Event (Mountain Time)","value":"10:50:18"},{"id":151,"name":"Denver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622</v>
      </c>
      <c r="B59" s="7">
        <v>4016</v>
      </c>
      <c r="C59" s="22" t="s">
        <v>212</v>
      </c>
      <c r="D59" s="22" t="s">
        <v>197</v>
      </c>
      <c r="E59" s="13">
        <v>42703.391041666669</v>
      </c>
      <c r="F59" s="13">
        <v>42703.396168981482</v>
      </c>
      <c r="G59" s="7">
        <v>1</v>
      </c>
      <c r="H59" s="22" t="s">
        <v>350</v>
      </c>
      <c r="I59" s="13">
        <v>42703.420983796299</v>
      </c>
      <c r="J59" s="7">
        <v>1</v>
      </c>
      <c r="K59" s="109" t="str">
        <f t="shared" si="0"/>
        <v>4015/4016</v>
      </c>
      <c r="L59" s="22" t="str">
        <f>VLOOKUP(A59,'Trips&amp;Operators'!$C$1:$E$10000,3,FALSE)</f>
        <v>PERKINS</v>
      </c>
      <c r="M59" s="6">
        <f t="shared" si="1"/>
        <v>2.4814814816636499E-2</v>
      </c>
      <c r="N59" s="7">
        <f t="shared" si="2"/>
        <v>35.733333335956559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08:23:06-700',mode:absolute,to:'2016-11-29 11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4.5100000000000001E-2</v>
      </c>
      <c r="Z59" s="67">
        <f t="shared" si="9"/>
        <v>23.329699999999999</v>
      </c>
      <c r="AA59" s="67">
        <f t="shared" si="10"/>
        <v>23.284599999999998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0147-29</v>
      </c>
      <c r="AE59" s="91" t="str">
        <f t="shared" si="12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59" s="88" t="str">
        <f t="shared" si="13"/>
        <v>"C:\Program Files (x86)\AstroGrep\AstroGrep.exe" /spath="%USERPROFILE%\AppData\Local\Temp\OnboardLogs" /stypes="app*4016*20161129*"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147-29 --locoid 4016 --swversion DE.1.0.8.0 --startMP 204:451 --initTime 2016-11-29T09:23:06 --startdatetime 2016-11-29T09:30:29 --delay 1 --endMP 204:233297 --enddatetime 2016-11-29T10:06:13 --enforcementcount 1 &gt;&gt;C:\Users\stu\Documents\GitHub\eaglep3-reporting\EC\2016-11-29-refined-times.txt</v>
      </c>
      <c r="AI59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{"issue":{"subject":"","project_id":79,"tracker_id":40,"status_id":1,"priority_id":2,"assigned_to_id":23,"start_date":"2016-11-29","description":"","custom_fields":[{"id":1,"name":"Subdivision","value":"EC"},{"id":4,"name":"Milepost","value":"23.3297"},{"id":17,"name":"Train ID","value":"147-29"},{"id":16,"name":"Locomotive ID","value":"4016"},{"id":130,"name":"Impact","value":""},{"id":150,"name":"Time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543</v>
      </c>
      <c r="B60" s="7">
        <v>4015</v>
      </c>
      <c r="C60" s="22" t="s">
        <v>212</v>
      </c>
      <c r="D60" s="22" t="s">
        <v>328</v>
      </c>
      <c r="E60" s="13">
        <v>42703.423217592594</v>
      </c>
      <c r="F60" s="13">
        <v>42703.435011574074</v>
      </c>
      <c r="G60" s="7">
        <v>1</v>
      </c>
      <c r="H60" s="22" t="s">
        <v>340</v>
      </c>
      <c r="I60" s="13">
        <v>42703.462210648147</v>
      </c>
      <c r="J60" s="7">
        <v>1</v>
      </c>
      <c r="K60" s="109" t="str">
        <f t="shared" si="0"/>
        <v>4015/4016</v>
      </c>
      <c r="L60" s="22" t="str">
        <f>VLOOKUP(A60,'Trips&amp;Operators'!$C$1:$E$10000,3,FALSE)</f>
        <v>PERKINS</v>
      </c>
      <c r="M60" s="6">
        <f t="shared" si="1"/>
        <v>2.7199074072996154E-2</v>
      </c>
      <c r="N60" s="7">
        <f t="shared" si="2"/>
        <v>39.166666665114462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09:09:26-700',mode:absolute,to:'2016-11-29 12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23.298200000000001</v>
      </c>
      <c r="Z60" s="67">
        <f t="shared" si="9"/>
        <v>1.34E-2</v>
      </c>
      <c r="AA60" s="67">
        <f t="shared" si="10"/>
        <v>23.284800000000001</v>
      </c>
      <c r="AB60" s="64" t="str">
        <f>VLOOKUP(A60,Enforcements!$C$7:$K$20,8,0)</f>
        <v>Speed (6)</v>
      </c>
      <c r="AC60" s="60" t="str">
        <f>VLOOKUP(A60,Enforcements!$C$7:$E$20,3,0)</f>
        <v>PERMANENT SPEED RESTRICTION</v>
      </c>
      <c r="AD60" s="61" t="str">
        <f t="shared" si="11"/>
        <v>0148-29</v>
      </c>
      <c r="AE60" s="91" t="str">
        <f t="shared" si="12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60" s="88" t="str">
        <f t="shared" si="13"/>
        <v>"C:\Program Files (x86)\AstroGrep\AstroGrep.exe" /spath="%USERPROFILE%\AppData\Local\Temp\OnboardLogs" /stypes="app*4015*20161129*"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148-29 --locoid 4015 --swversion DE.1.0.8.0 --startMP 204:232982 --initTime 2016-11-29T10:09:26 --startdatetime 2016-11-29T10:26:25 --delay 1 --endMP 204:134 --enddatetime 2016-11-29T11:05:35 --enforcementcount 1 &gt;&gt;C:\Users\stu\Documents\GitHub\eaglep3-reporting\EC\2016-11-29-refined-times.txt</v>
      </c>
      <c r="AI60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{"issue":{"subject":"","project_id":79,"tracker_id":40,"status_id":1,"priority_id":2,"assigned_to_id":23,"start_date":"2016-11-29","description":"","custom_fields":[{"id":1,"name":"Subdivision","value":"EC"},{"id":4,"name":"Milepost","value":"0.0134"},{"id":17,"name":"Train ID","value":"148-29"},{"id":16,"name":"Locomotive ID","value":"4015"},{"id":130,"name":"Impact","value":""},{"id":150,"name":"Time of Event (Mountain Time)","value":"11:05:35"},{"id":151,"name":"Denver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625</v>
      </c>
      <c r="B61" s="7">
        <v>4014</v>
      </c>
      <c r="C61" s="22" t="s">
        <v>212</v>
      </c>
      <c r="D61" s="22" t="s">
        <v>784</v>
      </c>
      <c r="E61" s="13">
        <v>42703.402604166666</v>
      </c>
      <c r="F61" s="13">
        <v>42703.4065625</v>
      </c>
      <c r="G61" s="7">
        <v>1</v>
      </c>
      <c r="H61" s="22" t="s">
        <v>376</v>
      </c>
      <c r="I61" s="13">
        <v>42703.430879629632</v>
      </c>
      <c r="J61" s="7">
        <v>1</v>
      </c>
      <c r="K61" s="109" t="str">
        <f t="shared" si="0"/>
        <v>4013/4014</v>
      </c>
      <c r="L61" s="22" t="str">
        <f>VLOOKUP(A61,'Trips&amp;Operators'!$C$1:$E$10000,3,FALSE)</f>
        <v>SPECTOR</v>
      </c>
      <c r="M61" s="6">
        <f t="shared" si="1"/>
        <v>2.4317129631526768E-2</v>
      </c>
      <c r="N61" s="7">
        <f t="shared" si="2"/>
        <v>35.016666669398546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08:39:45-700',mode:absolute,to:'2016-11-29 11:20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5.1999999999999998E-2</v>
      </c>
      <c r="Z61" s="67">
        <f t="shared" si="9"/>
        <v>23.331700000000001</v>
      </c>
      <c r="AA61" s="67">
        <f t="shared" si="10"/>
        <v>23.279700000000002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0149-29</v>
      </c>
      <c r="AE61" s="91" t="str">
        <f t="shared" si="12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61" s="88" t="str">
        <f t="shared" si="13"/>
        <v>"C:\Program Files (x86)\AstroGrep\AstroGrep.exe" /spath="%USERPROFILE%\AppData\Local\Temp\OnboardLogs" /stypes="app*4014*20161129*"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149-29 --locoid 4014 --swversion DE.1.0.8.0 --startMP 204:520 --initTime 2016-11-29T09:39:45 --startdatetime 2016-11-29T09:45:27 --delay 1 --endMP 204:233317 --enddatetime 2016-11-29T10:20:28 --enforcementcount 1 &gt;&gt;C:\Users\stu\Documents\GitHub\eaglep3-reporting\EC\2016-11-29-refined-times.txt</v>
      </c>
      <c r="AI61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{"issue":{"subject":"","project_id":79,"tracker_id":40,"status_id":1,"priority_id":2,"assigned_to_id":23,"start_date":"2016-11-29","description":"","custom_fields":[{"id":1,"name":"Subdivision","value":"EC"},{"id":4,"name":"Milepost","value":"23.3317"},{"id":17,"name":"Train ID","value":"149-29"},{"id":16,"name":"Locomotive ID","value":"4014"},{"id":130,"name":"Impact","value":""},{"id":150,"name":"Time of Event (Mountain Time)","value":"10:20:28"},{"id":151,"name":"Denver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549</v>
      </c>
      <c r="B62" s="7">
        <v>4013</v>
      </c>
      <c r="C62" s="22" t="s">
        <v>212</v>
      </c>
      <c r="D62" s="22" t="s">
        <v>777</v>
      </c>
      <c r="E62" s="13">
        <v>42703.441319444442</v>
      </c>
      <c r="F62" s="13">
        <v>42703.445347222223</v>
      </c>
      <c r="G62" s="7">
        <v>1</v>
      </c>
      <c r="H62" s="22" t="s">
        <v>279</v>
      </c>
      <c r="I62" s="13">
        <v>42703.472627314812</v>
      </c>
      <c r="J62" s="7">
        <v>1</v>
      </c>
      <c r="K62" s="109" t="str">
        <f t="shared" si="0"/>
        <v>4013/4014</v>
      </c>
      <c r="L62" s="22" t="str">
        <f>VLOOKUP(A62,'Trips&amp;Operators'!$C$1:$E$10000,3,FALSE)</f>
        <v>SPECTOR</v>
      </c>
      <c r="M62" s="6">
        <f t="shared" si="1"/>
        <v>2.7280092588625848E-2</v>
      </c>
      <c r="N62" s="7">
        <f t="shared" si="2"/>
        <v>39.283333327621222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09:35:30-700',mode:absolute,to:'2016-11-29 12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23.3019</v>
      </c>
      <c r="Z62" s="67">
        <f t="shared" si="9"/>
        <v>1.4500000000000001E-2</v>
      </c>
      <c r="AA62" s="67">
        <f t="shared" si="10"/>
        <v>23.287399999999998</v>
      </c>
      <c r="AB62" s="64" t="str">
        <f>VLOOKUP(A62,Enforcements!$C$7:$K$20,8,0)</f>
        <v>Bulletin (2)</v>
      </c>
      <c r="AC62" s="60" t="str">
        <f>VLOOKUP(A62,Enforcements!$C$7:$E$20,3,0)</f>
        <v>GRADE CROSSING</v>
      </c>
      <c r="AD62" s="61" t="str">
        <f t="shared" si="11"/>
        <v>0150-29</v>
      </c>
      <c r="AE62" s="91" t="str">
        <f t="shared" si="12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62" s="88" t="str">
        <f t="shared" si="13"/>
        <v>"C:\Program Files (x86)\AstroGrep\AstroGrep.exe" /spath="%USERPROFILE%\AppData\Local\Temp\OnboardLogs" /stypes="app*4013*20161129*"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150-29 --locoid 4013 --swversion DE.1.0.8.0 --startMP 204:233019 --initTime 2016-11-29T10:35:30 --startdatetime 2016-11-29T10:41:18 --delay 1 --endMP 204:145 --enddatetime 2016-11-29T11:20:35 --enforcementcount 1 &gt;&gt;C:\Users\stu\Documents\GitHub\eaglep3-reporting\EC\2016-11-29-refined-times.txt</v>
      </c>
      <c r="AI62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{"issue":{"subject":"","project_id":79,"tracker_id":40,"status_id":1,"priority_id":2,"assigned_to_id":23,"start_date":"2016-11-29","description":"","custom_fields":[{"id":1,"name":"Subdivision","value":"EC"},{"id":4,"name":"Milepost","value":"0.0145"},{"id":17,"name":"Train ID","value":"150-29"},{"id":16,"name":"Locomotive ID","value":"4013"},{"id":130,"name":"Impact","value":""},{"id":150,"name":"Time of Event (Mountain Time)","value":"11:20:35"},{"id":151,"name":"Denver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627</v>
      </c>
      <c r="B63" s="7">
        <v>4031</v>
      </c>
      <c r="C63" s="22" t="s">
        <v>212</v>
      </c>
      <c r="D63" s="22" t="s">
        <v>282</v>
      </c>
      <c r="E63" s="13">
        <v>42703.411493055559</v>
      </c>
      <c r="F63" s="13">
        <v>42703.416898148149</v>
      </c>
      <c r="G63" s="7">
        <v>1</v>
      </c>
      <c r="H63" s="22" t="s">
        <v>274</v>
      </c>
      <c r="I63" s="13">
        <v>42703.44226851852</v>
      </c>
      <c r="J63" s="7">
        <v>1</v>
      </c>
      <c r="K63" s="109" t="str">
        <f t="shared" si="0"/>
        <v>4031/4032</v>
      </c>
      <c r="L63" s="22" t="str">
        <f>VLOOKUP(A63,'Trips&amp;Operators'!$C$1:$E$10000,3,FALSE)</f>
        <v>DAVIS</v>
      </c>
      <c r="M63" s="6">
        <f t="shared" si="1"/>
        <v>2.5370370371092577E-2</v>
      </c>
      <c r="N63" s="7">
        <f t="shared" si="2"/>
        <v>36.53333333437331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08:52:33-700',mode:absolute,to:'2016-11-29 11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4.6699999999999998E-2</v>
      </c>
      <c r="Z63" s="67">
        <f t="shared" si="9"/>
        <v>23.330300000000001</v>
      </c>
      <c r="AA63" s="67">
        <f t="shared" si="10"/>
        <v>23.2836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0151-29</v>
      </c>
      <c r="AE63" s="91" t="str">
        <f t="shared" si="12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63" s="88" t="str">
        <f t="shared" si="13"/>
        <v>"C:\Program Files (x86)\AstroGrep\AstroGrep.exe" /spath="%USERPROFILE%\AppData\Local\Temp\OnboardLogs" /stypes="app*4031*20161129*"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151-29 --locoid 4031 --swversion DE.1.0.8.0 --startMP 204:467 --initTime 2016-11-29T09:52:33 --startdatetime 2016-11-29T10:00:20 --delay 1 --endMP 204:233303 --enddatetime 2016-11-29T10:36:52 --enforcementcount 1 &gt;&gt;C:\Users\stu\Documents\GitHub\eaglep3-reporting\EC\2016-11-29-refined-times.txt</v>
      </c>
      <c r="AI63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{"issue":{"subject":"","project_id":79,"tracker_id":40,"status_id":1,"priority_id":2,"assigned_to_id":23,"start_date":"2016-11-29","description":"","custom_fields":[{"id":1,"name":"Subdivision","value":"EC"},{"id":4,"name":"Milepost","value":"23.3303"},{"id":17,"name":"Train ID","value":"151-29"},{"id":16,"name":"Locomotive ID","value":"4031"},{"id":130,"name":"Impact","value":""},{"id":150,"name":"Time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546</v>
      </c>
      <c r="B64" s="7">
        <v>4032</v>
      </c>
      <c r="C64" s="22" t="s">
        <v>212</v>
      </c>
      <c r="D64" s="22" t="s">
        <v>323</v>
      </c>
      <c r="E64" s="13">
        <v>42703.452118055553</v>
      </c>
      <c r="F64" s="13">
        <v>42703.455729166664</v>
      </c>
      <c r="G64" s="7">
        <v>1</v>
      </c>
      <c r="H64" s="22" t="s">
        <v>193</v>
      </c>
      <c r="I64" s="13">
        <v>42703.483506944445</v>
      </c>
      <c r="J64" s="7">
        <v>1</v>
      </c>
      <c r="K64" s="109" t="str">
        <f t="shared" si="0"/>
        <v>4031/4032</v>
      </c>
      <c r="L64" s="22" t="str">
        <f>VLOOKUP(A64,'Trips&amp;Operators'!$C$1:$E$10000,3,FALSE)</f>
        <v>DAVIS</v>
      </c>
      <c r="M64" s="6">
        <f t="shared" si="1"/>
        <v>2.7777777781011537E-2</v>
      </c>
      <c r="N64" s="7">
        <f t="shared" si="2"/>
        <v>40.000000004656613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09:51:03-700',mode:absolute,to:'2016-11-29 12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23.298999999999999</v>
      </c>
      <c r="Z64" s="67">
        <f t="shared" si="9"/>
        <v>1.43E-2</v>
      </c>
      <c r="AA64" s="67">
        <f t="shared" si="10"/>
        <v>23.284700000000001</v>
      </c>
      <c r="AB64" s="64" t="str">
        <f>VLOOKUP(A64,Enforcements!$C$7:$K$20,8,0)</f>
        <v>Signal based authority (5)</v>
      </c>
      <c r="AC64" s="60" t="str">
        <f>VLOOKUP(A64,Enforcements!$C$7:$E$20,3,0)</f>
        <v>SIGNAL</v>
      </c>
      <c r="AD64" s="61" t="str">
        <f t="shared" si="11"/>
        <v>0152-29</v>
      </c>
      <c r="AE64" s="91" t="str">
        <f t="shared" si="12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64" s="88" t="str">
        <f t="shared" si="13"/>
        <v>"C:\Program Files (x86)\AstroGrep\AstroGrep.exe" /spath="%USERPROFILE%\AppData\Local\Temp\OnboardLogs" /stypes="app*4032*20161129*"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152-29 --locoid 4032 --swversion DE.1.0.8.0 --startMP 204:232990 --initTime 2016-11-29T10:51:03 --startdatetime 2016-11-29T10:56:15 --delay 1 --endMP 204:143 --enddatetime 2016-11-29T11:36:15 --enforcementcount 1 &gt;&gt;C:\Users\stu\Documents\GitHub\eaglep3-reporting\EC\2016-11-29-refined-times.txt</v>
      </c>
      <c r="AI64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{"issue":{"subject":"","project_id":79,"tracker_id":40,"status_id":1,"priority_id":2,"assigned_to_id":23,"start_date":"2016-11-29","description":"","custom_fields":[{"id":1,"name":"Subdivision","value":"EC"},{"id":4,"name":"Milepost","value":"0.0143"},{"id":17,"name":"Train ID","value":"152-29"},{"id":16,"name":"Locomotive ID","value":"4032"},{"id":130,"name":"Impact","value":""},{"id":150,"name":"Time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629</v>
      </c>
      <c r="B65" s="7">
        <v>4003</v>
      </c>
      <c r="C65" s="22" t="s">
        <v>212</v>
      </c>
      <c r="D65" s="22" t="s">
        <v>211</v>
      </c>
      <c r="E65" s="13">
        <v>42703.424212962964</v>
      </c>
      <c r="F65" s="13">
        <v>42703.427303240744</v>
      </c>
      <c r="G65" s="7">
        <v>4</v>
      </c>
      <c r="H65" s="22" t="s">
        <v>350</v>
      </c>
      <c r="I65" s="13">
        <v>42703.451724537037</v>
      </c>
      <c r="J65" s="7">
        <v>1</v>
      </c>
      <c r="K65" s="109" t="str">
        <f t="shared" si="0"/>
        <v>4003/4004</v>
      </c>
      <c r="L65" s="22" t="str">
        <f>VLOOKUP(A65,'Trips&amp;Operators'!$C$1:$E$10000,3,FALSE)</f>
        <v>GEBRETEKLE</v>
      </c>
      <c r="M65" s="6">
        <f t="shared" si="1"/>
        <v>2.4421296293439809E-2</v>
      </c>
      <c r="N65" s="7">
        <f t="shared" si="2"/>
        <v>35.166666662553325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09:10:52-700',mode:absolute,to:'2016-11-29 11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4.6399999999999997E-2</v>
      </c>
      <c r="Z65" s="67">
        <f t="shared" si="9"/>
        <v>23.329699999999999</v>
      </c>
      <c r="AA65" s="67">
        <f t="shared" si="10"/>
        <v>23.283300000000001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0153-29</v>
      </c>
      <c r="AE65" s="91" t="str">
        <f t="shared" si="12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65" s="88" t="str">
        <f t="shared" si="13"/>
        <v>"C:\Program Files (x86)\AstroGrep\AstroGrep.exe" /spath="%USERPROFILE%\AppData\Local\Temp\OnboardLogs" /stypes="app*4003*20161129*"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153-29 --locoid 4003 --swversion DE.1.0.8.0 --startMP 204:464 --initTime 2016-11-29T10:10:52 --startdatetime 2016-11-29T10:15:19 --delay 4 --endMP 204:233297 --enddatetime 2016-11-29T10:50:29 --enforcementcount 1 &gt;&gt;C:\Users\stu\Documents\GitHub\eaglep3-reporting\EC\2016-11-29-refined-times.txt</v>
      </c>
      <c r="AI6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{"issue":{"subject":"","project_id":79,"tracker_id":40,"status_id":1,"priority_id":2,"assigned_to_id":23,"start_date":"2016-11-29","description":"","custom_fields":[{"id":1,"name":"Subdivision","value":"EC"},{"id":4,"name":"Milepost","value":"23.3297"},{"id":17,"name":"Train ID","value":"153-29"},{"id":16,"name":"Locomotive ID","value":"4003"},{"id":130,"name":"Impact","value":""},{"id":150,"name":"Time of Event (Mountain Time)","value":"10:50:29"},{"id":151,"name":"Denver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634</v>
      </c>
      <c r="B66" s="7">
        <v>4004</v>
      </c>
      <c r="C66" s="22" t="s">
        <v>212</v>
      </c>
      <c r="D66" s="22" t="s">
        <v>785</v>
      </c>
      <c r="E66" s="13">
        <v>42703.461770833332</v>
      </c>
      <c r="F66" s="13">
        <v>42703.466203703705</v>
      </c>
      <c r="G66" s="7">
        <v>1</v>
      </c>
      <c r="H66" s="22" t="s">
        <v>192</v>
      </c>
      <c r="I66" s="13">
        <v>42703.491909722223</v>
      </c>
      <c r="J66" s="7">
        <v>1</v>
      </c>
      <c r="K66" s="109" t="str">
        <f t="shared" si="0"/>
        <v>4003/4004</v>
      </c>
      <c r="L66" s="22" t="str">
        <f>VLOOKUP(A66,'Trips&amp;Operators'!$C$1:$E$10000,3,FALSE)</f>
        <v>GEBRETEKLE</v>
      </c>
      <c r="M66" s="6">
        <f t="shared" si="1"/>
        <v>2.5706018517666962E-2</v>
      </c>
      <c r="N66" s="7">
        <f t="shared" si="2"/>
        <v>37.016666665440425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10:04:57-700',mode:absolute,to:'2016-11-29 12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23.300799999999999</v>
      </c>
      <c r="Z66" s="67">
        <f t="shared" si="9"/>
        <v>1.49E-2</v>
      </c>
      <c r="AA66" s="67">
        <f t="shared" si="10"/>
        <v>23.285899999999998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0154-29</v>
      </c>
      <c r="AE66" s="91" t="str">
        <f t="shared" si="12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66" s="88" t="str">
        <f t="shared" si="13"/>
        <v>"C:\Program Files (x86)\AstroGrep\AstroGrep.exe" /spath="%USERPROFILE%\AppData\Local\Temp\OnboardLogs" /stypes="app*4004*20161129*"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154-29 --locoid 4004 --swversion DE.1.0.8.0 --startMP 204:233008 --initTime 2016-11-29T11:04:57 --startdatetime 2016-11-29T11:11:20 --delay 1 --endMP 204:149 --enddatetime 2016-11-29T11:48:21 --enforcementcount 1 &gt;&gt;C:\Users\stu\Documents\GitHub\eaglep3-reporting\EC\2016-11-29-refined-times.txt</v>
      </c>
      <c r="AI6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ID","value":"154-29"},{"id":16,"name":"Locomotive ID","value":"4004"},{"id":130,"name":"Impact","value":""},{"id":150,"name":"Time of Event (Mountain Time)","value":"11:48:21"},{"id":151,"name":"Denver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631</v>
      </c>
      <c r="B67" s="7">
        <v>4022</v>
      </c>
      <c r="C67" s="22" t="s">
        <v>212</v>
      </c>
      <c r="D67" s="22" t="s">
        <v>248</v>
      </c>
      <c r="E67" s="13">
        <v>42703.432256944441</v>
      </c>
      <c r="F67" s="13">
        <v>42703.437581018516</v>
      </c>
      <c r="G67" s="7">
        <v>1</v>
      </c>
      <c r="H67" s="22" t="s">
        <v>309</v>
      </c>
      <c r="I67" s="13">
        <v>42703.463784722226</v>
      </c>
      <c r="J67" s="7">
        <v>1</v>
      </c>
      <c r="K67" s="109" t="str">
        <f t="shared" si="0"/>
        <v>4021/4022</v>
      </c>
      <c r="L67" s="22" t="str">
        <f>VLOOKUP(A67,'Trips&amp;Operators'!$C$1:$E$10000,3,FALSE)</f>
        <v>HAITHCOX</v>
      </c>
      <c r="M67" s="6">
        <f t="shared" si="1"/>
        <v>2.620370371005265E-2</v>
      </c>
      <c r="N67" s="7">
        <f t="shared" si="2"/>
        <v>37.733333342475817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09:22:27-700',mode:absolute,to:'2016-11-29 12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4.5499999999999999E-2</v>
      </c>
      <c r="Z67" s="67">
        <f t="shared" si="9"/>
        <v>23.3291</v>
      </c>
      <c r="AA67" s="67">
        <f t="shared" si="10"/>
        <v>23.2836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0155-29</v>
      </c>
      <c r="AE67" s="91" t="str">
        <f t="shared" si="12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67" s="88" t="str">
        <f t="shared" si="13"/>
        <v>"C:\Program Files (x86)\AstroGrep\AstroGrep.exe" /spath="%USERPROFILE%\AppData\Local\Temp\OnboardLogs" /stypes="app*4022*20161129*"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155-29 --locoid 4022 --swversion DE.1.0.8.0 --startMP 204:455 --initTime 2016-11-29T10:22:27 --startdatetime 2016-11-29T10:30:07 --delay 1 --endMP 204:233291 --enddatetime 2016-11-29T11:07:51 --enforcementcount 1 &gt;&gt;C:\Users\stu\Documents\GitHub\eaglep3-reporting\EC\2016-11-29-refined-times.txt</v>
      </c>
      <c r="AI6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{"issue":{"subject":"","project_id":79,"tracker_id":40,"status_id":1,"priority_id":2,"assigned_to_id":23,"start_date":"2016-11-29","description":"","custom_fields":[{"id":1,"name":"Subdivision","value":"EC"},{"id":4,"name":"Milepost","value":"23.3291"},{"id":17,"name":"Train ID","value":"155-29"},{"id":16,"name":"Locomotive ID","value":"4022"},{"id":130,"name":"Impact","value":""},{"id":150,"name":"Time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636</v>
      </c>
      <c r="B68" s="7">
        <v>4021</v>
      </c>
      <c r="C68" s="22" t="s">
        <v>212</v>
      </c>
      <c r="D68" s="22" t="s">
        <v>277</v>
      </c>
      <c r="E68" s="13">
        <v>42703.473541666666</v>
      </c>
      <c r="F68" s="13">
        <v>42703.476817129631</v>
      </c>
      <c r="G68" s="7">
        <v>1</v>
      </c>
      <c r="H68" s="22" t="s">
        <v>236</v>
      </c>
      <c r="I68" s="13">
        <v>42703.503495370373</v>
      </c>
      <c r="J68" s="7">
        <v>1</v>
      </c>
      <c r="K68" s="109" t="str">
        <f t="shared" si="0"/>
        <v>4021/4022</v>
      </c>
      <c r="L68" s="22" t="str">
        <f>VLOOKUP(A68,'Trips&amp;Operators'!$C$1:$E$10000,3,FALSE)</f>
        <v>HAITHCOX</v>
      </c>
      <c r="M68" s="6">
        <f t="shared" si="1"/>
        <v>2.6678240741603076E-2</v>
      </c>
      <c r="N68" s="7">
        <f t="shared" si="2"/>
        <v>38.41666666790843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10:21:54-700',mode:absolute,to:'2016-11-29 13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23.298400000000001</v>
      </c>
      <c r="Z68" s="67">
        <f t="shared" si="9"/>
        <v>1.41E-2</v>
      </c>
      <c r="AA68" s="67">
        <f t="shared" si="10"/>
        <v>23.284300000000002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0156-29</v>
      </c>
      <c r="AE68" s="91" t="str">
        <f t="shared" si="12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68" s="88" t="str">
        <f t="shared" si="13"/>
        <v>"C:\Program Files (x86)\AstroGrep\AstroGrep.exe" /spath="%USERPROFILE%\AppData\Local\Temp\OnboardLogs" /stypes="app*4021*20161129*"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156-29 --locoid 4021 --swversion DE.1.0.8.0 --startMP 204:232984 --initTime 2016-11-29T11:21:54 --startdatetime 2016-11-29T11:26:37 --delay 1 --endMP 204:141 --enddatetime 2016-11-29T12:05:02 --enforcementcount 1 &gt;&gt;C:\Users\stu\Documents\GitHub\eaglep3-reporting\EC\2016-11-29-refined-times.txt</v>
      </c>
      <c r="AI68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{"issue":{"subject":"","project_id":79,"tracker_id":40,"status_id":1,"priority_id":2,"assigned_to_id":23,"start_date":"2016-11-29","description":"","custom_fields":[{"id":1,"name":"Subdivision","value":"EC"},{"id":4,"name":"Milepost","value":"0.0141"},{"id":17,"name":"Train ID","value":"156-29"},{"id":16,"name":"Locomotive ID","value":"4021"},{"id":130,"name":"Impact","value":""},{"id":150,"name":"Time of Event (Mountain Time)","value":"12:05:02"},{"id":151,"name":"Denver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632</v>
      </c>
      <c r="B69" s="7">
        <v>4040</v>
      </c>
      <c r="C69" s="22" t="s">
        <v>212</v>
      </c>
      <c r="D69" s="22" t="s">
        <v>195</v>
      </c>
      <c r="E69" s="13">
        <v>42703.442499999997</v>
      </c>
      <c r="F69" s="13">
        <v>42703.448206018518</v>
      </c>
      <c r="G69" s="7">
        <v>2</v>
      </c>
      <c r="H69" s="22" t="s">
        <v>247</v>
      </c>
      <c r="I69" s="13">
        <v>42703.472743055558</v>
      </c>
      <c r="J69" s="7">
        <v>1</v>
      </c>
      <c r="K69" s="109" t="str">
        <f t="shared" si="0"/>
        <v>4039/4040</v>
      </c>
      <c r="L69" s="22" t="str">
        <f>VLOOKUP(A69,'Trips&amp;Operators'!$C$1:$E$10000,3,FALSE)</f>
        <v>SAFIEF</v>
      </c>
      <c r="M69" s="6">
        <f t="shared" si="1"/>
        <v>2.453703703940846E-2</v>
      </c>
      <c r="N69" s="7">
        <f t="shared" si="2"/>
        <v>35.333333336748183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09:37:12-700',mode:absolute,to:'2016-11-29 12:20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4.53E-2</v>
      </c>
      <c r="Z69" s="67">
        <f t="shared" si="9"/>
        <v>23.331399999999999</v>
      </c>
      <c r="AA69" s="67">
        <f t="shared" si="10"/>
        <v>23.286099999999998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0157-29</v>
      </c>
      <c r="AE69" s="91" t="str">
        <f t="shared" si="12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69" s="88" t="str">
        <f t="shared" si="13"/>
        <v>"C:\Program Files (x86)\AstroGrep\AstroGrep.exe" /spath="%USERPROFILE%\AppData\Local\Temp\OnboardLogs" /stypes="app*4040*20161129*"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157-29 --locoid 4040 --swversion DE.1.0.8.0 --startMP 204:453 --initTime 2016-11-29T10:37:12 --startdatetime 2016-11-29T10:45:25 --delay 2 --endMP 204:233314 --enddatetime 2016-11-29T11:20:45 --enforcementcount 1 &gt;&gt;C:\Users\stu\Documents\GitHub\eaglep3-reporting\EC\2016-11-29-refined-times.txt</v>
      </c>
      <c r="AI69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ID","value":"157-29"},{"id":16,"name":"Locomotive ID","value":"4040"},{"id":130,"name":"Impact","value":""},{"id":150,"name":"Time of Event (Mountain Time)","value":"11:20:45"},{"id":151,"name":"Denver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552</v>
      </c>
      <c r="B70" s="7">
        <v>4039</v>
      </c>
      <c r="C70" s="22" t="s">
        <v>212</v>
      </c>
      <c r="D70" s="22" t="s">
        <v>375</v>
      </c>
      <c r="E70" s="13">
        <v>42703.474803240744</v>
      </c>
      <c r="F70" s="13">
        <v>42703.487025462964</v>
      </c>
      <c r="G70" s="7">
        <v>1</v>
      </c>
      <c r="H70" s="22" t="s">
        <v>244</v>
      </c>
      <c r="I70" s="13">
        <v>42703.513877314814</v>
      </c>
      <c r="J70" s="7">
        <v>1</v>
      </c>
      <c r="K70" s="109" t="str">
        <f t="shared" si="0"/>
        <v>4039/4040</v>
      </c>
      <c r="L70" s="22" t="str">
        <f>VLOOKUP(A70,'Trips&amp;Operators'!$C$1:$E$10000,3,FALSE)</f>
        <v>SAFIEF</v>
      </c>
      <c r="M70" s="6">
        <f t="shared" si="1"/>
        <v>2.6851851849642117E-2</v>
      </c>
      <c r="N70" s="7">
        <f t="shared" si="2"/>
        <v>38.666666663484648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10:23:43-700',mode:absolute,to:'2016-11-29 13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23.3017</v>
      </c>
      <c r="Z70" s="67">
        <f t="shared" si="9"/>
        <v>1.47E-2</v>
      </c>
      <c r="AA70" s="67">
        <f t="shared" si="10"/>
        <v>23.286999999999999</v>
      </c>
      <c r="AB70" s="64" t="str">
        <f>VLOOKUP(A70,Enforcements!$C$7:$K$20,8,0)</f>
        <v>Track device (7)</v>
      </c>
      <c r="AC70" s="60" t="str">
        <f>VLOOKUP(A70,Enforcements!$C$7:$E$20,3,0)</f>
        <v>SWITCH UNKNOWN</v>
      </c>
      <c r="AD70" s="61" t="str">
        <f t="shared" si="11"/>
        <v>0158-29</v>
      </c>
      <c r="AE70" s="91" t="str">
        <f t="shared" si="12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70" s="88" t="str">
        <f t="shared" si="13"/>
        <v>"C:\Program Files (x86)\AstroGrep\AstroGrep.exe" /spath="%USERPROFILE%\AppData\Local\Temp\OnboardLogs" /stypes="app*4039*20161129*"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158-29 --locoid 4039 --swversion DE.1.0.8.0 --startMP 204:233017 --initTime 2016-11-29T11:23:43 --startdatetime 2016-11-29T11:41:19 --delay 1 --endMP 204:147 --enddatetime 2016-11-29T12:19:59 --enforcementcount 1 &gt;&gt;C:\Users\stu\Documents\GitHub\eaglep3-reporting\EC\2016-11-29-refined-times.txt</v>
      </c>
      <c r="AI70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{"issue":{"subject":"","project_id":79,"tracker_id":40,"status_id":1,"priority_id":2,"assigned_to_id":23,"start_date":"2016-11-29","description":"","custom_fields":[{"id":1,"name":"Subdivision","value":"EC"},{"id":4,"name":"Milepost","value":"0.0147"},{"id":17,"name":"Train ID","value":"158-29"},{"id":16,"name":"Locomotive ID","value":"4039"},{"id":130,"name":"Impact","value":""},{"id":150,"name":"Time of Event (Mountain Time)","value":"12:19:59"},{"id":151,"name":"Denver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633</v>
      </c>
      <c r="B71" s="7">
        <v>4029</v>
      </c>
      <c r="C71" s="22" t="s">
        <v>212</v>
      </c>
      <c r="D71" s="22" t="s">
        <v>312</v>
      </c>
      <c r="E71" s="13">
        <v>42703.453888888886</v>
      </c>
      <c r="F71" s="13">
        <v>42703.45853009259</v>
      </c>
      <c r="G71" s="7">
        <v>2</v>
      </c>
      <c r="H71" s="22" t="s">
        <v>309</v>
      </c>
      <c r="I71" s="13">
        <v>42703.483564814815</v>
      </c>
      <c r="J71" s="7">
        <v>1</v>
      </c>
      <c r="K71" s="109" t="str">
        <f t="shared" si="0"/>
        <v>4029/4030</v>
      </c>
      <c r="L71" s="22" t="str">
        <f>VLOOKUP(A71,'Trips&amp;Operators'!$C$1:$E$10000,3,FALSE)</f>
        <v>BARTLETT</v>
      </c>
      <c r="M71" s="6">
        <f t="shared" si="1"/>
        <v>2.5034722224518191E-2</v>
      </c>
      <c r="N71" s="7">
        <f t="shared" si="2"/>
        <v>36.050000003306195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09:53:36-700',mode:absolute,to:'2016-11-29 12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4.7300000000000002E-2</v>
      </c>
      <c r="Z71" s="67">
        <f t="shared" si="9"/>
        <v>23.3291</v>
      </c>
      <c r="AA71" s="67">
        <f t="shared" si="10"/>
        <v>23.2818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0159-29</v>
      </c>
      <c r="AE71" s="91" t="str">
        <f t="shared" si="12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71" s="88" t="str">
        <f t="shared" si="13"/>
        <v>"C:\Program Files (x86)\AstroGrep\AstroGrep.exe" /spath="%USERPROFILE%\AppData\Local\Temp\OnboardLogs" /stypes="app*4029*20161129*"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159-29 --locoid 4029 --swversion DE.1.0.8.0 --startMP 204:473 --initTime 2016-11-29T10:53:36 --startdatetime 2016-11-29T11:00:17 --delay 2 --endMP 204:233291 --enddatetime 2016-11-29T11:36:20 --enforcementcount 1 &gt;&gt;C:\Users\stu\Documents\GitHub\eaglep3-reporting\EC\2016-11-29-refined-times.txt</v>
      </c>
      <c r="AI71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{"issue":{"subject":"","project_id":79,"tracker_id":40,"status_id":1,"priority_id":2,"assigned_to_id":23,"start_date":"2016-11-29","description":"","custom_fields":[{"id":1,"name":"Subdivision","value":"EC"},{"id":4,"name":"Milepost","value":"23.3291"},{"id":17,"name":"Train ID","value":"159-29"},{"id":16,"name":"Locomotive ID","value":"4029"},{"id":130,"name":"Impact","value":""},{"id":150,"name":"Time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640</v>
      </c>
      <c r="B72" s="7">
        <v>4030</v>
      </c>
      <c r="C72" s="22" t="s">
        <v>212</v>
      </c>
      <c r="D72" s="22" t="s">
        <v>240</v>
      </c>
      <c r="E72" s="13">
        <v>42703.487233796295</v>
      </c>
      <c r="F72" s="13">
        <v>42703.497418981482</v>
      </c>
      <c r="G72" s="7">
        <v>1</v>
      </c>
      <c r="H72" s="22" t="s">
        <v>343</v>
      </c>
      <c r="I72" s="13">
        <v>42703.523657407408</v>
      </c>
      <c r="J72" s="7">
        <v>1</v>
      </c>
      <c r="K72" s="109" t="str">
        <f t="shared" si="0"/>
        <v>4029/4030</v>
      </c>
      <c r="L72" s="22" t="str">
        <f>VLOOKUP(A72,'Trips&amp;Operators'!$C$1:$E$10000,3,FALSE)</f>
        <v>BARTLETT</v>
      </c>
      <c r="M72" s="6">
        <f t="shared" si="1"/>
        <v>2.6238425925839692E-2</v>
      </c>
      <c r="N72" s="7">
        <f t="shared" si="2"/>
        <v>37.783333333209157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10:41:37-700',mode:absolute,to:'2016-11-29 13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23.299399999999999</v>
      </c>
      <c r="Z72" s="67">
        <f t="shared" si="9"/>
        <v>1.6299999999999999E-2</v>
      </c>
      <c r="AA72" s="67">
        <f t="shared" si="10"/>
        <v>23.283099999999997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0160-29</v>
      </c>
      <c r="AE72" s="91" t="str">
        <f t="shared" si="12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72" s="88" t="str">
        <f t="shared" si="13"/>
        <v>"C:\Program Files (x86)\AstroGrep\AstroGrep.exe" /spath="%USERPROFILE%\AppData\Local\Temp\OnboardLogs" /stypes="app*4030*20161129*"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160-29 --locoid 4030 --swversion DE.1.0.8.0 --startMP 204:232994 --initTime 2016-11-29T11:41:37 --startdatetime 2016-11-29T11:56:17 --delay 1 --endMP 204:163 --enddatetime 2016-11-29T12:34:04 --enforcementcount 1 &gt;&gt;C:\Users\stu\Documents\GitHub\eaglep3-reporting\EC\2016-11-29-refined-times.txt</v>
      </c>
      <c r="AI72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{"issue":{"subject":"","project_id":79,"tracker_id":40,"status_id":1,"priority_id":2,"assigned_to_id":23,"start_date":"2016-11-29","description":"","custom_fields":[{"id":1,"name":"Subdivision","value":"EC"},{"id":4,"name":"Milepost","value":"0.0163"},{"id":17,"name":"Train ID","value":"160-29"},{"id":16,"name":"Locomotive ID","value":"4030"},{"id":130,"name":"Impact","value":""},{"id":150,"name":"Time of Event (Mountain Time)","value":"12:34:04"},{"id":151,"name":"Denver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551</v>
      </c>
      <c r="B73" s="7">
        <v>4016</v>
      </c>
      <c r="C73" s="22" t="s">
        <v>212</v>
      </c>
      <c r="D73" s="22" t="s">
        <v>234</v>
      </c>
      <c r="E73" s="13">
        <v>42703.464305555557</v>
      </c>
      <c r="F73" s="13">
        <v>42703.468946759262</v>
      </c>
      <c r="G73" s="7">
        <v>2</v>
      </c>
      <c r="H73" s="22" t="s">
        <v>763</v>
      </c>
      <c r="I73" s="13">
        <v>42703.49523148148</v>
      </c>
      <c r="J73" s="7">
        <v>1</v>
      </c>
      <c r="K73" s="109" t="str">
        <f t="shared" si="0"/>
        <v>4015/4016</v>
      </c>
      <c r="L73" s="22" t="str">
        <f>VLOOKUP(A73,'Trips&amp;Operators'!$C$1:$E$10000,3,FALSE)</f>
        <v>STEWART</v>
      </c>
      <c r="M73" s="6">
        <f t="shared" si="1"/>
        <v>2.6284722218406387E-2</v>
      </c>
      <c r="N73" s="7">
        <f t="shared" si="2"/>
        <v>37.849999994505197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10:08:36-700',mode:absolute,to:'2016-11-29 12:53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4.6600000000000003E-2</v>
      </c>
      <c r="Z73" s="67">
        <f t="shared" si="9"/>
        <v>23.331</v>
      </c>
      <c r="AA73" s="67">
        <f t="shared" si="10"/>
        <v>23.284399999999998</v>
      </c>
      <c r="AB73" s="64" t="str">
        <f>VLOOKUP(A73,Enforcements!$C$7:$K$20,8,0)</f>
        <v>Signal based authority (5)</v>
      </c>
      <c r="AC73" s="60" t="str">
        <f>VLOOKUP(A73,Enforcements!$C$7:$E$20,3,0)</f>
        <v>SIGNAL</v>
      </c>
      <c r="AD73" s="61" t="str">
        <f t="shared" si="11"/>
        <v>0161-29</v>
      </c>
      <c r="AE73" s="91" t="str">
        <f t="shared" si="12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73" s="88" t="str">
        <f t="shared" si="13"/>
        <v>"C:\Program Files (x86)\AstroGrep\AstroGrep.exe" /spath="%USERPROFILE%\AppData\Local\Temp\OnboardLogs" /stypes="app*4016*20161129*"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161-29 --locoid 4016 --swversion DE.1.0.8.0 --startMP 204:466 --initTime 2016-11-29T11:08:36 --startdatetime 2016-11-29T11:15:17 --delay 2 --endMP 204:233310 --enddatetime 2016-11-29T11:53:08 --enforcementcount 1 &gt;&gt;C:\Users\stu\Documents\GitHub\eaglep3-reporting\EC\2016-11-29-refined-times.txt</v>
      </c>
      <c r="AI73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{"issue":{"subject":"","project_id":79,"tracker_id":40,"status_id":1,"priority_id":2,"assigned_to_id":23,"start_date":"2016-11-29","description":"","custom_fields":[{"id":1,"name":"Subdivision","value":"EC"},{"id":4,"name":"Milepost","value":"23.331"},{"id":17,"name":"Train ID","value":"161-29"},{"id":16,"name":"Locomotive ID","value":"4016"},{"id":130,"name":"Impact","value":""},{"id":150,"name":"Time of Event (Mountain Time)","value":"11:53:08"},{"id":151,"name":"Denver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643</v>
      </c>
      <c r="B74" s="7">
        <v>4015</v>
      </c>
      <c r="C74" s="22" t="s">
        <v>212</v>
      </c>
      <c r="D74" s="22" t="s">
        <v>242</v>
      </c>
      <c r="E74" s="13">
        <v>42703.505636574075</v>
      </c>
      <c r="F74" s="13">
        <v>42703.507870370369</v>
      </c>
      <c r="G74" s="7">
        <v>1</v>
      </c>
      <c r="H74" s="22" t="s">
        <v>326</v>
      </c>
      <c r="I74" s="13">
        <v>42703.534351851849</v>
      </c>
      <c r="J74" s="7">
        <v>1</v>
      </c>
      <c r="K74" s="109" t="str">
        <f t="shared" si="0"/>
        <v>4015/4016</v>
      </c>
      <c r="L74" s="22" t="str">
        <f>VLOOKUP(A74,'Trips&amp;Operators'!$C$1:$E$10000,3,FALSE)</f>
        <v>STEWART</v>
      </c>
      <c r="M74" s="6">
        <f t="shared" si="1"/>
        <v>2.6481481480004732E-2</v>
      </c>
      <c r="N74" s="7">
        <f t="shared" si="2"/>
        <v>38.133333331206813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11:08:07-700',mode:absolute,to:'2016-11-29 13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23.299800000000001</v>
      </c>
      <c r="Z74" s="67">
        <f t="shared" si="9"/>
        <v>1.6E-2</v>
      </c>
      <c r="AA74" s="67">
        <f t="shared" si="10"/>
        <v>23.283800000000003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0162-29</v>
      </c>
      <c r="AE74" s="91" t="str">
        <f t="shared" si="12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74" s="88" t="str">
        <f t="shared" si="13"/>
        <v>"C:\Program Files (x86)\AstroGrep\AstroGrep.exe" /spath="%USERPROFILE%\AppData\Local\Temp\OnboardLogs" /stypes="app*4015*20161129*"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162-29 --locoid 4015 --swversion DE.1.0.8.0 --startMP 204:232998 --initTime 2016-11-29T12:08:07 --startdatetime 2016-11-29T12:11:20 --delay 1 --endMP 204:160 --enddatetime 2016-11-29T12:49:28 --enforcementcount 1 &gt;&gt;C:\Users\stu\Documents\GitHub\eaglep3-reporting\EC\2016-11-29-refined-times.txt</v>
      </c>
      <c r="AI74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{"issue":{"subject":"","project_id":79,"tracker_id":40,"status_id":1,"priority_id":2,"assigned_to_id":23,"start_date":"2016-11-29","description":"","custom_fields":[{"id":1,"name":"Subdivision","value":"EC"},{"id":4,"name":"Milepost","value":"0.016"},{"id":17,"name":"Train ID","value":"162-29"},{"id":16,"name":"Locomotive ID","value":"4015"},{"id":130,"name":"Impact","value":""},{"id":150,"name":"Time of Event (Mountain Time)","value":"12:49:28"},{"id":151,"name":"Denver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637</v>
      </c>
      <c r="B75" s="7">
        <v>4014</v>
      </c>
      <c r="C75" s="22" t="s">
        <v>212</v>
      </c>
      <c r="D75" s="22" t="s">
        <v>370</v>
      </c>
      <c r="E75" s="13">
        <v>42703.474560185183</v>
      </c>
      <c r="F75" s="13">
        <v>42703.479456018518</v>
      </c>
      <c r="G75" s="7">
        <v>2</v>
      </c>
      <c r="H75" s="22" t="s">
        <v>261</v>
      </c>
      <c r="I75" s="13">
        <v>42703.505289351851</v>
      </c>
      <c r="J75" s="7">
        <v>1</v>
      </c>
      <c r="K75" s="109" t="str">
        <f t="shared" si="0"/>
        <v>4013/4014</v>
      </c>
      <c r="L75" s="22" t="str">
        <f>VLOOKUP(A75,'Trips&amp;Operators'!$C$1:$E$10000,3,FALSE)</f>
        <v>DAVIDSON</v>
      </c>
      <c r="M75" s="6">
        <f t="shared" si="1"/>
        <v>2.5833333333139308E-2</v>
      </c>
      <c r="N75" s="7">
        <f t="shared" si="2"/>
        <v>37.199999999720603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10:23:22-700',mode:absolute,to:'2016-11-29 13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4.3799999999999999E-2</v>
      </c>
      <c r="Z75" s="67">
        <f t="shared" si="9"/>
        <v>23.3293</v>
      </c>
      <c r="AA75" s="67">
        <f t="shared" si="10"/>
        <v>23.285499999999999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0163-29</v>
      </c>
      <c r="AE75" s="91" t="str">
        <f t="shared" si="12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75" s="88" t="str">
        <f t="shared" si="13"/>
        <v>"C:\Program Files (x86)\AstroGrep\AstroGrep.exe" /spath="%USERPROFILE%\AppData\Local\Temp\OnboardLogs" /stypes="app*4014*20161129*"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163-29 --locoid 4014 --swversion DE.1.0.8.0 --startMP 204:438 --initTime 2016-11-29T11:23:22 --startdatetime 2016-11-29T11:30:25 --delay 2 --endMP 204:233293 --enddatetime 2016-11-29T12:07:37 --enforcementcount 1 &gt;&gt;C:\Users\stu\Documents\GitHub\eaglep3-reporting\EC\2016-11-29-refined-times.txt</v>
      </c>
      <c r="AI75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{"issue":{"subject":"","project_id":79,"tracker_id":40,"status_id":1,"priority_id":2,"assigned_to_id":23,"start_date":"2016-11-29","description":"","custom_fields":[{"id":1,"name":"Subdivision","value":"EC"},{"id":4,"name":"Milepost","value":"23.3293"},{"id":17,"name":"Train ID","value":"163-29"},{"id":16,"name":"Locomotive ID","value":"4014"},{"id":130,"name":"Impact","value":""},{"id":150,"name":"Time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645</v>
      </c>
      <c r="B76" s="7">
        <v>4013</v>
      </c>
      <c r="C76" s="22" t="s">
        <v>212</v>
      </c>
      <c r="D76" s="22" t="s">
        <v>378</v>
      </c>
      <c r="E76" s="13">
        <v>42703.509189814817</v>
      </c>
      <c r="F76" s="13">
        <v>42703.518680555557</v>
      </c>
      <c r="G76" s="7">
        <v>1</v>
      </c>
      <c r="H76" s="22" t="s">
        <v>236</v>
      </c>
      <c r="I76" s="13">
        <v>42703.546238425923</v>
      </c>
      <c r="J76" s="7">
        <v>1</v>
      </c>
      <c r="K76" s="109" t="str">
        <f t="shared" si="0"/>
        <v>4013/4014</v>
      </c>
      <c r="L76" s="22" t="str">
        <f>VLOOKUP(A76,'Trips&amp;Operators'!$C$1:$E$10000,3,FALSE)</f>
        <v>DAVIDSON</v>
      </c>
      <c r="M76" s="6">
        <f t="shared" si="1"/>
        <v>2.7557870365853887E-2</v>
      </c>
      <c r="N76" s="7">
        <f t="shared" si="2"/>
        <v>39.683333326829597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https://search-rtdc-monitor-bjffxe2xuh6vdkpspy63sjmuny.us-east-1.es.amazonaws.com/_plugin/kibana/#/discover/Steve-Slow-Train-Analysis-(2080s-and-2083s)?_g=(refreshInterval:(display:Off,section:0,value:0),time:(from:'2016-11-29 11:13:14-700',mode:absolute,to:'2016-11-29 14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23.296299999999999</v>
      </c>
      <c r="Z76" s="67">
        <f t="shared" si="9"/>
        <v>1.41E-2</v>
      </c>
      <c r="AA76" s="67">
        <f t="shared" si="10"/>
        <v>23.2822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0164-29</v>
      </c>
      <c r="AE76" s="91" t="str">
        <f t="shared" si="12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76" s="88" t="str">
        <f t="shared" si="13"/>
        <v>"C:\Program Files (x86)\AstroGrep\AstroGrep.exe" /spath="%USERPROFILE%\AppData\Local\Temp\OnboardLogs" /stypes="app*4013*20161129*"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164-29 --locoid 4013 --swversion DE.1.0.8.0 --startMP 204:232963 --initTime 2016-11-29T12:13:14 --startdatetime 2016-11-29T12:26:54 --delay 1 --endMP 204:141 --enddatetime 2016-11-29T13:06:35 --enforcementcount 1 &gt;&gt;C:\Users\stu\Documents\GitHub\eaglep3-reporting\EC\2016-11-29-refined-times.txt</v>
      </c>
      <c r="AI76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{"issue":{"subject":"","project_id":79,"tracker_id":40,"status_id":1,"priority_id":2,"assigned_to_id":23,"start_date":"2016-11-29","description":"","custom_fields":[{"id":1,"name":"Subdivision","value":"EC"},{"id":4,"name":"Milepost","value":"0.0141"},{"id":17,"name":"Train ID","value":"164-29"},{"id":16,"name":"Locomotive ID","value":"4013"},{"id":130,"name":"Impact","value":""},{"id":150,"name":"Time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639</v>
      </c>
      <c r="B77" s="7">
        <v>4031</v>
      </c>
      <c r="C77" s="22" t="s">
        <v>212</v>
      </c>
      <c r="D77" s="22" t="s">
        <v>248</v>
      </c>
      <c r="E77" s="13">
        <v>42703.485995370371</v>
      </c>
      <c r="F77" s="13">
        <v>42703.48978009259</v>
      </c>
      <c r="G77" s="7">
        <v>1</v>
      </c>
      <c r="H77" s="22" t="s">
        <v>389</v>
      </c>
      <c r="I77" s="13">
        <v>42703.515127314815</v>
      </c>
      <c r="J77" s="7">
        <v>1</v>
      </c>
      <c r="K77" s="109" t="str">
        <f t="shared" ref="K77:K140" si="19">IF(ISEVEN(B77),(B77-1)&amp;"/"&amp;B77,B77&amp;"/"&amp;(B77+1))</f>
        <v>4031/4032</v>
      </c>
      <c r="L77" s="22" t="str">
        <f>VLOOKUP(A77,'Trips&amp;Operators'!$C$1:$E$10000,3,FALSE)</f>
        <v>BONDS</v>
      </c>
      <c r="M77" s="6">
        <f t="shared" ref="M77:M140" si="20">I77-F77</f>
        <v>2.5347222224809229E-2</v>
      </c>
      <c r="N77" s="7">
        <f t="shared" ref="N77:N140" si="21">24*60*SUM($M77:$M77)</f>
        <v>36.50000000372529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https://search-rtdc-monitor-bjffxe2xuh6vdkpspy63sjmuny.us-east-1.es.amazonaws.com/_plugin/kibana/#/discover/Steve-Slow-Train-Analysis-(2080s-and-2083s)?_g=(refreshInterval:(display:Off,section:0,value:0),time:(from:'2016-11-29 10:39:50-700',mode:absolute,to:'2016-11-29 13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4.5499999999999999E-2</v>
      </c>
      <c r="Z77" s="67">
        <f t="shared" ref="Z77:Z140" si="28">RIGHT(H77,LEN(H77)-4)/10000</f>
        <v>23.33</v>
      </c>
      <c r="AA77" s="67">
        <f t="shared" ref="AA77:AA140" si="29">ABS(Z77-Y77)</f>
        <v>23.284499999999998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0">IF(LEN(A77)=6,"0"&amp;A77,A77)</f>
        <v>0165-29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/stypes="app*4031*20161129*" /stext=" 19:.+((SYSTEM_STATE.+slice.+state.+changed )|(ment ac)|(multiple cpu faults)|(system.+state.+changed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165-29 --locoid 4031 --swversion DE.1.0.8.0 --startMP 204:455 --initTime 2016-11-29T11:39:50 --startdatetime 2016-11-29T11:45:17 --delay 1 --endMP 204:233300 --enddatetime 2016-11-29T12:21:47 --enforcementcount 1 &gt;&gt;C:\Users\stu\Documents\GitHub\eaglep3-reporting\EC\2016-11-29-refined-times.txt</v>
      </c>
      <c r="AI77" s="119" t="str">
        <f t="shared" si="18"/>
        <v>echo {"issue":{"subject":"","project_id":79,"tracker_id":40,"status_id":1,"priority_id":2,"assigned_to_id":23,"start_date":"2016-11-29","description":"","custom_fields":[{"id":1,"name":"Subdivision","value":"EC"},{"id":4,"name":"Milepost","value":"23.33"},{"id":17,"name":"Train ID","value":"165-29"},{"id":16,"name":"Locomotive ID","value":"4031"},{"id":130,"name":"Impact","value":""},{"id":150,"name":"Time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556</v>
      </c>
      <c r="B78" s="7">
        <v>4032</v>
      </c>
      <c r="C78" s="22" t="s">
        <v>212</v>
      </c>
      <c r="D78" s="22" t="s">
        <v>786</v>
      </c>
      <c r="E78" s="13">
        <v>42703.521874999999</v>
      </c>
      <c r="F78" s="13">
        <v>42703.528703703705</v>
      </c>
      <c r="G78" s="7">
        <v>1</v>
      </c>
      <c r="H78" s="22" t="s">
        <v>193</v>
      </c>
      <c r="I78" s="13">
        <v>42703.555069444446</v>
      </c>
      <c r="J78" s="7">
        <v>1</v>
      </c>
      <c r="K78" s="109" t="str">
        <f t="shared" si="19"/>
        <v>4031/4032</v>
      </c>
      <c r="L78" s="22" t="str">
        <f>VLOOKUP(A78,'Trips&amp;Operators'!$C$1:$E$10000,3,FALSE)</f>
        <v>BONDS</v>
      </c>
      <c r="M78" s="6">
        <f t="shared" si="20"/>
        <v>2.6365740741312038E-2</v>
      </c>
      <c r="N78" s="7">
        <f t="shared" si="21"/>
        <v>37.966666667489335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11:31:30-700',mode:absolute,to:'2016-11-29 14:19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23.298100000000002</v>
      </c>
      <c r="Z78" s="67">
        <f t="shared" si="28"/>
        <v>1.43E-2</v>
      </c>
      <c r="AA78" s="67">
        <f t="shared" si="29"/>
        <v>23.283800000000003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0166-29</v>
      </c>
      <c r="AE78" s="91" t="str">
        <f t="shared" si="31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78" s="88" t="str">
        <f t="shared" si="32"/>
        <v>"C:\Program Files (x86)\AstroGrep\AstroGrep.exe" /spath="%USERPROFILE%\AppData\Local\Temp\OnboardLogs" /stypes="app*4032*20161129*" /stext=" 20:.+((SYSTEM_STATE.+slice.+state.+changed )|(ment ac)|(multiple cpu faults)|(system.+state.+changed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166-29 --locoid 4032 --swversion DE.1.0.8.0 --startMP 204:232981 --initTime 2016-11-29T12:31:30 --startdatetime 2016-11-29T12:41:20 --delay 1 --endMP 204:143 --enddatetime 2016-11-29T13:19:18 --enforcementcount 1 &gt;&gt;C:\Users\stu\Documents\GitHub\eaglep3-reporting\EC\2016-11-29-refined-times.txt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{"issue":{"subject":"","project_id":79,"tracker_id":40,"status_id":1,"priority_id":2,"assigned_to_id":23,"start_date":"2016-11-29","description":"","custom_fields":[{"id":1,"name":"Subdivision","value":"EC"},{"id":4,"name":"Milepost","value":"0.0143"},{"id":17,"name":"Train ID","value":"166-29"},{"id":16,"name":"Locomotive ID","value":"4032"},{"id":130,"name":"Impact","value":""},{"id":150,"name":"Time of Event (Mountain Time)","value":"13:19:18"},{"id":151,"name":"Denver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641</v>
      </c>
      <c r="B79" s="7">
        <v>4003</v>
      </c>
      <c r="C79" s="22" t="s">
        <v>212</v>
      </c>
      <c r="D79" s="22" t="s">
        <v>282</v>
      </c>
      <c r="E79" s="13">
        <v>42703.494155092594</v>
      </c>
      <c r="F79" s="13">
        <v>42703.50104166667</v>
      </c>
      <c r="G79" s="7">
        <v>2</v>
      </c>
      <c r="H79" s="22" t="s">
        <v>269</v>
      </c>
      <c r="I79" s="13">
        <v>42703.526585648149</v>
      </c>
      <c r="J79" s="7">
        <v>1</v>
      </c>
      <c r="K79" s="109" t="str">
        <f t="shared" si="19"/>
        <v>4003/4004</v>
      </c>
      <c r="L79" s="22" t="str">
        <f>VLOOKUP(A79,'Trips&amp;Operators'!$C$1:$E$10000,3,FALSE)</f>
        <v>MAHAN</v>
      </c>
      <c r="M79" s="6">
        <f t="shared" si="20"/>
        <v>2.5543981479131617E-2</v>
      </c>
      <c r="N79" s="7">
        <f t="shared" si="21"/>
        <v>36.783333329949528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10:51:35-700',mode:absolute,to:'2016-11-29 13:38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4.6699999999999998E-2</v>
      </c>
      <c r="Z79" s="67">
        <f t="shared" si="28"/>
        <v>23.3307</v>
      </c>
      <c r="AA79" s="67">
        <f t="shared" si="29"/>
        <v>23.283999999999999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0167-29</v>
      </c>
      <c r="AE79" s="91" t="str">
        <f t="shared" si="31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79" s="88" t="str">
        <f t="shared" si="32"/>
        <v>"C:\Program Files (x86)\AstroGrep\AstroGrep.exe" /spath="%USERPROFILE%\AppData\Local\Temp\OnboardLogs" /stypes="app*4003*20161129*" /stext=" 19:.+((SYSTEM_STATE.+slice.+state.+changed )|(ment ac)|(multiple cpu faults)|(system.+state.+changed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167-29 --locoid 4003 --swversion DE.1.0.8.0 --startMP 204:467 --initTime 2016-11-29T11:51:35 --startdatetime 2016-11-29T12:01:30 --delay 2 --endMP 204:233307 --enddatetime 2016-11-29T12:38:17 --enforcementcount 1 &gt;&gt;C:\Users\stu\Documents\GitHub\eaglep3-reporting\EC\2016-11-29-refined-times.txt</v>
      </c>
      <c r="AI7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{"issue":{"subject":"","project_id":79,"tracker_id":40,"status_id":1,"priority_id":2,"assigned_to_id":23,"start_date":"2016-11-29","description":"","custom_fields":[{"id":1,"name":"Subdivision","value":"EC"},{"id":4,"name":"Milepost","value":"23.3307"},{"id":17,"name":"Train ID","value":"167-29"},{"id":16,"name":"Locomotive ID","value":"4003"},{"id":130,"name":"Impact","value":""},{"id":150,"name":"Time of Event (Mountain Time)","value":"12:38:17"},{"id":151,"name":"Denver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650</v>
      </c>
      <c r="B80" s="7">
        <v>4004</v>
      </c>
      <c r="C80" s="22" t="s">
        <v>212</v>
      </c>
      <c r="D80" s="22" t="s">
        <v>787</v>
      </c>
      <c r="E80" s="13">
        <v>42703.53565972222</v>
      </c>
      <c r="F80" s="13">
        <v>42703.539699074077</v>
      </c>
      <c r="G80" s="7">
        <v>1</v>
      </c>
      <c r="H80" s="22" t="s">
        <v>244</v>
      </c>
      <c r="I80" s="13">
        <v>42703.566747685189</v>
      </c>
      <c r="J80" s="7">
        <v>1</v>
      </c>
      <c r="K80" s="109" t="str">
        <f t="shared" si="19"/>
        <v>4003/4004</v>
      </c>
      <c r="L80" s="22" t="str">
        <f>VLOOKUP(A80,'Trips&amp;Operators'!$C$1:$E$10000,3,FALSE)</f>
        <v>MAHAN</v>
      </c>
      <c r="M80" s="6">
        <f t="shared" si="20"/>
        <v>2.7048611111240461E-2</v>
      </c>
      <c r="N80" s="7">
        <f t="shared" si="21"/>
        <v>38.950000000186265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11:51:21-700',mode:absolute,to:'2016-11-29 14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23.296900000000001</v>
      </c>
      <c r="Z80" s="67">
        <f t="shared" si="28"/>
        <v>1.47E-2</v>
      </c>
      <c r="AA80" s="67">
        <f t="shared" si="29"/>
        <v>23.2822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0168-29</v>
      </c>
      <c r="AE80" s="91" t="str">
        <f t="shared" si="31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80" s="88" t="str">
        <f t="shared" si="32"/>
        <v>"C:\Program Files (x86)\AstroGrep\AstroGrep.exe" /spath="%USERPROFILE%\AppData\Local\Temp\OnboardLogs" /stypes="app*4004*20161129*" /stext=" 20:.+((SYSTEM_STATE.+slice.+state.+changed )|(ment ac)|(multiple cpu faults)|(system.+state.+changed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168-29 --locoid 4004 --swversion DE.1.0.8.0 --startMP 204:232969 --initTime 2016-11-29T12:51:21 --startdatetime 2016-11-29T12:57:10 --delay 1 --endMP 204:147 --enddatetime 2016-11-29T13:36:07 --enforcementcount 1 &gt;&gt;C:\Users\stu\Documents\GitHub\eaglep3-reporting\EC\2016-11-29-refined-times.txt</v>
      </c>
      <c r="AI8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{"issue":{"subject":"","project_id":79,"tracker_id":40,"status_id":1,"priority_id":2,"assigned_to_id":23,"start_date":"2016-11-29","description":"","custom_fields":[{"id":1,"name":"Subdivision","value":"EC"},{"id":4,"name":"Milepost","value":"0.0147"},{"id":17,"name":"Train ID","value":"168-29"},{"id":16,"name":"Locomotive ID","value":"4004"},{"id":130,"name":"Impact","value":""},{"id":150,"name":"Time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644</v>
      </c>
      <c r="B81" s="7">
        <v>4022</v>
      </c>
      <c r="C81" s="22" t="s">
        <v>212</v>
      </c>
      <c r="D81" s="22" t="s">
        <v>329</v>
      </c>
      <c r="E81" s="13">
        <v>42703.505798611113</v>
      </c>
      <c r="F81" s="13">
        <v>42703.510601851849</v>
      </c>
      <c r="G81" s="7">
        <v>1</v>
      </c>
      <c r="H81" s="22" t="s">
        <v>389</v>
      </c>
      <c r="I81" s="13">
        <v>42703.536608796298</v>
      </c>
      <c r="J81" s="7">
        <v>1</v>
      </c>
      <c r="K81" s="109" t="str">
        <f t="shared" si="19"/>
        <v>4021/4022</v>
      </c>
      <c r="L81" s="22" t="str">
        <f>VLOOKUP(A81,'Trips&amp;Operators'!$C$1:$E$10000,3,FALSE)</f>
        <v>CLARK</v>
      </c>
      <c r="M81" s="6">
        <f t="shared" si="20"/>
        <v>2.6006944448454306E-2</v>
      </c>
      <c r="N81" s="7">
        <f t="shared" si="21"/>
        <v>37.4500000057742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11:08:21-700',mode:absolute,to:'2016-11-29 13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4.58E-2</v>
      </c>
      <c r="Z81" s="67">
        <f t="shared" si="28"/>
        <v>23.33</v>
      </c>
      <c r="AA81" s="67">
        <f t="shared" si="29"/>
        <v>23.284199999999998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0"/>
        <v>0169-29</v>
      </c>
      <c r="AE81" s="91" t="str">
        <f t="shared" si="31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81" s="88" t="str">
        <f t="shared" si="32"/>
        <v>"C:\Program Files (x86)\AstroGrep\AstroGrep.exe" /spath="%USERPROFILE%\AppData\Local\Temp\OnboardLogs" /stypes="app*4022*20161129*" /stext=" 19:.+((SYSTEM_STATE.+slice.+state.+changed )|(ment ac)|(multiple cpu faults)|(system.+state.+changed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169-29 --locoid 4022 --swversion DE.1.0.8.0 --startMP 204:458 --initTime 2016-11-29T12:08:21 --startdatetime 2016-11-29T12:15:16 --delay 1 --endMP 204:233300 --enddatetime 2016-11-29T12:52:43 --enforcementcount 1 &gt;&gt;C:\Users\stu\Documents\GitHub\eaglep3-reporting\EC\2016-11-29-refined-times.txt</v>
      </c>
      <c r="AI8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{"issue":{"subject":"","project_id":79,"tracker_id":40,"status_id":1,"priority_id":2,"assigned_to_id":23,"start_date":"2016-11-29","description":"","custom_fields":[{"id":1,"name":"Subdivision","value":"EC"},{"id":4,"name":"Milepost","value":"23.33"},{"id":17,"name":"Train ID","value":"169-29"},{"id":16,"name":"Locomotive ID","value":"4022"},{"id":130,"name":"Impact","value":""},{"id":150,"name":"Time of Event (Mountain Time)","value":"12:52:43"},{"id":151,"name":"Denver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651</v>
      </c>
      <c r="B82" s="7">
        <v>4021</v>
      </c>
      <c r="C82" s="22" t="s">
        <v>212</v>
      </c>
      <c r="D82" s="22" t="s">
        <v>310</v>
      </c>
      <c r="E82" s="13">
        <v>42703.545775462961</v>
      </c>
      <c r="F82" s="13">
        <v>42703.549490740741</v>
      </c>
      <c r="G82" s="7">
        <v>1</v>
      </c>
      <c r="H82" s="22" t="s">
        <v>244</v>
      </c>
      <c r="I82" s="13">
        <v>42703.577384259261</v>
      </c>
      <c r="J82" s="7">
        <v>1</v>
      </c>
      <c r="K82" s="109" t="str">
        <f t="shared" si="19"/>
        <v>4021/4022</v>
      </c>
      <c r="L82" s="22" t="str">
        <f>VLOOKUP(A82,'Trips&amp;Operators'!$C$1:$E$10000,3,FALSE)</f>
        <v>CLARK</v>
      </c>
      <c r="M82" s="6">
        <f t="shared" si="20"/>
        <v>2.789351851970423E-2</v>
      </c>
      <c r="N82" s="7">
        <f t="shared" si="21"/>
        <v>40.166666668374091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12:05:55-700',mode:absolute,to:'2016-11-29 14:51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23.298500000000001</v>
      </c>
      <c r="Z82" s="67">
        <f t="shared" si="28"/>
        <v>1.47E-2</v>
      </c>
      <c r="AA82" s="67">
        <f t="shared" si="29"/>
        <v>23.283799999999999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0170-29</v>
      </c>
      <c r="AE82" s="91" t="str">
        <f t="shared" si="31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82" s="88" t="str">
        <f t="shared" si="32"/>
        <v>"C:\Program Files (x86)\AstroGrep\AstroGrep.exe" /spath="%USERPROFILE%\AppData\Local\Temp\OnboardLogs" /stypes="app*4021*20161129*" /stext=" 20:.+((SYSTEM_STATE.+slice.+state.+changed )|(ment ac)|(multiple cpu faults)|(system.+state.+changed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170-29 --locoid 4021 --swversion DE.1.0.8.0 --startMP 204:232985 --initTime 2016-11-29T13:05:55 --startdatetime 2016-11-29T13:11:16 --delay 1 --endMP 204:147 --enddatetime 2016-11-29T13:51:26 --enforcementcount 1 &gt;&gt;C:\Users\stu\Documents\GitHub\eaglep3-reporting\EC\2016-11-29-refined-times.txt</v>
      </c>
      <c r="AI82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{"issue":{"subject":"","project_id":79,"tracker_id":40,"status_id":1,"priority_id":2,"assigned_to_id":23,"start_date":"2016-11-29","description":"","custom_fields":[{"id":1,"name":"Subdivision","value":"EC"},{"id":4,"name":"Milepost","value":"0.0147"},{"id":17,"name":"Train ID","value":"170-29"},{"id":16,"name":"Locomotive ID","value":"4021"},{"id":130,"name":"Impact","value":""},{"id":150,"name":"Time of Event (Mountain Time)","value":"13:51:26"},{"id":151,"name":"Denver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646</v>
      </c>
      <c r="B83" s="7">
        <v>4040</v>
      </c>
      <c r="C83" s="22" t="s">
        <v>212</v>
      </c>
      <c r="D83" s="22" t="s">
        <v>788</v>
      </c>
      <c r="E83" s="13">
        <v>42703.51666666667</v>
      </c>
      <c r="F83" s="13">
        <v>42703.521458333336</v>
      </c>
      <c r="G83" s="7">
        <v>3</v>
      </c>
      <c r="H83" s="22" t="s">
        <v>789</v>
      </c>
      <c r="I83" s="13">
        <v>42703.546724537038</v>
      </c>
      <c r="J83" s="7">
        <v>1</v>
      </c>
      <c r="K83" s="109" t="str">
        <f t="shared" si="19"/>
        <v>4039/4040</v>
      </c>
      <c r="L83" s="22" t="str">
        <f>VLOOKUP(A83,'Trips&amp;Operators'!$C$1:$E$10000,3,FALSE)</f>
        <v>STORY</v>
      </c>
      <c r="M83" s="6">
        <f t="shared" si="20"/>
        <v>2.5266203701903578E-2</v>
      </c>
      <c r="N83" s="7">
        <f t="shared" si="21"/>
        <v>36.383333330741152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11:24:00-700',mode:absolute,to:'2016-11-29 14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4.3299999999999998E-2</v>
      </c>
      <c r="Z83" s="67">
        <f t="shared" si="28"/>
        <v>23.335899999999999</v>
      </c>
      <c r="AA83" s="67">
        <f t="shared" si="29"/>
        <v>23.2926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0"/>
        <v>0171-29</v>
      </c>
      <c r="AE83" s="91" t="str">
        <f t="shared" si="31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83" s="88" t="str">
        <f t="shared" si="32"/>
        <v>"C:\Program Files (x86)\AstroGrep\AstroGrep.exe" /spath="%USERPROFILE%\AppData\Local\Temp\OnboardLogs" /stypes="app*4040*20161129*" /stext=" 20:.+((SYSTEM_STATE.+slice.+state.+changed )|(ment ac)|(multiple cpu faults)|(system.+state.+changed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171-29 --locoid 4040 --swversion DE.1.0.8.0 --startMP 204:433 --initTime 2016-11-29T12:24:00 --startdatetime 2016-11-29T12:30:54 --delay 3 --endMP 204:233359 --enddatetime 2016-11-29T13:07:17 --enforcementcount 1 &gt;&gt;C:\Users\stu\Documents\GitHub\eaglep3-reporting\EC\2016-11-29-refined-times.txt</v>
      </c>
      <c r="AI83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{"issue":{"subject":"","project_id":79,"tracker_id":40,"status_id":1,"priority_id":2,"assigned_to_id":23,"start_date":"2016-11-29","description":"","custom_fields":[{"id":1,"name":"Subdivision","value":"EC"},{"id":4,"name":"Milepost","value":"23.3359"},{"id":17,"name":"Train ID","value":"171-29"},{"id":16,"name":"Locomotive ID","value":"4040"},{"id":130,"name":"Impact","value":""},{"id":150,"name":"Time of Event (Mountain Time)","value":"13:07:17"},{"id":151,"name":"Denver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654</v>
      </c>
      <c r="B84" s="7">
        <v>4039</v>
      </c>
      <c r="C84" s="22" t="s">
        <v>212</v>
      </c>
      <c r="D84" s="22" t="s">
        <v>790</v>
      </c>
      <c r="E84" s="13">
        <v>42703.554247685184</v>
      </c>
      <c r="F84" s="13">
        <v>42703.560057870367</v>
      </c>
      <c r="G84" s="7">
        <v>2</v>
      </c>
      <c r="H84" s="22" t="s">
        <v>262</v>
      </c>
      <c r="I84" s="13">
        <v>42703.587453703702</v>
      </c>
      <c r="J84" s="7">
        <v>1</v>
      </c>
      <c r="K84" s="109" t="str">
        <f t="shared" si="19"/>
        <v>4039/4040</v>
      </c>
      <c r="L84" s="22" t="str">
        <f>VLOOKUP(A84,'Trips&amp;Operators'!$C$1:$E$10000,3,FALSE)</f>
        <v>STORY</v>
      </c>
      <c r="M84" s="6">
        <f t="shared" si="20"/>
        <v>2.7395833334594499E-2</v>
      </c>
      <c r="N84" s="7">
        <f t="shared" si="21"/>
        <v>39.450000001816079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12:18:07-700',mode:absolute,to:'2016-11-29 15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23.3032</v>
      </c>
      <c r="Z84" s="67">
        <f t="shared" si="28"/>
        <v>1.67E-2</v>
      </c>
      <c r="AA84" s="67">
        <f t="shared" si="29"/>
        <v>23.2865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0172-29</v>
      </c>
      <c r="AE84" s="91" t="str">
        <f t="shared" si="31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84" s="88" t="str">
        <f t="shared" si="32"/>
        <v>"C:\Program Files (x86)\AstroGrep\AstroGrep.exe" /spath="%USERPROFILE%\AppData\Local\Temp\OnboardLogs" /stypes="app*4039*20161129*" /stext=" 21:.+((SYSTEM_STATE.+slice.+state.+changed )|(ment ac)|(multiple cpu faults)|(system.+state.+changed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172-29 --locoid 4039 --swversion DE.1.0.8.0 --startMP 204:233032 --initTime 2016-11-29T13:18:07 --startdatetime 2016-11-29T13:26:29 --delay 2 --endMP 204:167 --enddatetime 2016-11-29T14:05:56 --enforcementcount 1 &gt;&gt;C:\Users\stu\Documents\GitHub\eaglep3-reporting\EC\2016-11-29-refined-times.txt</v>
      </c>
      <c r="AI84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{"issue":{"subject":"","project_id":79,"tracker_id":40,"status_id":1,"priority_id":2,"assigned_to_id":23,"start_date":"2016-11-29","description":"","custom_fields":[{"id":1,"name":"Subdivision","value":"EC"},{"id":4,"name":"Milepost","value":"0.0167"},{"id":17,"name":"Train ID","value":"172-29"},{"id":16,"name":"Locomotive ID","value":"4039"},{"id":130,"name":"Impact","value":""},{"id":150,"name":"Time of Event (Mountain Time)","value":"14:05:56"},{"id":151,"name":"Denver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649</v>
      </c>
      <c r="B85" s="7">
        <v>4029</v>
      </c>
      <c r="C85" s="22" t="s">
        <v>212</v>
      </c>
      <c r="D85" s="22" t="s">
        <v>234</v>
      </c>
      <c r="E85" s="13">
        <v>42703.525567129633</v>
      </c>
      <c r="F85" s="13">
        <v>42703.531412037039</v>
      </c>
      <c r="G85" s="7">
        <v>1</v>
      </c>
      <c r="H85" s="22" t="s">
        <v>247</v>
      </c>
      <c r="I85" s="13">
        <v>42703.55667824074</v>
      </c>
      <c r="J85" s="7">
        <v>1</v>
      </c>
      <c r="K85" s="109" t="str">
        <f t="shared" si="19"/>
        <v>4029/4030</v>
      </c>
      <c r="L85" s="22" t="str">
        <f>VLOOKUP(A85,'Trips&amp;Operators'!$C$1:$E$10000,3,FALSE)</f>
        <v>BARTLETT</v>
      </c>
      <c r="M85" s="6">
        <f t="shared" si="20"/>
        <v>2.5266203701903578E-2</v>
      </c>
      <c r="N85" s="7">
        <f t="shared" si="21"/>
        <v>36.383333330741152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11:36:49-700',mode:absolute,to:'2016-11-29 14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4.6600000000000003E-2</v>
      </c>
      <c r="Z85" s="67">
        <f t="shared" si="28"/>
        <v>23.331399999999999</v>
      </c>
      <c r="AA85" s="67">
        <f t="shared" si="29"/>
        <v>23.284799999999997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0173-29</v>
      </c>
      <c r="AE85" s="91" t="str">
        <f t="shared" si="31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85" s="88" t="str">
        <f t="shared" si="32"/>
        <v>"C:\Program Files (x86)\AstroGrep\AstroGrep.exe" /spath="%USERPROFILE%\AppData\Local\Temp\OnboardLogs" /stypes="app*4029*20161129*" /stext=" 20:.+((SYSTEM_STATE.+slice.+state.+changed )|(ment ac)|(multiple cpu faults)|(system.+state.+changed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173-29 --locoid 4029 --swversion DE.1.0.8.0 --startMP 204:466 --initTime 2016-11-29T12:36:49 --startdatetime 2016-11-29T12:45:14 --delay 1 --endMP 204:233314 --enddatetime 2016-11-29T13:21:37 --enforcementcount 1 &gt;&gt;C:\Users\stu\Documents\GitHub\eaglep3-reporting\EC\2016-11-29-refined-times.txt</v>
      </c>
      <c r="AI85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ID","value":"173-29"},{"id":16,"name":"Locomotive ID","value":"4029"},{"id":130,"name":"Impact","value":""},{"id":150,"name":"Time of Event (Mountain Time)","value":"13:21:37"},{"id":151,"name":"Denver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656</v>
      </c>
      <c r="B86" s="7">
        <v>4030</v>
      </c>
      <c r="C86" s="22" t="s">
        <v>212</v>
      </c>
      <c r="D86" s="22" t="s">
        <v>344</v>
      </c>
      <c r="E86" s="13">
        <v>42703.559953703705</v>
      </c>
      <c r="F86" s="13">
        <v>42703.5703125</v>
      </c>
      <c r="G86" s="7">
        <v>1</v>
      </c>
      <c r="H86" s="22" t="s">
        <v>255</v>
      </c>
      <c r="I86" s="13">
        <v>42703.596585648149</v>
      </c>
      <c r="J86" s="7">
        <v>1</v>
      </c>
      <c r="K86" s="109" t="str">
        <f t="shared" si="19"/>
        <v>4029/4030</v>
      </c>
      <c r="L86" s="22" t="str">
        <f>VLOOKUP(A86,'Trips&amp;Operators'!$C$1:$E$10000,3,FALSE)</f>
        <v>BARTLETT</v>
      </c>
      <c r="M86" s="6">
        <f t="shared" si="20"/>
        <v>2.6273148148902692E-2</v>
      </c>
      <c r="N86" s="7">
        <f t="shared" si="21"/>
        <v>37.833333334419876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12:26:20-700',mode:absolute,to:'2016-11-29 15:19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23.3002</v>
      </c>
      <c r="Z86" s="67">
        <f t="shared" si="28"/>
        <v>1.61E-2</v>
      </c>
      <c r="AA86" s="67">
        <f t="shared" si="29"/>
        <v>23.284099999999999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0"/>
        <v>0174-29</v>
      </c>
      <c r="AE86" s="91" t="str">
        <f t="shared" si="31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86" s="88" t="str">
        <f t="shared" si="32"/>
        <v>"C:\Program Files (x86)\AstroGrep\AstroGrep.exe" /spath="%USERPROFILE%\AppData\Local\Temp\OnboardLogs" /stypes="app*4030*20161129*" /stext=" 21:.+((SYSTEM_STATE.+slice.+state.+changed )|(ment ac)|(multiple cpu faults)|(system.+state.+changed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174-29 --locoid 4030 --swversion DE.1.0.8.0 --startMP 204:233002 --initTime 2016-11-29T13:26:20 --startdatetime 2016-11-29T13:41:15 --delay 1 --endMP 204:161 --enddatetime 2016-11-29T14:19:05 --enforcementcount 1 &gt;&gt;C:\Users\stu\Documents\GitHub\eaglep3-reporting\EC\2016-11-29-refined-times.txt</v>
      </c>
      <c r="AI86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{"issue":{"subject":"","project_id":79,"tracker_id":40,"status_id":1,"priority_id":2,"assigned_to_id":23,"start_date":"2016-11-29","description":"","custom_fields":[{"id":1,"name":"Subdivision","value":"EC"},{"id":4,"name":"Milepost","value":"0.0161"},{"id":17,"name":"Train ID","value":"174-29"},{"id":16,"name":"Locomotive ID","value":"4030"},{"id":130,"name":"Impact","value":""},{"id":150,"name":"Time of Event (Mountain Time)","value":"14:19:05"},{"id":151,"name":"Denver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557</v>
      </c>
      <c r="B87" s="7">
        <v>4016</v>
      </c>
      <c r="C87" s="22" t="s">
        <v>212</v>
      </c>
      <c r="D87" s="22" t="s">
        <v>329</v>
      </c>
      <c r="E87" s="13">
        <v>42703.536550925928</v>
      </c>
      <c r="F87" s="13">
        <v>42703.542083333334</v>
      </c>
      <c r="G87" s="7">
        <v>3</v>
      </c>
      <c r="H87" s="22" t="s">
        <v>791</v>
      </c>
      <c r="I87" s="13">
        <v>42703.568101851852</v>
      </c>
      <c r="J87" s="7">
        <v>1</v>
      </c>
      <c r="K87" s="109" t="str">
        <f t="shared" si="19"/>
        <v>4015/4016</v>
      </c>
      <c r="L87" s="22" t="str">
        <f>VLOOKUP(A87,'Trips&amp;Operators'!$C$1:$E$10000,3,FALSE)</f>
        <v>STEWART</v>
      </c>
      <c r="M87" s="6">
        <f t="shared" si="20"/>
        <v>2.6018518517958E-2</v>
      </c>
      <c r="N87" s="7">
        <f t="shared" si="21"/>
        <v>37.46666666585952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11:52:38-700',mode:absolute,to:'2016-11-29 14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4.58E-2</v>
      </c>
      <c r="Z87" s="67">
        <f t="shared" si="28"/>
        <v>23.312000000000001</v>
      </c>
      <c r="AA87" s="67">
        <f t="shared" si="29"/>
        <v>23.266200000000001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0"/>
        <v>0175-29</v>
      </c>
      <c r="AE87" s="91" t="str">
        <f t="shared" si="31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87" s="88" t="str">
        <f t="shared" si="32"/>
        <v>"C:\Program Files (x86)\AstroGrep\AstroGrep.exe" /spath="%USERPROFILE%\AppData\Local\Temp\OnboardLogs" /stypes="app*4016*20161129*" /stext=" 20:.+((SYSTEM_STATE.+slice.+state.+changed )|(ment ac)|(multiple cpu faults)|(system.+state.+changed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175-29 --locoid 4016 --swversion DE.1.0.8.0 --startMP 204:458 --initTime 2016-11-29T12:52:38 --startdatetime 2016-11-29T13:00:36 --delay 3 --endMP 204:233120 --enddatetime 2016-11-29T13:38:04 --enforcementcount 1 &gt;&gt;C:\Users\stu\Documents\GitHub\eaglep3-reporting\EC\2016-11-29-refined-times.txt</v>
      </c>
      <c r="AI87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{"issue":{"subject":"","project_id":79,"tracker_id":40,"status_id":1,"priority_id":2,"assigned_to_id":23,"start_date":"2016-11-29","description":"","custom_fields":[{"id":1,"name":"Subdivision","value":"EC"},{"id":4,"name":"Milepost","value":"23.312"},{"id":17,"name":"Train ID","value":"175-29"},{"id":16,"name":"Locomotive ID","value":"4016"},{"id":130,"name":"Impact","value":""},{"id":150,"name":"Time of Event (Mountain Time)","value":"13:38:04"},{"id":151,"name":"Denver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659</v>
      </c>
      <c r="B88" s="7">
        <v>4015</v>
      </c>
      <c r="C88" s="22" t="s">
        <v>212</v>
      </c>
      <c r="D88" s="22" t="s">
        <v>239</v>
      </c>
      <c r="E88" s="13">
        <v>42703.577986111108</v>
      </c>
      <c r="F88" s="13">
        <v>42703.580740740741</v>
      </c>
      <c r="G88" s="7">
        <v>1</v>
      </c>
      <c r="H88" s="22" t="s">
        <v>792</v>
      </c>
      <c r="I88" s="13">
        <v>42703.606678240743</v>
      </c>
      <c r="J88" s="7">
        <v>1</v>
      </c>
      <c r="K88" s="109" t="str">
        <f t="shared" si="19"/>
        <v>4015/4016</v>
      </c>
      <c r="L88" s="22" t="str">
        <f>VLOOKUP(A88,'Trips&amp;Operators'!$C$1:$E$10000,3,FALSE)</f>
        <v>STEWART</v>
      </c>
      <c r="M88" s="6">
        <f t="shared" si="20"/>
        <v>2.5937500002328306E-2</v>
      </c>
      <c r="N88" s="7">
        <f t="shared" si="21"/>
        <v>37.350000003352761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12:52:18-700',mode:absolute,to:'2016-11-29 15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23.297499999999999</v>
      </c>
      <c r="Z88" s="67">
        <f t="shared" si="28"/>
        <v>1.6899999999999998E-2</v>
      </c>
      <c r="AA88" s="67">
        <f t="shared" si="29"/>
        <v>23.2806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0"/>
        <v>0176-29</v>
      </c>
      <c r="AE88" s="91" t="str">
        <f t="shared" si="31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88" s="88" t="str">
        <f t="shared" si="32"/>
        <v>"C:\Program Files (x86)\AstroGrep\AstroGrep.exe" /spath="%USERPROFILE%\AppData\Local\Temp\OnboardLogs" /stypes="app*4015*20161129*" /stext=" 21:.+((SYSTEM_STATE.+slice.+state.+changed )|(ment ac)|(multiple cpu faults)|(system.+state.+changed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176-29 --locoid 4015 --swversion DE.1.0.8.0 --startMP 204:232975 --initTime 2016-11-29T13:52:18 --startdatetime 2016-11-29T13:56:16 --delay 1 --endMP 204:169 --enddatetime 2016-11-29T14:33:37 --enforcementcount 1 &gt;&gt;C:\Users\stu\Documents\GitHub\eaglep3-reporting\EC\2016-11-29-refined-times.txt</v>
      </c>
      <c r="AI88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{"issue":{"subject":"","project_id":79,"tracker_id":40,"status_id":1,"priority_id":2,"assigned_to_id":23,"start_date":"2016-11-29","description":"","custom_fields":[{"id":1,"name":"Subdivision","value":"EC"},{"id":4,"name":"Milepost","value":"0.0169"},{"id":17,"name":"Train ID","value":"176-29"},{"id":16,"name":"Locomotive ID","value":"4015"},{"id":130,"name":"Impact","value":""},{"id":150,"name":"Time of Event (Mountain Time)","value":"14:33:37"},{"id":151,"name":"Denver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653</v>
      </c>
      <c r="B89" s="7">
        <v>4014</v>
      </c>
      <c r="C89" s="22" t="s">
        <v>212</v>
      </c>
      <c r="D89" s="22" t="s">
        <v>259</v>
      </c>
      <c r="E89" s="13">
        <v>42703.548437500001</v>
      </c>
      <c r="F89" s="13">
        <v>42703.552291666667</v>
      </c>
      <c r="G89" s="7">
        <v>1</v>
      </c>
      <c r="H89" s="22" t="s">
        <v>339</v>
      </c>
      <c r="I89" s="13">
        <v>42703.577615740738</v>
      </c>
      <c r="J89" s="7">
        <v>1</v>
      </c>
      <c r="K89" s="109" t="str">
        <f t="shared" si="19"/>
        <v>4013/4014</v>
      </c>
      <c r="L89" s="22" t="str">
        <f>VLOOKUP(A89,'Trips&amp;Operators'!$C$1:$E$10000,3,FALSE)</f>
        <v>DAVIDSON</v>
      </c>
      <c r="M89" s="6">
        <f t="shared" si="20"/>
        <v>2.5324074071249925E-2</v>
      </c>
      <c r="N89" s="7">
        <f t="shared" si="21"/>
        <v>36.466666662599891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12:09:45-700',mode:absolute,to:'2016-11-29 14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4.5699999999999998E-2</v>
      </c>
      <c r="Z89" s="67">
        <f t="shared" si="28"/>
        <v>23.3278</v>
      </c>
      <c r="AA89" s="67">
        <f t="shared" si="29"/>
        <v>23.2821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0"/>
        <v>0177-29</v>
      </c>
      <c r="AE89" s="91" t="str">
        <f t="shared" si="31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89" s="88" t="str">
        <f t="shared" si="32"/>
        <v>"C:\Program Files (x86)\AstroGrep\AstroGrep.exe" /spath="%USERPROFILE%\AppData\Local\Temp\OnboardLogs" /stypes="app*4014*20161129*" /stext=" 20:.+((SYSTEM_STATE.+slice.+state.+changed )|(ment ac)|(multiple cpu faults)|(system.+state.+changed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177-29 --locoid 4014 --swversion DE.1.0.8.0 --startMP 204:457 --initTime 2016-11-29T13:09:45 --startdatetime 2016-11-29T13:15:18 --delay 1 --endMP 204:233278 --enddatetime 2016-11-29T13:51:46 --enforcementcount 1 &gt;&gt;C:\Users\stu\Documents\GitHub\eaglep3-reporting\EC\2016-11-29-refined-times.txt</v>
      </c>
      <c r="AI8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{"issue":{"subject":"","project_id":79,"tracker_id":40,"status_id":1,"priority_id":2,"assigned_to_id":23,"start_date":"2016-11-29","description":"","custom_fields":[{"id":1,"name":"Subdivision","value":"EC"},{"id":4,"name":"Milepost","value":"23.3278"},{"id":17,"name":"Train ID","value":"177-29"},{"id":16,"name":"Locomotive ID","value":"4014"},{"id":130,"name":"Impact","value":""},{"id":150,"name":"Time of Event (Mountain Time)","value":"13:51:46"},{"id":151,"name":"Denver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661</v>
      </c>
      <c r="B90" s="7">
        <v>4013</v>
      </c>
      <c r="C90" s="22" t="s">
        <v>212</v>
      </c>
      <c r="D90" s="22" t="s">
        <v>793</v>
      </c>
      <c r="E90" s="13">
        <v>42703.582905092589</v>
      </c>
      <c r="F90" s="13">
        <v>42703.591122685182</v>
      </c>
      <c r="G90" s="7">
        <v>1</v>
      </c>
      <c r="H90" s="22" t="s">
        <v>244</v>
      </c>
      <c r="I90" s="13">
        <v>42703.618333333332</v>
      </c>
      <c r="J90" s="7">
        <v>1</v>
      </c>
      <c r="K90" s="109" t="str">
        <f t="shared" si="19"/>
        <v>4013/4014</v>
      </c>
      <c r="L90" s="22" t="str">
        <f>VLOOKUP(A90,'Trips&amp;Operators'!$C$1:$E$10000,3,FALSE)</f>
        <v>DAVIDSON</v>
      </c>
      <c r="M90" s="6">
        <f t="shared" si="20"/>
        <v>2.7210648149775807E-2</v>
      </c>
      <c r="N90" s="7">
        <f t="shared" si="21"/>
        <v>39.183333335677162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12:59:23-700',mode:absolute,to:'2016-11-29 15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23.2974</v>
      </c>
      <c r="Z90" s="67">
        <f t="shared" si="28"/>
        <v>1.47E-2</v>
      </c>
      <c r="AA90" s="67">
        <f t="shared" si="29"/>
        <v>23.282699999999998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0178-29</v>
      </c>
      <c r="AE90" s="91" t="str">
        <f t="shared" si="31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90" s="88" t="str">
        <f t="shared" si="32"/>
        <v>"C:\Program Files (x86)\AstroGrep\AstroGrep.exe" /spath="%USERPROFILE%\AppData\Local\Temp\OnboardLogs" /stypes="app*4013*20161129*" /stext=" 21:.+((SYSTEM_STATE.+slice.+state.+changed )|(ment ac)|(multiple cpu faults)|(system.+state.+changed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178-29 --locoid 4013 --swversion DE.1.0.8.0 --startMP 204:232974 --initTime 2016-11-29T13:59:23 --startdatetime 2016-11-29T14:11:13 --delay 1 --endMP 204:147 --enddatetime 2016-11-29T14:50:24 --enforcementcount 1 &gt;&gt;C:\Users\stu\Documents\GitHub\eaglep3-reporting\EC\2016-11-29-refined-times.txt</v>
      </c>
      <c r="AI9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{"issue":{"subject":"","project_id":79,"tracker_id":40,"status_id":1,"priority_id":2,"assigned_to_id":23,"start_date":"2016-11-29","description":"","custom_fields":[{"id":1,"name":"Subdivision","value":"EC"},{"id":4,"name":"Milepost","value":"0.0147"},{"id":17,"name":"Train ID","value":"178-29"},{"id":16,"name":"Locomotive ID","value":"4013"},{"id":130,"name":"Impact","value":""},{"id":150,"name":"Time of Event (Mountain Time)","value":"14:50:24"},{"id":151,"name":"Denver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655</v>
      </c>
      <c r="B91" s="7">
        <v>4031</v>
      </c>
      <c r="C91" s="22" t="s">
        <v>212</v>
      </c>
      <c r="D91" s="22" t="s">
        <v>197</v>
      </c>
      <c r="E91" s="13">
        <v>42703.556145833332</v>
      </c>
      <c r="F91" s="13">
        <v>42703.562835648147</v>
      </c>
      <c r="G91" s="7">
        <v>1</v>
      </c>
      <c r="H91" s="22" t="s">
        <v>247</v>
      </c>
      <c r="I91" s="13">
        <v>42703.588101851848</v>
      </c>
      <c r="J91" s="7">
        <v>1</v>
      </c>
      <c r="K91" s="109" t="str">
        <f t="shared" si="19"/>
        <v>4031/4032</v>
      </c>
      <c r="L91" s="22" t="str">
        <f>VLOOKUP(A91,'Trips&amp;Operators'!$C$1:$E$10000,3,FALSE)</f>
        <v>BONDS</v>
      </c>
      <c r="M91" s="6">
        <f t="shared" si="20"/>
        <v>2.5266203701903578E-2</v>
      </c>
      <c r="N91" s="7">
        <f t="shared" si="21"/>
        <v>36.383333330741152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12:20:51-700',mode:absolute,to:'2016-11-29 15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4.5100000000000001E-2</v>
      </c>
      <c r="Z91" s="67">
        <f t="shared" si="28"/>
        <v>23.331399999999999</v>
      </c>
      <c r="AA91" s="67">
        <f t="shared" si="29"/>
        <v>23.286299999999997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0"/>
        <v>0179-29</v>
      </c>
      <c r="AE91" s="91" t="str">
        <f t="shared" si="31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91" s="88" t="str">
        <f t="shared" si="32"/>
        <v>"C:\Program Files (x86)\AstroGrep\AstroGrep.exe" /spath="%USERPROFILE%\AppData\Local\Temp\OnboardLogs" /stypes="app*4031*20161129*" /stext=" 21:.+((SYSTEM_STATE.+slice.+state.+changed )|(ment ac)|(multiple cpu faults)|(system.+state.+changed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179-29 --locoid 4031 --swversion DE.1.0.8.0 --startMP 204:451 --initTime 2016-11-29T13:20:51 --startdatetime 2016-11-29T13:30:29 --delay 1 --endMP 204:233314 --enddatetime 2016-11-29T14:06:52 --enforcementcount 1 &gt;&gt;C:\Users\stu\Documents\GitHub\eaglep3-reporting\EC\2016-11-29-refined-times.txt</v>
      </c>
      <c r="AI9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{"issue":{"subject":"","project_id":79,"tracker_id":40,"status_id":1,"priority_id":2,"assigned_to_id":23,"start_date":"2016-11-29","description":"","custom_fields":[{"id":1,"name":"Subdivision","value":"EC"},{"id":4,"name":"Milepost","value":"23.3314"},{"id":17,"name":"Train ID","value":"179-29"},{"id":16,"name":"Locomotive ID","value":"4031"},{"id":130,"name":"Impact","value":""},{"id":150,"name":"Time of Event (Mountain Time)","value":"14:06:52"},{"id":151,"name":"Denver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558</v>
      </c>
      <c r="B92" s="7">
        <v>4032</v>
      </c>
      <c r="C92" s="22" t="s">
        <v>212</v>
      </c>
      <c r="D92" s="22" t="s">
        <v>240</v>
      </c>
      <c r="E92" s="13">
        <v>42703.589826388888</v>
      </c>
      <c r="F92" s="13">
        <v>42703.601643518516</v>
      </c>
      <c r="G92" s="7">
        <v>1</v>
      </c>
      <c r="H92" s="22" t="s">
        <v>255</v>
      </c>
      <c r="I92" s="13">
        <v>42703.628888888888</v>
      </c>
      <c r="J92" s="7">
        <v>1</v>
      </c>
      <c r="K92" s="109" t="str">
        <f t="shared" si="19"/>
        <v>4031/4032</v>
      </c>
      <c r="L92" s="22" t="str">
        <f>VLOOKUP(A92,'Trips&amp;Operators'!$C$1:$E$10000,3,FALSE)</f>
        <v>BONDS</v>
      </c>
      <c r="M92" s="6">
        <f t="shared" si="20"/>
        <v>2.7245370372838806E-2</v>
      </c>
      <c r="N92" s="7">
        <f t="shared" si="21"/>
        <v>39.233333336887881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13:09:21-700',mode:absolute,to:'2016-11-29 16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23.299399999999999</v>
      </c>
      <c r="Z92" s="67">
        <f t="shared" si="28"/>
        <v>1.61E-2</v>
      </c>
      <c r="AA92" s="67">
        <f t="shared" si="29"/>
        <v>23.283299999999997</v>
      </c>
      <c r="AB92" s="64" t="str">
        <f>VLOOKUP(A92,Enforcements!$C$7:$K$20,8,0)</f>
        <v>Speed (6)</v>
      </c>
      <c r="AC92" s="60" t="str">
        <f>VLOOKUP(A92,Enforcements!$C$7:$E$20,3,0)</f>
        <v>PERMANENT SPEED RESTRICTION</v>
      </c>
      <c r="AD92" s="61" t="str">
        <f t="shared" si="30"/>
        <v>0180-29</v>
      </c>
      <c r="AE92" s="91" t="str">
        <f t="shared" si="31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92" s="88" t="str">
        <f t="shared" si="32"/>
        <v>"C:\Program Files (x86)\AstroGrep\AstroGrep.exe" /spath="%USERPROFILE%\AppData\Local\Temp\OnboardLogs" /stypes="app*4032*20161129*" /stext=" 22:.+((SYSTEM_STATE.+slice.+state.+changed )|(ment ac)|(multiple cpu faults)|(system.+state.+changed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180-29 --locoid 4032 --swversion DE.1.0.8.0 --startMP 204:232994 --initTime 2016-11-29T14:09:21 --startdatetime 2016-11-29T14:26:22 --delay 1 --endMP 204:161 --enddatetime 2016-11-29T15:05:36 --enforcementcount 1 &gt;&gt;C:\Users\stu\Documents\GitHub\eaglep3-reporting\EC\2016-11-29-refined-times.txt</v>
      </c>
      <c r="AI92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{"issue":{"subject":"","project_id":79,"tracker_id":40,"status_id":1,"priority_id":2,"assigned_to_id":23,"start_date":"2016-11-29","description":"","custom_fields":[{"id":1,"name":"Subdivision","value":"EC"},{"id":4,"name":"Milepost","value":"0.0161"},{"id":17,"name":"Train ID","value":"180-29"},{"id":16,"name":"Locomotive ID","value":"4032"},{"id":130,"name":"Impact","value":""},{"id":150,"name":"Time of Event (Mountain Time)","value":"15:05:36"},{"id":151,"name":"Denver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658</v>
      </c>
      <c r="B93" s="7">
        <v>4003</v>
      </c>
      <c r="C93" s="22" t="s">
        <v>212</v>
      </c>
      <c r="D93" s="22" t="s">
        <v>259</v>
      </c>
      <c r="E93" s="13">
        <v>42703.56858796296</v>
      </c>
      <c r="F93" s="13">
        <v>42703.573368055557</v>
      </c>
      <c r="G93" s="7">
        <v>1</v>
      </c>
      <c r="H93" s="22" t="s">
        <v>794</v>
      </c>
      <c r="I93" s="13">
        <v>42703.598796296297</v>
      </c>
      <c r="J93" s="7">
        <v>1</v>
      </c>
      <c r="K93" s="109" t="str">
        <f t="shared" si="19"/>
        <v>4003/4004</v>
      </c>
      <c r="L93" s="22" t="str">
        <f>VLOOKUP(A93,'Trips&amp;Operators'!$C$1:$E$10000,3,FALSE)</f>
        <v>MAHAN</v>
      </c>
      <c r="M93" s="6">
        <f t="shared" si="20"/>
        <v>2.5428240740438923E-2</v>
      </c>
      <c r="N93" s="7">
        <f t="shared" si="21"/>
        <v>36.616666666232049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12:38:46-700',mode:absolute,to:'2016-11-29 15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4.5699999999999998E-2</v>
      </c>
      <c r="Z93" s="67">
        <f t="shared" si="28"/>
        <v>23.326599999999999</v>
      </c>
      <c r="AA93" s="67">
        <f t="shared" si="29"/>
        <v>23.280899999999999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0181-29</v>
      </c>
      <c r="AE93" s="91" t="str">
        <f t="shared" si="31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93" s="88" t="str">
        <f t="shared" si="32"/>
        <v>"C:\Program Files (x86)\AstroGrep\AstroGrep.exe" /spath="%USERPROFILE%\AppData\Local\Temp\OnboardLogs" /stypes="app*4003*20161129*" /stext=" 21:.+((SYSTEM_STATE.+slice.+state.+changed )|(ment ac)|(multiple cpu faults)|(system.+state.+changed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181-29 --locoid 4003 --swversion DE.1.0.8.0 --startMP 204:457 --initTime 2016-11-29T13:38:46 --startdatetime 2016-11-29T13:45:39 --delay 1 --endMP 204:233266 --enddatetime 2016-11-29T14:22:16 --enforcementcount 1 &gt;&gt;C:\Users\stu\Documents\GitHub\eaglep3-reporting\EC\2016-11-29-refined-times.txt</v>
      </c>
      <c r="AI93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{"issue":{"subject":"","project_id":79,"tracker_id":40,"status_id":1,"priority_id":2,"assigned_to_id":23,"start_date":"2016-11-29","description":"","custom_fields":[{"id":1,"name":"Subdivision","value":"EC"},{"id":4,"name":"Milepost","value":"23.3266"},{"id":17,"name":"Train ID","value":"181-29"},{"id":16,"name":"Locomotive ID","value":"4003"},{"id":130,"name":"Impact","value":""},{"id":150,"name":"Time of Event (Mountain Time)","value":"14:22:16"},{"id":151,"name":"Denver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665</v>
      </c>
      <c r="B94" s="7">
        <v>4004</v>
      </c>
      <c r="C94" s="22" t="s">
        <v>212</v>
      </c>
      <c r="D94" s="22" t="s">
        <v>786</v>
      </c>
      <c r="E94" s="13">
        <v>42703.607222222221</v>
      </c>
      <c r="F94" s="13">
        <v>42703.612233796295</v>
      </c>
      <c r="G94" s="7">
        <v>1</v>
      </c>
      <c r="H94" s="22" t="s">
        <v>372</v>
      </c>
      <c r="I94" s="13">
        <v>42703.638773148145</v>
      </c>
      <c r="J94" s="7">
        <v>1</v>
      </c>
      <c r="K94" s="109" t="str">
        <f t="shared" si="19"/>
        <v>4003/4004</v>
      </c>
      <c r="L94" s="22" t="str">
        <f>VLOOKUP(A94,'Trips&amp;Operators'!$C$1:$E$10000,3,FALSE)</f>
        <v>MAHAN</v>
      </c>
      <c r="M94" s="6">
        <f t="shared" si="20"/>
        <v>2.6539351849351078E-2</v>
      </c>
      <c r="N94" s="7">
        <f t="shared" si="21"/>
        <v>38.216666663065553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13:34:24-700',mode:absolute,to:'2016-11-29 16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23.298100000000002</v>
      </c>
      <c r="Z94" s="67">
        <f t="shared" si="28"/>
        <v>1.52E-2</v>
      </c>
      <c r="AA94" s="67">
        <f t="shared" si="29"/>
        <v>23.282900000000001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0182-29</v>
      </c>
      <c r="AE94" s="91" t="str">
        <f t="shared" si="31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94" s="88" t="str">
        <f t="shared" si="32"/>
        <v>"C:\Program Files (x86)\AstroGrep\AstroGrep.exe" /spath="%USERPROFILE%\AppData\Local\Temp\OnboardLogs" /stypes="app*4004*20161129*" /stext=" 22:.+((SYSTEM_STATE.+slice.+state.+changed )|(ment ac)|(multiple cpu faults)|(system.+state.+changed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182-29 --locoid 4004 --swversion DE.1.0.8.0 --startMP 204:232981 --initTime 2016-11-29T14:34:24 --startdatetime 2016-11-29T14:41:37 --delay 1 --endMP 204:152 --enddatetime 2016-11-29T15:19:50 --enforcementcount 1 &gt;&gt;C:\Users\stu\Documents\GitHub\eaglep3-reporting\EC\2016-11-29-refined-times.txt</v>
      </c>
      <c r="AI94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{"issue":{"subject":"","project_id":79,"tracker_id":40,"status_id":1,"priority_id":2,"assigned_to_id":23,"start_date":"2016-11-29","description":"","custom_fields":[{"id":1,"name":"Subdivision","value":"EC"},{"id":4,"name":"Milepost","value":"0.0152"},{"id":17,"name":"Train ID","value":"182-29"},{"id":16,"name":"Locomotive ID","value":"4004"},{"id":130,"name":"Impact","value":""},{"id":150,"name":"Time of Event (Mountain Time)","value":"15:19:50"},{"id":151,"name":"Denver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660</v>
      </c>
      <c r="B95" s="7">
        <v>4022</v>
      </c>
      <c r="C95" s="22" t="s">
        <v>212</v>
      </c>
      <c r="D95" s="22" t="s">
        <v>268</v>
      </c>
      <c r="E95" s="13">
        <v>42703.578703703701</v>
      </c>
      <c r="F95" s="13">
        <v>42703.583657407406</v>
      </c>
      <c r="G95" s="7">
        <v>1</v>
      </c>
      <c r="H95" s="22" t="s">
        <v>383</v>
      </c>
      <c r="I95" s="13">
        <v>42703.609861111108</v>
      </c>
      <c r="J95" s="7">
        <v>1</v>
      </c>
      <c r="K95" s="109" t="str">
        <f t="shared" si="19"/>
        <v>4021/4022</v>
      </c>
      <c r="L95" s="22" t="str">
        <f>VLOOKUP(A95,'Trips&amp;Operators'!$C$1:$E$10000,3,FALSE)</f>
        <v>CLARK</v>
      </c>
      <c r="M95" s="6">
        <f t="shared" si="20"/>
        <v>2.6203703702776693E-2</v>
      </c>
      <c r="N95" s="7">
        <f t="shared" si="21"/>
        <v>37.733333331998438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12:53:20-700',mode:absolute,to:'2016-11-29 15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4.6899999999999997E-2</v>
      </c>
      <c r="Z95" s="67">
        <f t="shared" si="28"/>
        <v>23.327999999999999</v>
      </c>
      <c r="AA95" s="67">
        <f t="shared" si="29"/>
        <v>23.281099999999999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0183-29</v>
      </c>
      <c r="AE95" s="91" t="str">
        <f t="shared" si="31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95" s="88" t="str">
        <f t="shared" si="32"/>
        <v>"C:\Program Files (x86)\AstroGrep\AstroGrep.exe" /spath="%USERPROFILE%\AppData\Local\Temp\OnboardLogs" /stypes="app*4022*20161129*" /stext=" 21:.+((SYSTEM_STATE.+slice.+state.+changed )|(ment ac)|(multiple cpu faults)|(system.+state.+changed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183-29 --locoid 4022 --swversion DE.1.0.8.0 --startMP 204:469 --initTime 2016-11-29T13:53:20 --startdatetime 2016-11-29T14:00:28 --delay 1 --endMP 204:233280 --enddatetime 2016-11-29T14:38:12 --enforcementcount 1 &gt;&gt;C:\Users\stu\Documents\GitHub\eaglep3-reporting\EC\2016-11-29-refined-times.txt</v>
      </c>
      <c r="AI95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{"issue":{"subject":"","project_id":79,"tracker_id":40,"status_id":1,"priority_id":2,"assigned_to_id":23,"start_date":"2016-11-29","description":"","custom_fields":[{"id":1,"name":"Subdivision","value":"EC"},{"id":4,"name":"Milepost","value":"23.328"},{"id":17,"name":"Train ID","value":"183-29"},{"id":16,"name":"Locomotive ID","value":"4022"},{"id":130,"name":"Impact","value":""},{"id":150,"name":"Time of Event (Mountain Time)","value":"14:38:12"},{"id":151,"name":"Denver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668</v>
      </c>
      <c r="B96" s="7">
        <v>4021</v>
      </c>
      <c r="C96" s="22" t="s">
        <v>212</v>
      </c>
      <c r="D96" s="22" t="s">
        <v>795</v>
      </c>
      <c r="E96" s="13">
        <v>42703.618530092594</v>
      </c>
      <c r="F96" s="13">
        <v>42703.622407407405</v>
      </c>
      <c r="G96" s="7">
        <v>1</v>
      </c>
      <c r="H96" s="22" t="s">
        <v>326</v>
      </c>
      <c r="I96" s="13">
        <v>42703.650462962964</v>
      </c>
      <c r="J96" s="7">
        <v>1</v>
      </c>
      <c r="K96" s="109" t="str">
        <f t="shared" si="19"/>
        <v>4021/4022</v>
      </c>
      <c r="L96" s="22" t="str">
        <f>VLOOKUP(A96,'Trips&amp;Operators'!$C$1:$E$10000,3,FALSE)</f>
        <v>CLARK</v>
      </c>
      <c r="M96" s="6">
        <f t="shared" si="20"/>
        <v>2.8055555558239575E-2</v>
      </c>
      <c r="N96" s="7">
        <f t="shared" si="21"/>
        <v>40.400000003864989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13:50:41-700',mode:absolute,to:'2016-11-29 16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23.295200000000001</v>
      </c>
      <c r="Z96" s="67">
        <f t="shared" si="28"/>
        <v>1.6E-2</v>
      </c>
      <c r="AA96" s="67">
        <f t="shared" si="29"/>
        <v>23.279200000000003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0184-29</v>
      </c>
      <c r="AE96" s="91" t="str">
        <f t="shared" si="31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96" s="88" t="str">
        <f t="shared" si="32"/>
        <v>"C:\Program Files (x86)\AstroGrep\AstroGrep.exe" /spath="%USERPROFILE%\AppData\Local\Temp\OnboardLogs" /stypes="app*4021*20161129*" /stext=" 22:.+((SYSTEM_STATE.+slice.+state.+changed )|(ment ac)|(multiple cpu faults)|(system.+state.+changed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184-29 --locoid 4021 --swversion DE.1.0.8.0 --startMP 204:232952 --initTime 2016-11-29T14:50:41 --startdatetime 2016-11-29T14:56:16 --delay 1 --endMP 204:160 --enddatetime 2016-11-29T15:36:40 --enforcementcount 1 &gt;&gt;C:\Users\stu\Documents\GitHub\eaglep3-reporting\EC\2016-11-29-refined-times.txt</v>
      </c>
      <c r="AI96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{"issue":{"subject":"","project_id":79,"tracker_id":40,"status_id":1,"priority_id":2,"assigned_to_id":23,"start_date":"2016-11-29","description":"","custom_fields":[{"id":1,"name":"Subdivision","value":"EC"},{"id":4,"name":"Milepost","value":"0.016"},{"id":17,"name":"Train ID","value":"184-29"},{"id":16,"name":"Locomotive ID","value":"4021"},{"id":130,"name":"Impact","value":""},{"id":150,"name":"Time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662</v>
      </c>
      <c r="B97" s="7">
        <v>4040</v>
      </c>
      <c r="C97" s="22" t="s">
        <v>212</v>
      </c>
      <c r="D97" s="22" t="s">
        <v>331</v>
      </c>
      <c r="E97" s="13">
        <v>42703.590439814812</v>
      </c>
      <c r="F97" s="13">
        <v>42703.593958333331</v>
      </c>
      <c r="G97" s="7">
        <v>4</v>
      </c>
      <c r="H97" s="22" t="s">
        <v>330</v>
      </c>
      <c r="I97" s="13">
        <v>42703.61891203704</v>
      </c>
      <c r="J97" s="7">
        <v>1</v>
      </c>
      <c r="K97" s="109" t="str">
        <f t="shared" si="19"/>
        <v>4039/4040</v>
      </c>
      <c r="L97" s="22" t="str">
        <f>VLOOKUP(A97,'Trips&amp;Operators'!$C$1:$E$10000,3,FALSE)</f>
        <v>STORY</v>
      </c>
      <c r="M97" s="6">
        <f t="shared" si="20"/>
        <v>2.4953703708888497E-2</v>
      </c>
      <c r="N97" s="7">
        <f t="shared" si="21"/>
        <v>35.933333340799436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13:10:14-700',mode:absolute,to:'2016-11-29 15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4.7699999999999999E-2</v>
      </c>
      <c r="Z97" s="67">
        <f t="shared" si="28"/>
        <v>23.3325</v>
      </c>
      <c r="AA97" s="67">
        <f t="shared" si="29"/>
        <v>23.284800000000001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0185-29</v>
      </c>
      <c r="AE97" s="91" t="str">
        <f t="shared" si="31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97" s="88" t="str">
        <f t="shared" si="32"/>
        <v>"C:\Program Files (x86)\AstroGrep\AstroGrep.exe" /spath="%USERPROFILE%\AppData\Local\Temp\OnboardLogs" /stypes="app*4040*20161129*" /stext=" 21:.+((SYSTEM_STATE.+slice.+state.+changed )|(ment ac)|(multiple cpu faults)|(system.+state.+changed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185-29 --locoid 4040 --swversion DE.1.0.8.0 --startMP 204:477 --initTime 2016-11-29T14:10:14 --startdatetime 2016-11-29T14:15:18 --delay 4 --endMP 204:233325 --enddatetime 2016-11-29T14:51:14 --enforcementcount 1 &gt;&gt;C:\Users\stu\Documents\GitHub\eaglep3-reporting\EC\2016-11-29-refined-times.txt</v>
      </c>
      <c r="AI97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{"issue":{"subject":"","project_id":79,"tracker_id":40,"status_id":1,"priority_id":2,"assigned_to_id":23,"start_date":"2016-11-29","description":"","custom_fields":[{"id":1,"name":"Subdivision","value":"EC"},{"id":4,"name":"Milepost","value":"23.3325"},{"id":17,"name":"Train ID","value":"185-29"},{"id":16,"name":"Locomotive ID","value":"4040"},{"id":130,"name":"Impact","value":""},{"id":150,"name":"Time of Event (Mountain Time)","value":"14:51:14"},{"id":151,"name":"Denver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670</v>
      </c>
      <c r="B98" s="7">
        <v>4039</v>
      </c>
      <c r="C98" s="22" t="s">
        <v>212</v>
      </c>
      <c r="D98" s="22" t="s">
        <v>325</v>
      </c>
      <c r="E98" s="13">
        <v>42703.627118055556</v>
      </c>
      <c r="F98" s="13">
        <v>42703.632893518516</v>
      </c>
      <c r="G98" s="7">
        <v>1</v>
      </c>
      <c r="H98" s="22" t="s">
        <v>384</v>
      </c>
      <c r="I98" s="13">
        <v>42703.659456018519</v>
      </c>
      <c r="J98" s="7">
        <v>1</v>
      </c>
      <c r="K98" s="109" t="str">
        <f t="shared" si="19"/>
        <v>4039/4040</v>
      </c>
      <c r="L98" s="22" t="str">
        <f>VLOOKUP(A98,'Trips&amp;Operators'!$C$1:$E$10000,3,FALSE)</f>
        <v>STORY</v>
      </c>
      <c r="M98" s="6">
        <f t="shared" si="20"/>
        <v>2.6562500002910383E-2</v>
      </c>
      <c r="N98" s="7">
        <f t="shared" si="21"/>
        <v>38.250000004190952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14:03:03-700',mode:absolute,to:'2016-11-29 16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23.3004</v>
      </c>
      <c r="Z98" s="67">
        <f t="shared" si="28"/>
        <v>1.3599999999999999E-2</v>
      </c>
      <c r="AA98" s="67">
        <f t="shared" si="29"/>
        <v>23.286799999999999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0186-29</v>
      </c>
      <c r="AE98" s="91" t="str">
        <f t="shared" si="31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98" s="88" t="str">
        <f t="shared" si="32"/>
        <v>"C:\Program Files (x86)\AstroGrep\AstroGrep.exe" /spath="%USERPROFILE%\AppData\Local\Temp\OnboardLogs" /stypes="app*4039*20161129*" /stext=" 22:.+((SYSTEM_STATE.+slice.+state.+changed )|(ment ac)|(multiple cpu faults)|(system.+state.+changed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186-29 --locoid 4039 --swversion DE.1.0.8.0 --startMP 204:233004 --initTime 2016-11-29T15:03:03 --startdatetime 2016-11-29T15:11:22 --delay 1 --endMP 204:136 --enddatetime 2016-11-29T15:49:37 --enforcementcount 1 &gt;&gt;C:\Users\stu\Documents\GitHub\eaglep3-reporting\EC\2016-11-29-refined-times.txt</v>
      </c>
      <c r="AI98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{"issue":{"subject":"","project_id":79,"tracker_id":40,"status_id":1,"priority_id":2,"assigned_to_id":23,"start_date":"2016-11-29","description":"","custom_fields":[{"id":1,"name":"Subdivision","value":"EC"},{"id":4,"name":"Milepost","value":"0.0136"},{"id":17,"name":"Train ID","value":"186-29"},{"id":16,"name":"Locomotive ID","value":"4039"},{"id":130,"name":"Impact","value":""},{"id":150,"name":"Time of Event (Mountain Time)","value":"15:49:37"},{"id":151,"name":"Denver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664</v>
      </c>
      <c r="B99" s="7">
        <v>4029</v>
      </c>
      <c r="C99" s="22" t="s">
        <v>212</v>
      </c>
      <c r="D99" s="22" t="s">
        <v>312</v>
      </c>
      <c r="E99" s="13">
        <v>42703.599305555559</v>
      </c>
      <c r="F99" s="13">
        <v>42703.604386574072</v>
      </c>
      <c r="G99" s="7">
        <v>1</v>
      </c>
      <c r="H99" s="22" t="s">
        <v>796</v>
      </c>
      <c r="I99" s="13">
        <v>42703.629537037035</v>
      </c>
      <c r="J99" s="7">
        <v>1</v>
      </c>
      <c r="K99" s="109" t="str">
        <f t="shared" si="19"/>
        <v>4029/4030</v>
      </c>
      <c r="L99" s="22" t="str">
        <f>VLOOKUP(A99,'Trips&amp;Operators'!$C$1:$E$10000,3,FALSE)</f>
        <v>BARTLETT</v>
      </c>
      <c r="M99" s="6">
        <f t="shared" si="20"/>
        <v>2.5150462963210884E-2</v>
      </c>
      <c r="N99" s="7">
        <f t="shared" si="21"/>
        <v>36.216666667023674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13:23:00-700',mode:absolute,to:'2016-11-29 16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4.7300000000000002E-2</v>
      </c>
      <c r="Z99" s="67">
        <f t="shared" si="28"/>
        <v>23.338000000000001</v>
      </c>
      <c r="AA99" s="67">
        <f t="shared" si="29"/>
        <v>23.290700000000001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0187-29</v>
      </c>
      <c r="AE99" s="91" t="str">
        <f t="shared" si="31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99" s="88" t="str">
        <f t="shared" si="32"/>
        <v>"C:\Program Files (x86)\AstroGrep\AstroGrep.exe" /spath="%USERPROFILE%\AppData\Local\Temp\OnboardLogs" /stypes="app*4029*20161129*" /stext=" 22:.+((SYSTEM_STATE.+slice.+state.+changed )|(ment ac)|(multiple cpu faults)|(system.+state.+changed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187-29 --locoid 4029 --swversion DE.1.0.8.0 --startMP 204:473 --initTime 2016-11-29T14:23:00 --startdatetime 2016-11-29T14:30:19 --delay 1 --endMP 204:233380 --enddatetime 2016-11-29T15:06:32 --enforcementcount 1 &gt;&gt;C:\Users\stu\Documents\GitHub\eaglep3-reporting\EC\2016-11-29-refined-times.txt</v>
      </c>
      <c r="AI9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{"issue":{"subject":"","project_id":79,"tracker_id":40,"status_id":1,"priority_id":2,"assigned_to_id":23,"start_date":"2016-11-29","description":"","custom_fields":[{"id":1,"name":"Subdivision","value":"EC"},{"id":4,"name":"Milepost","value":"23.338"},{"id":17,"name":"Train ID","value":"187-29"},{"id":16,"name":"Locomotive ID","value":"4029"},{"id":130,"name":"Impact","value":""},{"id":150,"name":"Time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672</v>
      </c>
      <c r="B100" s="7">
        <v>4030</v>
      </c>
      <c r="C100" s="22" t="s">
        <v>212</v>
      </c>
      <c r="D100" s="22" t="s">
        <v>797</v>
      </c>
      <c r="E100" s="13">
        <v>42703.638101851851</v>
      </c>
      <c r="F100" s="13">
        <v>42703.642696759256</v>
      </c>
      <c r="G100" s="7">
        <v>1</v>
      </c>
      <c r="H100" s="22" t="s">
        <v>327</v>
      </c>
      <c r="I100" s="13">
        <v>42703.669745370367</v>
      </c>
      <c r="J100" s="7">
        <v>1</v>
      </c>
      <c r="K100" s="109" t="str">
        <f t="shared" si="19"/>
        <v>4029/4030</v>
      </c>
      <c r="L100" s="22" t="str">
        <f>VLOOKUP(A100,'Trips&amp;Operators'!$C$1:$E$10000,3,FALSE)</f>
        <v>BARTLETT</v>
      </c>
      <c r="M100" s="6">
        <f t="shared" si="20"/>
        <v>2.7048611111240461E-2</v>
      </c>
      <c r="N100" s="7">
        <f t="shared" si="21"/>
        <v>38.950000000186265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14:18:52-700',mode:absolute,to:'2016-11-29 17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23.3034</v>
      </c>
      <c r="Z100" s="67">
        <f t="shared" si="28"/>
        <v>1.7000000000000001E-2</v>
      </c>
      <c r="AA100" s="67">
        <f t="shared" si="29"/>
        <v>23.2864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0188-29</v>
      </c>
      <c r="AE100" s="91" t="str">
        <f t="shared" si="31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100" s="88" t="str">
        <f t="shared" si="32"/>
        <v>"C:\Program Files (x86)\AstroGrep\AstroGrep.exe" /spath="%USERPROFILE%\AppData\Local\Temp\OnboardLogs" /stypes="app*4030*20161129*" /stext=" 23:.+((SYSTEM_STATE.+slice.+state.+changed )|(ment ac)|(multiple cpu faults)|(system.+state.+changed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188-29 --locoid 4030 --swversion DE.1.0.8.0 --startMP 204:233034 --initTime 2016-11-29T15:18:52 --startdatetime 2016-11-29T15:25:29 --delay 1 --endMP 204:170 --enddatetime 2016-11-29T16:04:26 --enforcementcount 1 &gt;&gt;C:\Users\stu\Documents\GitHub\eaglep3-reporting\EC\2016-11-29-refined-times.txt</v>
      </c>
      <c r="AI10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{"issue":{"subject":"","project_id":79,"tracker_id":40,"status_id":1,"priority_id":2,"assigned_to_id":23,"start_date":"2016-11-29","description":"","custom_fields":[{"id":1,"name":"Subdivision","value":"EC"},{"id":4,"name":"Milepost","value":"0.017"},{"id":17,"name":"Train ID","value":"188-29"},{"id":16,"name":"Locomotive ID","value":"4030"},{"id":130,"name":"Impact","value":""},{"id":150,"name":"Time of Event (Mountain Time)","value":"16:04:26"},{"id":151,"name":"Denver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666</v>
      </c>
      <c r="B101" s="7">
        <v>4016</v>
      </c>
      <c r="C101" s="22" t="s">
        <v>212</v>
      </c>
      <c r="D101" s="22" t="s">
        <v>259</v>
      </c>
      <c r="E101" s="13">
        <v>42703.60900462963</v>
      </c>
      <c r="F101" s="13">
        <v>42703.615057870367</v>
      </c>
      <c r="G101" s="7">
        <v>2</v>
      </c>
      <c r="H101" s="22" t="s">
        <v>349</v>
      </c>
      <c r="I101" s="13">
        <v>42703.639756944445</v>
      </c>
      <c r="J101" s="7">
        <v>1</v>
      </c>
      <c r="K101" s="109" t="str">
        <f t="shared" si="19"/>
        <v>4015/4016</v>
      </c>
      <c r="L101" s="22" t="str">
        <f>VLOOKUP(A101,'Trips&amp;Operators'!$C$1:$E$10000,3,FALSE)</f>
        <v>STEWART</v>
      </c>
      <c r="M101" s="6">
        <f t="shared" si="20"/>
        <v>2.4699074077943806E-2</v>
      </c>
      <c r="N101" s="7">
        <f t="shared" si="21"/>
        <v>35.56666667223908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13:36:58-700',mode:absolute,to:'2016-11-29 16:21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4.5699999999999998E-2</v>
      </c>
      <c r="Z101" s="67">
        <f t="shared" si="28"/>
        <v>23.328900000000001</v>
      </c>
      <c r="AA101" s="67">
        <f t="shared" si="29"/>
        <v>23.283200000000001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0"/>
        <v>0189-29</v>
      </c>
      <c r="AE101" s="91" t="str">
        <f t="shared" si="31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101" s="88" t="str">
        <f t="shared" si="32"/>
        <v>"C:\Program Files (x86)\AstroGrep\AstroGrep.exe" /spath="%USERPROFILE%\AppData\Local\Temp\OnboardLogs" /stypes="app*4016*20161129*" /stext=" 22:.+((SYSTEM_STATE.+slice.+state.+changed )|(ment ac)|(multiple cpu faults)|(system.+state.+changed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189-29 --locoid 4016 --swversion DE.1.0.8.0 --startMP 204:457 --initTime 2016-11-29T14:36:58 --startdatetime 2016-11-29T14:45:41 --delay 2 --endMP 204:233289 --enddatetime 2016-11-29T15:21:15 --enforcementcount 1 &gt;&gt;C:\Users\stu\Documents\GitHub\eaglep3-reporting\EC\2016-11-29-refined-times.txt</v>
      </c>
      <c r="AI10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{"issue":{"subject":"","project_id":79,"tracker_id":40,"status_id":1,"priority_id":2,"assigned_to_id":23,"start_date":"2016-11-29","description":"","custom_fields":[{"id":1,"name":"Subdivision","value":"EC"},{"id":4,"name":"Milepost","value":"23.3289"},{"id":17,"name":"Train ID","value":"189-29"},{"id":16,"name":"Locomotive ID","value":"4016"},{"id":130,"name":"Impact","value":""},{"id":150,"name":"Time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675</v>
      </c>
      <c r="B102" s="7">
        <v>4015</v>
      </c>
      <c r="C102" s="22" t="s">
        <v>212</v>
      </c>
      <c r="D102" s="22" t="s">
        <v>786</v>
      </c>
      <c r="E102" s="13">
        <v>42703.650416666664</v>
      </c>
      <c r="F102" s="13">
        <v>42703.653715277775</v>
      </c>
      <c r="G102" s="7">
        <v>1</v>
      </c>
      <c r="H102" s="22" t="s">
        <v>327</v>
      </c>
      <c r="I102" s="13">
        <v>42703.679988425924</v>
      </c>
      <c r="J102" s="7">
        <v>1</v>
      </c>
      <c r="K102" s="109" t="str">
        <f t="shared" si="19"/>
        <v>4015/4016</v>
      </c>
      <c r="L102" s="22" t="str">
        <f>VLOOKUP(A102,'Trips&amp;Operators'!$C$1:$E$10000,3,FALSE)</f>
        <v>STEWART</v>
      </c>
      <c r="M102" s="6">
        <f t="shared" si="20"/>
        <v>2.6273148148902692E-2</v>
      </c>
      <c r="N102" s="7">
        <f t="shared" si="21"/>
        <v>37.833333334419876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14:36:36-700',mode:absolute,to:'2016-11-29 17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23.298100000000002</v>
      </c>
      <c r="Z102" s="67">
        <f t="shared" si="28"/>
        <v>1.7000000000000001E-2</v>
      </c>
      <c r="AA102" s="67">
        <f t="shared" si="29"/>
        <v>23.281100000000002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0190-29</v>
      </c>
      <c r="AE102" s="91" t="str">
        <f t="shared" si="31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102" s="88" t="str">
        <f t="shared" si="32"/>
        <v>"C:\Program Files (x86)\AstroGrep\AstroGrep.exe" /spath="%USERPROFILE%\AppData\Local\Temp\OnboardLogs" /stypes="app*4015*20161129*" /stext=" 23:.+((SYSTEM_STATE.+slice.+state.+changed )|(ment ac)|(multiple cpu faults)|(system.+state.+changed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190-29 --locoid 4015 --swversion DE.1.0.8.0 --startMP 204:232981 --initTime 2016-11-29T15:36:36 --startdatetime 2016-11-29T15:41:21 --delay 1 --endMP 204:170 --enddatetime 2016-11-29T16:19:11 --enforcementcount 1 &gt;&gt;C:\Users\stu\Documents\GitHub\eaglep3-reporting\EC\2016-11-29-refined-times.txt</v>
      </c>
      <c r="AI102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{"issue":{"subject":"","project_id":79,"tracker_id":40,"status_id":1,"priority_id":2,"assigned_to_id":23,"start_date":"2016-11-29","description":"","custom_fields":[{"id":1,"name":"Subdivision","value":"EC"},{"id":4,"name":"Milepost","value":"0.017"},{"id":17,"name":"Train ID","value":"190-29"},{"id":16,"name":"Locomotive ID","value":"4015"},{"id":130,"name":"Impact","value":""},{"id":150,"name":"Time of Event (Mountain Time)","value":"16:19:11"},{"id":151,"name":"Denver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669</v>
      </c>
      <c r="B103" s="7">
        <v>4014</v>
      </c>
      <c r="C103" s="22" t="s">
        <v>212</v>
      </c>
      <c r="D103" s="22" t="s">
        <v>374</v>
      </c>
      <c r="E103" s="13">
        <v>42703.620381944442</v>
      </c>
      <c r="F103" s="13">
        <v>42703.625324074077</v>
      </c>
      <c r="G103" s="7">
        <v>1</v>
      </c>
      <c r="H103" s="22" t="s">
        <v>269</v>
      </c>
      <c r="I103" s="13">
        <v>42703.649594907409</v>
      </c>
      <c r="J103" s="7">
        <v>1</v>
      </c>
      <c r="K103" s="109" t="str">
        <f t="shared" si="19"/>
        <v>4013/4014</v>
      </c>
      <c r="L103" s="22" t="str">
        <f>VLOOKUP(A103,'Trips&amp;Operators'!$C$1:$E$10000,3,FALSE)</f>
        <v>DAVIDSON</v>
      </c>
      <c r="M103" s="6">
        <f t="shared" si="20"/>
        <v>2.4270833331684116E-2</v>
      </c>
      <c r="N103" s="7">
        <f t="shared" si="21"/>
        <v>34.949999997625127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13:53:21-700',mode:absolute,to:'2016-11-29 16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4.82E-2</v>
      </c>
      <c r="Z103" s="67">
        <f t="shared" si="28"/>
        <v>23.3307</v>
      </c>
      <c r="AA103" s="67">
        <f t="shared" si="29"/>
        <v>23.282499999999999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0"/>
        <v>0191-29</v>
      </c>
      <c r="AE103" s="91" t="str">
        <f t="shared" si="31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103" s="88" t="str">
        <f t="shared" si="32"/>
        <v>"C:\Program Files (x86)\AstroGrep\AstroGrep.exe" /spath="%USERPROFILE%\AppData\Local\Temp\OnboardLogs" /stypes="app*4014*20161129*" /stext=" 22:.+((SYSTEM_STATE.+slice.+state.+changed )|(ment ac)|(multiple cpu faults)|(system.+state.+changed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191-29 --locoid 4014 --swversion DE.1.0.8.0 --startMP 204:482 --initTime 2016-11-29T14:53:21 --startdatetime 2016-11-29T15:00:28 --delay 1 --endMP 204:233307 --enddatetime 2016-11-29T15:35:25 --enforcementcount 1 &gt;&gt;C:\Users\stu\Documents\GitHub\eaglep3-reporting\EC\2016-11-29-refined-times.txt</v>
      </c>
      <c r="AI103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{"issue":{"subject":"","project_id":79,"tracker_id":40,"status_id":1,"priority_id":2,"assigned_to_id":23,"start_date":"2016-11-29","description":"","custom_fields":[{"id":1,"name":"Subdivision","value":"EC"},{"id":4,"name":"Milepost","value":"23.3307"},{"id":17,"name":"Train ID","value":"191-29"},{"id":16,"name":"Locomotive ID","value":"4014"},{"id":130,"name":"Impact","value":""},{"id":150,"name":"Time of Event (Mountain Time)","value":"15:35:25"},{"id":151,"name":"Denver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679</v>
      </c>
      <c r="B104" s="7">
        <v>4013</v>
      </c>
      <c r="C104" s="22" t="s">
        <v>212</v>
      </c>
      <c r="D104" s="22" t="s">
        <v>277</v>
      </c>
      <c r="E104" s="13">
        <v>42703.654733796298</v>
      </c>
      <c r="F104" s="13">
        <v>42703.664166666669</v>
      </c>
      <c r="G104" s="7">
        <v>1</v>
      </c>
      <c r="H104" s="22" t="s">
        <v>214</v>
      </c>
      <c r="I104" s="13">
        <v>42703.691921296297</v>
      </c>
      <c r="J104" s="7">
        <v>1</v>
      </c>
      <c r="K104" s="109" t="str">
        <f t="shared" si="19"/>
        <v>4013/4014</v>
      </c>
      <c r="L104" s="22" t="str">
        <f>VLOOKUP(A104,'Trips&amp;Operators'!$C$1:$E$10000,3,FALSE)</f>
        <v>DAVIDSON</v>
      </c>
      <c r="M104" s="6">
        <f t="shared" si="20"/>
        <v>2.7754629627452232E-2</v>
      </c>
      <c r="N104" s="7">
        <f t="shared" si="21"/>
        <v>39.966666663531214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14:42:49-700',mode:absolute,to:'2016-11-29 17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23.298400000000001</v>
      </c>
      <c r="Z104" s="67">
        <f t="shared" si="28"/>
        <v>1.5800000000000002E-2</v>
      </c>
      <c r="AA104" s="67">
        <f t="shared" si="29"/>
        <v>23.282600000000002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0192-29</v>
      </c>
      <c r="AE104" s="91" t="str">
        <f t="shared" si="31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104" s="88" t="str">
        <f t="shared" si="32"/>
        <v>"C:\Program Files (x86)\AstroGrep\AstroGrep.exe" /spath="%USERPROFILE%\AppData\Local\Temp\OnboardLogs" /stypes="app*4013*20161129*" /stext=" 23:.+((SYSTEM_STATE.+slice.+state.+changed )|(ment ac)|(multiple cpu faults)|(system.+state.+changed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192-29 --locoid 4013 --swversion DE.1.0.8.0 --startMP 204:232984 --initTime 2016-11-29T15:42:49 --startdatetime 2016-11-29T15:56:24 --delay 1 --endMP 204:158 --enddatetime 2016-11-29T16:36:22 --enforcementcount 1 &gt;&gt;C:\Users\stu\Documents\GitHub\eaglep3-reporting\EC\2016-11-29-refined-times.txt</v>
      </c>
      <c r="AI104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{"issue":{"subject":"","project_id":79,"tracker_id":40,"status_id":1,"priority_id":2,"assigned_to_id":23,"start_date":"2016-11-29","description":"","custom_fields":[{"id":1,"name":"Subdivision","value":"EC"},{"id":4,"name":"Milepost","value":"0.0158"},{"id":17,"name":"Train ID","value":"192-29"},{"id":16,"name":"Locomotive ID","value":"4013"},{"id":130,"name":"Impact","value":""},{"id":150,"name":"Time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671</v>
      </c>
      <c r="B105" s="7">
        <v>4031</v>
      </c>
      <c r="C105" s="22" t="s">
        <v>212</v>
      </c>
      <c r="D105" s="22" t="s">
        <v>234</v>
      </c>
      <c r="E105" s="13">
        <v>42703.630277777775</v>
      </c>
      <c r="F105" s="13">
        <v>42703.635601851849</v>
      </c>
      <c r="G105" s="7">
        <v>1</v>
      </c>
      <c r="H105" s="22" t="s">
        <v>338</v>
      </c>
      <c r="I105" s="13">
        <v>42703.660532407404</v>
      </c>
      <c r="J105" s="7">
        <v>1</v>
      </c>
      <c r="K105" s="109" t="str">
        <f t="shared" si="19"/>
        <v>4031/4032</v>
      </c>
      <c r="L105" s="22" t="str">
        <f>VLOOKUP(A105,'Trips&amp;Operators'!$C$1:$E$10000,3,FALSE)</f>
        <v>BONDS</v>
      </c>
      <c r="M105" s="6">
        <f t="shared" si="20"/>
        <v>2.4930555555329192E-2</v>
      </c>
      <c r="N105" s="7">
        <f t="shared" si="21"/>
        <v>35.899999999674037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14:07:36-700',mode:absolute,to:'2016-11-29 16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4.6600000000000003E-2</v>
      </c>
      <c r="Z105" s="67">
        <f t="shared" si="28"/>
        <v>23.330400000000001</v>
      </c>
      <c r="AA105" s="67">
        <f t="shared" si="29"/>
        <v>23.283799999999999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0"/>
        <v>0193-29</v>
      </c>
      <c r="AE105" s="91" t="str">
        <f t="shared" si="31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105" s="88" t="str">
        <f t="shared" si="32"/>
        <v>"C:\Program Files (x86)\AstroGrep\AstroGrep.exe" /spath="%USERPROFILE%\AppData\Local\Temp\OnboardLogs" /stypes="app*4031*20161129*" /stext=" 22:.+((SYSTEM_STATE.+slice.+state.+changed )|(ment ac)|(multiple cpu faults)|(system.+state.+changed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193-29 --locoid 4031 --swversion DE.1.0.8.0 --startMP 204:466 --initTime 2016-11-29T15:07:36 --startdatetime 2016-11-29T15:15:16 --delay 1 --endMP 204:233304 --enddatetime 2016-11-29T15:51:10 --enforcementcount 1 &gt;&gt;C:\Users\stu\Documents\GitHub\eaglep3-reporting\EC\2016-11-29-refined-times.txt</v>
      </c>
      <c r="AI105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{"issue":{"subject":"","project_id":79,"tracker_id":40,"status_id":1,"priority_id":2,"assigned_to_id":23,"start_date":"2016-11-29","description":"","custom_fields":[{"id":1,"name":"Subdivision","value":"EC"},{"id":4,"name":"Milepost","value":"23.3304"},{"id":17,"name":"Train ID","value":"193-29"},{"id":16,"name":"Locomotive ID","value":"4031"},{"id":130,"name":"Impact","value":""},{"id":150,"name":"Time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681</v>
      </c>
      <c r="B106" s="7">
        <v>4032</v>
      </c>
      <c r="C106" s="22" t="s">
        <v>212</v>
      </c>
      <c r="D106" s="22" t="s">
        <v>240</v>
      </c>
      <c r="E106" s="13">
        <v>42703.662118055552</v>
      </c>
      <c r="F106" s="13">
        <v>42703.674502314818</v>
      </c>
      <c r="G106" s="7">
        <v>1</v>
      </c>
      <c r="H106" s="22" t="s">
        <v>208</v>
      </c>
      <c r="I106" s="13">
        <v>42703.701967592591</v>
      </c>
      <c r="J106" s="7">
        <v>1</v>
      </c>
      <c r="K106" s="109" t="str">
        <f t="shared" si="19"/>
        <v>4031/4032</v>
      </c>
      <c r="L106" s="22" t="str">
        <f>VLOOKUP(A106,'Trips&amp;Operators'!$C$1:$E$10000,3,FALSE)</f>
        <v>BONDS</v>
      </c>
      <c r="M106" s="6">
        <f t="shared" si="20"/>
        <v>2.7465277773444541E-2</v>
      </c>
      <c r="N106" s="7">
        <f t="shared" si="21"/>
        <v>39.549999993760139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14:53:27-700',mode:absolute,to:'2016-11-29 17:50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23.299399999999999</v>
      </c>
      <c r="Z106" s="67">
        <f t="shared" si="28"/>
        <v>1.5599999999999999E-2</v>
      </c>
      <c r="AA106" s="67">
        <f t="shared" si="29"/>
        <v>23.283799999999999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0194-29</v>
      </c>
      <c r="AE106" s="91" t="str">
        <f t="shared" si="31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106" s="88" t="str">
        <f t="shared" si="32"/>
        <v>"C:\Program Files (x86)\AstroGrep\AstroGrep.exe" /spath="%USERPROFILE%\AppData\Local\Temp\OnboardLogs" /stypes="app*4032*20161129*" /stext=" 23:.+((SYSTEM_STATE.+slice.+state.+changed )|(ment ac)|(multiple cpu faults)|(system.+state.+changed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194-29 --locoid 4032 --swversion DE.1.0.8.0 --startMP 204:232994 --initTime 2016-11-29T15:53:27 --startdatetime 2016-11-29T16:11:17 --delay 1 --endMP 204:156 --enddatetime 2016-11-29T16:50:50 --enforcementcount 1 &gt;&gt;C:\Users\stu\Documents\GitHub\eaglep3-reporting\EC\2016-11-29-refined-times.txt</v>
      </c>
      <c r="AI106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{"issue":{"subject":"","project_id":79,"tracker_id":40,"status_id":1,"priority_id":2,"assigned_to_id":23,"start_date":"2016-11-29","description":"","custom_fields":[{"id":1,"name":"Subdivision","value":"EC"},{"id":4,"name":"Milepost","value":"0.0156"},{"id":17,"name":"Train ID","value":"194-29"},{"id":16,"name":"Locomotive ID","value":"4032"},{"id":130,"name":"Impact","value":""},{"id":150,"name":"Time of Event (Mountain Time)","value":"16:50:50"},{"id":151,"name":"Denver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673</v>
      </c>
      <c r="B107" s="7">
        <v>4003</v>
      </c>
      <c r="C107" s="22" t="s">
        <v>212</v>
      </c>
      <c r="D107" s="22" t="s">
        <v>195</v>
      </c>
      <c r="E107" s="13">
        <v>42703.640902777777</v>
      </c>
      <c r="F107" s="13">
        <v>42703.646412037036</v>
      </c>
      <c r="G107" s="7">
        <v>5</v>
      </c>
      <c r="H107" s="22" t="s">
        <v>349</v>
      </c>
      <c r="I107" s="13">
        <v>42703.671956018516</v>
      </c>
      <c r="J107" s="7">
        <v>1</v>
      </c>
      <c r="K107" s="109" t="str">
        <f t="shared" si="19"/>
        <v>4003/4004</v>
      </c>
      <c r="L107" s="22" t="str">
        <f>VLOOKUP(A107,'Trips&amp;Operators'!$C$1:$E$10000,3,FALSE)</f>
        <v>MAHAN</v>
      </c>
      <c r="M107" s="6">
        <f t="shared" si="20"/>
        <v>2.5543981479131617E-2</v>
      </c>
      <c r="N107" s="7">
        <f t="shared" si="21"/>
        <v>36.783333329949528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14:22:54-700',mode:absolute,to:'2016-11-29 17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4.53E-2</v>
      </c>
      <c r="Z107" s="67">
        <f t="shared" si="28"/>
        <v>23.328900000000001</v>
      </c>
      <c r="AA107" s="67">
        <f t="shared" si="29"/>
        <v>23.2836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0"/>
        <v>0195-29</v>
      </c>
      <c r="AE107" s="91" t="str">
        <f t="shared" si="31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107" s="88" t="str">
        <f t="shared" si="32"/>
        <v>"C:\Program Files (x86)\AstroGrep\AstroGrep.exe" /spath="%USERPROFILE%\AppData\Local\Temp\OnboardLogs" /stypes="app*4003*20161129*" /stext=" 23:.+((SYSTEM_STATE.+slice.+state.+changed )|(ment ac)|(multiple cpu faults)|(system.+state.+changed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195-29 --locoid 4003 --swversion DE.1.0.8.0 --startMP 204:453 --initTime 2016-11-29T15:22:54 --startdatetime 2016-11-29T15:30:50 --delay 5 --endMP 204:233289 --enddatetime 2016-11-29T16:07:37 --enforcementcount 1 &gt;&gt;C:\Users\stu\Documents\GitHub\eaglep3-reporting\EC\2016-11-29-refined-times.txt</v>
      </c>
      <c r="AI107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{"issue":{"subject":"","project_id":79,"tracker_id":40,"status_id":1,"priority_id":2,"assigned_to_id":23,"start_date":"2016-11-29","description":"","custom_fields":[{"id":1,"name":"Subdivision","value":"EC"},{"id":4,"name":"Milepost","value":"23.3289"},{"id":17,"name":"Train ID","value":"195-29"},{"id":16,"name":"Locomotive ID","value":"4003"},{"id":130,"name":"Impact","value":""},{"id":150,"name":"Time of Event (Mountain Time)","value":"16:07:37"},{"id":151,"name":"Denver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684</v>
      </c>
      <c r="B108" s="7">
        <v>4004</v>
      </c>
      <c r="C108" s="22" t="s">
        <v>212</v>
      </c>
      <c r="D108" s="22" t="s">
        <v>308</v>
      </c>
      <c r="E108" s="13">
        <v>42703.683564814812</v>
      </c>
      <c r="F108" s="13">
        <v>42703.685127314813</v>
      </c>
      <c r="G108" s="7">
        <v>1</v>
      </c>
      <c r="H108" s="22" t="s">
        <v>262</v>
      </c>
      <c r="I108" s="13">
        <v>42703.712314814817</v>
      </c>
      <c r="J108" s="7">
        <v>1</v>
      </c>
      <c r="K108" s="109" t="str">
        <f t="shared" si="19"/>
        <v>4003/4004</v>
      </c>
      <c r="L108" s="22" t="str">
        <f>VLOOKUP(A108,'Trips&amp;Operators'!$C$1:$E$10000,3,FALSE)</f>
        <v>MAHAN</v>
      </c>
      <c r="M108" s="6">
        <f t="shared" si="20"/>
        <v>2.718750000349246E-2</v>
      </c>
      <c r="N108" s="7">
        <f t="shared" si="21"/>
        <v>39.150000005029142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15:24:20-700',mode:absolute,to:'2016-11-29 18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23.296700000000001</v>
      </c>
      <c r="Z108" s="67">
        <f t="shared" si="28"/>
        <v>1.67E-2</v>
      </c>
      <c r="AA108" s="67">
        <f t="shared" si="29"/>
        <v>23.28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0196-29</v>
      </c>
      <c r="AE108" s="91" t="str">
        <f t="shared" si="31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108" s="88" t="str">
        <f t="shared" si="32"/>
        <v>"C:\Program Files (x86)\AstroGrep\AstroGrep.exe" /spath="%USERPROFILE%\AppData\Local\Temp\OnboardLogs" /stypes="app*4004*20161130*" /stext=" 00:.+((SYSTEM_STATE.+slice.+state.+changed )|(ment ac)|(multiple cpu faults)|(system.+state.+changed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196-29 --locoid 4004 --swversion DE.1.0.8.0 --startMP 204:232967 --initTime 2016-11-29T16:24:20 --startdatetime 2016-11-29T16:26:35 --delay 1 --endMP 204:167 --enddatetime 2016-11-29T17:05:44 --enforcementcount 1 &gt;&gt;C:\Users\stu\Documents\GitHub\eaglep3-reporting\EC\2016-11-29-refined-times.txt</v>
      </c>
      <c r="AI108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{"issue":{"subject":"","project_id":79,"tracker_id":40,"status_id":1,"priority_id":2,"assigned_to_id":23,"start_date":"2016-11-29","description":"","custom_fields":[{"id":1,"name":"Subdivision","value":"EC"},{"id":4,"name":"Milepost","value":"0.0167"},{"id":17,"name":"Train ID","value":"196-29"},{"id":16,"name":"Locomotive ID","value":"4004"},{"id":130,"name":"Impact","value":""},{"id":150,"name":"Time of Event (Mountain Time)","value":"17:05:44"},{"id":151,"name":"Denver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676</v>
      </c>
      <c r="B109" s="7">
        <v>4022</v>
      </c>
      <c r="C109" s="22" t="s">
        <v>212</v>
      </c>
      <c r="D109" s="22" t="s">
        <v>268</v>
      </c>
      <c r="E109" s="13">
        <v>42703.652013888888</v>
      </c>
      <c r="F109" s="13">
        <v>42703.656458333331</v>
      </c>
      <c r="G109" s="7">
        <v>1</v>
      </c>
      <c r="H109" s="22" t="s">
        <v>349</v>
      </c>
      <c r="I109" s="13">
        <v>42703.682870370372</v>
      </c>
      <c r="J109" s="7">
        <v>1</v>
      </c>
      <c r="K109" s="109" t="str">
        <f t="shared" si="19"/>
        <v>4021/4022</v>
      </c>
      <c r="L109" s="22" t="str">
        <f>VLOOKUP(A109,'Trips&amp;Operators'!$C$1:$E$10000,3,FALSE)</f>
        <v>CLARK</v>
      </c>
      <c r="M109" s="6">
        <f t="shared" si="20"/>
        <v>2.641203704115469E-2</v>
      </c>
      <c r="N109" s="7">
        <f t="shared" si="21"/>
        <v>38.033333339262754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14:38:54-700',mode:absolute,to:'2016-11-29 17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4.6899999999999997E-2</v>
      </c>
      <c r="Z109" s="67">
        <f t="shared" si="28"/>
        <v>23.328900000000001</v>
      </c>
      <c r="AA109" s="67">
        <f t="shared" si="29"/>
        <v>23.282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0197-29</v>
      </c>
      <c r="AE109" s="91" t="str">
        <f t="shared" si="31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109" s="88" t="str">
        <f t="shared" si="32"/>
        <v>"C:\Program Files (x86)\AstroGrep\AstroGrep.exe" /spath="%USERPROFILE%\AppData\Local\Temp\OnboardLogs" /stypes="app*4022*20161129*" /stext=" 23:.+((SYSTEM_STATE.+slice.+state.+changed )|(ment ac)|(multiple cpu faults)|(system.+state.+changed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197-29 --locoid 4022 --swversion DE.1.0.8.0 --startMP 204:469 --initTime 2016-11-29T15:38:54 --startdatetime 2016-11-29T15:45:18 --delay 1 --endMP 204:233289 --enddatetime 2016-11-29T16:23:20 --enforcementcount 1 &gt;&gt;C:\Users\stu\Documents\GitHub\eaglep3-reporting\EC\2016-11-29-refined-times.txt</v>
      </c>
      <c r="AI10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{"issue":{"subject":"","project_id":79,"tracker_id":40,"status_id":1,"priority_id":2,"assigned_to_id":23,"start_date":"2016-11-29","description":"","custom_fields":[{"id":1,"name":"Subdivision","value":"EC"},{"id":4,"name":"Milepost","value":"23.3289"},{"id":17,"name":"Train ID","value":"197-29"},{"id":16,"name":"Locomotive ID","value":"4022"},{"id":130,"name":"Impact","value":""},{"id":150,"name":"Time of Event (Mountain Time)","value":"16:23:20"},{"id":151,"name":"Denver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686</v>
      </c>
      <c r="B110" s="7">
        <v>4021</v>
      </c>
      <c r="C110" s="22" t="s">
        <v>212</v>
      </c>
      <c r="D110" s="22" t="s">
        <v>377</v>
      </c>
      <c r="E110" s="13">
        <v>42703.689120370371</v>
      </c>
      <c r="F110" s="13">
        <v>42703.6953125</v>
      </c>
      <c r="G110" s="7">
        <v>1</v>
      </c>
      <c r="H110" s="22" t="s">
        <v>233</v>
      </c>
      <c r="I110" s="13">
        <v>42703.723368055558</v>
      </c>
      <c r="J110" s="7">
        <v>1</v>
      </c>
      <c r="K110" s="109" t="str">
        <f t="shared" si="19"/>
        <v>4021/4022</v>
      </c>
      <c r="L110" s="22" t="str">
        <f>VLOOKUP(A110,'Trips&amp;Operators'!$C$1:$E$10000,3,FALSE)</f>
        <v>CLARK</v>
      </c>
      <c r="M110" s="6">
        <f t="shared" si="20"/>
        <v>2.8055555558239575E-2</v>
      </c>
      <c r="N110" s="7">
        <f t="shared" si="21"/>
        <v>40.400000003864989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15:32:20-700',mode:absolute,to:'2016-11-29 18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23.2972</v>
      </c>
      <c r="Z110" s="67">
        <f t="shared" si="28"/>
        <v>1.54E-2</v>
      </c>
      <c r="AA110" s="67">
        <f t="shared" si="29"/>
        <v>23.2818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0"/>
        <v>0198-29</v>
      </c>
      <c r="AE110" s="91" t="str">
        <f t="shared" si="31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110" s="88" t="str">
        <f t="shared" si="32"/>
        <v>"C:\Program Files (x86)\AstroGrep\AstroGrep.exe" /spath="%USERPROFILE%\AppData\Local\Temp\OnboardLogs" /stypes="app*4021*20161130*" /stext=" 00:.+((SYSTEM_STATE.+slice.+state.+changed )|(ment ac)|(multiple cpu faults)|(system.+state.+changed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198-29 --locoid 4021 --swversion DE.1.0.8.0 --startMP 204:232972 --initTime 2016-11-29T16:32:20 --startdatetime 2016-11-29T16:41:15 --delay 1 --endMP 204:154 --enddatetime 2016-11-29T17:21:39 --enforcementcount 1 &gt;&gt;C:\Users\stu\Documents\GitHub\eaglep3-reporting\EC\2016-11-29-refined-times.txt</v>
      </c>
      <c r="AI11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{"issue":{"subject":"","project_id":79,"tracker_id":40,"status_id":1,"priority_id":2,"assigned_to_id":23,"start_date":"2016-11-29","description":"","custom_fields":[{"id":1,"name":"Subdivision","value":"EC"},{"id":4,"name":"Milepost","value":"0.0154"},{"id":17,"name":"Train ID","value":"198-29"},{"id":16,"name":"Locomotive ID","value":"4021"},{"id":130,"name":"Impact","value":""},{"id":150,"name":"Time of Event (Mountain Time)","value":"17:21:39"},{"id":151,"name":"Denver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680</v>
      </c>
      <c r="B111" s="7">
        <v>4040</v>
      </c>
      <c r="C111" s="22" t="s">
        <v>212</v>
      </c>
      <c r="D111" s="22" t="s">
        <v>370</v>
      </c>
      <c r="E111" s="13">
        <v>42703.661585648151</v>
      </c>
      <c r="F111" s="13">
        <v>42703.667233796295</v>
      </c>
      <c r="G111" s="7">
        <v>2</v>
      </c>
      <c r="H111" s="22" t="s">
        <v>386</v>
      </c>
      <c r="I111" s="13">
        <v>42703.692465277774</v>
      </c>
      <c r="J111" s="7">
        <v>1</v>
      </c>
      <c r="K111" s="109" t="str">
        <f t="shared" si="19"/>
        <v>4039/4040</v>
      </c>
      <c r="L111" s="22" t="str">
        <f>VLOOKUP(A111,'Trips&amp;Operators'!$C$1:$E$10000,3,FALSE)</f>
        <v>STORY</v>
      </c>
      <c r="M111" s="6">
        <f t="shared" si="20"/>
        <v>2.5231481478840578E-2</v>
      </c>
      <c r="N111" s="7">
        <f t="shared" si="21"/>
        <v>36.333333329530433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14:52:41-700',mode:absolute,to:'2016-11-29 17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4.3799999999999999E-2</v>
      </c>
      <c r="Z111" s="67">
        <f t="shared" si="28"/>
        <v>23.328800000000001</v>
      </c>
      <c r="AA111" s="67">
        <f t="shared" si="29"/>
        <v>23.285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0199-29</v>
      </c>
      <c r="AE111" s="91" t="str">
        <f t="shared" si="31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111" s="88" t="str">
        <f t="shared" si="32"/>
        <v>"C:\Program Files (x86)\AstroGrep\AstroGrep.exe" /spath="%USERPROFILE%\AppData\Local\Temp\OnboardLogs" /stypes="app*4040*20161129*" /stext=" 23:.+((SYSTEM_STATE.+slice.+state.+changed )|(ment ac)|(multiple cpu faults)|(system.+state.+changed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199-29 --locoid 4040 --swversion DE.1.0.8.0 --startMP 204:438 --initTime 2016-11-29T15:52:41 --startdatetime 2016-11-29T16:00:49 --delay 2 --endMP 204:233288 --enddatetime 2016-11-29T16:37:09 --enforcementcount 1 &gt;&gt;C:\Users\stu\Documents\GitHub\eaglep3-reporting\EC\2016-11-29-refined-times.txt</v>
      </c>
      <c r="AI11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{"issue":{"subject":"","project_id":79,"tracker_id":40,"status_id":1,"priority_id":2,"assigned_to_id":23,"start_date":"2016-11-29","description":"","custom_fields":[{"id":1,"name":"Subdivision","value":"EC"},{"id":4,"name":"Milepost","value":"23.3288"},{"id":17,"name":"Train ID","value":"199-29"},{"id":16,"name":"Locomotive ID","value":"4040"},{"id":130,"name":"Impact","value":""},{"id":150,"name":"Time of Event (Mountain Time)","value":"16:37:09"},{"id":151,"name":"Denver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690</v>
      </c>
      <c r="B112" s="7">
        <v>4039</v>
      </c>
      <c r="C112" s="22" t="s">
        <v>212</v>
      </c>
      <c r="D112" s="22" t="s">
        <v>281</v>
      </c>
      <c r="E112" s="13">
        <v>42703.700289351851</v>
      </c>
      <c r="F112" s="13">
        <v>42703.705914351849</v>
      </c>
      <c r="G112" s="7">
        <v>6</v>
      </c>
      <c r="H112" s="22" t="s">
        <v>258</v>
      </c>
      <c r="I112" s="13">
        <v>42703.733622685184</v>
      </c>
      <c r="J112" s="7">
        <v>1</v>
      </c>
      <c r="K112" s="109" t="str">
        <f t="shared" si="19"/>
        <v>4039/4040</v>
      </c>
      <c r="L112" s="22" t="str">
        <f>VLOOKUP(A112,'Trips&amp;Operators'!$C$1:$E$10000,3,FALSE)</f>
        <v>STORY</v>
      </c>
      <c r="M112" s="6">
        <f t="shared" si="20"/>
        <v>2.7708333334885538E-2</v>
      </c>
      <c r="N112" s="7">
        <f t="shared" si="21"/>
        <v>39.900000002235174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15:48:25-700',mode:absolute,to:'2016-11-29 18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23.297999999999998</v>
      </c>
      <c r="Z112" s="67">
        <f t="shared" si="28"/>
        <v>1.3899999999999999E-2</v>
      </c>
      <c r="AA112" s="67">
        <f t="shared" si="29"/>
        <v>23.284099999999999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0"/>
        <v>0200-29</v>
      </c>
      <c r="AE112" s="91" t="str">
        <f t="shared" si="31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112" s="88" t="str">
        <f t="shared" si="32"/>
        <v>"C:\Program Files (x86)\AstroGrep\AstroGrep.exe" /spath="%USERPROFILE%\AppData\Local\Temp\OnboardLogs" /stypes="app*4039*20161130*" /stext=" 00:.+((SYSTEM_STATE.+slice.+state.+changed )|(ment ac)|(multiple cpu faults)|(system.+state.+changed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200-29 --locoid 4039 --swversion DE.1.0.8.0 --startMP 204:232980 --initTime 2016-11-29T16:48:25 --startdatetime 2016-11-29T16:56:31 --delay 6 --endMP 204:139 --enddatetime 2016-11-29T17:36:25 --enforcementcount 1 &gt;&gt;C:\Users\stu\Documents\GitHub\eaglep3-reporting\EC\2016-11-29-refined-times.txt</v>
      </c>
      <c r="AI112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{"issue":{"subject":"","project_id":79,"tracker_id":40,"status_id":1,"priority_id":2,"assigned_to_id":23,"start_date":"2016-11-29","description":"","custom_fields":[{"id":1,"name":"Subdivision","value":"EC"},{"id":4,"name":"Milepost","value":"0.0139"},{"id":17,"name":"Train ID","value":"200-29"},{"id":16,"name":"Locomotive ID","value":"4039"},{"id":130,"name":"Impact","value":""},{"id":150,"name":"Time of Event (Mountain Time)","value":"17:36:25"},{"id":151,"name":"Denver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682</v>
      </c>
      <c r="B113" s="7">
        <v>4029</v>
      </c>
      <c r="C113" s="22" t="s">
        <v>212</v>
      </c>
      <c r="D113" s="22" t="s">
        <v>211</v>
      </c>
      <c r="E113" s="13">
        <v>42703.672858796293</v>
      </c>
      <c r="F113" s="13">
        <v>42703.677407407406</v>
      </c>
      <c r="G113" s="7">
        <v>1</v>
      </c>
      <c r="H113" s="22" t="s">
        <v>798</v>
      </c>
      <c r="I113" s="13">
        <v>42703.702488425923</v>
      </c>
      <c r="J113" s="7">
        <v>1</v>
      </c>
      <c r="K113" s="109" t="str">
        <f t="shared" si="19"/>
        <v>4029/4030</v>
      </c>
      <c r="L113" s="22" t="str">
        <f>VLOOKUP(A113,'Trips&amp;Operators'!$C$1:$E$10000,3,FALSE)</f>
        <v>BARTLETT</v>
      </c>
      <c r="M113" s="6">
        <f t="shared" si="20"/>
        <v>2.5081018517084885E-2</v>
      </c>
      <c r="N113" s="7">
        <f t="shared" si="21"/>
        <v>36.116666664602235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15:08:55-700',mode:absolute,to:'2016-11-29 17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4.6399999999999997E-2</v>
      </c>
      <c r="Z113" s="67">
        <f t="shared" si="28"/>
        <v>23.332699999999999</v>
      </c>
      <c r="AA113" s="67">
        <f t="shared" si="29"/>
        <v>23.286300000000001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0201-29</v>
      </c>
      <c r="AE113" s="91" t="str">
        <f t="shared" si="31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113" s="88" t="str">
        <f t="shared" si="32"/>
        <v>"C:\Program Files (x86)\AstroGrep\AstroGrep.exe" /spath="%USERPROFILE%\AppData\Local\Temp\OnboardLogs" /stypes="app*4029*20161129*" /stext=" 23:.+((SYSTEM_STATE.+slice.+state.+changed )|(ment ac)|(multiple cpu faults)|(system.+state.+changed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201-29 --locoid 4029 --swversion DE.1.0.8.0 --startMP 204:464 --initTime 2016-11-29T16:08:55 --startdatetime 2016-11-29T16:15:28 --delay 1 --endMP 204:233327 --enddatetime 2016-11-29T16:51:35 --enforcementcount 1 &gt;&gt;C:\Users\stu\Documents\GitHub\eaglep3-reporting\EC\2016-11-29-refined-times.txt</v>
      </c>
      <c r="AI113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{"issue":{"subject":"","project_id":79,"tracker_id":40,"status_id":1,"priority_id":2,"assigned_to_id":23,"start_date":"2016-11-29","description":"","custom_fields":[{"id":1,"name":"Subdivision","value":"EC"},{"id":4,"name":"Milepost","value":"23.3327"},{"id":17,"name":"Train ID","value":"201-29"},{"id":16,"name":"Locomotive ID","value":"4029"},{"id":130,"name":"Impact","value":""},{"id":150,"name":"Time of Event (Mountain Time)","value":"16:51:35"},{"id":151,"name":"Denver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692</v>
      </c>
      <c r="B114" s="7">
        <v>4030</v>
      </c>
      <c r="C114" s="22" t="s">
        <v>212</v>
      </c>
      <c r="D114" s="22" t="s">
        <v>280</v>
      </c>
      <c r="E114" s="13">
        <v>42703.704768518517</v>
      </c>
      <c r="F114" s="13">
        <v>42703.716400462959</v>
      </c>
      <c r="G114" s="7">
        <v>1</v>
      </c>
      <c r="H114" s="22" t="s">
        <v>192</v>
      </c>
      <c r="I114" s="13">
        <v>42703.743136574078</v>
      </c>
      <c r="J114" s="7">
        <v>1</v>
      </c>
      <c r="K114" s="109" t="str">
        <f t="shared" si="19"/>
        <v>4029/4030</v>
      </c>
      <c r="L114" s="22" t="str">
        <f>VLOOKUP(A114,'Trips&amp;Operators'!$C$1:$E$10000,3,FALSE)</f>
        <v>BARTLETT</v>
      </c>
      <c r="M114" s="6">
        <f t="shared" si="20"/>
        <v>2.6736111118225381E-2</v>
      </c>
      <c r="N114" s="7">
        <f t="shared" si="21"/>
        <v>38.500000010244548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15:54:52-700',mode:absolute,to:'2016-11-29 18:50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23.299600000000002</v>
      </c>
      <c r="Z114" s="67">
        <f t="shared" si="28"/>
        <v>1.49E-2</v>
      </c>
      <c r="AA114" s="67">
        <f t="shared" si="29"/>
        <v>23.284700000000001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0202-29</v>
      </c>
      <c r="AE114" s="91" t="str">
        <f t="shared" si="31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114" s="88" t="str">
        <f t="shared" si="32"/>
        <v>"C:\Program Files (x86)\AstroGrep\AstroGrep.exe" /spath="%USERPROFILE%\AppData\Local\Temp\OnboardLogs" /stypes="app*4030*20161130*" /stext=" 00:.+((SYSTEM_STATE.+slice.+state.+changed )|(ment ac)|(multiple cpu faults)|(system.+state.+changed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202-29 --locoid 4030 --swversion DE.1.0.8.0 --startMP 204:232996 --initTime 2016-11-29T16:54:52 --startdatetime 2016-11-29T17:11:37 --delay 1 --endMP 204:149 --enddatetime 2016-11-29T17:50:07 --enforcementcount 1 &gt;&gt;C:\Users\stu\Documents\GitHub\eaglep3-reporting\EC\2016-11-29-refined-times.txt</v>
      </c>
      <c r="AI114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ID","value":"202-29"},{"id":16,"name":"Locomotive ID","value":"4030"},{"id":130,"name":"Impact","value":""},{"id":150,"name":"Time of Event (Mountain Time)","value":"17:50:07"},{"id":151,"name":"Denver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685</v>
      </c>
      <c r="B115" s="7">
        <v>4016</v>
      </c>
      <c r="C115" s="22" t="s">
        <v>212</v>
      </c>
      <c r="D115" s="22" t="s">
        <v>374</v>
      </c>
      <c r="E115" s="13">
        <v>42703.683518518519</v>
      </c>
      <c r="F115" s="13">
        <v>42703.68787037037</v>
      </c>
      <c r="G115" s="7">
        <v>1</v>
      </c>
      <c r="H115" s="22" t="s">
        <v>386</v>
      </c>
      <c r="I115" s="13">
        <v>42703.713402777779</v>
      </c>
      <c r="J115" s="7">
        <v>1</v>
      </c>
      <c r="K115" s="109" t="str">
        <f t="shared" si="19"/>
        <v>4015/4016</v>
      </c>
      <c r="L115" s="22" t="str">
        <f>VLOOKUP(A115,'Trips&amp;Operators'!$C$1:$E$10000,3,FALSE)</f>
        <v>STEWART</v>
      </c>
      <c r="M115" s="6">
        <f t="shared" si="20"/>
        <v>2.5532407409627922E-2</v>
      </c>
      <c r="N115" s="7">
        <f t="shared" si="21"/>
        <v>36.766666669864208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15:24:16-700',mode:absolute,to:'2016-11-29 18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4.82E-2</v>
      </c>
      <c r="Z115" s="67">
        <f t="shared" si="28"/>
        <v>23.328800000000001</v>
      </c>
      <c r="AA115" s="67">
        <f t="shared" si="29"/>
        <v>23.2806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0203-29</v>
      </c>
      <c r="AE115" s="91" t="str">
        <f t="shared" si="31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115" s="88" t="str">
        <f t="shared" si="32"/>
        <v>"C:\Program Files (x86)\AstroGrep\AstroGrep.exe" /spath="%USERPROFILE%\AppData\Local\Temp\OnboardLogs" /stypes="app*4016*20161130*" /stext=" 00:.+((SYSTEM_STATE.+slice.+state.+changed )|(ment ac)|(multiple cpu faults)|(system.+state.+changed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203-29 --locoid 4016 --swversion DE.1.0.8.0 --startMP 204:482 --initTime 2016-11-29T16:24:16 --startdatetime 2016-11-29T16:30:32 --delay 1 --endMP 204:233288 --enddatetime 2016-11-29T17:07:18 --enforcementcount 1 &gt;&gt;C:\Users\stu\Documents\GitHub\eaglep3-reporting\EC\2016-11-29-refined-times.txt</v>
      </c>
      <c r="AI115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{"issue":{"subject":"","project_id":79,"tracker_id":40,"status_id":1,"priority_id":2,"assigned_to_id":23,"start_date":"2016-11-29","description":"","custom_fields":[{"id":1,"name":"Subdivision","value":"EC"},{"id":4,"name":"Milepost","value":"23.3288"},{"id":17,"name":"Train ID","value":"203-29"},{"id":16,"name":"Locomotive ID","value":"4016"},{"id":130,"name":"Impact","value":""},{"id":150,"name":"Time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696</v>
      </c>
      <c r="B116" s="7">
        <v>4015</v>
      </c>
      <c r="C116" s="22" t="s">
        <v>212</v>
      </c>
      <c r="D116" s="22" t="s">
        <v>799</v>
      </c>
      <c r="E116" s="13">
        <v>42703.723611111112</v>
      </c>
      <c r="F116" s="13">
        <v>42703.726817129631</v>
      </c>
      <c r="G116" s="7">
        <v>1</v>
      </c>
      <c r="H116" s="22" t="s">
        <v>327</v>
      </c>
      <c r="I116" s="13">
        <v>42703.753923611112</v>
      </c>
      <c r="J116" s="7">
        <v>1</v>
      </c>
      <c r="K116" s="109" t="str">
        <f t="shared" si="19"/>
        <v>4015/4016</v>
      </c>
      <c r="L116" s="22" t="str">
        <f>VLOOKUP(A116,'Trips&amp;Operators'!$C$1:$E$10000,3,FALSE)</f>
        <v>STEWART</v>
      </c>
      <c r="M116" s="6">
        <f t="shared" si="20"/>
        <v>2.7106481480586808E-2</v>
      </c>
      <c r="N116" s="7">
        <f t="shared" si="21"/>
        <v>39.033333332045004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16:22:00-700',mode:absolute,to:'2016-11-29 19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23.296099999999999</v>
      </c>
      <c r="Z116" s="67">
        <f t="shared" si="28"/>
        <v>1.7000000000000001E-2</v>
      </c>
      <c r="AA116" s="67">
        <f t="shared" si="29"/>
        <v>23.2791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0204-29</v>
      </c>
      <c r="AE116" s="91" t="str">
        <f t="shared" si="31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116" s="88" t="str">
        <f t="shared" si="32"/>
        <v>"C:\Program Files (x86)\AstroGrep\AstroGrep.exe" /spath="%USERPROFILE%\AppData\Local\Temp\OnboardLogs" /stypes="app*4015*20161130*" /stext=" 01:.+((SYSTEM_STATE.+slice.+state.+changed )|(ment ac)|(multiple cpu faults)|(system.+state.+changed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204-29 --locoid 4015 --swversion DE.1.0.8.0 --startMP 204:232961 --initTime 2016-11-29T17:22:00 --startdatetime 2016-11-29T17:26:37 --delay 1 --endMP 204:170 --enddatetime 2016-11-29T18:05:39 --enforcementcount 1 &gt;&gt;C:\Users\stu\Documents\GitHub\eaglep3-reporting\EC\2016-11-29-refined-times.txt</v>
      </c>
      <c r="AI116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{"issue":{"subject":"","project_id":79,"tracker_id":40,"status_id":1,"priority_id":2,"assigned_to_id":23,"start_date":"2016-11-29","description":"","custom_fields":[{"id":1,"name":"Subdivision","value":"EC"},{"id":4,"name":"Milepost","value":"0.017"},{"id":17,"name":"Train ID","value":"204-29"},{"id":16,"name":"Locomotive ID","value":"4015"},{"id":130,"name":"Impact","value":""},{"id":150,"name":"Time of Event (Mountain Time)","value":"18:05:39"},{"id":151,"name":"Denver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688</v>
      </c>
      <c r="B117" s="7">
        <v>4014</v>
      </c>
      <c r="C117" s="22" t="s">
        <v>212</v>
      </c>
      <c r="D117" s="22" t="s">
        <v>342</v>
      </c>
      <c r="E117" s="13">
        <v>42703.696504629632</v>
      </c>
      <c r="F117" s="13">
        <v>42703.698437500003</v>
      </c>
      <c r="G117" s="7">
        <v>1</v>
      </c>
      <c r="H117" s="22" t="s">
        <v>387</v>
      </c>
      <c r="I117" s="13">
        <v>42703.722696759258</v>
      </c>
      <c r="J117" s="7">
        <v>1</v>
      </c>
      <c r="K117" s="109" t="str">
        <f t="shared" si="19"/>
        <v>4013/4014</v>
      </c>
      <c r="L117" s="22" t="str">
        <f>VLOOKUP(A117,'Trips&amp;Operators'!$C$1:$E$10000,3,FALSE)</f>
        <v>DAVIDSON</v>
      </c>
      <c r="M117" s="6">
        <f t="shared" si="20"/>
        <v>2.4259259254904464E-2</v>
      </c>
      <c r="N117" s="7">
        <f t="shared" si="21"/>
        <v>34.933333327062428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15:42:58-700',mode:absolute,to:'2016-11-29 18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4.8599999999999997E-2</v>
      </c>
      <c r="Z117" s="67">
        <f t="shared" si="28"/>
        <v>23.328499999999998</v>
      </c>
      <c r="AA117" s="67">
        <f t="shared" si="29"/>
        <v>23.279899999999998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0205-29</v>
      </c>
      <c r="AE117" s="91" t="str">
        <f t="shared" si="31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117" s="88" t="str">
        <f t="shared" si="32"/>
        <v>"C:\Program Files (x86)\AstroGrep\AstroGrep.exe" /spath="%USERPROFILE%\AppData\Local\Temp\OnboardLogs" /stypes="app*4014*20161130*" /stext=" 00:.+((SYSTEM_STATE.+slice.+state.+changed )|(ment ac)|(multiple cpu faults)|(system.+state.+changed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205-29 --locoid 4014 --swversion DE.1.0.8.0 --startMP 204:486 --initTime 2016-11-29T16:42:58 --startdatetime 2016-11-29T16:45:45 --delay 1 --endMP 204:233285 --enddatetime 2016-11-29T17:20:41 --enforcementcount 1 &gt;&gt;C:\Users\stu\Documents\GitHub\eaglep3-reporting\EC\2016-11-29-refined-times.txt</v>
      </c>
      <c r="AI117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{"issue":{"subject":"","project_id":79,"tracker_id":40,"status_id":1,"priority_id":2,"assigned_to_id":23,"start_date":"2016-11-29","description":"","custom_fields":[{"id":1,"name":"Subdivision","value":"EC"},{"id":4,"name":"Milepost","value":"23.3285"},{"id":17,"name":"Train ID","value":"205-29"},{"id":16,"name":"Locomotive ID","value":"4014"},{"id":130,"name":"Impact","value":""},{"id":150,"name":"Time of Event (Mountain Time)","value":"17:20:41"},{"id":151,"name":"Denver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698</v>
      </c>
      <c r="B118" s="7">
        <v>4013</v>
      </c>
      <c r="C118" s="22" t="s">
        <v>212</v>
      </c>
      <c r="D118" s="22" t="s">
        <v>800</v>
      </c>
      <c r="E118" s="13">
        <v>42703.730717592596</v>
      </c>
      <c r="F118" s="13">
        <v>42703.736979166664</v>
      </c>
      <c r="G118" s="7">
        <v>1</v>
      </c>
      <c r="H118" s="22" t="s">
        <v>244</v>
      </c>
      <c r="I118" s="13">
        <v>42703.764282407406</v>
      </c>
      <c r="J118" s="7">
        <v>1</v>
      </c>
      <c r="K118" s="109" t="str">
        <f t="shared" si="19"/>
        <v>4013/4014</v>
      </c>
      <c r="L118" s="22" t="str">
        <f>VLOOKUP(A118,'Trips&amp;Operators'!$C$1:$E$10000,3,FALSE)</f>
        <v>DAVIDSON</v>
      </c>
      <c r="M118" s="6">
        <f t="shared" si="20"/>
        <v>2.7303240742185153E-2</v>
      </c>
      <c r="N118" s="7">
        <f t="shared" si="21"/>
        <v>39.31666666874662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16:32:14-700',mode:absolute,to:'2016-11-29 19:20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23.296600000000002</v>
      </c>
      <c r="Z118" s="67">
        <f t="shared" si="28"/>
        <v>1.47E-2</v>
      </c>
      <c r="AA118" s="67">
        <f t="shared" si="29"/>
        <v>23.2819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0206-29</v>
      </c>
      <c r="AE118" s="91" t="str">
        <f t="shared" si="31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118" s="88" t="str">
        <f t="shared" si="32"/>
        <v>"C:\Program Files (x86)\AstroGrep\AstroGrep.exe" /spath="%USERPROFILE%\AppData\Local\Temp\OnboardLogs" /stypes="app*4013*20161130*" /stext=" 01:.+((SYSTEM_STATE.+slice.+state.+changed )|(ment ac)|(multiple cpu faults)|(system.+state.+changed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206-29 --locoid 4013 --swversion DE.1.0.8.0 --startMP 204:232966 --initTime 2016-11-29T17:32:14 --startdatetime 2016-11-29T17:41:15 --delay 1 --endMP 204:147 --enddatetime 2016-11-29T18:20:34 --enforcementcount 1 &gt;&gt;C:\Users\stu\Documents\GitHub\eaglep3-reporting\EC\2016-11-29-refined-times.txt</v>
      </c>
      <c r="AI118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{"issue":{"subject":"","project_id":79,"tracker_id":40,"status_id":1,"priority_id":2,"assigned_to_id":23,"start_date":"2016-11-29","description":"","custom_fields":[{"id":1,"name":"Subdivision","value":"EC"},{"id":4,"name":"Milepost","value":"0.0147"},{"id":17,"name":"Train ID","value":"206-29"},{"id":16,"name":"Locomotive ID","value":"4013"},{"id":130,"name":"Impact","value":""},{"id":150,"name":"Time of Event (Mountain Time)","value":"18:20:34"},{"id":151,"name":"Denver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691</v>
      </c>
      <c r="B119" s="7">
        <v>4031</v>
      </c>
      <c r="C119" s="22" t="s">
        <v>212</v>
      </c>
      <c r="D119" s="22" t="s">
        <v>801</v>
      </c>
      <c r="E119" s="13">
        <v>42703.70380787037</v>
      </c>
      <c r="F119" s="13">
        <v>42703.708645833336</v>
      </c>
      <c r="G119" s="7">
        <v>1</v>
      </c>
      <c r="H119" s="22" t="s">
        <v>379</v>
      </c>
      <c r="I119" s="13">
        <v>42703.734560185185</v>
      </c>
      <c r="J119" s="7">
        <v>1</v>
      </c>
      <c r="K119" s="109" t="str">
        <f t="shared" si="19"/>
        <v>4031/4032</v>
      </c>
      <c r="L119" s="22" t="str">
        <f>VLOOKUP(A119,'Trips&amp;Operators'!$C$1:$E$10000,3,FALSE)</f>
        <v>BONDS</v>
      </c>
      <c r="M119" s="6">
        <f t="shared" si="20"/>
        <v>2.5914351848769002E-2</v>
      </c>
      <c r="N119" s="7">
        <f t="shared" si="21"/>
        <v>37.316666662227362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15:53:29-700',mode:absolute,to:'2016-11-29 18:37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4.8000000000000001E-2</v>
      </c>
      <c r="Z119" s="67">
        <f t="shared" si="28"/>
        <v>23.3276</v>
      </c>
      <c r="AA119" s="67">
        <f t="shared" si="29"/>
        <v>23.279600000000002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0207-29</v>
      </c>
      <c r="AE119" s="91" t="str">
        <f t="shared" si="31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119" s="88" t="str">
        <f t="shared" si="32"/>
        <v>"C:\Program Files (x86)\AstroGrep\AstroGrep.exe" /spath="%USERPROFILE%\AppData\Local\Temp\OnboardLogs" /stypes="app*4031*20161130*" /stext=" 00:.+((SYSTEM_STATE.+slice.+state.+changed )|(ment ac)|(multiple cpu faults)|(system.+state.+changed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207-29 --locoid 4031 --swversion DE.1.0.8.0 --startMP 204:480 --initTime 2016-11-29T16:53:29 --startdatetime 2016-11-29T17:00:27 --delay 1 --endMP 204:233276 --enddatetime 2016-11-29T17:37:46 --enforcementcount 1 &gt;&gt;C:\Users\stu\Documents\GitHub\eaglep3-reporting\EC\2016-11-29-refined-times.txt</v>
      </c>
      <c r="AI11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{"issue":{"subject":"","project_id":79,"tracker_id":40,"status_id":1,"priority_id":2,"assigned_to_id":23,"start_date":"2016-11-29","description":"","custom_fields":[{"id":1,"name":"Subdivision","value":"EC"},{"id":4,"name":"Milepost","value":"23.3276"},{"id":17,"name":"Train ID","value":"207-29"},{"id":16,"name":"Locomotive ID","value":"4031"},{"id":130,"name":"Impact","value":""},{"id":150,"name":"Time of Event (Mountain Time)","value":"17:37:46"},{"id":151,"name":"Denver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701</v>
      </c>
      <c r="B120" s="7">
        <v>4032</v>
      </c>
      <c r="C120" s="22" t="s">
        <v>212</v>
      </c>
      <c r="D120" s="22" t="s">
        <v>802</v>
      </c>
      <c r="E120" s="13">
        <v>42703.736157407409</v>
      </c>
      <c r="F120" s="13">
        <v>42703.747465277775</v>
      </c>
      <c r="G120" s="7">
        <v>1</v>
      </c>
      <c r="H120" s="22" t="s">
        <v>233</v>
      </c>
      <c r="I120" s="13">
        <v>42703.775358796294</v>
      </c>
      <c r="J120" s="7">
        <v>1</v>
      </c>
      <c r="K120" s="109" t="str">
        <f t="shared" si="19"/>
        <v>4031/4032</v>
      </c>
      <c r="L120" s="22" t="str">
        <f>VLOOKUP(A120,'Trips&amp;Operators'!$C$1:$E$10000,3,FALSE)</f>
        <v>BONDS</v>
      </c>
      <c r="M120" s="6">
        <f t="shared" si="20"/>
        <v>2.789351851970423E-2</v>
      </c>
      <c r="N120" s="7">
        <f t="shared" si="21"/>
        <v>40.166666668374091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16:40:04-700',mode:absolute,to:'2016-11-29 19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23.295500000000001</v>
      </c>
      <c r="Z120" s="67">
        <f t="shared" si="28"/>
        <v>1.54E-2</v>
      </c>
      <c r="AA120" s="67">
        <f t="shared" si="29"/>
        <v>23.280100000000001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0208-29</v>
      </c>
      <c r="AE120" s="91" t="str">
        <f t="shared" si="31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120" s="88" t="str">
        <f t="shared" si="32"/>
        <v>"C:\Program Files (x86)\AstroGrep\AstroGrep.exe" /spath="%USERPROFILE%\AppData\Local\Temp\OnboardLogs" /stypes="app*4032*20161130*" /stext=" 01:.+((SYSTEM_STATE.+slice.+state.+changed )|(ment ac)|(multiple cpu faults)|(system.+state.+changed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208-29 --locoid 4032 --swversion DE.1.0.8.0 --startMP 204:232955 --initTime 2016-11-29T17:40:04 --startdatetime 2016-11-29T17:56:21 --delay 1 --endMP 204:154 --enddatetime 2016-11-29T18:36:31 --enforcementcount 1 &gt;&gt;C:\Users\stu\Documents\GitHub\eaglep3-reporting\EC\2016-11-29-refined-times.txt</v>
      </c>
      <c r="AI12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{"issue":{"subject":"","project_id":79,"tracker_id":40,"status_id":1,"priority_id":2,"assigned_to_id":23,"start_date":"2016-11-29","description":"","custom_fields":[{"id":1,"name":"Subdivision","value":"EC"},{"id":4,"name":"Milepost","value":"0.0154"},{"id":17,"name":"Train ID","value":"208-29"},{"id":16,"name":"Locomotive ID","value":"4032"},{"id":130,"name":"Impact","value":""},{"id":150,"name":"Time of Event (Mountain Time)","value":"18:36:31"},{"id":151,"name":"Denver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695</v>
      </c>
      <c r="B121" s="7">
        <v>4003</v>
      </c>
      <c r="C121" s="22" t="s">
        <v>212</v>
      </c>
      <c r="D121" s="22" t="s">
        <v>211</v>
      </c>
      <c r="E121" s="13">
        <v>42703.714803240742</v>
      </c>
      <c r="F121" s="13">
        <v>42703.7190625</v>
      </c>
      <c r="G121" s="7">
        <v>1</v>
      </c>
      <c r="H121" s="22" t="s">
        <v>257</v>
      </c>
      <c r="I121" s="13">
        <v>42703.744027777779</v>
      </c>
      <c r="J121" s="7">
        <v>1</v>
      </c>
      <c r="K121" s="109" t="str">
        <f t="shared" si="19"/>
        <v>4003/4004</v>
      </c>
      <c r="L121" s="22" t="str">
        <f>VLOOKUP(A121,'Trips&amp;Operators'!$C$1:$E$10000,3,FALSE)</f>
        <v>LEVERE</v>
      </c>
      <c r="M121" s="6">
        <f t="shared" si="20"/>
        <v>2.4965277778392192E-2</v>
      </c>
      <c r="N121" s="7">
        <f t="shared" si="21"/>
        <v>35.950000000884756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16:09:19-700',mode:absolute,to:'2016-11-29 18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4.6399999999999997E-2</v>
      </c>
      <c r="Z121" s="67">
        <f t="shared" si="28"/>
        <v>23.330200000000001</v>
      </c>
      <c r="AA121" s="67">
        <f t="shared" si="29"/>
        <v>23.283800000000003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0209-29</v>
      </c>
      <c r="AE121" s="91" t="str">
        <f t="shared" si="31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121" s="88" t="str">
        <f t="shared" si="32"/>
        <v>"C:\Program Files (x86)\AstroGrep\AstroGrep.exe" /spath="%USERPROFILE%\AppData\Local\Temp\OnboardLogs" /stypes="app*4003*20161130*" /stext=" 00:.+((SYSTEM_STATE.+slice.+state.+changed )|(ment ac)|(multiple cpu faults)|(system.+state.+changed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209-29 --locoid 4003 --swversion DE.1.0.8.0 --startMP 204:464 --initTime 2016-11-29T17:09:19 --startdatetime 2016-11-29T17:15:27 --delay 1 --endMP 204:233302 --enddatetime 2016-11-29T17:51:24 --enforcementcount 1 &gt;&gt;C:\Users\stu\Documents\GitHub\eaglep3-reporting\EC\2016-11-29-refined-times.txt</v>
      </c>
      <c r="AI12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{"issue":{"subject":"","project_id":79,"tracker_id":40,"status_id":1,"priority_id":2,"assigned_to_id":23,"start_date":"2016-11-29","description":"","custom_fields":[{"id":1,"name":"Subdivision","value":"EC"},{"id":4,"name":"Milepost","value":"23.3302"},{"id":17,"name":"Train ID","value":"209-29"},{"id":16,"name":"Locomotive ID","value":"4003"},{"id":130,"name":"Impact","value":""},{"id":150,"name":"Time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706</v>
      </c>
      <c r="B122" s="7">
        <v>4004</v>
      </c>
      <c r="C122" s="22" t="s">
        <v>212</v>
      </c>
      <c r="D122" s="22" t="s">
        <v>242</v>
      </c>
      <c r="E122" s="13">
        <v>42703.753854166665</v>
      </c>
      <c r="F122" s="13">
        <v>42703.757951388892</v>
      </c>
      <c r="G122" s="7">
        <v>1</v>
      </c>
      <c r="H122" s="22" t="s">
        <v>192</v>
      </c>
      <c r="I122" s="13">
        <v>42703.78533564815</v>
      </c>
      <c r="J122" s="7">
        <v>1</v>
      </c>
      <c r="K122" s="109" t="str">
        <f t="shared" si="19"/>
        <v>4003/4004</v>
      </c>
      <c r="L122" s="22" t="str">
        <f>VLOOKUP(A122,'Trips&amp;Operators'!$C$1:$E$10000,3,FALSE)</f>
        <v>LEVERE</v>
      </c>
      <c r="M122" s="6">
        <f t="shared" si="20"/>
        <v>2.7384259257814847E-2</v>
      </c>
      <c r="N122" s="7">
        <f t="shared" si="21"/>
        <v>39.43333333125338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17:05:33-700',mode:absolute,to:'2016-11-29 19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23.299800000000001</v>
      </c>
      <c r="Z122" s="67">
        <f t="shared" si="28"/>
        <v>1.49E-2</v>
      </c>
      <c r="AA122" s="67">
        <f t="shared" si="29"/>
        <v>23.2849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0"/>
        <v>0210-29</v>
      </c>
      <c r="AE122" s="91" t="str">
        <f t="shared" si="31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122" s="88" t="str">
        <f t="shared" si="32"/>
        <v>"C:\Program Files (x86)\AstroGrep\AstroGrep.exe" /spath="%USERPROFILE%\AppData\Local\Temp\OnboardLogs" /stypes="app*4004*20161130*" /stext=" 01:.+((SYSTEM_STATE.+slice.+state.+changed )|(ment ac)|(multiple cpu faults)|(system.+state.+changed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210-29 --locoid 4004 --swversion DE.1.0.8.0 --startMP 204:232998 --initTime 2016-11-29T18:05:33 --startdatetime 2016-11-29T18:11:27 --delay 1 --endMP 204:149 --enddatetime 2016-11-29T18:50:53 --enforcementcount 1 &gt;&gt;C:\Users\stu\Documents\GitHub\eaglep3-reporting\EC\2016-11-29-refined-times.txt</v>
      </c>
      <c r="AI122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{"issue":{"subject":"","project_id":79,"tracker_id":40,"status_id":1,"priority_id":2,"assigned_to_id":23,"start_date":"2016-11-29","description":"","custom_fields":[{"id":1,"name":"Subdivision","value":"EC"},{"id":4,"name":"Milepost","value":"0.0149"},{"id":17,"name":"Train ID","value":"210-29"},{"id":16,"name":"Locomotive ID","value":"4004"},{"id":130,"name":"Impact","value":""},{"id":150,"name":"Time of Event (Mountain Time)","value":"18:50:53"},{"id":151,"name":"Denver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697</v>
      </c>
      <c r="B123" s="7">
        <v>4022</v>
      </c>
      <c r="C123" s="22" t="s">
        <v>212</v>
      </c>
      <c r="D123" s="22" t="s">
        <v>329</v>
      </c>
      <c r="E123" s="13">
        <v>42703.725162037037</v>
      </c>
      <c r="F123" s="13">
        <v>42703.729780092595</v>
      </c>
      <c r="G123" s="7">
        <v>2</v>
      </c>
      <c r="H123" s="22" t="s">
        <v>386</v>
      </c>
      <c r="I123" s="13">
        <v>42703.755497685182</v>
      </c>
      <c r="J123" s="7">
        <v>1</v>
      </c>
      <c r="K123" s="109" t="str">
        <f t="shared" si="19"/>
        <v>4021/4022</v>
      </c>
      <c r="L123" s="22" t="str">
        <f>VLOOKUP(A123,'Trips&amp;Operators'!$C$1:$E$10000,3,FALSE)</f>
        <v>MAHAN</v>
      </c>
      <c r="M123" s="6">
        <f t="shared" si="20"/>
        <v>2.5717592587170657E-2</v>
      </c>
      <c r="N123" s="7">
        <f t="shared" si="21"/>
        <v>37.033333325525746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16:24:14-700',mode:absolute,to:'2016-11-29 19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4.58E-2</v>
      </c>
      <c r="Z123" s="67">
        <f t="shared" si="28"/>
        <v>23.328800000000001</v>
      </c>
      <c r="AA123" s="67">
        <f t="shared" si="29"/>
        <v>23.283000000000001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0211-29</v>
      </c>
      <c r="AE123" s="91" t="str">
        <f t="shared" si="31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123" s="88" t="str">
        <f t="shared" si="32"/>
        <v>"C:\Program Files (x86)\AstroGrep\AstroGrep.exe" /spath="%USERPROFILE%\AppData\Local\Temp\OnboardLogs" /stypes="app*4022*20161130*" /stext=" 01:.+((SYSTEM_STATE.+slice.+state.+changed )|(ment ac)|(multiple cpu faults)|(system.+state.+changed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211-29 --locoid 4022 --swversion DE.1.0.8.0 --startMP 204:458 --initTime 2016-11-29T17:24:14 --startdatetime 2016-11-29T17:30:53 --delay 2 --endMP 204:233288 --enddatetime 2016-11-29T18:07:55 --enforcementcount 1 &gt;&gt;C:\Users\stu\Documents\GitHub\eaglep3-reporting\EC\2016-11-29-refined-times.txt</v>
      </c>
      <c r="AI123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{"issue":{"subject":"","project_id":79,"tracker_id":40,"status_id":1,"priority_id":2,"assigned_to_id":23,"start_date":"2016-11-29","description":"","custom_fields":[{"id":1,"name":"Subdivision","value":"EC"},{"id":4,"name":"Milepost","value":"23.3288"},{"id":17,"name":"Train ID","value":"211-29"},{"id":16,"name":"Locomotive ID","value":"4022"},{"id":130,"name":"Impact","value":""},{"id":150,"name":"Time of Event (Mountain Time)","value":"18:07:55"},{"id":151,"name":"Denver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710</v>
      </c>
      <c r="B124" s="7">
        <v>4021</v>
      </c>
      <c r="C124" s="22" t="s">
        <v>212</v>
      </c>
      <c r="D124" s="22" t="s">
        <v>787</v>
      </c>
      <c r="E124" s="13">
        <v>42703.762800925928</v>
      </c>
      <c r="F124" s="13">
        <v>42703.768460648149</v>
      </c>
      <c r="G124" s="7">
        <v>2</v>
      </c>
      <c r="H124" s="22" t="s">
        <v>324</v>
      </c>
      <c r="I124" s="13">
        <v>42703.796516203707</v>
      </c>
      <c r="J124" s="7">
        <v>1</v>
      </c>
      <c r="K124" s="109" t="str">
        <f t="shared" si="19"/>
        <v>4021/4022</v>
      </c>
      <c r="L124" s="22" t="str">
        <f>VLOOKUP(A124,'Trips&amp;Operators'!$C$1:$E$10000,3,FALSE)</f>
        <v>MAHAN</v>
      </c>
      <c r="M124" s="6">
        <f t="shared" si="20"/>
        <v>2.8055555558239575E-2</v>
      </c>
      <c r="N124" s="7">
        <f t="shared" si="21"/>
        <v>40.400000003864989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17:18:26-700',mode:absolute,to:'2016-11-29 20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23.296900000000001</v>
      </c>
      <c r="Z124" s="67">
        <f t="shared" si="28"/>
        <v>1.38E-2</v>
      </c>
      <c r="AA124" s="67">
        <f t="shared" si="29"/>
        <v>23.283100000000001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0212-29</v>
      </c>
      <c r="AE124" s="91" t="str">
        <f t="shared" si="31"/>
        <v>aws s3 cp s3://rtdc.mdm.uploadarchive.raw/RTDC4021/ "%USERPROFILE%\AppData\Local\Temp\OnboardLogs"\RTDC4021\2016-11-29 --exclude "*" --recursive --include "*20161129*" &amp; "%USERPROFILE%\Documents\GitHub\mrs-test-scripts\Headless Mode &amp; Sideloading\WalkAndUnGZ.bat" "%USERPROFILE%\AppData\Local\Temp\OnboardLogs"\RTDC4021\2016-11-29 &amp; 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</v>
      </c>
      <c r="AF124" s="88" t="str">
        <f t="shared" si="32"/>
        <v>"C:\Program Files (x86)\AstroGrep\AstroGrep.exe" /spath="%USERPROFILE%\AppData\Local\Temp\OnboardLogs" /stypes="app*4021*20161130*" /stext=" 02:.+((SYSTEM_STATE.+slice.+state.+changed )|(ment ac)|(multiple cpu faults)|(system.+state.+changed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212-29 --locoid 4021 --swversion DE.1.0.8.0 --startMP 204:232969 --initTime 2016-11-29T18:18:26 --startdatetime 2016-11-29T18:26:35 --delay 2 --endMP 204:138 --enddatetime 2016-11-29T19:06:59 --enforcementcount 1 &gt;&gt;C:\Users\stu\Documents\GitHub\eaglep3-reporting\EC\2016-11-29-refined-times.txt</v>
      </c>
      <c r="AI124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{"issue":{"subject":"","project_id":79,"tracker_id":40,"status_id":1,"priority_id":2,"assigned_to_id":23,"start_date":"2016-11-29","description":"","custom_fields":[{"id":1,"name":"Subdivision","value":"EC"},{"id":4,"name":"Milepost","value":"0.0138"},{"id":17,"name":"Train ID","value":"212-29"},{"id":16,"name":"Locomotive ID","value":"4021"},{"id":130,"name":"Impact","value":""},{"id":150,"name":"Time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700</v>
      </c>
      <c r="B125" s="7">
        <v>4040</v>
      </c>
      <c r="C125" s="22" t="s">
        <v>212</v>
      </c>
      <c r="D125" s="22" t="s">
        <v>235</v>
      </c>
      <c r="E125" s="13">
        <v>42703.735497685186</v>
      </c>
      <c r="F125" s="13">
        <v>42703.739849537036</v>
      </c>
      <c r="G125" s="7">
        <v>1</v>
      </c>
      <c r="H125" s="22" t="s">
        <v>798</v>
      </c>
      <c r="I125" s="13">
        <v>42703.765023148146</v>
      </c>
      <c r="J125" s="7">
        <v>1</v>
      </c>
      <c r="K125" s="109" t="str">
        <f t="shared" si="19"/>
        <v>4039/4040</v>
      </c>
      <c r="L125" s="22" t="str">
        <f>VLOOKUP(A125,'Trips&amp;Operators'!$C$1:$E$10000,3,FALSE)</f>
        <v>COOLAHAN</v>
      </c>
      <c r="M125" s="6">
        <f t="shared" si="20"/>
        <v>2.5173611109494232E-2</v>
      </c>
      <c r="N125" s="7">
        <f t="shared" si="21"/>
        <v>36.249999997671694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16:39:07-700',mode:absolute,to:'2016-11-29 19:21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4.4900000000000002E-2</v>
      </c>
      <c r="Z125" s="67">
        <f t="shared" si="28"/>
        <v>23.332699999999999</v>
      </c>
      <c r="AA125" s="67">
        <f t="shared" si="29"/>
        <v>23.287800000000001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0213-29</v>
      </c>
      <c r="AE125" s="91" t="str">
        <f t="shared" si="31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125" s="88" t="str">
        <f t="shared" si="32"/>
        <v>"C:\Program Files (x86)\AstroGrep\AstroGrep.exe" /spath="%USERPROFILE%\AppData\Local\Temp\OnboardLogs" /stypes="app*4040*20161130*" /stext=" 01:.+((SYSTEM_STATE.+slice.+state.+changed )|(ment ac)|(multiple cpu faults)|(system.+state.+changed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213-29 --locoid 4040 --swversion DE.1.0.8.0 --startMP 204:449 --initTime 2016-11-29T17:39:07 --startdatetime 2016-11-29T17:45:23 --delay 1 --endMP 204:233327 --enddatetime 2016-11-29T18:21:38 --enforcementcount 1 &gt;&gt;C:\Users\stu\Documents\GitHub\eaglep3-reporting\EC\2016-11-29-refined-times.txt</v>
      </c>
      <c r="AI125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{"issue":{"subject":"","project_id":79,"tracker_id":40,"status_id":1,"priority_id":2,"assigned_to_id":23,"start_date":"2016-11-29","description":"","custom_fields":[{"id":1,"name":"Subdivision","value":"EC"},{"id":4,"name":"Milepost","value":"23.3327"},{"id":17,"name":"Train ID","value":"213-29"},{"id":16,"name":"Locomotive ID","value":"4040"},{"id":130,"name":"Impact","value":""},{"id":150,"name":"Time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7" t="s">
        <v>712</v>
      </c>
      <c r="B126" s="7">
        <v>4039</v>
      </c>
      <c r="C126" s="22" t="s">
        <v>212</v>
      </c>
      <c r="D126" s="22" t="s">
        <v>240</v>
      </c>
      <c r="E126" s="13">
        <v>42703.774027777778</v>
      </c>
      <c r="F126" s="13">
        <v>42703.778819444444</v>
      </c>
      <c r="G126" s="7">
        <v>1</v>
      </c>
      <c r="H126" s="22" t="s">
        <v>372</v>
      </c>
      <c r="I126" s="13">
        <v>42703.804560185185</v>
      </c>
      <c r="J126" s="7">
        <v>1</v>
      </c>
      <c r="K126" s="109" t="str">
        <f t="shared" si="19"/>
        <v>4039/4040</v>
      </c>
      <c r="L126" s="22" t="str">
        <f>VLOOKUP(A126,'Trips&amp;Operators'!$C$1:$E$10000,3,FALSE)</f>
        <v>COOLAHAN</v>
      </c>
      <c r="M126" s="6">
        <f t="shared" si="20"/>
        <v>2.5740740740729962E-2</v>
      </c>
      <c r="N126" s="7">
        <f t="shared" si="21"/>
        <v>37.066666666651145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17:34:36-700',mode:absolute,to:'2016-11-29 20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23.299399999999999</v>
      </c>
      <c r="Z126" s="67">
        <f t="shared" si="28"/>
        <v>1.52E-2</v>
      </c>
      <c r="AA126" s="67">
        <f t="shared" si="29"/>
        <v>23.284199999999998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0214-29</v>
      </c>
      <c r="AE126" s="91" t="str">
        <f t="shared" si="31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126" s="88" t="str">
        <f t="shared" si="32"/>
        <v>"C:\Program Files (x86)\AstroGrep\AstroGrep.exe" /spath="%USERPROFILE%\AppData\Local\Temp\OnboardLogs" /stypes="app*4039*20161130*" /stext=" 02:.+((SYSTEM_STATE.+slice.+state.+changed )|(ment ac)|(multiple cpu faults)|(system.+state.+changed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214-29 --locoid 4039 --swversion DE.1.0.8.0 --startMP 204:232994 --initTime 2016-11-29T18:34:36 --startdatetime 2016-11-29T18:41:30 --delay 1 --endMP 204:152 --enddatetime 2016-11-29T19:18:34 --enforcementcount 1 &gt;&gt;C:\Users\stu\Documents\GitHub\eaglep3-reporting\EC\2016-11-29-refined-times.txt</v>
      </c>
      <c r="AI126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{"issue":{"subject":"","project_id":79,"tracker_id":40,"status_id":1,"priority_id":2,"assigned_to_id":23,"start_date":"2016-11-29","description":"","custom_fields":[{"id":1,"name":"Subdivision","value":"EC"},{"id":4,"name":"Milepost","value":"0.0152"},{"id":17,"name":"Train ID","value":"214-29"},{"id":16,"name":"Locomotive ID","value":"4039"},{"id":130,"name":"Impact","value":""},{"id":150,"name":"Time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91" s="21" customFormat="1" x14ac:dyDescent="0.25">
      <c r="A127" s="37" t="s">
        <v>564</v>
      </c>
      <c r="B127" s="7">
        <v>4029</v>
      </c>
      <c r="C127" s="22" t="s">
        <v>212</v>
      </c>
      <c r="D127" s="22" t="s">
        <v>256</v>
      </c>
      <c r="E127" s="13">
        <v>42703.74554398148</v>
      </c>
      <c r="F127" s="13">
        <v>42703.750416666669</v>
      </c>
      <c r="G127" s="7">
        <v>1</v>
      </c>
      <c r="H127" s="22" t="s">
        <v>803</v>
      </c>
      <c r="I127" s="13">
        <v>42703.777303240742</v>
      </c>
      <c r="J127" s="7">
        <v>1</v>
      </c>
      <c r="K127" s="109" t="str">
        <f t="shared" si="19"/>
        <v>4029/4030</v>
      </c>
      <c r="L127" s="22" t="str">
        <f>VLOOKUP(A127,'Trips&amp;Operators'!$C$1:$E$10000,3,FALSE)</f>
        <v>STORY</v>
      </c>
      <c r="M127" s="6">
        <f t="shared" si="20"/>
        <v>2.6886574072705116E-2</v>
      </c>
      <c r="N127" s="7">
        <f t="shared" si="21"/>
        <v>38.716666664695367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16:53:35-700',mode:absolute,to:'2016-11-29 19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4.5999999999999999E-2</v>
      </c>
      <c r="Z127" s="67">
        <f t="shared" si="28"/>
        <v>23.338699999999999</v>
      </c>
      <c r="AA127" s="67">
        <f t="shared" si="29"/>
        <v>23.2927</v>
      </c>
      <c r="AB127" s="64" t="str">
        <f>VLOOKUP(A127,Enforcements!$C$7:$K$20,8,0)</f>
        <v>Signal based authority (5)</v>
      </c>
      <c r="AC127" s="60" t="str">
        <f>VLOOKUP(A127,Enforcements!$C$7:$E$20,3,0)</f>
        <v>SIGNAL</v>
      </c>
      <c r="AD127" s="61" t="str">
        <f t="shared" si="30"/>
        <v>0215-29</v>
      </c>
      <c r="AE127" s="91" t="str">
        <f t="shared" si="31"/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AF127" s="88" t="str">
        <f t="shared" si="32"/>
        <v>"C:\Program Files (x86)\AstroGrep\AstroGrep.exe" /spath="%USERPROFILE%\AppData\Local\Temp\OnboardLogs" /stypes="app*4029*20161130*" /stext=" 01:.+((SYSTEM_STATE.+slice.+state.+changed )|(ment ac)|(multiple cpu faults)|(system.+state.+changed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215-29 --locoid 4029 --swversion DE.1.0.8.0 --startMP 204:460 --initTime 2016-11-29T17:53:35 --startdatetime 2016-11-29T18:00:36 --delay 1 --endMP 204:233387 --enddatetime 2016-11-29T18:39:19 --enforcementcount 1 &gt;&gt;C:\Users\stu\Documents\GitHub\eaglep3-reporting\EC\2016-11-29-refined-times.txt</v>
      </c>
      <c r="AI127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{"issue":{"subject":"","project_id":79,"tracker_id":40,"status_id":1,"priority_id":2,"assigned_to_id":23,"start_date":"2016-11-29","description":"","custom_fields":[{"id":1,"name":"Subdivision","value":"EC"},{"id":4,"name":"Milepost","value":"23.3387"},{"id":17,"name":"Train ID","value":"215-29"},{"id":16,"name":"Locomotive ID","value":"4029"},{"id":130,"name":"Impact","value":""},{"id":150,"name":"Time of Event (Mountain Time)","value":"18:39:19"},{"id":151,"name":"Denver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716</v>
      </c>
      <c r="B128" s="7">
        <v>4030</v>
      </c>
      <c r="C128" s="22" t="s">
        <v>212</v>
      </c>
      <c r="D128" s="22" t="s">
        <v>804</v>
      </c>
      <c r="E128" s="13">
        <v>42703.786319444444</v>
      </c>
      <c r="F128" s="13">
        <v>42703.789247685185</v>
      </c>
      <c r="G128" s="7">
        <v>1</v>
      </c>
      <c r="H128" s="22" t="s">
        <v>214</v>
      </c>
      <c r="I128" s="13">
        <v>42703.817407407405</v>
      </c>
      <c r="J128" s="7">
        <v>1</v>
      </c>
      <c r="K128" s="109" t="str">
        <f t="shared" si="19"/>
        <v>4029/4030</v>
      </c>
      <c r="L128" s="22" t="str">
        <f>VLOOKUP(A128,'Trips&amp;Operators'!$C$1:$E$10000,3,FALSE)</f>
        <v>STORY</v>
      </c>
      <c r="M128" s="6">
        <f t="shared" si="20"/>
        <v>2.8159722220152617E-2</v>
      </c>
      <c r="N128" s="7">
        <f t="shared" si="21"/>
        <v>40.549999997019768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17:52:18-700',mode:absolute,to:'2016-11-29 20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23.3065</v>
      </c>
      <c r="Z128" s="67">
        <f t="shared" si="28"/>
        <v>1.5800000000000002E-2</v>
      </c>
      <c r="AA128" s="67">
        <f t="shared" si="29"/>
        <v>23.290700000000001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0216-29</v>
      </c>
      <c r="AE128" s="91" t="str">
        <f t="shared" si="31"/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128" s="88" t="str">
        <f t="shared" si="32"/>
        <v>"C:\Program Files (x86)\AstroGrep\AstroGrep.exe" /spath="%USERPROFILE%\AppData\Local\Temp\OnboardLogs" /stypes="app*4030*20161130*" /stext=" 02:.+((SYSTEM_STATE.+slice.+state.+changed )|(ment ac)|(multiple cpu faults)|(system.+state.+changed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216-29 --locoid 4030 --swversion DE.1.0.8.0 --startMP 204:233065 --initTime 2016-11-29T18:52:18 --startdatetime 2016-11-29T18:56:31 --delay 1 --endMP 204:158 --enddatetime 2016-11-29T19:37:04 --enforcementcount 1 &gt;&gt;C:\Users\stu\Documents\GitHub\eaglep3-reporting\EC\2016-11-29-refined-times.txt</v>
      </c>
      <c r="AI128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{"issue":{"subject":"","project_id":79,"tracker_id":40,"status_id":1,"priority_id":2,"assigned_to_id":23,"start_date":"2016-11-29","description":"","custom_fields":[{"id":1,"name":"Subdivision","value":"EC"},{"id":4,"name":"Milepost","value":"0.0158"},{"id":17,"name":"Train ID","value":"216-29"},{"id":16,"name":"Locomotive ID","value":"4030"},{"id":130,"name":"Impact","value":""},{"id":150,"name":"Time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708</v>
      </c>
      <c r="B129" s="7">
        <v>4016</v>
      </c>
      <c r="C129" s="22" t="s">
        <v>212</v>
      </c>
      <c r="D129" s="22" t="s">
        <v>775</v>
      </c>
      <c r="E129" s="13">
        <v>42703.756423611114</v>
      </c>
      <c r="F129" s="13">
        <v>42703.760567129626</v>
      </c>
      <c r="G129" s="7">
        <v>1</v>
      </c>
      <c r="H129" s="22" t="s">
        <v>763</v>
      </c>
      <c r="I129" s="13">
        <v>42703.78502314815</v>
      </c>
      <c r="J129" s="7">
        <v>1</v>
      </c>
      <c r="K129" s="109" t="str">
        <f t="shared" si="19"/>
        <v>4015/4016</v>
      </c>
      <c r="L129" s="22" t="str">
        <f>VLOOKUP(A129,'Trips&amp;Operators'!$C$1:$E$10000,3,FALSE)</f>
        <v>YANAI</v>
      </c>
      <c r="M129" s="6">
        <f t="shared" si="20"/>
        <v>2.4456018523778766E-2</v>
      </c>
      <c r="N129" s="7">
        <f t="shared" si="21"/>
        <v>35.216666674241424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17:09:15-700',mode:absolute,to:'2016-11-29 19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4.3999999999999997E-2</v>
      </c>
      <c r="Z129" s="67">
        <f t="shared" si="28"/>
        <v>23.331</v>
      </c>
      <c r="AA129" s="67">
        <f t="shared" si="29"/>
        <v>23.286999999999999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0217-29</v>
      </c>
      <c r="AE129" s="91" t="str">
        <f t="shared" si="31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129" s="88" t="str">
        <f t="shared" si="32"/>
        <v>"C:\Program Files (x86)\AstroGrep\AstroGrep.exe" /spath="%USERPROFILE%\AppData\Local\Temp\OnboardLogs" /stypes="app*4016*20161130*" /stext=" 01:.+((SYSTEM_STATE.+slice.+state.+changed )|(ment ac)|(multiple cpu faults)|(system.+state.+changed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217-29 --locoid 4016 --swversion DE.1.0.8.0 --startMP 204:440 --initTime 2016-11-29T18:09:15 --startdatetime 2016-11-29T18:15:13 --delay 1 --endMP 204:233310 --enddatetime 2016-11-29T18:50:26 --enforcementcount 1 &gt;&gt;C:\Users\stu\Documents\GitHub\eaglep3-reporting\EC\2016-11-29-refined-times.txt</v>
      </c>
      <c r="AI12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{"issue":{"subject":"","project_id":79,"tracker_id":40,"status_id":1,"priority_id":2,"assigned_to_id":23,"start_date":"2016-11-29","description":"","custom_fields":[{"id":1,"name":"Subdivision","value":"EC"},{"id":4,"name":"Milepost","value":"23.331"},{"id":17,"name":"Train ID","value":"217-29"},{"id":16,"name":"Locomotive ID","value":"4016"},{"id":130,"name":"Impact","value":""},{"id":150,"name":"Time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718</v>
      </c>
      <c r="B130" s="7">
        <v>4015</v>
      </c>
      <c r="C130" s="22" t="s">
        <v>212</v>
      </c>
      <c r="D130" s="22" t="s">
        <v>280</v>
      </c>
      <c r="E130" s="13">
        <v>42703.787453703706</v>
      </c>
      <c r="F130" s="13">
        <v>42703.799513888887</v>
      </c>
      <c r="G130" s="7">
        <v>1</v>
      </c>
      <c r="H130" s="22" t="s">
        <v>214</v>
      </c>
      <c r="I130" s="13">
        <v>42703.824803240743</v>
      </c>
      <c r="J130" s="7">
        <v>1</v>
      </c>
      <c r="K130" s="109" t="str">
        <f t="shared" si="19"/>
        <v>4015/4016</v>
      </c>
      <c r="L130" s="22" t="str">
        <f>VLOOKUP(A130,'Trips&amp;Operators'!$C$1:$E$10000,3,FALSE)</f>
        <v>YANAI</v>
      </c>
      <c r="M130" s="6">
        <f t="shared" si="20"/>
        <v>2.5289351855462883E-2</v>
      </c>
      <c r="N130" s="7">
        <f t="shared" si="21"/>
        <v>36.416666671866551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17:53:56-700',mode:absolute,to:'2016-11-29 20:47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23.299600000000002</v>
      </c>
      <c r="Z130" s="67">
        <f t="shared" si="28"/>
        <v>1.5800000000000002E-2</v>
      </c>
      <c r="AA130" s="67">
        <f t="shared" si="29"/>
        <v>23.283800000000003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0218-29</v>
      </c>
      <c r="AE130" s="91" t="str">
        <f t="shared" si="31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130" s="88" t="str">
        <f t="shared" si="32"/>
        <v>"C:\Program Files (x86)\AstroGrep\AstroGrep.exe" /spath="%USERPROFILE%\AppData\Local\Temp\OnboardLogs" /stypes="app*4015*20161130*" /stext=" 02:.+((SYSTEM_STATE.+slice.+state.+changed )|(ment ac)|(multiple cpu faults)|(system.+state.+changed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218-29 --locoid 4015 --swversion DE.1.0.8.0 --startMP 204:232996 --initTime 2016-11-29T18:53:56 --startdatetime 2016-11-29T19:11:18 --delay 1 --endMP 204:158 --enddatetime 2016-11-29T19:47:43 --enforcementcount 1 &gt;&gt;C:\Users\stu\Documents\GitHub\eaglep3-reporting\EC\2016-11-29-refined-times.txt</v>
      </c>
      <c r="AI13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{"issue":{"subject":"","project_id":79,"tracker_id":40,"status_id":1,"priority_id":2,"assigned_to_id":23,"start_date":"2016-11-29","description":"","custom_fields":[{"id":1,"name":"Subdivision","value":"EC"},{"id":4,"name":"Milepost","value":"0.0158"},{"id":17,"name":"Train ID","value":"218-29"},{"id":16,"name":"Locomotive ID","value":"4015"},{"id":130,"name":"Impact","value":""},{"id":150,"name":"Time of Event (Mountain Time)","value":"19:47:43"},{"id":151,"name":"Denver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711</v>
      </c>
      <c r="B131" s="7">
        <v>4014</v>
      </c>
      <c r="C131" s="22" t="s">
        <v>212</v>
      </c>
      <c r="D131" s="22" t="s">
        <v>209</v>
      </c>
      <c r="E131" s="13">
        <v>42703.768912037034</v>
      </c>
      <c r="F131" s="13">
        <v>42703.771307870367</v>
      </c>
      <c r="G131" s="7">
        <v>1</v>
      </c>
      <c r="H131" s="22" t="s">
        <v>805</v>
      </c>
      <c r="I131" s="13">
        <v>42703.796493055554</v>
      </c>
      <c r="J131" s="7">
        <v>1</v>
      </c>
      <c r="K131" s="109" t="str">
        <f t="shared" si="19"/>
        <v>4013/4014</v>
      </c>
      <c r="L131" s="22" t="str">
        <f>VLOOKUP(A131,'Trips&amp;Operators'!$C$1:$E$10000,3,FALSE)</f>
        <v>CHANDLER</v>
      </c>
      <c r="M131" s="6">
        <f t="shared" si="20"/>
        <v>2.5185185186273884E-2</v>
      </c>
      <c r="N131" s="7">
        <f t="shared" si="21"/>
        <v>36.266666668234393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17:27:14-700',mode:absolute,to:'2016-11-29 20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4.6199999999999998E-2</v>
      </c>
      <c r="Z131" s="67">
        <f t="shared" si="28"/>
        <v>23.327000000000002</v>
      </c>
      <c r="AA131" s="67">
        <f t="shared" si="29"/>
        <v>23.280800000000003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0"/>
        <v>0219-29</v>
      </c>
      <c r="AE131" s="91" t="str">
        <f t="shared" si="31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131" s="88" t="str">
        <f t="shared" si="32"/>
        <v>"C:\Program Files (x86)\AstroGrep\AstroGrep.exe" /spath="%USERPROFILE%\AppData\Local\Temp\OnboardLogs" /stypes="app*4014*20161130*" /stext=" 02:.+((SYSTEM_STATE.+slice.+state.+changed )|(ment ac)|(multiple cpu faults)|(system.+state.+changed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219-29 --locoid 4014 --swversion DE.1.0.8.0 --startMP 204:462 --initTime 2016-11-29T18:27:14 --startdatetime 2016-11-29T18:30:41 --delay 1 --endMP 204:233270 --enddatetime 2016-11-29T19:06:57 --enforcementcount 1 &gt;&gt;C:\Users\stu\Documents\GitHub\eaglep3-reporting\EC\2016-11-29-refined-times.txt</v>
      </c>
      <c r="AI13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{"issue":{"subject":"","project_id":79,"tracker_id":40,"status_id":1,"priority_id":2,"assigned_to_id":23,"start_date":"2016-11-29","description":"","custom_fields":[{"id":1,"name":"Subdivision","value":"EC"},{"id":4,"name":"Milepost","value":"23.327"},{"id":17,"name":"Train ID","value":"219-29"},{"id":16,"name":"Locomotive ID","value":"4014"},{"id":130,"name":"Impact","value":""},{"id":150,"name":"Time of Event (Mountain Time)","value":"19:06:57"},{"id":151,"name":"Denver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723</v>
      </c>
      <c r="B132" s="7">
        <v>4013</v>
      </c>
      <c r="C132" s="22" t="s">
        <v>212</v>
      </c>
      <c r="D132" s="22" t="s">
        <v>239</v>
      </c>
      <c r="E132" s="13">
        <v>42703.80840277778</v>
      </c>
      <c r="F132" s="13">
        <v>42703.810104166667</v>
      </c>
      <c r="G132" s="7">
        <v>1</v>
      </c>
      <c r="H132" s="22" t="s">
        <v>806</v>
      </c>
      <c r="I132" s="13">
        <v>42703.836863425924</v>
      </c>
      <c r="J132" s="7">
        <v>1</v>
      </c>
      <c r="K132" s="109" t="str">
        <f t="shared" si="19"/>
        <v>4013/4014</v>
      </c>
      <c r="L132" s="22" t="str">
        <f>VLOOKUP(A132,'Trips&amp;Operators'!$C$1:$E$10000,3,FALSE)</f>
        <v>CHANDLER</v>
      </c>
      <c r="M132" s="6">
        <f t="shared" si="20"/>
        <v>2.675925925723277E-2</v>
      </c>
      <c r="N132" s="7">
        <f t="shared" si="21"/>
        <v>38.533333330415189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18:24:06-700',mode:absolute,to:'2016-11-29 21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23.297499999999999</v>
      </c>
      <c r="Z132" s="67">
        <f t="shared" si="28"/>
        <v>1.72E-2</v>
      </c>
      <c r="AA132" s="67">
        <f t="shared" si="29"/>
        <v>23.2803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0220-29</v>
      </c>
      <c r="AE132" s="91" t="str">
        <f t="shared" si="31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132" s="88" t="str">
        <f t="shared" si="32"/>
        <v>"C:\Program Files (x86)\AstroGrep\AstroGrep.exe" /spath="%USERPROFILE%\AppData\Local\Temp\OnboardLogs" /stypes="app*4013*20161130*" /stext=" 03:.+((SYSTEM_STATE.+slice.+state.+changed )|(ment ac)|(multiple cpu faults)|(system.+state.+changed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220-29 --locoid 4013 --swversion DE.1.0.8.0 --startMP 204:232975 --initTime 2016-11-29T19:24:06 --startdatetime 2016-11-29T19:26:33 --delay 1 --endMP 204:172 --enddatetime 2016-11-29T20:05:05 --enforcementcount 1 &gt;&gt;C:\Users\stu\Documents\GitHub\eaglep3-reporting\EC\2016-11-29-refined-times.txt</v>
      </c>
      <c r="AI132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{"issue":{"subject":"","project_id":79,"tracker_id":40,"status_id":1,"priority_id":2,"assigned_to_id":23,"start_date":"2016-11-29","description":"","custom_fields":[{"id":1,"name":"Subdivision","value":"EC"},{"id":4,"name":"Milepost","value":"0.0172"},{"id":17,"name":"Train ID","value":"220-29"},{"id":16,"name":"Locomotive ID","value":"4013"},{"id":130,"name":"Impact","value":""},{"id":150,"name":"Time of Event (Mountain Time)","value":"20:05:05"},{"id":151,"name":"Denver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717</v>
      </c>
      <c r="B133" s="7">
        <v>4003</v>
      </c>
      <c r="C133" s="22" t="s">
        <v>212</v>
      </c>
      <c r="D133" s="22" t="s">
        <v>807</v>
      </c>
      <c r="E133" s="13">
        <v>42703.787465277775</v>
      </c>
      <c r="F133" s="13">
        <v>42703.791990740741</v>
      </c>
      <c r="G133" s="7">
        <v>1</v>
      </c>
      <c r="H133" s="22" t="s">
        <v>283</v>
      </c>
      <c r="I133" s="13">
        <v>42703.816782407404</v>
      </c>
      <c r="J133" s="7">
        <v>1</v>
      </c>
      <c r="K133" s="109" t="str">
        <f t="shared" si="19"/>
        <v>4003/4004</v>
      </c>
      <c r="L133" s="22" t="str">
        <f>VLOOKUP(A133,'Trips&amp;Operators'!$C$1:$E$10000,3,FALSE)</f>
        <v>LEVERE</v>
      </c>
      <c r="M133" s="6">
        <f t="shared" si="20"/>
        <v>2.4791666663077194E-2</v>
      </c>
      <c r="N133" s="7">
        <f t="shared" si="21"/>
        <v>35.69999999483116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17:53:57-700',mode:absolute,to:'2016-11-29 20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4.2200000000000001E-2</v>
      </c>
      <c r="Z133" s="67">
        <f t="shared" si="28"/>
        <v>23.329799999999999</v>
      </c>
      <c r="AA133" s="67">
        <f t="shared" si="29"/>
        <v>23.287599999999998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0221-29</v>
      </c>
      <c r="AE133" s="91" t="str">
        <f t="shared" si="31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133" s="88" t="str">
        <f t="shared" si="32"/>
        <v>"C:\Program Files (x86)\AstroGrep\AstroGrep.exe" /spath="%USERPROFILE%\AppData\Local\Temp\OnboardLogs" /stypes="app*4003*20161130*" /stext=" 02:.+((SYSTEM_STATE.+slice.+state.+changed )|(ment ac)|(multiple cpu faults)|(system.+state.+changed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221-29 --locoid 4003 --swversion DE.1.0.8.0 --startMP 204:422 --initTime 2016-11-29T18:53:57 --startdatetime 2016-11-29T19:00:28 --delay 1 --endMP 204:233298 --enddatetime 2016-11-29T19:36:10 --enforcementcount 1 &gt;&gt;C:\Users\stu\Documents\GitHub\eaglep3-reporting\EC\2016-11-29-refined-times.txt</v>
      </c>
      <c r="AI133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{"issue":{"subject":"","project_id":79,"tracker_id":40,"status_id":1,"priority_id":2,"assigned_to_id":23,"start_date":"2016-11-29","description":"","custom_fields":[{"id":1,"name":"Subdivision","value":"EC"},{"id":4,"name":"Milepost","value":"23.3298"},{"id":17,"name":"Train ID","value":"221-29"},{"id":16,"name":"Locomotive ID","value":"4003"},{"id":130,"name":"Impact","value":""},{"id":150,"name":"Time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726</v>
      </c>
      <c r="B134" s="7">
        <v>4004</v>
      </c>
      <c r="C134" s="22" t="s">
        <v>212</v>
      </c>
      <c r="D134" s="22" t="s">
        <v>808</v>
      </c>
      <c r="E134" s="13">
        <v>42703.822743055556</v>
      </c>
      <c r="F134" s="13">
        <v>42703.830787037034</v>
      </c>
      <c r="G134" s="7">
        <v>1</v>
      </c>
      <c r="H134" s="22" t="s">
        <v>246</v>
      </c>
      <c r="I134" s="13">
        <v>42703.857662037037</v>
      </c>
      <c r="J134" s="7">
        <v>1</v>
      </c>
      <c r="K134" s="109" t="str">
        <f t="shared" si="19"/>
        <v>4003/4004</v>
      </c>
      <c r="L134" s="22" t="str">
        <f>VLOOKUP(A134,'Trips&amp;Operators'!$C$1:$E$10000,3,FALSE)</f>
        <v>LEVERE</v>
      </c>
      <c r="M134" s="6">
        <f t="shared" si="20"/>
        <v>2.6875000003201421E-2</v>
      </c>
      <c r="N134" s="7">
        <f t="shared" si="21"/>
        <v>38.700000004610047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18:44:45-700',mode:absolute,to:'2016-11-29 21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23.297599999999999</v>
      </c>
      <c r="Z134" s="67">
        <f t="shared" si="28"/>
        <v>1.6500000000000001E-2</v>
      </c>
      <c r="AA134" s="67">
        <f t="shared" si="29"/>
        <v>23.281099999999999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0222-29</v>
      </c>
      <c r="AE134" s="91" t="str">
        <f t="shared" si="31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134" s="88" t="str">
        <f t="shared" si="32"/>
        <v>"C:\Program Files (x86)\AstroGrep\AstroGrep.exe" /spath="%USERPROFILE%\AppData\Local\Temp\OnboardLogs" /stypes="app*4004*20161130*" /stext=" 03:.+((SYSTEM_STATE.+slice.+state.+changed )|(ment ac)|(multiple cpu faults)|(system.+state.+changed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222-29 --locoid 4004 --swversion DE.1.0.8.0 --startMP 204:232976 --initTime 2016-11-29T19:44:45 --startdatetime 2016-11-29T19:56:20 --delay 1 --endMP 204:165 --enddatetime 2016-11-29T20:35:02 --enforcementcount 1 &gt;&gt;C:\Users\stu\Documents\GitHub\eaglep3-reporting\EC\2016-11-29-refined-times.txt</v>
      </c>
      <c r="AI134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{"issue":{"subject":"","project_id":79,"tracker_id":40,"status_id":1,"priority_id":2,"assigned_to_id":23,"start_date":"2016-11-29","description":"","custom_fields":[{"id":1,"name":"Subdivision","value":"EC"},{"id":4,"name":"Milepost","value":"0.0165"},{"id":17,"name":"Train ID","value":"222-29"},{"id":16,"name":"Locomotive ID","value":"4004"},{"id":130,"name":"Impact","value":""},{"id":150,"name":"Time of Event (Mountain Time)","value":"20:35:02"},{"id":151,"name":"Denver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722</v>
      </c>
      <c r="B135" s="7">
        <v>4040</v>
      </c>
      <c r="C135" s="22" t="s">
        <v>212</v>
      </c>
      <c r="D135" s="22" t="s">
        <v>197</v>
      </c>
      <c r="E135" s="13">
        <v>42703.807789351849</v>
      </c>
      <c r="F135" s="13">
        <v>42703.812789351854</v>
      </c>
      <c r="G135" s="7">
        <v>1</v>
      </c>
      <c r="H135" s="22" t="s">
        <v>763</v>
      </c>
      <c r="I135" s="13">
        <v>42703.837326388886</v>
      </c>
      <c r="J135" s="7">
        <v>1</v>
      </c>
      <c r="K135" s="109" t="str">
        <f t="shared" si="19"/>
        <v>4039/4040</v>
      </c>
      <c r="L135" s="22" t="str">
        <f>VLOOKUP(A135,'Trips&amp;Operators'!$C$1:$E$10000,3,FALSE)</f>
        <v>COOLAHAN</v>
      </c>
      <c r="M135" s="6">
        <f t="shared" si="20"/>
        <v>2.4537037032132503E-2</v>
      </c>
      <c r="N135" s="7">
        <f t="shared" si="21"/>
        <v>35.333333326270804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18:23:13-700',mode:absolute,to:'2016-11-29 21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4.5100000000000001E-2</v>
      </c>
      <c r="Z135" s="67">
        <f t="shared" si="28"/>
        <v>23.331</v>
      </c>
      <c r="AA135" s="67">
        <f t="shared" si="29"/>
        <v>23.285899999999998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0"/>
        <v>0223-29</v>
      </c>
      <c r="AE135" s="91" t="str">
        <f t="shared" si="31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135" s="88" t="str">
        <f t="shared" si="32"/>
        <v>"C:\Program Files (x86)\AstroGrep\AstroGrep.exe" /spath="%USERPROFILE%\AppData\Local\Temp\OnboardLogs" /stypes="app*4040*20161130*" /stext=" 03:.+((SYSTEM_STATE.+slice.+state.+changed )|(ment ac)|(multiple cpu faults)|(system.+state.+changed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223-29 --locoid 4040 --swversion DE.1.0.8.0 --startMP 204:451 --initTime 2016-11-29T19:23:13 --startdatetime 2016-11-29T19:30:25 --delay 1 --endMP 204:233310 --enddatetime 2016-11-29T20:05:45 --enforcementcount 1 &gt;&gt;C:\Users\stu\Documents\GitHub\eaglep3-reporting\EC\2016-11-29-refined-times.txt</v>
      </c>
      <c r="AI135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{"issue":{"subject":"","project_id":79,"tracker_id":40,"status_id":1,"priority_id":2,"assigned_to_id":23,"start_date":"2016-11-29","description":"","custom_fields":[{"id":1,"name":"Subdivision","value":"EC"},{"id":4,"name":"Milepost","value":"23.331"},{"id":17,"name":"Train ID","value":"223-29"},{"id":16,"name":"Locomotive ID","value":"4040"},{"id":130,"name":"Impact","value":""},{"id":150,"name":"Time of Event (Mountain Time)","value":"20:05:45"},{"id":151,"name":"Denver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729</v>
      </c>
      <c r="B136" s="7">
        <v>4039</v>
      </c>
      <c r="C136" s="22" t="s">
        <v>212</v>
      </c>
      <c r="D136" s="22" t="s">
        <v>240</v>
      </c>
      <c r="E136" s="13">
        <v>42703.84715277778</v>
      </c>
      <c r="F136" s="13">
        <v>42703.8518287037</v>
      </c>
      <c r="G136" s="7">
        <v>1</v>
      </c>
      <c r="H136" s="22" t="s">
        <v>809</v>
      </c>
      <c r="I136" s="13">
        <v>42703.877326388887</v>
      </c>
      <c r="J136" s="7">
        <v>1</v>
      </c>
      <c r="K136" s="109" t="str">
        <f t="shared" si="19"/>
        <v>4039/4040</v>
      </c>
      <c r="L136" s="22" t="str">
        <f>VLOOKUP(A136,'Trips&amp;Operators'!$C$1:$E$10000,3,FALSE)</f>
        <v>COOLAHAN</v>
      </c>
      <c r="M136" s="6">
        <f t="shared" si="20"/>
        <v>2.5497685186564922E-2</v>
      </c>
      <c r="N136" s="7">
        <f t="shared" si="21"/>
        <v>36.716666668653488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19:19:54-700',mode:absolute,to:'2016-11-29 22:03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23.299399999999999</v>
      </c>
      <c r="Z136" s="67">
        <f t="shared" si="28"/>
        <v>1.0500000000000001E-2</v>
      </c>
      <c r="AA136" s="67">
        <f t="shared" si="29"/>
        <v>23.288899999999998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0"/>
        <v>0224-29</v>
      </c>
      <c r="AE136" s="91" t="str">
        <f t="shared" si="31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136" s="88" t="str">
        <f t="shared" si="32"/>
        <v>"C:\Program Files (x86)\AstroGrep\AstroGrep.exe" /spath="%USERPROFILE%\AppData\Local\Temp\OnboardLogs" /stypes="app*4039*20161130*" /stext=" 04:.+((SYSTEM_STATE.+slice.+state.+changed )|(ment ac)|(multiple cpu faults)|(system.+state.+changed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224-29 --locoid 4039 --swversion DE.1.0.8.0 --startMP 204:232994 --initTime 2016-11-29T20:19:54 --startdatetime 2016-11-29T20:26:38 --delay 1 --endMP 204:105 --enddatetime 2016-11-29T21:03:21 --enforcementcount 1 &gt;&gt;C:\Users\stu\Documents\GitHub\eaglep3-reporting\EC\2016-11-29-refined-times.txt</v>
      </c>
      <c r="AI136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{"issue":{"subject":"","project_id":79,"tracker_id":40,"status_id":1,"priority_id":2,"assigned_to_id":23,"start_date":"2016-11-29","description":"","custom_fields":[{"id":1,"name":"Subdivision","value":"EC"},{"id":4,"name":"Milepost","value":"0.0105"},{"id":17,"name":"Train ID","value":"224-29"},{"id":16,"name":"Locomotive ID","value":"4039"},{"id":130,"name":"Impact","value":""},{"id":150,"name":"Time of Event (Mountain Time)","value":"21:03:21"},{"id":151,"name":"Denver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727</v>
      </c>
      <c r="B137" s="7">
        <v>4016</v>
      </c>
      <c r="C137" s="22" t="s">
        <v>212</v>
      </c>
      <c r="D137" s="22" t="s">
        <v>211</v>
      </c>
      <c r="E137" s="13">
        <v>42703.827662037038</v>
      </c>
      <c r="F137" s="13">
        <v>42703.833495370367</v>
      </c>
      <c r="G137" s="7">
        <v>1</v>
      </c>
      <c r="H137" s="22" t="s">
        <v>350</v>
      </c>
      <c r="I137" s="13">
        <v>42703.85769675926</v>
      </c>
      <c r="J137" s="7">
        <v>1</v>
      </c>
      <c r="K137" s="109" t="str">
        <f t="shared" si="19"/>
        <v>4015/4016</v>
      </c>
      <c r="L137" s="22" t="str">
        <f>VLOOKUP(A137,'Trips&amp;Operators'!$C$1:$E$10000,3,FALSE)</f>
        <v>YANAI</v>
      </c>
      <c r="M137" s="6">
        <f t="shared" si="20"/>
        <v>2.4201388892834075E-2</v>
      </c>
      <c r="N137" s="7">
        <f t="shared" si="21"/>
        <v>34.850000005681068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18:51:50-700',mode:absolute,to:'2016-11-29 21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4.6399999999999997E-2</v>
      </c>
      <c r="Z137" s="67">
        <f t="shared" si="28"/>
        <v>23.329699999999999</v>
      </c>
      <c r="AA137" s="67">
        <f t="shared" si="29"/>
        <v>23.283300000000001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0"/>
        <v>0225-29</v>
      </c>
      <c r="AE137" s="91" t="str">
        <f t="shared" si="31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137" s="88" t="str">
        <f t="shared" si="32"/>
        <v>"C:\Program Files (x86)\AstroGrep\AstroGrep.exe" /spath="%USERPROFILE%\AppData\Local\Temp\OnboardLogs" /stypes="app*4016*20161130*" /stext=" 03:.+((SYSTEM_STATE.+slice.+state.+changed )|(ment ac)|(multiple cpu faults)|(system.+state.+changed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225-29 --locoid 4016 --swversion DE.1.0.8.0 --startMP 204:464 --initTime 2016-11-29T19:51:50 --startdatetime 2016-11-29T20:00:14 --delay 1 --endMP 204:233297 --enddatetime 2016-11-29T20:35:05 --enforcementcount 1 &gt;&gt;C:\Users\stu\Documents\GitHub\eaglep3-reporting\EC\2016-11-29-refined-times.txt</v>
      </c>
      <c r="AI137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{"issue":{"subject":"","project_id":79,"tracker_id":40,"status_id":1,"priority_id":2,"assigned_to_id":23,"start_date":"2016-11-29","description":"","custom_fields":[{"id":1,"name":"Subdivision","value":"EC"},{"id":4,"name":"Milepost","value":"23.3297"},{"id":17,"name":"Train ID","value":"225-29"},{"id":16,"name":"Locomotive ID","value":"4016"},{"id":130,"name":"Impact","value":""},{"id":150,"name":"Time of Event (Mountain Time)","value":"20:35:05"},{"id":151,"name":"Denver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731</v>
      </c>
      <c r="B138" s="7">
        <v>4015</v>
      </c>
      <c r="C138" s="22" t="s">
        <v>212</v>
      </c>
      <c r="D138" s="22" t="s">
        <v>786</v>
      </c>
      <c r="E138" s="13">
        <v>42703.859398148146</v>
      </c>
      <c r="F138" s="13">
        <v>42703.872395833336</v>
      </c>
      <c r="G138" s="7">
        <v>1</v>
      </c>
      <c r="H138" s="22" t="s">
        <v>255</v>
      </c>
      <c r="I138" s="13">
        <v>42703.897858796299</v>
      </c>
      <c r="J138" s="7">
        <v>1</v>
      </c>
      <c r="K138" s="109" t="str">
        <f t="shared" si="19"/>
        <v>4015/4016</v>
      </c>
      <c r="L138" s="22" t="str">
        <f>VLOOKUP(A138,'Trips&amp;Operators'!$C$1:$E$10000,3,FALSE)</f>
        <v>YANAI</v>
      </c>
      <c r="M138" s="6">
        <f t="shared" si="20"/>
        <v>2.5462962963501923E-2</v>
      </c>
      <c r="N138" s="7">
        <f t="shared" si="21"/>
        <v>36.666666667442769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19:37:32-700',mode:absolute,to:'2016-11-29 22:32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23.298100000000002</v>
      </c>
      <c r="Z138" s="67">
        <f t="shared" si="28"/>
        <v>1.61E-2</v>
      </c>
      <c r="AA138" s="67">
        <f t="shared" si="29"/>
        <v>23.282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0"/>
        <v>0226-29</v>
      </c>
      <c r="AE138" s="91" t="str">
        <f t="shared" si="31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138" s="88" t="str">
        <f t="shared" si="32"/>
        <v>"C:\Program Files (x86)\AstroGrep\AstroGrep.exe" /spath="%USERPROFILE%\AppData\Local\Temp\OnboardLogs" /stypes="app*4015*20161130*" /stext=" 04:.+((SYSTEM_STATE.+slice.+state.+changed )|(ment ac)|(multiple cpu faults)|(system.+state.+changed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226-29 --locoid 4015 --swversion DE.1.0.8.0 --startMP 204:232981 --initTime 2016-11-29T20:37:32 --startdatetime 2016-11-29T20:56:15 --delay 1 --endMP 204:161 --enddatetime 2016-11-29T21:32:55 --enforcementcount 1 &gt;&gt;C:\Users\stu\Documents\GitHub\eaglep3-reporting\EC\2016-11-29-refined-times.txt</v>
      </c>
      <c r="AI138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{"issue":{"subject":"","project_id":79,"tracker_id":40,"status_id":1,"priority_id":2,"assigned_to_id":23,"start_date":"2016-11-29","description":"","custom_fields":[{"id":1,"name":"Subdivision","value":"EC"},{"id":4,"name":"Milepost","value":"0.0161"},{"id":17,"name":"Train ID","value":"226-29"},{"id":16,"name":"Locomotive ID","value":"4015"},{"id":130,"name":"Impact","value":""},{"id":150,"name":"Time of Event (Mountain Time)","value":"21:32:55"},{"id":151,"name":"Denver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730</v>
      </c>
      <c r="B139" s="7">
        <v>4014</v>
      </c>
      <c r="C139" s="22" t="s">
        <v>212</v>
      </c>
      <c r="D139" s="22" t="s">
        <v>388</v>
      </c>
      <c r="E139" s="13">
        <v>42703.850636574076</v>
      </c>
      <c r="F139" s="13">
        <v>42703.854594907411</v>
      </c>
      <c r="G139" s="7">
        <v>1</v>
      </c>
      <c r="H139" s="22" t="s">
        <v>339</v>
      </c>
      <c r="I139" s="13">
        <v>42703.880011574074</v>
      </c>
      <c r="J139" s="7">
        <v>1</v>
      </c>
      <c r="K139" s="109" t="str">
        <f t="shared" si="19"/>
        <v>4013/4014</v>
      </c>
      <c r="L139" s="22" t="str">
        <f>VLOOKUP(A139,'Trips&amp;Operators'!$C$1:$E$10000,3,FALSE)</f>
        <v>CHANDLER</v>
      </c>
      <c r="M139" s="6">
        <f t="shared" si="20"/>
        <v>2.5416666663659271E-2</v>
      </c>
      <c r="N139" s="7">
        <f t="shared" si="21"/>
        <v>36.59999999566935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19:24:55-700',mode:absolute,to:'2016-11-29 22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4.7500000000000001E-2</v>
      </c>
      <c r="Z139" s="67">
        <f t="shared" si="28"/>
        <v>23.3278</v>
      </c>
      <c r="AA139" s="67">
        <f t="shared" si="29"/>
        <v>23.2803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0"/>
        <v>0227-29</v>
      </c>
      <c r="AE139" s="91" t="str">
        <f t="shared" si="31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139" s="88" t="str">
        <f t="shared" si="32"/>
        <v>"C:\Program Files (x86)\AstroGrep\AstroGrep.exe" /spath="%USERPROFILE%\AppData\Local\Temp\OnboardLogs" /stypes="app*4014*20161130*" /stext=" 04:.+((SYSTEM_STATE.+slice.+state.+changed )|(ment ac)|(multiple cpu faults)|(system.+state.+changed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227-29 --locoid 4014 --swversion DE.1.0.8.0 --startMP 204:475 --initTime 2016-11-29T20:24:55 --startdatetime 2016-11-29T20:30:37 --delay 1 --endMP 204:233278 --enddatetime 2016-11-29T21:07:13 --enforcementcount 1 &gt;&gt;C:\Users\stu\Documents\GitHub\eaglep3-reporting\EC\2016-11-29-refined-times.txt</v>
      </c>
      <c r="AI139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{"issue":{"subject":"","project_id":79,"tracker_id":40,"status_id":1,"priority_id":2,"assigned_to_id":23,"start_date":"2016-11-29","description":"","custom_fields":[{"id":1,"name":"Subdivision","value":"EC"},{"id":4,"name":"Milepost","value":"23.3278"},{"id":17,"name":"Train ID","value":"227-29"},{"id":16,"name":"Locomotive ID","value":"4014"},{"id":130,"name":"Impact","value":""},{"id":150,"name":"Time of Event (Mountain Time)","value":"21:07:13"},{"id":151,"name":"Denver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735</v>
      </c>
      <c r="B140" s="7">
        <v>4013</v>
      </c>
      <c r="C140" s="22" t="s">
        <v>212</v>
      </c>
      <c r="D140" s="22" t="s">
        <v>249</v>
      </c>
      <c r="E140" s="13">
        <v>42703.888148148151</v>
      </c>
      <c r="F140" s="13">
        <v>42703.893495370372</v>
      </c>
      <c r="G140" s="7">
        <v>1</v>
      </c>
      <c r="H140" s="22" t="s">
        <v>343</v>
      </c>
      <c r="I140" s="13">
        <v>42703.92</v>
      </c>
      <c r="J140" s="7">
        <v>1</v>
      </c>
      <c r="K140" s="109" t="str">
        <f t="shared" si="19"/>
        <v>4013/4014</v>
      </c>
      <c r="L140" s="22" t="str">
        <f>VLOOKUP(A140,'Trips&amp;Operators'!$C$1:$E$10000,3,FALSE)</f>
        <v>CHANDLER</v>
      </c>
      <c r="M140" s="6">
        <f t="shared" si="20"/>
        <v>2.6504629626288079E-2</v>
      </c>
      <c r="N140" s="7">
        <f t="shared" si="21"/>
        <v>38.166666661854833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https://search-rtdc-monitor-bjffxe2xuh6vdkpspy63sjmuny.us-east-1.es.amazonaws.com/_plugin/kibana/#/discover/Steve-Slow-Train-Analysis-(2080s-and-2083s)?_g=(refreshInterval:(display:Off,section:0,value:0),time:(from:'2016-11-29 20:18:56-700',mode:absolute,to:'2016-11-29 23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23.298300000000001</v>
      </c>
      <c r="Z140" s="67">
        <f t="shared" si="28"/>
        <v>1.6299999999999999E-2</v>
      </c>
      <c r="AA140" s="67">
        <f t="shared" si="29"/>
        <v>23.282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0"/>
        <v>0228-29</v>
      </c>
      <c r="AE140" s="91" t="str">
        <f t="shared" si="31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140" s="88" t="str">
        <f t="shared" si="32"/>
        <v>"C:\Program Files (x86)\AstroGrep\AstroGrep.exe" /spath="%USERPROFILE%\AppData\Local\Temp\OnboardLogs" /stypes="app*4013*20161130*" /stext=" 05:.+((SYSTEM_STATE.+slice.+state.+changed )|(ment ac)|(multiple cpu faults)|(system.+state.+changed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228-29 --locoid 4013 --swversion DE.1.0.8.0 --startMP 204:232983 --initTime 2016-11-29T21:18:56 --startdatetime 2016-11-29T21:26:38 --delay 1 --endMP 204:163 --enddatetime 2016-11-29T22:04:48 --enforcementcount 1 &gt;&gt;C:\Users\stu\Documents\GitHub\eaglep3-reporting\EC\2016-11-29-refined-times.txt</v>
      </c>
      <c r="AI140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{"issue":{"subject":"","project_id":79,"tracker_id":40,"status_id":1,"priority_id":2,"assigned_to_id":23,"start_date":"2016-11-29","description":"","custom_fields":[{"id":1,"name":"Subdivision","value":"EC"},{"id":4,"name":"Milepost","value":"0.0163"},{"id":17,"name":"Train ID","value":"228-29"},{"id":16,"name":"Locomotive ID","value":"4013"},{"id":130,"name":"Impact","value":""},{"id":150,"name":"Time of Event (Mountain Time)","value":"22:04:48"},{"id":151,"name":"Denver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733</v>
      </c>
      <c r="B141" s="7">
        <v>4003</v>
      </c>
      <c r="C141" s="22" t="s">
        <v>212</v>
      </c>
      <c r="D141" s="22" t="s">
        <v>788</v>
      </c>
      <c r="E141" s="13">
        <v>42703.867997685185</v>
      </c>
      <c r="F141" s="13">
        <v>42703.875219907408</v>
      </c>
      <c r="G141" s="7">
        <v>1</v>
      </c>
      <c r="H141" s="22" t="s">
        <v>350</v>
      </c>
      <c r="I141" s="13">
        <v>42703.900173611109</v>
      </c>
      <c r="J141" s="7">
        <v>1</v>
      </c>
      <c r="K141" s="109" t="str">
        <f t="shared" ref="K141:K204" si="36">IF(ISEVEN(B141),(B141-1)&amp;"/"&amp;B141,B141&amp;"/"&amp;(B141+1))</f>
        <v>4003/4004</v>
      </c>
      <c r="L141" s="22" t="str">
        <f>VLOOKUP(A141,'Trips&amp;Operators'!$C$1:$E$10000,3,FALSE)</f>
        <v>LEVERE</v>
      </c>
      <c r="M141" s="6">
        <f t="shared" ref="M141:M204" si="37">I141-F141</f>
        <v>2.495370370161254E-2</v>
      </c>
      <c r="N141" s="7">
        <f t="shared" ref="N141:N204" si="38">24*60*SUM($M141:$M141)</f>
        <v>35.933333330322057</v>
      </c>
      <c r="O141" s="7"/>
      <c r="P141" s="7"/>
      <c r="Q141" s="23"/>
      <c r="R141" s="23"/>
      <c r="S141" s="35">
        <f t="shared" ref="S141:S204" si="39">SUM(U141:U141)/IF(AG141="EC",12,1)</f>
        <v>1</v>
      </c>
      <c r="T141" s="50" t="str">
        <f t="shared" ref="T141:T204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https://search-rtdc-monitor-bjffxe2xuh6vdkpspy63sjmuny.us-east-1.es.amazonaws.com/_plugin/kibana/#/discover/Steve-Slow-Train-Analysis-(2080s-and-2083s)?_g=(refreshInterval:(display:Off,section:0,value:0),time:(from:'2016-11-29 19:49:55-700',mode:absolute,to:'2016-11-29 22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1" s="52" t="str">
        <f t="shared" ref="W141:W204" si="42">IF(AA141&lt;IF(AG141="EC",23,5.65),"Y","N")</f>
        <v>N</v>
      </c>
      <c r="X141" s="177">
        <f t="shared" ref="X141:X204" si="43">VALUE(LEFT(AD141,4))-VALUE(LEFT(AD140,4))</f>
        <v>1</v>
      </c>
      <c r="Y141" s="67">
        <f t="shared" ref="Y141:Y204" si="44">RIGHT(D141,LEN(D141)-4)/10000</f>
        <v>4.3299999999999998E-2</v>
      </c>
      <c r="Z141" s="67">
        <f t="shared" ref="Z141:Z204" si="45">RIGHT(H141,LEN(H141)-4)/10000</f>
        <v>23.329699999999999</v>
      </c>
      <c r="AA141" s="67">
        <f t="shared" ref="AA141:AA204" si="46">ABS(Z141-Y141)</f>
        <v>23.2864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47">IF(LEN(A141)=6,"0"&amp;A141,A141)</f>
        <v>0229-29</v>
      </c>
      <c r="AE141" s="91" t="str">
        <f t="shared" ref="AE141:AE204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141" s="88" t="str">
        <f t="shared" ref="AF141:AF204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/stypes="app*4003*20161130*" /stext=" 04:.+((SYSTEM_STATE.+slice.+state.+changed )|(ment ac)|(multiple cpu faults)|(system.+state.+changed )|(\[timeout)|(PRM\|1\|D)|(kpr)|(kdp)|(\|lc)|(penalty))" /e /r /s</v>
      </c>
      <c r="AG141" s="1" t="str">
        <f t="shared" ref="AG141:AG204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229-29 --locoid 4003 --swversion DE.1.0.8.0 --startMP 204:433 --initTime 2016-11-29T20:49:55 --startdatetime 2016-11-29T21:00:19 --delay 1 --endMP 204:233297 --enddatetime 2016-11-29T21:36:15 --enforcementcount 1 &gt;&gt;C:\Users\stu\Documents\GitHub\eaglep3-reporting\EC\2016-11-29-refined-times.txt</v>
      </c>
      <c r="AI141" s="119" t="str">
        <f t="shared" si="35"/>
        <v>echo {"issue":{"subject":"","project_id":79,"tracker_id":40,"status_id":1,"priority_id":2,"assigned_to_id":23,"start_date":"2016-11-29","description":"","custom_fields":[{"id":1,"name":"Subdivision","value":"EC"},{"id":4,"name":"Milepost","value":"23.3297"},{"id":17,"name":"Train ID","value":"229-29"},{"id":16,"name":"Locomotive ID","value":"4003"},{"id":130,"name":"Impact","value":""},{"id":150,"name":"Time of Event (Mountain Time)","value":"21:36:15"},{"id":151,"name":"Denver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739</v>
      </c>
      <c r="B142" s="7">
        <v>4004</v>
      </c>
      <c r="C142" s="22" t="s">
        <v>212</v>
      </c>
      <c r="D142" s="22" t="s">
        <v>249</v>
      </c>
      <c r="E142" s="13">
        <v>42703.907268518517</v>
      </c>
      <c r="F142" s="13">
        <v>42703.914467592593</v>
      </c>
      <c r="G142" s="7">
        <v>1</v>
      </c>
      <c r="H142" s="22" t="s">
        <v>214</v>
      </c>
      <c r="I142" s="13">
        <v>42703.94258101852</v>
      </c>
      <c r="J142" s="7">
        <v>1</v>
      </c>
      <c r="K142" s="109" t="str">
        <f t="shared" si="36"/>
        <v>4003/4004</v>
      </c>
      <c r="L142" s="22" t="str">
        <f>VLOOKUP(A142,'Trips&amp;Operators'!$C$1:$E$10000,3,FALSE)</f>
        <v>LEVERE</v>
      </c>
      <c r="M142" s="6">
        <f t="shared" si="37"/>
        <v>2.8113425927585922E-2</v>
      </c>
      <c r="N142" s="7">
        <f t="shared" si="38"/>
        <v>40.483333335723728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20:46:28-700',mode:absolute,to:'2016-11-29 23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23.298300000000001</v>
      </c>
      <c r="Z142" s="67">
        <f t="shared" si="45"/>
        <v>1.5800000000000002E-2</v>
      </c>
      <c r="AA142" s="67">
        <f t="shared" si="46"/>
        <v>23.282500000000002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7"/>
        <v>0230-29</v>
      </c>
      <c r="AE142" s="91" t="str">
        <f t="shared" si="48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142" s="88" t="str">
        <f t="shared" si="49"/>
        <v>"C:\Program Files (x86)\AstroGrep\AstroGrep.exe" /spath="%USERPROFILE%\AppData\Local\Temp\OnboardLogs" /stypes="app*4004*20161130*" /stext=" 05:.+((SYSTEM_STATE.+slice.+state.+changed )|(ment ac)|(multiple cpu faults)|(system.+state.+changed )|(\[timeout)|(PRM\|1\|D)|(kpr)|(kdp)|(\|lc)|(penalty))" /e /r /s</v>
      </c>
      <c r="AG142" s="1" t="str">
        <f t="shared" si="50"/>
        <v>EC</v>
      </c>
      <c r="AH142" s="92" t="str">
        <f t="shared" ref="AH142:AH205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230-29 --locoid 4004 --swversion DE.1.0.8.0 --startMP 204:232983 --initTime 2016-11-29T21:46:28 --startdatetime 2016-11-29T21:56:50 --delay 1 --endMP 204:158 --enddatetime 2016-11-29T22:37:19 --enforcementcount 1 &gt;&gt;C:\Users\stu\Documents\GitHub\eaglep3-reporting\EC\2016-11-29-refined-times.txt</v>
      </c>
      <c r="AI142" s="119" t="str">
        <f t="shared" ref="AI142:AI205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{"issue":{"subject":"","project_id":79,"tracker_id":40,"status_id":1,"priority_id":2,"assigned_to_id":23,"start_date":"2016-11-29","description":"","custom_fields":[{"id":1,"name":"Subdivision","value":"EC"},{"id":4,"name":"Milepost","value":"0.0158"},{"id":17,"name":"Train ID","value":"230-29"},{"id":16,"name":"Locomotive ID","value":"4004"},{"id":130,"name":"Impact","value":""},{"id":150,"name":"Time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736</v>
      </c>
      <c r="B143" s="7">
        <v>4040</v>
      </c>
      <c r="C143" s="22" t="s">
        <v>212</v>
      </c>
      <c r="D143" s="22" t="s">
        <v>810</v>
      </c>
      <c r="E143" s="13">
        <v>42703.892858796295</v>
      </c>
      <c r="F143" s="13">
        <v>42703.896192129629</v>
      </c>
      <c r="G143" s="7">
        <v>1</v>
      </c>
      <c r="H143" s="22" t="s">
        <v>376</v>
      </c>
      <c r="I143" s="13">
        <v>42703.920659722222</v>
      </c>
      <c r="J143" s="7">
        <v>1</v>
      </c>
      <c r="K143" s="109" t="str">
        <f t="shared" si="36"/>
        <v>4039/4040</v>
      </c>
      <c r="L143" s="22" t="str">
        <f>VLOOKUP(A143,'Trips&amp;Operators'!$C$1:$E$10000,3,FALSE)</f>
        <v>COOLAHAN</v>
      </c>
      <c r="M143" s="6">
        <f t="shared" si="37"/>
        <v>2.4467592593282461E-2</v>
      </c>
      <c r="N143" s="7">
        <f t="shared" si="38"/>
        <v>35.233333334326744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20:25:43-700',mode:absolute,to:'2016-11-29 23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4.3099999999999999E-2</v>
      </c>
      <c r="Z143" s="67">
        <f t="shared" si="45"/>
        <v>23.331700000000001</v>
      </c>
      <c r="AA143" s="67">
        <f t="shared" si="46"/>
        <v>23.288600000000002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47"/>
        <v>0231-29</v>
      </c>
      <c r="AE143" s="91" t="str">
        <f t="shared" si="48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143" s="88" t="str">
        <f t="shared" si="49"/>
        <v>"C:\Program Files (x86)\AstroGrep\AstroGrep.exe" /spath="%USERPROFILE%\AppData\Local\Temp\OnboardLogs" /stypes="app*4040*20161130*" /stext=" 05:.+((SYSTEM_STATE.+slice.+state.+changed )|(ment ac)|(multiple cpu faults)|(system.+state.+changed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231-29 --locoid 4040 --swversion DE.1.0.8.0 --startMP 204:431 --initTime 2016-11-29T21:25:43 --startdatetime 2016-11-29T21:30:31 --delay 1 --endMP 204:233317 --enddatetime 2016-11-29T22:05:45 --enforcementcount 1 &gt;&gt;C:\Users\stu\Documents\GitHub\eaglep3-reporting\EC\2016-11-29-refined-times.txt</v>
      </c>
      <c r="AI143" s="119" t="str">
        <f t="shared" si="52"/>
        <v>echo {"issue":{"subject":"","project_id":79,"tracker_id":40,"status_id":1,"priority_id":2,"assigned_to_id":23,"start_date":"2016-11-29","description":"","custom_fields":[{"id":1,"name":"Subdivision","value":"EC"},{"id":4,"name":"Milepost","value":"23.3317"},{"id":17,"name":"Train ID","value":"231-29"},{"id":16,"name":"Locomotive ID","value":"4040"},{"id":130,"name":"Impact","value":""},{"id":150,"name":"Time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741</v>
      </c>
      <c r="B144" s="7">
        <v>4039</v>
      </c>
      <c r="C144" s="22" t="s">
        <v>212</v>
      </c>
      <c r="D144" s="22" t="s">
        <v>373</v>
      </c>
      <c r="E144" s="13">
        <v>42703.930763888886</v>
      </c>
      <c r="F144" s="13">
        <v>42703.935150462959</v>
      </c>
      <c r="G144" s="7">
        <v>1</v>
      </c>
      <c r="H144" s="22" t="s">
        <v>811</v>
      </c>
      <c r="I144" s="13">
        <v>42703.960763888892</v>
      </c>
      <c r="J144" s="7">
        <v>1</v>
      </c>
      <c r="K144" s="109" t="str">
        <f t="shared" si="36"/>
        <v>4039/4040</v>
      </c>
      <c r="L144" s="22" t="str">
        <f>VLOOKUP(A144,'Trips&amp;Operators'!$C$1:$E$10000,3,FALSE)</f>
        <v>COOLAHAN</v>
      </c>
      <c r="M144" s="6">
        <f t="shared" si="37"/>
        <v>2.5613425932533573E-2</v>
      </c>
      <c r="N144" s="7">
        <f t="shared" si="38"/>
        <v>36.883333342848346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21:20:18-700',mode:absolute,to:'2016-11-30 00:03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23.301100000000002</v>
      </c>
      <c r="Z144" s="67">
        <f t="shared" si="45"/>
        <v>1.2699999999999999E-2</v>
      </c>
      <c r="AA144" s="67">
        <f t="shared" si="46"/>
        <v>23.288400000000003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7"/>
        <v>0232-29</v>
      </c>
      <c r="AE144" s="91" t="str">
        <f t="shared" si="48"/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AF144" s="88" t="str">
        <f t="shared" si="49"/>
        <v>"C:\Program Files (x86)\AstroGrep\AstroGrep.exe" /spath="%USERPROFILE%\AppData\Local\Temp\OnboardLogs" /stypes="app*4039*20161130*" /stext=" 06:.+((SYSTEM_STATE.+slice.+state.+changed )|(ment ac)|(multiple cpu faults)|(system.+state.+changed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232-29 --locoid 4039 --swversion DE.1.0.8.0 --startMP 204:233011 --initTime 2016-11-29T22:20:18 --startdatetime 2016-11-29T22:26:37 --delay 1 --endMP 204:127 --enddatetime 2016-11-29T23:03:30 --enforcementcount 1 &gt;&gt;C:\Users\stu\Documents\GitHub\eaglep3-reporting\EC\2016-11-29-refined-times.txt</v>
      </c>
      <c r="AI144" s="119" t="str">
        <f t="shared" si="52"/>
        <v>echo {"issue":{"subject":"","project_id":79,"tracker_id":40,"status_id":1,"priority_id":2,"assigned_to_id":23,"start_date":"2016-11-29","description":"","custom_fields":[{"id":1,"name":"Subdivision","value":"EC"},{"id":4,"name":"Milepost","value":"0.0127"},{"id":17,"name":"Train ID","value":"232-29"},{"id":16,"name":"Locomotive ID","value":"4039"},{"id":130,"name":"Impact","value":""},{"id":150,"name":"Time of Event (Mountain Time)","value":"23:03:30"},{"id":151,"name":"Denver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737</v>
      </c>
      <c r="B145" s="7">
        <v>4016</v>
      </c>
      <c r="C145" s="22" t="s">
        <v>212</v>
      </c>
      <c r="D145" s="22" t="s">
        <v>235</v>
      </c>
      <c r="E145" s="13">
        <v>42703.899108796293</v>
      </c>
      <c r="F145" s="13">
        <v>42703.916990740741</v>
      </c>
      <c r="G145" s="7">
        <v>0</v>
      </c>
      <c r="H145" s="22" t="s">
        <v>196</v>
      </c>
      <c r="I145" s="13">
        <v>42703.941099537034</v>
      </c>
      <c r="J145" s="7">
        <v>1</v>
      </c>
      <c r="K145" s="109" t="str">
        <f t="shared" si="36"/>
        <v>4015/4016</v>
      </c>
      <c r="L145" s="22" t="str">
        <f>VLOOKUP(A145,'Trips&amp;Operators'!$C$1:$E$10000,3,FALSE)</f>
        <v>YANAI</v>
      </c>
      <c r="M145" s="6">
        <f t="shared" si="37"/>
        <v>2.4108796293148771E-2</v>
      </c>
      <c r="N145" s="7">
        <f t="shared" si="38"/>
        <v>34.71666666213423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20:34:43-700',mode:absolute,to:'2016-11-29 23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4.4900000000000002E-2</v>
      </c>
      <c r="Z145" s="67">
        <f t="shared" si="45"/>
        <v>23.329499999999999</v>
      </c>
      <c r="AA145" s="67">
        <f t="shared" si="46"/>
        <v>23.284600000000001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7"/>
        <v>0233-29</v>
      </c>
      <c r="AE145" s="91" t="str">
        <f t="shared" si="48"/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AF145" s="88" t="str">
        <f t="shared" si="49"/>
        <v>"C:\Program Files (x86)\AstroGrep\AstroGrep.exe" /spath="%USERPROFILE%\AppData\Local\Temp\OnboardLogs" /stypes="app*4016*20161130*" /stext=" 05:.+((SYSTEM_STATE.+slice.+state.+changed )|(ment ac)|(multiple cpu faults)|(system.+state.+changed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233-29 --locoid 4016 --swversion DE.1.0.8.0 --startMP 204:449 --initTime 2016-11-29T21:34:43 --startdatetime 2016-11-29T22:00:28 --delay 0 --endMP 204:233295 --enddatetime 2016-11-29T22:35:11 --enforcementcount 1 &gt;&gt;C:\Users\stu\Documents\GitHub\eaglep3-reporting\EC\2016-11-29-refined-times.txt</v>
      </c>
      <c r="AI145" s="119" t="str">
        <f t="shared" si="52"/>
        <v>echo {"issue":{"subject":"","project_id":79,"tracker_id":40,"status_id":1,"priority_id":2,"assigned_to_id":23,"start_date":"2016-11-29","description":"","custom_fields":[{"id":1,"name":"Subdivision","value":"EC"},{"id":4,"name":"Milepost","value":"23.3295"},{"id":17,"name":"Train ID","value":"233-29"},{"id":16,"name":"Locomotive ID","value":"4016"},{"id":130,"name":"Impact","value":""},{"id":150,"name":"Time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744</v>
      </c>
      <c r="B146" s="7">
        <v>4015</v>
      </c>
      <c r="C146" s="22" t="s">
        <v>212</v>
      </c>
      <c r="D146" s="22" t="s">
        <v>385</v>
      </c>
      <c r="E146" s="13">
        <v>42703.942604166667</v>
      </c>
      <c r="F146" s="13">
        <v>42703.955810185187</v>
      </c>
      <c r="G146" s="7">
        <v>1</v>
      </c>
      <c r="H146" s="22" t="s">
        <v>233</v>
      </c>
      <c r="I146" s="13">
        <v>42703.981979166667</v>
      </c>
      <c r="J146" s="7">
        <v>1</v>
      </c>
      <c r="K146" s="109" t="str">
        <f t="shared" si="36"/>
        <v>4015/4016</v>
      </c>
      <c r="L146" s="22" t="str">
        <f>VLOOKUP(A146,'Trips&amp;Operators'!$C$1:$E$10000,3,FALSE)</f>
        <v>YANAI</v>
      </c>
      <c r="M146" s="6">
        <f t="shared" si="37"/>
        <v>2.6168981479713693E-2</v>
      </c>
      <c r="N146" s="7">
        <f t="shared" si="38"/>
        <v>37.683333330787718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21:37:21-700',mode:absolute,to:'2016-11-30 00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23.296800000000001</v>
      </c>
      <c r="Z146" s="67">
        <f t="shared" si="45"/>
        <v>1.54E-2</v>
      </c>
      <c r="AA146" s="67">
        <f t="shared" si="46"/>
        <v>23.281400000000001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7"/>
        <v>0234-29</v>
      </c>
      <c r="AE146" s="91" t="str">
        <f t="shared" si="48"/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AF146" s="88" t="str">
        <f t="shared" si="49"/>
        <v>"C:\Program Files (x86)\AstroGrep\AstroGrep.exe" /spath="%USERPROFILE%\AppData\Local\Temp\OnboardLogs" /stypes="app*4015*20161130*" /stext=" 06:.+((SYSTEM_STATE.+slice.+state.+changed )|(ment ac)|(multiple cpu faults)|(system.+state.+changed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234-29 --locoid 4015 --swversion DE.1.0.8.0 --startMP 204:232968 --initTime 2016-11-29T22:37:21 --startdatetime 2016-11-29T22:56:22 --delay 1 --endMP 204:154 --enddatetime 2016-11-29T23:34:03 --enforcementcount 1 &gt;&gt;C:\Users\stu\Documents\GitHub\eaglep3-reporting\EC\2016-11-29-refined-times.txt</v>
      </c>
      <c r="AI146" s="119" t="str">
        <f t="shared" si="52"/>
        <v>echo {"issue":{"subject":"","project_id":79,"tracker_id":40,"status_id":1,"priority_id":2,"assigned_to_id":23,"start_date":"2016-11-29","description":"","custom_fields":[{"id":1,"name":"Subdivision","value":"EC"},{"id":4,"name":"Milepost","value":"0.0154"},{"id":17,"name":"Train ID","value":"234-29"},{"id":16,"name":"Locomotive ID","value":"4015"},{"id":130,"name":"Impact","value":""},{"id":150,"name":"Time of Event (Mountain Time)","value":"23:34:03"},{"id":151,"name":"Denver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742</v>
      </c>
      <c r="B147" s="7">
        <v>4014</v>
      </c>
      <c r="C147" s="22" t="s">
        <v>212</v>
      </c>
      <c r="D147" s="22" t="s">
        <v>268</v>
      </c>
      <c r="E147" s="13">
        <v>42703.935682870368</v>
      </c>
      <c r="F147" s="13">
        <v>42703.938263888886</v>
      </c>
      <c r="G147" s="7">
        <v>1</v>
      </c>
      <c r="H147" s="22" t="s">
        <v>267</v>
      </c>
      <c r="I147" s="13">
        <v>42703.963020833333</v>
      </c>
      <c r="J147" s="7">
        <v>1</v>
      </c>
      <c r="K147" s="109" t="str">
        <f t="shared" si="36"/>
        <v>4013/4014</v>
      </c>
      <c r="L147" s="22" t="str">
        <f>VLOOKUP(A147,'Trips&amp;Operators'!$C$1:$E$10000,3,FALSE)</f>
        <v>CHANDLER</v>
      </c>
      <c r="M147" s="6">
        <f t="shared" si="37"/>
        <v>2.4756944447290152E-2</v>
      </c>
      <c r="N147" s="7">
        <f t="shared" si="38"/>
        <v>35.650000004097819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21:27:23-700',mode:absolute,to:'2016-11-30 00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4.6899999999999997E-2</v>
      </c>
      <c r="Z147" s="67">
        <f t="shared" si="45"/>
        <v>23.3306</v>
      </c>
      <c r="AA147" s="67">
        <f t="shared" si="46"/>
        <v>23.2837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47"/>
        <v>0235-29</v>
      </c>
      <c r="AE147" s="91" t="str">
        <f t="shared" si="48"/>
        <v>aws s3 cp s3://rtdc.mdm.uploadarchive.raw/RTDC4014/ "%USERPROFILE%\AppData\Local\Temp\OnboardLogs"\RTDC4014\2016-11-29 --exclude "*" --recursive --include "*20161129*" &amp; "%USERPROFILE%\Documents\GitHub\mrs-test-scripts\Headless Mode &amp; Sideloading\WalkAndUnGZ.bat" "%USERPROFILE%\AppData\Local\Temp\OnboardLogs"\RTDC4014\2016-11-29 &amp; 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</v>
      </c>
      <c r="AF147" s="88" t="str">
        <f t="shared" si="49"/>
        <v>"C:\Program Files (x86)\AstroGrep\AstroGrep.exe" /spath="%USERPROFILE%\AppData\Local\Temp\OnboardLogs" /stypes="app*4014*20161130*" /stext=" 06:.+((SYSTEM_STATE.+slice.+state.+changed )|(ment ac)|(multiple cpu faults)|(system.+state.+changed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235-29 --locoid 4014 --swversion DE.1.0.8.0 --startMP 204:469 --initTime 2016-11-29T22:27:23 --startdatetime 2016-11-29T22:31:06 --delay 1 --endMP 204:233306 --enddatetime 2016-11-29T23:06:45 --enforcementcount 1 &gt;&gt;C:\Users\stu\Documents\GitHub\eaglep3-reporting\EC\2016-11-29-refined-times.txt</v>
      </c>
      <c r="AI147" s="119" t="str">
        <f t="shared" si="52"/>
        <v>echo {"issue":{"subject":"","project_id":79,"tracker_id":40,"status_id":1,"priority_id":2,"assigned_to_id":23,"start_date":"2016-11-29","description":"","custom_fields":[{"id":1,"name":"Subdivision","value":"EC"},{"id":4,"name":"Milepost","value":"23.3306"},{"id":17,"name":"Train ID","value":"235-29"},{"id":16,"name":"Locomotive ID","value":"4014"},{"id":130,"name":"Impact","value":""},{"id":150,"name":"Time of Event (Mountain Time)","value":"23:06:45"},{"id":151,"name":"Denver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746</v>
      </c>
      <c r="B148" s="7">
        <v>4013</v>
      </c>
      <c r="C148" s="22" t="s">
        <v>212</v>
      </c>
      <c r="D148" s="22" t="s">
        <v>385</v>
      </c>
      <c r="E148" s="13">
        <v>42703.974618055552</v>
      </c>
      <c r="F148" s="13">
        <v>42703.976793981485</v>
      </c>
      <c r="G148" s="7">
        <v>0</v>
      </c>
      <c r="H148" s="22" t="s">
        <v>208</v>
      </c>
      <c r="I148" s="13">
        <v>42704.004467592589</v>
      </c>
      <c r="J148" s="7">
        <v>1</v>
      </c>
      <c r="K148" s="109" t="str">
        <f t="shared" si="36"/>
        <v>4013/4014</v>
      </c>
      <c r="L148" s="22" t="str">
        <f>VLOOKUP(A148,'Trips&amp;Operators'!$C$1:$E$10000,3,FALSE)</f>
        <v>CHANDLER</v>
      </c>
      <c r="M148" s="6">
        <f t="shared" si="37"/>
        <v>2.767361110454658E-2</v>
      </c>
      <c r="N148" s="7">
        <f t="shared" si="38"/>
        <v>39.849999990547076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22:23:27-700',mode:absolute,to:'2016-11-30 01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23.296800000000001</v>
      </c>
      <c r="Z148" s="67">
        <f t="shared" si="45"/>
        <v>1.5599999999999999E-2</v>
      </c>
      <c r="AA148" s="67">
        <f t="shared" si="46"/>
        <v>23.281200000000002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47"/>
        <v>0236-29</v>
      </c>
      <c r="AE148" s="91" t="str">
        <f t="shared" si="48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148" s="88" t="str">
        <f t="shared" si="49"/>
        <v>"C:\Program Files (x86)\AstroGrep\AstroGrep.exe" /spath="%USERPROFILE%\AppData\Local\Temp\OnboardLogs" /stypes="app*4013*20161130*" /stext=" 07:.+((SYSTEM_STATE.+slice.+state.+changed )|(ment ac)|(multiple cpu faults)|(system.+state.+changed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236-29 --locoid 4013 --swversion DE.1.0.8.0 --startMP 204:232968 --initTime 2016-11-29T23:23:27 --startdatetime 2016-11-29T23:26:35 --delay 0 --endMP 204:156 --enddatetime 2016-11-30T00:06:26 --enforcementcount 1 &gt;&gt;C:\Users\stu\Documents\GitHub\eaglep3-reporting\EC\2016-11-29-refined-times.txt</v>
      </c>
      <c r="AI148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{"issue":{"subject":"","project_id":79,"tracker_id":40,"status_id":1,"priority_id":2,"assigned_to_id":23,"start_date":"2016-11-30","description":"","custom_fields":[{"id":1,"name":"Subdivision","value":"EC"},{"id":4,"name":"Milepost","value":"0.0156"},{"id":17,"name":"Train ID","value":"236-29"},{"id":16,"name":"Locomotive ID","value":"4013"},{"id":130,"name":"Impact","value":""},{"id":150,"name":"Time of Event (Mountain Time)","value":"00:06:26"},{"id":151,"name":"Denver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745</v>
      </c>
      <c r="B149" s="7">
        <v>4003</v>
      </c>
      <c r="C149" s="22" t="s">
        <v>212</v>
      </c>
      <c r="D149" s="22" t="s">
        <v>248</v>
      </c>
      <c r="E149" s="13">
        <v>42703.954571759263</v>
      </c>
      <c r="F149" s="13">
        <v>42703.958518518521</v>
      </c>
      <c r="G149" s="7">
        <v>1</v>
      </c>
      <c r="H149" s="22" t="s">
        <v>350</v>
      </c>
      <c r="I149" s="13">
        <v>42703.984039351853</v>
      </c>
      <c r="J149" s="7">
        <v>1</v>
      </c>
      <c r="K149" s="109" t="str">
        <f t="shared" si="36"/>
        <v>4003/4004</v>
      </c>
      <c r="L149" s="22" t="str">
        <f>VLOOKUP(A149,'Trips&amp;Operators'!$C$1:$E$10000,3,FALSE)</f>
        <v>LEVERE</v>
      </c>
      <c r="M149" s="6">
        <f t="shared" si="37"/>
        <v>2.5520833332848269E-2</v>
      </c>
      <c r="N149" s="7">
        <f t="shared" si="38"/>
        <v>36.749999999301508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21:54:35-700',mode:absolute,to:'2016-11-30 00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4.5499999999999999E-2</v>
      </c>
      <c r="Z149" s="67">
        <f t="shared" si="45"/>
        <v>23.329699999999999</v>
      </c>
      <c r="AA149" s="67">
        <f t="shared" si="46"/>
        <v>23.284199999999998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7"/>
        <v>0237-29</v>
      </c>
      <c r="AE149" s="91" t="str">
        <f t="shared" si="48"/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AF149" s="88" t="str">
        <f t="shared" si="49"/>
        <v>"C:\Program Files (x86)\AstroGrep\AstroGrep.exe" /spath="%USERPROFILE%\AppData\Local\Temp\OnboardLogs" /stypes="app*4003*20161130*" /stext=" 06:.+((SYSTEM_STATE.+slice.+state.+changed )|(ment ac)|(multiple cpu faults)|(system.+state.+changed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237-29 --locoid 4003 --swversion DE.1.0.8.0 --startMP 204:455 --initTime 2016-11-29T22:54:35 --startdatetime 2016-11-29T23:00:16 --delay 1 --endMP 204:233297 --enddatetime 2016-11-29T23:37:01 --enforcementcount 1 &gt;&gt;C:\Users\stu\Documents\GitHub\eaglep3-reporting\EC\2016-11-29-refined-times.txt</v>
      </c>
      <c r="AI149" s="119" t="str">
        <f t="shared" si="52"/>
        <v>echo {"issue":{"subject":"","project_id":79,"tracker_id":40,"status_id":1,"priority_id":2,"assigned_to_id":23,"start_date":"2016-11-29","description":"","custom_fields":[{"id":1,"name":"Subdivision","value":"EC"},{"id":4,"name":"Milepost","value":"23.3297"},{"id":17,"name":"Train ID","value":"237-29"},{"id":16,"name":"Locomotive ID","value":"4003"},{"id":130,"name":"Impact","value":""},{"id":150,"name":"Time of Event (Mountain Time)","value":"23:37:01"},{"id":151,"name":"Denver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749</v>
      </c>
      <c r="B150" s="7">
        <v>4004</v>
      </c>
      <c r="C150" s="22" t="s">
        <v>212</v>
      </c>
      <c r="D150" s="22" t="s">
        <v>275</v>
      </c>
      <c r="E150" s="13">
        <v>42703.991539351853</v>
      </c>
      <c r="F150" s="13">
        <v>42703.997893518521</v>
      </c>
      <c r="G150" s="7">
        <v>1</v>
      </c>
      <c r="H150" s="22" t="s">
        <v>792</v>
      </c>
      <c r="I150" s="13">
        <v>42704.025104166663</v>
      </c>
      <c r="J150" s="7">
        <v>1</v>
      </c>
      <c r="K150" s="109" t="str">
        <f t="shared" si="36"/>
        <v>4003/4004</v>
      </c>
      <c r="L150" s="22" t="str">
        <f>VLOOKUP(A150,'Trips&amp;Operators'!$C$1:$E$10000,3,FALSE)</f>
        <v>LEVERE</v>
      </c>
      <c r="M150" s="6">
        <f t="shared" si="37"/>
        <v>2.7210648142499849E-2</v>
      </c>
      <c r="N150" s="7">
        <f t="shared" si="38"/>
        <v>39.183333325199783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22:47:49-700',mode:absolute,to:'2016-11-30 01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23.2989</v>
      </c>
      <c r="Z150" s="67">
        <f t="shared" si="45"/>
        <v>1.6899999999999998E-2</v>
      </c>
      <c r="AA150" s="67">
        <f t="shared" si="46"/>
        <v>23.282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7"/>
        <v>0238-29</v>
      </c>
      <c r="AE150" s="91" t="str">
        <f t="shared" si="48"/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AF150" s="88" t="str">
        <f t="shared" si="49"/>
        <v>"C:\Program Files (x86)\AstroGrep\AstroGrep.exe" /spath="%USERPROFILE%\AppData\Local\Temp\OnboardLogs" /stypes="app*4004*20161130*" /stext=" 07:.+((SYSTEM_STATE.+slice.+state.+changed )|(ment ac)|(multiple cpu faults)|(system.+state.+changed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238-29 --locoid 4004 --swversion DE.1.0.8.0 --startMP 204:232989 --initTime 2016-11-29T23:47:49 --startdatetime 2016-11-29T23:56:58 --delay 1 --endMP 204:169 --enddatetime 2016-11-30T00:36:09 --enforcementcount 1 &gt;&gt;C:\Users\stu\Documents\GitHub\eaglep3-reporting\EC\2016-11-29-refined-times.txt</v>
      </c>
      <c r="AI150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ID","value":"238-29"},{"id":16,"name":"Locomotive ID","value":"4004"},{"id":130,"name":"Impact","value":""},{"id":150,"name":"Time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747</v>
      </c>
      <c r="B151" s="7">
        <v>4040</v>
      </c>
      <c r="C151" s="22" t="s">
        <v>212</v>
      </c>
      <c r="D151" s="22" t="s">
        <v>381</v>
      </c>
      <c r="E151" s="13">
        <v>42703.976493055554</v>
      </c>
      <c r="F151" s="13">
        <v>42703.979479166665</v>
      </c>
      <c r="G151" s="7">
        <v>1</v>
      </c>
      <c r="H151" s="22" t="s">
        <v>798</v>
      </c>
      <c r="I151" s="13">
        <v>42704.005312499998</v>
      </c>
      <c r="J151" s="7">
        <v>1</v>
      </c>
      <c r="K151" s="109" t="str">
        <f t="shared" si="36"/>
        <v>4039/4040</v>
      </c>
      <c r="L151" s="22" t="str">
        <f>VLOOKUP(A151,'Trips&amp;Operators'!$C$1:$E$10000,3,FALSE)</f>
        <v>COOLAHAN</v>
      </c>
      <c r="M151" s="6">
        <f t="shared" si="37"/>
        <v>2.5833333333139308E-2</v>
      </c>
      <c r="N151" s="7">
        <f t="shared" si="38"/>
        <v>37.199999999720603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22:26:09-700',mode:absolute,to:'2016-11-30 01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4.3700000000000003E-2</v>
      </c>
      <c r="Z151" s="67">
        <f t="shared" si="45"/>
        <v>23.332699999999999</v>
      </c>
      <c r="AA151" s="67">
        <f t="shared" si="46"/>
        <v>23.288999999999998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7"/>
        <v>0239-29</v>
      </c>
      <c r="AE151" s="91" t="str">
        <f t="shared" si="48"/>
        <v>aws s3 cp s3://rtdc.mdm.uploadarchive.raw/RTDC4040/ "%USERPROFILE%\AppData\Local\Temp\OnboardLogs"\RTDC4040\2016-11-29 --exclude "*" --recursive --include "*20161129*" &amp; "%USERPROFILE%\Documents\GitHub\mrs-test-scripts\Headless Mode &amp; Sideloading\WalkAndUnGZ.bat" "%USERPROFILE%\AppData\Local\Temp\OnboardLogs"\RTDC4040\2016-11-29 &amp; aws s3 cp s3://rtdc.mdm.uploadarchive.raw/RTDC4040/ "%USERPROFILE%\AppData\Local\Temp\OnboardLogs"\RTDC4040\2016-11-30 --exclude "*" --recursive --include "*20161130*" &amp; "%USERPROFILE%\Documents\GitHub\mrs-test-scripts\Headless Mode &amp; Sideloading\WalkAndUnGZ.bat" "%USERPROFILE%\AppData\Local\Temp\OnboardLogs"\RTDC4040\2016-11-30</v>
      </c>
      <c r="AF151" s="88" t="str">
        <f t="shared" si="49"/>
        <v>"C:\Program Files (x86)\AstroGrep\AstroGrep.exe" /spath="%USERPROFILE%\AppData\Local\Temp\OnboardLogs" /stypes="app*4040*20161130*" /stext=" 07:.+((SYSTEM_STATE.+slice.+state.+changed )|(ment ac)|(multiple cpu faults)|(system.+state.+changed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239-29 --locoid 4040 --swversion DE.1.0.8.0 --startMP 204:437 --initTime 2016-11-29T23:26:09 --startdatetime 2016-11-29T23:30:27 --delay 1 --endMP 204:233327 --enddatetime 2016-11-30T00:07:39 --enforcementcount 1 &gt;&gt;C:\Users\stu\Documents\GitHub\eaglep3-reporting\EC\2016-11-29-refined-times.txt</v>
      </c>
      <c r="AI151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{"issue":{"subject":"","project_id":79,"tracker_id":40,"status_id":1,"priority_id":2,"assigned_to_id":23,"start_date":"2016-11-30","description":"","custom_fields":[{"id":1,"name":"Subdivision","value":"EC"},{"id":4,"name":"Milepost","value":"23.3327"},{"id":17,"name":"Train ID","value":"239-29"},{"id":16,"name":"Locomotive ID","value":"4040"},{"id":130,"name":"Impact","value":""},{"id":150,"name":"Time of Event (Mountain Time)","value":"00:07:39"},{"id":151,"name":"Denver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750</v>
      </c>
      <c r="B152" s="7">
        <v>4039</v>
      </c>
      <c r="C152" s="22" t="s">
        <v>212</v>
      </c>
      <c r="D152" s="22" t="s">
        <v>373</v>
      </c>
      <c r="E152" s="13">
        <v>42704.013009259259</v>
      </c>
      <c r="F152" s="13">
        <v>42704.018634259257</v>
      </c>
      <c r="G152" s="7">
        <v>1</v>
      </c>
      <c r="H152" s="22" t="s">
        <v>372</v>
      </c>
      <c r="I152" s="13">
        <v>42704.043958333335</v>
      </c>
      <c r="J152" s="7">
        <v>1</v>
      </c>
      <c r="K152" s="109" t="str">
        <f t="shared" si="36"/>
        <v>4039/4040</v>
      </c>
      <c r="L152" s="22" t="str">
        <f>VLOOKUP(A152,'Trips&amp;Operators'!$C$1:$E$10000,3,FALSE)</f>
        <v>COOLAHAN</v>
      </c>
      <c r="M152" s="6">
        <f t="shared" si="37"/>
        <v>2.5324074078525882E-2</v>
      </c>
      <c r="N152" s="7">
        <f t="shared" si="38"/>
        <v>36.46666667307727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23:18:44-700',mode:absolute,to:'2016-11-30 02:03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23.301100000000002</v>
      </c>
      <c r="Z152" s="67">
        <f t="shared" si="45"/>
        <v>1.52E-2</v>
      </c>
      <c r="AA152" s="67">
        <f t="shared" si="46"/>
        <v>23.285900000000002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7"/>
        <v>0240-29</v>
      </c>
      <c r="AE152" s="91" t="str">
        <f t="shared" si="48"/>
        <v>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 &amp; 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</v>
      </c>
      <c r="AF152" s="88" t="str">
        <f t="shared" si="49"/>
        <v>"C:\Program Files (x86)\AstroGrep\AstroGrep.exe" /spath="%USERPROFILE%\AppData\Local\Temp\OnboardLogs" /stypes="app*4039*20161130*" /stext=" 08:.+((SYSTEM_STATE.+slice.+state.+changed )|(ment ac)|(multiple cpu faults)|(system.+state.+changed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240-29 --locoid 4039 --swversion DE.1.0.8.0 --startMP 204:233011 --initTime 2016-11-30T00:18:44 --startdatetime 2016-11-30T00:26:50 --delay 1 --endMP 204:152 --enddatetime 2016-11-30T01:03:18 --enforcementcount 1 &gt;&gt;C:\Users\stu\Documents\GitHub\eaglep3-reporting\EC\2016-11-29-refined-times.txt</v>
      </c>
      <c r="AI152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ID","value":"240-29"},{"id":16,"name":"Locomotive ID","value":"4039"},{"id":130,"name":"Impact","value":""},{"id":150,"name":"Time of Event (Mountain Time)","value":"01:03:18"},{"id":151,"name":"Denver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748</v>
      </c>
      <c r="B153" s="7">
        <v>4016</v>
      </c>
      <c r="C153" s="22" t="s">
        <v>212</v>
      </c>
      <c r="D153" s="22" t="s">
        <v>260</v>
      </c>
      <c r="E153" s="13">
        <v>42703.983287037037</v>
      </c>
      <c r="F153" s="13">
        <v>42704.000150462962</v>
      </c>
      <c r="G153" s="7">
        <v>1</v>
      </c>
      <c r="H153" s="22" t="s">
        <v>257</v>
      </c>
      <c r="I153" s="13">
        <v>42704.024444444447</v>
      </c>
      <c r="J153" s="7">
        <v>1</v>
      </c>
      <c r="K153" s="109" t="str">
        <f t="shared" si="36"/>
        <v>4015/4016</v>
      </c>
      <c r="L153" s="22" t="str">
        <f>VLOOKUP(A153,'Trips&amp;Operators'!$C$1:$E$10000,3,FALSE)</f>
        <v>YANAI</v>
      </c>
      <c r="M153" s="6">
        <f t="shared" si="37"/>
        <v>2.4293981485243421E-2</v>
      </c>
      <c r="N153" s="7">
        <f t="shared" si="38"/>
        <v>34.983333338750526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22:35:56-700',mode:absolute,to:'2016-11-30 01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4.7100000000000003E-2</v>
      </c>
      <c r="Z153" s="67">
        <f t="shared" si="45"/>
        <v>23.330200000000001</v>
      </c>
      <c r="AA153" s="67">
        <f t="shared" si="46"/>
        <v>23.283100000000001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7"/>
        <v>0241-29</v>
      </c>
      <c r="AE153" s="91" t="str">
        <f t="shared" si="48"/>
        <v>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 &amp; 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</v>
      </c>
      <c r="AF153" s="88" t="str">
        <f t="shared" si="49"/>
        <v>"C:\Program Files (x86)\AstroGrep\AstroGrep.exe" /spath="%USERPROFILE%\AppData\Local\Temp\OnboardLogs" /stypes="app*4016*20161130*" /stext=" 07:.+((SYSTEM_STATE.+slice.+state.+changed )|(ment ac)|(multiple cpu faults)|(system.+state.+changed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241-29 --locoid 4016 --swversion DE.1.0.8.0 --startMP 204:471 --initTime 2016-11-29T23:35:56 --startdatetime 2016-11-30T00:00:13 --delay 1 --endMP 204:233302 --enddatetime 2016-11-30T00:35:12 --enforcementcount 1 &gt;&gt;C:\Users\stu\Documents\GitHub\eaglep3-reporting\EC\2016-11-29-refined-times.txt</v>
      </c>
      <c r="AI153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{"issue":{"subject":"","project_id":79,"tracker_id":40,"status_id":1,"priority_id":2,"assigned_to_id":23,"start_date":"2016-11-30","description":"","custom_fields":[{"id":1,"name":"Subdivision","value":"EC"},{"id":4,"name":"Milepost","value":"23.3302"},{"id":17,"name":"Train ID","value":"241-29"},{"id":16,"name":"Locomotive ID","value":"4016"},{"id":130,"name":"Impact","value":""},{"id":150,"name":"Time of Event (Mountain Time)","value":"00:35:12"},{"id":151,"name":"Denver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753</v>
      </c>
      <c r="B154" s="7">
        <v>4015</v>
      </c>
      <c r="C154" s="22" t="s">
        <v>212</v>
      </c>
      <c r="D154" s="22" t="s">
        <v>275</v>
      </c>
      <c r="E154" s="13">
        <v>42704.027453703704</v>
      </c>
      <c r="F154" s="13">
        <v>42704.039247685185</v>
      </c>
      <c r="G154" s="7">
        <v>1</v>
      </c>
      <c r="H154" s="22" t="s">
        <v>812</v>
      </c>
      <c r="I154" s="13">
        <v>42704.064108796294</v>
      </c>
      <c r="J154" s="7">
        <v>1</v>
      </c>
      <c r="K154" s="109" t="str">
        <f t="shared" si="36"/>
        <v>4015/4016</v>
      </c>
      <c r="L154" s="22" t="str">
        <f>VLOOKUP(A154,'Trips&amp;Operators'!$C$1:$E$10000,3,FALSE)</f>
        <v>YANAI</v>
      </c>
      <c r="M154" s="6">
        <f t="shared" si="37"/>
        <v>2.4861111109203193E-2</v>
      </c>
      <c r="N154" s="7">
        <f t="shared" si="38"/>
        <v>35.799999997252598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23:39:32-700',mode:absolute,to:'2016-11-30 02:32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23.2989</v>
      </c>
      <c r="Z154" s="67">
        <f t="shared" si="45"/>
        <v>2.9100000000000001E-2</v>
      </c>
      <c r="AA154" s="67">
        <f t="shared" si="46"/>
        <v>23.2698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7"/>
        <v>0242-29</v>
      </c>
      <c r="AE154" s="91" t="str">
        <f t="shared" si="48"/>
        <v>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 &amp; 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</v>
      </c>
      <c r="AF154" s="88" t="str">
        <f t="shared" si="49"/>
        <v>"C:\Program Files (x86)\AstroGrep\AstroGrep.exe" /spath="%USERPROFILE%\AppData\Local\Temp\OnboardLogs" /stypes="app*4015*20161130*" /stext=" 08:.+((SYSTEM_STATE.+slice.+state.+changed )|(ment ac)|(multiple cpu faults)|(system.+state.+changed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242-29 --locoid 4015 --swversion DE.1.0.8.0 --startMP 204:232989 --initTime 2016-11-30T00:39:32 --startdatetime 2016-11-30T00:56:31 --delay 1 --endMP 204:291 --enddatetime 2016-11-30T01:32:19 --enforcementcount 1 &gt;&gt;C:\Users\stu\Documents\GitHub\eaglep3-reporting\EC\2016-11-29-refined-times.txt</v>
      </c>
      <c r="AI154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{"issue":{"subject":"","project_id":79,"tracker_id":40,"status_id":1,"priority_id":2,"assigned_to_id":23,"start_date":"2016-11-30","description":"","custom_fields":[{"id":1,"name":"Subdivision","value":"EC"},{"id":4,"name":"Milepost","value":"0.0291"},{"id":17,"name":"Train ID","value":"242-29"},{"id":16,"name":"Locomotive ID","value":"4015"},{"id":130,"name":"Impact","value":""},{"id":150,"name":"Time of Event (Mountain Time)","value":"01:32:19"},{"id":151,"name":"Denver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751</v>
      </c>
      <c r="B155" s="7">
        <v>4014</v>
      </c>
      <c r="C155" s="22" t="s">
        <v>212</v>
      </c>
      <c r="D155" s="22" t="s">
        <v>195</v>
      </c>
      <c r="E155" s="13">
        <v>42704.015023148146</v>
      </c>
      <c r="F155" s="13">
        <v>42704.021122685182</v>
      </c>
      <c r="G155" s="7">
        <v>1</v>
      </c>
      <c r="H155" s="22" t="s">
        <v>383</v>
      </c>
      <c r="I155" s="13">
        <v>42704.045995370368</v>
      </c>
      <c r="J155" s="7">
        <v>1</v>
      </c>
      <c r="K155" s="109" t="str">
        <f t="shared" si="36"/>
        <v>4013/4014</v>
      </c>
      <c r="L155" s="22" t="str">
        <f>VLOOKUP(A155,'Trips&amp;Operators'!$C$1:$E$10000,3,FALSE)</f>
        <v>CHANDLER</v>
      </c>
      <c r="M155" s="6">
        <f t="shared" si="37"/>
        <v>2.4872685185982846E-2</v>
      </c>
      <c r="N155" s="7">
        <f t="shared" si="38"/>
        <v>35.816666667815298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23:21:38-700',mode:absolute,to:'2016-11-30 02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4.53E-2</v>
      </c>
      <c r="Z155" s="67">
        <f t="shared" si="45"/>
        <v>23.327999999999999</v>
      </c>
      <c r="AA155" s="67">
        <f t="shared" si="46"/>
        <v>23.282699999999998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7"/>
        <v>0243-29</v>
      </c>
      <c r="AE155" s="91" t="str">
        <f t="shared" si="48"/>
        <v>aws s3 cp s3://rtdc.mdm.uploadarchive.raw/RTDC4014/ "%USERPROFILE%\AppData\Local\Temp\OnboardLogs"\RTDC4014\2016-11-30 --exclude "*" --recursive --include "*20161130*" &amp; "%USERPROFILE%\Documents\GitHub\mrs-test-scripts\Headless Mode &amp; Sideloading\WalkAndUnGZ.bat" "%USERPROFILE%\AppData\Local\Temp\OnboardLogs"\RTDC4014\2016-11-30 &amp; aws s3 cp s3://rtdc.mdm.uploadarchive.raw/RTDC4014/ "%USERPROFILE%\AppData\Local\Temp\OnboardLogs"\RTDC4014\2016-12-01 --exclude "*" --recursive --include "*20161201*" &amp; "%USERPROFILE%\Documents\GitHub\mrs-test-scripts\Headless Mode &amp; Sideloading\WalkAndUnGZ.bat" "%USERPROFILE%\AppData\Local\Temp\OnboardLogs"\RTDC4014\2016-12-01</v>
      </c>
      <c r="AF155" s="88" t="str">
        <f t="shared" si="49"/>
        <v>"C:\Program Files (x86)\AstroGrep\AstroGrep.exe" /spath="%USERPROFILE%\AppData\Local\Temp\OnboardLogs" /stypes="app*4014*20161130*" /stext=" 08:.+((SYSTEM_STATE.+slice.+state.+changed )|(ment ac)|(multiple cpu faults)|(system.+state.+changed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243-29 --locoid 4014 --swversion DE.1.0.8.0 --startMP 204:453 --initTime 2016-11-30T00:21:38 --startdatetime 2016-11-30T00:30:25 --delay 1 --endMP 204:233280 --enddatetime 2016-11-30T01:06:14 --enforcementcount 1 &gt;&gt;C:\Users\stu\Documents\GitHub\eaglep3-reporting\EC\2016-11-29-refined-times.txt</v>
      </c>
      <c r="AI155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{"issue":{"subject":"","project_id":79,"tracker_id":40,"status_id":1,"priority_id":2,"assigned_to_id":23,"start_date":"2016-11-30","description":"","custom_fields":[{"id":1,"name":"Subdivision","value":"EC"},{"id":4,"name":"Milepost","value":"23.328"},{"id":17,"name":"Train ID","value":"243-29"},{"id":16,"name":"Locomotive ID","value":"4014"},{"id":130,"name":"Impact","value":""},{"id":150,"name":"Time of Event (Mountain Time)","value":"01:06:14"},{"id":151,"name":"Denver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755</v>
      </c>
      <c r="B156" s="7">
        <v>4013</v>
      </c>
      <c r="C156" s="22" t="s">
        <v>212</v>
      </c>
      <c r="D156" s="22" t="s">
        <v>813</v>
      </c>
      <c r="E156" s="13">
        <v>42704.05605324074</v>
      </c>
      <c r="F156" s="13">
        <v>42704.060300925928</v>
      </c>
      <c r="G156" s="7">
        <v>1</v>
      </c>
      <c r="H156" s="22" t="s">
        <v>214</v>
      </c>
      <c r="I156" s="13">
        <v>42704.087060185186</v>
      </c>
      <c r="J156" s="7">
        <v>1</v>
      </c>
      <c r="K156" s="109" t="str">
        <f t="shared" si="36"/>
        <v>4013/4014</v>
      </c>
      <c r="L156" s="22" t="str">
        <f>VLOOKUP(A156,'Trips&amp;Operators'!$C$1:$E$10000,3,FALSE)</f>
        <v>CHANDLER</v>
      </c>
      <c r="M156" s="6">
        <f t="shared" si="37"/>
        <v>2.675925925723277E-2</v>
      </c>
      <c r="N156" s="7">
        <f t="shared" si="38"/>
        <v>38.533333330415189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https://search-rtdc-monitor-bjffxe2xuh6vdkpspy63sjmuny.us-east-1.es.amazonaws.com/_plugin/kibana/#/discover/Steve-Slow-Train-Analysis-(2080s-and-2083s)?_g=(refreshInterval:(display:Off,section:0,value:0),time:(from:'2016-11-30 00:20:43-700',mode:absolute,to:'2016-11-30 03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23.294499999999999</v>
      </c>
      <c r="Z156" s="67">
        <f t="shared" si="45"/>
        <v>1.5800000000000002E-2</v>
      </c>
      <c r="AA156" s="67">
        <f t="shared" si="46"/>
        <v>23.278700000000001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7"/>
        <v>0244-29</v>
      </c>
      <c r="AE156" s="91" t="str">
        <f t="shared" si="48"/>
        <v>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 &amp; aws s3 cp s3://rtdc.mdm.uploadarchive.raw/RTDC4013/ "%USERPROFILE%\AppData\Local\Temp\OnboardLogs"\RTDC4013\2016-12-01 --exclude "*" --recursive --include "*20161201*" &amp; "%USERPROFILE%\Documents\GitHub\mrs-test-scripts\Headless Mode &amp; Sideloading\WalkAndUnGZ.bat" "%USERPROFILE%\AppData\Local\Temp\OnboardLogs"\RTDC4013\2016-12-01</v>
      </c>
      <c r="AF156" s="88" t="str">
        <f t="shared" si="49"/>
        <v>"C:\Program Files (x86)\AstroGrep\AstroGrep.exe" /spath="%USERPROFILE%\AppData\Local\Temp\OnboardLogs" /stypes="app*4013*20161130*" /stext=" 09:.+((SYSTEM_STATE.+slice.+state.+changed )|(ment ac)|(multiple cpu faults)|(system.+state.+changed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244-29 --locoid 4013 --swversion DE.1.0.8.0 --startMP 204:232945 --initTime 2016-11-30T01:20:43 --startdatetime 2016-11-30T01:26:50 --delay 1 --endMP 204:158 --enddatetime 2016-11-30T02:05:22 --enforcementcount 1 &gt;&gt;C:\Users\stu\Documents\GitHub\eaglep3-reporting\EC\2016-11-29-refined-times.txt</v>
      </c>
      <c r="AI156" s="119" t="str">
        <f t="shared" si="52"/>
        <v>echo {"issue":{"subject":"","project_id":79,"tracker_id":40,"status_id":1,"priority_id":2,"assigned_to_id":23,"start_date":"2016-11-30","description":"","custom_fields":[{"id":1,"name":"Subdivision","value":"EC"},{"id":4,"name":"Milepost","value":"0.0158"},{"id":17,"name":"Train ID","value":"244-29"},{"id":16,"name":"Locomotive ID","value":"4013"},{"id":130,"name":"Impact","value":""},{"id":150,"name":"Time of Event (Mountain Time)","value":"02:05:22"},{"id":151,"name":"Denver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531</v>
      </c>
      <c r="B157" s="7">
        <v>4012</v>
      </c>
      <c r="C157" s="22" t="s">
        <v>212</v>
      </c>
      <c r="D157" s="22" t="s">
        <v>396</v>
      </c>
      <c r="E157" s="13">
        <v>42703.213506944441</v>
      </c>
      <c r="F157" s="13">
        <v>42703.214953703704</v>
      </c>
      <c r="G157" s="7">
        <v>1</v>
      </c>
      <c r="H157" s="22" t="s">
        <v>839</v>
      </c>
      <c r="I157" s="13">
        <v>42703.226655092592</v>
      </c>
      <c r="J157" s="7">
        <v>1</v>
      </c>
      <c r="K157" s="109" t="str">
        <f t="shared" si="36"/>
        <v>4011/4012</v>
      </c>
      <c r="L157" s="22" t="str">
        <f>VLOOKUP(A157,'Trips&amp;Operators'!$C$1:$E$10000,3,FALSE)</f>
        <v>STARKS</v>
      </c>
      <c r="M157" s="6">
        <f t="shared" si="37"/>
        <v>1.17013888884685E-2</v>
      </c>
      <c r="N157" s="7">
        <f t="shared" si="38"/>
        <v>16.84999999939464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04:07:27-700',mode:absolute,to:'2016-11-29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7" s="52" t="str">
        <f t="shared" si="42"/>
        <v>N</v>
      </c>
      <c r="X157" s="177">
        <f t="shared" si="43"/>
        <v>556</v>
      </c>
      <c r="Y157" s="67">
        <f t="shared" si="44"/>
        <v>5.8635999999999999</v>
      </c>
      <c r="Z157" s="67">
        <f t="shared" si="45"/>
        <v>7.5700000000000003E-2</v>
      </c>
      <c r="AA157" s="67">
        <f t="shared" si="46"/>
        <v>5.7878999999999996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7"/>
        <v>0800-29</v>
      </c>
      <c r="AE157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57" s="88" t="str">
        <f t="shared" si="49"/>
        <v>"C:\Program Files (x86)\AstroGrep\AstroGrep.exe" /spath="%USERPROFILE%\AppData\Local\Temp\OnboardLogs" /stypes="app*4012*20161129*" /stext=" 12:.+((SYSTEM_STATE.+slice.+state.+changed )|(ment ac)|(multiple cpu faults)|(system.+state.+changed )|(\[timeout)|(PRM\|1\|D)|(kpr)|(kdp)|(\|lc)|(penalty))" /e /r /s</v>
      </c>
      <c r="AG157" s="1" t="str">
        <f t="shared" si="50"/>
        <v>NW</v>
      </c>
      <c r="AH157" s="92" t="str">
        <f t="shared" si="51"/>
        <v>"%USERPROFILE%\Documents\GitHub\eaglep3\Utilities\RefineRTDCRunTimes.py" --tripid 800-29 --locoid 4012 --swversion DE.1.0.8.0 --startMP 300:58636 --initTime 2016-11-29T05:07:27 --startdatetime 2016-11-29T05:09:32 --delay 1 --endMP 204:757 --enddatetime 2016-11-29T05:26:23 --enforcementcount 1 &gt;&gt;C:\Users\stu\Documents\GitHub\eaglep3-reporting\EC\2016-11-29-refined-times.txt</v>
      </c>
      <c r="AI157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{"issue":{"subject":"","project_id":79,"tracker_id":40,"status_id":1,"priority_id":2,"assigned_to_id":23,"start_date":"2016-11-29","description":"","custom_fields":[{"id":1,"name":"Subdivision","value":"NW"},{"id":4,"name":"Milepost","value":"0.0757"},{"id":17,"name":"Train ID","value":"800-29"},{"id":16,"name":"Locomotive ID","value":"4012"},{"id":130,"name":"Impact","value":""},{"id":150,"name":"Time of Event (Mountain Time)","value":"05:26:23"},{"id":151,"name":"Denver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586</v>
      </c>
      <c r="B158" s="7">
        <v>4011</v>
      </c>
      <c r="C158" s="22" t="s">
        <v>212</v>
      </c>
      <c r="D158" s="22" t="s">
        <v>840</v>
      </c>
      <c r="E158" s="13">
        <v>42703.242407407408</v>
      </c>
      <c r="F158" s="13">
        <v>42703.243935185186</v>
      </c>
      <c r="G158" s="7">
        <v>1</v>
      </c>
      <c r="H158" s="22" t="s">
        <v>346</v>
      </c>
      <c r="I158" s="13">
        <v>42703.253900462965</v>
      </c>
      <c r="J158" s="7">
        <v>1</v>
      </c>
      <c r="K158" s="109" t="str">
        <f t="shared" si="36"/>
        <v>4011/4012</v>
      </c>
      <c r="L158" s="22" t="str">
        <f>VLOOKUP(A158,'Trips&amp;Operators'!$C$1:$E$10000,3,FALSE)</f>
        <v>STARKS</v>
      </c>
      <c r="M158" s="6">
        <f t="shared" si="37"/>
        <v>9.9652777789742686E-3</v>
      </c>
      <c r="N158" s="7">
        <f t="shared" si="38"/>
        <v>14.350000001722947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04:49:04-700',mode:absolute,to:'2016-11-29 07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0.1048</v>
      </c>
      <c r="Z158" s="67">
        <f t="shared" si="45"/>
        <v>5.8963000000000001</v>
      </c>
      <c r="AA158" s="67">
        <f t="shared" si="46"/>
        <v>5.7915000000000001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7"/>
        <v>0801-29</v>
      </c>
      <c r="AE158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58" s="88" t="str">
        <f t="shared" si="49"/>
        <v>"C:\Program Files (x86)\AstroGrep\AstroGrep.exe" /spath="%USERPROFILE%\AppData\Local\Temp\OnboardLogs" /stypes="app*4011*20161129*" /stext=" 13:.+((SYSTEM_STATE.+slice.+state.+changed )|(ment ac)|(multiple cpu faults)|(system.+state.+changed )|(\[timeout)|(PRM\|1\|D)|(kpr)|(kdp)|(\|lc)|(penalty))" /e /r /s</v>
      </c>
      <c r="AG158" s="1" t="str">
        <f t="shared" si="50"/>
        <v>NW</v>
      </c>
      <c r="AH158" s="92" t="str">
        <f t="shared" si="51"/>
        <v>"%USERPROFILE%\Documents\GitHub\eaglep3\Utilities\RefineRTDCRunTimes.py" --tripid 801-29 --locoid 4011 --swversion DE.1.0.8.0 --startMP 204:1048 --initTime 2016-11-29T05:49:04 --startdatetime 2016-11-29T05:51:16 --delay 1 --endMP 300:58963 --enddatetime 2016-11-29T06:05:37 --enforcementcount 1 &gt;&gt;C:\Users\stu\Documents\GitHub\eaglep3-reporting\EC\2016-11-29-refined-times.txt</v>
      </c>
      <c r="AI158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{"issue":{"subject":"","project_id":79,"tracker_id":40,"status_id":1,"priority_id":2,"assigned_to_id":23,"start_date":"2016-11-29","description":"","custom_fields":[{"id":1,"name":"Subdivision","value":"NW"},{"id":4,"name":"Milepost","value":"5.8963"},{"id":17,"name":"Train ID","value":"801-29"},{"id":16,"name":"Locomotive ID","value":"4011"},{"id":130,"name":"Impact","value":""},{"id":150,"name":"Time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585</v>
      </c>
      <c r="B159" s="7">
        <v>4012</v>
      </c>
      <c r="C159" s="22" t="s">
        <v>212</v>
      </c>
      <c r="D159" s="22" t="s">
        <v>406</v>
      </c>
      <c r="E159" s="13">
        <v>42703.254861111112</v>
      </c>
      <c r="F159" s="13">
        <v>42703.257291666669</v>
      </c>
      <c r="G159" s="7">
        <v>1</v>
      </c>
      <c r="H159" s="22" t="s">
        <v>841</v>
      </c>
      <c r="I159" s="13">
        <v>42703.268553240741</v>
      </c>
      <c r="J159" s="7">
        <v>1</v>
      </c>
      <c r="K159" s="109" t="str">
        <f t="shared" si="36"/>
        <v>4011/4012</v>
      </c>
      <c r="L159" s="22" t="str">
        <f>VLOOKUP(A159,'Trips&amp;Operators'!$C$1:$E$10000,3,FALSE)</f>
        <v>STARKS</v>
      </c>
      <c r="M159" s="6">
        <f t="shared" si="37"/>
        <v>1.1261574072705116E-2</v>
      </c>
      <c r="N159" s="7">
        <f t="shared" si="38"/>
        <v>16.216666664695367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05:07:00-700',mode:absolute,to:'2016-11-29 07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5.8651</v>
      </c>
      <c r="Z159" s="67">
        <f t="shared" si="45"/>
        <v>7.9200000000000007E-2</v>
      </c>
      <c r="AA159" s="67">
        <f t="shared" si="46"/>
        <v>5.7858999999999998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7"/>
        <v>0802-29</v>
      </c>
      <c r="AE159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59" s="88" t="str">
        <f t="shared" si="49"/>
        <v>"C:\Program Files (x86)\AstroGrep\AstroGrep.exe" /spath="%USERPROFILE%\AppData\Local\Temp\OnboardLogs" /stypes="app*4012*20161129*" /stext=" 13:.+((SYSTEM_STATE.+slice.+state.+changed )|(ment ac)|(multiple cpu faults)|(system.+state.+changed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802-29 --locoid 4012 --swversion DE.1.0.8.0 --startMP 300:58651 --initTime 2016-11-29T06:07:00 --startdatetime 2016-11-29T06:10:30 --delay 1 --endMP 204:792 --enddatetime 2016-11-29T06:26:43 --enforcementcount 1 &gt;&gt;C:\Users\stu\Documents\GitHub\eaglep3-reporting\EC\2016-11-29-refined-times.txt</v>
      </c>
      <c r="AI159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{"issue":{"subject":"","project_id":79,"tracker_id":40,"status_id":1,"priority_id":2,"assigned_to_id":23,"start_date":"2016-11-29","description":"","custom_fields":[{"id":1,"name":"Subdivision","value":"NW"},{"id":4,"name":"Milepost","value":"0.0792"},{"id":17,"name":"Train ID","value":"802-29"},{"id":16,"name":"Locomotive ID","value":"4012"},{"id":130,"name":"Impact","value":""},{"id":150,"name":"Time of Event (Mountain Time)","value":"06:26:43"},{"id":151,"name":"Denver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590</v>
      </c>
      <c r="B160" s="7">
        <v>4044</v>
      </c>
      <c r="C160" s="22" t="s">
        <v>212</v>
      </c>
      <c r="D160" s="22" t="s">
        <v>393</v>
      </c>
      <c r="E160" s="13">
        <v>42703.258969907409</v>
      </c>
      <c r="F160" s="13">
        <v>42703.264780092592</v>
      </c>
      <c r="G160" s="7">
        <v>1</v>
      </c>
      <c r="H160" s="22" t="s">
        <v>404</v>
      </c>
      <c r="I160" s="13">
        <v>42703.273761574077</v>
      </c>
      <c r="J160" s="7">
        <v>1</v>
      </c>
      <c r="K160" s="109" t="str">
        <f t="shared" si="36"/>
        <v>4043/4044</v>
      </c>
      <c r="L160" s="22" t="str">
        <f>VLOOKUP(A160,'Trips&amp;Operators'!$C$1:$E$10000,3,FALSE)</f>
        <v>LEVIN</v>
      </c>
      <c r="M160" s="6">
        <f t="shared" si="37"/>
        <v>8.9814814855344594E-3</v>
      </c>
      <c r="N160" s="7">
        <f t="shared" si="38"/>
        <v>12.933333339169621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05:12:55-700',mode:absolute,to:'2016-11-29 07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9.7900000000000001E-2</v>
      </c>
      <c r="Z160" s="67">
        <f t="shared" si="45"/>
        <v>5.8928000000000003</v>
      </c>
      <c r="AA160" s="67">
        <f t="shared" si="46"/>
        <v>5.7949000000000002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7"/>
        <v>0803-29</v>
      </c>
      <c r="AE160" s="91" t="str">
        <f t="shared" si="48"/>
        <v>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 &amp; 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</v>
      </c>
      <c r="AF160" s="88" t="str">
        <f t="shared" si="49"/>
        <v>"C:\Program Files (x86)\AstroGrep\AstroGrep.exe" /spath="%USERPROFILE%\AppData\Local\Temp\OnboardLogs" /stypes="app*4044*20161129*" /stext=" 13:.+((SYSTEM_STATE.+slice.+state.+changed )|(ment ac)|(multiple cpu faults)|(system.+state.+changed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803-29 --locoid 4044 --swversion DE.1.0.8.0 --startMP 204:979 --initTime 2016-11-29T06:12:55 --startdatetime 2016-11-29T06:21:17 --delay 1 --endMP 300:58928 --enddatetime 2016-11-29T06:34:13 --enforcementcount 1 &gt;&gt;C:\Users\stu\Documents\GitHub\eaglep3-reporting\EC\2016-11-29-refined-times.txt</v>
      </c>
      <c r="AI160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{"issue":{"subject":"","project_id":79,"tracker_id":40,"status_id":1,"priority_id":2,"assigned_to_id":23,"start_date":"2016-11-29","description":"","custom_fields":[{"id":1,"name":"Subdivision","value":"NW"},{"id":4,"name":"Milepost","value":"5.8928"},{"id":17,"name":"Train ID","value":"803-29"},{"id":16,"name":"Locomotive ID","value":"4044"},{"id":130,"name":"Impact","value":""},{"id":150,"name":"Time of Event (Mountain Time)","value":"06:34:13"},{"id":151,"name":"Denver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595</v>
      </c>
      <c r="B161" s="7">
        <v>4043</v>
      </c>
      <c r="C161" s="22" t="s">
        <v>212</v>
      </c>
      <c r="D161" s="22" t="s">
        <v>842</v>
      </c>
      <c r="E161" s="13">
        <v>42703.27484953704</v>
      </c>
      <c r="F161" s="13">
        <v>42703.276192129626</v>
      </c>
      <c r="G161" s="7">
        <v>1</v>
      </c>
      <c r="H161" s="22" t="s">
        <v>391</v>
      </c>
      <c r="I161" s="13">
        <v>42703.289386574077</v>
      </c>
      <c r="J161" s="7">
        <v>1</v>
      </c>
      <c r="K161" s="109" t="str">
        <f t="shared" si="36"/>
        <v>4043/4044</v>
      </c>
      <c r="L161" s="22" t="str">
        <f>VLOOKUP(A161,'Trips&amp;Operators'!$C$1:$E$10000,3,FALSE)</f>
        <v>GRASTON</v>
      </c>
      <c r="M161" s="6">
        <f t="shared" si="37"/>
        <v>1.319444445107365E-2</v>
      </c>
      <c r="N161" s="7">
        <f t="shared" si="38"/>
        <v>19.000000009546056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05:35:47-700',mode:absolute,to:'2016-11-29 07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5.8604000000000003</v>
      </c>
      <c r="Z161" s="67">
        <f t="shared" si="45"/>
        <v>7.0099999999999996E-2</v>
      </c>
      <c r="AA161" s="67">
        <f t="shared" si="46"/>
        <v>5.7903000000000002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7"/>
        <v>0804-29</v>
      </c>
      <c r="AE161" s="91" t="str">
        <f t="shared" si="48"/>
        <v>aws s3 cp s3://rtdc.mdm.uploadarchive.raw/RTDC4043/ "%USERPROFILE%\AppData\Local\Temp\OnboardLogs"\RTDC4043\2016-11-29 --exclude "*" --recursive --include "*20161129*" &amp; "%USERPROFILE%\Documents\GitHub\mrs-test-scripts\Headless Mode &amp; Sideloading\WalkAndUnGZ.bat" "%USERPROFILE%\AppData\Local\Temp\OnboardLogs"\RTDC4043\2016-11-29 &amp; 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</v>
      </c>
      <c r="AF161" s="88" t="str">
        <f t="shared" si="49"/>
        <v>"C:\Program Files (x86)\AstroGrep\AstroGrep.exe" /spath="%USERPROFILE%\AppData\Local\Temp\OnboardLogs" /stypes="app*4043*20161129*" /stext=" 13:.+((SYSTEM_STATE.+slice.+state.+changed )|(ment ac)|(multiple cpu faults)|(system.+state.+changed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804-29 --locoid 4043 --swversion DE.1.0.8.0 --startMP 300:58604 --initTime 2016-11-29T06:35:47 --startdatetime 2016-11-29T06:37:43 --delay 1 --endMP 204:701 --enddatetime 2016-11-29T06:56:43 --enforcementcount 1 &gt;&gt;C:\Users\stu\Documents\GitHub\eaglep3-reporting\EC\2016-11-29-refined-times.txt</v>
      </c>
      <c r="AI161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{"issue":{"subject":"","project_id":79,"tracker_id":40,"status_id":1,"priority_id":2,"assigned_to_id":23,"start_date":"2016-11-29","description":"","custom_fields":[{"id":1,"name":"Subdivision","value":"NW"},{"id":4,"name":"Milepost","value":"0.0701"},{"id":17,"name":"Train ID","value":"804-29"},{"id":16,"name":"Locomotive ID","value":"4043"},{"id":130,"name":"Impact","value":""},{"id":150,"name":"Time of Event (Mountain Time)","value":"06:56:43"},{"id":151,"name":"Denver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597</v>
      </c>
      <c r="B162" s="7">
        <v>4011</v>
      </c>
      <c r="C162" s="22" t="s">
        <v>212</v>
      </c>
      <c r="D162" s="22" t="s">
        <v>843</v>
      </c>
      <c r="E162" s="13">
        <v>42703.283148148148</v>
      </c>
      <c r="F162" s="13">
        <v>42703.285636574074</v>
      </c>
      <c r="G162" s="7">
        <v>1</v>
      </c>
      <c r="H162" s="22" t="s">
        <v>395</v>
      </c>
      <c r="I162" s="13">
        <v>42703.295324074075</v>
      </c>
      <c r="J162" s="7">
        <v>1</v>
      </c>
      <c r="K162" s="109" t="str">
        <f t="shared" si="36"/>
        <v>4011/4012</v>
      </c>
      <c r="L162" s="22" t="str">
        <f>VLOOKUP(A162,'Trips&amp;Operators'!$C$1:$E$10000,3,FALSE)</f>
        <v>SWANSON</v>
      </c>
      <c r="M162" s="6">
        <f t="shared" si="37"/>
        <v>9.6875000017462298E-3</v>
      </c>
      <c r="N162" s="7">
        <f t="shared" si="38"/>
        <v>13.950000002514571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05:47:44-700',mode:absolute,to:'2016-11-29 08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0.1079</v>
      </c>
      <c r="Z162" s="67">
        <f t="shared" si="45"/>
        <v>5.8935000000000004</v>
      </c>
      <c r="AA162" s="67">
        <f t="shared" si="46"/>
        <v>5.7856000000000005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7"/>
        <v>0805-29</v>
      </c>
      <c r="AE162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62" s="88" t="str">
        <f t="shared" si="49"/>
        <v>"C:\Program Files (x86)\AstroGrep\AstroGrep.exe" /spath="%USERPROFILE%\AppData\Local\Temp\OnboardLogs" /stypes="app*4011*20161129*" /stext=" 14:.+((SYSTEM_STATE.+slice.+state.+changed )|(ment ac)|(multiple cpu faults)|(system.+state.+changed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805-29 --locoid 4011 --swversion DE.1.0.8.0 --startMP 204:1079 --initTime 2016-11-29T06:47:44 --startdatetime 2016-11-29T06:51:19 --delay 1 --endMP 300:58935 --enddatetime 2016-11-29T07:05:16 --enforcementcount 1 &gt;&gt;C:\Users\stu\Documents\GitHub\eaglep3-reporting\EC\2016-11-29-refined-times.txt</v>
      </c>
      <c r="AI162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{"issue":{"subject":"","project_id":79,"tracker_id":40,"status_id":1,"priority_id":2,"assigned_to_id":23,"start_date":"2016-11-29","description":"","custom_fields":[{"id":1,"name":"Subdivision","value":"NW"},{"id":4,"name":"Milepost","value":"5.8935"},{"id":17,"name":"Train ID","value":"805-29"},{"id":16,"name":"Locomotive ID","value":"4011"},{"id":130,"name":"Impact","value":""},{"id":150,"name":"Time of Event (Mountain Time)","value":"07:05:16"},{"id":151,"name":"Denver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602</v>
      </c>
      <c r="B163" s="7">
        <v>4012</v>
      </c>
      <c r="C163" s="22" t="s">
        <v>212</v>
      </c>
      <c r="D163" s="22" t="s">
        <v>402</v>
      </c>
      <c r="E163" s="13">
        <v>42703.296319444446</v>
      </c>
      <c r="F163" s="13">
        <v>42703.297997685186</v>
      </c>
      <c r="G163" s="7">
        <v>1</v>
      </c>
      <c r="H163" s="22" t="s">
        <v>844</v>
      </c>
      <c r="I163" s="13">
        <v>42703.309699074074</v>
      </c>
      <c r="J163" s="7">
        <v>1</v>
      </c>
      <c r="K163" s="109" t="str">
        <f t="shared" si="36"/>
        <v>4011/4012</v>
      </c>
      <c r="L163" s="22" t="str">
        <f>VLOOKUP(A163,'Trips&amp;Operators'!$C$1:$E$10000,3,FALSE)</f>
        <v>SWANSON</v>
      </c>
      <c r="M163" s="6">
        <f t="shared" si="37"/>
        <v>1.17013888884685E-2</v>
      </c>
      <c r="N163" s="7">
        <f t="shared" si="38"/>
        <v>16.84999999939464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06:06:42-700',mode:absolute,to:'2016-11-29 08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5.8623000000000003</v>
      </c>
      <c r="Z163" s="67">
        <f t="shared" si="45"/>
        <v>6.8699999999999997E-2</v>
      </c>
      <c r="AA163" s="67">
        <f t="shared" si="46"/>
        <v>5.7936000000000005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47"/>
        <v>0806-29</v>
      </c>
      <c r="AE163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63" s="88" t="str">
        <f t="shared" si="49"/>
        <v>"C:\Program Files (x86)\AstroGrep\AstroGrep.exe" /spath="%USERPROFILE%\AppData\Local\Temp\OnboardLogs" /stypes="app*4012*20161129*" /stext=" 14:.+((SYSTEM_STATE.+slice.+state.+changed )|(ment ac)|(multiple cpu faults)|(system.+state.+changed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806-29 --locoid 4012 --swversion DE.1.0.8.0 --startMP 300:58623 --initTime 2016-11-29T07:06:42 --startdatetime 2016-11-29T07:09:07 --delay 1 --endMP 204:687 --enddatetime 2016-11-29T07:25:58 --enforcementcount 1 &gt;&gt;C:\Users\stu\Documents\GitHub\eaglep3-reporting\EC\2016-11-29-refined-times.txt</v>
      </c>
      <c r="AI163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{"issue":{"subject":"","project_id":79,"tracker_id":40,"status_id":1,"priority_id":2,"assigned_to_id":23,"start_date":"2016-11-29","description":"","custom_fields":[{"id":1,"name":"Subdivision","value":"NW"},{"id":4,"name":"Milepost","value":"0.0687"},{"id":17,"name":"Train ID","value":"806-29"},{"id":16,"name":"Locomotive ID","value":"4012"},{"id":130,"name":"Impact","value":""},{"id":150,"name":"Time of Event (Mountain Time)","value":"07:25:58"},{"id":151,"name":"Denver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536</v>
      </c>
      <c r="B164" s="7">
        <v>4044</v>
      </c>
      <c r="C164" s="22" t="s">
        <v>212</v>
      </c>
      <c r="D164" s="22" t="s">
        <v>845</v>
      </c>
      <c r="E164" s="13">
        <v>42703.302465277775</v>
      </c>
      <c r="F164" s="13">
        <v>42703.306458333333</v>
      </c>
      <c r="G164" s="7">
        <v>1</v>
      </c>
      <c r="H164" s="22" t="s">
        <v>846</v>
      </c>
      <c r="I164" s="13">
        <v>42703.315706018519</v>
      </c>
      <c r="J164" s="7">
        <v>1</v>
      </c>
      <c r="K164" s="109" t="str">
        <f t="shared" si="36"/>
        <v>4043/4044</v>
      </c>
      <c r="L164" s="22" t="str">
        <f>VLOOKUP(A164,'Trips&amp;Operators'!$C$1:$E$10000,3,FALSE)</f>
        <v>LEVIN</v>
      </c>
      <c r="M164" s="6">
        <f t="shared" si="37"/>
        <v>9.2476851859828457E-3</v>
      </c>
      <c r="N164" s="7">
        <f t="shared" si="38"/>
        <v>13.316666667815298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06:15:33-700',mode:absolute,to:'2016-11-29 08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9.8599999999999993E-2</v>
      </c>
      <c r="Z164" s="67">
        <f t="shared" si="45"/>
        <v>5.8929</v>
      </c>
      <c r="AA164" s="67">
        <f t="shared" si="46"/>
        <v>5.7942999999999998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47"/>
        <v>0807-29</v>
      </c>
      <c r="AE164" s="91" t="str">
        <f t="shared" si="48"/>
        <v>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 &amp; 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</v>
      </c>
      <c r="AF164" s="88" t="str">
        <f t="shared" si="49"/>
        <v>"C:\Program Files (x86)\AstroGrep\AstroGrep.exe" /spath="%USERPROFILE%\AppData\Local\Temp\OnboardLogs" /stypes="app*4044*20161129*" /stext=" 14:.+((SYSTEM_STATE.+slice.+state.+changed )|(ment ac)|(multiple cpu faults)|(system.+state.+changed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807-29 --locoid 4044 --swversion DE.1.0.8.0 --startMP 204:986 --initTime 2016-11-29T07:15:33 --startdatetime 2016-11-29T07:21:18 --delay 1 --endMP 300:58929 --enddatetime 2016-11-29T07:34:37 --enforcementcount 1 &gt;&gt;C:\Users\stu\Documents\GitHub\eaglep3-reporting\EC\2016-11-29-refined-times.txt</v>
      </c>
      <c r="AI164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{"issue":{"subject":"","project_id":79,"tracker_id":40,"status_id":1,"priority_id":2,"assigned_to_id":23,"start_date":"2016-11-29","description":"","custom_fields":[{"id":1,"name":"Subdivision","value":"NW"},{"id":4,"name":"Milepost","value":"5.8929"},{"id":17,"name":"Train ID","value":"807-29"},{"id":16,"name":"Locomotive ID","value":"4044"},{"id":130,"name":"Impact","value":""},{"id":150,"name":"Time of Event (Mountain Time)","value":"07:34:37"},{"id":151,"name":"Denver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605</v>
      </c>
      <c r="B165" s="7">
        <v>4043</v>
      </c>
      <c r="C165" s="22" t="s">
        <v>212</v>
      </c>
      <c r="D165" s="22" t="s">
        <v>847</v>
      </c>
      <c r="E165" s="13">
        <v>42703.316828703704</v>
      </c>
      <c r="F165" s="13">
        <v>42703.318368055552</v>
      </c>
      <c r="G165" s="7">
        <v>1</v>
      </c>
      <c r="H165" s="22" t="s">
        <v>405</v>
      </c>
      <c r="I165" s="13">
        <v>42703.331377314818</v>
      </c>
      <c r="J165" s="7">
        <v>1</v>
      </c>
      <c r="K165" s="109" t="str">
        <f t="shared" si="36"/>
        <v>4043/4044</v>
      </c>
      <c r="L165" s="22" t="str">
        <f>VLOOKUP(A165,'Trips&amp;Operators'!$C$1:$E$10000,3,FALSE)</f>
        <v>LEVIN</v>
      </c>
      <c r="M165" s="6">
        <f t="shared" si="37"/>
        <v>1.3009259266254958E-2</v>
      </c>
      <c r="N165" s="7">
        <f t="shared" si="38"/>
        <v>18.733333343407139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06:36:14-700',mode:absolute,to:'2016-11-29 08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5.8616999999999999</v>
      </c>
      <c r="Z165" s="67">
        <f t="shared" si="45"/>
        <v>6.9599999999999995E-2</v>
      </c>
      <c r="AA165" s="67">
        <f t="shared" si="46"/>
        <v>5.7920999999999996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7"/>
        <v>0808-29</v>
      </c>
      <c r="AE165" s="91" t="str">
        <f t="shared" si="48"/>
        <v>aws s3 cp s3://rtdc.mdm.uploadarchive.raw/RTDC4043/ "%USERPROFILE%\AppData\Local\Temp\OnboardLogs"\RTDC4043\2016-11-29 --exclude "*" --recursive --include "*20161129*" &amp; "%USERPROFILE%\Documents\GitHub\mrs-test-scripts\Headless Mode &amp; Sideloading\WalkAndUnGZ.bat" "%USERPROFILE%\AppData\Local\Temp\OnboardLogs"\RTDC4043\2016-11-29 &amp; 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</v>
      </c>
      <c r="AF165" s="88" t="str">
        <f t="shared" si="49"/>
        <v>"C:\Program Files (x86)\AstroGrep\AstroGrep.exe" /spath="%USERPROFILE%\AppData\Local\Temp\OnboardLogs" /stypes="app*4043*20161129*" /stext=" 14:.+((SYSTEM_STATE.+slice.+state.+changed )|(ment ac)|(multiple cpu faults)|(system.+state.+changed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808-29 --locoid 4043 --swversion DE.1.0.8.0 --startMP 300:58617 --initTime 2016-11-29T07:36:14 --startdatetime 2016-11-29T07:38:27 --delay 1 --endMP 204:696 --enddatetime 2016-11-29T07:57:11 --enforcementcount 1 &gt;&gt;C:\Users\stu\Documents\GitHub\eaglep3-reporting\EC\2016-11-29-refined-times.txt</v>
      </c>
      <c r="AI165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{"issue":{"subject":"","project_id":79,"tracker_id":40,"status_id":1,"priority_id":2,"assigned_to_id":23,"start_date":"2016-11-29","description":"","custom_fields":[{"id":1,"name":"Subdivision","value":"NW"},{"id":4,"name":"Milepost","value":"0.0696"},{"id":17,"name":"Train ID","value":"808-29"},{"id":16,"name":"Locomotive ID","value":"4043"},{"id":130,"name":"Impact","value":""},{"id":150,"name":"Time of Event (Mountain Time)","value":"07:57:11"},{"id":151,"name":"Denver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608</v>
      </c>
      <c r="B166" s="7">
        <v>4011</v>
      </c>
      <c r="C166" s="22" t="s">
        <v>212</v>
      </c>
      <c r="D166" s="22" t="s">
        <v>392</v>
      </c>
      <c r="E166" s="13">
        <v>42703.324976851851</v>
      </c>
      <c r="F166" s="13">
        <v>42703.3278587963</v>
      </c>
      <c r="G166" s="7">
        <v>1</v>
      </c>
      <c r="H166" s="22" t="s">
        <v>347</v>
      </c>
      <c r="I166" s="13">
        <v>42703.337361111109</v>
      </c>
      <c r="J166" s="7">
        <v>1</v>
      </c>
      <c r="K166" s="109" t="str">
        <f t="shared" si="36"/>
        <v>4011/4012</v>
      </c>
      <c r="L166" s="22" t="str">
        <f>VLOOKUP(A166,'Trips&amp;Operators'!$C$1:$E$10000,3,FALSE)</f>
        <v>STARKS</v>
      </c>
      <c r="M166" s="6">
        <f t="shared" si="37"/>
        <v>9.5023148096515797E-3</v>
      </c>
      <c r="N166" s="7">
        <f t="shared" si="38"/>
        <v>13.683333325898275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06:47:58-700',mode:absolute,to:'2016-11-29 09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9.8299999999999998E-2</v>
      </c>
      <c r="Z166" s="67">
        <f t="shared" si="45"/>
        <v>5.8949999999999996</v>
      </c>
      <c r="AA166" s="67">
        <f t="shared" si="46"/>
        <v>5.7966999999999995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7"/>
        <v>0809-29</v>
      </c>
      <c r="AE166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66" s="88" t="str">
        <f t="shared" si="49"/>
        <v>"C:\Program Files (x86)\AstroGrep\AstroGrep.exe" /spath="%USERPROFILE%\AppData\Local\Temp\OnboardLogs" /stypes="app*4011*20161129*" /stext=" 15:.+((SYSTEM_STATE.+slice.+state.+changed )|(ment ac)|(multiple cpu faults)|(system.+state.+changed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809-29 --locoid 4011 --swversion DE.1.0.8.0 --startMP 204:983 --initTime 2016-11-29T07:47:58 --startdatetime 2016-11-29T07:52:07 --delay 1 --endMP 300:58950 --enddatetime 2016-11-29T08:05:48 --enforcementcount 1 &gt;&gt;C:\Users\stu\Documents\GitHub\eaglep3-reporting\EC\2016-11-29-refined-times.txt</v>
      </c>
      <c r="AI166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{"issue":{"subject":"","project_id":79,"tracker_id":40,"status_id":1,"priority_id":2,"assigned_to_id":23,"start_date":"2016-11-29","description":"","custom_fields":[{"id":1,"name":"Subdivision","value":"NW"},{"id":4,"name":"Milepost","value":"5.895"},{"id":17,"name":"Train ID","value":"809-29"},{"id":16,"name":"Locomotive ID","value":"4011"},{"id":130,"name":"Impact","value":""},{"id":150,"name":"Time of Event (Mountain Time)","value":"08:05:48"},{"id":151,"name":"Denver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539</v>
      </c>
      <c r="B167" s="7">
        <v>4012</v>
      </c>
      <c r="C167" s="22" t="s">
        <v>212</v>
      </c>
      <c r="D167" s="22" t="s">
        <v>345</v>
      </c>
      <c r="E167" s="13">
        <v>42703.338530092595</v>
      </c>
      <c r="F167" s="13">
        <v>42703.340138888889</v>
      </c>
      <c r="G167" s="7">
        <v>1</v>
      </c>
      <c r="H167" s="22" t="s">
        <v>848</v>
      </c>
      <c r="I167" s="13">
        <v>42703.351724537039</v>
      </c>
      <c r="J167" s="7">
        <v>1</v>
      </c>
      <c r="K167" s="109" t="str">
        <f t="shared" si="36"/>
        <v>4011/4012</v>
      </c>
      <c r="L167" s="22" t="str">
        <f>VLOOKUP(A167,'Trips&amp;Operators'!$C$1:$E$10000,3,FALSE)</f>
        <v>STARKS</v>
      </c>
      <c r="M167" s="6">
        <f t="shared" si="37"/>
        <v>1.1585648149775807E-2</v>
      </c>
      <c r="N167" s="7">
        <f t="shared" si="38"/>
        <v>16.683333335677162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07:07:29-700',mode:absolute,to:'2016-11-29 09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5.8625999999999996</v>
      </c>
      <c r="Z167" s="67">
        <f t="shared" si="45"/>
        <v>7.3400000000000007E-2</v>
      </c>
      <c r="AA167" s="67">
        <f t="shared" si="46"/>
        <v>5.7891999999999992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47"/>
        <v>0810-29</v>
      </c>
      <c r="AE167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67" s="88" t="str">
        <f t="shared" si="49"/>
        <v>"C:\Program Files (x86)\AstroGrep\AstroGrep.exe" /spath="%USERPROFILE%\AppData\Local\Temp\OnboardLogs" /stypes="app*4012*20161129*" /stext=" 15:.+((SYSTEM_STATE.+slice.+state.+changed )|(ment ac)|(multiple cpu faults)|(system.+state.+changed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810-29 --locoid 4012 --swversion DE.1.0.8.0 --startMP 300:58626 --initTime 2016-11-29T08:07:29 --startdatetime 2016-11-29T08:09:48 --delay 1 --endMP 204:734 --enddatetime 2016-11-29T08:26:29 --enforcementcount 1 &gt;&gt;C:\Users\stu\Documents\GitHub\eaglep3-reporting\EC\2016-11-29-refined-times.txt</v>
      </c>
      <c r="AI167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{"issue":{"subject":"","project_id":79,"tracker_id":40,"status_id":1,"priority_id":2,"assigned_to_id":23,"start_date":"2016-11-29","description":"","custom_fields":[{"id":1,"name":"Subdivision","value":"NW"},{"id":4,"name":"Milepost","value":"0.0734"},{"id":17,"name":"Train ID","value":"810-29"},{"id":16,"name":"Locomotive ID","value":"4012"},{"id":130,"name":"Impact","value":""},{"id":150,"name":"Time of Event (Mountain Time)","value":"08:26:29"},{"id":151,"name":"Denver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613</v>
      </c>
      <c r="B168" s="7">
        <v>4044</v>
      </c>
      <c r="C168" s="22" t="s">
        <v>212</v>
      </c>
      <c r="D168" s="22" t="s">
        <v>849</v>
      </c>
      <c r="E168" s="13">
        <v>42703.346898148149</v>
      </c>
      <c r="F168" s="13">
        <v>42703.348310185182</v>
      </c>
      <c r="G168" s="7">
        <v>1</v>
      </c>
      <c r="H168" s="22" t="s">
        <v>397</v>
      </c>
      <c r="I168" s="13">
        <v>42703.35732638889</v>
      </c>
      <c r="J168" s="7">
        <v>1</v>
      </c>
      <c r="K168" s="109" t="str">
        <f t="shared" si="36"/>
        <v>4043/4044</v>
      </c>
      <c r="L168" s="22" t="str">
        <f>VLOOKUP(A168,'Trips&amp;Operators'!$C$1:$E$10000,3,FALSE)</f>
        <v>LEVIN</v>
      </c>
      <c r="M168" s="6">
        <f t="shared" si="37"/>
        <v>9.0162037085974589E-3</v>
      </c>
      <c r="N168" s="7">
        <f t="shared" si="38"/>
        <v>12.983333340380341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07:19:32-700',mode:absolute,to:'2016-11-29 09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9.8100000000000007E-2</v>
      </c>
      <c r="Z168" s="67">
        <f t="shared" si="45"/>
        <v>5.8924000000000003</v>
      </c>
      <c r="AA168" s="67">
        <f t="shared" si="46"/>
        <v>5.7943000000000007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7"/>
        <v>0811-29</v>
      </c>
      <c r="AE168" s="91" t="str">
        <f t="shared" si="48"/>
        <v>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 &amp; 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</v>
      </c>
      <c r="AF168" s="88" t="str">
        <f t="shared" si="49"/>
        <v>"C:\Program Files (x86)\AstroGrep\AstroGrep.exe" /spath="%USERPROFILE%\AppData\Local\Temp\OnboardLogs" /stypes="app*4044*20161129*" /stext=" 15:.+((SYSTEM_STATE.+slice.+state.+changed )|(ment ac)|(multiple cpu faults)|(system.+state.+changed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811-29 --locoid 4044 --swversion DE.1.0.8.0 --startMP 204:981 --initTime 2016-11-29T08:19:32 --startdatetime 2016-11-29T08:21:34 --delay 1 --endMP 300:58924 --enddatetime 2016-11-29T08:34:33 --enforcementcount 1 &gt;&gt;C:\Users\stu\Documents\GitHub\eaglep3-reporting\EC\2016-11-29-refined-times.txt</v>
      </c>
      <c r="AI168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{"issue":{"subject":"","project_id":79,"tracker_id":40,"status_id":1,"priority_id":2,"assigned_to_id":23,"start_date":"2016-11-29","description":"","custom_fields":[{"id":1,"name":"Subdivision","value":"NW"},{"id":4,"name":"Milepost","value":"5.8924"},{"id":17,"name":"Train ID","value":"811-29"},{"id":16,"name":"Locomotive ID","value":"4044"},{"id":130,"name":"Impact","value":""},{"id":150,"name":"Time of Event (Mountain Time)","value":"08:34:33"},{"id":151,"name":"Denver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615</v>
      </c>
      <c r="B169" s="7">
        <v>4043</v>
      </c>
      <c r="C169" s="22" t="s">
        <v>212</v>
      </c>
      <c r="D169" s="22" t="s">
        <v>398</v>
      </c>
      <c r="E169" s="13">
        <v>42703.358217592591</v>
      </c>
      <c r="F169" s="13">
        <v>42703.359895833331</v>
      </c>
      <c r="G169" s="7">
        <v>1</v>
      </c>
      <c r="H169" s="22" t="s">
        <v>850</v>
      </c>
      <c r="I169" s="13">
        <v>42703.371689814812</v>
      </c>
      <c r="J169" s="7">
        <v>1</v>
      </c>
      <c r="K169" s="109" t="str">
        <f t="shared" si="36"/>
        <v>4043/4044</v>
      </c>
      <c r="L169" s="22" t="str">
        <f>VLOOKUP(A169,'Trips&amp;Operators'!$C$1:$E$10000,3,FALSE)</f>
        <v>LEVIN</v>
      </c>
      <c r="M169" s="6">
        <f t="shared" si="37"/>
        <v>1.1793981480877846E-2</v>
      </c>
      <c r="N169" s="7">
        <f t="shared" si="38"/>
        <v>16.983333332464099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07:35:50-700',mode:absolute,to:'2016-11-29 09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5.8605999999999998</v>
      </c>
      <c r="Z169" s="67">
        <f t="shared" si="45"/>
        <v>1.29E-2</v>
      </c>
      <c r="AA169" s="67">
        <f t="shared" si="46"/>
        <v>5.8476999999999997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7"/>
        <v>0812-29</v>
      </c>
      <c r="AE169" s="91" t="str">
        <f t="shared" si="48"/>
        <v>aws s3 cp s3://rtdc.mdm.uploadarchive.raw/RTDC4043/ "%USERPROFILE%\AppData\Local\Temp\OnboardLogs"\RTDC4043\2016-11-29 --exclude "*" --recursive --include "*20161129*" &amp; "%USERPROFILE%\Documents\GitHub\mrs-test-scripts\Headless Mode &amp; Sideloading\WalkAndUnGZ.bat" "%USERPROFILE%\AppData\Local\Temp\OnboardLogs"\RTDC4043\2016-11-29 &amp; 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</v>
      </c>
      <c r="AF169" s="88" t="str">
        <f t="shared" si="49"/>
        <v>"C:\Program Files (x86)\AstroGrep\AstroGrep.exe" /spath="%USERPROFILE%\AppData\Local\Temp\OnboardLogs" /stypes="app*4043*20161129*" /stext=" 15:.+((SYSTEM_STATE.+slice.+state.+changed )|(ment ac)|(multiple cpu faults)|(system.+state.+changed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812-29 --locoid 4043 --swversion DE.1.0.8.0 --startMP 300:58606 --initTime 2016-11-29T08:35:50 --startdatetime 2016-11-29T08:38:15 --delay 1 --endMP 204:129 --enddatetime 2016-11-29T08:55:14 --enforcementcount 1 &gt;&gt;C:\Users\stu\Documents\GitHub\eaglep3-reporting\EC\2016-11-29-refined-times.txt</v>
      </c>
      <c r="AI169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{"issue":{"subject":"","project_id":79,"tracker_id":40,"status_id":1,"priority_id":2,"assigned_to_id":23,"start_date":"2016-11-29","description":"","custom_fields":[{"id":1,"name":"Subdivision","value":"NW"},{"id":4,"name":"Milepost","value":"0.0129"},{"id":17,"name":"Train ID","value":"812-29"},{"id":16,"name":"Locomotive ID","value":"4043"},{"id":130,"name":"Impact","value":""},{"id":150,"name":"Time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621</v>
      </c>
      <c r="B170" s="7">
        <v>4011</v>
      </c>
      <c r="C170" s="22" t="s">
        <v>212</v>
      </c>
      <c r="D170" s="22" t="s">
        <v>851</v>
      </c>
      <c r="E170" s="13">
        <v>42703.387361111112</v>
      </c>
      <c r="F170" s="13">
        <v>42703.389803240738</v>
      </c>
      <c r="G170" s="7">
        <v>1</v>
      </c>
      <c r="H170" s="22" t="s">
        <v>401</v>
      </c>
      <c r="I170" s="13">
        <v>42703.398865740739</v>
      </c>
      <c r="J170" s="7">
        <v>1</v>
      </c>
      <c r="K170" s="109" t="str">
        <f t="shared" si="36"/>
        <v>4011/4012</v>
      </c>
      <c r="L170" s="22" t="str">
        <f>VLOOKUP(A170,'Trips&amp;Operators'!$C$1:$E$10000,3,FALSE)</f>
        <v>LEVIN</v>
      </c>
      <c r="M170" s="6">
        <f t="shared" si="37"/>
        <v>9.0625000011641532E-3</v>
      </c>
      <c r="N170" s="7">
        <f t="shared" si="38"/>
        <v>13.050000001676381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08:17:48-700',mode:absolute,to:'2016-11-29 10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0.10299999999999999</v>
      </c>
      <c r="Z170" s="67">
        <f t="shared" si="45"/>
        <v>5.8925999999999998</v>
      </c>
      <c r="AA170" s="67">
        <f t="shared" si="46"/>
        <v>5.7896000000000001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7"/>
        <v>0813-29</v>
      </c>
      <c r="AE170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70" s="88" t="str">
        <f t="shared" si="49"/>
        <v>"C:\Program Files (x86)\AstroGrep\AstroGrep.exe" /spath="%USERPROFILE%\AppData\Local\Temp\OnboardLogs" /stypes="app*4011*20161129*" /stext=" 16:.+((SYSTEM_STATE.+slice.+state.+changed )|(ment ac)|(multiple cpu faults)|(system.+state.+changed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813-29 --locoid 4011 --swversion DE.1.0.8.0 --startMP 204:1030 --initTime 2016-11-29T09:17:48 --startdatetime 2016-11-29T09:21:19 --delay 1 --endMP 300:58926 --enddatetime 2016-11-29T09:34:22 --enforcementcount 1 &gt;&gt;C:\Users\stu\Documents\GitHub\eaglep3-reporting\EC\2016-11-29-refined-times.txt</v>
      </c>
      <c r="AI170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{"issue":{"subject":"","project_id":79,"tracker_id":40,"status_id":1,"priority_id":2,"assigned_to_id":23,"start_date":"2016-11-29","description":"","custom_fields":[{"id":1,"name":"Subdivision","value":"NW"},{"id":4,"name":"Milepost","value":"5.8926"},{"id":17,"name":"Train ID","value":"813-29"},{"id":16,"name":"Locomotive ID","value":"4011"},{"id":130,"name":"Impact","value":""},{"id":150,"name":"Time of Event (Mountain Time)","value":"09:34:22"},{"id":151,"name":"Denver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624</v>
      </c>
      <c r="B171" s="7">
        <v>4012</v>
      </c>
      <c r="C171" s="22" t="s">
        <v>212</v>
      </c>
      <c r="D171" s="22" t="s">
        <v>847</v>
      </c>
      <c r="E171" s="13">
        <v>42703.40011574074</v>
      </c>
      <c r="F171" s="13">
        <v>42703.401875000003</v>
      </c>
      <c r="G171" s="7">
        <v>1</v>
      </c>
      <c r="H171" s="22" t="s">
        <v>852</v>
      </c>
      <c r="I171" s="13">
        <v>42703.413240740738</v>
      </c>
      <c r="J171" s="7">
        <v>1</v>
      </c>
      <c r="K171" s="109" t="str">
        <f t="shared" si="36"/>
        <v>4011/4012</v>
      </c>
      <c r="L171" s="22" t="str">
        <f>VLOOKUP(A171,'Trips&amp;Operators'!$C$1:$E$10000,3,FALSE)</f>
        <v>LEVIN</v>
      </c>
      <c r="M171" s="6">
        <f t="shared" si="37"/>
        <v>1.1365740734618157E-2</v>
      </c>
      <c r="N171" s="7">
        <f t="shared" si="38"/>
        <v>16.366666657850146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08:36:10-700',mode:absolute,to:'2016-11-29 10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5.8616999999999999</v>
      </c>
      <c r="Z171" s="67">
        <f t="shared" si="45"/>
        <v>6.9400000000000003E-2</v>
      </c>
      <c r="AA171" s="67">
        <f t="shared" si="46"/>
        <v>5.7923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7"/>
        <v>0814-29</v>
      </c>
      <c r="AE171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71" s="88" t="str">
        <f t="shared" si="49"/>
        <v>"C:\Program Files (x86)\AstroGrep\AstroGrep.exe" /spath="%USERPROFILE%\AppData\Local\Temp\OnboardLogs" /stypes="app*4012*20161129*" /stext=" 16:.+((SYSTEM_STATE.+slice.+state.+changed )|(ment ac)|(multiple cpu faults)|(system.+state.+changed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814-29 --locoid 4012 --swversion DE.1.0.8.0 --startMP 300:58617 --initTime 2016-11-29T09:36:10 --startdatetime 2016-11-29T09:38:42 --delay 1 --endMP 204:694 --enddatetime 2016-11-29T09:55:04 --enforcementcount 1 &gt;&gt;C:\Users\stu\Documents\GitHub\eaglep3-reporting\EC\2016-11-29-refined-times.txt</v>
      </c>
      <c r="AI171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{"issue":{"subject":"","project_id":79,"tracker_id":40,"status_id":1,"priority_id":2,"assigned_to_id":23,"start_date":"2016-11-29","description":"","custom_fields":[{"id":1,"name":"Subdivision","value":"NW"},{"id":4,"name":"Milepost","value":"0.0694"},{"id":17,"name":"Train ID","value":"814-29"},{"id":16,"name":"Locomotive ID","value":"4012"},{"id":130,"name":"Impact","value":""},{"id":150,"name":"Time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630</v>
      </c>
      <c r="B172" s="7">
        <v>4011</v>
      </c>
      <c r="C172" s="22" t="s">
        <v>212</v>
      </c>
      <c r="D172" s="22" t="s">
        <v>393</v>
      </c>
      <c r="E172" s="13">
        <v>42703.428263888891</v>
      </c>
      <c r="F172" s="13">
        <v>42703.431435185186</v>
      </c>
      <c r="G172" s="7">
        <v>1</v>
      </c>
      <c r="H172" s="22" t="s">
        <v>853</v>
      </c>
      <c r="I172" s="13">
        <v>42703.440648148149</v>
      </c>
      <c r="J172" s="7">
        <v>1</v>
      </c>
      <c r="K172" s="109" t="str">
        <f t="shared" si="36"/>
        <v>4011/4012</v>
      </c>
      <c r="L172" s="22" t="str">
        <f>VLOOKUP(A172,'Trips&amp;Operators'!$C$1:$E$10000,3,FALSE)</f>
        <v>LEVIN</v>
      </c>
      <c r="M172" s="6">
        <f t="shared" si="37"/>
        <v>9.2129629629198462E-3</v>
      </c>
      <c r="N172" s="7">
        <f t="shared" si="38"/>
        <v>13.266666666604578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09:16:42-700',mode:absolute,to:'2016-11-29 11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9.7900000000000001E-2</v>
      </c>
      <c r="Z172" s="67">
        <f t="shared" si="45"/>
        <v>5.8916000000000004</v>
      </c>
      <c r="AA172" s="67">
        <f t="shared" si="46"/>
        <v>5.7937000000000003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7"/>
        <v>0815-29</v>
      </c>
      <c r="AE172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72" s="88" t="str">
        <f t="shared" si="49"/>
        <v>"C:\Program Files (x86)\AstroGrep\AstroGrep.exe" /spath="%USERPROFILE%\AppData\Local\Temp\OnboardLogs" /stypes="app*4011*20161129*" /stext=" 17:.+((SYSTEM_STATE.+slice.+state.+changed )|(ment ac)|(multiple cpu faults)|(system.+state.+changed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815-29 --locoid 4011 --swversion DE.1.0.8.0 --startMP 204:979 --initTime 2016-11-29T10:16:42 --startdatetime 2016-11-29T10:21:16 --delay 1 --endMP 300:58916 --enddatetime 2016-11-29T10:34:32 --enforcementcount 1 &gt;&gt;C:\Users\stu\Documents\GitHub\eaglep3-reporting\EC\2016-11-29-refined-times.txt</v>
      </c>
      <c r="AI172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{"issue":{"subject":"","project_id":79,"tracker_id":40,"status_id":1,"priority_id":2,"assigned_to_id":23,"start_date":"2016-11-29","description":"","custom_fields":[{"id":1,"name":"Subdivision","value":"NW"},{"id":4,"name":"Milepost","value":"5.8916"},{"id":17,"name":"Train ID","value":"815-29"},{"id":16,"name":"Locomotive ID","value":"4011"},{"id":130,"name":"Impact","value":""},{"id":150,"name":"Time of Event (Mountain Time)","value":"10:34:32"},{"id":151,"name":"Denver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545</v>
      </c>
      <c r="B173" s="7">
        <v>4012</v>
      </c>
      <c r="C173" s="22" t="s">
        <v>212</v>
      </c>
      <c r="D173" s="22" t="s">
        <v>854</v>
      </c>
      <c r="E173" s="13">
        <v>42703.441562499997</v>
      </c>
      <c r="F173" s="13">
        <v>42703.442789351851</v>
      </c>
      <c r="G173" s="7">
        <v>1</v>
      </c>
      <c r="H173" s="22" t="s">
        <v>855</v>
      </c>
      <c r="I173" s="13">
        <v>42703.454652777778</v>
      </c>
      <c r="J173" s="7">
        <v>1</v>
      </c>
      <c r="K173" s="109" t="str">
        <f t="shared" si="36"/>
        <v>4011/4012</v>
      </c>
      <c r="L173" s="22" t="str">
        <f>VLOOKUP(A173,'Trips&amp;Operators'!$C$1:$E$10000,3,FALSE)</f>
        <v>LEVIN</v>
      </c>
      <c r="M173" s="6">
        <f t="shared" si="37"/>
        <v>1.1863425927003846E-2</v>
      </c>
      <c r="N173" s="7">
        <f t="shared" si="38"/>
        <v>17.083333334885538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09:35:51-700',mode:absolute,to:'2016-11-29 11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5.8608000000000002</v>
      </c>
      <c r="Z173" s="67">
        <f t="shared" si="45"/>
        <v>6.7100000000000007E-2</v>
      </c>
      <c r="AA173" s="67">
        <f t="shared" si="46"/>
        <v>5.7937000000000003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7"/>
        <v>0816-29</v>
      </c>
      <c r="AE173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73" s="88" t="str">
        <f t="shared" si="49"/>
        <v>"C:\Program Files (x86)\AstroGrep\AstroGrep.exe" /spath="%USERPROFILE%\AppData\Local\Temp\OnboardLogs" /stypes="app*4012*20161129*" /stext=" 17:.+((SYSTEM_STATE.+slice.+state.+changed )|(ment ac)|(multiple cpu faults)|(system.+state.+changed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816-29 --locoid 4012 --swversion DE.1.0.8.0 --startMP 300:58608 --initTime 2016-11-29T10:35:51 --startdatetime 2016-11-29T10:37:37 --delay 1 --endMP 204:671 --enddatetime 2016-11-29T10:54:42 --enforcementcount 1 &gt;&gt;C:\Users\stu\Documents\GitHub\eaglep3-reporting\EC\2016-11-29-refined-times.txt</v>
      </c>
      <c r="AI173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{"issue":{"subject":"","project_id":79,"tracker_id":40,"status_id":1,"priority_id":2,"assigned_to_id":23,"start_date":"2016-11-29","description":"","custom_fields":[{"id":1,"name":"Subdivision","value":"NW"},{"id":4,"name":"Milepost","value":"0.0671"},{"id":17,"name":"Train ID","value":"816-29"},{"id":16,"name":"Locomotive ID","value":"4012"},{"id":130,"name":"Impact","value":""},{"id":150,"name":"Time of Event (Mountain Time)","value":"10:54:42"},{"id":151,"name":"Denver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550</v>
      </c>
      <c r="B174" s="7">
        <v>4011</v>
      </c>
      <c r="C174" s="22" t="s">
        <v>212</v>
      </c>
      <c r="D174" s="22" t="s">
        <v>412</v>
      </c>
      <c r="E174" s="13">
        <v>42703.47146990741</v>
      </c>
      <c r="F174" s="13">
        <v>42703.473113425927</v>
      </c>
      <c r="G174" s="7">
        <v>1</v>
      </c>
      <c r="H174" s="22" t="s">
        <v>285</v>
      </c>
      <c r="I174" s="13">
        <v>42703.482835648145</v>
      </c>
      <c r="J174" s="7">
        <v>1</v>
      </c>
      <c r="K174" s="109" t="str">
        <f t="shared" si="36"/>
        <v>4011/4012</v>
      </c>
      <c r="L174" s="22" t="str">
        <f>VLOOKUP(A174,'Trips&amp;Operators'!$C$1:$E$10000,3,FALSE)</f>
        <v>LEVIN</v>
      </c>
      <c r="M174" s="6">
        <f t="shared" si="37"/>
        <v>9.7222222175332718E-3</v>
      </c>
      <c r="N174" s="7">
        <f t="shared" si="38"/>
        <v>13.999999993247911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10:18:55-700',mode:absolute,to:'2016-11-29 12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9.5500000000000002E-2</v>
      </c>
      <c r="Z174" s="67">
        <f t="shared" si="45"/>
        <v>5.8921999999999999</v>
      </c>
      <c r="AA174" s="67">
        <f t="shared" si="46"/>
        <v>5.7966999999999995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7"/>
        <v>0817-29</v>
      </c>
      <c r="AE174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74" s="88" t="str">
        <f t="shared" si="49"/>
        <v>"C:\Program Files (x86)\AstroGrep\AstroGrep.exe" /spath="%USERPROFILE%\AppData\Local\Temp\OnboardLogs" /stypes="app*4011*20161129*" /stext=" 18:.+((SYSTEM_STATE.+slice.+state.+changed )|(ment ac)|(multiple cpu faults)|(system.+state.+changed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817-29 --locoid 4011 --swversion DE.1.0.8.0 --startMP 204:955 --initTime 2016-11-29T11:18:55 --startdatetime 2016-11-29T11:21:17 --delay 1 --endMP 300:58922 --enddatetime 2016-11-29T11:35:17 --enforcementcount 1 &gt;&gt;C:\Users\stu\Documents\GitHub\eaglep3-reporting\EC\2016-11-29-refined-times.txt</v>
      </c>
      <c r="AI174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{"issue":{"subject":"","project_id":79,"tracker_id":40,"status_id":1,"priority_id":2,"assigned_to_id":23,"start_date":"2016-11-29","description":"","custom_fields":[{"id":1,"name":"Subdivision","value":"NW"},{"id":4,"name":"Milepost","value":"5.8922"},{"id":17,"name":"Train ID","value":"817-29"},{"id":16,"name":"Locomotive ID","value":"4011"},{"id":130,"name":"Impact","value":""},{"id":150,"name":"Time of Event (Mountain Time)","value":"11:35:17"},{"id":151,"name":"Denver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638</v>
      </c>
      <c r="B175" s="7">
        <v>4012</v>
      </c>
      <c r="C175" s="22" t="s">
        <v>212</v>
      </c>
      <c r="D175" s="22" t="s">
        <v>854</v>
      </c>
      <c r="E175" s="13">
        <v>42703.483877314815</v>
      </c>
      <c r="F175" s="13">
        <v>42703.485092592593</v>
      </c>
      <c r="G175" s="7">
        <v>1</v>
      </c>
      <c r="H175" s="22" t="s">
        <v>322</v>
      </c>
      <c r="I175" s="13">
        <v>42703.497789351852</v>
      </c>
      <c r="J175" s="7">
        <v>1</v>
      </c>
      <c r="K175" s="109" t="str">
        <f t="shared" si="36"/>
        <v>4011/4012</v>
      </c>
      <c r="L175" s="22" t="str">
        <f>VLOOKUP(A175,'Trips&amp;Operators'!$C$1:$E$10000,3,FALSE)</f>
        <v>LEVIN</v>
      </c>
      <c r="M175" s="6">
        <f t="shared" si="37"/>
        <v>1.2696759258687962E-2</v>
      </c>
      <c r="N175" s="7">
        <f t="shared" si="38"/>
        <v>18.283333332510665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10:36:47-700',mode:absolute,to:'2016-11-29 12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5.8608000000000002</v>
      </c>
      <c r="Z175" s="67">
        <f t="shared" si="45"/>
        <v>7.17E-2</v>
      </c>
      <c r="AA175" s="67">
        <f t="shared" si="46"/>
        <v>5.7891000000000004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7"/>
        <v>0818-29</v>
      </c>
      <c r="AE175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75" s="88" t="str">
        <f t="shared" si="49"/>
        <v>"C:\Program Files (x86)\AstroGrep\AstroGrep.exe" /spath="%USERPROFILE%\AppData\Local\Temp\OnboardLogs" /stypes="app*4012*20161129*" /stext=" 18:.+((SYSTEM_STATE.+slice.+state.+changed )|(ment ac)|(multiple cpu faults)|(system.+state.+changed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818-29 --locoid 4012 --swversion DE.1.0.8.0 --startMP 300:58608 --initTime 2016-11-29T11:36:47 --startdatetime 2016-11-29T11:38:32 --delay 1 --endMP 204:717 --enddatetime 2016-11-29T11:56:49 --enforcementcount 1 &gt;&gt;C:\Users\stu\Documents\GitHub\eaglep3-reporting\EC\2016-11-29-refined-times.txt</v>
      </c>
      <c r="AI175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{"issue":{"subject":"","project_id":79,"tracker_id":40,"status_id":1,"priority_id":2,"assigned_to_id":23,"start_date":"2016-11-29","description":"","custom_fields":[{"id":1,"name":"Subdivision","value":"NW"},{"id":4,"name":"Milepost","value":"0.0717"},{"id":17,"name":"Train ID","value":"818-29"},{"id":16,"name":"Locomotive ID","value":"4012"},{"id":130,"name":"Impact","value":""},{"id":150,"name":"Time of Event (Mountain Time)","value":"11:56:49"},{"id":151,"name":"Denver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555</v>
      </c>
      <c r="B176" s="7">
        <v>4011</v>
      </c>
      <c r="C176" s="22" t="s">
        <v>212</v>
      </c>
      <c r="D176" s="22" t="s">
        <v>856</v>
      </c>
      <c r="E176" s="13">
        <v>42703.509583333333</v>
      </c>
      <c r="F176" s="13">
        <v>42703.514756944445</v>
      </c>
      <c r="G176" s="7">
        <v>1</v>
      </c>
      <c r="H176" s="22" t="s">
        <v>401</v>
      </c>
      <c r="I176" s="13">
        <v>42703.523645833331</v>
      </c>
      <c r="J176" s="7">
        <v>1</v>
      </c>
      <c r="K176" s="109" t="str">
        <f t="shared" si="36"/>
        <v>4011/4012</v>
      </c>
      <c r="L176" s="22" t="str">
        <f>VLOOKUP(A176,'Trips&amp;Operators'!$C$1:$E$10000,3,FALSE)</f>
        <v>LEVIN</v>
      </c>
      <c r="M176" s="6">
        <f t="shared" si="37"/>
        <v>8.8888888858491555E-3</v>
      </c>
      <c r="N176" s="7">
        <f t="shared" si="38"/>
        <v>12.799999995622784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11:13:48-700',mode:absolute,to:'2016-11-29 13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0.10199999999999999</v>
      </c>
      <c r="Z176" s="67">
        <f t="shared" si="45"/>
        <v>5.8925999999999998</v>
      </c>
      <c r="AA176" s="67">
        <f t="shared" si="46"/>
        <v>5.7905999999999995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7"/>
        <v>0819-29</v>
      </c>
      <c r="AE176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76" s="88" t="str">
        <f t="shared" si="49"/>
        <v>"C:\Program Files (x86)\AstroGrep\AstroGrep.exe" /spath="%USERPROFILE%\AppData\Local\Temp\OnboardLogs" /stypes="app*4011*20161129*" /stext=" 19:.+((SYSTEM_STATE.+slice.+state.+changed )|(ment ac)|(multiple cpu faults)|(system.+state.+changed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819-29 --locoid 4011 --swversion DE.1.0.8.0 --startMP 204:1020 --initTime 2016-11-29T12:13:48 --startdatetime 2016-11-29T12:21:15 --delay 1 --endMP 300:58926 --enddatetime 2016-11-29T12:34:03 --enforcementcount 1 &gt;&gt;C:\Users\stu\Documents\GitHub\eaglep3-reporting\EC\2016-11-29-refined-times.txt</v>
      </c>
      <c r="AI176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{"issue":{"subject":"","project_id":79,"tracker_id":40,"status_id":1,"priority_id":2,"assigned_to_id":23,"start_date":"2016-11-29","description":"","custom_fields":[{"id":1,"name":"Subdivision","value":"NW"},{"id":4,"name":"Milepost","value":"5.8926"},{"id":17,"name":"Train ID","value":"819-29"},{"id":16,"name":"Locomotive ID","value":"4011"},{"id":130,"name":"Impact","value":""},{"id":150,"name":"Time of Event (Mountain Time)","value":"12:34:03"},{"id":151,"name":"Denver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648</v>
      </c>
      <c r="B177" s="7">
        <v>4012</v>
      </c>
      <c r="C177" s="22" t="s">
        <v>212</v>
      </c>
      <c r="D177" s="22" t="s">
        <v>284</v>
      </c>
      <c r="E177" s="13">
        <v>42703.525138888886</v>
      </c>
      <c r="F177" s="13">
        <v>42703.526655092595</v>
      </c>
      <c r="G177" s="7">
        <v>0</v>
      </c>
      <c r="H177" s="22" t="s">
        <v>857</v>
      </c>
      <c r="I177" s="13">
        <v>42703.537893518522</v>
      </c>
      <c r="J177" s="7">
        <v>1</v>
      </c>
      <c r="K177" s="109" t="str">
        <f t="shared" si="36"/>
        <v>4011/4012</v>
      </c>
      <c r="L177" s="22" t="str">
        <f>VLOOKUP(A177,'Trips&amp;Operators'!$C$1:$E$10000,3,FALSE)</f>
        <v>LEVIN</v>
      </c>
      <c r="M177" s="6">
        <f t="shared" si="37"/>
        <v>1.1238425926421769E-2</v>
      </c>
      <c r="N177" s="7">
        <f t="shared" si="38"/>
        <v>16.183333334047347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11:36:12-700',mode:absolute,to:'2016-11-29 13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5.8611000000000004</v>
      </c>
      <c r="Z177" s="67">
        <f t="shared" si="45"/>
        <v>7.1999999999999995E-2</v>
      </c>
      <c r="AA177" s="67">
        <f t="shared" si="46"/>
        <v>5.7891000000000004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7"/>
        <v>0820-29</v>
      </c>
      <c r="AE177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77" s="88" t="str">
        <f t="shared" si="49"/>
        <v>"C:\Program Files (x86)\AstroGrep\AstroGrep.exe" /spath="%USERPROFILE%\AppData\Local\Temp\OnboardLogs" /stypes="app*4012*20161129*" /stext=" 19:.+((SYSTEM_STATE.+slice.+state.+changed )|(ment ac)|(multiple cpu faults)|(system.+state.+changed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820-29 --locoid 4012 --swversion DE.1.0.8.0 --startMP 300:58611 --initTime 2016-11-29T12:36:12 --startdatetime 2016-11-29T12:38:23 --delay 0 --endMP 204:720 --enddatetime 2016-11-29T12:54:34 --enforcementcount 1 &gt;&gt;C:\Users\stu\Documents\GitHub\eaglep3-reporting\EC\2016-11-29-refined-times.txt</v>
      </c>
      <c r="AI177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{"issue":{"subject":"","project_id":79,"tracker_id":40,"status_id":1,"priority_id":2,"assigned_to_id":23,"start_date":"2016-11-29","description":"","custom_fields":[{"id":1,"name":"Subdivision","value":"NW"},{"id":4,"name":"Milepost","value":"0.072"},{"id":17,"name":"Train ID","value":"820-29"},{"id":16,"name":"Locomotive ID","value":"4012"},{"id":130,"name":"Impact","value":""},{"id":150,"name":"Time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652</v>
      </c>
      <c r="B178" s="7">
        <v>4011</v>
      </c>
      <c r="C178" s="22" t="s">
        <v>212</v>
      </c>
      <c r="D178" s="22" t="s">
        <v>858</v>
      </c>
      <c r="E178" s="13">
        <v>42703.547835648147</v>
      </c>
      <c r="F178" s="13">
        <v>42703.556527777779</v>
      </c>
      <c r="G178" s="7">
        <v>1</v>
      </c>
      <c r="H178" s="22" t="s">
        <v>401</v>
      </c>
      <c r="I178" s="13">
        <v>42703.565879629627</v>
      </c>
      <c r="J178" s="7">
        <v>1</v>
      </c>
      <c r="K178" s="109" t="str">
        <f t="shared" si="36"/>
        <v>4011/4012</v>
      </c>
      <c r="L178" s="22" t="str">
        <f>VLOOKUP(A178,'Trips&amp;Operators'!$C$1:$E$10000,3,FALSE)</f>
        <v>DAVIS</v>
      </c>
      <c r="M178" s="6">
        <f t="shared" si="37"/>
        <v>9.3518518478958867E-3</v>
      </c>
      <c r="N178" s="7">
        <f t="shared" si="38"/>
        <v>13.466666660970077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12:08:53-700',mode:absolute,to:'2016-11-29 14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</v>
      </c>
      <c r="Z178" s="67">
        <f t="shared" si="45"/>
        <v>5.8925999999999998</v>
      </c>
      <c r="AA178" s="67">
        <f t="shared" si="46"/>
        <v>5.7926000000000002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7"/>
        <v>0821-29</v>
      </c>
      <c r="AE178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78" s="88" t="str">
        <f t="shared" si="49"/>
        <v>"C:\Program Files (x86)\AstroGrep\AstroGrep.exe" /spath="%USERPROFILE%\AppData\Local\Temp\OnboardLogs" /stypes="app*4011*20161129*" /stext=" 20:.+((SYSTEM_STATE.+slice.+state.+changed )|(ment ac)|(multiple cpu faults)|(system.+state.+changed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821-29 --locoid 4011 --swversion DE.1.0.8.0 --startMP 204:1000 --initTime 2016-11-29T13:08:53 --startdatetime 2016-11-29T13:21:24 --delay 1 --endMP 300:58926 --enddatetime 2016-11-29T13:34:52 --enforcementcount 1 &gt;&gt;C:\Users\stu\Documents\GitHub\eaglep3-reporting\EC\2016-11-29-refined-times.txt</v>
      </c>
      <c r="AI178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{"issue":{"subject":"","project_id":79,"tracker_id":40,"status_id":1,"priority_id":2,"assigned_to_id":23,"start_date":"2016-11-29","description":"","custom_fields":[{"id":1,"name":"Subdivision","value":"NW"},{"id":4,"name":"Milepost","value":"5.8926"},{"id":17,"name":"Train ID","value":"821-29"},{"id":16,"name":"Locomotive ID","value":"4011"},{"id":130,"name":"Impact","value":""},{"id":150,"name":"Time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657</v>
      </c>
      <c r="B179" s="7">
        <v>4012</v>
      </c>
      <c r="C179" s="22" t="s">
        <v>212</v>
      </c>
      <c r="D179" s="22" t="s">
        <v>859</v>
      </c>
      <c r="E179" s="13">
        <v>42703.567164351851</v>
      </c>
      <c r="F179" s="13">
        <v>42703.569571759261</v>
      </c>
      <c r="G179" s="7">
        <v>2</v>
      </c>
      <c r="H179" s="22" t="s">
        <v>407</v>
      </c>
      <c r="I179" s="13">
        <v>42703.579745370371</v>
      </c>
      <c r="J179" s="7">
        <v>1</v>
      </c>
      <c r="K179" s="109" t="str">
        <f t="shared" si="36"/>
        <v>4011/4012</v>
      </c>
      <c r="L179" s="22" t="str">
        <f>VLOOKUP(A179,'Trips&amp;Operators'!$C$1:$E$10000,3,FALSE)</f>
        <v>DAVIS</v>
      </c>
      <c r="M179" s="6">
        <f t="shared" si="37"/>
        <v>1.0173611110076308E-2</v>
      </c>
      <c r="N179" s="7">
        <f t="shared" si="38"/>
        <v>14.649999998509884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12:36:43-700',mode:absolute,to:'2016-11-29 14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5.8619000000000003</v>
      </c>
      <c r="Z179" s="67">
        <f t="shared" si="45"/>
        <v>6.8900000000000003E-2</v>
      </c>
      <c r="AA179" s="67">
        <f t="shared" si="46"/>
        <v>5.7930000000000001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7"/>
        <v>0822-29</v>
      </c>
      <c r="AE179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79" s="88" t="str">
        <f t="shared" si="49"/>
        <v>"C:\Program Files (x86)\AstroGrep\AstroGrep.exe" /spath="%USERPROFILE%\AppData\Local\Temp\OnboardLogs" /stypes="app*4012*20161129*" /stext=" 20:.+((SYSTEM_STATE.+slice.+state.+changed )|(ment ac)|(multiple cpu faults)|(system.+state.+changed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822-29 --locoid 4012 --swversion DE.1.0.8.0 --startMP 300:58619 --initTime 2016-11-29T13:36:43 --startdatetime 2016-11-29T13:40:11 --delay 2 --endMP 204:689 --enddatetime 2016-11-29T13:54:50 --enforcementcount 1 &gt;&gt;C:\Users\stu\Documents\GitHub\eaglep3-reporting\EC\2016-11-29-refined-times.txt</v>
      </c>
      <c r="AI179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{"issue":{"subject":"","project_id":79,"tracker_id":40,"status_id":1,"priority_id":2,"assigned_to_id":23,"start_date":"2016-11-29","description":"","custom_fields":[{"id":1,"name":"Subdivision","value":"NW"},{"id":4,"name":"Milepost","value":"0.0689"},{"id":17,"name":"Train ID","value":"822-29"},{"id":16,"name":"Locomotive ID","value":"4012"},{"id":130,"name":"Impact","value":""},{"id":150,"name":"Time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663</v>
      </c>
      <c r="B180" s="7">
        <v>4011</v>
      </c>
      <c r="C180" s="22" t="s">
        <v>212</v>
      </c>
      <c r="D180" s="22" t="s">
        <v>313</v>
      </c>
      <c r="E180" s="13">
        <v>42703.594386574077</v>
      </c>
      <c r="F180" s="13">
        <v>42703.598217592589</v>
      </c>
      <c r="G180" s="7">
        <v>1</v>
      </c>
      <c r="H180" s="22" t="s">
        <v>860</v>
      </c>
      <c r="I180" s="13">
        <v>42703.608865740738</v>
      </c>
      <c r="J180" s="7">
        <v>1</v>
      </c>
      <c r="K180" s="109" t="str">
        <f t="shared" si="36"/>
        <v>4011/4012</v>
      </c>
      <c r="L180" s="22" t="str">
        <f>VLOOKUP(A180,'Trips&amp;Operators'!$C$1:$E$10000,3,FALSE)</f>
        <v>DAVIS</v>
      </c>
      <c r="M180" s="6">
        <f t="shared" si="37"/>
        <v>1.0648148148902692E-2</v>
      </c>
      <c r="N180" s="7">
        <f t="shared" si="38"/>
        <v>15.333333334419876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13:15:55-700',mode:absolute,to:'2016-11-29 15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9.6500000000000002E-2</v>
      </c>
      <c r="Z180" s="67">
        <f t="shared" si="45"/>
        <v>5.8930999999999996</v>
      </c>
      <c r="AA180" s="67">
        <f t="shared" si="46"/>
        <v>5.7965999999999998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7"/>
        <v>0823-29</v>
      </c>
      <c r="AE180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80" s="88" t="str">
        <f t="shared" si="49"/>
        <v>"C:\Program Files (x86)\AstroGrep\AstroGrep.exe" /spath="%USERPROFILE%\AppData\Local\Temp\OnboardLogs" /stypes="app*4011*20161129*" /stext=" 21:.+((SYSTEM_STATE.+slice.+state.+changed )|(ment ac)|(multiple cpu faults)|(system.+state.+changed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823-29 --locoid 4011 --swversion DE.1.0.8.0 --startMP 204:965 --initTime 2016-11-29T14:15:55 --startdatetime 2016-11-29T14:21:26 --delay 1 --endMP 300:58931 --enddatetime 2016-11-29T14:36:46 --enforcementcount 1 &gt;&gt;C:\Users\stu\Documents\GitHub\eaglep3-reporting\EC\2016-11-29-refined-times.txt</v>
      </c>
      <c r="AI180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{"issue":{"subject":"","project_id":79,"tracker_id":40,"status_id":1,"priority_id":2,"assigned_to_id":23,"start_date":"2016-11-29","description":"","custom_fields":[{"id":1,"name":"Subdivision","value":"NW"},{"id":4,"name":"Milepost","value":"5.8931"},{"id":17,"name":"Train ID","value":"823-29"},{"id":16,"name":"Locomotive ID","value":"4011"},{"id":130,"name":"Impact","value":""},{"id":150,"name":"Time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667</v>
      </c>
      <c r="B181" s="7">
        <v>4012</v>
      </c>
      <c r="C181" s="22" t="s">
        <v>212</v>
      </c>
      <c r="D181" s="22" t="s">
        <v>861</v>
      </c>
      <c r="E181" s="13">
        <v>42703.610034722224</v>
      </c>
      <c r="F181" s="13">
        <v>42703.611851851849</v>
      </c>
      <c r="G181" s="7">
        <v>1</v>
      </c>
      <c r="H181" s="22" t="s">
        <v>862</v>
      </c>
      <c r="I181" s="13">
        <v>42703.622800925928</v>
      </c>
      <c r="J181" s="7">
        <v>1</v>
      </c>
      <c r="K181" s="109" t="str">
        <f t="shared" si="36"/>
        <v>4011/4012</v>
      </c>
      <c r="L181" s="22" t="str">
        <f>VLOOKUP(A181,'Trips&amp;Operators'!$C$1:$E$10000,3,FALSE)</f>
        <v>DAVIS</v>
      </c>
      <c r="M181" s="6">
        <f t="shared" si="37"/>
        <v>1.0949074079690035E-2</v>
      </c>
      <c r="N181" s="7">
        <f t="shared" si="38"/>
        <v>15.766666674753651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13:38:27-700',mode:absolute,to:'2016-11-29 15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5.8613</v>
      </c>
      <c r="Z181" s="67">
        <f t="shared" si="45"/>
        <v>6.6600000000000006E-2</v>
      </c>
      <c r="AA181" s="67">
        <f t="shared" si="46"/>
        <v>5.7946999999999997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7"/>
        <v>0824-29</v>
      </c>
      <c r="AE181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81" s="88" t="str">
        <f t="shared" si="49"/>
        <v>"C:\Program Files (x86)\AstroGrep\AstroGrep.exe" /spath="%USERPROFILE%\AppData\Local\Temp\OnboardLogs" /stypes="app*4012*20161129*" /stext=" 21:.+((SYSTEM_STATE.+slice.+state.+changed )|(ment ac)|(multiple cpu faults)|(system.+state.+changed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824-29 --locoid 4012 --swversion DE.1.0.8.0 --startMP 300:58613 --initTime 2016-11-29T14:38:27 --startdatetime 2016-11-29T14:41:04 --delay 1 --endMP 204:666 --enddatetime 2016-11-29T14:56:50 --enforcementcount 1 &gt;&gt;C:\Users\stu\Documents\GitHub\eaglep3-reporting\EC\2016-11-29-refined-times.txt</v>
      </c>
      <c r="AI181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{"issue":{"subject":"","project_id":79,"tracker_id":40,"status_id":1,"priority_id":2,"assigned_to_id":23,"start_date":"2016-11-29","description":"","custom_fields":[{"id":1,"name":"Subdivision","value":"NW"},{"id":4,"name":"Milepost","value":"0.0666"},{"id":17,"name":"Train ID","value":"824-29"},{"id":16,"name":"Locomotive ID","value":"4012"},{"id":130,"name":"Impact","value":""},{"id":150,"name":"Time of Event (Mountain Time)","value":"14:56:50"},{"id":151,"name":"Denver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559</v>
      </c>
      <c r="B182" s="7">
        <v>4011</v>
      </c>
      <c r="C182" s="22" t="s">
        <v>212</v>
      </c>
      <c r="D182" s="22" t="s">
        <v>394</v>
      </c>
      <c r="E182" s="13">
        <v>42703.634976851848</v>
      </c>
      <c r="F182" s="13">
        <v>42703.639791666668</v>
      </c>
      <c r="G182" s="7">
        <v>1</v>
      </c>
      <c r="H182" s="22" t="s">
        <v>863</v>
      </c>
      <c r="I182" s="13">
        <v>42703.650902777779</v>
      </c>
      <c r="J182" s="7">
        <v>1</v>
      </c>
      <c r="K182" s="109" t="str">
        <f t="shared" si="36"/>
        <v>4011/4012</v>
      </c>
      <c r="L182" s="22" t="str">
        <f>VLOOKUP(A182,'Trips&amp;Operators'!$C$1:$E$10000,3,FALSE)</f>
        <v>DAVIS</v>
      </c>
      <c r="M182" s="6">
        <f t="shared" si="37"/>
        <v>1.1111111110949423E-2</v>
      </c>
      <c r="N182" s="7">
        <f t="shared" si="38"/>
        <v>15.999999999767169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14:14:22-700',mode:absolute,to:'2016-11-29 16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9.7799999999999998E-2</v>
      </c>
      <c r="Z182" s="67">
        <f t="shared" si="45"/>
        <v>5.8933</v>
      </c>
      <c r="AA182" s="67">
        <f t="shared" si="46"/>
        <v>5.7954999999999997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7"/>
        <v>0825-29</v>
      </c>
      <c r="AE182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82" s="88" t="str">
        <f t="shared" si="49"/>
        <v>"C:\Program Files (x86)\AstroGrep\AstroGrep.exe" /spath="%USERPROFILE%\AppData\Local\Temp\OnboardLogs" /stypes="app*4011*20161129*" /stext=" 22:.+((SYSTEM_STATE.+slice.+state.+changed )|(ment ac)|(multiple cpu faults)|(system.+state.+changed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825-29 --locoid 4011 --swversion DE.1.0.8.0 --startMP 204:978 --initTime 2016-11-29T15:14:22 --startdatetime 2016-11-29T15:21:18 --delay 1 --endMP 300:58933 --enddatetime 2016-11-29T15:37:18 --enforcementcount 1 &gt;&gt;C:\Users\stu\Documents\GitHub\eaglep3-reporting\EC\2016-11-29-refined-times.txt</v>
      </c>
      <c r="AI182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{"issue":{"subject":"","project_id":79,"tracker_id":40,"status_id":1,"priority_id":2,"assigned_to_id":23,"start_date":"2016-11-29","description":"","custom_fields":[{"id":1,"name":"Subdivision","value":"NW"},{"id":4,"name":"Milepost","value":"5.8933"},{"id":17,"name":"Train ID","value":"825-29"},{"id":16,"name":"Locomotive ID","value":"4011"},{"id":130,"name":"Impact","value":""},{"id":150,"name":"Time of Event (Mountain Time)","value":"15:37:18"},{"id":151,"name":"Denver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677</v>
      </c>
      <c r="B183" s="7">
        <v>4012</v>
      </c>
      <c r="C183" s="22" t="s">
        <v>212</v>
      </c>
      <c r="D183" s="22" t="s">
        <v>861</v>
      </c>
      <c r="E183" s="13">
        <v>42703.652002314811</v>
      </c>
      <c r="F183" s="13">
        <v>42703.653564814813</v>
      </c>
      <c r="G183" s="7">
        <v>1</v>
      </c>
      <c r="H183" s="22" t="s">
        <v>409</v>
      </c>
      <c r="I183" s="13">
        <v>42703.664004629631</v>
      </c>
      <c r="J183" s="7">
        <v>1</v>
      </c>
      <c r="K183" s="109" t="str">
        <f t="shared" si="36"/>
        <v>4011/4012</v>
      </c>
      <c r="L183" s="22" t="str">
        <f>VLOOKUP(A183,'Trips&amp;Operators'!$C$1:$E$10000,3,FALSE)</f>
        <v>DAVIS</v>
      </c>
      <c r="M183" s="6">
        <f t="shared" si="37"/>
        <v>1.0439814817800652E-2</v>
      </c>
      <c r="N183" s="7">
        <f t="shared" si="38"/>
        <v>15.033333337632939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14:38:53-700',mode:absolute,to:'2016-11-29 16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5.8613</v>
      </c>
      <c r="Z183" s="67">
        <f t="shared" si="45"/>
        <v>6.7799999999999999E-2</v>
      </c>
      <c r="AA183" s="67">
        <f t="shared" si="46"/>
        <v>5.7934999999999999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7"/>
        <v>0826-29</v>
      </c>
      <c r="AE183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83" s="88" t="str">
        <f t="shared" si="49"/>
        <v>"C:\Program Files (x86)\AstroGrep\AstroGrep.exe" /spath="%USERPROFILE%\AppData\Local\Temp\OnboardLogs" /stypes="app*4012*20161129*" /stext=" 22:.+((SYSTEM_STATE.+slice.+state.+changed )|(ment ac)|(multiple cpu faults)|(system.+state.+changed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826-29 --locoid 4012 --swversion DE.1.0.8.0 --startMP 300:58613 --initTime 2016-11-29T15:38:53 --startdatetime 2016-11-29T15:41:08 --delay 1 --endMP 204:678 --enddatetime 2016-11-29T15:56:10 --enforcementcount 1 &gt;&gt;C:\Users\stu\Documents\GitHub\eaglep3-reporting\EC\2016-11-29-refined-times.txt</v>
      </c>
      <c r="AI183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{"issue":{"subject":"","project_id":79,"tracker_id":40,"status_id":1,"priority_id":2,"assigned_to_id":23,"start_date":"2016-11-29","description":"","custom_fields":[{"id":1,"name":"Subdivision","value":"NW"},{"id":4,"name":"Milepost","value":"0.0678"},{"id":17,"name":"Train ID","value":"826-29"},{"id":16,"name":"Locomotive ID","value":"4012"},{"id":130,"name":"Impact","value":""},{"id":150,"name":"Time of Event (Mountain Time)","value":"15:56:10"},{"id":151,"name":"Denver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678</v>
      </c>
      <c r="B184" s="7">
        <v>4042</v>
      </c>
      <c r="C184" s="22" t="s">
        <v>212</v>
      </c>
      <c r="D184" s="22" t="s">
        <v>845</v>
      </c>
      <c r="E184" s="13">
        <v>42703.653668981482</v>
      </c>
      <c r="F184" s="13">
        <v>42703.660879629628</v>
      </c>
      <c r="G184" s="7">
        <v>1</v>
      </c>
      <c r="H184" s="22" t="s">
        <v>846</v>
      </c>
      <c r="I184" s="13">
        <v>42703.670289351852</v>
      </c>
      <c r="J184" s="7">
        <v>1</v>
      </c>
      <c r="K184" s="109" t="str">
        <f t="shared" si="36"/>
        <v>4041/4042</v>
      </c>
      <c r="L184" s="22" t="str">
        <f>VLOOKUP(A184,'Trips&amp;Operators'!$C$1:$E$10000,3,FALSE)</f>
        <v>STAMBAUGH</v>
      </c>
      <c r="M184" s="6">
        <f t="shared" si="37"/>
        <v>9.4097222245181911E-3</v>
      </c>
      <c r="N184" s="7">
        <f t="shared" si="38"/>
        <v>13.550000003306195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14:41:17-700',mode:absolute,to:'2016-11-29 17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9.8599999999999993E-2</v>
      </c>
      <c r="Z184" s="67">
        <f t="shared" si="45"/>
        <v>5.8929</v>
      </c>
      <c r="AA184" s="67">
        <f t="shared" si="46"/>
        <v>5.7942999999999998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7"/>
        <v>0827-29</v>
      </c>
      <c r="AE184" s="91" t="str">
        <f t="shared" si="48"/>
        <v>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 &amp; 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</v>
      </c>
      <c r="AF184" s="88" t="str">
        <f t="shared" si="49"/>
        <v>"C:\Program Files (x86)\AstroGrep\AstroGrep.exe" /spath="%USERPROFILE%\AppData\Local\Temp\OnboardLogs" /stypes="app*4042*20161129*" /stext=" 23:.+((SYSTEM_STATE.+slice.+state.+changed )|(ment ac)|(multiple cpu faults)|(system.+state.+changed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827-29 --locoid 4042 --swversion DE.1.0.8.0 --startMP 204:986 --initTime 2016-11-29T15:41:17 --startdatetime 2016-11-29T15:51:40 --delay 1 --endMP 300:58929 --enddatetime 2016-11-29T16:05:13 --enforcementcount 1 &gt;&gt;C:\Users\stu\Documents\GitHub\eaglep3-reporting\EC\2016-11-29-refined-times.txt</v>
      </c>
      <c r="AI184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{"issue":{"subject":"","project_id":79,"tracker_id":40,"status_id":1,"priority_id":2,"assigned_to_id":23,"start_date":"2016-11-29","description":"","custom_fields":[{"id":1,"name":"Subdivision","value":"NW"},{"id":4,"name":"Milepost","value":"5.8929"},{"id":17,"name":"Train ID","value":"827-29"},{"id":16,"name":"Locomotive ID","value":"4042"},{"id":130,"name":"Impact","value":""},{"id":150,"name":"Time of Event (Mountain Time)","value":"16:05:13"},{"id":151,"name":"Denver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560</v>
      </c>
      <c r="B185" s="7">
        <v>4041</v>
      </c>
      <c r="C185" s="22" t="s">
        <v>212</v>
      </c>
      <c r="D185" s="22" t="s">
        <v>864</v>
      </c>
      <c r="E185" s="13">
        <v>42703.6715625</v>
      </c>
      <c r="F185" s="13">
        <v>42703.673946759256</v>
      </c>
      <c r="G185" s="7">
        <v>1</v>
      </c>
      <c r="H185" s="22" t="s">
        <v>852</v>
      </c>
      <c r="I185" s="13">
        <v>42703.684988425928</v>
      </c>
      <c r="J185" s="7">
        <v>1</v>
      </c>
      <c r="K185" s="109" t="str">
        <f t="shared" si="36"/>
        <v>4041/4042</v>
      </c>
      <c r="L185" s="22" t="str">
        <f>VLOOKUP(A185,'Trips&amp;Operators'!$C$1:$E$10000,3,FALSE)</f>
        <v>STAMBAUGH</v>
      </c>
      <c r="M185" s="6">
        <f t="shared" si="37"/>
        <v>1.1041666672099382E-2</v>
      </c>
      <c r="N185" s="7">
        <f t="shared" si="38"/>
        <v>15.90000000782311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15:07:03-700',mode:absolute,to:'2016-11-29 17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5.8597999999999999</v>
      </c>
      <c r="Z185" s="67">
        <f t="shared" si="45"/>
        <v>6.9400000000000003E-2</v>
      </c>
      <c r="AA185" s="67">
        <f t="shared" si="46"/>
        <v>5.7904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7"/>
        <v>0828-29</v>
      </c>
      <c r="AE185" s="91" t="str">
        <f t="shared" si="48"/>
        <v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v>
      </c>
      <c r="AF185" s="88" t="str">
        <f t="shared" si="49"/>
        <v>"C:\Program Files (x86)\AstroGrep\AstroGrep.exe" /spath="%USERPROFILE%\AppData\Local\Temp\OnboardLogs" /stypes="app*4041*20161129*" /stext=" 23:.+((SYSTEM_STATE.+slice.+state.+changed )|(ment ac)|(multiple cpu faults)|(system.+state.+changed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828-29 --locoid 4041 --swversion DE.1.0.8.0 --startMP 300:58598 --initTime 2016-11-29T16:07:03 --startdatetime 2016-11-29T16:10:29 --delay 1 --endMP 204:694 --enddatetime 2016-11-29T16:26:23 --enforcementcount 1 &gt;&gt;C:\Users\stu\Documents\GitHub\eaglep3-reporting\EC\2016-11-29-refined-times.txt</v>
      </c>
      <c r="AI185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{"issue":{"subject":"","project_id":79,"tracker_id":40,"status_id":1,"priority_id":2,"assigned_to_id":23,"start_date":"2016-11-29","description":"","custom_fields":[{"id":1,"name":"Subdivision","value":"NW"},{"id":4,"name":"Milepost","value":"0.0694"},{"id":17,"name":"Train ID","value":"828-29"},{"id":16,"name":"Locomotive ID","value":"4041"},{"id":130,"name":"Impact","value":""},{"id":150,"name":"Time of Event (Mountain Time)","value":"16:26:23"},{"id":151,"name":"Denver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683</v>
      </c>
      <c r="B186" s="7">
        <v>4011</v>
      </c>
      <c r="C186" s="22" t="s">
        <v>212</v>
      </c>
      <c r="D186" s="22" t="s">
        <v>403</v>
      </c>
      <c r="E186" s="13">
        <v>42703.677986111114</v>
      </c>
      <c r="F186" s="13">
        <v>42703.681481481479</v>
      </c>
      <c r="G186" s="7">
        <v>1</v>
      </c>
      <c r="H186" s="22" t="s">
        <v>408</v>
      </c>
      <c r="I186" s="13">
        <v>42703.691620370373</v>
      </c>
      <c r="J186" s="7">
        <v>1</v>
      </c>
      <c r="K186" s="109" t="str">
        <f t="shared" si="36"/>
        <v>4011/4012</v>
      </c>
      <c r="L186" s="22" t="str">
        <f>VLOOKUP(A186,'Trips&amp;Operators'!$C$1:$E$10000,3,FALSE)</f>
        <v>DAVIS</v>
      </c>
      <c r="M186" s="6">
        <f t="shared" si="37"/>
        <v>1.0138888894289266E-2</v>
      </c>
      <c r="N186" s="7">
        <f t="shared" si="38"/>
        <v>14.600000007776543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15:16:18-700',mode:absolute,to:'2016-11-29 17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9.69E-2</v>
      </c>
      <c r="Z186" s="67">
        <f t="shared" si="45"/>
        <v>5.8940999999999999</v>
      </c>
      <c r="AA186" s="67">
        <f t="shared" si="46"/>
        <v>5.7972000000000001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7"/>
        <v>0829-29</v>
      </c>
      <c r="AE186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86" s="88" t="str">
        <f t="shared" si="49"/>
        <v>"C:\Program Files (x86)\AstroGrep\AstroGrep.exe" /spath="%USERPROFILE%\AppData\Local\Temp\OnboardLogs" /stypes="app*4011*20161129*" /stext=" 23:.+((SYSTEM_STATE.+slice.+state.+changed )|(ment ac)|(multiple cpu faults)|(system.+state.+changed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829-29 --locoid 4011 --swversion DE.1.0.8.0 --startMP 204:969 --initTime 2016-11-29T16:16:18 --startdatetime 2016-11-29T16:21:20 --delay 1 --endMP 300:58941 --enddatetime 2016-11-29T16:35:56 --enforcementcount 1 &gt;&gt;C:\Users\stu\Documents\GitHub\eaglep3-reporting\EC\2016-11-29-refined-times.txt</v>
      </c>
      <c r="AI186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{"issue":{"subject":"","project_id":79,"tracker_id":40,"status_id":1,"priority_id":2,"assigned_to_id":23,"start_date":"2016-11-29","description":"","custom_fields":[{"id":1,"name":"Subdivision","value":"NW"},{"id":4,"name":"Milepost","value":"5.8941"},{"id":17,"name":"Train ID","value":"829-29"},{"id":16,"name":"Locomotive ID","value":"4011"},{"id":130,"name":"Impact","value":""},{"id":150,"name":"Time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687</v>
      </c>
      <c r="B187" s="7">
        <v>4012</v>
      </c>
      <c r="C187" s="22" t="s">
        <v>212</v>
      </c>
      <c r="D187" s="22" t="s">
        <v>865</v>
      </c>
      <c r="E187" s="13">
        <v>42703.692800925928</v>
      </c>
      <c r="F187" s="13">
        <v>42703.694988425923</v>
      </c>
      <c r="G187" s="7">
        <v>1</v>
      </c>
      <c r="H187" s="22" t="s">
        <v>866</v>
      </c>
      <c r="I187" s="13">
        <v>42703.705868055556</v>
      </c>
      <c r="J187" s="7">
        <v>1</v>
      </c>
      <c r="K187" s="109" t="str">
        <f t="shared" si="36"/>
        <v>4011/4012</v>
      </c>
      <c r="L187" s="22" t="str">
        <f>VLOOKUP(A187,'Trips&amp;Operators'!$C$1:$E$10000,3,FALSE)</f>
        <v>DAVIS</v>
      </c>
      <c r="M187" s="6">
        <f t="shared" si="37"/>
        <v>1.0879629633564036E-2</v>
      </c>
      <c r="N187" s="7">
        <f t="shared" si="38"/>
        <v>15.666666672332212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15:37:38-700',mode:absolute,to:'2016-11-29 17:56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5.8620999999999999</v>
      </c>
      <c r="Z187" s="67">
        <f t="shared" si="45"/>
        <v>6.7699999999999996E-2</v>
      </c>
      <c r="AA187" s="67">
        <f t="shared" si="46"/>
        <v>5.7943999999999996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7"/>
        <v>0830-29</v>
      </c>
      <c r="AE187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87" s="88" t="str">
        <f t="shared" si="49"/>
        <v>"C:\Program Files (x86)\AstroGrep\AstroGrep.exe" /spath="%USERPROFILE%\AppData\Local\Temp\OnboardLogs" /stypes="app*4012*20161129*" /stext=" 23:.+((SYSTEM_STATE.+slice.+state.+changed )|(ment ac)|(multiple cpu faults)|(system.+state.+changed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830-29 --locoid 4012 --swversion DE.1.0.8.0 --startMP 300:58621 --initTime 2016-11-29T16:37:38 --startdatetime 2016-11-29T16:40:47 --delay 1 --endMP 204:677 --enddatetime 2016-11-29T16:56:27 --enforcementcount 1 &gt;&gt;C:\Users\stu\Documents\GitHub\eaglep3-reporting\EC\2016-11-29-refined-times.txt</v>
      </c>
      <c r="AI187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{"issue":{"subject":"","project_id":79,"tracker_id":40,"status_id":1,"priority_id":2,"assigned_to_id":23,"start_date":"2016-11-29","description":"","custom_fields":[{"id":1,"name":"Subdivision","value":"NW"},{"id":4,"name":"Milepost","value":"0.0677"},{"id":17,"name":"Train ID","value":"830-29"},{"id":16,"name":"Locomotive ID","value":"4012"},{"id":130,"name":"Impact","value":""},{"id":150,"name":"Time of Event (Mountain Time)","value":"16:56:27"},{"id":151,"name":"Denver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689</v>
      </c>
      <c r="B188" s="7">
        <v>4042</v>
      </c>
      <c r="C188" s="22" t="s">
        <v>212</v>
      </c>
      <c r="D188" s="22" t="s">
        <v>393</v>
      </c>
      <c r="E188" s="13">
        <v>42703.696030092593</v>
      </c>
      <c r="F188" s="13">
        <v>42703.702534722222</v>
      </c>
      <c r="G188" s="7">
        <v>1</v>
      </c>
      <c r="H188" s="22" t="s">
        <v>867</v>
      </c>
      <c r="I188" s="13">
        <v>42703.712071759262</v>
      </c>
      <c r="J188" s="7">
        <v>1</v>
      </c>
      <c r="K188" s="109" t="str">
        <f t="shared" si="36"/>
        <v>4041/4042</v>
      </c>
      <c r="L188" s="22" t="str">
        <f>VLOOKUP(A188,'Trips&amp;Operators'!$C$1:$E$10000,3,FALSE)</f>
        <v>STAMBAUGH</v>
      </c>
      <c r="M188" s="6">
        <f t="shared" si="37"/>
        <v>9.5370370399905369E-3</v>
      </c>
      <c r="N188" s="7">
        <f t="shared" si="38"/>
        <v>13.733333337586373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15:42:17-700',mode:absolute,to:'2016-11-29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9.7900000000000001E-2</v>
      </c>
      <c r="Z188" s="67">
        <f t="shared" si="45"/>
        <v>5.8912000000000004</v>
      </c>
      <c r="AA188" s="67">
        <f t="shared" si="46"/>
        <v>5.7933000000000003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7"/>
        <v>0831-29</v>
      </c>
      <c r="AE188" s="91" t="str">
        <f t="shared" si="48"/>
        <v>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 &amp; 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</v>
      </c>
      <c r="AF188" s="88" t="str">
        <f t="shared" si="49"/>
        <v>"C:\Program Files (x86)\AstroGrep\AstroGrep.exe" /spath="%USERPROFILE%\AppData\Local\Temp\OnboardLogs" /stypes="app*4042*20161130*" /stext=" 00:.+((SYSTEM_STATE.+slice.+state.+changed )|(ment ac)|(multiple cpu faults)|(system.+state.+changed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831-29 --locoid 4042 --swversion DE.1.0.8.0 --startMP 204:979 --initTime 2016-11-29T16:42:17 --startdatetime 2016-11-29T16:51:39 --delay 1 --endMP 300:58912 --enddatetime 2016-11-29T17:05:23 --enforcementcount 1 &gt;&gt;C:\Users\stu\Documents\GitHub\eaglep3-reporting\EC\2016-11-29-refined-times.txt</v>
      </c>
      <c r="AI188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{"issue":{"subject":"","project_id":79,"tracker_id":40,"status_id":1,"priority_id":2,"assigned_to_id":23,"start_date":"2016-11-29","description":"","custom_fields":[{"id":1,"name":"Subdivision","value":"NW"},{"id":4,"name":"Milepost","value":"5.8912"},{"id":17,"name":"Train ID","value":"831-29"},{"id":16,"name":"Locomotive ID","value":"4042"},{"id":130,"name":"Impact","value":""},{"id":150,"name":"Time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694</v>
      </c>
      <c r="B189" s="7">
        <v>4041</v>
      </c>
      <c r="C189" s="22" t="s">
        <v>212</v>
      </c>
      <c r="D189" s="22" t="s">
        <v>868</v>
      </c>
      <c r="E189" s="13">
        <v>42703.713240740741</v>
      </c>
      <c r="F189" s="13">
        <v>42703.715092592596</v>
      </c>
      <c r="G189" s="7">
        <v>1</v>
      </c>
      <c r="H189" s="22" t="s">
        <v>399</v>
      </c>
      <c r="I189" s="13">
        <v>42703.726226851853</v>
      </c>
      <c r="J189" s="7">
        <v>1</v>
      </c>
      <c r="K189" s="109" t="str">
        <f t="shared" si="36"/>
        <v>4041/4042</v>
      </c>
      <c r="L189" s="22" t="str">
        <f>VLOOKUP(A189,'Trips&amp;Operators'!$C$1:$E$10000,3,FALSE)</f>
        <v>STAMBAUGH</v>
      </c>
      <c r="M189" s="6">
        <f t="shared" si="37"/>
        <v>1.113425925723277E-2</v>
      </c>
      <c r="N189" s="7">
        <f t="shared" si="38"/>
        <v>16.033333330415189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16:07:04-700',mode:absolute,to:'2016-11-29 18:25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5.8590999999999998</v>
      </c>
      <c r="Z189" s="67">
        <f t="shared" si="45"/>
        <v>6.9099999999999995E-2</v>
      </c>
      <c r="AA189" s="67">
        <f t="shared" si="46"/>
        <v>5.79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7"/>
        <v>0832-29</v>
      </c>
      <c r="AE189" s="91" t="str">
        <f t="shared" si="48"/>
        <v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v>
      </c>
      <c r="AF189" s="88" t="str">
        <f t="shared" si="49"/>
        <v>"C:\Program Files (x86)\AstroGrep\AstroGrep.exe" /spath="%USERPROFILE%\AppData\Local\Temp\OnboardLogs" /stypes="app*4041*20161130*" /stext=" 00:.+((SYSTEM_STATE.+slice.+state.+changed )|(ment ac)|(multiple cpu faults)|(system.+state.+changed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832-29 --locoid 4041 --swversion DE.1.0.8.0 --startMP 300:58591 --initTime 2016-11-29T17:07:04 --startdatetime 2016-11-29T17:09:44 --delay 1 --endMP 204:691 --enddatetime 2016-11-29T17:25:46 --enforcementcount 1 &gt;&gt;C:\Users\stu\Documents\GitHub\eaglep3-reporting\EC\2016-11-29-refined-times.txt</v>
      </c>
      <c r="AI189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{"issue":{"subject":"","project_id":79,"tracker_id":40,"status_id":1,"priority_id":2,"assigned_to_id":23,"start_date":"2016-11-29","description":"","custom_fields":[{"id":1,"name":"Subdivision","value":"NW"},{"id":4,"name":"Milepost","value":"0.0691"},{"id":17,"name":"Train ID","value":"832-29"},{"id":16,"name":"Locomotive ID","value":"4041"},{"id":130,"name":"Impact","value":""},{"id":150,"name":"Time of Event (Mountain Time)","value":"17:25:46"},{"id":151,"name":"Denver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561</v>
      </c>
      <c r="B190" s="7">
        <v>4011</v>
      </c>
      <c r="C190" s="22" t="s">
        <v>212</v>
      </c>
      <c r="D190" s="22" t="s">
        <v>410</v>
      </c>
      <c r="E190" s="13">
        <v>42703.709907407407</v>
      </c>
      <c r="F190" s="13">
        <v>42703.723391203705</v>
      </c>
      <c r="G190" s="7">
        <v>1</v>
      </c>
      <c r="H190" s="22" t="s">
        <v>408</v>
      </c>
      <c r="I190" s="13">
        <v>42703.733680555553</v>
      </c>
      <c r="J190" s="7">
        <v>1</v>
      </c>
      <c r="K190" s="109" t="str">
        <f t="shared" si="36"/>
        <v>4011/4012</v>
      </c>
      <c r="L190" s="22" t="str">
        <f>VLOOKUP(A190,'Trips&amp;Operators'!$C$1:$E$10000,3,FALSE)</f>
        <v>DAVIS</v>
      </c>
      <c r="M190" s="6">
        <f t="shared" si="37"/>
        <v>1.0289351848769002E-2</v>
      </c>
      <c r="N190" s="7">
        <f t="shared" si="38"/>
        <v>14.816666662227362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16:02:16-700',mode:absolute,to:'2016-11-29 18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9.6699999999999994E-2</v>
      </c>
      <c r="Z190" s="67">
        <f t="shared" si="45"/>
        <v>5.8940999999999999</v>
      </c>
      <c r="AA190" s="67">
        <f t="shared" si="46"/>
        <v>5.7973999999999997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7"/>
        <v>0833-29</v>
      </c>
      <c r="AE190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90" s="88" t="str">
        <f t="shared" si="49"/>
        <v>"C:\Program Files (x86)\AstroGrep\AstroGrep.exe" /spath="%USERPROFILE%\AppData\Local\Temp\OnboardLogs" /stypes="app*4011*20161130*" /stext=" 00:.+((SYSTEM_STATE.+slice.+state.+changed )|(ment ac)|(multiple cpu faults)|(system.+state.+changed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833-29 --locoid 4011 --swversion DE.1.0.8.0 --startMP 204:967 --initTime 2016-11-29T17:02:16 --startdatetime 2016-11-29T17:21:41 --delay 1 --endMP 300:58941 --enddatetime 2016-11-29T17:36:30 --enforcementcount 1 &gt;&gt;C:\Users\stu\Documents\GitHub\eaglep3-reporting\EC\2016-11-29-refined-times.txt</v>
      </c>
      <c r="AI190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{"issue":{"subject":"","project_id":79,"tracker_id":40,"status_id":1,"priority_id":2,"assigned_to_id":23,"start_date":"2016-11-29","description":"","custom_fields":[{"id":1,"name":"Subdivision","value":"NW"},{"id":4,"name":"Milepost","value":"5.8941"},{"id":17,"name":"Train ID","value":"833-29"},{"id":16,"name":"Locomotive ID","value":"4011"},{"id":130,"name":"Impact","value":""},{"id":150,"name":"Time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699</v>
      </c>
      <c r="B191" s="7">
        <v>4012</v>
      </c>
      <c r="C191" s="22" t="s">
        <v>212</v>
      </c>
      <c r="D191" s="22" t="s">
        <v>402</v>
      </c>
      <c r="E191" s="13">
        <v>42703.73474537037</v>
      </c>
      <c r="F191" s="13">
        <v>42703.736203703702</v>
      </c>
      <c r="G191" s="7">
        <v>1</v>
      </c>
      <c r="H191" s="22" t="s">
        <v>862</v>
      </c>
      <c r="I191" s="13">
        <v>42703.74726851852</v>
      </c>
      <c r="J191" s="7">
        <v>1</v>
      </c>
      <c r="K191" s="109" t="str">
        <f t="shared" si="36"/>
        <v>4011/4012</v>
      </c>
      <c r="L191" s="22" t="str">
        <f>VLOOKUP(A191,'Trips&amp;Operators'!$C$1:$E$10000,3,FALSE)</f>
        <v>DAVIS</v>
      </c>
      <c r="M191" s="6">
        <f t="shared" si="37"/>
        <v>1.1064814818382729E-2</v>
      </c>
      <c r="N191" s="7">
        <f t="shared" si="38"/>
        <v>15.93333333847113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16:38:02-700',mode:absolute,to:'2016-11-29 18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5.8623000000000003</v>
      </c>
      <c r="Z191" s="67">
        <f t="shared" si="45"/>
        <v>6.6600000000000006E-2</v>
      </c>
      <c r="AA191" s="67">
        <f t="shared" si="46"/>
        <v>5.7957000000000001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7"/>
        <v>0834-29</v>
      </c>
      <c r="AE191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91" s="88" t="str">
        <f t="shared" si="49"/>
        <v>"C:\Program Files (x86)\AstroGrep\AstroGrep.exe" /spath="%USERPROFILE%\AppData\Local\Temp\OnboardLogs" /stypes="app*4012*20161130*" /stext=" 00:.+((SYSTEM_STATE.+slice.+state.+changed )|(ment ac)|(multiple cpu faults)|(system.+state.+changed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834-29 --locoid 4012 --swversion DE.1.0.8.0 --startMP 300:58623 --initTime 2016-11-29T17:38:02 --startdatetime 2016-11-29T17:40:08 --delay 1 --endMP 204:666 --enddatetime 2016-11-29T17:56:04 --enforcementcount 1 &gt;&gt;C:\Users\stu\Documents\GitHub\eaglep3-reporting\EC\2016-11-29-refined-times.txt</v>
      </c>
      <c r="AI191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{"issue":{"subject":"","project_id":79,"tracker_id":40,"status_id":1,"priority_id":2,"assigned_to_id":23,"start_date":"2016-11-29","description":"","custom_fields":[{"id":1,"name":"Subdivision","value":"NW"},{"id":4,"name":"Milepost","value":"0.0666"},{"id":17,"name":"Train ID","value":"834-29"},{"id":16,"name":"Locomotive ID","value":"4012"},{"id":130,"name":"Impact","value":""},{"id":150,"name":"Time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702</v>
      </c>
      <c r="B192" s="7">
        <v>4042</v>
      </c>
      <c r="C192" s="22" t="s">
        <v>212</v>
      </c>
      <c r="D192" s="22" t="s">
        <v>829</v>
      </c>
      <c r="E192" s="13">
        <v>42703.739537037036</v>
      </c>
      <c r="F192" s="13">
        <v>42703.744456018518</v>
      </c>
      <c r="G192" s="7">
        <v>1</v>
      </c>
      <c r="H192" s="22" t="s">
        <v>285</v>
      </c>
      <c r="I192" s="13">
        <v>42703.753703703704</v>
      </c>
      <c r="J192" s="7">
        <v>1</v>
      </c>
      <c r="K192" s="109" t="str">
        <f t="shared" si="36"/>
        <v>4041/4042</v>
      </c>
      <c r="L192" s="22" t="str">
        <f>VLOOKUP(A192,'Trips&amp;Operators'!$C$1:$E$10000,3,FALSE)</f>
        <v>STAMBAUGH</v>
      </c>
      <c r="M192" s="6">
        <f t="shared" si="37"/>
        <v>9.2476851859828457E-3</v>
      </c>
      <c r="N192" s="7">
        <f t="shared" si="38"/>
        <v>13.316666667815298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16:44:56-700',mode:absolute,to:'2016-11-29 19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9.7600000000000006E-2</v>
      </c>
      <c r="Z192" s="67">
        <f t="shared" si="45"/>
        <v>5.8921999999999999</v>
      </c>
      <c r="AA192" s="67">
        <f t="shared" si="46"/>
        <v>5.7946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7"/>
        <v>0835-29</v>
      </c>
      <c r="AE192" s="91" t="str">
        <f t="shared" si="48"/>
        <v>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 &amp; 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</v>
      </c>
      <c r="AF192" s="88" t="str">
        <f t="shared" si="49"/>
        <v>"C:\Program Files (x86)\AstroGrep\AstroGrep.exe" /spath="%USERPROFILE%\AppData\Local\Temp\OnboardLogs" /stypes="app*4042*20161130*" /stext=" 01:.+((SYSTEM_STATE.+slice.+state.+changed )|(ment ac)|(multiple cpu faults)|(system.+state.+changed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835-29 --locoid 4042 --swversion DE.1.0.8.0 --startMP 204:976 --initTime 2016-11-29T17:44:56 --startdatetime 2016-11-29T17:52:01 --delay 1 --endMP 300:58922 --enddatetime 2016-11-29T18:05:20 --enforcementcount 1 &gt;&gt;C:\Users\stu\Documents\GitHub\eaglep3-reporting\EC\2016-11-29-refined-times.txt</v>
      </c>
      <c r="AI192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{"issue":{"subject":"","project_id":79,"tracker_id":40,"status_id":1,"priority_id":2,"assigned_to_id":23,"start_date":"2016-11-29","description":"","custom_fields":[{"id":1,"name":"Subdivision","value":"NW"},{"id":4,"name":"Milepost","value":"5.8922"},{"id":17,"name":"Train ID","value":"835-29"},{"id":16,"name":"Locomotive ID","value":"4042"},{"id":130,"name":"Impact","value":""},{"id":150,"name":"Time of Event (Mountain Time)","value":"18:05:20"},{"id":151,"name":"Denver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707</v>
      </c>
      <c r="B193" s="7">
        <v>4041</v>
      </c>
      <c r="C193" s="22" t="s">
        <v>212</v>
      </c>
      <c r="D193" s="22" t="s">
        <v>842</v>
      </c>
      <c r="E193" s="13">
        <v>42703.755046296297</v>
      </c>
      <c r="F193" s="13">
        <v>42703.75677083333</v>
      </c>
      <c r="G193" s="7">
        <v>1</v>
      </c>
      <c r="H193" s="22" t="s">
        <v>411</v>
      </c>
      <c r="I193" s="13">
        <v>42703.76761574074</v>
      </c>
      <c r="J193" s="7">
        <v>1</v>
      </c>
      <c r="K193" s="109" t="str">
        <f t="shared" si="36"/>
        <v>4041/4042</v>
      </c>
      <c r="L193" s="22" t="str">
        <f>VLOOKUP(A193,'Trips&amp;Operators'!$C$1:$E$10000,3,FALSE)</f>
        <v>STAMBAUGH</v>
      </c>
      <c r="M193" s="6">
        <f t="shared" si="37"/>
        <v>1.0844907410501037E-2</v>
      </c>
      <c r="N193" s="7">
        <f t="shared" si="38"/>
        <v>15.616666671121493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17:07:16-700',mode:absolute,to:'2016-11-29 19:25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5.8604000000000003</v>
      </c>
      <c r="Z193" s="67">
        <f t="shared" si="45"/>
        <v>6.8199999999999997E-2</v>
      </c>
      <c r="AA193" s="67">
        <f t="shared" si="46"/>
        <v>5.7922000000000002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7"/>
        <v>0836-29</v>
      </c>
      <c r="AE193" s="91" t="str">
        <f t="shared" si="48"/>
        <v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v>
      </c>
      <c r="AF193" s="88" t="str">
        <f t="shared" si="49"/>
        <v>"C:\Program Files (x86)\AstroGrep\AstroGrep.exe" /spath="%USERPROFILE%\AppData\Local\Temp\OnboardLogs" /stypes="app*4041*20161130*" /stext=" 01:.+((SYSTEM_STATE.+slice.+state.+changed )|(ment ac)|(multiple cpu faults)|(system.+state.+changed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836-29 --locoid 4041 --swversion DE.1.0.8.0 --startMP 300:58604 --initTime 2016-11-29T18:07:16 --startdatetime 2016-11-29T18:09:45 --delay 1 --endMP 204:682 --enddatetime 2016-11-29T18:25:22 --enforcementcount 1 &gt;&gt;C:\Users\stu\Documents\GitHub\eaglep3-reporting\EC\2016-11-29-refined-times.txt</v>
      </c>
      <c r="AI193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{"issue":{"subject":"","project_id":79,"tracker_id":40,"status_id":1,"priority_id":2,"assigned_to_id":23,"start_date":"2016-11-29","description":"","custom_fields":[{"id":1,"name":"Subdivision","value":"NW"},{"id":4,"name":"Milepost","value":"0.0682"},{"id":17,"name":"Train ID","value":"836-29"},{"id":16,"name":"Locomotive ID","value":"4041"},{"id":130,"name":"Impact","value":""},{"id":150,"name":"Time of Event (Mountain Time)","value":"18:25:22"},{"id":151,"name":"Denver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705</v>
      </c>
      <c r="B194" s="7">
        <v>4011</v>
      </c>
      <c r="C194" s="22" t="s">
        <v>212</v>
      </c>
      <c r="D194" s="22" t="s">
        <v>400</v>
      </c>
      <c r="E194" s="13">
        <v>42703.749675925923</v>
      </c>
      <c r="F194" s="13">
        <v>42703.764791666668</v>
      </c>
      <c r="G194" s="7">
        <v>3</v>
      </c>
      <c r="H194" s="22" t="s">
        <v>395</v>
      </c>
      <c r="I194" s="13">
        <v>42703.774629629632</v>
      </c>
      <c r="J194" s="7">
        <v>1</v>
      </c>
      <c r="K194" s="109" t="str">
        <f t="shared" si="36"/>
        <v>4011/4012</v>
      </c>
      <c r="L194" s="22" t="str">
        <f>VLOOKUP(A194,'Trips&amp;Operators'!$C$1:$E$10000,3,FALSE)</f>
        <v>DAVIS</v>
      </c>
      <c r="M194" s="6">
        <f t="shared" si="37"/>
        <v>9.8379629635019228E-3</v>
      </c>
      <c r="N194" s="7">
        <f t="shared" si="38"/>
        <v>14.166666667442769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16:59:32-700',mode:absolute,to:'2016-11-29 19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9.7100000000000006E-2</v>
      </c>
      <c r="Z194" s="67">
        <f t="shared" si="45"/>
        <v>5.8935000000000004</v>
      </c>
      <c r="AA194" s="67">
        <f t="shared" si="46"/>
        <v>5.7964000000000002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7"/>
        <v>0837-29</v>
      </c>
      <c r="AE194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94" s="88" t="str">
        <f t="shared" si="49"/>
        <v>"C:\Program Files (x86)\AstroGrep\AstroGrep.exe" /spath="%USERPROFILE%\AppData\Local\Temp\OnboardLogs" /stypes="app*4011*20161130*" /stext=" 01:.+((SYSTEM_STATE.+slice.+state.+changed )|(ment ac)|(multiple cpu faults)|(system.+state.+changed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837-29 --locoid 4011 --swversion DE.1.0.8.0 --startMP 204:971 --initTime 2016-11-29T17:59:32 --startdatetime 2016-11-29T18:21:18 --delay 3 --endMP 300:58935 --enddatetime 2016-11-29T18:35:28 --enforcementcount 1 &gt;&gt;C:\Users\stu\Documents\GitHub\eaglep3-reporting\EC\2016-11-29-refined-times.txt</v>
      </c>
      <c r="AI194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{"issue":{"subject":"","project_id":79,"tracker_id":40,"status_id":1,"priority_id":2,"assigned_to_id":23,"start_date":"2016-11-29","description":"","custom_fields":[{"id":1,"name":"Subdivision","value":"NW"},{"id":4,"name":"Milepost","value":"5.8935"},{"id":17,"name":"Train ID","value":"837-29"},{"id":16,"name":"Locomotive ID","value":"4011"},{"id":130,"name":"Impact","value":""},{"id":150,"name":"Time of Event (Mountain Time)","value":"18:35:28"},{"id":151,"name":"Denver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713</v>
      </c>
      <c r="B195" s="7">
        <v>4012</v>
      </c>
      <c r="C195" s="22" t="s">
        <v>212</v>
      </c>
      <c r="D195" s="22" t="s">
        <v>859</v>
      </c>
      <c r="E195" s="13">
        <v>42703.775925925926</v>
      </c>
      <c r="F195" s="13">
        <v>42703.777719907404</v>
      </c>
      <c r="G195" s="7">
        <v>1</v>
      </c>
      <c r="H195" s="22" t="s">
        <v>844</v>
      </c>
      <c r="I195" s="13">
        <v>42703.789386574077</v>
      </c>
      <c r="J195" s="7">
        <v>1</v>
      </c>
      <c r="K195" s="109" t="str">
        <f t="shared" si="36"/>
        <v>4011/4012</v>
      </c>
      <c r="L195" s="22" t="str">
        <f>VLOOKUP(A195,'Trips&amp;Operators'!$C$1:$E$10000,3,FALSE)</f>
        <v>DAVIS</v>
      </c>
      <c r="M195" s="6">
        <f t="shared" si="37"/>
        <v>1.1666666672681458E-2</v>
      </c>
      <c r="N195" s="7">
        <f t="shared" si="38"/>
        <v>16.8000000086613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17:37:20-700',mode:absolute,to:'2016-11-29 19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5.8619000000000003</v>
      </c>
      <c r="Z195" s="67">
        <f t="shared" si="45"/>
        <v>6.8699999999999997E-2</v>
      </c>
      <c r="AA195" s="67">
        <f t="shared" si="46"/>
        <v>5.7932000000000006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7"/>
        <v>0838-29</v>
      </c>
      <c r="AE195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95" s="88" t="str">
        <f t="shared" si="49"/>
        <v>"C:\Program Files (x86)\AstroGrep\AstroGrep.exe" /spath="%USERPROFILE%\AppData\Local\Temp\OnboardLogs" /stypes="app*4012*20161130*" /stext=" 01:.+((SYSTEM_STATE.+slice.+state.+changed )|(ment ac)|(multiple cpu faults)|(system.+state.+changed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838-29 --locoid 4012 --swversion DE.1.0.8.0 --startMP 300:58619 --initTime 2016-11-29T18:37:20 --startdatetime 2016-11-29T18:39:55 --delay 1 --endMP 204:687 --enddatetime 2016-11-29T18:56:43 --enforcementcount 1 &gt;&gt;C:\Users\stu\Documents\GitHub\eaglep3-reporting\EC\2016-11-29-refined-times.txt</v>
      </c>
      <c r="AI195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{"issue":{"subject":"","project_id":79,"tracker_id":40,"status_id":1,"priority_id":2,"assigned_to_id":23,"start_date":"2016-11-29","description":"","custom_fields":[{"id":1,"name":"Subdivision","value":"NW"},{"id":4,"name":"Milepost","value":"0.0687"},{"id":17,"name":"Train ID","value":"838-29"},{"id":16,"name":"Locomotive ID","value":"4012"},{"id":130,"name":"Impact","value":""},{"id":150,"name":"Time of Event (Mountain Time)","value":"18:56:43"},{"id":151,"name":"Denver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715</v>
      </c>
      <c r="B196" s="7">
        <v>4042</v>
      </c>
      <c r="C196" s="22" t="s">
        <v>212</v>
      </c>
      <c r="D196" s="22" t="s">
        <v>403</v>
      </c>
      <c r="E196" s="13">
        <v>42703.781122685185</v>
      </c>
      <c r="F196" s="13">
        <v>42703.78601851852</v>
      </c>
      <c r="G196" s="7">
        <v>1</v>
      </c>
      <c r="H196" s="22" t="s">
        <v>869</v>
      </c>
      <c r="I196" s="13">
        <v>42703.79515046296</v>
      </c>
      <c r="J196" s="7">
        <v>1</v>
      </c>
      <c r="K196" s="109" t="str">
        <f t="shared" si="36"/>
        <v>4041/4042</v>
      </c>
      <c r="L196" s="22" t="str">
        <f>VLOOKUP(A196,'Trips&amp;Operators'!$C$1:$E$10000,3,FALSE)</f>
        <v>STAMBAUGH</v>
      </c>
      <c r="M196" s="6">
        <f t="shared" si="37"/>
        <v>9.1319444400141947E-3</v>
      </c>
      <c r="N196" s="7">
        <f t="shared" si="38"/>
        <v>13.14999999362044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17:44:49-700',mode:absolute,to:'2016-11-29 20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9.69E-2</v>
      </c>
      <c r="Z196" s="67">
        <f t="shared" si="45"/>
        <v>5.8914</v>
      </c>
      <c r="AA196" s="67">
        <f t="shared" si="46"/>
        <v>5.7945000000000002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7"/>
        <v>0839-29</v>
      </c>
      <c r="AE196" s="91" t="str">
        <f t="shared" si="48"/>
        <v>aws s3 cp s3://rtdc.mdm.uploadarchive.raw/RTDC4042/ "%USERPROFILE%\AppData\Local\Temp\OnboardLogs"\RTDC4042\2016-11-29 --exclude "*" --recursive --include "*20161129*" &amp; "%USERPROFILE%\Documents\GitHub\mrs-test-scripts\Headless Mode &amp; Sideloading\WalkAndUnGZ.bat" "%USERPROFILE%\AppData\Local\Temp\OnboardLogs"\RTDC4042\2016-11-29 &amp; 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</v>
      </c>
      <c r="AF196" s="88" t="str">
        <f t="shared" si="49"/>
        <v>"C:\Program Files (x86)\AstroGrep\AstroGrep.exe" /spath="%USERPROFILE%\AppData\Local\Temp\OnboardLogs" /stypes="app*4042*20161130*" /stext=" 02:.+((SYSTEM_STATE.+slice.+state.+changed )|(ment ac)|(multiple cpu faults)|(system.+state.+changed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839-29 --locoid 4042 --swversion DE.1.0.8.0 --startMP 204:969 --initTime 2016-11-29T18:44:49 --startdatetime 2016-11-29T18:51:52 --delay 1 --endMP 300:58914 --enddatetime 2016-11-29T19:05:01 --enforcementcount 1 &gt;&gt;C:\Users\stu\Documents\GitHub\eaglep3-reporting\EC\2016-11-29-refined-times.txt</v>
      </c>
      <c r="AI196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{"issue":{"subject":"","project_id":79,"tracker_id":40,"status_id":1,"priority_id":2,"assigned_to_id":23,"start_date":"2016-11-29","description":"","custom_fields":[{"id":1,"name":"Subdivision","value":"NW"},{"id":4,"name":"Milepost","value":"5.8914"},{"id":17,"name":"Train ID","value":"839-29"},{"id":16,"name":"Locomotive ID","value":"4042"},{"id":130,"name":"Impact","value":""},{"id":150,"name":"Time of Event (Mountain Time)","value":"19:05:01"},{"id":151,"name":"Denver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724</v>
      </c>
      <c r="B197" s="7">
        <v>4012</v>
      </c>
      <c r="C197" s="22" t="s">
        <v>212</v>
      </c>
      <c r="D197" s="22" t="s">
        <v>847</v>
      </c>
      <c r="E197" s="13">
        <v>42703.817986111113</v>
      </c>
      <c r="F197" s="13">
        <v>42703.819710648146</v>
      </c>
      <c r="G197" s="7">
        <v>1</v>
      </c>
      <c r="H197" s="22" t="s">
        <v>407</v>
      </c>
      <c r="I197" s="13">
        <v>42703.830937500003</v>
      </c>
      <c r="J197" s="7">
        <v>1</v>
      </c>
      <c r="K197" s="109" t="str">
        <f t="shared" si="36"/>
        <v>4011/4012</v>
      </c>
      <c r="L197" s="22" t="str">
        <f>VLOOKUP(A197,'Trips&amp;Operators'!$C$1:$E$10000,3,FALSE)</f>
        <v>DAVIS</v>
      </c>
      <c r="M197" s="6">
        <f t="shared" si="37"/>
        <v>1.1226851856918074E-2</v>
      </c>
      <c r="N197" s="7">
        <f t="shared" si="38"/>
        <v>16.166666673962027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18:37:54-700',mode:absolute,to:'2016-11-29 20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7" s="52" t="str">
        <f t="shared" si="42"/>
        <v>N</v>
      </c>
      <c r="X197" s="177">
        <f t="shared" si="43"/>
        <v>1</v>
      </c>
      <c r="Y197" s="67">
        <f t="shared" si="44"/>
        <v>5.8616999999999999</v>
      </c>
      <c r="Z197" s="67">
        <f t="shared" si="45"/>
        <v>6.8900000000000003E-2</v>
      </c>
      <c r="AA197" s="67">
        <f t="shared" si="46"/>
        <v>5.7927999999999997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7"/>
        <v>0840-29</v>
      </c>
      <c r="AE197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97" s="88" t="str">
        <f t="shared" si="49"/>
        <v>"C:\Program Files (x86)\AstroGrep\AstroGrep.exe" /spath="%USERPROFILE%\AppData\Local\Temp\OnboardLogs" /stypes="app*4012*20161130*" /stext=" 02:.+((SYSTEM_STATE.+slice.+state.+changed )|(ment ac)|(multiple cpu faults)|(system.+state.+changed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840-29 --locoid 4012 --swversion DE.1.0.8.0 --startMP 300:58617 --initTime 2016-11-29T19:37:54 --startdatetime 2016-11-29T19:40:23 --delay 1 --endMP 204:689 --enddatetime 2016-11-29T19:56:33 --enforcementcount 1 &gt;&gt;C:\Users\stu\Documents\GitHub\eaglep3-reporting\EC\2016-11-29-refined-times.txt</v>
      </c>
      <c r="AI197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{"issue":{"subject":"","project_id":79,"tracker_id":40,"status_id":1,"priority_id":2,"assigned_to_id":23,"start_date":"2016-11-29","description":"","custom_fields":[{"id":1,"name":"Subdivision","value":"NW"},{"id":4,"name":"Milepost","value":"0.0689"},{"id":17,"name":"Train ID","value":"840-29"},{"id":16,"name":"Locomotive ID","value":"4012"},{"id":130,"name":"Impact","value":""},{"id":150,"name":"Time of Event (Mountain Time)","value":"19:56:33"},{"id":151,"name":"Denver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720</v>
      </c>
      <c r="B198" s="7">
        <v>4011</v>
      </c>
      <c r="C198" s="22" t="s">
        <v>212</v>
      </c>
      <c r="D198" s="22" t="s">
        <v>829</v>
      </c>
      <c r="E198" s="13">
        <v>42703.799907407411</v>
      </c>
      <c r="F198" s="13">
        <v>42703.806574074071</v>
      </c>
      <c r="G198" s="7">
        <v>1</v>
      </c>
      <c r="H198" s="22" t="s">
        <v>860</v>
      </c>
      <c r="I198" s="13">
        <v>42703.816342592596</v>
      </c>
      <c r="J198" s="7">
        <v>1</v>
      </c>
      <c r="K198" s="109" t="str">
        <f t="shared" si="36"/>
        <v>4011/4012</v>
      </c>
      <c r="L198" s="22" t="str">
        <f>VLOOKUP(A198,'Trips&amp;Operators'!$C$1:$E$10000,3,FALSE)</f>
        <v>DAVIS</v>
      </c>
      <c r="M198" s="6">
        <f t="shared" si="37"/>
        <v>9.7685185246518813E-3</v>
      </c>
      <c r="N198" s="7">
        <f t="shared" si="38"/>
        <v>14.066666675498709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18:11:52-700',mode:absolute,to:'2016-11-29 20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42"/>
        <v>N</v>
      </c>
      <c r="X198" s="177">
        <f t="shared" si="43"/>
        <v>1</v>
      </c>
      <c r="Y198" s="67">
        <f t="shared" si="44"/>
        <v>9.7600000000000006E-2</v>
      </c>
      <c r="Z198" s="67">
        <f t="shared" si="45"/>
        <v>5.8930999999999996</v>
      </c>
      <c r="AA198" s="67">
        <f t="shared" si="46"/>
        <v>5.7954999999999997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7"/>
        <v>0841-29</v>
      </c>
      <c r="AE198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198" s="88" t="str">
        <f t="shared" si="49"/>
        <v>"C:\Program Files (x86)\AstroGrep\AstroGrep.exe" /spath="%USERPROFILE%\AppData\Local\Temp\OnboardLogs" /stypes="app*4011*20161130*" /stext=" 02:.+((SYSTEM_STATE.+slice.+state.+changed )|(ment ac)|(multiple cpu faults)|(system.+state.+changed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841-29 --locoid 4011 --swversion DE.1.0.8.0 --startMP 204:976 --initTime 2016-11-29T19:11:52 --startdatetime 2016-11-29T19:21:28 --delay 1 --endMP 300:58931 --enddatetime 2016-11-29T19:35:32 --enforcementcount 1 &gt;&gt;C:\Users\stu\Documents\GitHub\eaglep3-reporting\EC\2016-11-29-refined-times.txt</v>
      </c>
      <c r="AI198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{"issue":{"subject":"","project_id":79,"tracker_id":40,"status_id":1,"priority_id":2,"assigned_to_id":23,"start_date":"2016-11-29","description":"","custom_fields":[{"id":1,"name":"Subdivision","value":"NW"},{"id":4,"name":"Milepost","value":"5.8931"},{"id":17,"name":"Train ID","value":"841-29"},{"id":16,"name":"Locomotive ID","value":"4011"},{"id":130,"name":"Impact","value":""},{"id":150,"name":"Time of Event (Mountain Time)","value":"19:35:32"},{"id":151,"name":"Denver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732</v>
      </c>
      <c r="B199" s="7">
        <v>4012</v>
      </c>
      <c r="C199" s="22" t="s">
        <v>212</v>
      </c>
      <c r="D199" s="22" t="s">
        <v>398</v>
      </c>
      <c r="E199" s="13">
        <v>42703.8593287037</v>
      </c>
      <c r="F199" s="13">
        <v>42703.860995370371</v>
      </c>
      <c r="G199" s="7">
        <v>1</v>
      </c>
      <c r="H199" s="22" t="s">
        <v>870</v>
      </c>
      <c r="I199" s="13">
        <v>42703.871655092589</v>
      </c>
      <c r="J199" s="7">
        <v>1</v>
      </c>
      <c r="K199" s="109" t="str">
        <f t="shared" si="36"/>
        <v>4011/4012</v>
      </c>
      <c r="L199" s="22" t="str">
        <f>VLOOKUP(A199,'Trips&amp;Operators'!$C$1:$E$10000,3,FALSE)</f>
        <v>DAVIS</v>
      </c>
      <c r="M199" s="6">
        <f t="shared" si="37"/>
        <v>1.0659722218406387E-2</v>
      </c>
      <c r="N199" s="7">
        <f t="shared" si="38"/>
        <v>15.349999994505197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19:37:26-700',mode:absolute,to:'2016-11-29 21:55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9" s="52" t="str">
        <f t="shared" si="42"/>
        <v>N</v>
      </c>
      <c r="X199" s="177">
        <f t="shared" si="43"/>
        <v>1</v>
      </c>
      <c r="Y199" s="67">
        <f t="shared" si="44"/>
        <v>5.8605999999999998</v>
      </c>
      <c r="Z199" s="67">
        <f t="shared" si="45"/>
        <v>6.8000000000000005E-2</v>
      </c>
      <c r="AA199" s="67">
        <f t="shared" si="46"/>
        <v>5.7926000000000002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7"/>
        <v>0842-29</v>
      </c>
      <c r="AE199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199" s="88" t="str">
        <f t="shared" si="49"/>
        <v>"C:\Program Files (x86)\AstroGrep\AstroGrep.exe" /spath="%USERPROFILE%\AppData\Local\Temp\OnboardLogs" /stypes="app*4012*20161130*" /stext=" 03:.+((SYSTEM_STATE.+slice.+state.+changed )|(ment ac)|(multiple cpu faults)|(system.+state.+changed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842-29 --locoid 4012 --swversion DE.1.0.8.0 --startMP 300:58606 --initTime 2016-11-29T20:37:26 --startdatetime 2016-11-29T20:39:50 --delay 1 --endMP 204:680 --enddatetime 2016-11-29T20:55:11 --enforcementcount 1 &gt;&gt;C:\Users\stu\Documents\GitHub\eaglep3-reporting\EC\2016-11-29-refined-times.txt</v>
      </c>
      <c r="AI199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{"issue":{"subject":"","project_id":79,"tracker_id":40,"status_id":1,"priority_id":2,"assigned_to_id":23,"start_date":"2016-11-29","description":"","custom_fields":[{"id":1,"name":"Subdivision","value":"NW"},{"id":4,"name":"Milepost","value":"0.068"},{"id":17,"name":"Train ID","value":"842-29"},{"id":16,"name":"Locomotive ID","value":"4012"},{"id":130,"name":"Impact","value":""},{"id":150,"name":"Time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728</v>
      </c>
      <c r="B200" s="7">
        <v>4011</v>
      </c>
      <c r="C200" s="22" t="s">
        <v>212</v>
      </c>
      <c r="D200" s="22" t="s">
        <v>394</v>
      </c>
      <c r="E200" s="13">
        <v>42703.83662037037</v>
      </c>
      <c r="F200" s="13">
        <v>42703.848182870373</v>
      </c>
      <c r="G200" s="7">
        <v>1</v>
      </c>
      <c r="H200" s="22" t="s">
        <v>846</v>
      </c>
      <c r="I200" s="13">
        <v>42703.857800925929</v>
      </c>
      <c r="J200" s="7">
        <v>1</v>
      </c>
      <c r="K200" s="109" t="str">
        <f t="shared" si="36"/>
        <v>4011/4012</v>
      </c>
      <c r="L200" s="22" t="str">
        <f>VLOOKUP(A200,'Trips&amp;Operators'!$C$1:$E$10000,3,FALSE)</f>
        <v>DAVIS</v>
      </c>
      <c r="M200" s="6">
        <f t="shared" si="37"/>
        <v>9.6180555556202307E-3</v>
      </c>
      <c r="N200" s="7">
        <f t="shared" si="38"/>
        <v>13.850000000093132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19:04:44-700',mode:absolute,to:'2016-11-29 21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0" s="52" t="str">
        <f t="shared" si="42"/>
        <v>N</v>
      </c>
      <c r="X200" s="177">
        <f t="shared" si="43"/>
        <v>1</v>
      </c>
      <c r="Y200" s="67">
        <f t="shared" si="44"/>
        <v>9.7799999999999998E-2</v>
      </c>
      <c r="Z200" s="67">
        <f t="shared" si="45"/>
        <v>5.8929</v>
      </c>
      <c r="AA200" s="67">
        <f t="shared" si="46"/>
        <v>5.7950999999999997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47"/>
        <v>0843-29</v>
      </c>
      <c r="AE200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200" s="88" t="str">
        <f t="shared" si="49"/>
        <v>"C:\Program Files (x86)\AstroGrep\AstroGrep.exe" /spath="%USERPROFILE%\AppData\Local\Temp\OnboardLogs" /stypes="app*4011*20161130*" /stext=" 03:.+((SYSTEM_STATE.+slice.+state.+changed )|(ment ac)|(multiple cpu faults)|(system.+state.+changed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843-29 --locoid 4011 --swversion DE.1.0.8.0 --startMP 204:978 --initTime 2016-11-29T20:04:44 --startdatetime 2016-11-29T20:21:23 --delay 1 --endMP 300:58929 --enddatetime 2016-11-29T20:35:14 --enforcementcount 1 &gt;&gt;C:\Users\stu\Documents\GitHub\eaglep3-reporting\EC\2016-11-29-refined-times.txt</v>
      </c>
      <c r="AI200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{"issue":{"subject":"","project_id":79,"tracker_id":40,"status_id":1,"priority_id":2,"assigned_to_id":23,"start_date":"2016-11-29","description":"","custom_fields":[{"id":1,"name":"Subdivision","value":"NW"},{"id":4,"name":"Milepost","value":"5.8929"},{"id":17,"name":"Train ID","value":"843-29"},{"id":16,"name":"Locomotive ID","value":"4011"},{"id":130,"name":"Impact","value":""},{"id":150,"name":"Time of Event (Mountain Time)","value":"20:35:14"},{"id":151,"name":"Denver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738</v>
      </c>
      <c r="B201" s="7">
        <v>4012</v>
      </c>
      <c r="C201" s="22" t="s">
        <v>212</v>
      </c>
      <c r="D201" s="22" t="s">
        <v>871</v>
      </c>
      <c r="E201" s="13">
        <v>42703.900219907409</v>
      </c>
      <c r="F201" s="13">
        <v>42703.90184027778</v>
      </c>
      <c r="G201" s="7">
        <v>1</v>
      </c>
      <c r="H201" s="22" t="s">
        <v>872</v>
      </c>
      <c r="I201" s="13">
        <v>42703.912824074076</v>
      </c>
      <c r="J201" s="7">
        <v>1</v>
      </c>
      <c r="K201" s="109" t="str">
        <f t="shared" si="36"/>
        <v>4011/4012</v>
      </c>
      <c r="L201" s="22" t="str">
        <f>VLOOKUP(A201,'Trips&amp;Operators'!$C$1:$E$10000,3,FALSE)</f>
        <v>STAMBAUGH</v>
      </c>
      <c r="M201" s="6">
        <f t="shared" si="37"/>
        <v>1.0983796295477077E-2</v>
      </c>
      <c r="N201" s="7">
        <f t="shared" si="38"/>
        <v>15.816666665486991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20:36:19-700',mode:absolute,to:'2016-11-29 22:54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1" s="52" t="str">
        <f t="shared" si="42"/>
        <v>N</v>
      </c>
      <c r="X201" s="177">
        <f t="shared" si="43"/>
        <v>1</v>
      </c>
      <c r="Y201" s="67">
        <f t="shared" si="44"/>
        <v>5.8647</v>
      </c>
      <c r="Z201" s="67">
        <f t="shared" si="45"/>
        <v>6.9199999999999998E-2</v>
      </c>
      <c r="AA201" s="67">
        <f t="shared" si="46"/>
        <v>5.7954999999999997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47"/>
        <v>0844-29</v>
      </c>
      <c r="AE201" s="91" t="str">
        <f t="shared" si="48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201" s="88" t="str">
        <f t="shared" si="49"/>
        <v>"C:\Program Files (x86)\AstroGrep\AstroGrep.exe" /spath="%USERPROFILE%\AppData\Local\Temp\OnboardLogs" /stypes="app*4012*20161130*" /stext=" 04:.+((SYSTEM_STATE.+slice.+state.+changed )|(ment ac)|(multiple cpu faults)|(system.+state.+changed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844-29 --locoid 4012 --swversion DE.1.0.8.0 --startMP 300:58647 --initTime 2016-11-29T21:36:19 --startdatetime 2016-11-29T21:38:39 --delay 1 --endMP 204:692 --enddatetime 2016-11-29T21:54:28 --enforcementcount 1 &gt;&gt;C:\Users\stu\Documents\GitHub\eaglep3-reporting\EC\2016-11-29-refined-times.txt</v>
      </c>
      <c r="AI201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{"issue":{"subject":"","project_id":79,"tracker_id":40,"status_id":1,"priority_id":2,"assigned_to_id":23,"start_date":"2016-11-29","description":"","custom_fields":[{"id":1,"name":"Subdivision","value":"NW"},{"id":4,"name":"Milepost","value":"0.0692"},{"id":17,"name":"Train ID","value":"844-29"},{"id":16,"name":"Locomotive ID","value":"4012"},{"id":130,"name":"Impact","value":""},{"id":150,"name":"Time of Event (Mountain Time)","value":"21:54:28"},{"id":151,"name":"Denver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734</v>
      </c>
      <c r="B202" s="7">
        <v>4011</v>
      </c>
      <c r="C202" s="22" t="s">
        <v>212</v>
      </c>
      <c r="D202" s="22" t="s">
        <v>394</v>
      </c>
      <c r="E202" s="13">
        <v>42703.873981481483</v>
      </c>
      <c r="F202" s="13">
        <v>42703.889884259261</v>
      </c>
      <c r="G202" s="7">
        <v>1</v>
      </c>
      <c r="H202" s="22" t="s">
        <v>873</v>
      </c>
      <c r="I202" s="13">
        <v>42703.899050925924</v>
      </c>
      <c r="J202" s="7">
        <v>1</v>
      </c>
      <c r="K202" s="109" t="str">
        <f t="shared" si="36"/>
        <v>4011/4012</v>
      </c>
      <c r="L202" s="22" t="str">
        <f>VLOOKUP(A202,'Trips&amp;Operators'!$C$1:$E$10000,3,FALSE)</f>
        <v>STAMBAUGH</v>
      </c>
      <c r="M202" s="6">
        <f t="shared" si="37"/>
        <v>9.1666666630771942E-3</v>
      </c>
      <c r="N202" s="7">
        <f t="shared" si="38"/>
        <v>13.19999999483116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19:58:32-700',mode:absolute,to:'2016-11-29 22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2" s="52" t="str">
        <f t="shared" si="42"/>
        <v>N</v>
      </c>
      <c r="X202" s="177">
        <f t="shared" si="43"/>
        <v>1</v>
      </c>
      <c r="Y202" s="67">
        <f t="shared" si="44"/>
        <v>9.7799999999999998E-2</v>
      </c>
      <c r="Z202" s="67">
        <f t="shared" si="45"/>
        <v>5.8960999999999997</v>
      </c>
      <c r="AA202" s="67">
        <f t="shared" si="46"/>
        <v>5.7982999999999993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47"/>
        <v>0845-29</v>
      </c>
      <c r="AE202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202" s="88" t="str">
        <f t="shared" si="49"/>
        <v>"C:\Program Files (x86)\AstroGrep\AstroGrep.exe" /spath="%USERPROFILE%\AppData\Local\Temp\OnboardLogs" /stypes="app*4011*20161130*" /stext=" 04:.+((SYSTEM_STATE.+slice.+state.+changed )|(ment ac)|(multiple cpu faults)|(system.+state.+changed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845-29 --locoid 4011 --swversion DE.1.0.8.0 --startMP 204:978 --initTime 2016-11-29T20:58:32 --startdatetime 2016-11-29T21:21:26 --delay 1 --endMP 300:58961 --enddatetime 2016-11-29T21:34:38 --enforcementcount 1 &gt;&gt;C:\Users\stu\Documents\GitHub\eaglep3-reporting\EC\2016-11-29-refined-times.txt</v>
      </c>
      <c r="AI202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{"issue":{"subject":"","project_id":79,"tracker_id":40,"status_id":1,"priority_id":2,"assigned_to_id":23,"start_date":"2016-11-29","description":"","custom_fields":[{"id":1,"name":"Subdivision","value":"NW"},{"id":4,"name":"Milepost","value":"5.8961"},{"id":17,"name":"Train ID","value":"845-29"},{"id":16,"name":"Locomotive ID","value":"4011"},{"id":130,"name":"Impact","value":""},{"id":150,"name":"Time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740</v>
      </c>
      <c r="B203" s="7">
        <v>4011</v>
      </c>
      <c r="C203" s="22" t="s">
        <v>212</v>
      </c>
      <c r="D203" s="22" t="s">
        <v>394</v>
      </c>
      <c r="E203" s="13">
        <v>42703.914097222223</v>
      </c>
      <c r="F203" s="13">
        <v>42703.931620370371</v>
      </c>
      <c r="G203" s="7">
        <v>1</v>
      </c>
      <c r="H203" s="22" t="s">
        <v>397</v>
      </c>
      <c r="I203" s="13">
        <v>42703.940289351849</v>
      </c>
      <c r="J203" s="7">
        <v>1</v>
      </c>
      <c r="K203" s="109" t="str">
        <f t="shared" si="36"/>
        <v>4011/4012</v>
      </c>
      <c r="L203" s="22" t="str">
        <f>VLOOKUP(A203,'Trips&amp;Operators'!$C$1:$E$10000,3,FALSE)</f>
        <v>STAMBAUGH</v>
      </c>
      <c r="M203" s="6">
        <f t="shared" si="37"/>
        <v>8.6689814779674634E-3</v>
      </c>
      <c r="N203" s="7">
        <f t="shared" si="38"/>
        <v>12.483333328273147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20:56:18-700',mode:absolute,to:'2016-11-29 23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3" s="52" t="str">
        <f t="shared" si="42"/>
        <v>N</v>
      </c>
      <c r="X203" s="177">
        <f t="shared" si="43"/>
        <v>2</v>
      </c>
      <c r="Y203" s="67">
        <f t="shared" si="44"/>
        <v>9.7799999999999998E-2</v>
      </c>
      <c r="Z203" s="67">
        <f t="shared" si="45"/>
        <v>5.8924000000000003</v>
      </c>
      <c r="AA203" s="67">
        <f t="shared" si="46"/>
        <v>5.7946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47"/>
        <v>0847-29</v>
      </c>
      <c r="AE203" s="91" t="str">
        <f t="shared" si="48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203" s="88" t="str">
        <f t="shared" si="49"/>
        <v>"C:\Program Files (x86)\AstroGrep\AstroGrep.exe" /spath="%USERPROFILE%\AppData\Local\Temp\OnboardLogs" /stypes="app*4011*20161130*" /stext=" 05:.+((SYSTEM_STATE.+slice.+state.+changed )|(ment ac)|(multiple cpu faults)|(system.+state.+changed )|(\[timeout)|(PRM\|1\|D)|(kpr)|(kdp)|(\|lc)|(penalty))" /e /r /s</v>
      </c>
      <c r="AG203" s="1" t="str">
        <f t="shared" si="50"/>
        <v>NW</v>
      </c>
      <c r="AH203" s="92" t="str">
        <f t="shared" si="51"/>
        <v>"%USERPROFILE%\Documents\GitHub\eaglep3\Utilities\RefineRTDCRunTimes.py" --tripid 847-29 --locoid 4011 --swversion DE.1.0.8.0 --startMP 204:978 --initTime 2016-11-29T21:56:18 --startdatetime 2016-11-29T22:21:32 --delay 1 --endMP 300:58924 --enddatetime 2016-11-29T22:34:01 --enforcementcount 1 &gt;&gt;C:\Users\stu\Documents\GitHub\eaglep3-reporting\EC\2016-11-29-refined-times.txt</v>
      </c>
      <c r="AI203" s="119" t="str">
        <f t="shared" si="52"/>
        <v>echo {"issue":{"subject":"","project_id":79,"tracker_id":40,"status_id":1,"priority_id":2,"assigned_to_id":23,"start_date":"2016-11-29","description":"","custom_fields":[{"id":1,"name":"Subdivision","value":"NW"},{"id":4,"name":"Milepost","value":"5.8924"},{"id":17,"name":"Train ID","value":"847-29"},{"id":16,"name":"Locomotive ID","value":"4011"},{"id":130,"name":"Impact","value":""},{"id":150,"name":"Time of Event (Mountain Time)","value":"22:34:01"},{"id":151,"name":"Denver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714</v>
      </c>
      <c r="B204" s="7">
        <v>4031</v>
      </c>
      <c r="C204" s="22" t="s">
        <v>212</v>
      </c>
      <c r="D204" s="22" t="s">
        <v>801</v>
      </c>
      <c r="E204" s="13">
        <v>42703.777037037034</v>
      </c>
      <c r="F204" s="13">
        <v>42703.778483796297</v>
      </c>
      <c r="G204" s="7">
        <v>1</v>
      </c>
      <c r="H204" s="22" t="s">
        <v>814</v>
      </c>
      <c r="I204" s="13">
        <v>42703.783553240741</v>
      </c>
      <c r="J204" s="7">
        <v>1</v>
      </c>
      <c r="K204" s="109" t="str">
        <f t="shared" si="36"/>
        <v>4031/4032</v>
      </c>
      <c r="L204" s="22" t="str">
        <f>VLOOKUP(A204,'Trips&amp;Operators'!$C$1:$E$10000,3,FALSE)</f>
        <v>BONDS</v>
      </c>
      <c r="M204" s="6">
        <f t="shared" si="37"/>
        <v>5.0694444435066544E-3</v>
      </c>
      <c r="N204" s="7">
        <f t="shared" si="38"/>
        <v>7.2999999986495823</v>
      </c>
      <c r="O204" s="7"/>
      <c r="P204" s="7"/>
      <c r="Q204" s="23"/>
      <c r="R204" s="23"/>
      <c r="S204" s="35">
        <f t="shared" si="39"/>
        <v>1</v>
      </c>
      <c r="T204" s="50" t="str">
        <f t="shared" si="4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https://search-rtdc-monitor-bjffxe2xuh6vdkpspy63sjmuny.us-east-1.es.amazonaws.com/_plugin/kibana/#/discover/Steve-Slow-Train-Analysis-(2080s-and-2083s)?_g=(refreshInterval:(display:Off,section:0,value:0),time:(from:'2016-11-29 17:38:56-700',mode:absolute,to:'2016-11-29 19:48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si="42"/>
        <v>Y</v>
      </c>
      <c r="X204" s="177">
        <f t="shared" si="43"/>
        <v>-544</v>
      </c>
      <c r="Y204" s="67">
        <f t="shared" si="44"/>
        <v>4.8000000000000001E-2</v>
      </c>
      <c r="Z204" s="67">
        <f t="shared" si="45"/>
        <v>2.3300999999999998</v>
      </c>
      <c r="AA204" s="67">
        <f t="shared" si="46"/>
        <v>2.2820999999999998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47"/>
        <v>0303-29</v>
      </c>
      <c r="AE204" s="91" t="str">
        <f t="shared" si="48"/>
        <v>aws s3 cp s3://rtdc.mdm.uploadarchive.raw/RTDC4031/ "%USERPROFILE%\AppData\Local\Temp\OnboardLogs"\RTDC4031\2016-11-29 --exclude "*" --recursive --include "*20161129*" &amp; "%USERPROFILE%\Documents\GitHub\mrs-test-scripts\Headless Mode &amp; Sideloading\WalkAndUnGZ.bat" "%USERPROFILE%\AppData\Local\Temp\OnboardLogs"\RTDC4031\2016-11-29 &amp; 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</v>
      </c>
      <c r="AF204" s="88" t="str">
        <f t="shared" si="49"/>
        <v>"C:\Program Files (x86)\AstroGrep\AstroGrep.exe" /spath="%USERPROFILE%\AppData\Local\Temp\OnboardLogs" /stypes="app*4031*20161130*" /stext=" 01:.+((SYSTEM_STATE.+slice.+state.+changed )|(ment ac)|(multiple cpu faults)|(system.+state.+changed )|(\[timeout)|(PRM\|1\|D)|(kpr)|(kdp)|(\|lc)|(penalty))" /e /r /s</v>
      </c>
      <c r="AG204" s="1" t="str">
        <f t="shared" si="50"/>
        <v>Other</v>
      </c>
      <c r="AH204" s="92" t="str">
        <f t="shared" si="51"/>
        <v>"%USERPROFILE%\Documents\GitHub\eaglep3\Utilities\RefineRTDCRunTimes.py" --tripid 303-29 --locoid 4031 --swversion DE.1.0.8.0 --startMP 204:480 --initTime 2016-11-29T18:38:56 --startdatetime 2016-11-29T18:41:01 --delay 1 --endMP 300:23301 --enddatetime 2016-11-29T18:48:19 --enforcementcount 1 &gt;&gt;C:\Users\stu\Documents\GitHub\eaglep3-reporting\EC\2016-11-29-refined-times.txt</v>
      </c>
      <c r="AI204" s="119" t="str">
        <f t="shared" si="52"/>
        <v>echo {"issue":{"subject":"","project_id":79,"tracker_id":40,"status_id":1,"priority_id":2,"assigned_to_id":23,"start_date":"2016-11-29","description":"","custom_fields":[{"id":1,"name":"Subdivision","value":"Other"},{"id":4,"name":"Milepost","value":"2.3301"},{"id":17,"name":"Train ID","value":"303-29"},{"id":16,"name":"Locomotive ID","value":"4031"},{"id":130,"name":"Impact","value":""},{"id":150,"name":"Time of Event (Mountain Time)","value":"18:48:19"},{"id":151,"name":"Denver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529</v>
      </c>
      <c r="B205" s="7">
        <v>4030</v>
      </c>
      <c r="C205" s="22" t="s">
        <v>212</v>
      </c>
      <c r="D205" s="22" t="s">
        <v>815</v>
      </c>
      <c r="E205" s="13">
        <v>42703.14502314815</v>
      </c>
      <c r="F205" s="13">
        <v>42703.146226851852</v>
      </c>
      <c r="G205" s="7">
        <v>1</v>
      </c>
      <c r="H205" s="22" t="s">
        <v>324</v>
      </c>
      <c r="I205" s="13">
        <v>42703.153067129628</v>
      </c>
      <c r="J205" s="7">
        <v>1</v>
      </c>
      <c r="K205" s="109" t="str">
        <f t="shared" ref="K205:K226" si="53">IF(ISEVEN(B205),(B205-1)&amp;"/"&amp;B205,B205&amp;"/"&amp;(B205+1))</f>
        <v>4029/4030</v>
      </c>
      <c r="L205" s="22" t="str">
        <f>VLOOKUP(A205,'Trips&amp;Operators'!$C$1:$E$10000,3,FALSE)</f>
        <v>MAGEE</v>
      </c>
      <c r="M205" s="6">
        <f t="shared" ref="M205:M226" si="54">I205-F205</f>
        <v>6.8402777760638855E-3</v>
      </c>
      <c r="N205" s="7">
        <f t="shared" ref="N205:N226" si="55">24*60*SUM($M205:$M205)</f>
        <v>9.8499999975319952</v>
      </c>
      <c r="O205" s="7"/>
      <c r="P205" s="7"/>
      <c r="Q205" s="23"/>
      <c r="R205" s="23"/>
      <c r="S205" s="35">
        <f t="shared" ref="S205:S226" si="56">SUM(U205:U205)/IF(AG205="EC",12,1)</f>
        <v>1</v>
      </c>
      <c r="T205" s="50" t="str">
        <f t="shared" ref="T205:T226" si="57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6" si="58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https://search-rtdc-monitor-bjffxe2xuh6vdkpspy63sjmuny.us-east-1.es.amazonaws.com/_plugin/kibana/#/discover/Steve-Slow-Train-Analysis-(2080s-and-2083s)?_g=(refreshInterval:(display:Off,section:0,value:0),time:(from:'2016-11-29 02:28:50-700',mode:absolute,to:'2016-11-29 04:40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 t="shared" ref="W205:W226" si="59">IF(AA205&lt;IF(AG205="EC",23,5.65),"Y","N")</f>
        <v>Y</v>
      </c>
      <c r="X205" s="177">
        <f t="shared" ref="X205:X226" si="60">VALUE(LEFT(AD205,4))-VALUE(LEFT(AD204,4))</f>
        <v>1</v>
      </c>
      <c r="Y205" s="67">
        <f t="shared" ref="Y205:Y226" si="61">RIGHT(D205,LEN(D205)-4)/10000</f>
        <v>2.2326999999999999</v>
      </c>
      <c r="Z205" s="67">
        <f t="shared" ref="Z205:Z226" si="62">RIGHT(H205,LEN(H205)-4)/10000</f>
        <v>1.38E-2</v>
      </c>
      <c r="AA205" s="67">
        <f t="shared" ref="AA205:AA226" si="63">ABS(Z205-Y205)</f>
        <v>2.2189000000000001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6" si="64">IF(LEN(A205)=6,"0"&amp;A205,A205)</f>
        <v>0304-29</v>
      </c>
      <c r="AE205" s="91" t="str">
        <f t="shared" ref="AE205:AE226" si="6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AF205" s="88" t="str">
        <f t="shared" ref="AF205:AF226" si="6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/stypes="app*4030*20161129*" /stext=" 10:.+((SYSTEM_STATE.+slice.+state.+changed )|(ment ac)|(multiple cpu faults)|(system.+state.+changed )|(\[timeout)|(PRM\|1\|D)|(kpr)|(kdp)|(\|lc)|(penalty))" /e /r /s</v>
      </c>
      <c r="AG205" s="1" t="str">
        <f t="shared" ref="AG205:AG226" si="67">IFERROR(IF(VALUE(LEFT(AD205,2))&lt;=2,"EC",IF(OR(VALUE(LEFT(AD205,2))=8,VALUE(LEFT(AD205,2))=18),"NW","Other")),"Other")</f>
        <v>Other</v>
      </c>
      <c r="AH205" s="92" t="str">
        <f t="shared" si="51"/>
        <v>"%USERPROFILE%\Documents\GitHub\eaglep3\Utilities\RefineRTDCRunTimes.py" --tripid 304-29 --locoid 4030 --swversion DE.1.0.8.0 --startMP 300:22327 --initTime 2016-11-29T03:28:50 --startdatetime 2016-11-29T03:30:34 --delay 1 --endMP 204:138 --enddatetime 2016-11-29T03:40:25 --enforcementcount 1 &gt;&gt;C:\Users\stu\Documents\GitHub\eaglep3-reporting\EC\2016-11-29-refined-times.txt</v>
      </c>
      <c r="AI205" s="119" t="str">
        <f t="shared" si="52"/>
        <v>echo {"issue":{"subject":"","project_id":79,"tracker_id":40,"status_id":1,"priority_id":2,"assigned_to_id":23,"start_date":"2016-11-29","description":"","custom_fields":[{"id":1,"name":"Subdivision","value":"Other"},{"id":4,"name":"Milepost","value":"0.0138"},{"id":17,"name":"Train ID","value":"304-29"},{"id":16,"name":"Locomotive ID","value":"4030"},{"id":130,"name":"Impact","value":""},{"id":150,"name":"Time of Event (Mountain Time)","value":"03:40:25"},{"id":151,"name":"Denver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721</v>
      </c>
      <c r="B206" s="7">
        <v>4022</v>
      </c>
      <c r="C206" s="22" t="s">
        <v>212</v>
      </c>
      <c r="D206" s="22" t="s">
        <v>251</v>
      </c>
      <c r="E206" s="13">
        <v>42703.800381944442</v>
      </c>
      <c r="F206" s="13">
        <v>42703.802256944444</v>
      </c>
      <c r="G206" s="7">
        <v>1</v>
      </c>
      <c r="H206" s="22" t="s">
        <v>816</v>
      </c>
      <c r="I206" s="13">
        <v>42703.80741898148</v>
      </c>
      <c r="J206" s="7">
        <v>1</v>
      </c>
      <c r="K206" s="109" t="str">
        <f t="shared" si="53"/>
        <v>4021/4022</v>
      </c>
      <c r="L206" s="22" t="str">
        <f>VLOOKUP(A206,'Trips&amp;Operators'!$C$1:$E$10000,3,FALSE)</f>
        <v>MAHAN</v>
      </c>
      <c r="M206" s="6">
        <f t="shared" si="54"/>
        <v>5.1620370359160006E-3</v>
      </c>
      <c r="N206" s="7">
        <f t="shared" si="55"/>
        <v>7.4333333317190409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18:12:33-700',mode:absolute,to:'2016-11-29 20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6" s="52" t="str">
        <f t="shared" si="59"/>
        <v>Y</v>
      </c>
      <c r="X206" s="177">
        <f t="shared" si="60"/>
        <v>1</v>
      </c>
      <c r="Y206" s="67">
        <f t="shared" si="61"/>
        <v>4.4200000000000003E-2</v>
      </c>
      <c r="Z206" s="67">
        <f t="shared" si="62"/>
        <v>2.3304</v>
      </c>
      <c r="AA206" s="67">
        <f t="shared" si="63"/>
        <v>2.2862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4"/>
        <v>0305-29</v>
      </c>
      <c r="AE206" s="91" t="str">
        <f t="shared" si="65"/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AF206" s="88" t="str">
        <f t="shared" si="66"/>
        <v>"C:\Program Files (x86)\AstroGrep\AstroGrep.exe" /spath="%USERPROFILE%\AppData\Local\Temp\OnboardLogs" /stypes="app*4022*20161130*" /stext=" 02:.+((SYSTEM_STATE.+slice.+state.+changed )|(ment ac)|(multiple cpu faults)|(system.+state.+changed )|(\[timeout)|(PRM\|1\|D)|(kpr)|(kdp)|(\|lc)|(penalty))" /e /r /s</v>
      </c>
      <c r="AG206" s="1" t="str">
        <f t="shared" si="67"/>
        <v>Other</v>
      </c>
      <c r="AH206" s="92" t="str">
        <f t="shared" ref="AH206:AH226" si="6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305-29 --locoid 4022 --swversion DE.1.0.8.0 --startMP 204:442 --initTime 2016-11-29T19:12:33 --startdatetime 2016-11-29T19:15:15 --delay 1 --endMP 300:23304 --enddatetime 2016-11-29T19:22:41 --enforcementcount 1 &gt;&gt;C:\Users\stu\Documents\GitHub\eaglep3-reporting\EC\2016-11-29-refined-times.txt</v>
      </c>
      <c r="AI206" s="119" t="str">
        <f t="shared" ref="AI206:AI226" si="6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{"issue":{"subject":"","project_id":79,"tracker_id":40,"status_id":1,"priority_id":2,"assigned_to_id":23,"start_date":"2016-11-29","description":"","custom_fields":[{"id":1,"name":"Subdivision","value":"Other"},{"id":4,"name":"Milepost","value":"2.3304"},{"id":17,"name":"Train ID","value":"305-29"},{"id":16,"name":"Locomotive ID","value":"4022"},{"id":130,"name":"Impact","value":""},{"id":150,"name":"Time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566</v>
      </c>
      <c r="B207" s="7">
        <v>4010</v>
      </c>
      <c r="C207" s="22" t="s">
        <v>212</v>
      </c>
      <c r="D207" s="22" t="s">
        <v>817</v>
      </c>
      <c r="E207" s="13">
        <v>42703.158842592595</v>
      </c>
      <c r="F207" s="13">
        <v>42703.161608796298</v>
      </c>
      <c r="G207" s="7">
        <v>3</v>
      </c>
      <c r="H207" s="22" t="s">
        <v>219</v>
      </c>
      <c r="I207" s="13">
        <v>42703.167569444442</v>
      </c>
      <c r="J207" s="7">
        <v>1</v>
      </c>
      <c r="K207" s="109" t="str">
        <f t="shared" si="53"/>
        <v>4009/4010</v>
      </c>
      <c r="L207" s="22" t="str">
        <f>VLOOKUP(A207,'Trips&amp;Operators'!$C$1:$E$10000,3,FALSE)</f>
        <v>PERKINS</v>
      </c>
      <c r="M207" s="6">
        <f t="shared" si="54"/>
        <v>5.9606481445371173E-3</v>
      </c>
      <c r="N207" s="7">
        <f t="shared" si="55"/>
        <v>8.583333328133449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02:48:44-700',mode:absolute,to:'2016-11-29 05:01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7" s="52" t="str">
        <f t="shared" si="59"/>
        <v>Y</v>
      </c>
      <c r="X207" s="177">
        <f t="shared" si="60"/>
        <v>1</v>
      </c>
      <c r="Y207" s="67">
        <f t="shared" si="61"/>
        <v>2.0030000000000001</v>
      </c>
      <c r="Z207" s="67">
        <f t="shared" si="62"/>
        <v>1.4999999999999999E-2</v>
      </c>
      <c r="AA207" s="67">
        <f t="shared" si="63"/>
        <v>1.9880000000000002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4"/>
        <v>0306-29</v>
      </c>
      <c r="AE207" s="91" t="str">
        <f t="shared" si="65"/>
        <v>aws s3 cp s3://rtdc.mdm.uploadarchive.raw/RTDC4010/ "%USERPROFILE%\AppData\Local\Temp\OnboardLogs"\RTDC4010\2016-11-29 --exclude "*" --recursive --include "*20161129*" &amp; "%USERPROFILE%\Documents\GitHub\mrs-test-scripts\Headless Mode &amp; Sideloading\WalkAndUnGZ.bat" "%USERPROFILE%\AppData\Local\Temp\OnboardLogs"\RTDC4010\2016-11-29 &amp; aws s3 cp s3://rtdc.mdm.uploadarchive.raw/RTDC4010/ "%USERPROFILE%\AppData\Local\Temp\OnboardLogs"\RTDC4010\2016-11-30 --exclude "*" --recursive --include "*20161130*" &amp; "%USERPROFILE%\Documents\GitHub\mrs-test-scripts\Headless Mode &amp; Sideloading\WalkAndUnGZ.bat" "%USERPROFILE%\AppData\Local\Temp\OnboardLogs"\RTDC4010\2016-11-30</v>
      </c>
      <c r="AF207" s="88" t="str">
        <f t="shared" si="66"/>
        <v>"C:\Program Files (x86)\AstroGrep\AstroGrep.exe" /spath="%USERPROFILE%\AppData\Local\Temp\OnboardLogs" /stypes="app*4010*20161129*" /stext=" 11:.+((SYSTEM_STATE.+slice.+state.+changed )|(ment ac)|(multiple cpu faults)|(system.+state.+changed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306-29 --locoid 4010 --swversion DE.1.0.8.0 --startMP 300:20030 --initTime 2016-11-29T03:48:44 --startdatetime 2016-11-29T03:52:43 --delay 3 --endMP 204:150 --enddatetime 2016-11-29T04:01:18 --enforcementcount 1 &gt;&gt;C:\Users\stu\Documents\GitHub\eaglep3-reporting\EC\2016-11-29-refined-times.txt</v>
      </c>
      <c r="AI207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{"issue":{"subject":"","project_id":79,"tracker_id":40,"status_id":1,"priority_id":2,"assigned_to_id":23,"start_date":"2016-11-29","description":"","custom_fields":[{"id":1,"name":"Subdivision","value":"Other"},{"id":4,"name":"Milepost","value":"0.015"},{"id":17,"name":"Train ID","value":"306-29"},{"id":16,"name":"Locomotive ID","value":"4010"},{"id":130,"name":"Impact","value":""},{"id":150,"name":"Time of Event (Mountain Time)","value":"04:01:18"},{"id":151,"name":"Denver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725</v>
      </c>
      <c r="B208" s="7">
        <v>4029</v>
      </c>
      <c r="C208" s="22" t="s">
        <v>212</v>
      </c>
      <c r="D208" s="22" t="s">
        <v>329</v>
      </c>
      <c r="E208" s="13">
        <v>42703.81927083333</v>
      </c>
      <c r="F208" s="13">
        <v>25568.708333333332</v>
      </c>
      <c r="G208" s="7">
        <v>1</v>
      </c>
      <c r="H208" s="22" t="s">
        <v>818</v>
      </c>
      <c r="I208" s="13">
        <v>25568.708333333332</v>
      </c>
      <c r="J208" s="7">
        <v>1</v>
      </c>
      <c r="K208" s="109" t="str">
        <f t="shared" si="53"/>
        <v>4029/4030</v>
      </c>
      <c r="L208" s="22" t="str">
        <f>VLOOKUP(A208,'Trips&amp;Operators'!$C$1:$E$10000,3,FALSE)</f>
        <v>STORY</v>
      </c>
      <c r="M208" s="6">
        <f t="shared" si="54"/>
        <v>0</v>
      </c>
      <c r="N208" s="7">
        <f t="shared" si="55"/>
        <v>0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18:39:45-700',mode:absolute,to:'1969-12-31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52" t="str">
        <f t="shared" si="59"/>
        <v>Y</v>
      </c>
      <c r="X208" s="177">
        <f t="shared" si="60"/>
        <v>1</v>
      </c>
      <c r="Y208" s="67">
        <f t="shared" si="61"/>
        <v>4.58E-2</v>
      </c>
      <c r="Z208" s="67">
        <f t="shared" si="62"/>
        <v>2.3302</v>
      </c>
      <c r="AA208" s="67">
        <f t="shared" si="63"/>
        <v>2.2844000000000002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4"/>
        <v>0307-29</v>
      </c>
      <c r="AE208" s="91" t="str">
        <f t="shared" si="6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8" s="88" t="str">
        <f t="shared" si="6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307-29 --locoid 4029 --swversion DE.1.0.8.0 --startMP 204:458 --initTime 2016-11-29T19:39:45 --startdatetime 1969-12-31T17:00:00 --delay 1 --endMP 300:23302 --enddatetime 1969-12-31T17:00:00 --enforcementcount 1 &gt;&gt;C:\Users\stu\Documents\GitHub\eaglep3-reporting\EC\2016-11-29-refined-times.txt</v>
      </c>
      <c r="AI208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530</v>
      </c>
      <c r="B209" s="7">
        <v>4013</v>
      </c>
      <c r="C209" s="22" t="s">
        <v>212</v>
      </c>
      <c r="D209" s="22" t="s">
        <v>819</v>
      </c>
      <c r="E209" s="13">
        <v>42703.173402777778</v>
      </c>
      <c r="F209" s="13">
        <v>42703.174942129626</v>
      </c>
      <c r="G209" s="7">
        <v>1</v>
      </c>
      <c r="H209" s="22" t="s">
        <v>233</v>
      </c>
      <c r="I209" s="13">
        <v>42703.181284722225</v>
      </c>
      <c r="J209" s="7">
        <v>1</v>
      </c>
      <c r="K209" s="109" t="str">
        <f t="shared" si="53"/>
        <v>4013/4014</v>
      </c>
      <c r="L209" s="22" t="str">
        <f>VLOOKUP(A209,'Trips&amp;Operators'!$C$1:$E$10000,3,FALSE)</f>
        <v>SPECTOR</v>
      </c>
      <c r="M209" s="6">
        <f t="shared" si="54"/>
        <v>6.3425925982301123E-3</v>
      </c>
      <c r="N209" s="7">
        <f t="shared" si="55"/>
        <v>9.1333333414513618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03:09:42-700',mode:absolute,to:'2016-11-29 05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9" s="52" t="str">
        <f t="shared" si="59"/>
        <v>Y</v>
      </c>
      <c r="X209" s="177">
        <f t="shared" si="60"/>
        <v>1</v>
      </c>
      <c r="Y209" s="67">
        <f t="shared" si="61"/>
        <v>2.3250000000000002</v>
      </c>
      <c r="Z209" s="67">
        <f t="shared" si="62"/>
        <v>1.54E-2</v>
      </c>
      <c r="AA209" s="67">
        <f t="shared" si="63"/>
        <v>2.3096000000000001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4"/>
        <v>0308-29</v>
      </c>
      <c r="AE209" s="91" t="str">
        <f t="shared" si="65"/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AF209" s="88" t="str">
        <f t="shared" si="66"/>
        <v>"C:\Program Files (x86)\AstroGrep\AstroGrep.exe" /spath="%USERPROFILE%\AppData\Local\Temp\OnboardLogs" /stypes="app*4013*20161129*" /stext=" 11:.+((SYSTEM_STATE.+slice.+state.+changed )|(ment ac)|(multiple cpu faults)|(system.+state.+changed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308-29 --locoid 4013 --swversion DE.1.0.8.0 --startMP 300:23250 --initTime 2016-11-29T04:09:42 --startdatetime 2016-11-29T04:11:55 --delay 1 --endMP 204:154 --enddatetime 2016-11-29T04:21:03 --enforcementcount 1 &gt;&gt;C:\Users\stu\Documents\GitHub\eaglep3-reporting\EC\2016-11-29-refined-times.txt</v>
      </c>
      <c r="AI209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{"issue":{"subject":"","project_id":79,"tracker_id":40,"status_id":1,"priority_id":2,"assigned_to_id":23,"start_date":"2016-11-29","description":"","custom_fields":[{"id":1,"name":"Subdivision","value":"Other"},{"id":4,"name":"Milepost","value":"0.0154"},{"id":17,"name":"Train ID","value":"308-29"},{"id":16,"name":"Locomotive ID","value":"4013"},{"id":130,"name":"Impact","value":""},{"id":150,"name":"Time of Event (Mountain Time)","value":"04:21:03"},{"id":151,"name":"Denver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752</v>
      </c>
      <c r="B210" s="7">
        <v>4003</v>
      </c>
      <c r="C210" s="22" t="s">
        <v>212</v>
      </c>
      <c r="D210" s="22" t="s">
        <v>211</v>
      </c>
      <c r="E210" s="13">
        <v>42704.028287037036</v>
      </c>
      <c r="F210" s="13">
        <v>42704.029652777775</v>
      </c>
      <c r="G210" s="7">
        <v>1</v>
      </c>
      <c r="H210" s="22" t="s">
        <v>820</v>
      </c>
      <c r="I210" s="13">
        <v>42704.035613425927</v>
      </c>
      <c r="J210" s="7">
        <v>1</v>
      </c>
      <c r="K210" s="109" t="str">
        <f t="shared" si="53"/>
        <v>4003/4004</v>
      </c>
      <c r="L210" s="22" t="str">
        <f>VLOOKUP(A210,'Trips&amp;Operators'!$C$1:$E$10000,3,FALSE)</f>
        <v>LEVERE</v>
      </c>
      <c r="M210" s="6">
        <f t="shared" si="54"/>
        <v>5.9606481518130749E-3</v>
      </c>
      <c r="N210" s="7">
        <f t="shared" si="55"/>
        <v>8.5833333386108279</v>
      </c>
      <c r="O210" s="7"/>
      <c r="P210" s="7"/>
      <c r="Q210" s="23"/>
      <c r="R210" s="23"/>
      <c r="S210" s="35">
        <f t="shared" si="56"/>
        <v>1</v>
      </c>
      <c r="T210" s="50" t="str">
        <f t="shared" si="5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23:40:44-700',mode:absolute,to:'2016-11-30 01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0" s="52" t="str">
        <f t="shared" si="59"/>
        <v>Y</v>
      </c>
      <c r="X210" s="177">
        <f t="shared" si="60"/>
        <v>1</v>
      </c>
      <c r="Y210" s="67">
        <f t="shared" si="61"/>
        <v>4.6399999999999997E-2</v>
      </c>
      <c r="Z210" s="67">
        <f t="shared" si="62"/>
        <v>2.2846000000000002</v>
      </c>
      <c r="AA210" s="67">
        <f t="shared" si="63"/>
        <v>2.2382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4"/>
        <v>0309-29</v>
      </c>
      <c r="AE210" s="91" t="str">
        <f t="shared" si="65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210" s="88" t="str">
        <f t="shared" si="66"/>
        <v>"C:\Program Files (x86)\AstroGrep\AstroGrep.exe" /spath="%USERPROFILE%\AppData\Local\Temp\OnboardLogs" /stypes="app*4003*20161130*" /stext=" 07:.+((SYSTEM_STATE.+slice.+state.+changed )|(ment ac)|(multiple cpu faults)|(system.+state.+changed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309-29 --locoid 4003 --swversion DE.1.0.8.0 --startMP 204:464 --initTime 2016-11-30T00:40:44 --startdatetime 2016-11-30T00:42:42 --delay 1 --endMP 300:22846 --enddatetime 2016-11-30T00:51:17 --enforcementcount 1 &gt;&gt;C:\Users\stu\Documents\GitHub\eaglep3-reporting\EC\2016-11-29-refined-times.txt</v>
      </c>
      <c r="AI210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{"issue":{"subject":"","project_id":79,"tracker_id":40,"status_id":1,"priority_id":2,"assigned_to_id":23,"start_date":"2016-11-30","description":"","custom_fields":[{"id":1,"name":"Subdivision","value":"Other"},{"id":4,"name":"Milepost","value":"2.2846"},{"id":17,"name":"Train ID","value":"309-29"},{"id":16,"name":"Locomotive ID","value":"4003"},{"id":130,"name":"Impact","value":""},{"id":150,"name":"Time of Event (Mountain Time)","value":"00:51:17"},{"id":151,"name":"Denver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570</v>
      </c>
      <c r="B211" s="7">
        <v>4032</v>
      </c>
      <c r="C211" s="22" t="s">
        <v>212</v>
      </c>
      <c r="D211" s="22" t="s">
        <v>821</v>
      </c>
      <c r="E211" s="13">
        <v>42703.181747685187</v>
      </c>
      <c r="F211" s="13">
        <v>42703.183888888889</v>
      </c>
      <c r="G211" s="7">
        <v>2</v>
      </c>
      <c r="H211" s="22" t="s">
        <v>324</v>
      </c>
      <c r="I211" s="13">
        <v>42703.191099537034</v>
      </c>
      <c r="J211" s="7">
        <v>1</v>
      </c>
      <c r="K211" s="109" t="str">
        <f t="shared" si="53"/>
        <v>4031/4032</v>
      </c>
      <c r="L211" s="22" t="str">
        <f>VLOOKUP(A211,'Trips&amp;Operators'!$C$1:$E$10000,3,FALSE)</f>
        <v>DAVIS</v>
      </c>
      <c r="M211" s="6">
        <f t="shared" si="54"/>
        <v>7.2106481457012706E-3</v>
      </c>
      <c r="N211" s="7">
        <f t="shared" si="55"/>
        <v>10.38333332980983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03:21:43-700',mode:absolute,to:'2016-11-29 05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52" t="str">
        <f t="shared" si="59"/>
        <v>Y</v>
      </c>
      <c r="X211" s="177">
        <f t="shared" si="60"/>
        <v>1</v>
      </c>
      <c r="Y211" s="67">
        <f t="shared" si="61"/>
        <v>2.2921</v>
      </c>
      <c r="Z211" s="67">
        <f t="shared" si="62"/>
        <v>1.38E-2</v>
      </c>
      <c r="AA211" s="67">
        <f t="shared" si="63"/>
        <v>2.2783000000000002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4"/>
        <v>0310-29</v>
      </c>
      <c r="AE211" s="91" t="str">
        <f t="shared" si="65"/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AF211" s="88" t="str">
        <f t="shared" si="66"/>
        <v>"C:\Program Files (x86)\AstroGrep\AstroGrep.exe" /spath="%USERPROFILE%\AppData\Local\Temp\OnboardLogs" /stypes="app*4032*20161129*" /stext=" 11:.+((SYSTEM_STATE.+slice.+state.+changed )|(ment ac)|(multiple cpu faults)|(system.+state.+changed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310-29 --locoid 4032 --swversion DE.1.0.8.0 --startMP 300:22921 --initTime 2016-11-29T04:21:43 --startdatetime 2016-11-29T04:24:48 --delay 2 --endMP 204:138 --enddatetime 2016-11-29T04:35:11 --enforcementcount 1 &gt;&gt;C:\Users\stu\Documents\GitHub\eaglep3-reporting\EC\2016-11-29-refined-times.txt</v>
      </c>
      <c r="AI211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{"issue":{"subject":"","project_id":79,"tracker_id":40,"status_id":1,"priority_id":2,"assigned_to_id":23,"start_date":"2016-11-29","description":"","custom_fields":[{"id":1,"name":"Subdivision","value":"Other"},{"id":4,"name":"Milepost","value":"0.0138"},{"id":17,"name":"Train ID","value":"310-29"},{"id":16,"name":"Locomotive ID","value":"4032"},{"id":130,"name":"Impact","value":""},{"id":150,"name":"Time of Event (Mountain Time)","value":"04:35:11"},{"id":151,"name":"Denver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754</v>
      </c>
      <c r="B212" s="7">
        <v>4040</v>
      </c>
      <c r="C212" s="22" t="s">
        <v>212</v>
      </c>
      <c r="D212" s="22" t="s">
        <v>388</v>
      </c>
      <c r="E212" s="13">
        <v>42704.047465277778</v>
      </c>
      <c r="F212" s="13">
        <v>25568.708333333332</v>
      </c>
      <c r="G212" s="7">
        <v>4</v>
      </c>
      <c r="H212" s="22" t="s">
        <v>351</v>
      </c>
      <c r="I212" s="13">
        <v>25568.708333333332</v>
      </c>
      <c r="J212" s="7">
        <v>1</v>
      </c>
      <c r="K212" s="109" t="str">
        <f t="shared" si="53"/>
        <v>4039/4040</v>
      </c>
      <c r="L212" s="22" t="str">
        <f>VLOOKUP(A212,'Trips&amp;Operators'!$C$1:$E$10000,3,FALSE)</f>
        <v>COOLAHAN</v>
      </c>
      <c r="M212" s="6">
        <f t="shared" si="54"/>
        <v>0</v>
      </c>
      <c r="N212" s="7">
        <f t="shared" si="55"/>
        <v>0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https://search-rtdc-monitor-bjffxe2xuh6vdkpspy63sjmuny.us-east-1.es.amazonaws.com/_plugin/kibana/#/discover/Steve-Slow-Train-Analysis-(2080s-and-2083s)?_g=(refreshInterval:(display:Off,section:0,value:0),time:(from:'2016-11-30 00:08:21-700',mode:absolute,to:'1969-12-31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2" s="52" t="str">
        <f t="shared" si="59"/>
        <v>Y</v>
      </c>
      <c r="X212" s="177">
        <f t="shared" si="60"/>
        <v>1</v>
      </c>
      <c r="Y212" s="67">
        <f t="shared" si="61"/>
        <v>4.7500000000000001E-2</v>
      </c>
      <c r="Z212" s="67">
        <f t="shared" si="62"/>
        <v>2.3298999999999999</v>
      </c>
      <c r="AA212" s="67">
        <f t="shared" si="63"/>
        <v>2.2824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4"/>
        <v>0311-29</v>
      </c>
      <c r="AE212" s="91" t="str">
        <f t="shared" si="65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2" s="88" t="str">
        <f t="shared" si="66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311-29 --locoid 4040 --swversion DE.1.0.8.0 --startMP 204:475 --initTime 2016-11-30T01:08:21 --startdatetime 1969-12-31T17:00:00 --delay 4 --endMP 300:23299 --enddatetime 1969-12-31T17:00:00 --enforcementcount 1 &gt;&gt;C:\Users\stu\Documents\GitHub\eaglep3-reporting\EC\2016-11-29-refined-times.txt</v>
      </c>
      <c r="AI212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ID","value":"311-29"},{"id":16,"name":"Locomotive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756</v>
      </c>
      <c r="B213" s="7">
        <v>4016</v>
      </c>
      <c r="C213" s="22" t="s">
        <v>212</v>
      </c>
      <c r="D213" s="22" t="s">
        <v>822</v>
      </c>
      <c r="E213" s="13">
        <v>42704.065428240741</v>
      </c>
      <c r="F213" s="13">
        <v>25568.708333333332</v>
      </c>
      <c r="G213" s="7">
        <v>1</v>
      </c>
      <c r="H213" s="22" t="s">
        <v>823</v>
      </c>
      <c r="I213" s="13">
        <v>25568.708333333332</v>
      </c>
      <c r="J213" s="7">
        <v>1</v>
      </c>
      <c r="K213" s="109" t="str">
        <f t="shared" si="53"/>
        <v>4015/4016</v>
      </c>
      <c r="L213" s="22" t="str">
        <f>VLOOKUP(A213,'Trips&amp;Operators'!$C$1:$E$10000,3,FALSE)</f>
        <v>YANAI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https://search-rtdc-monitor-bjffxe2xuh6vdkpspy63sjmuny.us-east-1.es.amazonaws.com/_plugin/kibana/#/discover/Steve-Slow-Train-Analysis-(2080s-and-2083s)?_g=(refreshInterval:(display:Off,section:0,value:0),time:(from:'2016-11-30 00:34:13-700',mode:absolute,to:'1969-12-31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 t="shared" si="59"/>
        <v>Y</v>
      </c>
      <c r="X213" s="177">
        <f t="shared" si="60"/>
        <v>2</v>
      </c>
      <c r="Y213" s="67">
        <f t="shared" si="61"/>
        <v>5.8000000000000003E-2</v>
      </c>
      <c r="Z213" s="67">
        <f t="shared" si="62"/>
        <v>2.3126000000000002</v>
      </c>
      <c r="AA213" s="67">
        <f t="shared" si="63"/>
        <v>2.2546000000000004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4"/>
        <v>0313-29</v>
      </c>
      <c r="AE213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 t="shared" si="66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313-29 --locoid 4016 --swversion DE.1.0.8.0 --startMP 204:580 --initTime 2016-11-30T01:34:13 --startdatetime 1969-12-31T17:00:00 --delay 1 --endMP 300:23126 --enddatetime 1969-12-31T17:00:00 --enforcementcount 1 &gt;&gt;C:\Users\stu\Documents\GitHub\eaglep3-reporting\EC\2016-11-29-refined-times.txt</v>
      </c>
      <c r="AI213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{"issue":{"subject":"","project_id":79,"tracker_id":40,"status_id":1,"priority_id":2,"assigned_to_id":23,"start_date":"1969-12-31","description":"","custom_fields":[{"id":1,"name":"Subdivision","value":"Other"},{"id":4,"name":"Milepost","value":"2.3126"},{"id":17,"name":"Train ID","value":"313-29"},{"id":16,"name":"Locomotive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574</v>
      </c>
      <c r="B214" s="7">
        <v>4011</v>
      </c>
      <c r="C214" s="22" t="s">
        <v>212</v>
      </c>
      <c r="D214" s="22" t="s">
        <v>874</v>
      </c>
      <c r="E214" s="13">
        <v>42703.199537037035</v>
      </c>
      <c r="F214" s="13">
        <v>42703.207037037035</v>
      </c>
      <c r="G214" s="7">
        <v>10</v>
      </c>
      <c r="H214" s="22" t="s">
        <v>408</v>
      </c>
      <c r="I214" s="13">
        <v>42703.212233796294</v>
      </c>
      <c r="J214" s="7">
        <v>1</v>
      </c>
      <c r="K214" s="109" t="str">
        <f t="shared" si="53"/>
        <v>4011/4012</v>
      </c>
      <c r="L214" s="22" t="str">
        <f>VLOOKUP(A214,'Trips&amp;Operators'!$C$1:$E$10000,3,FALSE)</f>
        <v>STARKS</v>
      </c>
      <c r="M214" s="6">
        <f t="shared" si="54"/>
        <v>5.1967592589790002E-3</v>
      </c>
      <c r="N214" s="7">
        <f t="shared" si="55"/>
        <v>7.4833333329297602</v>
      </c>
      <c r="O214" s="7"/>
      <c r="P214" s="7"/>
      <c r="Q214" s="23"/>
      <c r="R214" s="23"/>
      <c r="S214" s="35">
        <f t="shared" si="56"/>
        <v>0</v>
      </c>
      <c r="T214" s="50" t="str">
        <f t="shared" si="57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03:47:20-700',mode:absolute,to:'2016-11-29 06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4" s="52" t="str">
        <f t="shared" si="59"/>
        <v>Y</v>
      </c>
      <c r="X214" s="177">
        <f t="shared" si="60"/>
        <v>588</v>
      </c>
      <c r="Y214" s="67">
        <f t="shared" si="61"/>
        <v>2.9773000000000001</v>
      </c>
      <c r="Z214" s="67">
        <f t="shared" si="62"/>
        <v>5.8940999999999999</v>
      </c>
      <c r="AA214" s="67">
        <f t="shared" si="63"/>
        <v>2.9167999999999998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4"/>
        <v>0901-29</v>
      </c>
      <c r="AE214" s="91" t="str">
        <f t="shared" si="65"/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AF214" s="88" t="str">
        <f t="shared" si="66"/>
        <v>"C:\Program Files (x86)\AstroGrep\AstroGrep.exe" /spath="%USERPROFILE%\AppData\Local\Temp\OnboardLogs" /stypes="app*4011*20161129*" /stext=" 12:.+((SYSTEM_STATE.+slice.+state.+changed )|(ment ac)|(multiple cpu faults)|(system.+state.+changed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901-29 --locoid 4011 --swversion DE.1.0.8.0 --startMP 300:29773 --initTime 2016-11-29T04:47:20 --startdatetime 2016-11-29T04:58:08 --delay 10 --endMP 300:58941 --enddatetime 2016-11-29T05:05:37 --enforcementcount 1 &gt;&gt;C:\Users\stu\Documents\GitHub\eaglep3-reporting\EC\2016-11-29-refined-times.txt</v>
      </c>
      <c r="AI214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{"issue":{"subject":"","project_id":79,"tracker_id":40,"status_id":1,"priority_id":2,"assigned_to_id":23,"start_date":"2016-11-29","description":"","custom_fields":[{"id":1,"name":"Subdivision","value":"Other"},{"id":4,"name":"Milepost","value":"5.8941"},{"id":17,"name":"Train ID","value":"901-29"},{"id":16,"name":"Locomotive ID","value":"4011"},{"id":130,"name":"Impact","value":""},{"id":150,"name":"Time of Event (Mountain Time)","value":"05:05:37"},{"id":151,"name":"Denver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583</v>
      </c>
      <c r="B215" s="7">
        <v>4043</v>
      </c>
      <c r="C215" s="22" t="s">
        <v>212</v>
      </c>
      <c r="D215" s="22" t="s">
        <v>875</v>
      </c>
      <c r="E215" s="13">
        <v>42703.239583333336</v>
      </c>
      <c r="F215" s="13">
        <v>42703.24077546296</v>
      </c>
      <c r="G215" s="7">
        <v>1</v>
      </c>
      <c r="H215" s="22" t="s">
        <v>348</v>
      </c>
      <c r="I215" s="13">
        <v>42703.247372685182</v>
      </c>
      <c r="J215" s="7">
        <v>1</v>
      </c>
      <c r="K215" s="109" t="str">
        <f t="shared" si="53"/>
        <v>4043/4044</v>
      </c>
      <c r="L215" s="22" t="str">
        <f>VLOOKUP(A215,'Trips&amp;Operators'!$C$1:$E$10000,3,FALSE)</f>
        <v>LEVIN</v>
      </c>
      <c r="M215" s="6">
        <f t="shared" si="54"/>
        <v>6.5972222218988463E-3</v>
      </c>
      <c r="N215" s="7">
        <f t="shared" si="55"/>
        <v>9.4999999995343387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04:45:00-700',mode:absolute,to:'2016-11-29 06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5" s="52" t="str">
        <f t="shared" si="59"/>
        <v>Y</v>
      </c>
      <c r="X215" s="177">
        <f t="shared" si="60"/>
        <v>1</v>
      </c>
      <c r="Y215" s="67">
        <f t="shared" si="61"/>
        <v>2.3466</v>
      </c>
      <c r="Z215" s="67">
        <f t="shared" si="62"/>
        <v>6.8400000000000002E-2</v>
      </c>
      <c r="AA215" s="67">
        <f t="shared" si="63"/>
        <v>2.2782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64"/>
        <v>0902-29</v>
      </c>
      <c r="AE215" s="91" t="str">
        <f t="shared" si="65"/>
        <v>aws s3 cp s3://rtdc.mdm.uploadarchive.raw/RTDC4043/ "%USERPROFILE%\AppData\Local\Temp\OnboardLogs"\RTDC4043\2016-11-29 --exclude "*" --recursive --include "*20161129*" &amp; "%USERPROFILE%\Documents\GitHub\mrs-test-scripts\Headless Mode &amp; Sideloading\WalkAndUnGZ.bat" "%USERPROFILE%\AppData\Local\Temp\OnboardLogs"\RTDC4043\2016-11-29 &amp; 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</v>
      </c>
      <c r="AF215" s="88" t="str">
        <f t="shared" si="66"/>
        <v>"C:\Program Files (x86)\AstroGrep\AstroGrep.exe" /spath="%USERPROFILE%\AppData\Local\Temp\OnboardLogs" /stypes="app*4043*20161129*" /stext=" 12:.+((SYSTEM_STATE.+slice.+state.+changed )|(ment ac)|(multiple cpu faults)|(system.+state.+changed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902-29 --locoid 4043 --swversion DE.1.0.8.0 --startMP 300:23466 --initTime 2016-11-29T05:45:00 --startdatetime 2016-11-29T05:46:43 --delay 1 --endMP 204:684 --enddatetime 2016-11-29T05:56:13 --enforcementcount 1 &gt;&gt;C:\Users\stu\Documents\GitHub\eaglep3-reporting\EC\2016-11-29-refined-times.txt</v>
      </c>
      <c r="AI215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{"issue":{"subject":"","project_id":79,"tracker_id":40,"status_id":1,"priority_id":2,"assigned_to_id":23,"start_date":"2016-11-29","description":"","custom_fields":[{"id":1,"name":"Subdivision","value":"Other"},{"id":4,"name":"Milepost","value":"0.0684"},{"id":17,"name":"Train ID","value":"902-29"},{"id":16,"name":"Locomotive ID","value":"4043"},{"id":130,"name":"Impact","value":""},{"id":150,"name":"Time of Event (Mountain Time)","value":"05:56:13"},{"id":151,"name":"Denver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618</v>
      </c>
      <c r="B216" s="7">
        <v>4044</v>
      </c>
      <c r="C216" s="22" t="s">
        <v>212</v>
      </c>
      <c r="D216" s="22" t="s">
        <v>876</v>
      </c>
      <c r="E216" s="13">
        <v>42703.373842592591</v>
      </c>
      <c r="F216" s="13">
        <v>25568.708333333332</v>
      </c>
      <c r="G216" s="7">
        <v>1</v>
      </c>
      <c r="H216" s="22" t="s">
        <v>818</v>
      </c>
      <c r="I216" s="13">
        <v>25568.708333333332</v>
      </c>
      <c r="J216" s="7">
        <v>1</v>
      </c>
      <c r="K216" s="109" t="str">
        <f t="shared" si="53"/>
        <v>4043/4044</v>
      </c>
      <c r="L216" s="22" t="str">
        <f>VLOOKUP(A216,'Trips&amp;Operators'!$C$1:$E$10000,3,FALSE)</f>
        <v>STARKS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07:58:20-700',mode:absolute,to:'1969-12-31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6" s="52" t="str">
        <f t="shared" si="59"/>
        <v>Y</v>
      </c>
      <c r="X216" s="177">
        <f t="shared" si="60"/>
        <v>1</v>
      </c>
      <c r="Y216" s="67">
        <f t="shared" si="61"/>
        <v>4.2999999999999997E-2</v>
      </c>
      <c r="Z216" s="67">
        <f t="shared" si="62"/>
        <v>2.3302</v>
      </c>
      <c r="AA216" s="67">
        <f t="shared" si="63"/>
        <v>2.2871999999999999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64"/>
        <v>0903-29</v>
      </c>
      <c r="AE216" s="91" t="str">
        <f t="shared" si="6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6" s="88" t="str">
        <f t="shared" si="66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6" s="1" t="str">
        <f t="shared" si="67"/>
        <v>Other</v>
      </c>
      <c r="AH216" s="92" t="str">
        <f t="shared" si="68"/>
        <v>"%USERPROFILE%\Documents\GitHub\eaglep3\Utilities\RefineRTDCRunTimes.py" --tripid 903-29 --locoid 4044 --swversion DE.1.0.8.0 --startMP 204:430 --initTime 2016-11-29T08:58:20 --startdatetime 1969-12-31T17:00:00 --delay 1 --endMP 300:23302 --enddatetime 1969-12-31T17:00:00 --enforcementcount 1 &gt;&gt;C:\Users\stu\Documents\GitHub\eaglep3-reporting\EC\2016-11-29-refined-times.txt</v>
      </c>
      <c r="AI21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ID","value":"903-29"},{"id":16,"name":"Locomotive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674</v>
      </c>
      <c r="B217" s="7">
        <v>4041</v>
      </c>
      <c r="C217" s="22" t="s">
        <v>212</v>
      </c>
      <c r="D217" s="22" t="s">
        <v>877</v>
      </c>
      <c r="E217" s="13">
        <v>42703.641319444447</v>
      </c>
      <c r="F217" s="13">
        <v>42703.642592592594</v>
      </c>
      <c r="G217" s="7">
        <v>1</v>
      </c>
      <c r="H217" s="22" t="s">
        <v>878</v>
      </c>
      <c r="I217" s="13">
        <v>42703.649004629631</v>
      </c>
      <c r="J217" s="7">
        <v>1</v>
      </c>
      <c r="K217" s="109" t="str">
        <f t="shared" si="53"/>
        <v>4041/4042</v>
      </c>
      <c r="L217" s="22" t="str">
        <f>VLOOKUP(A217,'Trips&amp;Operators'!$C$1:$E$10000,3,FALSE)</f>
        <v>STAMBAUGH</v>
      </c>
      <c r="M217" s="6">
        <f t="shared" si="54"/>
        <v>6.4120370370801538E-3</v>
      </c>
      <c r="N217" s="7">
        <f t="shared" si="55"/>
        <v>9.2333333333954215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Southbound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14:23:30-700',mode:absolute,to:'2016-11-29 16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7" s="52" t="str">
        <f t="shared" si="59"/>
        <v>Y</v>
      </c>
      <c r="X217" s="177">
        <f t="shared" si="60"/>
        <v>1</v>
      </c>
      <c r="Y217" s="67">
        <f t="shared" si="61"/>
        <v>2.1943000000000001</v>
      </c>
      <c r="Z217" s="67">
        <f t="shared" si="62"/>
        <v>7.1300000000000002E-2</v>
      </c>
      <c r="AA217" s="67">
        <f t="shared" si="63"/>
        <v>2.1230000000000002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64"/>
        <v>0904-29</v>
      </c>
      <c r="AE217" s="91" t="str">
        <f t="shared" si="65"/>
        <v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v>
      </c>
      <c r="AF217" s="88" t="str">
        <f t="shared" si="66"/>
        <v>"C:\Program Files (x86)\AstroGrep\AstroGrep.exe" /spath="%USERPROFILE%\AppData\Local\Temp\OnboardLogs" /stypes="app*4041*20161129*" /stext=" 22:.+((SYSTEM_STATE.+slice.+state.+changed )|(ment ac)|(multiple cpu faults)|(system.+state.+changed )|(\[timeout)|(PRM\|1\|D)|(kpr)|(kdp)|(\|lc)|(penalty))" /e /r /s</v>
      </c>
      <c r="AG217" s="1" t="str">
        <f t="shared" si="67"/>
        <v>Other</v>
      </c>
      <c r="AH217" s="92" t="str">
        <f t="shared" si="68"/>
        <v>"%USERPROFILE%\Documents\GitHub\eaglep3\Utilities\RefineRTDCRunTimes.py" --tripid 904-29 --locoid 4041 --swversion DE.1.0.8.0 --startMP 300:21943 --initTime 2016-11-29T15:23:30 --startdatetime 2016-11-29T15:25:20 --delay 1 --endMP 204:713 --enddatetime 2016-11-29T15:34:34 --enforcementcount 1 &gt;&gt;C:\Users\stu\Documents\GitHub\eaglep3-reporting\EC\2016-11-29-refined-times.txt</v>
      </c>
      <c r="AI217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{"issue":{"subject":"","project_id":79,"tracker_id":40,"status_id":1,"priority_id":2,"assigned_to_id":23,"start_date":"2016-11-29","description":"","custom_fields":[{"id":1,"name":"Subdivision","value":"Other"},{"id":4,"name":"Milepost","value":"0.0713"},{"id":17,"name":"Train ID","value":"904-29"},{"id":16,"name":"Locomotive ID","value":"4041"},{"id":130,"name":"Impact","value":""},{"id":150,"name":"Time of Event (Mountain Time)","value":"15:34:34"},{"id":151,"name":"Denver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743</v>
      </c>
      <c r="B218" s="7">
        <v>4012</v>
      </c>
      <c r="C218" s="22" t="s">
        <v>212</v>
      </c>
      <c r="D218" s="22" t="s">
        <v>398</v>
      </c>
      <c r="E218" s="13">
        <v>42703.941261574073</v>
      </c>
      <c r="F218" s="13">
        <v>42703.943032407406</v>
      </c>
      <c r="G218" s="7">
        <v>1</v>
      </c>
      <c r="H218" s="22" t="s">
        <v>879</v>
      </c>
      <c r="I218" s="13">
        <v>42703.947245370371</v>
      </c>
      <c r="J218" s="7">
        <v>1</v>
      </c>
      <c r="K218" s="109" t="str">
        <f t="shared" si="53"/>
        <v>4011/4012</v>
      </c>
      <c r="L218" s="22" t="str">
        <f>VLOOKUP(A218,'Trips&amp;Operators'!$C$1:$E$10000,3,FALSE)</f>
        <v>STAMBAUGH</v>
      </c>
      <c r="M218" s="6">
        <f t="shared" si="54"/>
        <v>4.2129629655391909E-3</v>
      </c>
      <c r="N218" s="7">
        <f t="shared" si="55"/>
        <v>6.0666666703764349</v>
      </c>
      <c r="O218" s="7"/>
      <c r="P218" s="7"/>
      <c r="Q218" s="23"/>
      <c r="R218" s="23"/>
      <c r="S218" s="35">
        <f t="shared" si="56"/>
        <v>0</v>
      </c>
      <c r="T218" s="50" t="str">
        <f t="shared" si="57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21:35:25-700',mode:absolute,to:'2016-11-29 23:44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8" s="52" t="str">
        <f t="shared" si="59"/>
        <v>Y</v>
      </c>
      <c r="X218" s="177">
        <f t="shared" si="60"/>
        <v>4</v>
      </c>
      <c r="Y218" s="67">
        <f t="shared" si="61"/>
        <v>5.8605999999999998</v>
      </c>
      <c r="Z218" s="67">
        <f t="shared" si="62"/>
        <v>2.1526000000000001</v>
      </c>
      <c r="AA218" s="67">
        <f t="shared" si="63"/>
        <v>3.7079999999999997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64"/>
        <v>0908-29</v>
      </c>
      <c r="AE218" s="91" t="str">
        <f t="shared" si="65"/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AF218" s="88" t="str">
        <f t="shared" si="66"/>
        <v>"C:\Program Files (x86)\AstroGrep\AstroGrep.exe" /spath="%USERPROFILE%\AppData\Local\Temp\OnboardLogs" /stypes="app*4012*20161130*" /stext=" 05:.+((SYSTEM_STATE.+slice.+state.+changed )|(ment ac)|(multiple cpu faults)|(system.+state.+changed )|(\[timeout)|(PRM\|1\|D)|(kpr)|(kdp)|(\|lc)|(penalty))" /e /r /s</v>
      </c>
      <c r="AG218" s="1" t="str">
        <f t="shared" si="67"/>
        <v>Other</v>
      </c>
      <c r="AH218" s="92" t="str">
        <f t="shared" si="68"/>
        <v>"%USERPROFILE%\Documents\GitHub\eaglep3\Utilities\RefineRTDCRunTimes.py" --tripid 908-29 --locoid 4012 --swversion DE.1.0.8.0 --startMP 300:58606 --initTime 2016-11-29T22:35:25 --startdatetime 2016-11-29T22:37:58 --delay 1 --endMP 300:21526 --enddatetime 2016-11-29T22:44:02 --enforcementcount 1 &gt;&gt;C:\Users\stu\Documents\GitHub\eaglep3-reporting\EC\2016-11-29-refined-times.txt</v>
      </c>
      <c r="AI218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{"issue":{"subject":"","project_id":79,"tracker_id":40,"status_id":1,"priority_id":2,"assigned_to_id":23,"start_date":"2016-11-29","description":"","custom_fields":[{"id":1,"name":"Subdivision","value":"Other"},{"id":4,"name":"Milepost","value":"2.1526"},{"id":17,"name":"Train ID","value":"908-29"},{"id":16,"name":"Locomotive ID","value":"4012"},{"id":130,"name":"Impact","value":""},{"id":150,"name":"Time of Event (Mountain Time)","value":"22:44:02"},{"id":151,"name":"Denver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544</v>
      </c>
      <c r="B219" s="7">
        <v>4008</v>
      </c>
      <c r="C219" s="22" t="s">
        <v>212</v>
      </c>
      <c r="D219" s="22" t="s">
        <v>824</v>
      </c>
      <c r="E219" s="13">
        <v>42703.434479166666</v>
      </c>
      <c r="F219" s="13">
        <v>42703.435810185183</v>
      </c>
      <c r="G219" s="7">
        <v>1</v>
      </c>
      <c r="H219" s="22" t="s">
        <v>825</v>
      </c>
      <c r="I219" s="13">
        <v>42703.440949074073</v>
      </c>
      <c r="J219" s="7">
        <v>1</v>
      </c>
      <c r="K219" s="109" t="str">
        <f t="shared" si="53"/>
        <v>4007/4008</v>
      </c>
      <c r="L219" s="22" t="str">
        <f>VLOOKUP(A219,'Trips&amp;Operators'!$C$1:$E$10000,3,FALSE)</f>
        <v>BARTLETT</v>
      </c>
      <c r="M219" s="6">
        <f t="shared" si="54"/>
        <v>5.1388888896326534E-3</v>
      </c>
      <c r="N219" s="7">
        <f t="shared" si="55"/>
        <v>7.400000001071021</v>
      </c>
      <c r="O219" s="7"/>
      <c r="P219" s="7"/>
      <c r="Q219" s="23"/>
      <c r="R219" s="23"/>
      <c r="S219" s="35">
        <f t="shared" si="56"/>
        <v>0</v>
      </c>
      <c r="T219" s="50" t="e">
        <f t="shared" si="57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09:25:39-700',mode:absolute,to:'2016-11-29 11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52" t="str">
        <f t="shared" si="59"/>
        <v>Y</v>
      </c>
      <c r="X219" s="177" t="e">
        <f t="shared" si="60"/>
        <v>#VALUE!</v>
      </c>
      <c r="Y219" s="67">
        <f t="shared" si="61"/>
        <v>2.2050999999999998</v>
      </c>
      <c r="Z219" s="67">
        <f t="shared" si="62"/>
        <v>0.01</v>
      </c>
      <c r="AA219" s="67">
        <f t="shared" si="63"/>
        <v>2.1951000000000001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64"/>
        <v>50-29</v>
      </c>
      <c r="AE219" s="91" t="str">
        <f t="shared" si="65"/>
        <v>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 &amp; aws s3 cp s3://rtdc.mdm.uploadarchive.raw/RTDC4008/ "%USERPROFILE%\AppData\Local\Temp\OnboardLogs"\RTDC4008\2016-11-30 --exclude "*" --recursive --include "*20161130*" &amp; "%USERPROFILE%\Documents\GitHub\mrs-test-scripts\Headless Mode &amp; Sideloading\WalkAndUnGZ.bat" "%USERPROFILE%\AppData\Local\Temp\OnboardLogs"\RTDC4008\2016-11-30</v>
      </c>
      <c r="AF219" s="88" t="str">
        <f t="shared" si="66"/>
        <v>"C:\Program Files (x86)\AstroGrep\AstroGrep.exe" /spath="%USERPROFILE%\AppData\Local\Temp\OnboardLogs" /stypes="app*4008*20161129*" /stext=" 17:.+((SYSTEM_STATE.+slice.+state.+changed )|(ment ac)|(multiple cpu faults)|(system.+state.+changed )|(\[timeout)|(PRM\|1\|D)|(kpr)|(kdp)|(\|lc)|(penalty))" /e /r /s</v>
      </c>
      <c r="AG219" s="1" t="str">
        <f t="shared" si="67"/>
        <v>Other</v>
      </c>
      <c r="AH219" s="92" t="str">
        <f t="shared" si="68"/>
        <v>"%USERPROFILE%\Documents\GitHub\eaglep3\Utilities\RefineRTDCRunTimes.py" --tripid 50-29 --locoid 4008 --swversion DE.1.0.8.0 --startMP 300:22051 --initTime 2016-11-29T10:25:39 --startdatetime 2016-11-29T10:27:34 --delay 1 --endMP 204:100 --enddatetime 2016-11-29T10:34:58 --enforcementcount 1 &gt;&gt;C:\Users\stu\Documents\GitHub\eaglep3-reporting\EC\2016-11-29-refined-times.txt</v>
      </c>
      <c r="AI219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{"issue":{"subject":"","project_id":79,"tracker_id":40,"status_id":1,"priority_id":2,"assigned_to_id":23,"start_date":"2016-11-29","description":"","custom_fields":[{"id":1,"name":"Subdivision","value":"Other"},{"id":4,"name":"Milepost","value":"0.01"},{"id":17,"name":"Train ID","value":"50-29"},{"id":16,"name":"Locomotive ID","value":"4008"},{"id":130,"name":"Impact","value":""},{"id":150,"name":"Time of Event (Mountain Time)","value":"10:34:58"},{"id":151,"name":"Denver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635</v>
      </c>
      <c r="B220" s="7">
        <v>4007</v>
      </c>
      <c r="C220" s="22" t="s">
        <v>212</v>
      </c>
      <c r="D220" s="22" t="s">
        <v>826</v>
      </c>
      <c r="E220" s="13">
        <v>42703.465486111112</v>
      </c>
      <c r="F220" s="13">
        <v>42703.466805555552</v>
      </c>
      <c r="G220" s="7">
        <v>1</v>
      </c>
      <c r="H220" s="22" t="s">
        <v>827</v>
      </c>
      <c r="I220" s="13">
        <v>42703.472129629627</v>
      </c>
      <c r="J220" s="7">
        <v>1</v>
      </c>
      <c r="K220" s="109" t="str">
        <f t="shared" si="53"/>
        <v>4007/4008</v>
      </c>
      <c r="L220" s="22" t="str">
        <f>VLOOKUP(A220,'Trips&amp;Operators'!$C$1:$E$10000,3,FALSE)</f>
        <v>BEAM</v>
      </c>
      <c r="M220" s="6">
        <f t="shared" si="54"/>
        <v>5.324074074451346E-3</v>
      </c>
      <c r="N220" s="7">
        <f t="shared" si="55"/>
        <v>7.6666666672099382</v>
      </c>
      <c r="O220" s="7"/>
      <c r="P220" s="7"/>
      <c r="Q220" s="23"/>
      <c r="R220" s="23"/>
      <c r="S220" s="35">
        <f t="shared" si="56"/>
        <v>0</v>
      </c>
      <c r="T220" s="50" t="e">
        <f t="shared" si="57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10:10:18-700',mode:absolute,to:'2016-11-29 12:19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0" s="52" t="str">
        <f t="shared" si="59"/>
        <v>Y</v>
      </c>
      <c r="X220" s="177" t="e">
        <f t="shared" si="60"/>
        <v>#VALUE!</v>
      </c>
      <c r="Y220" s="67">
        <f t="shared" si="61"/>
        <v>3.8800000000000001E-2</v>
      </c>
      <c r="Z220" s="67">
        <f t="shared" si="62"/>
        <v>2.4241000000000001</v>
      </c>
      <c r="AA220" s="67">
        <f t="shared" si="63"/>
        <v>2.3853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64"/>
        <v>51-29</v>
      </c>
      <c r="AE220" s="91" t="str">
        <f t="shared" si="65"/>
        <v>aws s3 cp s3://rtdc.mdm.uploadarchive.raw/RTDC4007/ "%USERPROFILE%\AppData\Local\Temp\OnboardLogs"\RTDC4007\2016-11-29 --exclude "*" --recursive --include "*20161129*" &amp; "%USERPROFILE%\Documents\GitHub\mrs-test-scripts\Headless Mode &amp; Sideloading\WalkAndUnGZ.bat" "%USERPROFILE%\AppData\Local\Temp\OnboardLogs"\RTDC4007\2016-11-29 &amp; aws s3 cp s3://rtdc.mdm.uploadarchive.raw/RTDC4007/ "%USERPROFILE%\AppData\Local\Temp\OnboardLogs"\RTDC4007\2016-11-30 --exclude "*" --recursive --include "*20161130*" &amp; "%USERPROFILE%\Documents\GitHub\mrs-test-scripts\Headless Mode &amp; Sideloading\WalkAndUnGZ.bat" "%USERPROFILE%\AppData\Local\Temp\OnboardLogs"\RTDC4007\2016-11-30</v>
      </c>
      <c r="AF220" s="88" t="str">
        <f t="shared" si="66"/>
        <v>"C:\Program Files (x86)\AstroGrep\AstroGrep.exe" /spath="%USERPROFILE%\AppData\Local\Temp\OnboardLogs" /stypes="app*4007*20161129*" /stext=" 18:.+((SYSTEM_STATE.+slice.+state.+changed )|(ment ac)|(multiple cpu faults)|(system.+state.+changed )|(\[timeout)|(PRM\|1\|D)|(kpr)|(kdp)|(\|lc)|(penalty))" /e /r /s</v>
      </c>
      <c r="AG220" s="1" t="str">
        <f t="shared" si="67"/>
        <v>Other</v>
      </c>
      <c r="AH220" s="92" t="str">
        <f t="shared" si="68"/>
        <v>"%USERPROFILE%\Documents\GitHub\eaglep3\Utilities\RefineRTDCRunTimes.py" --tripid 51-29 --locoid 4007 --swversion DE.1.0.8.0 --startMP 204:388 --initTime 2016-11-29T11:10:18 --startdatetime 2016-11-29T11:12:12 --delay 1 --endMP 300:24241 --enddatetime 2016-11-29T11:19:52 --enforcementcount 1 &gt;&gt;C:\Users\stu\Documents\GitHub\eaglep3-reporting\EC\2016-11-29-refined-times.txt</v>
      </c>
      <c r="AI220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{"issue":{"subject":"","project_id":79,"tracker_id":40,"status_id":1,"priority_id":2,"assigned_to_id":23,"start_date":"2016-11-29","description":"","custom_fields":[{"id":1,"name":"Subdivision","value":"Other"},{"id":4,"name":"Milepost","value":"2.4241"},{"id":17,"name":"Train ID","value":"51-29"},{"id":16,"name":"Locomotive ID","value":"4007"},{"id":130,"name":"Impact","value":""},{"id":150,"name":"Time of Event (Mountain Time)","value":"11:19:52"},{"id":151,"name":"Denver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548</v>
      </c>
      <c r="B221" s="7">
        <v>4028</v>
      </c>
      <c r="C221" s="22" t="s">
        <v>212</v>
      </c>
      <c r="D221" s="22" t="s">
        <v>828</v>
      </c>
      <c r="E221" s="13">
        <v>42703.456018518518</v>
      </c>
      <c r="F221" s="13">
        <v>42703.457824074074</v>
      </c>
      <c r="G221" s="7">
        <v>1</v>
      </c>
      <c r="H221" s="22" t="s">
        <v>829</v>
      </c>
      <c r="I221" s="13">
        <v>42703.463506944441</v>
      </c>
      <c r="J221" s="7">
        <v>1</v>
      </c>
      <c r="K221" s="109" t="str">
        <f t="shared" si="53"/>
        <v>4027/4028</v>
      </c>
      <c r="L221" s="22" t="str">
        <f>VLOOKUP(A221,'Trips&amp;Operators'!$C$1:$E$10000,3,FALSE)</f>
        <v>DAVIDSON</v>
      </c>
      <c r="M221" s="6">
        <f t="shared" si="54"/>
        <v>5.6828703673090786E-3</v>
      </c>
      <c r="N221" s="7">
        <f t="shared" si="55"/>
        <v>8.1833333289250731</v>
      </c>
      <c r="O221" s="7"/>
      <c r="P221" s="7"/>
      <c r="Q221" s="23"/>
      <c r="R221" s="23"/>
      <c r="S221" s="35">
        <f t="shared" si="56"/>
        <v>0</v>
      </c>
      <c r="T221" s="50" t="e">
        <f t="shared" si="57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09:56:40-700',mode:absolute,to:'2016-11-29 12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1" s="52" t="str">
        <f t="shared" si="59"/>
        <v>Y</v>
      </c>
      <c r="X221" s="177" t="e">
        <f t="shared" si="60"/>
        <v>#VALUE!</v>
      </c>
      <c r="Y221" s="67">
        <f t="shared" si="61"/>
        <v>2.3140999999999998</v>
      </c>
      <c r="Z221" s="67">
        <f t="shared" si="62"/>
        <v>9.7600000000000006E-2</v>
      </c>
      <c r="AA221" s="67">
        <f t="shared" si="63"/>
        <v>2.2164999999999999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64"/>
        <v>52-29</v>
      </c>
      <c r="AE221" s="91" t="str">
        <f t="shared" si="65"/>
        <v>aws s3 cp s3://rtdc.mdm.uploadarchive.raw/RTDC4028/ "%USERPROFILE%\AppData\Local\Temp\OnboardLogs"\RTDC4028\2016-11-29 --exclude "*" --recursive --include "*20161129*" &amp; "%USERPROFILE%\Documents\GitHub\mrs-test-scripts\Headless Mode &amp; Sideloading\WalkAndUnGZ.bat" "%USERPROFILE%\AppData\Local\Temp\OnboardLogs"\RTDC4028\2016-11-29 &amp; aws s3 cp s3://rtdc.mdm.uploadarchive.raw/RTDC4028/ "%USERPROFILE%\AppData\Local\Temp\OnboardLogs"\RTDC4028\2016-11-30 --exclude "*" --recursive --include "*20161130*" &amp; "%USERPROFILE%\Documents\GitHub\mrs-test-scripts\Headless Mode &amp; Sideloading\WalkAndUnGZ.bat" "%USERPROFILE%\AppData\Local\Temp\OnboardLogs"\RTDC4028\2016-11-30</v>
      </c>
      <c r="AF221" s="88" t="str">
        <f t="shared" si="66"/>
        <v>"C:\Program Files (x86)\AstroGrep\AstroGrep.exe" /spath="%USERPROFILE%\AppData\Local\Temp\OnboardLogs" /stypes="app*4028*20161129*" /stext=" 18:.+((SYSTEM_STATE.+slice.+state.+changed )|(ment ac)|(multiple cpu faults)|(system.+state.+changed )|(\[timeout)|(PRM\|1\|D)|(kpr)|(kdp)|(\|lc)|(penalty))" /e /r /s</v>
      </c>
      <c r="AG221" s="1" t="str">
        <f t="shared" si="67"/>
        <v>Other</v>
      </c>
      <c r="AH221" s="92" t="str">
        <f t="shared" si="68"/>
        <v>"%USERPROFILE%\Documents\GitHub\eaglep3\Utilities\RefineRTDCRunTimes.py" --tripid 52-29 --locoid 4028 --swversion DE.1.0.8.0 --startMP 300:23141 --initTime 2016-11-29T10:56:40 --startdatetime 2016-11-29T10:59:16 --delay 1 --endMP 204:976 --enddatetime 2016-11-29T11:07:27 --enforcementcount 1 &gt;&gt;C:\Users\stu\Documents\GitHub\eaglep3-reporting\EC\2016-11-29-refined-times.txt</v>
      </c>
      <c r="AI221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{"issue":{"subject":"","project_id":79,"tracker_id":40,"status_id":1,"priority_id":2,"assigned_to_id":23,"start_date":"2016-11-29","description":"","custom_fields":[{"id":1,"name":"Subdivision","value":"Other"},{"id":4,"name":"Milepost","value":"0.0976"},{"id":17,"name":"Train ID","value":"52-29"},{"id":16,"name":"Locomotive ID","value":"4028"},{"id":130,"name":"Impact","value":""},{"id":150,"name":"Time of Event (Mountain Time)","value":"11:07:27"},{"id":151,"name":"Denver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554</v>
      </c>
      <c r="B222" s="7">
        <v>4027</v>
      </c>
      <c r="C222" s="22" t="s">
        <v>212</v>
      </c>
      <c r="D222" s="22" t="s">
        <v>830</v>
      </c>
      <c r="E222" s="13">
        <v>42703.483113425929</v>
      </c>
      <c r="F222" s="13">
        <v>42703.489687499998</v>
      </c>
      <c r="G222" s="7">
        <v>2</v>
      </c>
      <c r="H222" s="22" t="s">
        <v>831</v>
      </c>
      <c r="I222" s="13">
        <v>42703.49627314815</v>
      </c>
      <c r="J222" s="7">
        <v>1</v>
      </c>
      <c r="K222" s="109" t="str">
        <f t="shared" si="53"/>
        <v>4027/4028</v>
      </c>
      <c r="L222" s="22" t="str">
        <f>VLOOKUP(A222,'Trips&amp;Operators'!$C$1:$E$10000,3,FALSE)</f>
        <v>SPECTOR</v>
      </c>
      <c r="M222" s="6">
        <f t="shared" si="54"/>
        <v>6.5856481523951516E-3</v>
      </c>
      <c r="N222" s="7">
        <f t="shared" si="55"/>
        <v>9.4833333394490182</v>
      </c>
      <c r="O222" s="7"/>
      <c r="P222" s="7"/>
      <c r="Q222" s="23"/>
      <c r="R222" s="23"/>
      <c r="S222" s="35">
        <f t="shared" si="56"/>
        <v>0</v>
      </c>
      <c r="T222" s="50" t="e">
        <f t="shared" si="57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10:35:41-700',mode:absolute,to:'2016-11-29 12:54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2" s="52" t="str">
        <f t="shared" si="59"/>
        <v>Y</v>
      </c>
      <c r="X222" s="177" t="e">
        <f t="shared" si="60"/>
        <v>#VALUE!</v>
      </c>
      <c r="Y222" s="67">
        <f t="shared" si="61"/>
        <v>0.12790000000000001</v>
      </c>
      <c r="Z222" s="67">
        <f t="shared" si="62"/>
        <v>2.4197000000000002</v>
      </c>
      <c r="AA222" s="67">
        <f t="shared" si="63"/>
        <v>2.2918000000000003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64"/>
        <v>53-29</v>
      </c>
      <c r="AE222" s="91" t="str">
        <f t="shared" si="65"/>
        <v>aws s3 cp s3://rtdc.mdm.uploadarchive.raw/RTDC4027/ "%USERPROFILE%\AppData\Local\Temp\OnboardLogs"\RTDC4027\2016-11-29 --exclude "*" --recursive --include "*20161129*" &amp; "%USERPROFILE%\Documents\GitHub\mrs-test-scripts\Headless Mode &amp; Sideloading\WalkAndUnGZ.bat" "%USERPROFILE%\AppData\Local\Temp\OnboardLogs"\RTDC4027\2016-11-29 &amp; aws s3 cp s3://rtdc.mdm.uploadarchive.raw/RTDC4027/ "%USERPROFILE%\AppData\Local\Temp\OnboardLogs"\RTDC4027\2016-11-30 --exclude "*" --recursive --include "*20161130*" &amp; "%USERPROFILE%\Documents\GitHub\mrs-test-scripts\Headless Mode &amp; Sideloading\WalkAndUnGZ.bat" "%USERPROFILE%\AppData\Local\Temp\OnboardLogs"\RTDC4027\2016-11-30</v>
      </c>
      <c r="AF222" s="88" t="str">
        <f t="shared" si="66"/>
        <v>"C:\Program Files (x86)\AstroGrep\AstroGrep.exe" /spath="%USERPROFILE%\AppData\Local\Temp\OnboardLogs" /stypes="app*4027*20161129*" /stext=" 18:.+((SYSTEM_STATE.+slice.+state.+changed )|(ment ac)|(multiple cpu faults)|(system.+state.+changed )|(\[timeout)|(PRM\|1\|D)|(kpr)|(kdp)|(\|lc)|(penalty))" /e /r /s</v>
      </c>
      <c r="AG222" s="1" t="str">
        <f t="shared" si="67"/>
        <v>Other</v>
      </c>
      <c r="AH222" s="92" t="str">
        <f t="shared" si="68"/>
        <v>"%USERPROFILE%\Documents\GitHub\eaglep3\Utilities\RefineRTDCRunTimes.py" --tripid 53-29 --locoid 4027 --swversion DE.1.0.8.0 --startMP 204:1279 --initTime 2016-11-29T11:35:41 --startdatetime 2016-11-29T11:45:09 --delay 2 --endMP 300:24197 --enddatetime 2016-11-29T11:54:38 --enforcementcount 1 &gt;&gt;C:\Users\stu\Documents\GitHub\eaglep3-reporting\EC\2016-11-29-refined-times.txt</v>
      </c>
      <c r="AI222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{"issue":{"subject":"","project_id":79,"tracker_id":40,"status_id":1,"priority_id":2,"assigned_to_id":23,"start_date":"2016-11-29","description":"","custom_fields":[{"id":1,"name":"Subdivision","value":"Other"},{"id":4,"name":"Milepost","value":"2.4197"},{"id":17,"name":"Train ID","value":"53-29"},{"id":16,"name":"Locomotive ID","value":"4027"},{"id":130,"name":"Impact","value":""},{"id":150,"name":"Time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562</v>
      </c>
      <c r="B223" s="7">
        <v>4028</v>
      </c>
      <c r="C223" s="22" t="s">
        <v>212</v>
      </c>
      <c r="D223" s="22" t="s">
        <v>832</v>
      </c>
      <c r="E223" s="13">
        <v>42703.732268518521</v>
      </c>
      <c r="F223" s="13">
        <v>42703.734363425923</v>
      </c>
      <c r="G223" s="7">
        <v>2</v>
      </c>
      <c r="H223" s="22" t="s">
        <v>833</v>
      </c>
      <c r="I223" s="13">
        <v>42703.740162037036</v>
      </c>
      <c r="J223" s="7">
        <v>1</v>
      </c>
      <c r="K223" s="109" t="str">
        <f t="shared" si="53"/>
        <v>4027/4028</v>
      </c>
      <c r="L223" s="22" t="str">
        <f>VLOOKUP(A223,'Trips&amp;Operators'!$C$1:$E$10000,3,FALSE)</f>
        <v>YANAI</v>
      </c>
      <c r="M223" s="6">
        <f t="shared" si="54"/>
        <v>5.7986111132777296E-3</v>
      </c>
      <c r="N223" s="7">
        <f t="shared" si="55"/>
        <v>8.3500000031199306</v>
      </c>
      <c r="O223" s="7"/>
      <c r="P223" s="7"/>
      <c r="Q223" s="23"/>
      <c r="R223" s="23"/>
      <c r="S223" s="35">
        <f t="shared" si="56"/>
        <v>0</v>
      </c>
      <c r="T223" s="50" t="e">
        <f t="shared" si="57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16:34:28-700',mode:absolute,to:'2016-11-29 18:45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3" s="52" t="str">
        <f t="shared" si="59"/>
        <v>Y</v>
      </c>
      <c r="X223" s="177" t="e">
        <f t="shared" si="60"/>
        <v>#VALUE!</v>
      </c>
      <c r="Y223" s="67">
        <f t="shared" si="61"/>
        <v>2.3473999999999999</v>
      </c>
      <c r="Z223" s="67">
        <f t="shared" si="62"/>
        <v>6.6E-3</v>
      </c>
      <c r="AA223" s="67">
        <f t="shared" si="63"/>
        <v>2.3407999999999998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64"/>
        <v>66-29</v>
      </c>
      <c r="AE223" s="91" t="str">
        <f t="shared" si="65"/>
        <v>aws s3 cp s3://rtdc.mdm.uploadarchive.raw/RTDC4028/ "%USERPROFILE%\AppData\Local\Temp\OnboardLogs"\RTDC4028\2016-11-29 --exclude "*" --recursive --include "*20161129*" &amp; "%USERPROFILE%\Documents\GitHub\mrs-test-scripts\Headless Mode &amp; Sideloading\WalkAndUnGZ.bat" "%USERPROFILE%\AppData\Local\Temp\OnboardLogs"\RTDC4028\2016-11-29 &amp; aws s3 cp s3://rtdc.mdm.uploadarchive.raw/RTDC4028/ "%USERPROFILE%\AppData\Local\Temp\OnboardLogs"\RTDC4028\2016-11-30 --exclude "*" --recursive --include "*20161130*" &amp; "%USERPROFILE%\Documents\GitHub\mrs-test-scripts\Headless Mode &amp; Sideloading\WalkAndUnGZ.bat" "%USERPROFILE%\AppData\Local\Temp\OnboardLogs"\RTDC4028\2016-11-30</v>
      </c>
      <c r="AF223" s="88" t="str">
        <f t="shared" si="66"/>
        <v>"C:\Program Files (x86)\AstroGrep\AstroGrep.exe" /spath="%USERPROFILE%\AppData\Local\Temp\OnboardLogs" /stypes="app*4028*20161130*" /stext=" 00:.+((SYSTEM_STATE.+slice.+state.+changed )|(ment ac)|(multiple cpu faults)|(system.+state.+changed )|(\[timeout)|(PRM\|1\|D)|(kpr)|(kdp)|(\|lc)|(penalty))" /e /r /s</v>
      </c>
      <c r="AG223" s="1" t="str">
        <f t="shared" si="67"/>
        <v>Other</v>
      </c>
      <c r="AH223" s="92" t="str">
        <f t="shared" si="68"/>
        <v>"%USERPROFILE%\Documents\GitHub\eaglep3\Utilities\RefineRTDCRunTimes.py" --tripid 66-29 --locoid 4028 --swversion DE.1.0.8.0 --startMP 300:23474 --initTime 2016-11-29T17:34:28 --startdatetime 2016-11-29T17:37:29 --delay 2 --endMP 204:66 --enddatetime 2016-11-29T17:45:50 --enforcementcount 1 &gt;&gt;C:\Users\stu\Documents\GitHub\eaglep3-reporting\EC\2016-11-29-refined-times.txt</v>
      </c>
      <c r="AI223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{"issue":{"subject":"","project_id":79,"tracker_id":40,"status_id":1,"priority_id":2,"assigned_to_id":23,"start_date":"2016-11-29","description":"","custom_fields":[{"id":1,"name":"Subdivision","value":"Other"},{"id":4,"name":"Milepost","value":"0.0066"},{"id":17,"name":"Train ID","value":"66-29"},{"id":16,"name":"Locomotive ID","value":"4028"},{"id":130,"name":"Impact","value":""},{"id":150,"name":"Time of Event (Mountain Time)","value":"17:45:50"},{"id":151,"name":"Denver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703</v>
      </c>
      <c r="B224" s="7">
        <v>4001</v>
      </c>
      <c r="C224" s="22" t="s">
        <v>212</v>
      </c>
      <c r="D224" s="22" t="s">
        <v>834</v>
      </c>
      <c r="E224" s="13">
        <v>42703.746192129627</v>
      </c>
      <c r="F224" s="13">
        <v>42703.747430555559</v>
      </c>
      <c r="G224" s="7">
        <v>1</v>
      </c>
      <c r="H224" s="22" t="s">
        <v>835</v>
      </c>
      <c r="I224" s="13">
        <v>42703.753784722219</v>
      </c>
      <c r="J224" s="7">
        <v>1</v>
      </c>
      <c r="K224" s="109" t="str">
        <f t="shared" si="53"/>
        <v>4001/4002</v>
      </c>
      <c r="L224" s="22" t="str">
        <f>VLOOKUP(A224,'Trips&amp;Operators'!$C$1:$E$10000,3,FALSE)</f>
        <v>NELSON</v>
      </c>
      <c r="M224" s="6">
        <f t="shared" si="54"/>
        <v>6.3541666604578495E-3</v>
      </c>
      <c r="N224" s="7">
        <f t="shared" si="55"/>
        <v>9.1499999910593033</v>
      </c>
      <c r="O224" s="7"/>
      <c r="P224" s="7"/>
      <c r="Q224" s="23"/>
      <c r="R224" s="23"/>
      <c r="S224" s="35">
        <f t="shared" si="56"/>
        <v>0</v>
      </c>
      <c r="T224" s="50" t="e">
        <f t="shared" si="57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16:54:31-700',mode:absolute,to:'2016-11-29 19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4" s="52" t="str">
        <f t="shared" si="59"/>
        <v>Y</v>
      </c>
      <c r="X224" s="177" t="e">
        <f t="shared" si="60"/>
        <v>#VALUE!</v>
      </c>
      <c r="Y224" s="67">
        <f t="shared" si="61"/>
        <v>2.2248000000000001</v>
      </c>
      <c r="Z224" s="67">
        <f t="shared" si="62"/>
        <v>0.191</v>
      </c>
      <c r="AA224" s="67">
        <f t="shared" si="63"/>
        <v>2.0338000000000003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64"/>
        <v>70-29</v>
      </c>
      <c r="AE224" s="91" t="str">
        <f t="shared" si="65"/>
        <v>aws s3 cp s3://rtdc.mdm.uploadarchive.raw/RTDC4001/ "%USERPROFILE%\AppData\Local\Temp\OnboardLogs"\RTDC4001\2016-11-29 --exclude "*" --recursive --include "*20161129*" &amp; "%USERPROFILE%\Documents\GitHub\mrs-test-scripts\Headless Mode &amp; Sideloading\WalkAndUnGZ.bat" "%USERPROFILE%\AppData\Local\Temp\OnboardLogs"\RTDC4001\2016-11-29 &amp; 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</v>
      </c>
      <c r="AF224" s="88" t="str">
        <f t="shared" si="66"/>
        <v>"C:\Program Files (x86)\AstroGrep\AstroGrep.exe" /spath="%USERPROFILE%\AppData\Local\Temp\OnboardLogs" /stypes="app*4001*20161130*" /stext=" 01:.+((SYSTEM_STATE.+slice.+state.+changed )|(ment ac)|(multiple cpu faults)|(system.+state.+changed )|(\[timeout)|(PRM\|1\|D)|(kpr)|(kdp)|(\|lc)|(penalty))" /e /r /s</v>
      </c>
      <c r="AG224" s="1" t="str">
        <f t="shared" si="67"/>
        <v>Other</v>
      </c>
      <c r="AH224" s="92" t="str">
        <f t="shared" si="68"/>
        <v>"%USERPROFILE%\Documents\GitHub\eaglep3\Utilities\RefineRTDCRunTimes.py" --tripid 70-29 --locoid 4001 --swversion DE.1.0.8.0 --startMP 300:22248 --initTime 2016-11-29T17:54:31 --startdatetime 2016-11-29T17:56:18 --delay 1 --endMP 204:1910 --enddatetime 2016-11-29T18:05:27 --enforcementcount 1 &gt;&gt;C:\Users\stu\Documents\GitHub\eaglep3-reporting\EC\2016-11-29-refined-times.txt</v>
      </c>
      <c r="AI224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{"issue":{"subject":"","project_id":79,"tracker_id":40,"status_id":1,"priority_id":2,"assigned_to_id":23,"start_date":"2016-11-29","description":"","custom_fields":[{"id":1,"name":"Subdivision","value":"Other"},{"id":4,"name":"Milepost","value":"0.191"},{"id":17,"name":"Train ID","value":"70-29"},{"id":16,"name":"Locomotive ID","value":"4001"},{"id":130,"name":"Impact","value":""},{"id":150,"name":"Time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693</v>
      </c>
      <c r="B225" s="7">
        <v>4009</v>
      </c>
      <c r="C225" s="22" t="s">
        <v>212</v>
      </c>
      <c r="D225" s="22" t="s">
        <v>836</v>
      </c>
      <c r="E225" s="13">
        <v>42703.71298611111</v>
      </c>
      <c r="F225" s="13">
        <v>25568.708333333332</v>
      </c>
      <c r="G225" s="7">
        <v>1</v>
      </c>
      <c r="H225" s="22" t="s">
        <v>390</v>
      </c>
      <c r="I225" s="13">
        <v>25568.708333333332</v>
      </c>
      <c r="J225" s="7">
        <v>1</v>
      </c>
      <c r="K225" s="109" t="str">
        <f t="shared" si="53"/>
        <v>4009/4010</v>
      </c>
      <c r="L225" s="22" t="str">
        <f>VLOOKUP(A225,'Trips&amp;Operators'!$C$1:$E$10000,3,FALSE)</f>
        <v>CRAYTON</v>
      </c>
      <c r="M225" s="6">
        <f t="shared" si="54"/>
        <v>0</v>
      </c>
      <c r="N225" s="7">
        <f t="shared" si="55"/>
        <v>0</v>
      </c>
      <c r="O225" s="7"/>
      <c r="P225" s="7"/>
      <c r="Q225" s="23"/>
      <c r="R225" s="23"/>
      <c r="S225" s="35">
        <f t="shared" si="56"/>
        <v>0</v>
      </c>
      <c r="T225" s="50" t="e">
        <f t="shared" si="57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16:06:42-700',mode:absolute,to:'1969-12-31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5" s="52" t="str">
        <f t="shared" si="59"/>
        <v>Y</v>
      </c>
      <c r="X225" s="177" t="e">
        <f t="shared" si="60"/>
        <v>#VALUE!</v>
      </c>
      <c r="Y225" s="67">
        <f t="shared" si="61"/>
        <v>0.1507</v>
      </c>
      <c r="Z225" s="67">
        <f t="shared" si="62"/>
        <v>2.331</v>
      </c>
      <c r="AA225" s="67">
        <f t="shared" si="63"/>
        <v>2.1802999999999999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64"/>
        <v>71-29</v>
      </c>
      <c r="AE225" s="91" t="str">
        <f t="shared" si="6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5" s="88" t="str">
        <f t="shared" si="66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25" s="1" t="str">
        <f t="shared" si="67"/>
        <v>Other</v>
      </c>
      <c r="AH225" s="92" t="str">
        <f t="shared" si="68"/>
        <v>"%USERPROFILE%\Documents\GitHub\eaglep3\Utilities\RefineRTDCRunTimes.py" --tripid 71-29 --locoid 4009 --swversion DE.1.0.8.0 --startMP 204:1507 --initTime 2016-11-29T17:06:42 --startdatetime 1969-12-31T17:00:00 --delay 1 --endMP 300:23310 --enddatetime 1969-12-31T17:00:00 --enforcementcount 1 &gt;&gt;C:\Users\stu\Documents\GitHub\eaglep3-reporting\EC\2016-11-29-refined-times.txt</v>
      </c>
      <c r="AI225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ID","value":"71-29"},{"id":16,"name":"Locomotive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709</v>
      </c>
      <c r="B226" s="7">
        <v>4027</v>
      </c>
      <c r="C226" s="22" t="s">
        <v>212</v>
      </c>
      <c r="D226" s="22" t="s">
        <v>837</v>
      </c>
      <c r="E226" s="13">
        <v>42703.759583333333</v>
      </c>
      <c r="F226" s="13">
        <v>42703.767916666664</v>
      </c>
      <c r="G226" s="7">
        <v>1</v>
      </c>
      <c r="H226" s="22" t="s">
        <v>838</v>
      </c>
      <c r="I226" s="13">
        <v>42703.774467592593</v>
      </c>
      <c r="J226" s="7">
        <v>1</v>
      </c>
      <c r="K226" s="109" t="str">
        <f t="shared" si="53"/>
        <v>4027/4028</v>
      </c>
      <c r="L226" s="22" t="str">
        <f>VLOOKUP(A226,'Trips&amp;Operators'!$C$1:$E$10000,3,FALSE)</f>
        <v>STEWART</v>
      </c>
      <c r="M226" s="6">
        <f t="shared" si="54"/>
        <v>6.550925929332152E-3</v>
      </c>
      <c r="N226" s="7">
        <f t="shared" si="55"/>
        <v>9.4333333382382989</v>
      </c>
      <c r="O226" s="7"/>
      <c r="P226" s="7"/>
      <c r="Q226" s="23"/>
      <c r="R226" s="23"/>
      <c r="S226" s="35">
        <f t="shared" si="56"/>
        <v>0</v>
      </c>
      <c r="T226" s="50" t="e">
        <f t="shared" si="57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https://search-rtdc-monitor-bjffxe2xuh6vdkpspy63sjmuny.us-east-1.es.amazonaws.com/_plugin/kibana/#/discover/Steve-Slow-Train-Analysis-(2080s-and-2083s)?_g=(refreshInterval:(display:Off,section:0,value:0),time:(from:'2016-11-29 17:13:48-700',mode:absolute,to:'2016-11-29 19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52" t="str">
        <f t="shared" si="59"/>
        <v>Y</v>
      </c>
      <c r="X226" s="177" t="e">
        <f t="shared" si="60"/>
        <v>#VALUE!</v>
      </c>
      <c r="Y226" s="67">
        <f t="shared" si="61"/>
        <v>3.5400000000000001E-2</v>
      </c>
      <c r="Z226" s="67">
        <f t="shared" si="62"/>
        <v>2.4243000000000001</v>
      </c>
      <c r="AA226" s="67">
        <f t="shared" si="63"/>
        <v>2.3889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64"/>
        <v>73-29</v>
      </c>
      <c r="AE226" s="91" t="str">
        <f t="shared" si="65"/>
        <v>aws s3 cp s3://rtdc.mdm.uploadarchive.raw/RTDC4027/ "%USERPROFILE%\AppData\Local\Temp\OnboardLogs"\RTDC4027\2016-11-29 --exclude "*" --recursive --include "*20161129*" &amp; "%USERPROFILE%\Documents\GitHub\mrs-test-scripts\Headless Mode &amp; Sideloading\WalkAndUnGZ.bat" "%USERPROFILE%\AppData\Local\Temp\OnboardLogs"\RTDC4027\2016-11-29 &amp; aws s3 cp s3://rtdc.mdm.uploadarchive.raw/RTDC4027/ "%USERPROFILE%\AppData\Local\Temp\OnboardLogs"\RTDC4027\2016-11-30 --exclude "*" --recursive --include "*20161130*" &amp; "%USERPROFILE%\Documents\GitHub\mrs-test-scripts\Headless Mode &amp; Sideloading\WalkAndUnGZ.bat" "%USERPROFILE%\AppData\Local\Temp\OnboardLogs"\RTDC4027\2016-11-30</v>
      </c>
      <c r="AF226" s="88" t="str">
        <f t="shared" si="66"/>
        <v>"C:\Program Files (x86)\AstroGrep\AstroGrep.exe" /spath="%USERPROFILE%\AppData\Local\Temp\OnboardLogs" /stypes="app*4027*20161130*" /stext=" 01:.+((SYSTEM_STATE.+slice.+state.+changed )|(ment ac)|(multiple cpu faults)|(system.+state.+changed )|(\[timeout)|(PRM\|1\|D)|(kpr)|(kdp)|(\|lc)|(penalty))" /e /r /s</v>
      </c>
      <c r="AG226" s="1" t="str">
        <f t="shared" si="67"/>
        <v>Other</v>
      </c>
      <c r="AH226" s="92" t="str">
        <f t="shared" si="68"/>
        <v>"%USERPROFILE%\Documents\GitHub\eaglep3\Utilities\RefineRTDCRunTimes.py" --tripid 73-29 --locoid 4027 --swversion DE.1.0.8.0 --startMP 204:354 --initTime 2016-11-29T18:13:48 --startdatetime 2016-11-29T18:25:48 --delay 1 --endMP 300:24243 --enddatetime 2016-11-29T18:35:14 --enforcementcount 1 &gt;&gt;C:\Users\stu\Documents\GitHub\eaglep3-reporting\EC\2016-11-29-refined-times.txt</v>
      </c>
      <c r="AI226" s="119" t="str">
        <f t="shared" si="69"/>
        <v>echo {"issue":{"subject":"","project_id":79,"tracker_id":40,"status_id":1,"priority_id":2,"assigned_to_id":23,"start_date":"2016-11-29","description":"","custom_fields":[{"id":1,"name":"Subdivision","value":"Other"},{"id":4,"name":"Milepost","value":"2.4243"},{"id":17,"name":"Train ID","value":"73-29"},{"id":16,"name":"Locomotive ID","value":"4027"},{"id":130,"name":"Impact","value":""},{"id":150,"name":"Time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</sheetData>
  <autoFilter ref="A12:AG242">
    <sortState ref="A13:AG242">
      <sortCondition ref="AG13:AG226"/>
      <sortCondition ref="AD13:AD226"/>
    </sortState>
  </autoFilter>
  <sortState ref="A13:AH200">
    <sortCondition ref="AG13:AG200"/>
    <sortCondition ref="AD13:AD200"/>
  </sortState>
  <mergeCells count="1">
    <mergeCell ref="A11:P11"/>
  </mergeCells>
  <conditionalFormatting sqref="W11:W12 W252:X1048576 W13:X226">
    <cfRule type="cellIs" dxfId="10" priority="344" operator="equal">
      <formula>"Y"</formula>
    </cfRule>
  </conditionalFormatting>
  <conditionalFormatting sqref="X252:X1048576 X13:X226">
    <cfRule type="cellIs" dxfId="9" priority="327" operator="greaterThan">
      <formula>1</formula>
    </cfRule>
  </conditionalFormatting>
  <conditionalFormatting sqref="X252:X1048576 X12:X226">
    <cfRule type="cellIs" dxfId="8" priority="324" operator="equal">
      <formula>0</formula>
    </cfRule>
  </conditionalFormatting>
  <conditionalFormatting sqref="A13:S226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abSelected="1" topLeftCell="A11" workbookViewId="0">
      <selection activeCell="K30" sqref="K3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28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- 2016-11-29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241</v>
      </c>
    </row>
    <row r="7" spans="1:30" s="1" customFormat="1" x14ac:dyDescent="0.25">
      <c r="A7" s="36">
        <v>42703.31962962963</v>
      </c>
      <c r="B7" s="31" t="s">
        <v>537</v>
      </c>
      <c r="C7" s="31" t="s">
        <v>538</v>
      </c>
      <c r="D7" s="31" t="s">
        <v>98</v>
      </c>
      <c r="E7" s="31" t="s">
        <v>533</v>
      </c>
      <c r="F7" s="47">
        <v>180</v>
      </c>
      <c r="G7" s="47">
        <v>230</v>
      </c>
      <c r="H7" s="47">
        <v>30913</v>
      </c>
      <c r="I7" s="47">
        <v>31234</v>
      </c>
      <c r="J7" s="31" t="s">
        <v>534</v>
      </c>
      <c r="K7" s="47">
        <v>30830</v>
      </c>
      <c r="L7" s="154" t="s">
        <v>50</v>
      </c>
      <c r="M7" s="155">
        <f t="shared" ref="M7:M41" si="0">CONVERT((I7-K7)/10000,"mi","ft")*IF(L7="Increasing Mileposts (1)",-1,1)</f>
        <v>-213.31200000000001</v>
      </c>
      <c r="N7" s="156" t="str">
        <f>VLOOKUP(C7,'Trips&amp;Operators'!$C$1:$E$99999,3,FALSE)</f>
        <v>MAGEE</v>
      </c>
      <c r="O7" s="182" t="s">
        <v>198</v>
      </c>
      <c r="P7" s="157" t="s">
        <v>893</v>
      </c>
      <c r="Q7" s="31"/>
      <c r="R7" s="100" t="str">
        <f>VLOOKUP(C7,'Train Runs'!$A$13:$AE$9986,31,0)</f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S7" s="103" t="str">
        <f>VLOOKUP(C7,'Train Runs'!$A$13:$AE$9986,22,0)</f>
        <v>https://search-rtdc-monitor-bjffxe2xuh6vdkpspy63sjmuny.us-east-1.es.amazonaws.com/_plugin/kibana/#/discover/Steve-Slow-Train-Analysis-(2080s-and-2083s)?_g=(refreshInterval:(display:Off,section:0,value:0),time:(from:'2016-11-29 06:21:21-700',mode:absolute,to:'2016-11-29 09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/stypes="*4029*201611291*" /stext=" 14:.+((SYSTEM_STATE.+slice.+state.+changed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4029</v>
      </c>
      <c r="V7" s="36">
        <f t="shared" ref="V7:V41" si="3">A7-utc_offset/24</f>
        <v>42703.611296296294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19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arrival","project_id":79,"tracker_id":40,"status_id":1,"priority_id":2,"assigned_to_id":23,"start_date":"2016-11-29","description":"","custom_fields":[{"id":1,"name":"Subdivision","value":"EC"},{"id":4,"name":"Milepost","value":"3.083"},{"id":17,"name":"Train ID","value":"131-29"},{"id":16,"name":"Locomotive ID","value":"4029"},{"id":130,"name":"Impact","value":""},{"id":150,"name":"Time of Event (Mountain Time)","value":"07:40:16"},{"id":151,"name":"Denver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"%USERPROFILE%\AppData\Local\Temp\OnboardLogs"\RTDC4029\*4029*201611291*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"%USERPROFILE%\AppData\Local\Temp\OnboardLogs"\RTDC4029\*4029*201611291* &gt;&gt; 42703-slicedisagreementcheck.txt</v>
      </c>
    </row>
    <row r="8" spans="1:30" s="1" customFormat="1" x14ac:dyDescent="0.25">
      <c r="A8" s="36">
        <v>42703.225358796299</v>
      </c>
      <c r="B8" s="31" t="s">
        <v>223</v>
      </c>
      <c r="C8" s="31" t="s">
        <v>532</v>
      </c>
      <c r="D8" s="31" t="s">
        <v>49</v>
      </c>
      <c r="E8" s="31" t="s">
        <v>533</v>
      </c>
      <c r="F8" s="47">
        <v>0</v>
      </c>
      <c r="G8" s="47">
        <v>159</v>
      </c>
      <c r="H8" s="47">
        <v>33073</v>
      </c>
      <c r="I8" s="47">
        <v>33175</v>
      </c>
      <c r="J8" s="31" t="s">
        <v>534</v>
      </c>
      <c r="K8" s="47">
        <v>33137</v>
      </c>
      <c r="L8" s="154" t="s">
        <v>50</v>
      </c>
      <c r="M8" s="155">
        <f t="shared" si="0"/>
        <v>-20.064</v>
      </c>
      <c r="N8" s="156" t="str">
        <f>VLOOKUP(C8,'Trips&amp;Operators'!$C$1:$E$99999,3,FALSE)</f>
        <v>KILLION</v>
      </c>
      <c r="O8" s="182" t="s">
        <v>198</v>
      </c>
      <c r="P8" s="157" t="s">
        <v>893</v>
      </c>
      <c r="Q8" s="31"/>
      <c r="R8" s="100" t="str">
        <f>VLOOKUP(C8,'Train Runs'!$A$13:$AE$9986,31,0)</f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S8" s="103" t="str">
        <f>VLOOKUP(C8,'Train Runs'!$A$13:$AE$9986,22,0)</f>
        <v>https://search-rtdc-monitor-bjffxe2xuh6vdkpspy63sjmuny.us-east-1.es.amazonaws.com/_plugin/kibana/#/discover/Steve-Slow-Train-Analysis-(2080s-and-2083s)?_g=(refreshInterval:(display:Off,section:0,value:0),time:(from:'2016-11-29 03:58:20-700',mode:absolute,to:'2016-11-29 06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8" s="105" t="str">
        <f t="shared" si="1"/>
        <v>"C:\Program Files (x86)\AstroGrep\AstroGrep.exe" /spath="%USERPROFILE%\AppData\Local\Temp\OnboardLogs" /stypes="*4022*201611291*" /stext=" 12:.+((SYSTEM_STATE.+slice.+state.+changed )|(ment ac)|(multiple cpu faults)|(system.+state.+changed )|(\[timeout)|(PRM\|1\|D)|(kpr)|(kdp)|(\|lc)|(penalty))" /e /r /s</v>
      </c>
      <c r="U8" s="9" t="str">
        <f t="shared" si="2"/>
        <v>4022</v>
      </c>
      <c r="V8" s="36">
        <f t="shared" si="3"/>
        <v>42703.517025462963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arrival","project_id":79,"tracker_id":40,"status_id":1,"priority_id":2,"assigned_to_id":23,"start_date":"2016-11-29","description":"","custom_fields":[{"id":1,"name":"Subdivision","value":"EC"},{"id":4,"name":"Milepost","value":"3.3137"},{"id":17,"name":"Train ID","value":"113-29"},{"id":16,"name":"Locomotive ID","value":"4022"},{"id":130,"name":"Impact","value":""},{"id":150,"name":"Time of Event (Mountain Time)","value":"05:24:31"},{"id":151,"name":"Denver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"%USERPROFILE%\AppData\Local\Temp\OnboardLogs"\RTDC4022\*4022*201611291*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"%USERPROFILE%\AppData\Local\Temp\OnboardLogs"\RTDC4022\*4022*201611291* &gt;&gt; 42703-slicedisagreementcheck.txt</v>
      </c>
    </row>
    <row r="9" spans="1:30" s="1" customFormat="1" x14ac:dyDescent="0.25">
      <c r="A9" s="36">
        <v>42703.465173611112</v>
      </c>
      <c r="B9" s="31" t="s">
        <v>238</v>
      </c>
      <c r="C9" s="31" t="s">
        <v>549</v>
      </c>
      <c r="D9" s="31" t="s">
        <v>49</v>
      </c>
      <c r="E9" s="31" t="s">
        <v>533</v>
      </c>
      <c r="F9" s="47">
        <v>290</v>
      </c>
      <c r="G9" s="47">
        <v>350</v>
      </c>
      <c r="H9" s="47">
        <v>35347</v>
      </c>
      <c r="I9" s="47">
        <v>34374</v>
      </c>
      <c r="J9" s="31" t="s">
        <v>534</v>
      </c>
      <c r="K9" s="47">
        <v>33257</v>
      </c>
      <c r="L9" s="154" t="s">
        <v>51</v>
      </c>
      <c r="M9" s="155">
        <f t="shared" si="0"/>
        <v>589.77599999999995</v>
      </c>
      <c r="N9" s="156" t="str">
        <f>VLOOKUP(C9,'Trips&amp;Operators'!$C$1:$E$99999,3,FALSE)</f>
        <v>SPECTOR</v>
      </c>
      <c r="O9" s="182" t="s">
        <v>198</v>
      </c>
      <c r="P9" s="157" t="s">
        <v>893</v>
      </c>
      <c r="Q9" s="31"/>
      <c r="R9" s="100" t="str">
        <f>VLOOKUP(C9,'Train Runs'!$A$13:$AE$9986,31,0)</f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S9" s="103" t="str">
        <f>VLOOKUP(C9,'Train Runs'!$A$13:$AE$9986,22,0)</f>
        <v>https://search-rtdc-monitor-bjffxe2xuh6vdkpspy63sjmuny.us-east-1.es.amazonaws.com/_plugin/kibana/#/discover/Steve-Slow-Train-Analysis-(2080s-and-2083s)?_g=(refreshInterval:(display:Off,section:0,value:0),time:(from:'2016-11-29 09:35:30-700',mode:absolute,to:'2016-11-29 12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5" t="str">
        <f t="shared" si="1"/>
        <v>"C:\Program Files (x86)\AstroGrep\AstroGrep.exe" /spath="%USERPROFILE%\AppData\Local\Temp\OnboardLogs" /stypes="*4013*201611291*" /stext=" 18:.+((SYSTEM_STATE.+slice.+state.+changed )|(ment ac)|(multiple cpu faults)|(system.+state.+changed )|(\[timeout)|(PRM\|1\|D)|(kpr)|(kdp)|(\|lc)|(penalty))" /e /r /s</v>
      </c>
      <c r="U9" s="9" t="str">
        <f t="shared" si="2"/>
        <v>4013</v>
      </c>
      <c r="V9" s="36">
        <f t="shared" si="3"/>
        <v>42703.756840277776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arrival","project_id":79,"tracker_id":40,"status_id":1,"priority_id":2,"assigned_to_id":23,"start_date":"2016-11-29","description":"","custom_fields":[{"id":1,"name":"Subdivision","value":"EC"},{"id":4,"name":"Milepost","value":"3.3257"},{"id":17,"name":"Train ID","value":"150-29"},{"id":16,"name":"Locomotive ID","value":"4013"},{"id":130,"name":"Impact","value":""},{"id":150,"name":"Time of Event (Mountain Time)","value":"11:09:51"},{"id":151,"name":"Denver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"%USERPROFILE%\AppData\Local\Temp\OnboardLogs"\RTDC4013\*4013*201611291*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"%USERPROFILE%\AppData\Local\Temp\OnboardLogs"\RTDC4013\*4013*201611291* &gt;&gt; 42703-slicedisagreementcheck.txt</v>
      </c>
    </row>
    <row r="10" spans="1:30" s="1" customFormat="1" x14ac:dyDescent="0.25">
      <c r="A10" s="36">
        <v>42703.306990740741</v>
      </c>
      <c r="B10" s="31" t="s">
        <v>334</v>
      </c>
      <c r="C10" s="31" t="s">
        <v>535</v>
      </c>
      <c r="D10" s="31" t="s">
        <v>49</v>
      </c>
      <c r="E10" s="31" t="s">
        <v>533</v>
      </c>
      <c r="F10" s="47">
        <v>0</v>
      </c>
      <c r="G10" s="47">
        <v>349</v>
      </c>
      <c r="H10" s="47">
        <v>59308</v>
      </c>
      <c r="I10" s="47">
        <v>58458</v>
      </c>
      <c r="J10" s="31" t="s">
        <v>534</v>
      </c>
      <c r="K10" s="47">
        <v>58904</v>
      </c>
      <c r="L10" s="154" t="s">
        <v>51</v>
      </c>
      <c r="M10" s="155">
        <f t="shared" si="0"/>
        <v>-235.488</v>
      </c>
      <c r="N10" s="156" t="str">
        <f>VLOOKUP(C10,'Trips&amp;Operators'!$C$1:$E$99999,3,FALSE)</f>
        <v>PERKINS</v>
      </c>
      <c r="O10" s="182" t="s">
        <v>198</v>
      </c>
      <c r="P10" s="157" t="s">
        <v>893</v>
      </c>
      <c r="Q10" s="31"/>
      <c r="R10" s="100" t="str">
        <f>VLOOKUP(C10,'Train Runs'!$A$13:$AE$9986,31,0)</f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S10" s="103" t="str">
        <f>VLOOKUP(C10,'Train Runs'!$A$13:$AE$9986,22,0)</f>
        <v>https://search-rtdc-monitor-bjffxe2xuh6vdkpspy63sjmuny.us-east-1.es.amazonaws.com/_plugin/kibana/#/discover/Steve-Slow-Train-Analysis-(2080s-and-2083s)?_g=(refreshInterval:(display:Off,section:0,value:0),time:(from:'2016-11-29 05:55:29-700',mode:absolute,to:'2016-11-29 08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5" t="str">
        <f t="shared" si="1"/>
        <v>"C:\Program Files (x86)\AstroGrep\AstroGrep.exe" /spath="%USERPROFILE%\AppData\Local\Temp\OnboardLogs" /stypes="*4015*201611291*" /stext=" 14:.+((SYSTEM_STATE.+slice.+state.+changed )|(ment ac)|(multiple cpu faults)|(system.+state.+changed )|(\[timeout)|(PRM\|1\|D)|(kpr)|(kdp)|(\|lc)|(penalty))" /e /r /s</v>
      </c>
      <c r="U10" s="9" t="str">
        <f t="shared" si="2"/>
        <v>4015</v>
      </c>
      <c r="V10" s="36">
        <f t="shared" si="3"/>
        <v>42703.598657407405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arrival","project_id":79,"tracker_id":40,"status_id":1,"priority_id":2,"assigned_to_id":23,"start_date":"2016-11-29","description":"","custom_fields":[{"id":1,"name":"Subdivision","value":"EC"},{"id":4,"name":"Milepost","value":"5.8904"},{"id":17,"name":"Train ID","value":"120-29"},{"id":16,"name":"Locomotive ID","value":"4015"},{"id":130,"name":"Impact","value":""},{"id":150,"name":"Time of Event (Mountain Time)","value":"07:22:04"},{"id":151,"name":"Denver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"%USERPROFILE%\AppData\Local\Temp\OnboardLogs"\RTDC4015\*4015*201611291*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"%USERPROFILE%\AppData\Local\Temp\OnboardLogs"\RTDC4015\*4015*201611291* &gt;&gt; 42703-slicedisagreementcheck.txt</v>
      </c>
    </row>
    <row r="11" spans="1:30" s="1" customFormat="1" x14ac:dyDescent="0.25">
      <c r="A11" s="36">
        <v>42703.384282407409</v>
      </c>
      <c r="B11" s="31" t="s">
        <v>238</v>
      </c>
      <c r="C11" s="31" t="s">
        <v>541</v>
      </c>
      <c r="D11" s="31" t="s">
        <v>98</v>
      </c>
      <c r="E11" s="31" t="s">
        <v>533</v>
      </c>
      <c r="F11" s="47">
        <v>380</v>
      </c>
      <c r="G11" s="47">
        <v>431</v>
      </c>
      <c r="H11" s="47">
        <v>108959</v>
      </c>
      <c r="I11" s="47">
        <v>107409</v>
      </c>
      <c r="J11" s="31" t="s">
        <v>534</v>
      </c>
      <c r="K11" s="47">
        <v>109135</v>
      </c>
      <c r="L11" s="154" t="s">
        <v>51</v>
      </c>
      <c r="M11" s="155">
        <f t="shared" si="0"/>
        <v>-911.32799999999997</v>
      </c>
      <c r="N11" s="156" t="str">
        <f>VLOOKUP(C11,'Trips&amp;Operators'!$C$1:$E$99999,3,FALSE)</f>
        <v>SPECTOR</v>
      </c>
      <c r="O11" s="182" t="s">
        <v>198</v>
      </c>
      <c r="P11" s="157" t="s">
        <v>893</v>
      </c>
      <c r="Q11" s="31"/>
      <c r="R11" s="100" t="str">
        <f>VLOOKUP(C11,'Train Runs'!$A$13:$AE$9986,31,0)</f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S11" s="103" t="str">
        <f>VLOOKUP(C11,'Train Runs'!$A$13:$AE$9986,22,0)</f>
        <v>https://search-rtdc-monitor-bjffxe2xuh6vdkpspy63sjmuny.us-east-1.es.amazonaws.com/_plugin/kibana/#/discover/Steve-Slow-Train-Analysis-(2080s-and-2083s)?_g=(refreshInterval:(display:Off,section:0,value:0),time:(from:'2016-11-29 07:48:57-700',mode:absolute,to:'2016-11-29 10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1" s="105" t="str">
        <f t="shared" si="1"/>
        <v>"C:\Program Files (x86)\AstroGrep\AstroGrep.exe" /spath="%USERPROFILE%\AppData\Local\Temp\OnboardLogs" /stypes="*4013*201611291*" /stext=" 16:.+((SYSTEM_STATE.+slice.+state.+changed )|(ment ac)|(multiple cpu faults)|(system.+state.+changed )|(\[timeout)|(PRM\|1\|D)|(kpr)|(kdp)|(\|lc)|(penalty))" /e /r /s</v>
      </c>
      <c r="U11" s="9" t="str">
        <f t="shared" si="2"/>
        <v>4013</v>
      </c>
      <c r="V11" s="36">
        <f t="shared" si="3"/>
        <v>42703.675949074073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arrival","project_id":79,"tracker_id":40,"status_id":1,"priority_id":2,"assigned_to_id":23,"start_date":"2016-11-29","description":"","custom_fields":[{"id":1,"name":"Subdivision","value":"EC"},{"id":4,"name":"Milepost","value":"10.9135"},{"id":17,"name":"Train ID","value":"136-29"},{"id":16,"name":"Locomotive ID","value":"4013"},{"id":130,"name":"Impact","value":""},{"id":150,"name":"Time of Event (Mountain Time)","value":"09:13:22"},{"id":151,"name":"Denver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"%USERPROFILE%\AppData\Local\Temp\OnboardLogs"\RTDC4013\*4013*201611291*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"%USERPROFILE%\AppData\Local\Temp\OnboardLogs"\RTDC4013\*4013*201611291* &gt;&gt; 42703-slicedisagreementcheck.txt</v>
      </c>
    </row>
    <row r="12" spans="1:30" s="1" customFormat="1" x14ac:dyDescent="0.25">
      <c r="A12" s="36">
        <v>42703.612905092596</v>
      </c>
      <c r="B12" s="31" t="s">
        <v>286</v>
      </c>
      <c r="C12" s="31" t="s">
        <v>558</v>
      </c>
      <c r="D12" s="31" t="s">
        <v>49</v>
      </c>
      <c r="E12" s="31" t="s">
        <v>199</v>
      </c>
      <c r="F12" s="47">
        <v>400</v>
      </c>
      <c r="G12" s="47">
        <v>484</v>
      </c>
      <c r="H12" s="47">
        <v>120909</v>
      </c>
      <c r="I12" s="47">
        <v>119291</v>
      </c>
      <c r="J12" s="31" t="s">
        <v>200</v>
      </c>
      <c r="K12" s="47">
        <v>119716</v>
      </c>
      <c r="L12" s="154" t="s">
        <v>51</v>
      </c>
      <c r="M12" s="155">
        <f t="shared" si="0"/>
        <v>-224.4</v>
      </c>
      <c r="N12" s="156" t="str">
        <f>VLOOKUP(C12,'Trips&amp;Operators'!$C$1:$E$99999,3,FALSE)</f>
        <v>BONDS</v>
      </c>
      <c r="O12" s="182" t="s">
        <v>198</v>
      </c>
      <c r="P12" s="157"/>
      <c r="Q12" s="31"/>
      <c r="R12" s="100" t="str">
        <f>VLOOKUP(C12,'Train Runs'!$A$13:$AE$9986,31,0)</f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S12" s="103" t="str">
        <f>VLOOKUP(C12,'Train Runs'!$A$13:$AE$9986,22,0)</f>
        <v>https://search-rtdc-monitor-bjffxe2xuh6vdkpspy63sjmuny.us-east-1.es.amazonaws.com/_plugin/kibana/#/discover/Steve-Slow-Train-Analysis-(2080s-and-2083s)?_g=(refreshInterval:(display:Off,section:0,value:0),time:(from:'2016-11-29 13:09:21-700',mode:absolute,to:'2016-11-29 16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/stypes="*4032*201611292*" /stext=" 21:.+((SYSTEM_STATE.+slice.+state.+changed )|(ment ac)|(multiple cpu faults)|(system.+state.+changed )|(\[timeout)|(PRM\|1\|D)|(kpr)|(kdp)|(\|lc)|(penalty))" /e /r /s</v>
      </c>
      <c r="U12" s="9" t="str">
        <f t="shared" si="2"/>
        <v>4032</v>
      </c>
      <c r="V12" s="36">
        <f t="shared" si="3"/>
        <v>42703.90457175926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{"issue":{"subject":"","project_id":79,"tracker_id":40,"status_id":1,"priority_id":2,"assigned_to_id":23,"start_date":"2016-11-29","description":"","custom_fields":[{"id":1,"name":"Subdivision","value":"EC"},{"id":4,"name":"Milepost","value":"11.9716"},{"id":17,"name":"Train ID","value":"180-29"},{"id":16,"name":"Locomotive ID","value":"4032"},{"id":130,"name":"Impact","value":""},{"id":150,"name":"Time of Event (Mountain Time)","value":"14:42:35"},{"id":151,"name":"Denver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"%USERPROFILE%\AppData\Local\Temp\OnboardLogs"\RTDC4032\*4032*201611292*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"%USERPROFILE%\AppData\Local\Temp\OnboardLogs"\RTDC4032\*4032*201611292* &gt;&gt; 42703-slicedisagreementcheck.txt</v>
      </c>
    </row>
    <row r="13" spans="1:30" s="1" customFormat="1" x14ac:dyDescent="0.25">
      <c r="A13" s="36">
        <v>42703.43986111111</v>
      </c>
      <c r="B13" s="31" t="s">
        <v>334</v>
      </c>
      <c r="C13" s="31" t="s">
        <v>543</v>
      </c>
      <c r="D13" s="31" t="s">
        <v>98</v>
      </c>
      <c r="E13" s="31" t="s">
        <v>199</v>
      </c>
      <c r="F13" s="47">
        <v>600</v>
      </c>
      <c r="G13" s="47">
        <v>651</v>
      </c>
      <c r="H13" s="47">
        <v>184170</v>
      </c>
      <c r="I13" s="47">
        <v>180757</v>
      </c>
      <c r="J13" s="31" t="s">
        <v>200</v>
      </c>
      <c r="K13" s="47">
        <v>190834</v>
      </c>
      <c r="L13" s="154" t="s">
        <v>51</v>
      </c>
      <c r="M13" s="155">
        <f t="shared" si="0"/>
        <v>-5320.6559999999999</v>
      </c>
      <c r="N13" s="156" t="str">
        <f>VLOOKUP(C13,'Trips&amp;Operators'!$C$1:$E$99999,3,FALSE)</f>
        <v>PERKINS</v>
      </c>
      <c r="O13" s="182" t="s">
        <v>198</v>
      </c>
      <c r="P13" s="157"/>
      <c r="Q13" s="31"/>
      <c r="R13" s="100" t="str">
        <f>VLOOKUP(C13,'Train Runs'!$A$13:$AE$9986,31,0)</f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S13" s="103" t="str">
        <f>VLOOKUP(C13,'Train Runs'!$A$13:$AE$9986,22,0)</f>
        <v>https://search-rtdc-monitor-bjffxe2xuh6vdkpspy63sjmuny.us-east-1.es.amazonaws.com/_plugin/kibana/#/discover/Steve-Slow-Train-Analysis-(2080s-and-2083s)?_g=(refreshInterval:(display:Off,section:0,value:0),time:(from:'2016-11-29 09:09:26-700',mode:absolute,to:'2016-11-29 12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3" s="105" t="str">
        <f t="shared" si="1"/>
        <v>"C:\Program Files (x86)\AstroGrep\AstroGrep.exe" /spath="%USERPROFILE%\AppData\Local\Temp\OnboardLogs" /stypes="*4015*201611291*" /stext=" 17:.+((SYSTEM_STATE.+slice.+state.+changed )|(ment ac)|(multiple cpu faults)|(system.+state.+changed )|(\[timeout)|(PRM\|1\|D)|(kpr)|(kdp)|(\|lc)|(penalty))" /e /r /s</v>
      </c>
      <c r="U13" s="9" t="str">
        <f t="shared" si="2"/>
        <v>4015</v>
      </c>
      <c r="V13" s="36">
        <f t="shared" si="3"/>
        <v>42703.731527777774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{"issue":{"subject":"","project_id":79,"tracker_id":40,"status_id":1,"priority_id":2,"assigned_to_id":23,"start_date":"2016-11-29","description":"","custom_fields":[{"id":1,"name":"Subdivision","value":"EC"},{"id":4,"name":"Milepost","value":"19.0834"},{"id":17,"name":"Train ID","value":"148-29"},{"id":16,"name":"Locomotive ID","value":"4015"},{"id":130,"name":"Impact","value":""},{"id":150,"name":"Time of Event (Mountain Time)","value":"10:33:24"},{"id":151,"name":"Denver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"%USERPROFILE%\AppData\Local\Temp\OnboardLogs"\RTDC4015\*4015*201611291*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"%USERPROFILE%\AppData\Local\Temp\OnboardLogs"\RTDC4015\*4015*201611291* &gt;&gt; 42703-slicedisagreementcheck.txt</v>
      </c>
    </row>
    <row r="14" spans="1:30" s="1" customFormat="1" x14ac:dyDescent="0.25">
      <c r="A14" s="36">
        <v>42703.244201388887</v>
      </c>
      <c r="B14" s="31" t="s">
        <v>223</v>
      </c>
      <c r="C14" s="31" t="s">
        <v>532</v>
      </c>
      <c r="D14" s="31" t="s">
        <v>49</v>
      </c>
      <c r="E14" s="31" t="s">
        <v>199</v>
      </c>
      <c r="F14" s="47">
        <v>150</v>
      </c>
      <c r="G14" s="47">
        <v>289</v>
      </c>
      <c r="H14" s="47">
        <v>229539</v>
      </c>
      <c r="I14" s="47">
        <v>230052</v>
      </c>
      <c r="J14" s="31" t="s">
        <v>200</v>
      </c>
      <c r="K14" s="47">
        <v>230436</v>
      </c>
      <c r="L14" s="154" t="s">
        <v>50</v>
      </c>
      <c r="M14" s="155">
        <f t="shared" si="0"/>
        <v>202.75200000000001</v>
      </c>
      <c r="N14" s="156" t="str">
        <f>VLOOKUP(C14,'Trips&amp;Operators'!$C$1:$E$99999,3,FALSE)</f>
        <v>KILLION</v>
      </c>
      <c r="O14" s="182" t="s">
        <v>198</v>
      </c>
      <c r="P14" s="157"/>
      <c r="Q14" s="31"/>
      <c r="R14" s="100" t="str">
        <f>VLOOKUP(C14,'Train Runs'!$A$13:$AE$9986,31,0)</f>
        <v>aws s3 cp s3://rtdc.mdm.uploadarchive.raw/RTDC4022/ "%USERPROFILE%\AppData\Local\Temp\OnboardLogs"\RTDC4022\2016-11-29 --exclude "*" --recursive --include "*20161129*" &amp; "%USERPROFILE%\Documents\GitHub\mrs-test-scripts\Headless Mode &amp; Sideloading\WalkAndUnGZ.bat" "%USERPROFILE%\AppData\Local\Temp\OnboardLogs"\RTDC4022\2016-11-29 &amp; 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</v>
      </c>
      <c r="S14" s="103" t="str">
        <f>VLOOKUP(C14,'Train Runs'!$A$13:$AE$9986,22,0)</f>
        <v>https://search-rtdc-monitor-bjffxe2xuh6vdkpspy63sjmuny.us-east-1.es.amazonaws.com/_plugin/kibana/#/discover/Steve-Slow-Train-Analysis-(2080s-and-2083s)?_g=(refreshInterval:(display:Off,section:0,value:0),time:(from:'2016-11-29 03:58:20-700',mode:absolute,to:'2016-11-29 06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4" s="105" t="str">
        <f t="shared" si="1"/>
        <v>"C:\Program Files (x86)\AstroGrep\AstroGrep.exe" /spath="%USERPROFILE%\AppData\Local\Temp\OnboardLogs" /stypes="*4022*201611291*" /stext=" 12:.+((SYSTEM_STATE.+slice.+state.+changed )|(ment ac)|(multiple cpu faults)|(system.+state.+changed )|(\[timeout)|(PRM\|1\|D)|(kpr)|(kdp)|(\|lc)|(penalty))" /e /r /s</v>
      </c>
      <c r="U14" s="9" t="str">
        <f t="shared" si="2"/>
        <v>4022</v>
      </c>
      <c r="V14" s="36">
        <f t="shared" si="3"/>
        <v>42703.535868055551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{"issue":{"subject":"","project_id":79,"tracker_id":40,"status_id":1,"priority_id":2,"assigned_to_id":23,"start_date":"2016-11-29","description":"","custom_fields":[{"id":1,"name":"Subdivision","value":"EC"},{"id":4,"name":"Milepost","value":"23.0436"},{"id":17,"name":"Train ID","value":"113-29"},{"id":16,"name":"Locomotive ID","value":"4022"},{"id":130,"name":"Impact","value":""},{"id":150,"name":"Time of Event (Mountain Time)","value":"05:51:39"},{"id":151,"name":"Denver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"%USERPROFILE%\AppData\Local\Temp\OnboardLogs"\RTDC4022\*4022*201611291*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"%USERPROFILE%\AppData\Local\Temp\OnboardLogs"\RTDC4022\*4022*201611291* &gt;&gt; 42703-slicedisagreementcheck.txt</v>
      </c>
    </row>
    <row r="15" spans="1:30" s="1" customFormat="1" x14ac:dyDescent="0.25">
      <c r="A15" s="36">
        <v>42703.14199074074</v>
      </c>
      <c r="B15" s="31" t="s">
        <v>272</v>
      </c>
      <c r="C15" s="31" t="s">
        <v>527</v>
      </c>
      <c r="D15" s="31" t="s">
        <v>49</v>
      </c>
      <c r="E15" s="31" t="s">
        <v>201</v>
      </c>
      <c r="F15" s="47">
        <v>0</v>
      </c>
      <c r="G15" s="47">
        <v>185</v>
      </c>
      <c r="H15" s="47">
        <v>35860</v>
      </c>
      <c r="I15" s="47">
        <v>36232</v>
      </c>
      <c r="J15" s="31" t="s">
        <v>202</v>
      </c>
      <c r="K15" s="47">
        <v>36645</v>
      </c>
      <c r="L15" s="154" t="s">
        <v>50</v>
      </c>
      <c r="M15" s="155">
        <f t="shared" si="0"/>
        <v>218.06399999999999</v>
      </c>
      <c r="N15" s="156" t="str">
        <f>VLOOKUP(C15,'Trips&amp;Operators'!$C$1:$E$99999,3,FALSE)</f>
        <v>KILLION</v>
      </c>
      <c r="O15" s="182" t="s">
        <v>198</v>
      </c>
      <c r="P15" s="157" t="s">
        <v>894</v>
      </c>
      <c r="Q15" s="31"/>
      <c r="R15" s="100" t="str">
        <f>VLOOKUP(C15,'Train Runs'!$A$13:$AE$9986,31,0)</f>
        <v>aws s3 cp s3://rtdc.mdm.uploadarchive.raw/RTDC4003/ "%USERPROFILE%\AppData\Local\Temp\OnboardLogs"\RTDC4003\2016-11-29 --exclude "*" --recursive --include "*20161129*" &amp; "%USERPROFILE%\Documents\GitHub\mrs-test-scripts\Headless Mode &amp; Sideloading\WalkAndUnGZ.bat" "%USERPROFILE%\AppData\Local\Temp\OnboardLogs"\RTDC4003\2016-11-29 &amp; 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</v>
      </c>
      <c r="S15" s="103" t="str">
        <f>VLOOKUP(C15,'Train Runs'!$A$13:$AE$9986,22,0)</f>
        <v>https://search-rtdc-monitor-bjffxe2xuh6vdkpspy63sjmuny.us-east-1.es.amazonaws.com/_plugin/kibana/#/discover/Steve-Slow-Train-Analysis-(2080s-and-2083s)?_g=(refreshInterval:(display:Off,section:0,value:0),time:(from:'2016-11-29 02:07:38-700',mode:absolute,to:'2016-11-29 04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5" s="105" t="str">
        <f t="shared" si="1"/>
        <v>"C:\Program Files (x86)\AstroGrep\AstroGrep.exe" /spath="%USERPROFILE%\AppData\Local\Temp\OnboardLogs" /stypes="*4003*201611291*" /stext=" 10:.+((SYSTEM_STATE.+slice.+state.+changed )|(ment ac)|(multiple cpu faults)|(system.+state.+changed )|(\[timeout)|(PRM\|1\|D)|(kpr)|(kdp)|(\|lc)|(penalty))" /e /r /s</v>
      </c>
      <c r="U15" s="9" t="str">
        <f t="shared" si="2"/>
        <v>4003</v>
      </c>
      <c r="V15" s="36">
        <f t="shared" si="3"/>
        <v>42703.433657407404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{"issue":{"subject":"STOP aspect","project_id":79,"tracker_id":40,"status_id":1,"priority_id":2,"assigned_to_id":23,"start_date":"2016-11-29","description":"","custom_fields":[{"id":1,"name":"Subdivision","value":"EC"},{"id":4,"name":"Milepost","value":"3.6645"},{"id":17,"name":"Train ID","value":"101-29"},{"id":16,"name":"Locomotive ID","value":"4003"},{"id":130,"name":"Impact","value":""},{"id":150,"name":"Time of Event (Mountain Time)","value":"03:24:28"},{"id":151,"name":"Denver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"%USERPROFILE%\AppData\Local\Temp\OnboardLogs"\RTDC4003\*4003*201611291*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"%USERPROFILE%\AppData\Local\Temp\OnboardLogs"\RTDC4003\*4003*201611291* &gt;&gt; 42703-slicedisagreementcheck.txt</v>
      </c>
    </row>
    <row r="16" spans="1:30" s="1" customFormat="1" x14ac:dyDescent="0.25">
      <c r="A16" s="36">
        <v>42703.380798611113</v>
      </c>
      <c r="B16" s="31" t="s">
        <v>334</v>
      </c>
      <c r="C16" s="31" t="s">
        <v>540</v>
      </c>
      <c r="D16" s="31" t="s">
        <v>49</v>
      </c>
      <c r="E16" s="31" t="s">
        <v>201</v>
      </c>
      <c r="F16" s="47">
        <v>0</v>
      </c>
      <c r="G16" s="47">
        <v>614</v>
      </c>
      <c r="H16" s="47">
        <v>39755</v>
      </c>
      <c r="I16" s="47">
        <v>37562</v>
      </c>
      <c r="J16" s="31" t="s">
        <v>202</v>
      </c>
      <c r="K16" s="47">
        <v>36657</v>
      </c>
      <c r="L16" s="154" t="s">
        <v>51</v>
      </c>
      <c r="M16" s="155">
        <f t="shared" si="0"/>
        <v>477.84</v>
      </c>
      <c r="N16" s="156" t="str">
        <f>VLOOKUP(C16,'Trips&amp;Operators'!$C$1:$E$99999,3,FALSE)</f>
        <v>PERKINS</v>
      </c>
      <c r="O16" s="182" t="s">
        <v>243</v>
      </c>
      <c r="P16" s="157" t="s">
        <v>902</v>
      </c>
      <c r="Q16" s="31"/>
      <c r="R16" s="100" t="str">
        <f>VLOOKUP(C16,'Train Runs'!$A$13:$AE$9986,31,0)</f>
        <v>aws s3 cp s3://rtdc.mdm.uploadarchive.raw/RTDC4015/ "%USERPROFILE%\AppData\Local\Temp\OnboardLogs"\RTDC4015\2016-11-29 --exclude "*" --recursive --include "*20161129*" &amp; "%USERPROFILE%\Documents\GitHub\mrs-test-scripts\Headless Mode &amp; Sideloading\WalkAndUnGZ.bat" "%USERPROFILE%\AppData\Local\Temp\OnboardLogs"\RTDC4015\2016-11-29 &amp; aws s3 cp s3://rtdc.mdm.uploadarchive.raw/RTDC4015/ "%USERPROFILE%\AppData\Local\Temp\OnboardLogs"\RTDC4015\2016-11-30 --exclude "*" --recursive --include "*20161130*" &amp; "%USERPROFILE%\Documents\GitHub\mrs-test-scripts\Headless Mode &amp; Sideloading\WalkAndUnGZ.bat" "%USERPROFILE%\AppData\Local\Temp\OnboardLogs"\RTDC4015\2016-11-30</v>
      </c>
      <c r="S16" s="103" t="str">
        <f>VLOOKUP(C16,'Train Runs'!$A$13:$AE$9986,22,0)</f>
        <v>https://search-rtdc-monitor-bjffxe2xuh6vdkpspy63sjmuny.us-east-1.es.amazonaws.com/_plugin/kibana/#/discover/Steve-Slow-Train-Analysis-(2080s-and-2083s)?_g=(refreshInterval:(display:Off,section:0,value:0),time:(from:'2016-11-29 07:24:42-700',mode:absolute,to:'2016-11-29 10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6" s="105" t="str">
        <f t="shared" si="1"/>
        <v>"C:\Program Files (x86)\AstroGrep\AstroGrep.exe" /spath="%USERPROFILE%\AppData\Local\Temp\OnboardLogs" /stypes="*4015*201611291*" /stext=" 16:.+((SYSTEM_STATE.+slice.+state.+changed )|(ment ac)|(multiple cpu faults)|(system.+state.+changed )|(\[timeout)|(PRM\|1\|D)|(kpr)|(kdp)|(\|lc)|(penalty))" /e /r /s</v>
      </c>
      <c r="U16" s="9" t="str">
        <f t="shared" si="2"/>
        <v>4015</v>
      </c>
      <c r="V16" s="36">
        <f t="shared" si="3"/>
        <v>42703.672465277778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{"issue":{"subject":"Premature downgrade at EC0365RH 40-2T 2S","project_id":79,"tracker_id":40,"status_id":1,"priority_id":2,"assigned_to_id":23,"start_date":"2016-11-29","description":"At approx 2016-11-29 09:07:55, seems like EC0365RH 40-2T 2S dropped to STOP &amp; PROCEED. Do logs tell us anything odd here?","custom_fields":[{"id":1,"name":"Subdivision","value":"EC"},{"id":4,"name":"Milepost","value":"3.6657"},{"id":17,"name":"Train ID","value":"134-29"},{"id":16,"name":"Locomotive ID","value":"4015"},{"id":130,"name":"Impact","value":"Enforcement"},{"id":150,"name":"Time of Event (Mountain Time)","value":"09:08:21"},{"id":151,"name":"Denver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53" t="s">
        <v>903</v>
      </c>
      <c r="AA16" s="53" t="s">
        <v>125</v>
      </c>
      <c r="AB16" s="53" t="s">
        <v>130</v>
      </c>
      <c r="AC16" s="138" t="str">
        <f t="shared" si="7"/>
        <v>grep -hSE -A100 "Enforcement Action" "%USERPROFILE%\AppData\Local\Temp\OnboardLogs"\RTDC4015\*4015*201611291*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"%USERPROFILE%\AppData\Local\Temp\OnboardLogs"\RTDC4015\*4015*201611291* &gt;&gt; 42703-slicedisagreementcheck.txt</v>
      </c>
    </row>
    <row r="17" spans="1:30" s="1" customFormat="1" x14ac:dyDescent="0.25">
      <c r="A17" s="36">
        <v>42703.480532407404</v>
      </c>
      <c r="B17" s="31" t="s">
        <v>332</v>
      </c>
      <c r="C17" s="31" t="s">
        <v>551</v>
      </c>
      <c r="D17" s="31" t="s">
        <v>49</v>
      </c>
      <c r="E17" s="31" t="s">
        <v>201</v>
      </c>
      <c r="F17" s="47">
        <v>0</v>
      </c>
      <c r="G17" s="47">
        <v>781</v>
      </c>
      <c r="H17" s="47">
        <v>79268</v>
      </c>
      <c r="I17" s="47">
        <v>83273</v>
      </c>
      <c r="J17" s="31" t="s">
        <v>202</v>
      </c>
      <c r="K17" s="47">
        <v>81738</v>
      </c>
      <c r="L17" s="154" t="s">
        <v>50</v>
      </c>
      <c r="M17" s="155">
        <f t="shared" si="0"/>
        <v>-810.48</v>
      </c>
      <c r="N17" s="156" t="str">
        <f>VLOOKUP(C17,'Trips&amp;Operators'!$C$1:$E$99999,3,FALSE)</f>
        <v>STEWART</v>
      </c>
      <c r="O17" s="182" t="s">
        <v>243</v>
      </c>
      <c r="P17" s="157" t="s">
        <v>895</v>
      </c>
      <c r="Q17" s="31"/>
      <c r="R17" s="100" t="str">
        <f>VLOOKUP(C17,'Train Runs'!$A$13:$AE$9986,31,0)</f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S17" s="103" t="str">
        <f>VLOOKUP(C17,'Train Runs'!$A$13:$AE$9986,22,0)</f>
        <v>https://search-rtdc-monitor-bjffxe2xuh6vdkpspy63sjmuny.us-east-1.es.amazonaws.com/_plugin/kibana/#/discover/Steve-Slow-Train-Analysis-(2080s-and-2083s)?_g=(refreshInterval:(display:Off,section:0,value:0),time:(from:'2016-11-29 10:08:36-700',mode:absolute,to:'2016-11-29 12:53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7" s="105" t="str">
        <f t="shared" si="1"/>
        <v>"C:\Program Files (x86)\AstroGrep\AstroGrep.exe" /spath="%USERPROFILE%\AppData\Local\Temp\OnboardLogs" /stypes="*4016*201611291*" /stext=" 18:.+((SYSTEM_STATE.+slice.+state.+changed )|(ment ac)|(multiple cpu faults)|(system.+state.+changed )|(\[timeout)|(PRM\|1\|D)|(kpr)|(kdp)|(\|lc)|(penalty))" /e /r /s</v>
      </c>
      <c r="U17" s="9" t="str">
        <f t="shared" si="2"/>
        <v>4016</v>
      </c>
      <c r="V17" s="36">
        <f t="shared" si="3"/>
        <v>42703.772199074068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{"issue":{"subject":"Premature downgrade at EC0816RH 75-1T 1N","project_id":79,"tracker_id":40,"status_id":1,"priority_id":2,"assigned_to_id":23,"start_date":"2016-11-29","description":"At 11:31:24, EC0816RH 75-1T 1N dropped to STOP &amp; PROCEED. Did anything wrong occur during this timeframe?","custom_fields":[{"id":1,"name":"Subdivision","value":"EC"},{"id":4,"name":"Milepost","value":"8.1738"},{"id":17,"name":"Train ID","value":"161-29"},{"id":16,"name":"Locomotive ID","value":"4016"},{"id":130,"name":"Impact","value":"Enforcement"},{"id":150,"name":"Time of Event (Mountain Time)","value":"11:31:58"},{"id":151,"name":"Denver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7" s="53" t="s">
        <v>904</v>
      </c>
      <c r="AA17" s="53" t="s">
        <v>125</v>
      </c>
      <c r="AB17" s="53" t="s">
        <v>130</v>
      </c>
      <c r="AC17" s="138" t="str">
        <f t="shared" si="7"/>
        <v>grep -hSE -A100 "Enforcement Action" "%USERPROFILE%\AppData\Local\Temp\OnboardLogs"\RTDC4016\*4016*201611291*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"%USERPROFILE%\AppData\Local\Temp\OnboardLogs"\RTDC4016\*4016*201611291* &gt;&gt; 42703-slicedisagreementcheck.txt</v>
      </c>
    </row>
    <row r="18" spans="1:30" s="1" customFormat="1" x14ac:dyDescent="0.25">
      <c r="A18" s="36">
        <v>42703.76258101852</v>
      </c>
      <c r="B18" s="31" t="s">
        <v>537</v>
      </c>
      <c r="C18" s="31" t="s">
        <v>564</v>
      </c>
      <c r="D18" s="31" t="s">
        <v>98</v>
      </c>
      <c r="E18" s="31" t="s">
        <v>201</v>
      </c>
      <c r="F18" s="47">
        <v>0</v>
      </c>
      <c r="G18" s="47">
        <v>704</v>
      </c>
      <c r="H18" s="47">
        <v>81814</v>
      </c>
      <c r="I18" s="47">
        <v>84436</v>
      </c>
      <c r="J18" s="31" t="s">
        <v>202</v>
      </c>
      <c r="K18" s="47">
        <v>81738</v>
      </c>
      <c r="L18" s="154" t="s">
        <v>50</v>
      </c>
      <c r="M18" s="155">
        <f t="shared" si="0"/>
        <v>-1424.5439999999999</v>
      </c>
      <c r="N18" s="156" t="str">
        <f>VLOOKUP(C18,'Trips&amp;Operators'!$C$1:$E$99999,3,FALSE)</f>
        <v>STORY</v>
      </c>
      <c r="O18" s="182" t="s">
        <v>243</v>
      </c>
      <c r="P18" s="157" t="s">
        <v>895</v>
      </c>
      <c r="Q18" s="31"/>
      <c r="R18" s="100" t="str">
        <f>VLOOKUP(C18,'Train Runs'!$A$13:$AE$9986,31,0)</f>
        <v>aws s3 cp s3://rtdc.mdm.uploadarchive.raw/RTDC4029/ "%USERPROFILE%\AppData\Local\Temp\OnboardLogs"\RTDC4029\2016-11-29 --exclude "*" --recursive --include "*20161129*" &amp; "%USERPROFILE%\Documents\GitHub\mrs-test-scripts\Headless Mode &amp; Sideloading\WalkAndUnGZ.bat" "%USERPROFILE%\AppData\Local\Temp\OnboardLogs"\RTDC4029\2016-11-29 &amp; aws s3 cp s3://rtdc.mdm.uploadarchive.raw/RTDC4029/ "%USERPROFILE%\AppData\Local\Temp\OnboardLogs"\RTDC4029\2016-11-30 --exclude "*" --recursive --include "*20161130*" &amp; "%USERPROFILE%\Documents\GitHub\mrs-test-scripts\Headless Mode &amp; Sideloading\WalkAndUnGZ.bat" "%USERPROFILE%\AppData\Local\Temp\OnboardLogs"\RTDC4029\2016-11-30</v>
      </c>
      <c r="S18" s="103" t="str">
        <f>VLOOKUP(C18,'Train Runs'!$A$13:$AE$9986,22,0)</f>
        <v>https://search-rtdc-monitor-bjffxe2xuh6vdkpspy63sjmuny.us-east-1.es.amazonaws.com/_plugin/kibana/#/discover/Steve-Slow-Train-Analysis-(2080s-and-2083s)?_g=(refreshInterval:(display:Off,section:0,value:0),time:(from:'2016-11-29 16:53:35-700',mode:absolute,to:'2016-11-29 19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8" s="105" t="str">
        <f t="shared" si="1"/>
        <v>"C:\Program Files (x86)\AstroGrep\AstroGrep.exe" /spath="%USERPROFILE%\AppData\Local\Temp\OnboardLogs" /stypes="*4029*201611300*" /stext=" 01:.+((SYSTEM_STATE.+slice.+state.+changed )|(ment ac)|(multiple cpu faults)|(system.+state.+changed )|(\[timeout)|(PRM\|1\|D)|(kpr)|(kdp)|(\|lc)|(penalty))" /e /r /s</v>
      </c>
      <c r="U18" s="9" t="str">
        <f t="shared" si="2"/>
        <v>4029</v>
      </c>
      <c r="V18" s="36">
        <f t="shared" si="3"/>
        <v>42704.054247685184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{"issue":{"subject":"Premature downgrade at EC0816RH 75-1T 1N","project_id":79,"tracker_id":40,"status_id":1,"priority_id":2,"assigned_to_id":23,"start_date":"2016-11-29","description":"At 18:17:39, EC0816RH 75-1T 1N dropped to STOP &amp; PROCEED. Did anything wrong occur during this timeframe?","custom_fields":[{"id":1,"name":"Subdivision","value":"EC"},{"id":4,"name":"Milepost","value":"8.1738"},{"id":17,"name":"Train ID","value":"215-29"},{"id":16,"name":"Locomotive ID","value":"4029"},{"id":130,"name":"Impact","value":"Enforcement"},{"id":150,"name":"Time of Event (Mountain Time)","value":"18:18:07"},{"id":151,"name":"Denver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53" t="s">
        <v>905</v>
      </c>
      <c r="AA18" s="53" t="s">
        <v>125</v>
      </c>
      <c r="AB18" s="53" t="s">
        <v>130</v>
      </c>
      <c r="AC18" s="138" t="str">
        <f t="shared" si="7"/>
        <v>grep -hSE -A100 "Enforcement Action" "%USERPROFILE%\AppData\Local\Temp\OnboardLogs"\RTDC4029\*4029*201611300*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"%USERPROFILE%\AppData\Local\Temp\OnboardLogs"\RTDC4029\*4029*201611300* &gt;&gt; 42703-slicedisagreementcheck.txt</v>
      </c>
    </row>
    <row r="19" spans="1:30" s="1" customFormat="1" x14ac:dyDescent="0.25">
      <c r="A19" s="36">
        <v>42703.459745370368</v>
      </c>
      <c r="B19" s="31" t="s">
        <v>286</v>
      </c>
      <c r="C19" s="31" t="s">
        <v>546</v>
      </c>
      <c r="D19" s="31" t="s">
        <v>49</v>
      </c>
      <c r="E19" s="31" t="s">
        <v>201</v>
      </c>
      <c r="F19" s="47">
        <v>0</v>
      </c>
      <c r="G19" s="47">
        <v>76</v>
      </c>
      <c r="H19" s="47">
        <v>192406</v>
      </c>
      <c r="I19" s="47">
        <v>192344</v>
      </c>
      <c r="J19" s="31" t="s">
        <v>202</v>
      </c>
      <c r="K19" s="47">
        <v>191723</v>
      </c>
      <c r="L19" s="154" t="s">
        <v>51</v>
      </c>
      <c r="M19" s="155">
        <f t="shared" si="0"/>
        <v>327.88799999999998</v>
      </c>
      <c r="N19" s="156" t="str">
        <f>VLOOKUP(C19,'Trips&amp;Operators'!$C$1:$E$99999,3,FALSE)</f>
        <v>DAVIS</v>
      </c>
      <c r="O19" s="182" t="s">
        <v>198</v>
      </c>
      <c r="P19" s="157" t="s">
        <v>896</v>
      </c>
      <c r="Q19" s="31"/>
      <c r="R19" s="100" t="str">
        <f>VLOOKUP(C19,'Train Runs'!$A$13:$AE$9986,31,0)</f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S19" s="103" t="str">
        <f>VLOOKUP(C19,'Train Runs'!$A$13:$AE$9986,22,0)</f>
        <v>https://search-rtdc-monitor-bjffxe2xuh6vdkpspy63sjmuny.us-east-1.es.amazonaws.com/_plugin/kibana/#/discover/Steve-Slow-Train-Analysis-(2080s-and-2083s)?_g=(refreshInterval:(display:Off,section:0,value:0),time:(from:'2016-11-29 09:51:03-700',mode:absolute,to:'2016-11-29 12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/stypes="*4032*201611291*" /stext=" 18:.+((SYSTEM_STATE.+slice.+state.+changed )|(ment ac)|(multiple cpu faults)|(system.+state.+changed )|(\[timeout)|(PRM\|1\|D)|(kpr)|(kdp)|(\|lc)|(penalty))" /e /r /s</v>
      </c>
      <c r="U19" s="9" t="str">
        <f t="shared" si="2"/>
        <v>4032</v>
      </c>
      <c r="V19" s="36">
        <f t="shared" si="3"/>
        <v>42703.751412037032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{"issue":{"subject":"Pena 4S STOP","project_id":79,"tracker_id":40,"status_id":1,"priority_id":2,"assigned_to_id":23,"start_date":"2016-11-29","description":"","custom_fields":[{"id":1,"name":"Subdivision","value":"EC"},{"id":4,"name":"Milepost","value":"19.1723"},{"id":17,"name":"Train ID","value":"152-29"},{"id":16,"name":"Locomotive ID","value":"4032"},{"id":130,"name":"Impact","value":""},{"id":150,"name":"Time of Event (Mountain Time)","value":"11:02:02"},{"id":151,"name":"Denver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"%USERPROFILE%\AppData\Local\Temp\OnboardLogs"\RTDC4032\*4032*201611291*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"%USERPROFILE%\AppData\Local\Temp\OnboardLogs"\RTDC4032\*4032*201611291* &gt;&gt; 42703-slicedisagreementcheck.txt</v>
      </c>
    </row>
    <row r="20" spans="1:30" s="1" customFormat="1" x14ac:dyDescent="0.25">
      <c r="A20" s="36">
        <v>42703.487986111111</v>
      </c>
      <c r="B20" s="31" t="s">
        <v>215</v>
      </c>
      <c r="C20" s="31" t="s">
        <v>552</v>
      </c>
      <c r="D20" s="31" t="s">
        <v>98</v>
      </c>
      <c r="E20" s="31" t="s">
        <v>355</v>
      </c>
      <c r="F20" s="47">
        <v>0</v>
      </c>
      <c r="G20" s="47">
        <v>354</v>
      </c>
      <c r="H20" s="47">
        <v>228787</v>
      </c>
      <c r="I20" s="47">
        <v>227918</v>
      </c>
      <c r="J20" s="31" t="s">
        <v>356</v>
      </c>
      <c r="K20" s="47">
        <v>231650</v>
      </c>
      <c r="L20" s="154" t="s">
        <v>51</v>
      </c>
      <c r="M20" s="155">
        <f t="shared" si="0"/>
        <v>-1970.4960000000001</v>
      </c>
      <c r="N20" s="156" t="str">
        <f>VLOOKUP(C20,'Trips&amp;Operators'!$C$1:$E$99999,3,FALSE)</f>
        <v>SAFIEF</v>
      </c>
      <c r="O20" s="182" t="s">
        <v>243</v>
      </c>
      <c r="P20" s="157" t="s">
        <v>897</v>
      </c>
      <c r="Q20" s="31"/>
      <c r="R20" s="100" t="str">
        <f>VLOOKUP(C20,'Train Runs'!$A$13:$AE$9986,31,0)</f>
        <v>aws s3 cp s3://rtdc.mdm.uploadarchive.raw/RTDC4039/ "%USERPROFILE%\AppData\Local\Temp\OnboardLogs"\RTDC4039\2016-11-29 --exclude "*" --recursive --include "*20161129*" &amp; "%USERPROFILE%\Documents\GitHub\mrs-test-scripts\Headless Mode &amp; Sideloading\WalkAndUnGZ.bat" "%USERPROFILE%\AppData\Local\Temp\OnboardLogs"\RTDC4039\2016-11-29 &amp; aws s3 cp s3://rtdc.mdm.uploadarchive.raw/RTDC4039/ "%USERPROFILE%\AppData\Local\Temp\OnboardLogs"\RTDC4039\2016-11-30 --exclude "*" --recursive --include "*20161130*" &amp; "%USERPROFILE%\Documents\GitHub\mrs-test-scripts\Headless Mode &amp; Sideloading\WalkAndUnGZ.bat" "%USERPROFILE%\AppData\Local\Temp\OnboardLogs"\RTDC4039\2016-11-30</v>
      </c>
      <c r="S20" s="103" t="str">
        <f>VLOOKUP(C20,'Train Runs'!$A$13:$AE$9986,22,0)</f>
        <v>https://search-rtdc-monitor-bjffxe2xuh6vdkpspy63sjmuny.us-east-1.es.amazonaws.com/_plugin/kibana/#/discover/Steve-Slow-Train-Analysis-(2080s-and-2083s)?_g=(refreshInterval:(display:Off,section:0,value:0),time:(from:'2016-11-29 10:23:43-700',mode:absolute,to:'2016-11-29 13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/stypes="*4039*201611291*" /stext=" 18:.+((SYSTEM_STATE.+slice.+state.+changed )|(ment ac)|(multiple cpu faults)|(system.+state.+changed )|(\[timeout)|(PRM\|1\|D)|(kpr)|(kdp)|(\|lc)|(penalty))" /e /r /s</v>
      </c>
      <c r="U20" s="9" t="str">
        <f t="shared" si="2"/>
        <v>4039</v>
      </c>
      <c r="V20" s="36">
        <f t="shared" si="3"/>
        <v>42703.779652777775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{"issue":{"subject":"Wi-MAX data drop","project_id":79,"tracker_id":40,"status_id":1,"priority_id":2,"assigned_to_id":23,"start_date":"2016-11-29","description":"4039,,,,0:00:54.382646,2016-11-29 11:42:06.526046-07:00","custom_fields":[{"id":1,"name":"Subdivision","value":"EC"},{"id":4,"name":"Milepost","value":"23.165"},{"id":17,"name":"Train ID","value":"158-29"},{"id":16,"name":"Locomotive ID","value":"4039"},{"id":130,"name":"Impact","value":"Enforcement"},{"id":150,"name":"Time of Event (Mountain Time)","value":"11:42:42"},{"id":151,"name":"Denver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s="53" t="s">
        <v>898</v>
      </c>
      <c r="AA20" s="53" t="s">
        <v>125</v>
      </c>
      <c r="AB20" s="53" t="s">
        <v>138</v>
      </c>
      <c r="AC20" s="138" t="str">
        <f t="shared" si="7"/>
        <v>grep -hSE -A100 "Enforcement Action" "%USERPROFILE%\AppData\Local\Temp\OnboardLogs"\RTDC4039\*4039*201611291*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"%USERPROFILE%\AppData\Local\Temp\OnboardLogs"\RTDC4039\*4039*201611291* &gt;&gt; 42703-slicedisagreementcheck.txt</v>
      </c>
    </row>
    <row r="21" spans="1:30" x14ac:dyDescent="0.25">
      <c r="A21" s="36">
        <v>42703.398819444446</v>
      </c>
      <c r="B21" s="31" t="s">
        <v>238</v>
      </c>
      <c r="C21" s="31" t="s">
        <v>541</v>
      </c>
      <c r="D21" s="31" t="s">
        <v>49</v>
      </c>
      <c r="E21" s="31" t="s">
        <v>203</v>
      </c>
      <c r="F21" s="47">
        <v>0</v>
      </c>
      <c r="G21" s="47">
        <v>68</v>
      </c>
      <c r="H21" s="47">
        <v>232</v>
      </c>
      <c r="I21" s="47">
        <v>170</v>
      </c>
      <c r="J21" s="31" t="s">
        <v>204</v>
      </c>
      <c r="K21" s="47">
        <v>1</v>
      </c>
      <c r="L21" s="154" t="s">
        <v>51</v>
      </c>
      <c r="M21" s="155">
        <f t="shared" si="0"/>
        <v>89.231999999999985</v>
      </c>
      <c r="N21" s="156" t="str">
        <f>VLOOKUP(C21,'Trips&amp;Operators'!$C$1:$E$99999,3,FALSE)</f>
        <v>SPECTOR</v>
      </c>
      <c r="O21" s="182" t="s">
        <v>198</v>
      </c>
      <c r="P21" s="157"/>
      <c r="Q21" s="31"/>
      <c r="R21" s="100" t="str">
        <f>VLOOKUP(C21,'Train Runs'!$A$13:$AE$9986,31,0)</f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S21" s="103" t="str">
        <f>VLOOKUP(C21,'Train Runs'!$A$13:$AE$9986,22,0)</f>
        <v>https://search-rtdc-monitor-bjffxe2xuh6vdkpspy63sjmuny.us-east-1.es.amazonaws.com/_plugin/kibana/#/discover/Steve-Slow-Train-Analysis-(2080s-and-2083s)?_g=(refreshInterval:(display:Off,section:0,value:0),time:(from:'2016-11-29 07:48:57-700',mode:absolute,to:'2016-11-29 10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1" s="105" t="str">
        <f t="shared" si="1"/>
        <v>"C:\Program Files (x86)\AstroGrep\AstroGrep.exe" /spath="%USERPROFILE%\AppData\Local\Temp\OnboardLogs" /stypes="*4013*201611291*" /stext=" 16:.+((SYSTEM_STATE.+slice.+state.+changed )|(ment ac)|(multiple cpu faults)|(system.+state.+changed )|(\[timeout)|(PRM\|1\|D)|(kpr)|(kdp)|(\|lc)|(penalty))" /e /r /s</v>
      </c>
      <c r="U21" s="9" t="str">
        <f t="shared" si="2"/>
        <v>4013</v>
      </c>
      <c r="V21" s="36">
        <f t="shared" si="3"/>
        <v>42703.690486111111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{"issue":{"subject":"","project_id":79,"tracker_id":40,"status_id":1,"priority_id":2,"assigned_to_id":23,"start_date":"2016-11-29","description":"","custom_fields":[{"id":1,"name":"Subdivision","value":"EC"},{"id":4,"name":"Milepost","value":"0.0001"},{"id":17,"name":"Train ID","value":"136-29"},{"id":16,"name":"Locomotive ID","value":"4013"},{"id":130,"name":"Impact","value":""},{"id":150,"name":"Time of Event (Mountain Time)","value":"09:34:18"},{"id":151,"name":"Denver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"%USERPROFILE%\AppData\Local\Temp\OnboardLogs"\RTDC4013\*4013*201611291*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"%USERPROFILE%\AppData\Local\Temp\OnboardLogs"\RTDC4013\*4013*201611291* &gt;&gt; 42703-slicedisagreementcheck.txt</v>
      </c>
    </row>
    <row r="22" spans="1:30" x14ac:dyDescent="0.25">
      <c r="A22" s="36">
        <v>42703.41920138889</v>
      </c>
      <c r="B22" s="31" t="s">
        <v>273</v>
      </c>
      <c r="C22" s="31" t="s">
        <v>542</v>
      </c>
      <c r="D22" s="31" t="s">
        <v>49</v>
      </c>
      <c r="E22" s="31" t="s">
        <v>203</v>
      </c>
      <c r="F22" s="47">
        <v>0</v>
      </c>
      <c r="G22" s="47">
        <v>47</v>
      </c>
      <c r="H22" s="47">
        <v>150</v>
      </c>
      <c r="I22" s="47">
        <v>123</v>
      </c>
      <c r="J22" s="31" t="s">
        <v>204</v>
      </c>
      <c r="K22" s="47">
        <v>1</v>
      </c>
      <c r="L22" s="154" t="s">
        <v>51</v>
      </c>
      <c r="M22" s="155">
        <f t="shared" si="0"/>
        <v>64.415999999999997</v>
      </c>
      <c r="N22" s="156" t="str">
        <f>VLOOKUP(C22,'Trips&amp;Operators'!$C$1:$E$99999,3,FALSE)</f>
        <v>GEBRETEKLE</v>
      </c>
      <c r="O22" s="182" t="s">
        <v>198</v>
      </c>
      <c r="P22" s="157"/>
      <c r="Q22" s="31"/>
      <c r="R22" s="100" t="str">
        <f>VLOOKUP(C22,'Train Runs'!$A$13:$AE$9986,31,0)</f>
        <v>aws s3 cp s3://rtdc.mdm.uploadarchive.raw/RTDC4004/ "%USERPROFILE%\AppData\Local\Temp\OnboardLogs"\RTDC4004\2016-11-29 --exclude "*" --recursive --include "*20161129*" &amp; "%USERPROFILE%\Documents\GitHub\mrs-test-scripts\Headless Mode &amp; Sideloading\WalkAndUnGZ.bat" "%USERPROFILE%\AppData\Local\Temp\OnboardLogs"\RTDC4004\2016-11-29 &amp; 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</v>
      </c>
      <c r="S22" s="103" t="str">
        <f>VLOOKUP(C22,'Train Runs'!$A$13:$AE$9986,22,0)</f>
        <v>https://search-rtdc-monitor-bjffxe2xuh6vdkpspy63sjmuny.us-east-1.es.amazonaws.com/_plugin/kibana/#/discover/Steve-Slow-Train-Analysis-(2080s-and-2083s)?_g=(refreshInterval:(display:Off,section:0,value:0),time:(from:'2016-11-29 08:19:57-700',mode:absolute,to:'2016-11-29 11:03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2" s="105" t="str">
        <f t="shared" si="1"/>
        <v>"C:\Program Files (x86)\AstroGrep\AstroGrep.exe" /spath="%USERPROFILE%\AppData\Local\Temp\OnboardLogs" /stypes="*4004*201611291*" /stext=" 17:.+((SYSTEM_STATE.+slice.+state.+changed )|(ment ac)|(multiple cpu faults)|(system.+state.+changed )|(\[timeout)|(PRM\|1\|D)|(kpr)|(kdp)|(\|lc)|(penalty))" /e /r /s</v>
      </c>
      <c r="U22" s="9" t="str">
        <f t="shared" si="2"/>
        <v>4004</v>
      </c>
      <c r="V22" s="36">
        <f t="shared" si="3"/>
        <v>42703.710868055554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{"issue":{"subject":"","project_id":79,"tracker_id":40,"status_id":1,"priority_id":2,"assigned_to_id":23,"start_date":"2016-11-29","description":"","custom_fields":[{"id":1,"name":"Subdivision","value":"EC"},{"id":4,"name":"Milepost","value":"0.0001"},{"id":17,"name":"Train ID","value":"140-29"},{"id":16,"name":"Locomotive ID","value":"4004"},{"id":130,"name":"Impact","value":""},{"id":150,"name":"Time of Event (Mountain Time)","value":"10:03:39"},{"id":151,"name":"Denver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"%USERPROFILE%\AppData\Local\Temp\OnboardLogs"\RTDC4004\*4004*201611291*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"%USERPROFILE%\AppData\Local\Temp\OnboardLogs"\RTDC4004\*4004*201611291* &gt;&gt; 42703-slicedisagreementcheck.txt</v>
      </c>
    </row>
    <row r="23" spans="1:30" x14ac:dyDescent="0.25">
      <c r="A23" s="36">
        <v>42703.55505787037</v>
      </c>
      <c r="B23" s="31" t="s">
        <v>286</v>
      </c>
      <c r="C23" s="31" t="s">
        <v>556</v>
      </c>
      <c r="D23" s="31" t="s">
        <v>49</v>
      </c>
      <c r="E23" s="31" t="s">
        <v>203</v>
      </c>
      <c r="F23" s="47">
        <v>0</v>
      </c>
      <c r="G23" s="47">
        <v>49</v>
      </c>
      <c r="H23" s="47">
        <v>150</v>
      </c>
      <c r="I23" s="47">
        <v>112</v>
      </c>
      <c r="J23" s="31" t="s">
        <v>204</v>
      </c>
      <c r="K23" s="47">
        <v>1</v>
      </c>
      <c r="L23" s="154" t="s">
        <v>51</v>
      </c>
      <c r="M23" s="155">
        <f t="shared" si="0"/>
        <v>58.607999999999997</v>
      </c>
      <c r="N23" s="156" t="str">
        <f>VLOOKUP(C23,'Trips&amp;Operators'!$C$1:$E$99999,3,FALSE)</f>
        <v>BONDS</v>
      </c>
      <c r="O23" s="182" t="s">
        <v>198</v>
      </c>
      <c r="P23" s="157"/>
      <c r="Q23" s="31"/>
      <c r="R23" s="100" t="str">
        <f>VLOOKUP(C23,'Train Runs'!$A$13:$AE$9986,31,0)</f>
        <v>aws s3 cp s3://rtdc.mdm.uploadarchive.raw/RTDC4032/ "%USERPROFILE%\AppData\Local\Temp\OnboardLogs"\RTDC4032\2016-11-29 --exclude "*" --recursive --include "*20161129*" &amp; "%USERPROFILE%\Documents\GitHub\mrs-test-scripts\Headless Mode &amp; Sideloading\WalkAndUnGZ.bat" "%USERPROFILE%\AppData\Local\Temp\OnboardLogs"\RTDC4032\2016-11-29 &amp; 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</v>
      </c>
      <c r="S23" s="103" t="str">
        <f>VLOOKUP(C23,'Train Runs'!$A$13:$AE$9986,22,0)</f>
        <v>https://search-rtdc-monitor-bjffxe2xuh6vdkpspy63sjmuny.us-east-1.es.amazonaws.com/_plugin/kibana/#/discover/Steve-Slow-Train-Analysis-(2080s-and-2083s)?_g=(refreshInterval:(display:Off,section:0,value:0),time:(from:'2016-11-29 11:31:30-700',mode:absolute,to:'2016-11-29 14:19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/stypes="*4032*201611292*" /stext=" 20:.+((SYSTEM_STATE.+slice.+state.+changed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6">
        <f t="shared" si="3"/>
        <v>42703.846724537034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{"issue":{"subject":"","project_id":79,"tracker_id":40,"status_id":1,"priority_id":2,"assigned_to_id":23,"start_date":"2016-11-29","description":"","custom_fields":[{"id":1,"name":"Subdivision","value":"EC"},{"id":4,"name":"Milepost","value":"0.0001"},{"id":17,"name":"Train ID","value":"166-29"},{"id":16,"name":"Locomotive ID","value":"4032"},{"id":130,"name":"Impact","value":""},{"id":150,"name":"Time of Event (Mountain Time)","value":"13:19:17"},{"id":151,"name":"Denver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"%USERPROFILE%\AppData\Local\Temp\OnboardLogs"\RTDC4032\*4032*201611292*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"%USERPROFILE%\AppData\Local\Temp\OnboardLogs"\RTDC4032\*4032*201611292* &gt;&gt; 42703-slicedisagreementcheck.txt</v>
      </c>
    </row>
    <row r="24" spans="1:30" ht="15" customHeight="1" x14ac:dyDescent="0.25">
      <c r="A24" s="36">
        <v>42703.568101851852</v>
      </c>
      <c r="B24" s="31" t="s">
        <v>332</v>
      </c>
      <c r="C24" s="31" t="s">
        <v>557</v>
      </c>
      <c r="D24" s="31" t="s">
        <v>49</v>
      </c>
      <c r="E24" s="31" t="s">
        <v>203</v>
      </c>
      <c r="F24" s="47">
        <v>0</v>
      </c>
      <c r="G24" s="47">
        <v>75</v>
      </c>
      <c r="H24" s="47">
        <v>233084</v>
      </c>
      <c r="I24" s="47">
        <v>233155</v>
      </c>
      <c r="J24" s="31" t="s">
        <v>204</v>
      </c>
      <c r="K24" s="47">
        <v>233491</v>
      </c>
      <c r="L24" s="154" t="s">
        <v>50</v>
      </c>
      <c r="M24" s="155">
        <f t="shared" si="0"/>
        <v>177.40799999999999</v>
      </c>
      <c r="N24" s="156" t="str">
        <f>VLOOKUP(C24,'Trips&amp;Operators'!$C$1:$E$99999,3,FALSE)</f>
        <v>STEWART</v>
      </c>
      <c r="O24" s="182" t="s">
        <v>198</v>
      </c>
      <c r="P24" s="157"/>
      <c r="Q24" s="31"/>
      <c r="R24" s="100" t="str">
        <f>VLOOKUP(C24,'Train Runs'!$A$13:$AE$9986,31,0)</f>
        <v>aws s3 cp s3://rtdc.mdm.uploadarchive.raw/RTDC4016/ "%USERPROFILE%\AppData\Local\Temp\OnboardLogs"\RTDC4016\2016-11-29 --exclude "*" --recursive --include "*20161129*" &amp; "%USERPROFILE%\Documents\GitHub\mrs-test-scripts\Headless Mode &amp; Sideloading\WalkAndUnGZ.bat" "%USERPROFILE%\AppData\Local\Temp\OnboardLogs"\RTDC4016\2016-11-29 &amp; aws s3 cp s3://rtdc.mdm.uploadarchive.raw/RTDC4016/ "%USERPROFILE%\AppData\Local\Temp\OnboardLogs"\RTDC4016\2016-11-30 --exclude "*" --recursive --include "*20161130*" &amp; "%USERPROFILE%\Documents\GitHub\mrs-test-scripts\Headless Mode &amp; Sideloading\WalkAndUnGZ.bat" "%USERPROFILE%\AppData\Local\Temp\OnboardLogs"\RTDC4016\2016-11-30</v>
      </c>
      <c r="S24" s="103" t="str">
        <f>VLOOKUP(C24,'Train Runs'!$A$13:$AE$9986,22,0)</f>
        <v>https://search-rtdc-monitor-bjffxe2xuh6vdkpspy63sjmuny.us-east-1.es.amazonaws.com/_plugin/kibana/#/discover/Steve-Slow-Train-Analysis-(2080s-and-2083s)?_g=(refreshInterval:(display:Off,section:0,value:0),time:(from:'2016-11-29 11:52:38-700',mode:absolute,to:'2016-11-29 14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4" s="105" t="str">
        <f t="shared" si="1"/>
        <v>"C:\Program Files (x86)\AstroGrep\AstroGrep.exe" /spath="%USERPROFILE%\AppData\Local\Temp\OnboardLogs" /stypes="*4016*201611292*" /stext=" 20:.+((SYSTEM_STATE.+slice.+state.+changed )|(ment ac)|(multiple cpu faults)|(system.+state.+changed )|(\[timeout)|(PRM\|1\|D)|(kpr)|(kdp)|(\|lc)|(penalty))" /e /r /s</v>
      </c>
      <c r="U24" s="9" t="str">
        <f t="shared" si="2"/>
        <v>4016</v>
      </c>
      <c r="V24" s="36">
        <f t="shared" si="3"/>
        <v>42703.859768518516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{"issue":{"subject":"","project_id":79,"tracker_id":40,"status_id":1,"priority_id":2,"assigned_to_id":23,"start_date":"2016-11-29","description":"","custom_fields":[{"id":1,"name":"Subdivision","value":"EC"},{"id":4,"name":"Milepost","value":"23.3491"},{"id":17,"name":"Train ID","value":"175-29"},{"id":16,"name":"Locomotive ID","value":"4016"},{"id":130,"name":"Impact","value":""},{"id":150,"name":"Time of Event (Mountain Time)","value":"13:38:04"},{"id":151,"name":"Denver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"%USERPROFILE%\AppData\Local\Temp\OnboardLogs"\RTDC4016\*4016*201611292*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"%USERPROFILE%\AppData\Local\Temp\OnboardLogs"\RTDC4016\*4016*201611292* &gt;&gt; 42703-slicedisagreementcheck.txt</v>
      </c>
    </row>
    <row r="25" spans="1:30" x14ac:dyDescent="0.25">
      <c r="A25" s="36">
        <v>42703.308645833335</v>
      </c>
      <c r="B25" s="31" t="s">
        <v>184</v>
      </c>
      <c r="C25" s="31" t="s">
        <v>536</v>
      </c>
      <c r="D25" s="31" t="s">
        <v>49</v>
      </c>
      <c r="E25" s="31" t="s">
        <v>533</v>
      </c>
      <c r="F25" s="47">
        <v>90</v>
      </c>
      <c r="G25" s="47">
        <v>191</v>
      </c>
      <c r="H25" s="47">
        <v>10284</v>
      </c>
      <c r="I25" s="47">
        <v>10527</v>
      </c>
      <c r="J25" s="31" t="s">
        <v>534</v>
      </c>
      <c r="K25" s="47">
        <v>10716</v>
      </c>
      <c r="L25" s="154" t="s">
        <v>50</v>
      </c>
      <c r="M25" s="155">
        <f t="shared" si="0"/>
        <v>99.792000000000002</v>
      </c>
      <c r="N25" s="156" t="str">
        <f>VLOOKUP(C25,'Trips&amp;Operators'!$C$1:$E$99999,3,FALSE)</f>
        <v>LEVIN</v>
      </c>
      <c r="O25" s="182" t="s">
        <v>198</v>
      </c>
      <c r="P25" s="157" t="s">
        <v>893</v>
      </c>
      <c r="Q25" s="31"/>
      <c r="R25" s="100" t="str">
        <f>VLOOKUP(C25,'Train Runs'!$A$13:$AE$9986,31,0)</f>
        <v>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 &amp; 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</v>
      </c>
      <c r="S25" s="103" t="str">
        <f>VLOOKUP(C25,'Train Runs'!$A$13:$AE$9986,22,0)</f>
        <v>https://search-rtdc-monitor-bjffxe2xuh6vdkpspy63sjmuny.us-east-1.es.amazonaws.com/_plugin/kibana/#/discover/Steve-Slow-Train-Analysis-(2080s-and-2083s)?_g=(refreshInterval:(display:Off,section:0,value:0),time:(from:'2016-11-29 06:15:33-700',mode:absolute,to:'2016-11-29 08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5" s="105" t="str">
        <f t="shared" si="1"/>
        <v>"C:\Program Files (x86)\AstroGrep\AstroGrep.exe" /spath="%USERPROFILE%\AppData\Local\Temp\OnboardLogs" /stypes="*4044*201611291*" /stext=" 14:.+((SYSTEM_STATE.+slice.+state.+changed )|(ment ac)|(multiple cpu faults)|(system.+state.+changed )|(\[timeout)|(PRM\|1\|D)|(kpr)|(kdp)|(\|lc)|(penalty))" /e /r /s</v>
      </c>
      <c r="U25" s="9" t="str">
        <f t="shared" si="2"/>
        <v>4044</v>
      </c>
      <c r="V25" s="36">
        <f t="shared" si="3"/>
        <v>42703.600312499999</v>
      </c>
      <c r="W25" s="50" t="str">
        <f t="shared" si="4"/>
        <v>NW</v>
      </c>
      <c r="X25" s="50" t="str">
        <f t="shared" si="5"/>
        <v>KEEP</v>
      </c>
      <c r="Y25" s="119" t="str">
        <f t="shared" si="6"/>
        <v>echo {"issue":{"subject":"Early arrival","project_id":79,"tracker_id":40,"status_id":1,"priority_id":2,"assigned_to_id":23,"start_date":"2016-11-29","description":"","custom_fields":[{"id":1,"name":"Subdivision","value":"NW"},{"id":4,"name":"Milepost","value":"1.0716"},{"id":17,"name":"Train ID","value":"807-29"},{"id":16,"name":"Locomotive ID","value":"4044"},{"id":130,"name":"Impact","value":""},{"id":150,"name":"Time of Event (Mountain Time)","value":"07:24:27"},{"id":151,"name":"Denver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"%USERPROFILE%\AppData\Local\Temp\OnboardLogs"\RTDC4044\*4044*201611291*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"%USERPROFILE%\AppData\Local\Temp\OnboardLogs"\RTDC4044\*4044*201611291* &gt;&gt; 42703-slicedisagreementcheck.txt</v>
      </c>
    </row>
    <row r="26" spans="1:30" x14ac:dyDescent="0.25">
      <c r="A26" s="36">
        <v>42703.224444444444</v>
      </c>
      <c r="B26" s="31" t="s">
        <v>218</v>
      </c>
      <c r="C26" s="31" t="s">
        <v>531</v>
      </c>
      <c r="D26" s="31" t="s">
        <v>49</v>
      </c>
      <c r="E26" s="31" t="s">
        <v>199</v>
      </c>
      <c r="F26" s="47">
        <v>200</v>
      </c>
      <c r="G26" s="47">
        <v>292</v>
      </c>
      <c r="H26" s="47">
        <v>7153</v>
      </c>
      <c r="I26" s="47">
        <v>6282</v>
      </c>
      <c r="J26" s="31" t="s">
        <v>200</v>
      </c>
      <c r="K26" s="47">
        <v>5782</v>
      </c>
      <c r="L26" s="154" t="s">
        <v>51</v>
      </c>
      <c r="M26" s="155">
        <f t="shared" si="0"/>
        <v>264</v>
      </c>
      <c r="N26" s="156" t="str">
        <f>VLOOKUP(C26,'Trips&amp;Operators'!$C$1:$E$99999,3,FALSE)</f>
        <v>STARKS</v>
      </c>
      <c r="O26" s="182" t="s">
        <v>198</v>
      </c>
      <c r="P26" s="157"/>
      <c r="Q26" s="31"/>
      <c r="R26" s="100" t="str">
        <f>VLOOKUP(C26,'Train Runs'!$A$13:$AE$9986,31,0)</f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S26" s="103" t="str">
        <f>VLOOKUP(C26,'Train Runs'!$A$13:$AE$9986,22,0)</f>
        <v>https://search-rtdc-monitor-bjffxe2xuh6vdkpspy63sjmuny.us-east-1.es.amazonaws.com/_plugin/kibana/#/discover/Steve-Slow-Train-Analysis-(2080s-and-2083s)?_g=(refreshInterval:(display:Off,section:0,value:0),time:(from:'2016-11-29 04:07:27-700',mode:absolute,to:'2016-11-29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6" s="105" t="str">
        <f t="shared" si="1"/>
        <v>"C:\Program Files (x86)\AstroGrep\AstroGrep.exe" /spath="%USERPROFILE%\AppData\Local\Temp\OnboardLogs" /stypes="*4012*201611291*" /stext=" 12:.+((SYSTEM_STATE.+slice.+state.+changed )|(ment ac)|(multiple cpu faults)|(system.+state.+changed )|(\[timeout)|(PRM\|1\|D)|(kpr)|(kdp)|(\|lc)|(penalty))" /e /r /s</v>
      </c>
      <c r="U26" s="9" t="str">
        <f t="shared" si="2"/>
        <v>4012</v>
      </c>
      <c r="V26" s="36">
        <f t="shared" si="3"/>
        <v>42703.516111111108</v>
      </c>
      <c r="W26" s="50" t="str">
        <f t="shared" si="4"/>
        <v>NW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{"issue":{"subject":"","project_id":79,"tracker_id":40,"status_id":1,"priority_id":2,"assigned_to_id":23,"start_date":"2016-11-29","description":"","custom_fields":[{"id":1,"name":"Subdivision","value":"NW"},{"id":4,"name":"Milepost","value":"0.5782"},{"id":17,"name":"Train ID","value":"800-29"},{"id":16,"name":"Locomotive ID","value":"4012"},{"id":130,"name":"Impact","value":""},{"id":150,"name":"Time of Event (Mountain Time)","value":"05:23:12"},{"id":151,"name":"Denver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"%USERPROFILE%\AppData\Local\Temp\OnboardLogs"\RTDC4012\*4012*201611291*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"%USERPROFILE%\AppData\Local\Temp\OnboardLogs"\RTDC4012\*4012*201611291* &gt;&gt; 42703-slicedisagreementcheck.txt</v>
      </c>
    </row>
    <row r="27" spans="1:30" x14ac:dyDescent="0.25">
      <c r="A27" s="36">
        <v>42703.678472222222</v>
      </c>
      <c r="B27" s="31" t="s">
        <v>264</v>
      </c>
      <c r="C27" s="31" t="s">
        <v>560</v>
      </c>
      <c r="D27" s="31" t="s">
        <v>98</v>
      </c>
      <c r="E27" s="31" t="s">
        <v>199</v>
      </c>
      <c r="F27" s="47">
        <v>400</v>
      </c>
      <c r="G27" s="47">
        <v>456</v>
      </c>
      <c r="H27" s="47">
        <v>39025</v>
      </c>
      <c r="I27" s="47">
        <v>37762</v>
      </c>
      <c r="J27" s="31" t="s">
        <v>200</v>
      </c>
      <c r="K27" s="47">
        <v>40977</v>
      </c>
      <c r="L27" s="154" t="s">
        <v>51</v>
      </c>
      <c r="M27" s="155">
        <f t="shared" si="0"/>
        <v>-1697.52</v>
      </c>
      <c r="N27" s="156" t="str">
        <f>VLOOKUP(C27,'Trips&amp;Operators'!$C$1:$E$99999,3,FALSE)</f>
        <v>STAMBAUGH</v>
      </c>
      <c r="O27" s="182" t="s">
        <v>198</v>
      </c>
      <c r="P27" s="157"/>
      <c r="Q27" s="31"/>
      <c r="R27" s="100" t="str">
        <f>VLOOKUP(C27,'Train Runs'!$A$13:$AE$9986,31,0)</f>
        <v>aws s3 cp s3://rtdc.mdm.uploadarchive.raw/RTDC4041/ "%USERPROFILE%\AppData\Local\Temp\OnboardLogs"\RTDC4041\2016-11-29 --exclude "*" --recursive --include "*20161129*" &amp; "%USERPROFILE%\Documents\GitHub\mrs-test-scripts\Headless Mode &amp; Sideloading\WalkAndUnGZ.bat" "%USERPROFILE%\AppData\Local\Temp\OnboardLogs"\RTDC4041\2016-11-29 &amp; 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</v>
      </c>
      <c r="S27" s="103" t="str">
        <f>VLOOKUP(C27,'Train Runs'!$A$13:$AE$9986,22,0)</f>
        <v>https://search-rtdc-monitor-bjffxe2xuh6vdkpspy63sjmuny.us-east-1.es.amazonaws.com/_plugin/kibana/#/discover/Steve-Slow-Train-Analysis-(2080s-and-2083s)?_g=(refreshInterval:(display:Off,section:0,value:0),time:(from:'2016-11-29 15:07:03-700',mode:absolute,to:'2016-11-29 17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/stypes="*4041*201611292*" /stext=" 23:.+((SYSTEM_STATE.+slice.+state.+changed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6">
        <f t="shared" si="3"/>
        <v>42703.970138888886</v>
      </c>
      <c r="W27" s="50" t="str">
        <f t="shared" si="4"/>
        <v>NW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{"issue":{"subject":"","project_id":79,"tracker_id":40,"status_id":1,"priority_id":2,"assigned_to_id":23,"start_date":"2016-11-29","description":"","custom_fields":[{"id":1,"name":"Subdivision","value":"NW"},{"id":4,"name":"Milepost","value":"4.0977"},{"id":17,"name":"Train ID","value":"828-29"},{"id":16,"name":"Locomotive ID","value":"4041"},{"id":130,"name":"Impact","value":""},{"id":150,"name":"Time of Event (Mountain Time)","value":"16:17:00"},{"id":151,"name":"Denver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"%USERPROFILE%\AppData\Local\Temp\OnboardLogs"\RTDC4041\*4041*201611292*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"%USERPROFILE%\AppData\Local\Temp\OnboardLogs"\RTDC4041\*4041*201611292* &gt;&gt; 42703-slicedisagreementcheck.txt</v>
      </c>
    </row>
    <row r="28" spans="1:30" x14ac:dyDescent="0.25">
      <c r="A28" s="36">
        <v>42703.314097222225</v>
      </c>
      <c r="B28" s="31" t="s">
        <v>184</v>
      </c>
      <c r="C28" s="31" t="s">
        <v>536</v>
      </c>
      <c r="D28" s="31" t="s">
        <v>49</v>
      </c>
      <c r="E28" s="31" t="s">
        <v>199</v>
      </c>
      <c r="F28" s="47">
        <v>150</v>
      </c>
      <c r="G28" s="47">
        <v>285</v>
      </c>
      <c r="H28" s="47">
        <v>56359</v>
      </c>
      <c r="I28" s="47">
        <v>56870</v>
      </c>
      <c r="J28" s="31" t="s">
        <v>200</v>
      </c>
      <c r="K28" s="47">
        <v>57008</v>
      </c>
      <c r="L28" s="154" t="s">
        <v>50</v>
      </c>
      <c r="M28" s="155">
        <f t="shared" si="0"/>
        <v>72.864000000000004</v>
      </c>
      <c r="N28" s="156" t="str">
        <f>VLOOKUP(C28,'Trips&amp;Operators'!$C$1:$E$99999,3,FALSE)</f>
        <v>LEVIN</v>
      </c>
      <c r="O28" s="182" t="s">
        <v>198</v>
      </c>
      <c r="P28" s="157"/>
      <c r="Q28" s="31"/>
      <c r="R28" s="100" t="str">
        <f>VLOOKUP(C28,'Train Runs'!$A$13:$AE$9986,31,0)</f>
        <v>aws s3 cp s3://rtdc.mdm.uploadarchive.raw/RTDC4044/ "%USERPROFILE%\AppData\Local\Temp\OnboardLogs"\RTDC4044\2016-11-29 --exclude "*" --recursive --include "*20161129*" &amp; "%USERPROFILE%\Documents\GitHub\mrs-test-scripts\Headless Mode &amp; Sideloading\WalkAndUnGZ.bat" "%USERPROFILE%\AppData\Local\Temp\OnboardLogs"\RTDC4044\2016-11-29 &amp; 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</v>
      </c>
      <c r="S28" s="103" t="str">
        <f>VLOOKUP(C28,'Train Runs'!$A$13:$AE$9986,22,0)</f>
        <v>https://search-rtdc-monitor-bjffxe2xuh6vdkpspy63sjmuny.us-east-1.es.amazonaws.com/_plugin/kibana/#/discover/Steve-Slow-Train-Analysis-(2080s-and-2083s)?_g=(refreshInterval:(display:Off,section:0,value:0),time:(from:'2016-11-29 06:15:33-700',mode:absolute,to:'2016-11-29 08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8" s="105" t="str">
        <f t="shared" si="1"/>
        <v>"C:\Program Files (x86)\AstroGrep\AstroGrep.exe" /spath="%USERPROFILE%\AppData\Local\Temp\OnboardLogs" /stypes="*4044*201611291*" /stext=" 14:.+((SYSTEM_STATE.+slice.+state.+changed )|(ment ac)|(multiple cpu faults)|(system.+state.+changed )|(\[timeout)|(PRM\|1\|D)|(kpr)|(kdp)|(\|lc)|(penalty))" /e /r /s</v>
      </c>
      <c r="U28" s="9" t="str">
        <f t="shared" si="2"/>
        <v>4044</v>
      </c>
      <c r="V28" s="36">
        <f t="shared" si="3"/>
        <v>42703.605763888889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{"issue":{"subject":"","project_id":79,"tracker_id":40,"status_id":1,"priority_id":2,"assigned_to_id":23,"start_date":"2016-11-29","description":"","custom_fields":[{"id":1,"name":"Subdivision","value":"NW"},{"id":4,"name":"Milepost","value":"5.7008"},{"id":17,"name":"Train ID","value":"807-29"},{"id":16,"name":"Locomotive ID","value":"4044"},{"id":130,"name":"Impact","value":""},{"id":150,"name":"Time of Event (Mountain Time)","value":"07:32:18"},{"id":151,"name":"Denver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"%USERPROFILE%\AppData\Local\Temp\OnboardLogs"\RTDC4044\*4044*201611291*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"%USERPROFILE%\AppData\Local\Temp\OnboardLogs"\RTDC4044\*4044*201611291* &gt;&gt; 42703-slicedisagreementcheck.txt</v>
      </c>
    </row>
    <row r="29" spans="1:30" x14ac:dyDescent="0.25">
      <c r="A29" s="36">
        <v>42703.645752314813</v>
      </c>
      <c r="B29" s="31" t="s">
        <v>210</v>
      </c>
      <c r="C29" s="31" t="s">
        <v>559</v>
      </c>
      <c r="D29" s="31" t="s">
        <v>49</v>
      </c>
      <c r="E29" s="31" t="s">
        <v>201</v>
      </c>
      <c r="F29" s="47">
        <v>0</v>
      </c>
      <c r="G29" s="47">
        <v>450</v>
      </c>
      <c r="H29" s="47">
        <v>36613</v>
      </c>
      <c r="I29" s="47">
        <v>38315</v>
      </c>
      <c r="J29" s="31" t="s">
        <v>202</v>
      </c>
      <c r="K29" s="47">
        <v>37575</v>
      </c>
      <c r="L29" s="154" t="s">
        <v>50</v>
      </c>
      <c r="M29" s="155">
        <f t="shared" si="0"/>
        <v>-390.72</v>
      </c>
      <c r="N29" s="156" t="str">
        <f>VLOOKUP(C29,'Trips&amp;Operators'!$C$1:$E$99999,3,FALSE)</f>
        <v>DAVIS</v>
      </c>
      <c r="O29" s="182" t="s">
        <v>243</v>
      </c>
      <c r="P29" s="157" t="s">
        <v>897</v>
      </c>
      <c r="Q29" s="31"/>
      <c r="R29" s="100" t="str">
        <f>VLOOKUP(C29,'Train Runs'!$A$13:$AE$9986,31,0)</f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S29" s="103" t="str">
        <f>VLOOKUP(C29,'Train Runs'!$A$13:$AE$9986,22,0)</f>
        <v>https://search-rtdc-monitor-bjffxe2xuh6vdkpspy63sjmuny.us-east-1.es.amazonaws.com/_plugin/kibana/#/discover/Steve-Slow-Train-Analysis-(2080s-and-2083s)?_g=(refreshInterval:(display:Off,section:0,value:0),time:(from:'2016-11-29 14:14:22-700',mode:absolute,to:'2016-11-29 16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9" s="105" t="str">
        <f t="shared" si="1"/>
        <v>"C:\Program Files (x86)\AstroGrep\AstroGrep.exe" /spath="%USERPROFILE%\AppData\Local\Temp\OnboardLogs" /stypes="*4011*201611292*" /stext=" 22:.+((SYSTEM_STATE.+slice.+state.+changed )|(ment ac)|(multiple cpu faults)|(system.+state.+changed )|(\[timeout)|(PRM\|1\|D)|(kpr)|(kdp)|(\|lc)|(penalty))" /e /r /s</v>
      </c>
      <c r="U29" s="9" t="str">
        <f t="shared" si="2"/>
        <v>4011</v>
      </c>
      <c r="V29" s="36">
        <f t="shared" si="3"/>
        <v>42703.937418981477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{"issue":{"subject":"Wi-MAX data drop","project_id":79,"tracker_id":40,"status_id":1,"priority_id":2,"assigned_to_id":23,"start_date":"2016-11-29","description":"4011,,,,0:00:54.523049,2016-11-29 15:29:04.953734-07:00","custom_fields":[{"id":1,"name":"Subdivision","value":"NW"},{"id":4,"name":"Milepost","value":"3.7575"},{"id":17,"name":"Train ID","value":"825-29"},{"id":16,"name":"Locomotive ID","value":"4011"},{"id":130,"name":"Impact","value":"Enforcement"},{"id":150,"name":"Time of Event (Mountain Time)","value":"15:29:53"},{"id":151,"name":"Denver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899</v>
      </c>
      <c r="AA29" s="53" t="s">
        <v>125</v>
      </c>
      <c r="AB29" s="53" t="s">
        <v>138</v>
      </c>
      <c r="AC29" s="138" t="str">
        <f t="shared" si="7"/>
        <v>grep -hSE -A100 "Enforcement Action" "%USERPROFILE%\AppData\Local\Temp\OnboardLogs"\RTDC4011\*4011*201611292*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"%USERPROFILE%\AppData\Local\Temp\OnboardLogs"\RTDC4011\*4011*201611292* &gt;&gt; 42703-slicedisagreementcheck.txt</v>
      </c>
    </row>
    <row r="30" spans="1:30" ht="15" customHeight="1" x14ac:dyDescent="0.25">
      <c r="A30" s="36">
        <v>42703.72896990741</v>
      </c>
      <c r="B30" s="31" t="s">
        <v>210</v>
      </c>
      <c r="C30" s="31" t="s">
        <v>561</v>
      </c>
      <c r="D30" s="31" t="s">
        <v>49</v>
      </c>
      <c r="E30" s="31" t="s">
        <v>201</v>
      </c>
      <c r="F30" s="47">
        <v>0</v>
      </c>
      <c r="G30" s="47">
        <v>470</v>
      </c>
      <c r="H30" s="47">
        <v>35814</v>
      </c>
      <c r="I30" s="47">
        <v>37721</v>
      </c>
      <c r="J30" s="31" t="s">
        <v>202</v>
      </c>
      <c r="K30" s="47">
        <v>37575</v>
      </c>
      <c r="L30" s="154" t="s">
        <v>50</v>
      </c>
      <c r="M30" s="155">
        <f t="shared" si="0"/>
        <v>-77.087999999999994</v>
      </c>
      <c r="N30" s="156" t="str">
        <f>VLOOKUP(C30,'Trips&amp;Operators'!$C$1:$E$99999,3,FALSE)</f>
        <v>DAVIS</v>
      </c>
      <c r="O30" s="182" t="s">
        <v>243</v>
      </c>
      <c r="P30" s="157" t="s">
        <v>897</v>
      </c>
      <c r="Q30" s="31"/>
      <c r="R30" s="100" t="str">
        <f>VLOOKUP(C30,'Train Runs'!$A$13:$AE$9986,31,0)</f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S30" s="103" t="str">
        <f>VLOOKUP(C30,'Train Runs'!$A$13:$AE$9986,22,0)</f>
        <v>https://search-rtdc-monitor-bjffxe2xuh6vdkpspy63sjmuny.us-east-1.es.amazonaws.com/_plugin/kibana/#/discover/Steve-Slow-Train-Analysis-(2080s-and-2083s)?_g=(refreshInterval:(display:Off,section:0,value:0),time:(from:'2016-11-29 16:02:16-700',mode:absolute,to:'2016-11-29 18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0" s="105" t="str">
        <f t="shared" si="1"/>
        <v>"C:\Program Files (x86)\AstroGrep\AstroGrep.exe" /spath="%USERPROFILE%\AppData\Local\Temp\OnboardLogs" /stypes="*4011*201611300*" /stext=" 00:.+((SYSTEM_STATE.+slice.+state.+changed )|(ment ac)|(multiple cpu faults)|(system.+state.+changed )|(\[timeout)|(PRM\|1\|D)|(kpr)|(kdp)|(\|lc)|(penalty))" /e /r /s</v>
      </c>
      <c r="U30" s="9" t="str">
        <f t="shared" si="2"/>
        <v>4011</v>
      </c>
      <c r="V30" s="36">
        <f t="shared" si="3"/>
        <v>42704.020636574074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{"issue":{"subject":"Wi-MAX data drop","project_id":79,"tracker_id":40,"status_id":1,"priority_id":2,"assigned_to_id":23,"start_date":"2016-11-29","description":"4011,,,,0:01:05.655554,2016-11-29 17:29:20.262202-07:00","custom_fields":[{"id":1,"name":"Subdivision","value":"NW"},{"id":4,"name":"Milepost","value":"3.7575"},{"id":17,"name":"Train ID","value":"833-29"},{"id":16,"name":"Locomotive ID","value":"4011"},{"id":130,"name":"Impact","value":"Enforcement"},{"id":150,"name":"Time of Event (Mountain Time)","value":"17:29:43"},{"id":151,"name":"Denver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53" t="s">
        <v>900</v>
      </c>
      <c r="AA30" s="53" t="s">
        <v>125</v>
      </c>
      <c r="AB30" s="53" t="s">
        <v>138</v>
      </c>
      <c r="AC30" s="138" t="str">
        <f t="shared" si="7"/>
        <v>grep -hSE -A100 "Enforcement Action" "%USERPROFILE%\AppData\Local\Temp\OnboardLogs"\RTDC4011\*4011*201611300*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"%USERPROFILE%\AppData\Local\Temp\OnboardLogs"\RTDC4011\*4011*201611300* &gt;&gt; 42703-slicedisagreementcheck.txt</v>
      </c>
    </row>
    <row r="31" spans="1:30" ht="15" customHeight="1" x14ac:dyDescent="0.25">
      <c r="A31" s="36">
        <v>42703.478634259256</v>
      </c>
      <c r="B31" s="31" t="s">
        <v>210</v>
      </c>
      <c r="C31" s="31" t="s">
        <v>550</v>
      </c>
      <c r="D31" s="31" t="s">
        <v>49</v>
      </c>
      <c r="E31" s="31" t="s">
        <v>355</v>
      </c>
      <c r="F31" s="47">
        <v>0</v>
      </c>
      <c r="G31" s="47">
        <v>396</v>
      </c>
      <c r="H31" s="47">
        <v>36952</v>
      </c>
      <c r="I31" s="47">
        <v>38391</v>
      </c>
      <c r="J31" s="31" t="s">
        <v>356</v>
      </c>
      <c r="K31" s="47">
        <v>39716</v>
      </c>
      <c r="L31" s="154" t="s">
        <v>50</v>
      </c>
      <c r="M31" s="155">
        <f t="shared" si="0"/>
        <v>699.6</v>
      </c>
      <c r="N31" s="156" t="str">
        <f>VLOOKUP(C31,'Trips&amp;Operators'!$C$1:$E$99999,3,FALSE)</f>
        <v>LEVIN</v>
      </c>
      <c r="O31" s="182" t="s">
        <v>243</v>
      </c>
      <c r="P31" s="157" t="s">
        <v>897</v>
      </c>
      <c r="Q31" s="31"/>
      <c r="R31" s="100" t="str">
        <f>VLOOKUP(C31,'Train Runs'!$A$13:$AE$9986,31,0)</f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S31" s="103" t="str">
        <f>VLOOKUP(C31,'Train Runs'!$A$13:$AE$9986,22,0)</f>
        <v>https://search-rtdc-monitor-bjffxe2xuh6vdkpspy63sjmuny.us-east-1.es.amazonaws.com/_plugin/kibana/#/discover/Steve-Slow-Train-Analysis-(2080s-and-2083s)?_g=(refreshInterval:(display:Off,section:0,value:0),time:(from:'2016-11-29 10:18:55-700',mode:absolute,to:'2016-11-29 12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1" s="105" t="str">
        <f t="shared" si="1"/>
        <v>"C:\Program Files (x86)\AstroGrep\AstroGrep.exe" /spath="%USERPROFILE%\AppData\Local\Temp\OnboardLogs" /stypes="*4011*201611291*" /stext=" 18:.+((SYSTEM_STATE.+slice.+state.+changed )|(ment ac)|(multiple cpu faults)|(system.+state.+changed )|(\[timeout)|(PRM\|1\|D)|(kpr)|(kdp)|(\|lc)|(penalty))" /e /r /s</v>
      </c>
      <c r="U31" s="9" t="str">
        <f t="shared" si="2"/>
        <v>4011</v>
      </c>
      <c r="V31" s="36">
        <f t="shared" si="3"/>
        <v>42703.77030092592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{"issue":{"subject":"Wi-MAX data drop","project_id":79,"tracker_id":40,"status_id":1,"priority_id":2,"assigned_to_id":23,"start_date":"2016-11-29","description":"4011,,,,0:00:39.983569,2016-11-29 11:28:30.108058-07:00","custom_fields":[{"id":1,"name":"Subdivision","value":"NW"},{"id":4,"name":"Milepost","value":"3.9716"},{"id":17,"name":"Train ID","value":"817-29"},{"id":16,"name":"Locomotive ID","value":"4011"},{"id":130,"name":"Impact","value":"Enforcement"},{"id":150,"name":"Time of Event (Mountain Time)","value":"11:29:14"},{"id":151,"name":"Denver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901</v>
      </c>
      <c r="AA31" s="53" t="s">
        <v>125</v>
      </c>
      <c r="AB31" s="53" t="s">
        <v>138</v>
      </c>
      <c r="AC31" s="138" t="str">
        <f t="shared" si="7"/>
        <v>grep -hSE -A100 "Enforcement Action" "%USERPROFILE%\AppData\Local\Temp\OnboardLogs"\RTDC4011\*4011*201611291*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"%USERPROFILE%\AppData\Local\Temp\OnboardLogs"\RTDC4011\*4011*201611291* &gt;&gt; 42703-slicedisagreementcheck.txt</v>
      </c>
    </row>
    <row r="32" spans="1:30" x14ac:dyDescent="0.25">
      <c r="A32" s="36">
        <v>42703.351724537039</v>
      </c>
      <c r="B32" s="31" t="s">
        <v>218</v>
      </c>
      <c r="C32" s="31" t="s">
        <v>539</v>
      </c>
      <c r="D32" s="31" t="s">
        <v>49</v>
      </c>
      <c r="E32" s="31" t="s">
        <v>203</v>
      </c>
      <c r="F32" s="47">
        <v>0</v>
      </c>
      <c r="G32" s="47">
        <v>55</v>
      </c>
      <c r="H32" s="47">
        <v>773</v>
      </c>
      <c r="I32" s="47">
        <v>717</v>
      </c>
      <c r="J32" s="31" t="s">
        <v>204</v>
      </c>
      <c r="K32" s="47">
        <v>575</v>
      </c>
      <c r="L32" s="154" t="s">
        <v>51</v>
      </c>
      <c r="M32" s="155">
        <f t="shared" si="0"/>
        <v>74.975999999999999</v>
      </c>
      <c r="N32" s="156" t="str">
        <f>VLOOKUP(C32,'Trips&amp;Operators'!$C$1:$E$99999,3,FALSE)</f>
        <v>STARKS</v>
      </c>
      <c r="O32" s="182" t="s">
        <v>198</v>
      </c>
      <c r="P32" s="157"/>
      <c r="Q32" s="31"/>
      <c r="R32" s="100" t="str">
        <f>VLOOKUP(C32,'Train Runs'!$A$13:$AE$9986,31,0)</f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S32" s="103" t="str">
        <f>VLOOKUP(C32,'Train Runs'!$A$13:$AE$9986,22,0)</f>
        <v>https://search-rtdc-monitor-bjffxe2xuh6vdkpspy63sjmuny.us-east-1.es.amazonaws.com/_plugin/kibana/#/discover/Steve-Slow-Train-Analysis-(2080s-and-2083s)?_g=(refreshInterval:(display:Off,section:0,value:0),time:(from:'2016-11-29 07:07:29-700',mode:absolute,to:'2016-11-29 09:26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/stypes="*4012*201611291*" /stext=" 15:.+((SYSTEM_STATE.+slice.+state.+changed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42703.643391203703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{"issue":{"subject":"","project_id":79,"tracker_id":40,"status_id":1,"priority_id":2,"assigned_to_id":23,"start_date":"2016-11-29","description":"","custom_fields":[{"id":1,"name":"Subdivision","value":"NW"},{"id":4,"name":"Milepost","value":"0.0575"},{"id":17,"name":"Train ID","value":"810-29"},{"id":16,"name":"Locomotive ID","value":"4012"},{"id":130,"name":"Impact","value":""},{"id":150,"name":"Time of Event (Mountain Time)","value":"08:26:29"},{"id":151,"name":"Denver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"%USERPROFILE%\AppData\Local\Temp\OnboardLogs"\RTDC4012\*4012*201611291*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"%USERPROFILE%\AppData\Local\Temp\OnboardLogs"\RTDC4012\*4012*201611291* &gt;&gt; 42703-slicedisagreementcheck.txt</v>
      </c>
    </row>
    <row r="33" spans="1:30" x14ac:dyDescent="0.25">
      <c r="A33" s="36">
        <v>42703.454664351855</v>
      </c>
      <c r="B33" s="31" t="s">
        <v>218</v>
      </c>
      <c r="C33" s="31" t="s">
        <v>545</v>
      </c>
      <c r="D33" s="31" t="s">
        <v>49</v>
      </c>
      <c r="E33" s="31" t="s">
        <v>203</v>
      </c>
      <c r="F33" s="47">
        <v>0</v>
      </c>
      <c r="G33" s="47">
        <v>38</v>
      </c>
      <c r="H33" s="47">
        <v>685</v>
      </c>
      <c r="I33" s="47">
        <v>647</v>
      </c>
      <c r="J33" s="31" t="s">
        <v>204</v>
      </c>
      <c r="K33" s="47">
        <v>575</v>
      </c>
      <c r="L33" s="154" t="s">
        <v>51</v>
      </c>
      <c r="M33" s="155">
        <f t="shared" si="0"/>
        <v>38.015999999999998</v>
      </c>
      <c r="N33" s="156" t="str">
        <f>VLOOKUP(C33,'Trips&amp;Operators'!$C$1:$E$99999,3,FALSE)</f>
        <v>LEVIN</v>
      </c>
      <c r="O33" s="182" t="s">
        <v>198</v>
      </c>
      <c r="P33" s="157"/>
      <c r="Q33" s="31"/>
      <c r="R33" s="100" t="str">
        <f>VLOOKUP(C33,'Train Runs'!$A$13:$AE$9986,31,0)</f>
        <v>aws s3 cp s3://rtdc.mdm.uploadarchive.raw/RTDC4012/ "%USERPROFILE%\AppData\Local\Temp\OnboardLogs"\RTDC4012\2016-11-29 --exclude "*" --recursive --include "*20161129*" &amp; "%USERPROFILE%\Documents\GitHub\mrs-test-scripts\Headless Mode &amp; Sideloading\WalkAndUnGZ.bat" "%USERPROFILE%\AppData\Local\Temp\OnboardLogs"\RTDC4012\2016-11-29 &amp; 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</v>
      </c>
      <c r="S33" s="103" t="str">
        <f>VLOOKUP(C33,'Train Runs'!$A$13:$AE$9986,22,0)</f>
        <v>https://search-rtdc-monitor-bjffxe2xuh6vdkpspy63sjmuny.us-east-1.es.amazonaws.com/_plugin/kibana/#/discover/Steve-Slow-Train-Analysis-(2080s-and-2083s)?_g=(refreshInterval:(display:Off,section:0,value:0),time:(from:'2016-11-29 09:35:51-700',mode:absolute,to:'2016-11-29 11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3" s="105" t="str">
        <f t="shared" si="1"/>
        <v>"C:\Program Files (x86)\AstroGrep\AstroGrep.exe" /spath="%USERPROFILE%\AppData\Local\Temp\OnboardLogs" /stypes="*4012*201611291*" /stext=" 17:.+((SYSTEM_STATE.+slice.+state.+changed )|(ment ac)|(multiple cpu faults)|(system.+state.+changed )|(\[timeout)|(PRM\|1\|D)|(kpr)|(kdp)|(\|lc)|(penalty))" /e /r /s</v>
      </c>
      <c r="U33" s="9" t="str">
        <f t="shared" si="2"/>
        <v>4012</v>
      </c>
      <c r="V33" s="36">
        <f t="shared" si="3"/>
        <v>42703.746331018519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{"issue":{"subject":"","project_id":79,"tracker_id":40,"status_id":1,"priority_id":2,"assigned_to_id":23,"start_date":"2016-11-29","description":"","custom_fields":[{"id":1,"name":"Subdivision","value":"NW"},{"id":4,"name":"Milepost","value":"0.0575"},{"id":17,"name":"Train ID","value":"816-29"},{"id":16,"name":"Locomotive ID","value":"4012"},{"id":130,"name":"Impact","value":""},{"id":150,"name":"Time of Event (Mountain Time)","value":"10:54:43"},{"id":151,"name":"Denver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"%USERPROFILE%\AppData\Local\Temp\OnboardLogs"\RTDC4012\*4012*201611291*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"%USERPROFILE%\AppData\Local\Temp\OnboardLogs"\RTDC4012\*4012*201611291* &gt;&gt; 42703-slicedisagreementcheck.txt</v>
      </c>
    </row>
    <row r="34" spans="1:30" x14ac:dyDescent="0.25">
      <c r="A34" s="36">
        <v>42703.523645833331</v>
      </c>
      <c r="B34" s="31" t="s">
        <v>210</v>
      </c>
      <c r="C34" s="31" t="s">
        <v>555</v>
      </c>
      <c r="D34" s="31" t="s">
        <v>49</v>
      </c>
      <c r="E34" s="31" t="s">
        <v>203</v>
      </c>
      <c r="F34" s="47">
        <v>0</v>
      </c>
      <c r="G34" s="47">
        <v>49</v>
      </c>
      <c r="H34" s="47">
        <v>58903</v>
      </c>
      <c r="I34" s="47">
        <v>58944</v>
      </c>
      <c r="J34" s="31" t="s">
        <v>204</v>
      </c>
      <c r="K34" s="47">
        <v>59048</v>
      </c>
      <c r="L34" s="154" t="s">
        <v>50</v>
      </c>
      <c r="M34" s="155">
        <f t="shared" si="0"/>
        <v>54.911999999999999</v>
      </c>
      <c r="N34" s="156" t="str">
        <f>VLOOKUP(C34,'Trips&amp;Operators'!$C$1:$E$99999,3,FALSE)</f>
        <v>LEVIN</v>
      </c>
      <c r="O34" s="182" t="s">
        <v>198</v>
      </c>
      <c r="P34" s="157"/>
      <c r="Q34" s="31"/>
      <c r="R34" s="100" t="str">
        <f>VLOOKUP(C34,'Train Runs'!$A$13:$AE$9986,31,0)</f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S34" s="103" t="str">
        <f>VLOOKUP(C34,'Train Runs'!$A$13:$AE$9986,22,0)</f>
        <v>https://search-rtdc-monitor-bjffxe2xuh6vdkpspy63sjmuny.us-east-1.es.amazonaws.com/_plugin/kibana/#/discover/Steve-Slow-Train-Analysis-(2080s-and-2083s)?_g=(refreshInterval:(display:Off,section:0,value:0),time:(from:'2016-11-29 11:13:48-700',mode:absolute,to:'2016-11-29 13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4" s="105" t="str">
        <f t="shared" si="1"/>
        <v>"C:\Program Files (x86)\AstroGrep\AstroGrep.exe" /spath="%USERPROFILE%\AppData\Local\Temp\OnboardLogs" /stypes="*4011*201611291*" /stext=" 19:.+((SYSTEM_STATE.+slice.+state.+changed )|(ment ac)|(multiple cpu faults)|(system.+state.+changed )|(\[timeout)|(PRM\|1\|D)|(kpr)|(kdp)|(\|lc)|(penalty))" /e /r /s</v>
      </c>
      <c r="U34" s="9" t="str">
        <f t="shared" si="2"/>
        <v>4011</v>
      </c>
      <c r="V34" s="36">
        <f t="shared" si="3"/>
        <v>42703.815312499995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{"issue":{"subject":"","project_id":79,"tracker_id":40,"status_id":1,"priority_id":2,"assigned_to_id":23,"start_date":"2016-11-29","description":"","custom_fields":[{"id":1,"name":"Subdivision","value":"NW"},{"id":4,"name":"Milepost","value":"5.9048"},{"id":17,"name":"Train ID","value":"819-29"},{"id":16,"name":"Locomotive ID","value":"4011"},{"id":130,"name":"Impact","value":""},{"id":150,"name":"Time of Event (Mountain Time)","value":"12:34:03"},{"id":151,"name":"Denver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"%USERPROFILE%\AppData\Local\Temp\OnboardLogs"\RTDC4011\*4011*201611291*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"%USERPROFILE%\AppData\Local\Temp\OnboardLogs"\RTDC4011\*4011*201611291* &gt;&gt; 42703-slicedisagreementcheck.txt</v>
      </c>
    </row>
    <row r="35" spans="1:30" x14ac:dyDescent="0.25">
      <c r="A35" s="36">
        <v>42703.649861111109</v>
      </c>
      <c r="B35" s="31" t="s">
        <v>210</v>
      </c>
      <c r="C35" s="31" t="s">
        <v>559</v>
      </c>
      <c r="D35" s="31" t="s">
        <v>49</v>
      </c>
      <c r="E35" s="31" t="s">
        <v>203</v>
      </c>
      <c r="F35" s="47">
        <v>0</v>
      </c>
      <c r="G35" s="47">
        <v>151</v>
      </c>
      <c r="H35" s="47">
        <v>57963</v>
      </c>
      <c r="I35" s="47">
        <v>58110</v>
      </c>
      <c r="J35" s="31" t="s">
        <v>204</v>
      </c>
      <c r="K35" s="47">
        <v>59048</v>
      </c>
      <c r="L35" s="154" t="s">
        <v>50</v>
      </c>
      <c r="M35" s="155">
        <f t="shared" si="0"/>
        <v>495.26400000000001</v>
      </c>
      <c r="N35" s="156" t="str">
        <f>VLOOKUP(C35,'Trips&amp;Operators'!$C$1:$E$99999,3,FALSE)</f>
        <v>DAVIS</v>
      </c>
      <c r="O35" s="182" t="s">
        <v>198</v>
      </c>
      <c r="P35" s="157"/>
      <c r="Q35" s="31"/>
      <c r="R35" s="100" t="str">
        <f>VLOOKUP(C35,'Train Runs'!$A$13:$AE$9986,31,0)</f>
        <v>aws s3 cp s3://rtdc.mdm.uploadarchive.raw/RTDC4011/ "%USERPROFILE%\AppData\Local\Temp\OnboardLogs"\RTDC4011\2016-11-29 --exclude "*" --recursive --include "*20161129*" &amp; "%USERPROFILE%\Documents\GitHub\mrs-test-scripts\Headless Mode &amp; Sideloading\WalkAndUnGZ.bat" "%USERPROFILE%\AppData\Local\Temp\OnboardLogs"\RTDC4011\2016-11-29 &amp; 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</v>
      </c>
      <c r="S35" s="103" t="str">
        <f>VLOOKUP(C35,'Train Runs'!$A$13:$AE$9986,22,0)</f>
        <v>https://search-rtdc-monitor-bjffxe2xuh6vdkpspy63sjmuny.us-east-1.es.amazonaws.com/_plugin/kibana/#/discover/Steve-Slow-Train-Analysis-(2080s-and-2083s)?_g=(refreshInterval:(display:Off,section:0,value:0),time:(from:'2016-11-29 14:14:22-700',mode:absolute,to:'2016-11-29 16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/stypes="*4011*201611292*" /stext=" 22:.+((SYSTEM_STATE.+slice.+state.+changed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6">
        <f t="shared" si="3"/>
        <v>42703.941527777773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{"issue":{"subject":"","project_id":79,"tracker_id":40,"status_id":1,"priority_id":2,"assigned_to_id":23,"start_date":"2016-11-29","description":"","custom_fields":[{"id":1,"name":"Subdivision","value":"NW"},{"id":4,"name":"Milepost","value":"5.9048"},{"id":17,"name":"Train ID","value":"825-29"},{"id":16,"name":"Locomotive ID","value":"4011"},{"id":130,"name":"Impact","value":""},{"id":150,"name":"Time of Event (Mountain Time)","value":"15:35:48"},{"id":151,"name":"Denver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"%USERPROFILE%\AppData\Local\Temp\OnboardLogs"\RTDC4011\*4011*201611292*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"%USERPROFILE%\AppData\Local\Temp\OnboardLogs"\RTDC4011\*4011*201611292* &gt;&gt; 42703-slicedisagreementcheck.txt</v>
      </c>
    </row>
    <row r="36" spans="1:30" x14ac:dyDescent="0.25">
      <c r="A36" s="36">
        <v>42703.493020833332</v>
      </c>
      <c r="B36" s="31" t="s">
        <v>553</v>
      </c>
      <c r="C36" s="31" t="s">
        <v>554</v>
      </c>
      <c r="D36" s="31" t="s">
        <v>49</v>
      </c>
      <c r="E36" s="31" t="s">
        <v>199</v>
      </c>
      <c r="F36" s="47">
        <v>150</v>
      </c>
      <c r="G36" s="47">
        <v>206</v>
      </c>
      <c r="H36" s="47">
        <v>13353</v>
      </c>
      <c r="I36" s="47">
        <v>13741</v>
      </c>
      <c r="J36" s="31" t="s">
        <v>200</v>
      </c>
      <c r="K36" s="47">
        <v>13777</v>
      </c>
      <c r="L36" s="154" t="s">
        <v>50</v>
      </c>
      <c r="M36" s="155">
        <f t="shared" si="0"/>
        <v>19.007999999999999</v>
      </c>
      <c r="N36" s="156" t="str">
        <f>VLOOKUP(C36,'Trips&amp;Operators'!$C$1:$E$99999,3,FALSE)</f>
        <v>SPECTOR</v>
      </c>
      <c r="O36" s="182" t="s">
        <v>198</v>
      </c>
      <c r="P36" s="157"/>
      <c r="Q36" s="31"/>
      <c r="R36" s="100" t="str">
        <f>VLOOKUP(C36,'Train Runs'!$A$13:$AE$9986,31,0)</f>
        <v>aws s3 cp s3://rtdc.mdm.uploadarchive.raw/RTDC4027/ "%USERPROFILE%\AppData\Local\Temp\OnboardLogs"\RTDC4027\2016-11-29 --exclude "*" --recursive --include "*20161129*" &amp; "%USERPROFILE%\Documents\GitHub\mrs-test-scripts\Headless Mode &amp; Sideloading\WalkAndUnGZ.bat" "%USERPROFILE%\AppData\Local\Temp\OnboardLogs"\RTDC4027\2016-11-29 &amp; aws s3 cp s3://rtdc.mdm.uploadarchive.raw/RTDC4027/ "%USERPROFILE%\AppData\Local\Temp\OnboardLogs"\RTDC4027\2016-11-30 --exclude "*" --recursive --include "*20161130*" &amp; "%USERPROFILE%\Documents\GitHub\mrs-test-scripts\Headless Mode &amp; Sideloading\WalkAndUnGZ.bat" "%USERPROFILE%\AppData\Local\Temp\OnboardLogs"\RTDC4027\2016-11-30</v>
      </c>
      <c r="S36" s="103" t="str">
        <f>VLOOKUP(C36,'Train Runs'!$A$13:$AE$9986,22,0)</f>
        <v>https://search-rtdc-monitor-bjffxe2xuh6vdkpspy63sjmuny.us-east-1.es.amazonaws.com/_plugin/kibana/#/discover/Steve-Slow-Train-Analysis-(2080s-and-2083s)?_g=(refreshInterval:(display:Off,section:0,value:0),time:(from:'2016-11-29 10:35:41-700',mode:absolute,to:'2016-11-29 12:54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6" s="105" t="str">
        <f t="shared" si="1"/>
        <v>"C:\Program Files (x86)\AstroGrep\AstroGrep.exe" /spath="%USERPROFILE%\AppData\Local\Temp\OnboardLogs" /stypes="*4027*201611291*" /stext=" 18:.+((SYSTEM_STATE.+slice.+state.+changed )|(ment ac)|(multiple cpu faults)|(system.+state.+changed )|(\[timeout)|(PRM\|1\|D)|(kpr)|(kdp)|(\|lc)|(penalty))" /e /r /s</v>
      </c>
      <c r="U36" s="9" t="str">
        <f t="shared" si="2"/>
        <v>4027</v>
      </c>
      <c r="V36" s="36">
        <f t="shared" si="3"/>
        <v>42703.784687499996</v>
      </c>
      <c r="W36" s="50" t="str">
        <f t="shared" si="4"/>
        <v>Other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{"issue":{"subject":"","project_id":79,"tracker_id":40,"status_id":1,"priority_id":2,"assigned_to_id":23,"start_date":"2016-11-29","description":"","custom_fields":[{"id":1,"name":"Subdivision","value":"Other"},{"id":4,"name":"Milepost","value":"1.3777"},{"id":17,"name":"Train ID","value":"53-29"},{"id":16,"name":"Locomotive ID","value":"4027"},{"id":130,"name":"Impact","value":""},{"id":150,"name":"Time of Event (Mountain Time)","value":"11:49:57"},{"id":151,"name":"Denver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"%USERPROFILE%\AppData\Local\Temp\OnboardLogs"\RTDC4027\*4027*201611291*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"%USERPROFILE%\AppData\Local\Temp\OnboardLogs"\RTDC4027\*4027*201611291* &gt;&gt; 42703-slicedisagreementcheck.txt</v>
      </c>
    </row>
    <row r="37" spans="1:30" x14ac:dyDescent="0.25">
      <c r="A37" s="36">
        <v>42703.147349537037</v>
      </c>
      <c r="B37" s="31" t="s">
        <v>528</v>
      </c>
      <c r="C37" s="31" t="s">
        <v>529</v>
      </c>
      <c r="D37" s="31" t="s">
        <v>49</v>
      </c>
      <c r="E37" s="31" t="s">
        <v>201</v>
      </c>
      <c r="F37" s="47">
        <v>0</v>
      </c>
      <c r="G37" s="47">
        <v>59</v>
      </c>
      <c r="H37" s="47">
        <v>19218</v>
      </c>
      <c r="I37" s="47">
        <v>19162</v>
      </c>
      <c r="J37" s="31" t="s">
        <v>202</v>
      </c>
      <c r="K37" s="47">
        <v>19000</v>
      </c>
      <c r="L37" s="154" t="s">
        <v>51</v>
      </c>
      <c r="M37" s="155">
        <f t="shared" si="0"/>
        <v>85.536000000000001</v>
      </c>
      <c r="N37" s="156" t="str">
        <f>VLOOKUP(C37,'Trips&amp;Operators'!$C$1:$E$99999,3,FALSE)</f>
        <v>MAGEE</v>
      </c>
      <c r="O37" s="182" t="s">
        <v>198</v>
      </c>
      <c r="P37" s="157"/>
      <c r="Q37" s="31"/>
      <c r="R37" s="100" t="str">
        <f>VLOOKUP(C37,'Train Runs'!$A$13:$AE$9986,31,0)</f>
        <v>aws s3 cp s3://rtdc.mdm.uploadarchive.raw/RTDC4030/ "%USERPROFILE%\AppData\Local\Temp\OnboardLogs"\RTDC4030\2016-11-29 --exclude "*" --recursive --include "*20161129*" &amp; "%USERPROFILE%\Documents\GitHub\mrs-test-scripts\Headless Mode &amp; Sideloading\WalkAndUnGZ.bat" "%USERPROFILE%\AppData\Local\Temp\OnboardLogs"\RTDC4030\2016-11-29 &amp; 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</v>
      </c>
      <c r="S37" s="103" t="str">
        <f>VLOOKUP(C37,'Train Runs'!$A$13:$AE$9986,22,0)</f>
        <v>https://search-rtdc-monitor-bjffxe2xuh6vdkpspy63sjmuny.us-east-1.es.amazonaws.com/_plugin/kibana/#/discover/Steve-Slow-Train-Analysis-(2080s-and-2083s)?_g=(refreshInterval:(display:Off,section:0,value:0),time:(from:'2016-11-29 02:28:50-700',mode:absolute,to:'2016-11-29 04:40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7" s="105" t="str">
        <f t="shared" si="1"/>
        <v>"C:\Program Files (x86)\AstroGrep\AstroGrep.exe" /spath="%USERPROFILE%\AppData\Local\Temp\OnboardLogs" /stypes="*4030*201611291*" /stext=" 10:.+((SYSTEM_STATE.+slice.+state.+changed )|(ment ac)|(multiple cpu faults)|(system.+state.+changed )|(\[timeout)|(PRM\|1\|D)|(kpr)|(kdp)|(\|lc)|(penalty))" /e /r /s</v>
      </c>
      <c r="U37" s="9" t="str">
        <f t="shared" si="2"/>
        <v>4030</v>
      </c>
      <c r="V37" s="36">
        <f t="shared" si="3"/>
        <v>42703.439016203702</v>
      </c>
      <c r="W37" s="50" t="str">
        <f t="shared" si="4"/>
        <v>Other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{"issue":{"subject":"","project_id":79,"tracker_id":40,"status_id":1,"priority_id":2,"assigned_to_id":23,"start_date":"2016-11-29","description":"","custom_fields":[{"id":1,"name":"Subdivision","value":"Other"},{"id":4,"name":"Milepost","value":"1.9"},{"id":17,"name":"Train ID","value":"304-29"},{"id":16,"name":"Locomotive ID","value":"4030"},{"id":130,"name":"Impact","value":""},{"id":150,"name":"Time of Event (Mountain Time)","value":"03:32:11"},{"id":151,"name":"Denver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"%USERPROFILE%\AppData\Local\Temp\OnboardLogs"\RTDC4030\*4030*201611291*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"%USERPROFILE%\AppData\Local\Temp\OnboardLogs"\RTDC4030\*4030*201611291* &gt;&gt; 42703-slicedisagreementcheck.txt</v>
      </c>
    </row>
    <row r="38" spans="1:30" x14ac:dyDescent="0.25">
      <c r="A38" s="36">
        <v>42703.736111111109</v>
      </c>
      <c r="B38" s="31" t="s">
        <v>547</v>
      </c>
      <c r="C38" s="31" t="s">
        <v>562</v>
      </c>
      <c r="D38" s="31" t="s">
        <v>49</v>
      </c>
      <c r="E38" s="31" t="s">
        <v>563</v>
      </c>
      <c r="F38" s="47">
        <v>100</v>
      </c>
      <c r="G38" s="47">
        <v>327</v>
      </c>
      <c r="H38" s="47">
        <v>12493</v>
      </c>
      <c r="I38" s="47">
        <v>11702</v>
      </c>
      <c r="J38" s="31" t="s">
        <v>534</v>
      </c>
      <c r="K38" s="47">
        <v>11000</v>
      </c>
      <c r="L38" s="154" t="s">
        <v>51</v>
      </c>
      <c r="M38" s="155">
        <f t="shared" si="0"/>
        <v>370.65600000000001</v>
      </c>
      <c r="N38" s="156" t="str">
        <f>VLOOKUP(C38,'Trips&amp;Operators'!$C$1:$E$99999,3,FALSE)</f>
        <v>YANAI</v>
      </c>
      <c r="O38" s="182" t="s">
        <v>198</v>
      </c>
      <c r="P38" s="157"/>
      <c r="Q38" s="31"/>
      <c r="R38" s="100" t="str">
        <f>VLOOKUP(C38,'Train Runs'!$A$13:$AE$9986,31,0)</f>
        <v>aws s3 cp s3://rtdc.mdm.uploadarchive.raw/RTDC4028/ "%USERPROFILE%\AppData\Local\Temp\OnboardLogs"\RTDC4028\2016-11-29 --exclude "*" --recursive --include "*20161129*" &amp; "%USERPROFILE%\Documents\GitHub\mrs-test-scripts\Headless Mode &amp; Sideloading\WalkAndUnGZ.bat" "%USERPROFILE%\AppData\Local\Temp\OnboardLogs"\RTDC4028\2016-11-29 &amp; aws s3 cp s3://rtdc.mdm.uploadarchive.raw/RTDC4028/ "%USERPROFILE%\AppData\Local\Temp\OnboardLogs"\RTDC4028\2016-11-30 --exclude "*" --recursive --include "*20161130*" &amp; "%USERPROFILE%\Documents\GitHub\mrs-test-scripts\Headless Mode &amp; Sideloading\WalkAndUnGZ.bat" "%USERPROFILE%\AppData\Local\Temp\OnboardLogs"\RTDC4028\2016-11-30</v>
      </c>
      <c r="S38" s="103" t="str">
        <f>VLOOKUP(C38,'Train Runs'!$A$13:$AE$9986,22,0)</f>
        <v>https://search-rtdc-monitor-bjffxe2xuh6vdkpspy63sjmuny.us-east-1.es.amazonaws.com/_plugin/kibana/#/discover/Steve-Slow-Train-Analysis-(2080s-and-2083s)?_g=(refreshInterval:(display:Off,section:0,value:0),time:(from:'2016-11-29 16:34:28-700',mode:absolute,to:'2016-11-29 18:45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8" s="105" t="str">
        <f t="shared" si="1"/>
        <v>"C:\Program Files (x86)\AstroGrep\AstroGrep.exe" /spath="%USERPROFILE%\AppData\Local\Temp\OnboardLogs" /stypes="*4028*201611300*" /stext=" 00:.+((SYSTEM_STATE.+slice.+state.+changed )|(ment ac)|(multiple cpu faults)|(system.+state.+changed )|(\[timeout)|(PRM\|1\|D)|(kpr)|(kdp)|(\|lc)|(penalty))" /e /r /s</v>
      </c>
      <c r="U38" s="9" t="str">
        <f t="shared" si="2"/>
        <v>4028</v>
      </c>
      <c r="V38" s="36">
        <f t="shared" si="3"/>
        <v>42704.027777777774</v>
      </c>
      <c r="W38" s="50" t="str">
        <f t="shared" si="4"/>
        <v>Other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{"issue":{"subject":"","project_id":79,"tracker_id":40,"status_id":1,"priority_id":2,"assigned_to_id":23,"start_date":"2016-11-29","description":"","custom_fields":[{"id":1,"name":"Subdivision","value":"Other"},{"id":4,"name":"Milepost","value":"1.1"},{"id":17,"name":"Train ID","value":"66-29"},{"id":16,"name":"Locomotive ID","value":"4028"},{"id":130,"name":"Impact","value":""},{"id":150,"name":"Time of Event (Mountain Time)","value":"17:40:00"},{"id":151,"name":"Denver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"%USERPROFILE%\AppData\Local\Temp\OnboardLogs"\RTDC4028\*4028*201611300*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"%USERPROFILE%\AppData\Local\Temp\OnboardLogs"\RTDC4028\*4028*201611300* &gt;&gt; 42703-slicedisagreementcheck.txt</v>
      </c>
    </row>
    <row r="39" spans="1:30" x14ac:dyDescent="0.25">
      <c r="A39" s="36">
        <v>42703.181284722225</v>
      </c>
      <c r="B39" s="31" t="s">
        <v>238</v>
      </c>
      <c r="C39" s="31" t="s">
        <v>530</v>
      </c>
      <c r="D39" s="31" t="s">
        <v>49</v>
      </c>
      <c r="E39" s="31" t="s">
        <v>203</v>
      </c>
      <c r="F39" s="47">
        <v>0</v>
      </c>
      <c r="G39" s="47">
        <v>40</v>
      </c>
      <c r="H39" s="47">
        <v>138</v>
      </c>
      <c r="I39" s="47">
        <v>123</v>
      </c>
      <c r="J39" s="31" t="s">
        <v>204</v>
      </c>
      <c r="K39" s="47">
        <v>1</v>
      </c>
      <c r="L39" s="154" t="s">
        <v>51</v>
      </c>
      <c r="M39" s="155">
        <f t="shared" si="0"/>
        <v>64.415999999999997</v>
      </c>
      <c r="N39" s="156" t="str">
        <f>VLOOKUP(C39,'Trips&amp;Operators'!$C$1:$E$99999,3,FALSE)</f>
        <v>SPECTOR</v>
      </c>
      <c r="O39" s="182" t="s">
        <v>198</v>
      </c>
      <c r="P39" s="157"/>
      <c r="Q39" s="31"/>
      <c r="R39" s="100" t="str">
        <f>VLOOKUP(C39,'Train Runs'!$A$13:$AE$9986,31,0)</f>
        <v>aws s3 cp s3://rtdc.mdm.uploadarchive.raw/RTDC4013/ "%USERPROFILE%\AppData\Local\Temp\OnboardLogs"\RTDC4013\2016-11-29 --exclude "*" --recursive --include "*20161129*" &amp; "%USERPROFILE%\Documents\GitHub\mrs-test-scripts\Headless Mode &amp; Sideloading\WalkAndUnGZ.bat" "%USERPROFILE%\AppData\Local\Temp\OnboardLogs"\RTDC4013\2016-11-29 &amp; 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</v>
      </c>
      <c r="S39" s="103" t="str">
        <f>VLOOKUP(C39,'Train Runs'!$A$13:$AE$9986,22,0)</f>
        <v>https://search-rtdc-monitor-bjffxe2xuh6vdkpspy63sjmuny.us-east-1.es.amazonaws.com/_plugin/kibana/#/discover/Steve-Slow-Train-Analysis-(2080s-and-2083s)?_g=(refreshInterval:(display:Off,section:0,value:0),time:(from:'2016-11-29 03:09:42-700',mode:absolute,to:'2016-11-29 05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9" s="105" t="str">
        <f t="shared" si="1"/>
        <v>"C:\Program Files (x86)\AstroGrep\AstroGrep.exe" /spath="%USERPROFILE%\AppData\Local\Temp\OnboardLogs" /stypes="*4013*201611291*" /stext=" 11:.+((SYSTEM_STATE.+slice.+state.+changed )|(ment ac)|(multiple cpu faults)|(system.+state.+changed )|(\[timeout)|(PRM\|1\|D)|(kpr)|(kdp)|(\|lc)|(penalty))" /e /r /s</v>
      </c>
      <c r="U39" s="9" t="str">
        <f t="shared" si="2"/>
        <v>4013</v>
      </c>
      <c r="V39" s="36">
        <f t="shared" si="3"/>
        <v>42703.472951388889</v>
      </c>
      <c r="W39" s="50" t="str">
        <f t="shared" si="4"/>
        <v>Other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{"issue":{"subject":"","project_id":79,"tracker_id":40,"status_id":1,"priority_id":2,"assigned_to_id":23,"start_date":"2016-11-29","description":"","custom_fields":[{"id":1,"name":"Subdivision","value":"Other"},{"id":4,"name":"Milepost","value":"0.0001"},{"id":17,"name":"Train ID","value":"308-29"},{"id":16,"name":"Locomotive ID","value":"4013"},{"id":130,"name":"Impact","value":""},{"id":150,"name":"Time of Event (Mountain Time)","value":"04:21:03"},{"id":151,"name":"Denver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"%USERPROFILE%\AppData\Local\Temp\OnboardLogs"\RTDC4013\*4013*201611291*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"%USERPROFILE%\AppData\Local\Temp\OnboardLogs"\RTDC4013\*4013*201611291* &gt;&gt; 42703-slicedisagreementcheck.txt</v>
      </c>
    </row>
    <row r="40" spans="1:30" x14ac:dyDescent="0.25">
      <c r="A40" s="36">
        <v>42703.440960648149</v>
      </c>
      <c r="B40" s="31" t="s">
        <v>353</v>
      </c>
      <c r="C40" s="31" t="s">
        <v>544</v>
      </c>
      <c r="D40" s="31" t="s">
        <v>49</v>
      </c>
      <c r="E40" s="31" t="s">
        <v>203</v>
      </c>
      <c r="F40" s="47">
        <v>0</v>
      </c>
      <c r="G40" s="47">
        <v>38</v>
      </c>
      <c r="H40" s="47">
        <v>97</v>
      </c>
      <c r="I40" s="47">
        <v>70</v>
      </c>
      <c r="J40" s="31" t="s">
        <v>204</v>
      </c>
      <c r="K40" s="47">
        <v>1</v>
      </c>
      <c r="L40" s="154" t="s">
        <v>51</v>
      </c>
      <c r="M40" s="155">
        <f t="shared" si="0"/>
        <v>36.432000000000002</v>
      </c>
      <c r="N40" s="156" t="str">
        <f>VLOOKUP(C40,'Trips&amp;Operators'!$C$1:$E$99999,3,FALSE)</f>
        <v>BARTLETT</v>
      </c>
      <c r="O40" s="182" t="s">
        <v>198</v>
      </c>
      <c r="P40" s="157"/>
      <c r="Q40" s="31"/>
      <c r="R40" s="100" t="str">
        <f>VLOOKUP(C40,'Train Runs'!$A$13:$AE$9986,31,0)</f>
        <v>aws s3 cp s3://rtdc.mdm.uploadarchive.raw/RTDC4008/ "%USERPROFILE%\AppData\Local\Temp\OnboardLogs"\RTDC4008\2016-11-29 --exclude "*" --recursive --include "*20161129*" &amp; "%USERPROFILE%\Documents\GitHub\mrs-test-scripts\Headless Mode &amp; Sideloading\WalkAndUnGZ.bat" "%USERPROFILE%\AppData\Local\Temp\OnboardLogs"\RTDC4008\2016-11-29 &amp; aws s3 cp s3://rtdc.mdm.uploadarchive.raw/RTDC4008/ "%USERPROFILE%\AppData\Local\Temp\OnboardLogs"\RTDC4008\2016-11-30 --exclude "*" --recursive --include "*20161130*" &amp; "%USERPROFILE%\Documents\GitHub\mrs-test-scripts\Headless Mode &amp; Sideloading\WalkAndUnGZ.bat" "%USERPROFILE%\AppData\Local\Temp\OnboardLogs"\RTDC4008\2016-11-30</v>
      </c>
      <c r="S40" s="103" t="str">
        <f>VLOOKUP(C40,'Train Runs'!$A$13:$AE$9986,22,0)</f>
        <v>https://search-rtdc-monitor-bjffxe2xuh6vdkpspy63sjmuny.us-east-1.es.amazonaws.com/_plugin/kibana/#/discover/Steve-Slow-Train-Analysis-(2080s-and-2083s)?_g=(refreshInterval:(display:Off,section:0,value:0),time:(from:'2016-11-29 09:25:39-700',mode:absolute,to:'2016-11-29 11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0" s="105" t="str">
        <f t="shared" si="1"/>
        <v>"C:\Program Files (x86)\AstroGrep\AstroGrep.exe" /spath="%USERPROFILE%\AppData\Local\Temp\OnboardLogs" /stypes="*4008*201611291*" /stext=" 17:.+((SYSTEM_STATE.+slice.+state.+changed )|(ment ac)|(multiple cpu faults)|(system.+state.+changed )|(\[timeout)|(PRM\|1\|D)|(kpr)|(kdp)|(\|lc)|(penalty))" /e /r /s</v>
      </c>
      <c r="U40" s="9" t="str">
        <f t="shared" si="2"/>
        <v>4008</v>
      </c>
      <c r="V40" s="36">
        <f t="shared" si="3"/>
        <v>42703.732627314814</v>
      </c>
      <c r="W40" s="50" t="str">
        <f t="shared" si="4"/>
        <v>Other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{"issue":{"subject":"","project_id":79,"tracker_id":40,"status_id":1,"priority_id":2,"assigned_to_id":23,"start_date":"2016-11-29","description":"","custom_fields":[{"id":1,"name":"Subdivision","value":"Other"},{"id":4,"name":"Milepost","value":"0.0001"},{"id":17,"name":"Train ID","value":"50-29"},{"id":16,"name":"Locomotive ID","value":"4008"},{"id":130,"name":"Impact","value":""},{"id":150,"name":"Time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"%USERPROFILE%\AppData\Local\Temp\OnboardLogs"\RTDC4008\*4008*201611291*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"%USERPROFILE%\AppData\Local\Temp\OnboardLogs"\RTDC4008\*4008*201611291* &gt;&gt; 42703-slicedisagreementcheck.txt</v>
      </c>
    </row>
    <row r="41" spans="1:30" x14ac:dyDescent="0.25">
      <c r="A41" s="36">
        <v>42703.463506944441</v>
      </c>
      <c r="B41" s="31" t="s">
        <v>547</v>
      </c>
      <c r="C41" s="31" t="s">
        <v>548</v>
      </c>
      <c r="D41" s="31" t="s">
        <v>49</v>
      </c>
      <c r="E41" s="31" t="s">
        <v>203</v>
      </c>
      <c r="F41" s="47">
        <v>0</v>
      </c>
      <c r="G41" s="47">
        <v>47</v>
      </c>
      <c r="H41" s="47">
        <v>995</v>
      </c>
      <c r="I41" s="47">
        <v>947</v>
      </c>
      <c r="J41" s="31" t="s">
        <v>204</v>
      </c>
      <c r="K41" s="47">
        <v>826</v>
      </c>
      <c r="L41" s="154" t="s">
        <v>51</v>
      </c>
      <c r="M41" s="155">
        <f t="shared" si="0"/>
        <v>63.887999999999998</v>
      </c>
      <c r="N41" s="156" t="str">
        <f>VLOOKUP(C41,'Trips&amp;Operators'!$C$1:$E$99999,3,FALSE)</f>
        <v>DAVIDSON</v>
      </c>
      <c r="O41" s="182" t="s">
        <v>198</v>
      </c>
      <c r="P41" s="157"/>
      <c r="Q41" s="31"/>
      <c r="R41" s="100" t="str">
        <f>VLOOKUP(C41,'Train Runs'!$A$13:$AE$9986,31,0)</f>
        <v>aws s3 cp s3://rtdc.mdm.uploadarchive.raw/RTDC4028/ "%USERPROFILE%\AppData\Local\Temp\OnboardLogs"\RTDC4028\2016-11-29 --exclude "*" --recursive --include "*20161129*" &amp; "%USERPROFILE%\Documents\GitHub\mrs-test-scripts\Headless Mode &amp; Sideloading\WalkAndUnGZ.bat" "%USERPROFILE%\AppData\Local\Temp\OnboardLogs"\RTDC4028\2016-11-29 &amp; aws s3 cp s3://rtdc.mdm.uploadarchive.raw/RTDC4028/ "%USERPROFILE%\AppData\Local\Temp\OnboardLogs"\RTDC4028\2016-11-30 --exclude "*" --recursive --include "*20161130*" &amp; "%USERPROFILE%\Documents\GitHub\mrs-test-scripts\Headless Mode &amp; Sideloading\WalkAndUnGZ.bat" "%USERPROFILE%\AppData\Local\Temp\OnboardLogs"\RTDC4028\2016-11-30</v>
      </c>
      <c r="S41" s="103" t="str">
        <f>VLOOKUP(C41,'Train Runs'!$A$13:$AE$9986,22,0)</f>
        <v>https://search-rtdc-monitor-bjffxe2xuh6vdkpspy63sjmuny.us-east-1.es.amazonaws.com/_plugin/kibana/#/discover/Steve-Slow-Train-Analysis-(2080s-and-2083s)?_g=(refreshInterval:(display:Off,section:0,value:0),time:(from:'2016-11-29 09:56:40-700',mode:absolute,to:'2016-11-29 12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1" s="105" t="str">
        <f t="shared" si="1"/>
        <v>"C:\Program Files (x86)\AstroGrep\AstroGrep.exe" /spath="%USERPROFILE%\AppData\Local\Temp\OnboardLogs" /stypes="*4028*201611291*" /stext=" 18:.+((SYSTEM_STATE.+slice.+state.+changed )|(ment ac)|(multiple cpu faults)|(system.+state.+changed )|(\[timeout)|(PRM\|1\|D)|(kpr)|(kdp)|(\|lc)|(penalty))" /e /r /s</v>
      </c>
      <c r="U41" s="9" t="str">
        <f t="shared" si="2"/>
        <v>4028</v>
      </c>
      <c r="V41" s="36">
        <f t="shared" si="3"/>
        <v>42703.755173611105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{"issue":{"subject":"","project_id":79,"tracker_id":40,"status_id":1,"priority_id":2,"assigned_to_id":23,"start_date":"2016-11-29","description":"","custom_fields":[{"id":1,"name":"Subdivision","value":"Other"},{"id":4,"name":"Milepost","value":"0.0826"},{"id":17,"name":"Train ID","value":"52-29"},{"id":16,"name":"Locomotive ID","value":"4028"},{"id":130,"name":"Impact","value":""},{"id":150,"name":"Time of Event (Mountain Time)","value":"11:07:27"},{"id":151,"name":"Denver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"%USERPROFILE%\AppData\Local\Temp\OnboardLogs"\RTDC4028\*4028*201611291*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"%USERPROFILE%\AppData\Local\Temp\OnboardLogs"\RTDC4028\*4028*201611291* &gt;&gt; 42703-slicedisagreementcheck.txt</v>
      </c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W7:W41"/>
      <sortCondition ref="E7:E41"/>
      <sortCondition ref="K7:K41"/>
      <sortCondition ref="F7:F41"/>
    </sortState>
  </autoFilter>
  <sortState ref="A7:AD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6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2016-11-29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-29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3" s="31" t="e">
        <f>VLOOKUP(B3,'Train Runs'!$A$13:$A$99983,1,FALSE)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-29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4" s="31" t="e">
        <f>VLOOKUP(B4,'Train Runs'!$A$13:$A$99983,1,FALSE)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-29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5" s="31" t="e">
        <f>VLOOKUP(B5,'Train Runs'!$A$13:$A$99983,1,FALSE)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-29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6" s="31" t="e">
        <f>VLOOKUP(B6,'Train Runs'!$A$13:$A$99983,1,FALSE)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-29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7" s="31" t="e">
        <f>VLOOKUP(B7,'Train Runs'!$A$13:$A$99983,1,FALSE)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-29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8" s="31" t="e">
        <f>VLOOKUP(B8,'Train Runs'!$A$13:$A$99983,1,FALSE)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-29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9" s="31" t="e">
        <f>VLOOKUP(B9,'Train Runs'!$A$13:$A$99983,1,FALSE)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-29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0" s="31" t="e">
        <f>VLOOKUP(B10,'Train Runs'!$A$13:$A$99983,1,FALSE)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21" t="s">
        <v>179</v>
      </c>
      <c r="E1" s="21" t="s">
        <v>180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42703.046053240738</v>
      </c>
      <c r="B2" s="21" t="s">
        <v>225</v>
      </c>
      <c r="C2" s="21" t="s">
        <v>366</v>
      </c>
      <c r="D2" s="21">
        <v>1810000</v>
      </c>
      <c r="E2" s="21" t="s">
        <v>363</v>
      </c>
      <c r="F2" s="21" t="str">
        <f t="shared" ref="F2:F65" si="0">B2</f>
        <v>rtdc.l.rtdc.4038:itc</v>
      </c>
      <c r="G2" s="8">
        <f t="shared" ref="G2:G65" si="1">A2</f>
        <v>42703.046053240738</v>
      </c>
    </row>
    <row r="3" spans="1:7" x14ac:dyDescent="0.25">
      <c r="A3" s="8">
        <v>42703.047199074077</v>
      </c>
      <c r="B3" s="21" t="s">
        <v>225</v>
      </c>
      <c r="C3" s="21" t="s">
        <v>366</v>
      </c>
      <c r="D3" s="21">
        <v>1810000</v>
      </c>
      <c r="E3" s="21" t="s">
        <v>363</v>
      </c>
      <c r="F3" s="21" t="str">
        <f t="shared" si="0"/>
        <v>rtdc.l.rtdc.4038:itc</v>
      </c>
      <c r="G3" s="8">
        <f t="shared" si="1"/>
        <v>42703.047199074077</v>
      </c>
    </row>
    <row r="4" spans="1:7" x14ac:dyDescent="0.25">
      <c r="A4" s="8">
        <v>42703.057592592595</v>
      </c>
      <c r="B4" s="21" t="s">
        <v>264</v>
      </c>
      <c r="C4" s="21" t="s">
        <v>367</v>
      </c>
      <c r="D4" s="21">
        <v>1800000</v>
      </c>
      <c r="E4" s="21" t="s">
        <v>288</v>
      </c>
      <c r="F4" s="21" t="str">
        <f t="shared" si="0"/>
        <v>rtdc.l.rtdc.4041:itc</v>
      </c>
      <c r="G4" s="8">
        <f t="shared" si="1"/>
        <v>42703.057592592595</v>
      </c>
    </row>
    <row r="5" spans="1:7" x14ac:dyDescent="0.25">
      <c r="A5" s="8">
        <v>42703.066793981481</v>
      </c>
      <c r="B5" s="21" t="s">
        <v>220</v>
      </c>
      <c r="C5" s="21" t="s">
        <v>368</v>
      </c>
      <c r="D5" s="21">
        <v>1230000</v>
      </c>
      <c r="E5" s="21" t="s">
        <v>364</v>
      </c>
      <c r="F5" s="21" t="str">
        <f t="shared" si="0"/>
        <v>rtdc.l.rtdc.4002:itc</v>
      </c>
      <c r="G5" s="8">
        <f t="shared" si="1"/>
        <v>42703.066793981481</v>
      </c>
    </row>
    <row r="6" spans="1:7" x14ac:dyDescent="0.25">
      <c r="A6" s="8">
        <v>42703.13082175926</v>
      </c>
      <c r="B6" s="21" t="s">
        <v>272</v>
      </c>
      <c r="C6" s="21" t="s">
        <v>527</v>
      </c>
      <c r="D6" s="21">
        <v>2030000</v>
      </c>
      <c r="E6" s="21" t="s">
        <v>314</v>
      </c>
      <c r="F6" s="21" t="str">
        <f t="shared" si="0"/>
        <v>rtdc.l.rtdc.4003:itc</v>
      </c>
      <c r="G6" s="8">
        <f t="shared" si="1"/>
        <v>42703.13082175926</v>
      </c>
    </row>
    <row r="7" spans="1:7" x14ac:dyDescent="0.25">
      <c r="A7" s="8">
        <v>42703.144675925927</v>
      </c>
      <c r="B7" s="21" t="s">
        <v>528</v>
      </c>
      <c r="C7" s="21" t="s">
        <v>529</v>
      </c>
      <c r="D7" s="21">
        <v>2610000</v>
      </c>
      <c r="E7" s="21" t="s">
        <v>222</v>
      </c>
      <c r="F7" s="21" t="str">
        <f t="shared" si="0"/>
        <v>rtdc.l.rtdc.4030:itc</v>
      </c>
      <c r="G7" s="8">
        <f t="shared" si="1"/>
        <v>42703.144675925927</v>
      </c>
    </row>
    <row r="8" spans="1:7" x14ac:dyDescent="0.25">
      <c r="A8" s="8">
        <v>42703.145555555559</v>
      </c>
      <c r="B8" s="21" t="s">
        <v>528</v>
      </c>
      <c r="C8" s="21" t="s">
        <v>529</v>
      </c>
      <c r="D8" s="21">
        <v>2610000</v>
      </c>
      <c r="E8" s="21" t="s">
        <v>222</v>
      </c>
      <c r="F8" s="21" t="str">
        <f t="shared" si="0"/>
        <v>rtdc.l.rtdc.4030:itc</v>
      </c>
      <c r="G8" s="8">
        <f t="shared" si="1"/>
        <v>42703.145555555559</v>
      </c>
    </row>
    <row r="9" spans="1:7" ht="15.75" thickBot="1" x14ac:dyDescent="0.3">
      <c r="A9" s="25">
        <v>42703.155555555553</v>
      </c>
      <c r="B9" s="21" t="s">
        <v>213</v>
      </c>
      <c r="C9" s="21" t="s">
        <v>565</v>
      </c>
      <c r="D9" s="21">
        <v>2610000</v>
      </c>
      <c r="E9" s="21" t="s">
        <v>222</v>
      </c>
      <c r="F9" s="21" t="str">
        <f t="shared" si="0"/>
        <v>rtdc.l.rtdc.4040:itc</v>
      </c>
      <c r="G9" s="8">
        <f t="shared" si="1"/>
        <v>42703.155555555553</v>
      </c>
    </row>
    <row r="10" spans="1:7" x14ac:dyDescent="0.25">
      <c r="A10" s="8">
        <v>42703.156747685185</v>
      </c>
      <c r="B10" s="21" t="s">
        <v>213</v>
      </c>
      <c r="C10" s="21" t="s">
        <v>565</v>
      </c>
      <c r="D10" s="21">
        <v>2610000</v>
      </c>
      <c r="E10" s="21" t="s">
        <v>222</v>
      </c>
      <c r="F10" s="21" t="str">
        <f t="shared" si="0"/>
        <v>rtdc.l.rtdc.4040:itc</v>
      </c>
      <c r="G10" s="8">
        <f t="shared" si="1"/>
        <v>42703.156747685185</v>
      </c>
    </row>
    <row r="11" spans="1:7" x14ac:dyDescent="0.25">
      <c r="A11" s="8">
        <v>42703.159386574072</v>
      </c>
      <c r="B11" s="21" t="s">
        <v>276</v>
      </c>
      <c r="C11" s="21" t="s">
        <v>566</v>
      </c>
      <c r="D11" s="21">
        <v>2620000</v>
      </c>
      <c r="E11" s="21" t="s">
        <v>357</v>
      </c>
      <c r="F11" s="21" t="str">
        <f t="shared" si="0"/>
        <v>rtdc.l.rtdc.4010:itc</v>
      </c>
      <c r="G11" s="8">
        <f t="shared" si="1"/>
        <v>42703.159386574072</v>
      </c>
    </row>
    <row r="12" spans="1:7" x14ac:dyDescent="0.25">
      <c r="A12" s="8">
        <v>42703.167939814812</v>
      </c>
      <c r="B12" s="21" t="s">
        <v>567</v>
      </c>
      <c r="C12" s="21" t="s">
        <v>568</v>
      </c>
      <c r="D12" s="21">
        <v>2030000</v>
      </c>
      <c r="E12" s="21" t="s">
        <v>314</v>
      </c>
      <c r="F12" s="21" t="str">
        <f t="shared" si="0"/>
        <v>rtdc.l.rtdc.4021:itc</v>
      </c>
      <c r="G12" s="8">
        <f t="shared" si="1"/>
        <v>42703.167939814812</v>
      </c>
    </row>
    <row r="13" spans="1:7" x14ac:dyDescent="0.25">
      <c r="A13" s="8">
        <v>42703.169814814813</v>
      </c>
      <c r="B13" s="21" t="s">
        <v>332</v>
      </c>
      <c r="C13" s="21" t="s">
        <v>569</v>
      </c>
      <c r="D13" s="21">
        <v>2620000</v>
      </c>
      <c r="E13" s="21" t="s">
        <v>357</v>
      </c>
      <c r="F13" s="21" t="str">
        <f t="shared" si="0"/>
        <v>rtdc.l.rtdc.4016:itc</v>
      </c>
      <c r="G13" s="8">
        <f t="shared" si="1"/>
        <v>42703.169814814813</v>
      </c>
    </row>
    <row r="14" spans="1:7" x14ac:dyDescent="0.25">
      <c r="A14" s="8">
        <v>42703.17391203704</v>
      </c>
      <c r="B14" s="21" t="s">
        <v>238</v>
      </c>
      <c r="C14" s="21" t="s">
        <v>530</v>
      </c>
      <c r="D14" s="21">
        <v>1090000</v>
      </c>
      <c r="E14" s="21" t="s">
        <v>358</v>
      </c>
      <c r="F14" s="21" t="str">
        <f t="shared" si="0"/>
        <v>rtdc.l.rtdc.4013:itc</v>
      </c>
      <c r="G14" s="8">
        <f t="shared" si="1"/>
        <v>42703.17391203704</v>
      </c>
    </row>
    <row r="15" spans="1:7" x14ac:dyDescent="0.25">
      <c r="A15" s="8">
        <v>42703.182384259257</v>
      </c>
      <c r="B15" s="21" t="s">
        <v>286</v>
      </c>
      <c r="C15" s="21" t="s">
        <v>570</v>
      </c>
      <c r="D15" s="21">
        <v>1990000</v>
      </c>
      <c r="E15" s="21" t="s">
        <v>254</v>
      </c>
      <c r="F15" s="21" t="str">
        <f t="shared" si="0"/>
        <v>rtdc.l.rtdc.4032:itc</v>
      </c>
      <c r="G15" s="8">
        <f t="shared" si="1"/>
        <v>42703.182384259257</v>
      </c>
    </row>
    <row r="16" spans="1:7" x14ac:dyDescent="0.25">
      <c r="A16" s="8">
        <v>42703.184953703705</v>
      </c>
      <c r="B16" s="21" t="s">
        <v>237</v>
      </c>
      <c r="C16" s="21" t="s">
        <v>571</v>
      </c>
      <c r="D16" s="21">
        <v>1090000</v>
      </c>
      <c r="E16" s="21" t="s">
        <v>358</v>
      </c>
      <c r="F16" s="21" t="str">
        <f t="shared" si="0"/>
        <v>rtdc.l.rtdc.4014:itc</v>
      </c>
      <c r="G16" s="8">
        <f t="shared" si="1"/>
        <v>42703.184953703705</v>
      </c>
    </row>
    <row r="17" spans="1:7" x14ac:dyDescent="0.25">
      <c r="A17" s="8">
        <v>42703.190451388888</v>
      </c>
      <c r="B17" s="21" t="s">
        <v>528</v>
      </c>
      <c r="C17" s="21" t="s">
        <v>572</v>
      </c>
      <c r="D17" s="21">
        <v>2610000</v>
      </c>
      <c r="E17" s="21" t="s">
        <v>222</v>
      </c>
      <c r="F17" s="21" t="str">
        <f t="shared" si="0"/>
        <v>rtdc.l.rtdc.4030:itc</v>
      </c>
      <c r="G17" s="8">
        <f t="shared" si="1"/>
        <v>42703.190451388888</v>
      </c>
    </row>
    <row r="18" spans="1:7" x14ac:dyDescent="0.25">
      <c r="A18" s="8">
        <v>42703.193310185183</v>
      </c>
      <c r="B18" s="21" t="s">
        <v>250</v>
      </c>
      <c r="C18" s="21" t="s">
        <v>573</v>
      </c>
      <c r="D18" s="21">
        <v>1990000</v>
      </c>
      <c r="E18" s="21" t="s">
        <v>254</v>
      </c>
      <c r="F18" s="21" t="str">
        <f t="shared" si="0"/>
        <v>rtdc.l.rtdc.4031:itc</v>
      </c>
      <c r="G18" s="8">
        <f t="shared" si="1"/>
        <v>42703.193310185183</v>
      </c>
    </row>
    <row r="19" spans="1:7" x14ac:dyDescent="0.25">
      <c r="A19" s="8">
        <v>42703.20040509259</v>
      </c>
      <c r="B19" s="21" t="s">
        <v>210</v>
      </c>
      <c r="C19" s="21" t="s">
        <v>574</v>
      </c>
      <c r="D19" s="21">
        <v>1110000</v>
      </c>
      <c r="E19" s="21" t="s">
        <v>335</v>
      </c>
      <c r="F19" s="21" t="str">
        <f t="shared" si="0"/>
        <v>rtdc.l.rtdc.4011:itc</v>
      </c>
      <c r="G19" s="8">
        <f t="shared" si="1"/>
        <v>42703.20040509259</v>
      </c>
    </row>
    <row r="20" spans="1:7" x14ac:dyDescent="0.25">
      <c r="A20" s="8">
        <v>42703.205069444448</v>
      </c>
      <c r="B20" s="21" t="s">
        <v>272</v>
      </c>
      <c r="C20" s="21" t="s">
        <v>575</v>
      </c>
      <c r="D20" s="21">
        <v>1100000</v>
      </c>
      <c r="E20" s="21" t="s">
        <v>576</v>
      </c>
      <c r="F20" s="21" t="str">
        <f t="shared" si="0"/>
        <v>rtdc.l.rtdc.4003:itc</v>
      </c>
      <c r="G20" s="8">
        <f t="shared" si="1"/>
        <v>42703.205069444448</v>
      </c>
    </row>
    <row r="21" spans="1:7" x14ac:dyDescent="0.25">
      <c r="A21" s="8">
        <v>42703.205787037034</v>
      </c>
      <c r="B21" s="21" t="s">
        <v>276</v>
      </c>
      <c r="C21" s="21" t="s">
        <v>577</v>
      </c>
      <c r="D21" s="21">
        <v>2620000</v>
      </c>
      <c r="E21" s="21" t="s">
        <v>357</v>
      </c>
      <c r="F21" s="21" t="str">
        <f t="shared" si="0"/>
        <v>rtdc.l.rtdc.4010:itc</v>
      </c>
      <c r="G21" s="8">
        <f t="shared" si="1"/>
        <v>42703.205787037034</v>
      </c>
    </row>
    <row r="22" spans="1:7" x14ac:dyDescent="0.25">
      <c r="A22" s="27">
        <v>42703.205949074072</v>
      </c>
      <c r="B22" s="21" t="s">
        <v>223</v>
      </c>
      <c r="C22" s="21" t="s">
        <v>532</v>
      </c>
      <c r="D22" s="21">
        <v>2030000</v>
      </c>
      <c r="E22" s="21" t="s">
        <v>314</v>
      </c>
      <c r="F22" s="21" t="str">
        <f t="shared" si="0"/>
        <v>rtdc.l.rtdc.4022:itc</v>
      </c>
      <c r="G22" s="8">
        <f t="shared" si="1"/>
        <v>42703.205949074072</v>
      </c>
    </row>
    <row r="23" spans="1:7" x14ac:dyDescent="0.25">
      <c r="A23" s="8">
        <v>42703.207511574074</v>
      </c>
      <c r="B23" s="21" t="s">
        <v>223</v>
      </c>
      <c r="C23" s="21" t="s">
        <v>532</v>
      </c>
      <c r="D23" s="21">
        <v>2030000</v>
      </c>
      <c r="E23" s="21" t="s">
        <v>314</v>
      </c>
      <c r="F23" s="21" t="str">
        <f t="shared" si="0"/>
        <v>rtdc.l.rtdc.4022:itc</v>
      </c>
      <c r="G23" s="8">
        <f t="shared" si="1"/>
        <v>42703.207511574074</v>
      </c>
    </row>
    <row r="24" spans="1:7" x14ac:dyDescent="0.25">
      <c r="A24" s="8">
        <v>42703.214062500003</v>
      </c>
      <c r="B24" s="21" t="s">
        <v>218</v>
      </c>
      <c r="C24" s="21" t="s">
        <v>531</v>
      </c>
      <c r="D24" s="21">
        <v>1110000</v>
      </c>
      <c r="E24" s="21" t="s">
        <v>335</v>
      </c>
      <c r="F24" s="21" t="str">
        <f t="shared" si="0"/>
        <v>rtdc.l.rtdc.4012:itc</v>
      </c>
      <c r="G24" s="8">
        <f t="shared" si="1"/>
        <v>42703.214062500003</v>
      </c>
    </row>
    <row r="25" spans="1:7" x14ac:dyDescent="0.25">
      <c r="A25" s="8">
        <v>42703.225115740737</v>
      </c>
      <c r="B25" s="21" t="s">
        <v>238</v>
      </c>
      <c r="C25" s="21" t="s">
        <v>578</v>
      </c>
      <c r="D25" s="21">
        <v>1090000</v>
      </c>
      <c r="E25" s="21" t="s">
        <v>358</v>
      </c>
      <c r="F25" s="21" t="str">
        <f t="shared" si="0"/>
        <v>rtdc.l.rtdc.4013:itc</v>
      </c>
      <c r="G25" s="8">
        <f t="shared" si="1"/>
        <v>42703.225115740737</v>
      </c>
    </row>
    <row r="26" spans="1:7" x14ac:dyDescent="0.25">
      <c r="A26" s="8">
        <v>42703.227199074077</v>
      </c>
      <c r="B26" s="21" t="s">
        <v>213</v>
      </c>
      <c r="C26" s="21" t="s">
        <v>579</v>
      </c>
      <c r="D26" s="21">
        <v>2630000</v>
      </c>
      <c r="E26" s="21" t="s">
        <v>266</v>
      </c>
      <c r="F26" s="21" t="str">
        <f t="shared" si="0"/>
        <v>rtdc.l.rtdc.4040:itc</v>
      </c>
      <c r="G26" s="8">
        <f t="shared" si="1"/>
        <v>42703.227199074077</v>
      </c>
    </row>
    <row r="27" spans="1:7" x14ac:dyDescent="0.25">
      <c r="A27" s="8">
        <v>42703.232719907406</v>
      </c>
      <c r="B27" s="21" t="s">
        <v>286</v>
      </c>
      <c r="C27" s="21" t="s">
        <v>580</v>
      </c>
      <c r="D27" s="21">
        <v>1990000</v>
      </c>
      <c r="E27" s="21" t="s">
        <v>254</v>
      </c>
      <c r="F27" s="21" t="str">
        <f t="shared" si="0"/>
        <v>rtdc.l.rtdc.4032:itc</v>
      </c>
      <c r="G27" s="8">
        <f t="shared" si="1"/>
        <v>42703.232719907406</v>
      </c>
    </row>
    <row r="28" spans="1:7" x14ac:dyDescent="0.25">
      <c r="A28" s="8">
        <v>42703.234826388885</v>
      </c>
      <c r="B28" s="21" t="s">
        <v>537</v>
      </c>
      <c r="C28" s="21" t="s">
        <v>581</v>
      </c>
      <c r="D28" s="21">
        <v>2610000</v>
      </c>
      <c r="E28" s="21" t="s">
        <v>222</v>
      </c>
      <c r="F28" s="21" t="str">
        <f t="shared" si="0"/>
        <v>rtdc.l.rtdc.4029:itc</v>
      </c>
      <c r="G28" s="8">
        <f t="shared" si="1"/>
        <v>42703.234826388885</v>
      </c>
    </row>
    <row r="29" spans="1:7" x14ac:dyDescent="0.25">
      <c r="A29" s="8">
        <v>42703.235625000001</v>
      </c>
      <c r="B29" s="21" t="s">
        <v>537</v>
      </c>
      <c r="C29" s="21" t="s">
        <v>581</v>
      </c>
      <c r="D29" s="21">
        <v>2610000</v>
      </c>
      <c r="E29" s="21" t="s">
        <v>222</v>
      </c>
      <c r="F29" s="21" t="str">
        <f t="shared" si="0"/>
        <v>rtdc.l.rtdc.4029:itc</v>
      </c>
      <c r="G29" s="8">
        <f t="shared" si="1"/>
        <v>42703.235625000001</v>
      </c>
    </row>
    <row r="30" spans="1:7" x14ac:dyDescent="0.25">
      <c r="A30" s="8">
        <v>42703.240034722221</v>
      </c>
      <c r="B30" s="21" t="s">
        <v>582</v>
      </c>
      <c r="C30" s="21" t="s">
        <v>583</v>
      </c>
      <c r="D30" s="21">
        <v>1300000</v>
      </c>
      <c r="E30" s="21" t="s">
        <v>113</v>
      </c>
      <c r="F30" s="21" t="str">
        <f t="shared" si="0"/>
        <v>rtdc.l.rtdc.4043:itc</v>
      </c>
      <c r="G30" s="8">
        <f t="shared" si="1"/>
        <v>42703.240034722221</v>
      </c>
    </row>
    <row r="31" spans="1:7" x14ac:dyDescent="0.25">
      <c r="A31" s="8">
        <v>42703.242083333331</v>
      </c>
      <c r="B31" s="21" t="s">
        <v>273</v>
      </c>
      <c r="C31" s="21" t="s">
        <v>584</v>
      </c>
      <c r="D31" s="21">
        <v>1100000</v>
      </c>
      <c r="E31" s="21" t="s">
        <v>576</v>
      </c>
      <c r="F31" s="21" t="str">
        <f t="shared" si="0"/>
        <v>rtdc.l.rtdc.4004:itc</v>
      </c>
      <c r="G31" s="8">
        <f t="shared" si="1"/>
        <v>42703.242083333331</v>
      </c>
    </row>
    <row r="32" spans="1:7" x14ac:dyDescent="0.25">
      <c r="A32" s="8">
        <v>42703.2422337963</v>
      </c>
      <c r="B32" s="21" t="s">
        <v>210</v>
      </c>
      <c r="C32" s="21" t="s">
        <v>585</v>
      </c>
      <c r="D32" s="21">
        <v>1110000</v>
      </c>
      <c r="E32" s="21" t="s">
        <v>335</v>
      </c>
      <c r="F32" s="21" t="str">
        <f t="shared" si="0"/>
        <v>rtdc.l.rtdc.4011:itc</v>
      </c>
      <c r="G32" s="8">
        <f t="shared" si="1"/>
        <v>42703.2422337963</v>
      </c>
    </row>
    <row r="33" spans="1:7" x14ac:dyDescent="0.25">
      <c r="A33" s="8">
        <v>42703.242824074077</v>
      </c>
      <c r="B33" s="21" t="s">
        <v>210</v>
      </c>
      <c r="C33" s="21" t="s">
        <v>586</v>
      </c>
      <c r="D33" s="21">
        <v>1110000</v>
      </c>
      <c r="E33" s="21" t="s">
        <v>335</v>
      </c>
      <c r="F33" s="21" t="str">
        <f t="shared" si="0"/>
        <v>rtdc.l.rtdc.4011:itc</v>
      </c>
      <c r="G33" s="8">
        <f t="shared" si="1"/>
        <v>42703.242824074077</v>
      </c>
    </row>
    <row r="34" spans="1:7" x14ac:dyDescent="0.25">
      <c r="A34" s="8">
        <v>42703.248668981483</v>
      </c>
      <c r="B34" s="21" t="s">
        <v>332</v>
      </c>
      <c r="C34" s="21" t="s">
        <v>587</v>
      </c>
      <c r="D34" s="21">
        <v>2620000</v>
      </c>
      <c r="E34" s="21" t="s">
        <v>357</v>
      </c>
      <c r="F34" s="21" t="str">
        <f t="shared" si="0"/>
        <v>rtdc.l.rtdc.4016:itc</v>
      </c>
      <c r="G34" s="8">
        <f t="shared" si="1"/>
        <v>42703.248668981483</v>
      </c>
    </row>
    <row r="35" spans="1:7" x14ac:dyDescent="0.25">
      <c r="A35" s="8">
        <v>42703.255543981482</v>
      </c>
      <c r="B35" s="21" t="s">
        <v>218</v>
      </c>
      <c r="C35" s="21" t="s">
        <v>585</v>
      </c>
      <c r="D35" s="21">
        <v>1110000</v>
      </c>
      <c r="E35" s="21" t="s">
        <v>335</v>
      </c>
      <c r="F35" s="21" t="str">
        <f t="shared" si="0"/>
        <v>rtdc.l.rtdc.4012:itc</v>
      </c>
      <c r="G35" s="8">
        <f t="shared" si="1"/>
        <v>42703.255543981482</v>
      </c>
    </row>
    <row r="36" spans="1:7" x14ac:dyDescent="0.25">
      <c r="A36" s="8">
        <v>42703.256620370368</v>
      </c>
      <c r="B36" s="21" t="s">
        <v>237</v>
      </c>
      <c r="C36" s="21" t="s">
        <v>588</v>
      </c>
      <c r="D36" s="21">
        <v>1090000</v>
      </c>
      <c r="E36" s="21" t="s">
        <v>358</v>
      </c>
      <c r="F36" s="21" t="str">
        <f t="shared" si="0"/>
        <v>rtdc.l.rtdc.4014:itc</v>
      </c>
      <c r="G36" s="8">
        <f t="shared" si="1"/>
        <v>42703.256620370368</v>
      </c>
    </row>
    <row r="37" spans="1:7" x14ac:dyDescent="0.25">
      <c r="A37" s="8">
        <v>42703.256678240738</v>
      </c>
      <c r="B37" s="21" t="s">
        <v>567</v>
      </c>
      <c r="C37" s="21" t="s">
        <v>589</v>
      </c>
      <c r="D37" s="21">
        <v>2030000</v>
      </c>
      <c r="E37" s="21" t="s">
        <v>314</v>
      </c>
      <c r="F37" s="21" t="str">
        <f t="shared" si="0"/>
        <v>rtdc.l.rtdc.4021:itc</v>
      </c>
      <c r="G37" s="8">
        <f t="shared" si="1"/>
        <v>42703.256678240738</v>
      </c>
    </row>
    <row r="38" spans="1:7" x14ac:dyDescent="0.25">
      <c r="A38" s="8">
        <v>42703.259722222225</v>
      </c>
      <c r="B38" s="21" t="s">
        <v>184</v>
      </c>
      <c r="C38" s="21" t="s">
        <v>590</v>
      </c>
      <c r="D38" s="21">
        <v>1300000</v>
      </c>
      <c r="E38" s="21" t="s">
        <v>113</v>
      </c>
      <c r="F38" s="21" t="str">
        <f t="shared" si="0"/>
        <v>rtdc.l.rtdc.4044:itc</v>
      </c>
      <c r="G38" s="8">
        <f t="shared" si="1"/>
        <v>42703.259722222225</v>
      </c>
    </row>
    <row r="39" spans="1:7" x14ac:dyDescent="0.25">
      <c r="A39" s="8">
        <v>42703.2653125</v>
      </c>
      <c r="B39" s="21" t="s">
        <v>215</v>
      </c>
      <c r="C39" s="21" t="s">
        <v>591</v>
      </c>
      <c r="D39" s="21">
        <v>2630000</v>
      </c>
      <c r="E39" s="21" t="s">
        <v>266</v>
      </c>
      <c r="F39" s="21" t="str">
        <f t="shared" si="0"/>
        <v>rtdc.l.rtdc.4039:itc</v>
      </c>
      <c r="G39" s="8">
        <f t="shared" si="1"/>
        <v>42703.2653125</v>
      </c>
    </row>
    <row r="40" spans="1:7" x14ac:dyDescent="0.25">
      <c r="A40" s="8">
        <v>42703.268055555556</v>
      </c>
      <c r="B40" s="26" t="s">
        <v>250</v>
      </c>
      <c r="C40" s="21" t="s">
        <v>592</v>
      </c>
      <c r="D40" s="21">
        <v>1340000</v>
      </c>
      <c r="E40" s="21" t="s">
        <v>593</v>
      </c>
      <c r="F40" s="21" t="str">
        <f t="shared" si="0"/>
        <v>rtdc.l.rtdc.4031:itc</v>
      </c>
      <c r="G40" s="8">
        <f t="shared" si="1"/>
        <v>42703.268055555556</v>
      </c>
    </row>
    <row r="41" spans="1:7" x14ac:dyDescent="0.25">
      <c r="A41" s="8">
        <v>42703.273009259261</v>
      </c>
      <c r="B41" s="21" t="s">
        <v>528</v>
      </c>
      <c r="C41" s="21" t="s">
        <v>594</v>
      </c>
      <c r="D41" s="21">
        <v>2610000</v>
      </c>
      <c r="E41" s="21" t="s">
        <v>222</v>
      </c>
      <c r="F41" s="21" t="str">
        <f t="shared" si="0"/>
        <v>rtdc.l.rtdc.4030:itc</v>
      </c>
      <c r="G41" s="8">
        <f t="shared" si="1"/>
        <v>42703.273009259261</v>
      </c>
    </row>
    <row r="42" spans="1:7" x14ac:dyDescent="0.25">
      <c r="A42" s="8">
        <v>42703.275219907409</v>
      </c>
      <c r="B42" s="21" t="s">
        <v>582</v>
      </c>
      <c r="C42" s="21" t="s">
        <v>595</v>
      </c>
      <c r="D42" s="21">
        <v>1240000</v>
      </c>
      <c r="E42" s="21" t="s">
        <v>361</v>
      </c>
      <c r="F42" s="21" t="str">
        <f t="shared" si="0"/>
        <v>rtdc.l.rtdc.4043:itc</v>
      </c>
      <c r="G42" s="8">
        <f t="shared" si="1"/>
        <v>42703.275219907409</v>
      </c>
    </row>
    <row r="43" spans="1:7" x14ac:dyDescent="0.25">
      <c r="A43" s="8">
        <v>42703.277731481481</v>
      </c>
      <c r="B43" s="21" t="s">
        <v>272</v>
      </c>
      <c r="C43" s="21" t="s">
        <v>596</v>
      </c>
      <c r="D43" s="21">
        <v>1100000</v>
      </c>
      <c r="E43" s="21" t="s">
        <v>576</v>
      </c>
      <c r="F43" s="21" t="str">
        <f t="shared" si="0"/>
        <v>rtdc.l.rtdc.4003:itc</v>
      </c>
      <c r="G43" s="8">
        <f t="shared" si="1"/>
        <v>42703.277731481481</v>
      </c>
    </row>
    <row r="44" spans="1:7" x14ac:dyDescent="0.25">
      <c r="A44" s="8">
        <v>42703.282638888886</v>
      </c>
      <c r="B44" s="21" t="s">
        <v>334</v>
      </c>
      <c r="C44" s="21" t="s">
        <v>535</v>
      </c>
      <c r="D44" s="21">
        <v>2620000</v>
      </c>
      <c r="E44" s="21" t="s">
        <v>357</v>
      </c>
      <c r="F44" s="21" t="str">
        <f t="shared" si="0"/>
        <v>rtdc.l.rtdc.4015:itc</v>
      </c>
      <c r="G44" s="8">
        <f t="shared" si="1"/>
        <v>42703.282638888886</v>
      </c>
    </row>
    <row r="45" spans="1:7" x14ac:dyDescent="0.25">
      <c r="A45" s="8">
        <v>42703.283634259256</v>
      </c>
      <c r="B45" s="21" t="s">
        <v>210</v>
      </c>
      <c r="C45" s="21" t="s">
        <v>597</v>
      </c>
      <c r="D45" s="21">
        <v>2150000</v>
      </c>
      <c r="E45" s="21" t="s">
        <v>598</v>
      </c>
      <c r="F45" s="21" t="str">
        <f t="shared" si="0"/>
        <v>rtdc.l.rtdc.4011:itc</v>
      </c>
      <c r="G45" s="8">
        <f t="shared" si="1"/>
        <v>42703.283634259256</v>
      </c>
    </row>
    <row r="46" spans="1:7" x14ac:dyDescent="0.25">
      <c r="A46" s="8">
        <v>42703.285231481481</v>
      </c>
      <c r="B46" s="21" t="s">
        <v>334</v>
      </c>
      <c r="C46" s="21" t="s">
        <v>535</v>
      </c>
      <c r="D46" s="21">
        <v>2620000</v>
      </c>
      <c r="E46" s="21" t="s">
        <v>357</v>
      </c>
      <c r="F46" s="21" t="str">
        <f t="shared" si="0"/>
        <v>rtdc.l.rtdc.4015:itc</v>
      </c>
      <c r="G46" s="8">
        <f t="shared" si="1"/>
        <v>42703.285231481481</v>
      </c>
    </row>
    <row r="47" spans="1:7" x14ac:dyDescent="0.25">
      <c r="A47" s="8">
        <v>42703.28634259259</v>
      </c>
      <c r="B47" s="21" t="s">
        <v>334</v>
      </c>
      <c r="C47" s="21" t="s">
        <v>535</v>
      </c>
      <c r="D47" s="21">
        <v>2620000</v>
      </c>
      <c r="E47" s="21" t="s">
        <v>357</v>
      </c>
      <c r="F47" s="21" t="str">
        <f t="shared" si="0"/>
        <v>rtdc.l.rtdc.4015:itc</v>
      </c>
      <c r="G47" s="8">
        <f t="shared" si="1"/>
        <v>42703.28634259259</v>
      </c>
    </row>
    <row r="48" spans="1:7" x14ac:dyDescent="0.25">
      <c r="A48" s="8">
        <v>42703.287789351853</v>
      </c>
      <c r="B48" s="21" t="s">
        <v>334</v>
      </c>
      <c r="C48" s="21" t="s">
        <v>535</v>
      </c>
      <c r="D48" s="21">
        <v>2620000</v>
      </c>
      <c r="E48" s="21" t="s">
        <v>357</v>
      </c>
      <c r="F48" s="21" t="str">
        <f t="shared" si="0"/>
        <v>rtdc.l.rtdc.4015:itc</v>
      </c>
      <c r="G48" s="8">
        <f t="shared" si="1"/>
        <v>42703.287789351853</v>
      </c>
    </row>
    <row r="49" spans="1:7" x14ac:dyDescent="0.25">
      <c r="A49" s="8">
        <v>42703.288877314815</v>
      </c>
      <c r="B49" s="21" t="s">
        <v>334</v>
      </c>
      <c r="C49" s="21" t="s">
        <v>535</v>
      </c>
      <c r="D49" s="21">
        <v>2620000</v>
      </c>
      <c r="E49" s="21" t="s">
        <v>357</v>
      </c>
      <c r="F49" s="21" t="str">
        <f t="shared" si="0"/>
        <v>rtdc.l.rtdc.4015:itc</v>
      </c>
      <c r="G49" s="8">
        <f t="shared" si="1"/>
        <v>42703.288877314815</v>
      </c>
    </row>
    <row r="50" spans="1:7" x14ac:dyDescent="0.25">
      <c r="A50" s="8">
        <v>42703.289953703701</v>
      </c>
      <c r="B50" s="21" t="s">
        <v>223</v>
      </c>
      <c r="C50" s="21" t="s">
        <v>599</v>
      </c>
      <c r="D50" s="21">
        <v>2030000</v>
      </c>
      <c r="E50" s="21" t="s">
        <v>314</v>
      </c>
      <c r="F50" s="21" t="str">
        <f t="shared" si="0"/>
        <v>rtdc.l.rtdc.4022:itc</v>
      </c>
      <c r="G50" s="8">
        <f t="shared" si="1"/>
        <v>42703.289953703701</v>
      </c>
    </row>
    <row r="51" spans="1:7" x14ac:dyDescent="0.25">
      <c r="A51" s="8">
        <v>42703.294270833336</v>
      </c>
      <c r="B51" s="21" t="s">
        <v>238</v>
      </c>
      <c r="C51" s="21" t="s">
        <v>600</v>
      </c>
      <c r="D51" s="21">
        <v>1090000</v>
      </c>
      <c r="E51" s="21" t="s">
        <v>358</v>
      </c>
      <c r="F51" s="21" t="str">
        <f t="shared" si="0"/>
        <v>rtdc.l.rtdc.4013:itc</v>
      </c>
      <c r="G51" s="8">
        <f t="shared" si="1"/>
        <v>42703.294270833336</v>
      </c>
    </row>
    <row r="52" spans="1:7" x14ac:dyDescent="0.25">
      <c r="A52" s="8">
        <v>42703.296261574076</v>
      </c>
      <c r="B52" s="21" t="s">
        <v>213</v>
      </c>
      <c r="C52" s="21" t="s">
        <v>601</v>
      </c>
      <c r="D52" s="21">
        <v>2630000</v>
      </c>
      <c r="E52" s="21" t="s">
        <v>266</v>
      </c>
      <c r="F52" s="21" t="str">
        <f t="shared" si="0"/>
        <v>rtdc.l.rtdc.4040:itc</v>
      </c>
      <c r="G52" s="8">
        <f t="shared" si="1"/>
        <v>42703.296261574076</v>
      </c>
    </row>
    <row r="53" spans="1:7" x14ac:dyDescent="0.25">
      <c r="A53" s="8">
        <v>42703.296967592592</v>
      </c>
      <c r="B53" s="21" t="s">
        <v>218</v>
      </c>
      <c r="C53" s="21" t="s">
        <v>602</v>
      </c>
      <c r="D53" s="21">
        <v>2150000</v>
      </c>
      <c r="E53" s="21" t="s">
        <v>598</v>
      </c>
      <c r="F53" s="21" t="str">
        <f t="shared" si="0"/>
        <v>rtdc.l.rtdc.4012:itc</v>
      </c>
      <c r="G53" s="8">
        <f t="shared" si="1"/>
        <v>42703.296967592592</v>
      </c>
    </row>
    <row r="54" spans="1:7" x14ac:dyDescent="0.25">
      <c r="A54" s="8">
        <v>42703.302939814814</v>
      </c>
      <c r="B54" s="21" t="s">
        <v>184</v>
      </c>
      <c r="C54" s="21" t="s">
        <v>536</v>
      </c>
      <c r="D54" s="21">
        <v>1300000</v>
      </c>
      <c r="E54" s="21" t="s">
        <v>113</v>
      </c>
      <c r="F54" s="21" t="str">
        <f t="shared" si="0"/>
        <v>rtdc.l.rtdc.4044:itc</v>
      </c>
      <c r="G54" s="8">
        <f t="shared" si="1"/>
        <v>42703.302939814814</v>
      </c>
    </row>
    <row r="55" spans="1:7" x14ac:dyDescent="0.25">
      <c r="A55" s="8">
        <v>42703.306840277779</v>
      </c>
      <c r="B55" s="21" t="s">
        <v>537</v>
      </c>
      <c r="C55" s="21" t="s">
        <v>538</v>
      </c>
      <c r="D55" s="21">
        <v>2610000</v>
      </c>
      <c r="E55" s="21" t="s">
        <v>222</v>
      </c>
      <c r="F55" s="21" t="str">
        <f t="shared" si="0"/>
        <v>rtdc.l.rtdc.4029:itc</v>
      </c>
      <c r="G55" s="8">
        <f t="shared" si="1"/>
        <v>42703.306840277779</v>
      </c>
    </row>
    <row r="56" spans="1:7" x14ac:dyDescent="0.25">
      <c r="A56" s="8">
        <v>42703.308194444442</v>
      </c>
      <c r="B56" s="21" t="s">
        <v>286</v>
      </c>
      <c r="C56" s="21" t="s">
        <v>603</v>
      </c>
      <c r="D56" s="21">
        <v>1340000</v>
      </c>
      <c r="E56" s="21" t="s">
        <v>593</v>
      </c>
      <c r="F56" s="21" t="str">
        <f t="shared" si="0"/>
        <v>rtdc.l.rtdc.4032:itc</v>
      </c>
      <c r="G56" s="8">
        <f t="shared" si="1"/>
        <v>42703.308194444442</v>
      </c>
    </row>
    <row r="57" spans="1:7" x14ac:dyDescent="0.25">
      <c r="A57" s="8">
        <v>42703.314918981479</v>
      </c>
      <c r="B57" s="21" t="s">
        <v>273</v>
      </c>
      <c r="C57" s="21" t="s">
        <v>604</v>
      </c>
      <c r="D57" s="21">
        <v>1100000</v>
      </c>
      <c r="E57" s="21" t="s">
        <v>576</v>
      </c>
      <c r="F57" s="21" t="str">
        <f t="shared" si="0"/>
        <v>rtdc.l.rtdc.4004:itc</v>
      </c>
      <c r="G57" s="8">
        <f t="shared" si="1"/>
        <v>42703.314918981479</v>
      </c>
    </row>
    <row r="58" spans="1:7" x14ac:dyDescent="0.25">
      <c r="A58" s="8">
        <v>42703.317488425928</v>
      </c>
      <c r="B58" s="21" t="s">
        <v>582</v>
      </c>
      <c r="C58" s="21" t="s">
        <v>605</v>
      </c>
      <c r="D58" s="21">
        <v>1300000</v>
      </c>
      <c r="E58" s="21" t="s">
        <v>113</v>
      </c>
      <c r="F58" s="21" t="str">
        <f t="shared" si="0"/>
        <v>rtdc.l.rtdc.4043:itc</v>
      </c>
      <c r="G58" s="8">
        <f t="shared" si="1"/>
        <v>42703.317488425928</v>
      </c>
    </row>
    <row r="59" spans="1:7" x14ac:dyDescent="0.25">
      <c r="A59" s="8">
        <v>42703.318692129629</v>
      </c>
      <c r="B59" s="21" t="s">
        <v>332</v>
      </c>
      <c r="C59" s="21" t="s">
        <v>606</v>
      </c>
      <c r="D59" s="21">
        <v>2620000</v>
      </c>
      <c r="E59" s="21" t="s">
        <v>357</v>
      </c>
      <c r="F59" s="21" t="str">
        <f t="shared" si="0"/>
        <v>rtdc.l.rtdc.4016:itc</v>
      </c>
      <c r="G59" s="8">
        <f t="shared" si="1"/>
        <v>42703.318692129629</v>
      </c>
    </row>
    <row r="60" spans="1:7" x14ac:dyDescent="0.25">
      <c r="A60" s="8">
        <v>42703.322731481479</v>
      </c>
      <c r="B60" s="21" t="s">
        <v>567</v>
      </c>
      <c r="C60" s="21" t="s">
        <v>607</v>
      </c>
      <c r="D60" s="21">
        <v>2030000</v>
      </c>
      <c r="E60" s="21" t="s">
        <v>314</v>
      </c>
      <c r="F60" s="21" t="str">
        <f t="shared" si="0"/>
        <v>rtdc.l.rtdc.4021:itc</v>
      </c>
      <c r="G60" s="8">
        <f t="shared" si="1"/>
        <v>42703.322731481479</v>
      </c>
    </row>
    <row r="61" spans="1:7" x14ac:dyDescent="0.25">
      <c r="A61" s="8">
        <v>42703.325532407405</v>
      </c>
      <c r="B61" s="21" t="s">
        <v>210</v>
      </c>
      <c r="C61" s="21" t="s">
        <v>608</v>
      </c>
      <c r="D61" s="21">
        <v>1110000</v>
      </c>
      <c r="E61" s="21" t="s">
        <v>335</v>
      </c>
      <c r="F61" s="21" t="str">
        <f t="shared" si="0"/>
        <v>rtdc.l.rtdc.4011:itc</v>
      </c>
      <c r="G61" s="8">
        <f t="shared" si="1"/>
        <v>42703.325532407405</v>
      </c>
    </row>
    <row r="62" spans="1:7" x14ac:dyDescent="0.25">
      <c r="A62" s="8">
        <v>42703.328726851854</v>
      </c>
      <c r="B62" s="21" t="s">
        <v>237</v>
      </c>
      <c r="C62" s="21" t="s">
        <v>609</v>
      </c>
      <c r="D62" s="21">
        <v>1090000</v>
      </c>
      <c r="E62" s="21" t="s">
        <v>358</v>
      </c>
      <c r="F62" s="21" t="str">
        <f t="shared" si="0"/>
        <v>rtdc.l.rtdc.4014:itc</v>
      </c>
      <c r="G62" s="8">
        <f t="shared" si="1"/>
        <v>42703.328726851854</v>
      </c>
    </row>
    <row r="63" spans="1:7" x14ac:dyDescent="0.25">
      <c r="A63" s="8">
        <v>42703.334456018521</v>
      </c>
      <c r="B63" s="21" t="s">
        <v>215</v>
      </c>
      <c r="C63" s="21" t="s">
        <v>610</v>
      </c>
      <c r="D63" s="21">
        <v>2630000</v>
      </c>
      <c r="E63" s="21" t="s">
        <v>266</v>
      </c>
      <c r="F63" s="21" t="str">
        <f t="shared" si="0"/>
        <v>rtdc.l.rtdc.4039:itc</v>
      </c>
      <c r="G63" s="8">
        <f t="shared" si="1"/>
        <v>42703.334456018521</v>
      </c>
    </row>
    <row r="64" spans="1:7" x14ac:dyDescent="0.25">
      <c r="A64" s="27">
        <v>42703.339201388888</v>
      </c>
      <c r="B64" s="21" t="s">
        <v>250</v>
      </c>
      <c r="C64" s="21" t="s">
        <v>611</v>
      </c>
      <c r="D64" s="21">
        <v>1990000</v>
      </c>
      <c r="E64" s="21" t="s">
        <v>254</v>
      </c>
      <c r="F64" s="21" t="str">
        <f t="shared" si="0"/>
        <v>rtdc.l.rtdc.4031:itc</v>
      </c>
      <c r="G64" s="8">
        <f t="shared" si="1"/>
        <v>42703.339201388888</v>
      </c>
    </row>
    <row r="65" spans="1:7" x14ac:dyDescent="0.25">
      <c r="A65" s="8">
        <v>42703.339317129627</v>
      </c>
      <c r="B65" s="21" t="s">
        <v>218</v>
      </c>
      <c r="C65" s="21" t="s">
        <v>539</v>
      </c>
      <c r="D65" s="21">
        <v>1110000</v>
      </c>
      <c r="E65" s="21" t="s">
        <v>335</v>
      </c>
      <c r="F65" s="21" t="str">
        <f t="shared" si="0"/>
        <v>rtdc.l.rtdc.4012:itc</v>
      </c>
      <c r="G65" s="8">
        <f t="shared" si="1"/>
        <v>42703.339317129627</v>
      </c>
    </row>
    <row r="66" spans="1:7" x14ac:dyDescent="0.25">
      <c r="A66" s="8">
        <v>42703.347245370373</v>
      </c>
      <c r="B66" s="21" t="s">
        <v>528</v>
      </c>
      <c r="C66" s="21" t="s">
        <v>612</v>
      </c>
      <c r="D66" s="21">
        <v>2610000</v>
      </c>
      <c r="E66" s="21" t="s">
        <v>222</v>
      </c>
      <c r="F66" s="21" t="str">
        <f t="shared" ref="F66:F129" si="2">B66</f>
        <v>rtdc.l.rtdc.4030:itc</v>
      </c>
      <c r="G66" s="8">
        <f t="shared" ref="G66:G129" si="3">A66</f>
        <v>42703.347245370373</v>
      </c>
    </row>
    <row r="67" spans="1:7" x14ac:dyDescent="0.25">
      <c r="A67" s="8">
        <v>42703.347303240742</v>
      </c>
      <c r="B67" s="21" t="s">
        <v>184</v>
      </c>
      <c r="C67" s="21" t="s">
        <v>613</v>
      </c>
      <c r="D67" s="21">
        <v>1300000</v>
      </c>
      <c r="E67" s="21" t="s">
        <v>113</v>
      </c>
      <c r="F67" s="21" t="str">
        <f t="shared" si="2"/>
        <v>rtdc.l.rtdc.4044:itc</v>
      </c>
      <c r="G67" s="8">
        <f t="shared" si="3"/>
        <v>42703.347303240742</v>
      </c>
    </row>
    <row r="68" spans="1:7" x14ac:dyDescent="0.25">
      <c r="A68" s="8">
        <v>42703.349930555552</v>
      </c>
      <c r="B68" s="21" t="s">
        <v>272</v>
      </c>
      <c r="C68" s="21" t="s">
        <v>614</v>
      </c>
      <c r="D68" s="21">
        <v>1100000</v>
      </c>
      <c r="E68" s="21" t="s">
        <v>576</v>
      </c>
      <c r="F68" s="21" t="str">
        <f t="shared" si="2"/>
        <v>rtdc.l.rtdc.4003:itc</v>
      </c>
      <c r="G68" s="8">
        <f t="shared" si="3"/>
        <v>42703.349930555552</v>
      </c>
    </row>
    <row r="69" spans="1:7" x14ac:dyDescent="0.25">
      <c r="A69" s="8">
        <v>42703.351006944446</v>
      </c>
      <c r="B69" s="21" t="s">
        <v>334</v>
      </c>
      <c r="C69" s="21" t="s">
        <v>540</v>
      </c>
      <c r="D69" s="21">
        <v>2620000</v>
      </c>
      <c r="E69" s="21" t="s">
        <v>357</v>
      </c>
      <c r="F69" s="21" t="str">
        <f t="shared" si="2"/>
        <v>rtdc.l.rtdc.4015:itc</v>
      </c>
      <c r="G69" s="8">
        <f t="shared" si="3"/>
        <v>42703.351006944446</v>
      </c>
    </row>
    <row r="70" spans="1:7" x14ac:dyDescent="0.25">
      <c r="A70" s="8">
        <v>42703.358680555553</v>
      </c>
      <c r="B70" s="21" t="s">
        <v>582</v>
      </c>
      <c r="C70" s="21" t="s">
        <v>615</v>
      </c>
      <c r="D70" s="21">
        <v>1300000</v>
      </c>
      <c r="E70" s="21" t="s">
        <v>113</v>
      </c>
      <c r="F70" s="21" t="str">
        <f t="shared" si="2"/>
        <v>rtdc.l.rtdc.4043:itc</v>
      </c>
      <c r="G70" s="8">
        <f t="shared" si="3"/>
        <v>42703.358680555553</v>
      </c>
    </row>
    <row r="71" spans="1:7" x14ac:dyDescent="0.25">
      <c r="A71" s="8">
        <v>42703.363310185188</v>
      </c>
      <c r="B71" s="21" t="s">
        <v>223</v>
      </c>
      <c r="C71" s="21" t="s">
        <v>616</v>
      </c>
      <c r="D71" s="21">
        <v>2030000</v>
      </c>
      <c r="E71" s="21" t="s">
        <v>314</v>
      </c>
      <c r="F71" s="21" t="str">
        <f t="shared" si="2"/>
        <v>rtdc.l.rtdc.4022:itc</v>
      </c>
      <c r="G71" s="8">
        <f t="shared" si="3"/>
        <v>42703.363310185188</v>
      </c>
    </row>
    <row r="72" spans="1:7" x14ac:dyDescent="0.25">
      <c r="A72" s="8">
        <v>42703.368668981479</v>
      </c>
      <c r="B72" s="21" t="s">
        <v>238</v>
      </c>
      <c r="C72" s="21" t="s">
        <v>541</v>
      </c>
      <c r="D72" s="21">
        <v>1090000</v>
      </c>
      <c r="E72" s="21" t="s">
        <v>358</v>
      </c>
      <c r="F72" s="21" t="str">
        <f t="shared" si="2"/>
        <v>rtdc.l.rtdc.4013:itc</v>
      </c>
      <c r="G72" s="8">
        <f t="shared" si="3"/>
        <v>42703.368668981479</v>
      </c>
    </row>
    <row r="73" spans="1:7" x14ac:dyDescent="0.25">
      <c r="A73" s="8">
        <v>42703.370023148149</v>
      </c>
      <c r="B73" s="21" t="s">
        <v>213</v>
      </c>
      <c r="C73" s="21" t="s">
        <v>617</v>
      </c>
      <c r="D73" s="21">
        <v>2630000</v>
      </c>
      <c r="E73" s="21" t="s">
        <v>266</v>
      </c>
      <c r="F73" s="21" t="str">
        <f t="shared" si="2"/>
        <v>rtdc.l.rtdc.4040:itc</v>
      </c>
      <c r="G73" s="8">
        <f t="shared" si="3"/>
        <v>42703.370023148149</v>
      </c>
    </row>
    <row r="74" spans="1:7" x14ac:dyDescent="0.25">
      <c r="A74" s="8">
        <v>42703.374861111108</v>
      </c>
      <c r="B74" s="21" t="s">
        <v>184</v>
      </c>
      <c r="C74" s="21" t="s">
        <v>618</v>
      </c>
      <c r="D74" s="21">
        <v>1110000</v>
      </c>
      <c r="E74" s="21" t="s">
        <v>335</v>
      </c>
      <c r="F74" s="21" t="str">
        <f t="shared" si="2"/>
        <v>rtdc.l.rtdc.4044:itc</v>
      </c>
      <c r="G74" s="8">
        <f t="shared" si="3"/>
        <v>42703.374861111108</v>
      </c>
    </row>
    <row r="75" spans="1:7" x14ac:dyDescent="0.25">
      <c r="A75" s="8">
        <v>42703.37840277778</v>
      </c>
      <c r="B75" s="21" t="s">
        <v>286</v>
      </c>
      <c r="C75" s="21" t="s">
        <v>619</v>
      </c>
      <c r="D75" s="21">
        <v>1990000</v>
      </c>
      <c r="E75" s="21" t="s">
        <v>254</v>
      </c>
      <c r="F75" s="21" t="str">
        <f t="shared" si="2"/>
        <v>rtdc.l.rtdc.4032:itc</v>
      </c>
      <c r="G75" s="8">
        <f t="shared" si="3"/>
        <v>42703.37840277778</v>
      </c>
    </row>
    <row r="76" spans="1:7" x14ac:dyDescent="0.25">
      <c r="A76" s="8">
        <v>42703.384930555556</v>
      </c>
      <c r="B76" s="21" t="s">
        <v>537</v>
      </c>
      <c r="C76" s="21" t="s">
        <v>620</v>
      </c>
      <c r="D76" s="21">
        <v>2610000</v>
      </c>
      <c r="E76" s="21" t="s">
        <v>222</v>
      </c>
      <c r="F76" s="21" t="str">
        <f t="shared" si="2"/>
        <v>rtdc.l.rtdc.4029:itc</v>
      </c>
      <c r="G76" s="8">
        <f t="shared" si="3"/>
        <v>42703.384930555556</v>
      </c>
    </row>
    <row r="77" spans="1:7" x14ac:dyDescent="0.25">
      <c r="A77" s="8">
        <v>42703.387974537036</v>
      </c>
      <c r="B77" s="21" t="s">
        <v>210</v>
      </c>
      <c r="C77" s="21" t="s">
        <v>621</v>
      </c>
      <c r="D77" s="21">
        <v>1300000</v>
      </c>
      <c r="E77" s="21" t="s">
        <v>113</v>
      </c>
      <c r="F77" s="21" t="str">
        <f t="shared" si="2"/>
        <v>rtdc.l.rtdc.4011:itc</v>
      </c>
      <c r="G77" s="8">
        <f t="shared" si="3"/>
        <v>42703.387974537036</v>
      </c>
    </row>
    <row r="78" spans="1:7" x14ac:dyDescent="0.25">
      <c r="A78" s="8">
        <v>42703.389270833337</v>
      </c>
      <c r="B78" s="21" t="s">
        <v>273</v>
      </c>
      <c r="C78" s="21" t="s">
        <v>542</v>
      </c>
      <c r="D78" s="21">
        <v>1100000</v>
      </c>
      <c r="E78" s="21" t="s">
        <v>576</v>
      </c>
      <c r="F78" s="21" t="str">
        <f t="shared" si="2"/>
        <v>rtdc.l.rtdc.4004:itc</v>
      </c>
      <c r="G78" s="8">
        <f t="shared" si="3"/>
        <v>42703.389270833337</v>
      </c>
    </row>
    <row r="79" spans="1:7" x14ac:dyDescent="0.25">
      <c r="A79" s="8">
        <v>42703.391400462962</v>
      </c>
      <c r="B79" s="21" t="s">
        <v>332</v>
      </c>
      <c r="C79" s="21" t="s">
        <v>622</v>
      </c>
      <c r="D79" s="21">
        <v>2620000</v>
      </c>
      <c r="E79" s="21" t="s">
        <v>357</v>
      </c>
      <c r="F79" s="21" t="str">
        <f t="shared" si="2"/>
        <v>rtdc.l.rtdc.4016:itc</v>
      </c>
      <c r="G79" s="8">
        <f t="shared" si="3"/>
        <v>42703.391400462962</v>
      </c>
    </row>
    <row r="80" spans="1:7" x14ac:dyDescent="0.25">
      <c r="A80" s="8">
        <v>42703.396168981482</v>
      </c>
      <c r="B80" s="21" t="s">
        <v>567</v>
      </c>
      <c r="C80" s="21" t="s">
        <v>623</v>
      </c>
      <c r="D80" s="21">
        <v>2030000</v>
      </c>
      <c r="E80" s="21" t="s">
        <v>314</v>
      </c>
      <c r="F80" s="21" t="str">
        <f t="shared" si="2"/>
        <v>rtdc.l.rtdc.4021:itc</v>
      </c>
      <c r="G80" s="8">
        <f t="shared" si="3"/>
        <v>42703.396168981482</v>
      </c>
    </row>
    <row r="81" spans="1:7" x14ac:dyDescent="0.25">
      <c r="A81" s="8">
        <v>42703.400648148148</v>
      </c>
      <c r="B81" s="21" t="s">
        <v>218</v>
      </c>
      <c r="C81" s="21" t="s">
        <v>624</v>
      </c>
      <c r="D81" s="21">
        <v>1300000</v>
      </c>
      <c r="E81" s="21" t="s">
        <v>113</v>
      </c>
      <c r="F81" s="21" t="str">
        <f t="shared" si="2"/>
        <v>rtdc.l.rtdc.4012:itc</v>
      </c>
      <c r="G81" s="8">
        <f t="shared" si="3"/>
        <v>42703.400648148148</v>
      </c>
    </row>
    <row r="82" spans="1:7" x14ac:dyDescent="0.25">
      <c r="A82" s="8">
        <v>42703.403055555558</v>
      </c>
      <c r="B82" s="21" t="s">
        <v>237</v>
      </c>
      <c r="C82" s="21" t="s">
        <v>625</v>
      </c>
      <c r="D82" s="21">
        <v>1090000</v>
      </c>
      <c r="E82" s="21" t="s">
        <v>358</v>
      </c>
      <c r="F82" s="21" t="str">
        <f t="shared" si="2"/>
        <v>rtdc.l.rtdc.4014:itc</v>
      </c>
      <c r="G82" s="8">
        <f t="shared" si="3"/>
        <v>42703.403055555558</v>
      </c>
    </row>
    <row r="83" spans="1:7" x14ac:dyDescent="0.25">
      <c r="A83" s="8">
        <v>42703.40996527778</v>
      </c>
      <c r="B83" s="21" t="s">
        <v>215</v>
      </c>
      <c r="C83" s="21" t="s">
        <v>626</v>
      </c>
      <c r="D83" s="21">
        <v>2630000</v>
      </c>
      <c r="E83" s="21" t="s">
        <v>266</v>
      </c>
      <c r="F83" s="21" t="str">
        <f t="shared" si="2"/>
        <v>rtdc.l.rtdc.4039:itc</v>
      </c>
      <c r="G83" s="8">
        <f t="shared" si="3"/>
        <v>42703.40996527778</v>
      </c>
    </row>
    <row r="84" spans="1:7" x14ac:dyDescent="0.25">
      <c r="A84" s="8">
        <v>42703.411851851852</v>
      </c>
      <c r="B84" s="21" t="s">
        <v>250</v>
      </c>
      <c r="C84" s="21" t="s">
        <v>627</v>
      </c>
      <c r="D84" s="21">
        <v>1990000</v>
      </c>
      <c r="E84" s="21" t="s">
        <v>254</v>
      </c>
      <c r="F84" s="21" t="str">
        <f t="shared" si="2"/>
        <v>rtdc.l.rtdc.4031:itc</v>
      </c>
      <c r="G84" s="8">
        <f t="shared" si="3"/>
        <v>42703.411851851852</v>
      </c>
    </row>
    <row r="85" spans="1:7" x14ac:dyDescent="0.25">
      <c r="A85" s="8">
        <v>42703.421493055554</v>
      </c>
      <c r="B85" s="21" t="s">
        <v>528</v>
      </c>
      <c r="C85" s="21" t="s">
        <v>628</v>
      </c>
      <c r="D85" s="21">
        <v>2610000</v>
      </c>
      <c r="E85" s="21" t="s">
        <v>222</v>
      </c>
      <c r="F85" s="21" t="str">
        <f t="shared" si="2"/>
        <v>rtdc.l.rtdc.4030:itc</v>
      </c>
      <c r="G85" s="8">
        <f t="shared" si="3"/>
        <v>42703.421493055554</v>
      </c>
    </row>
    <row r="86" spans="1:7" x14ac:dyDescent="0.25">
      <c r="A86" s="8">
        <v>42703.423657407409</v>
      </c>
      <c r="B86" s="21" t="s">
        <v>334</v>
      </c>
      <c r="C86" s="21" t="s">
        <v>543</v>
      </c>
      <c r="D86" s="21">
        <v>2620000</v>
      </c>
      <c r="E86" s="21" t="s">
        <v>357</v>
      </c>
      <c r="F86" s="21" t="str">
        <f t="shared" si="2"/>
        <v>rtdc.l.rtdc.4015:itc</v>
      </c>
      <c r="G86" s="8">
        <f t="shared" si="3"/>
        <v>42703.423657407409</v>
      </c>
    </row>
    <row r="87" spans="1:7" x14ac:dyDescent="0.25">
      <c r="A87" s="8">
        <v>42703.42454861111</v>
      </c>
      <c r="B87" s="21" t="s">
        <v>272</v>
      </c>
      <c r="C87" s="21" t="s">
        <v>629</v>
      </c>
      <c r="D87" s="21">
        <v>1100000</v>
      </c>
      <c r="E87" s="21" t="s">
        <v>576</v>
      </c>
      <c r="F87" s="21" t="str">
        <f t="shared" si="2"/>
        <v>rtdc.l.rtdc.4003:itc</v>
      </c>
      <c r="G87" s="8">
        <f t="shared" si="3"/>
        <v>42703.42454861111</v>
      </c>
    </row>
    <row r="88" spans="1:7" x14ac:dyDescent="0.25">
      <c r="A88" s="8">
        <v>42703.428726851853</v>
      </c>
      <c r="B88" s="21" t="s">
        <v>210</v>
      </c>
      <c r="C88" s="21" t="s">
        <v>630</v>
      </c>
      <c r="D88" s="21">
        <v>1300000</v>
      </c>
      <c r="E88" s="21" t="s">
        <v>113</v>
      </c>
      <c r="F88" s="21" t="str">
        <f t="shared" si="2"/>
        <v>rtdc.l.rtdc.4011:itc</v>
      </c>
      <c r="G88" s="8">
        <f t="shared" si="3"/>
        <v>42703.428726851853</v>
      </c>
    </row>
    <row r="89" spans="1:7" x14ac:dyDescent="0.25">
      <c r="A89" s="8">
        <v>42703.432893518519</v>
      </c>
      <c r="B89" s="21" t="s">
        <v>223</v>
      </c>
      <c r="C89" s="21" t="s">
        <v>631</v>
      </c>
      <c r="D89" s="21">
        <v>2090000</v>
      </c>
      <c r="E89" s="21" t="s">
        <v>360</v>
      </c>
      <c r="F89" s="21" t="str">
        <f t="shared" si="2"/>
        <v>rtdc.l.rtdc.4022:itc</v>
      </c>
      <c r="G89" s="8">
        <f t="shared" si="3"/>
        <v>42703.432893518519</v>
      </c>
    </row>
    <row r="90" spans="1:7" x14ac:dyDescent="0.25">
      <c r="A90" s="8">
        <v>42703.434988425928</v>
      </c>
      <c r="B90" s="21" t="s">
        <v>353</v>
      </c>
      <c r="C90" s="21" t="s">
        <v>544</v>
      </c>
      <c r="D90" s="21">
        <v>1280000</v>
      </c>
      <c r="E90" s="21" t="s">
        <v>317</v>
      </c>
      <c r="F90" s="21" t="str">
        <f t="shared" si="2"/>
        <v>rtdc.l.rtdc.4008:itc</v>
      </c>
      <c r="G90" s="8">
        <f t="shared" si="3"/>
        <v>42703.434988425928</v>
      </c>
    </row>
    <row r="91" spans="1:7" x14ac:dyDescent="0.25">
      <c r="A91" s="8">
        <v>42703.441793981481</v>
      </c>
      <c r="B91" s="21" t="s">
        <v>238</v>
      </c>
      <c r="C91" s="21" t="s">
        <v>549</v>
      </c>
      <c r="D91" s="21">
        <v>1090000</v>
      </c>
      <c r="E91" s="21" t="s">
        <v>358</v>
      </c>
      <c r="F91" s="21" t="str">
        <f t="shared" si="2"/>
        <v>rtdc.l.rtdc.4013:itc</v>
      </c>
      <c r="G91" s="8">
        <f t="shared" si="3"/>
        <v>42703.441793981481</v>
      </c>
    </row>
    <row r="92" spans="1:7" x14ac:dyDescent="0.25">
      <c r="A92" s="8">
        <v>42703.441874999997</v>
      </c>
      <c r="B92" s="21" t="s">
        <v>218</v>
      </c>
      <c r="C92" s="21" t="s">
        <v>545</v>
      </c>
      <c r="D92" s="21">
        <v>1300000</v>
      </c>
      <c r="E92" s="21" t="s">
        <v>113</v>
      </c>
      <c r="F92" s="21" t="str">
        <f t="shared" si="2"/>
        <v>rtdc.l.rtdc.4012:itc</v>
      </c>
      <c r="G92" s="8">
        <f t="shared" si="3"/>
        <v>42703.441874999997</v>
      </c>
    </row>
    <row r="93" spans="1:7" x14ac:dyDescent="0.25">
      <c r="A93" s="8">
        <v>42703.443310185183</v>
      </c>
      <c r="B93" s="21" t="s">
        <v>213</v>
      </c>
      <c r="C93" s="21" t="s">
        <v>632</v>
      </c>
      <c r="D93" s="21">
        <v>2630000</v>
      </c>
      <c r="E93" s="21" t="s">
        <v>266</v>
      </c>
      <c r="F93" s="21" t="str">
        <f t="shared" si="2"/>
        <v>rtdc.l.rtdc.4040:itc</v>
      </c>
      <c r="G93" s="8">
        <f t="shared" si="3"/>
        <v>42703.443310185183</v>
      </c>
    </row>
    <row r="94" spans="1:7" x14ac:dyDescent="0.25">
      <c r="A94" s="8">
        <v>42703.452523148146</v>
      </c>
      <c r="B94" s="21" t="s">
        <v>286</v>
      </c>
      <c r="C94" s="21" t="s">
        <v>546</v>
      </c>
      <c r="D94" s="21">
        <v>1990000</v>
      </c>
      <c r="E94" s="21" t="s">
        <v>254</v>
      </c>
      <c r="F94" s="21" t="str">
        <f t="shared" si="2"/>
        <v>rtdc.l.rtdc.4032:itc</v>
      </c>
      <c r="G94" s="8">
        <f t="shared" si="3"/>
        <v>42703.452523148146</v>
      </c>
    </row>
    <row r="95" spans="1:7" x14ac:dyDescent="0.25">
      <c r="A95" s="8">
        <v>42703.454664351855</v>
      </c>
      <c r="B95" s="21" t="s">
        <v>537</v>
      </c>
      <c r="C95" s="21" t="s">
        <v>633</v>
      </c>
      <c r="D95" s="21">
        <v>1280000</v>
      </c>
      <c r="E95" s="21" t="s">
        <v>317</v>
      </c>
      <c r="F95" s="21" t="str">
        <f t="shared" si="2"/>
        <v>rtdc.l.rtdc.4029:itc</v>
      </c>
      <c r="G95" s="8">
        <f t="shared" si="3"/>
        <v>42703.454664351855</v>
      </c>
    </row>
    <row r="96" spans="1:7" x14ac:dyDescent="0.25">
      <c r="A96" s="8">
        <v>42703.456655092596</v>
      </c>
      <c r="B96" s="21" t="s">
        <v>547</v>
      </c>
      <c r="C96" s="21" t="s">
        <v>548</v>
      </c>
      <c r="D96" s="21">
        <v>2600000</v>
      </c>
      <c r="E96" s="21" t="s">
        <v>265</v>
      </c>
      <c r="F96" s="21" t="str">
        <f t="shared" si="2"/>
        <v>rtdc.l.rtdc.4028:itc</v>
      </c>
      <c r="G96" s="8">
        <f t="shared" si="3"/>
        <v>42703.456655092596</v>
      </c>
    </row>
    <row r="97" spans="1:7" x14ac:dyDescent="0.25">
      <c r="A97" s="8">
        <v>42703.462129629632</v>
      </c>
      <c r="B97" s="21" t="s">
        <v>273</v>
      </c>
      <c r="C97" s="21" t="s">
        <v>634</v>
      </c>
      <c r="D97" s="21">
        <v>1100000</v>
      </c>
      <c r="E97" s="21" t="s">
        <v>576</v>
      </c>
      <c r="F97" s="21" t="str">
        <f t="shared" si="2"/>
        <v>rtdc.l.rtdc.4004:itc</v>
      </c>
      <c r="G97" s="8">
        <f t="shared" si="3"/>
        <v>42703.462129629632</v>
      </c>
    </row>
    <row r="98" spans="1:7" x14ac:dyDescent="0.25">
      <c r="A98" s="8">
        <v>42703.465185185189</v>
      </c>
      <c r="B98" s="21" t="s">
        <v>332</v>
      </c>
      <c r="C98" s="21" t="s">
        <v>551</v>
      </c>
      <c r="D98" s="21">
        <v>880000</v>
      </c>
      <c r="E98" s="21" t="s">
        <v>316</v>
      </c>
      <c r="F98" s="21" t="str">
        <f t="shared" si="2"/>
        <v>rtdc.l.rtdc.4016:itc</v>
      </c>
      <c r="G98" s="8">
        <f t="shared" si="3"/>
        <v>42703.465185185189</v>
      </c>
    </row>
    <row r="99" spans="1:7" x14ac:dyDescent="0.25">
      <c r="A99" s="8">
        <v>42703.465960648151</v>
      </c>
      <c r="B99" s="21" t="s">
        <v>354</v>
      </c>
      <c r="C99" s="21" t="s">
        <v>635</v>
      </c>
      <c r="D99" s="21">
        <v>1340000</v>
      </c>
      <c r="E99" s="21" t="s">
        <v>593</v>
      </c>
      <c r="F99" s="21" t="str">
        <f t="shared" si="2"/>
        <v>rtdc.l.rtdc.4007:itc</v>
      </c>
      <c r="G99" s="8">
        <f t="shared" si="3"/>
        <v>42703.465960648151</v>
      </c>
    </row>
    <row r="100" spans="1:7" x14ac:dyDescent="0.25">
      <c r="A100" s="8">
        <v>42703.47179398148</v>
      </c>
      <c r="B100" s="21" t="s">
        <v>210</v>
      </c>
      <c r="C100" s="21" t="s">
        <v>550</v>
      </c>
      <c r="D100" s="21">
        <v>1300000</v>
      </c>
      <c r="E100" s="21" t="s">
        <v>113</v>
      </c>
      <c r="F100" s="21" t="str">
        <f t="shared" si="2"/>
        <v>rtdc.l.rtdc.4011:itc</v>
      </c>
      <c r="G100" s="8">
        <f t="shared" si="3"/>
        <v>42703.47179398148</v>
      </c>
    </row>
    <row r="101" spans="1:7" x14ac:dyDescent="0.25">
      <c r="A101" s="8">
        <v>42703.474178240744</v>
      </c>
      <c r="B101" s="21" t="s">
        <v>567</v>
      </c>
      <c r="C101" s="21" t="s">
        <v>636</v>
      </c>
      <c r="D101" s="21">
        <v>2090000</v>
      </c>
      <c r="E101" s="21" t="s">
        <v>360</v>
      </c>
      <c r="F101" s="21" t="str">
        <f t="shared" si="2"/>
        <v>rtdc.l.rtdc.4021:itc</v>
      </c>
      <c r="G101" s="8">
        <f t="shared" si="3"/>
        <v>42703.474178240744</v>
      </c>
    </row>
    <row r="102" spans="1:7" x14ac:dyDescent="0.25">
      <c r="A102" s="8">
        <v>42703.475243055553</v>
      </c>
      <c r="B102" s="21" t="s">
        <v>215</v>
      </c>
      <c r="C102" s="21" t="s">
        <v>552</v>
      </c>
      <c r="D102" s="21">
        <v>2630000</v>
      </c>
      <c r="E102" s="21" t="s">
        <v>266</v>
      </c>
      <c r="F102" s="21" t="str">
        <f t="shared" si="2"/>
        <v>rtdc.l.rtdc.4039:itc</v>
      </c>
      <c r="G102" s="8">
        <f t="shared" si="3"/>
        <v>42703.475243055553</v>
      </c>
    </row>
    <row r="103" spans="1:7" x14ac:dyDescent="0.25">
      <c r="A103" s="8">
        <v>42703.475428240738</v>
      </c>
      <c r="B103" s="21" t="s">
        <v>237</v>
      </c>
      <c r="C103" s="21" t="s">
        <v>637</v>
      </c>
      <c r="D103" s="21">
        <v>2600000</v>
      </c>
      <c r="E103" s="21" t="s">
        <v>265</v>
      </c>
      <c r="F103" s="21" t="str">
        <f t="shared" si="2"/>
        <v>rtdc.l.rtdc.4014:itc</v>
      </c>
      <c r="G103" s="8">
        <f t="shared" si="3"/>
        <v>42703.475428240738</v>
      </c>
    </row>
    <row r="104" spans="1:7" x14ac:dyDescent="0.25">
      <c r="A104" s="8">
        <v>42703.484236111108</v>
      </c>
      <c r="B104" s="21" t="s">
        <v>553</v>
      </c>
      <c r="C104" s="21" t="s">
        <v>554</v>
      </c>
      <c r="D104" s="21">
        <v>1090000</v>
      </c>
      <c r="E104" s="21" t="s">
        <v>358</v>
      </c>
      <c r="F104" s="21" t="str">
        <f t="shared" si="2"/>
        <v>rtdc.l.rtdc.4027:itc</v>
      </c>
      <c r="G104" s="8">
        <f t="shared" si="3"/>
        <v>42703.484236111108</v>
      </c>
    </row>
    <row r="105" spans="1:7" x14ac:dyDescent="0.25">
      <c r="A105" s="8">
        <v>42703.484270833331</v>
      </c>
      <c r="B105" s="21" t="s">
        <v>218</v>
      </c>
      <c r="C105" s="21" t="s">
        <v>638</v>
      </c>
      <c r="D105" s="21">
        <v>1300000</v>
      </c>
      <c r="E105" s="21" t="s">
        <v>113</v>
      </c>
      <c r="F105" s="21" t="str">
        <f t="shared" si="2"/>
        <v>rtdc.l.rtdc.4012:itc</v>
      </c>
      <c r="G105" s="8">
        <f t="shared" si="3"/>
        <v>42703.484270833331</v>
      </c>
    </row>
    <row r="106" spans="1:7" x14ac:dyDescent="0.25">
      <c r="A106" s="8">
        <v>42703.486516203702</v>
      </c>
      <c r="B106" s="21" t="s">
        <v>250</v>
      </c>
      <c r="C106" s="21" t="s">
        <v>639</v>
      </c>
      <c r="D106" s="21">
        <v>940000</v>
      </c>
      <c r="E106" s="21" t="s">
        <v>362</v>
      </c>
      <c r="F106" s="21" t="str">
        <f t="shared" si="2"/>
        <v>rtdc.l.rtdc.4031:itc</v>
      </c>
      <c r="G106" s="8">
        <f t="shared" si="3"/>
        <v>42703.486516203702</v>
      </c>
    </row>
    <row r="107" spans="1:7" x14ac:dyDescent="0.25">
      <c r="A107" s="8">
        <v>42703.487870370373</v>
      </c>
      <c r="B107" s="21" t="s">
        <v>528</v>
      </c>
      <c r="C107" s="21" t="s">
        <v>640</v>
      </c>
      <c r="D107" s="21">
        <v>1280000</v>
      </c>
      <c r="E107" s="21" t="s">
        <v>317</v>
      </c>
      <c r="F107" s="21" t="str">
        <f t="shared" si="2"/>
        <v>rtdc.l.rtdc.4030:itc</v>
      </c>
      <c r="G107" s="8">
        <f t="shared" si="3"/>
        <v>42703.487870370373</v>
      </c>
    </row>
    <row r="108" spans="1:7" x14ac:dyDescent="0.25">
      <c r="A108" s="8">
        <v>42703.495081018518</v>
      </c>
      <c r="B108" s="21" t="s">
        <v>272</v>
      </c>
      <c r="C108" s="21" t="s">
        <v>641</v>
      </c>
      <c r="D108" s="21">
        <v>2280000</v>
      </c>
      <c r="E108" s="21" t="s">
        <v>642</v>
      </c>
      <c r="F108" s="21" t="str">
        <f t="shared" si="2"/>
        <v>rtdc.l.rtdc.4003:itc</v>
      </c>
      <c r="G108" s="8">
        <f t="shared" si="3"/>
        <v>42703.495081018518</v>
      </c>
    </row>
    <row r="109" spans="1:7" x14ac:dyDescent="0.25">
      <c r="A109" s="8">
        <v>42703.506388888891</v>
      </c>
      <c r="B109" s="21" t="s">
        <v>334</v>
      </c>
      <c r="C109" s="21" t="s">
        <v>643</v>
      </c>
      <c r="D109" s="21">
        <v>880000</v>
      </c>
      <c r="E109" s="21" t="s">
        <v>316</v>
      </c>
      <c r="F109" s="21" t="str">
        <f t="shared" si="2"/>
        <v>rtdc.l.rtdc.4015:itc</v>
      </c>
      <c r="G109" s="8">
        <f t="shared" si="3"/>
        <v>42703.506388888891</v>
      </c>
    </row>
    <row r="110" spans="1:7" x14ac:dyDescent="0.25">
      <c r="A110" s="8">
        <v>42703.506469907406</v>
      </c>
      <c r="B110" s="21" t="s">
        <v>223</v>
      </c>
      <c r="C110" s="21" t="s">
        <v>644</v>
      </c>
      <c r="D110" s="21">
        <v>930000</v>
      </c>
      <c r="E110" s="21" t="s">
        <v>315</v>
      </c>
      <c r="F110" s="21" t="str">
        <f t="shared" si="2"/>
        <v>rtdc.l.rtdc.4022:itc</v>
      </c>
      <c r="G110" s="8">
        <f t="shared" si="3"/>
        <v>42703.506469907406</v>
      </c>
    </row>
    <row r="111" spans="1:7" x14ac:dyDescent="0.25">
      <c r="A111" s="8">
        <v>42703.509976851848</v>
      </c>
      <c r="B111" s="21" t="s">
        <v>210</v>
      </c>
      <c r="C111" s="21" t="s">
        <v>555</v>
      </c>
      <c r="D111" s="21">
        <v>1300000</v>
      </c>
      <c r="E111" s="21" t="s">
        <v>113</v>
      </c>
      <c r="F111" s="21" t="str">
        <f t="shared" si="2"/>
        <v>rtdc.l.rtdc.4011:itc</v>
      </c>
      <c r="G111" s="8">
        <f t="shared" si="3"/>
        <v>42703.509976851848</v>
      </c>
    </row>
    <row r="112" spans="1:7" x14ac:dyDescent="0.25">
      <c r="A112" s="8">
        <v>42703.510011574072</v>
      </c>
      <c r="B112" s="21" t="s">
        <v>238</v>
      </c>
      <c r="C112" s="21" t="s">
        <v>645</v>
      </c>
      <c r="D112" s="21">
        <v>2600000</v>
      </c>
      <c r="E112" s="21" t="s">
        <v>265</v>
      </c>
      <c r="F112" s="21" t="str">
        <f t="shared" si="2"/>
        <v>rtdc.l.rtdc.4013:itc</v>
      </c>
      <c r="G112" s="8">
        <f t="shared" si="3"/>
        <v>42703.510011574072</v>
      </c>
    </row>
    <row r="113" spans="1:7" x14ac:dyDescent="0.25">
      <c r="A113" s="8">
        <v>42703.51834490741</v>
      </c>
      <c r="B113" s="21" t="s">
        <v>213</v>
      </c>
      <c r="C113" s="21" t="s">
        <v>646</v>
      </c>
      <c r="D113" s="21">
        <v>1740000</v>
      </c>
      <c r="E113" s="21" t="s">
        <v>647</v>
      </c>
      <c r="F113" s="21" t="str">
        <f t="shared" si="2"/>
        <v>rtdc.l.rtdc.4040:itc</v>
      </c>
      <c r="G113" s="8">
        <f t="shared" si="3"/>
        <v>42703.51834490741</v>
      </c>
    </row>
    <row r="114" spans="1:7" x14ac:dyDescent="0.25">
      <c r="A114" s="8">
        <v>42703.522407407407</v>
      </c>
      <c r="B114" s="21" t="s">
        <v>286</v>
      </c>
      <c r="C114" s="21" t="s">
        <v>556</v>
      </c>
      <c r="D114" s="21">
        <v>940000</v>
      </c>
      <c r="E114" s="21" t="s">
        <v>362</v>
      </c>
      <c r="F114" s="21" t="str">
        <f t="shared" si="2"/>
        <v>rtdc.l.rtdc.4032:itc</v>
      </c>
      <c r="G114" s="8">
        <f t="shared" si="3"/>
        <v>42703.522407407407</v>
      </c>
    </row>
    <row r="115" spans="1:7" x14ac:dyDescent="0.25">
      <c r="A115" s="8">
        <v>42703.52542824074</v>
      </c>
      <c r="B115" s="21" t="s">
        <v>218</v>
      </c>
      <c r="C115" s="21" t="s">
        <v>648</v>
      </c>
      <c r="D115" s="21">
        <v>1300000</v>
      </c>
      <c r="E115" s="21" t="s">
        <v>113</v>
      </c>
      <c r="F115" s="21" t="str">
        <f t="shared" si="2"/>
        <v>rtdc.l.rtdc.4012:itc</v>
      </c>
      <c r="G115" s="8">
        <f t="shared" si="3"/>
        <v>42703.52542824074</v>
      </c>
    </row>
    <row r="116" spans="1:7" x14ac:dyDescent="0.25">
      <c r="A116" s="8">
        <v>42703.526365740741</v>
      </c>
      <c r="B116" s="21" t="s">
        <v>537</v>
      </c>
      <c r="C116" s="21" t="s">
        <v>649</v>
      </c>
      <c r="D116" s="21">
        <v>1280000</v>
      </c>
      <c r="E116" s="21" t="s">
        <v>317</v>
      </c>
      <c r="F116" s="21" t="str">
        <f t="shared" si="2"/>
        <v>rtdc.l.rtdc.4029:itc</v>
      </c>
      <c r="G116" s="8">
        <f t="shared" si="3"/>
        <v>42703.526365740741</v>
      </c>
    </row>
    <row r="117" spans="1:7" x14ac:dyDescent="0.25">
      <c r="A117" s="8">
        <v>42703.536423611113</v>
      </c>
      <c r="B117" s="21" t="s">
        <v>273</v>
      </c>
      <c r="C117" s="21" t="s">
        <v>650</v>
      </c>
      <c r="D117" s="21">
        <v>2280000</v>
      </c>
      <c r="E117" s="21" t="s">
        <v>642</v>
      </c>
      <c r="F117" s="21" t="str">
        <f t="shared" si="2"/>
        <v>rtdc.l.rtdc.4004:itc</v>
      </c>
      <c r="G117" s="8">
        <f t="shared" si="3"/>
        <v>42703.536423611113</v>
      </c>
    </row>
    <row r="118" spans="1:7" x14ac:dyDescent="0.25">
      <c r="A118" s="8">
        <v>42703.537361111114</v>
      </c>
      <c r="B118" s="21" t="s">
        <v>332</v>
      </c>
      <c r="C118" s="21" t="s">
        <v>557</v>
      </c>
      <c r="D118" s="21">
        <v>880000</v>
      </c>
      <c r="E118" s="21" t="s">
        <v>316</v>
      </c>
      <c r="F118" s="21" t="str">
        <f t="shared" si="2"/>
        <v>rtdc.l.rtdc.4016:itc</v>
      </c>
      <c r="G118" s="8">
        <f t="shared" si="3"/>
        <v>42703.537361111114</v>
      </c>
    </row>
    <row r="119" spans="1:7" x14ac:dyDescent="0.25">
      <c r="A119" s="8">
        <v>42703.546342592592</v>
      </c>
      <c r="B119" s="21" t="s">
        <v>567</v>
      </c>
      <c r="C119" s="21" t="s">
        <v>651</v>
      </c>
      <c r="D119" s="21">
        <v>930000</v>
      </c>
      <c r="E119" s="21" t="s">
        <v>315</v>
      </c>
      <c r="F119" s="21" t="str">
        <f t="shared" si="2"/>
        <v>rtdc.l.rtdc.4021:itc</v>
      </c>
      <c r="G119" s="8">
        <f t="shared" si="3"/>
        <v>42703.546342592592</v>
      </c>
    </row>
    <row r="120" spans="1:7" x14ac:dyDescent="0.25">
      <c r="A120" s="8">
        <v>42703.548645833333</v>
      </c>
      <c r="B120" s="21" t="s">
        <v>210</v>
      </c>
      <c r="C120" s="21" t="s">
        <v>652</v>
      </c>
      <c r="D120" s="21">
        <v>920000</v>
      </c>
      <c r="E120" s="21" t="s">
        <v>254</v>
      </c>
      <c r="F120" s="21" t="str">
        <f t="shared" si="2"/>
        <v>rtdc.l.rtdc.4011:itc</v>
      </c>
      <c r="G120" s="8">
        <f t="shared" si="3"/>
        <v>42703.548645833333</v>
      </c>
    </row>
    <row r="121" spans="1:7" x14ac:dyDescent="0.25">
      <c r="A121" s="8">
        <v>42703.548946759256</v>
      </c>
      <c r="B121" s="21" t="s">
        <v>237</v>
      </c>
      <c r="C121" s="21" t="s">
        <v>653</v>
      </c>
      <c r="D121" s="21">
        <v>2600000</v>
      </c>
      <c r="E121" s="21" t="s">
        <v>265</v>
      </c>
      <c r="F121" s="21" t="str">
        <f t="shared" si="2"/>
        <v>rtdc.l.rtdc.4014:itc</v>
      </c>
      <c r="G121" s="8">
        <f t="shared" si="3"/>
        <v>42703.548946759256</v>
      </c>
    </row>
    <row r="122" spans="1:7" x14ac:dyDescent="0.25">
      <c r="A122" s="8">
        <v>42703.55541666667</v>
      </c>
      <c r="B122" s="26" t="s">
        <v>215</v>
      </c>
      <c r="C122" s="21" t="s">
        <v>654</v>
      </c>
      <c r="D122" s="21">
        <v>1740000</v>
      </c>
      <c r="E122" s="21" t="s">
        <v>647</v>
      </c>
      <c r="F122" s="21" t="str">
        <f t="shared" si="2"/>
        <v>rtdc.l.rtdc.4039:itc</v>
      </c>
      <c r="G122" s="8">
        <f t="shared" si="3"/>
        <v>42703.55541666667</v>
      </c>
    </row>
    <row r="123" spans="1:7" x14ac:dyDescent="0.25">
      <c r="A123" s="8">
        <v>42703.556435185186</v>
      </c>
      <c r="B123" s="21" t="s">
        <v>250</v>
      </c>
      <c r="C123" s="21" t="s">
        <v>655</v>
      </c>
      <c r="D123" s="21">
        <v>940000</v>
      </c>
      <c r="E123" s="21" t="s">
        <v>362</v>
      </c>
      <c r="F123" s="21" t="str">
        <f t="shared" si="2"/>
        <v>rtdc.l.rtdc.4031:itc</v>
      </c>
      <c r="G123" s="8">
        <f t="shared" si="3"/>
        <v>42703.556435185186</v>
      </c>
    </row>
    <row r="124" spans="1:7" x14ac:dyDescent="0.25">
      <c r="A124" s="8">
        <v>42703.560347222221</v>
      </c>
      <c r="B124" s="21" t="s">
        <v>528</v>
      </c>
      <c r="C124" s="21" t="s">
        <v>656</v>
      </c>
      <c r="D124" s="21">
        <v>1280000</v>
      </c>
      <c r="E124" s="21" t="s">
        <v>317</v>
      </c>
      <c r="F124" s="21" t="str">
        <f t="shared" si="2"/>
        <v>rtdc.l.rtdc.4030:itc</v>
      </c>
      <c r="G124" s="8">
        <f t="shared" si="3"/>
        <v>42703.560347222221</v>
      </c>
    </row>
    <row r="125" spans="1:7" x14ac:dyDescent="0.25">
      <c r="A125" s="8">
        <v>42703.568194444444</v>
      </c>
      <c r="B125" s="21" t="s">
        <v>218</v>
      </c>
      <c r="C125" s="21" t="s">
        <v>657</v>
      </c>
      <c r="D125" s="21">
        <v>920000</v>
      </c>
      <c r="E125" s="21" t="s">
        <v>254</v>
      </c>
      <c r="F125" s="21" t="str">
        <f t="shared" si="2"/>
        <v>rtdc.l.rtdc.4012:itc</v>
      </c>
      <c r="G125" s="8">
        <f t="shared" si="3"/>
        <v>42703.568194444444</v>
      </c>
    </row>
    <row r="126" spans="1:7" x14ac:dyDescent="0.25">
      <c r="A126" s="8">
        <v>42703.568993055553</v>
      </c>
      <c r="B126" s="21" t="s">
        <v>272</v>
      </c>
      <c r="C126" s="21" t="s">
        <v>658</v>
      </c>
      <c r="D126" s="21">
        <v>2280000</v>
      </c>
      <c r="E126" s="21" t="s">
        <v>642</v>
      </c>
      <c r="F126" s="21" t="str">
        <f t="shared" si="2"/>
        <v>rtdc.l.rtdc.4003:itc</v>
      </c>
      <c r="G126" s="8">
        <f t="shared" si="3"/>
        <v>42703.568993055553</v>
      </c>
    </row>
    <row r="127" spans="1:7" x14ac:dyDescent="0.25">
      <c r="A127" s="8">
        <v>42703.578657407408</v>
      </c>
      <c r="B127" s="21" t="s">
        <v>334</v>
      </c>
      <c r="C127" s="21" t="s">
        <v>659</v>
      </c>
      <c r="D127" s="21">
        <v>880000</v>
      </c>
      <c r="E127" s="21" t="s">
        <v>316</v>
      </c>
      <c r="F127" s="21" t="str">
        <f t="shared" si="2"/>
        <v>rtdc.l.rtdc.4015:itc</v>
      </c>
      <c r="G127" s="8">
        <f t="shared" si="3"/>
        <v>42703.578657407408</v>
      </c>
    </row>
    <row r="128" spans="1:7" x14ac:dyDescent="0.25">
      <c r="A128" s="8">
        <v>42703.579039351855</v>
      </c>
      <c r="B128" s="21" t="s">
        <v>223</v>
      </c>
      <c r="C128" s="21" t="s">
        <v>660</v>
      </c>
      <c r="D128" s="21">
        <v>930000</v>
      </c>
      <c r="E128" s="21" t="s">
        <v>315</v>
      </c>
      <c r="F128" s="21" t="str">
        <f t="shared" si="2"/>
        <v>rtdc.l.rtdc.4022:itc</v>
      </c>
      <c r="G128" s="8">
        <f t="shared" si="3"/>
        <v>42703.579039351855</v>
      </c>
    </row>
    <row r="129" spans="1:7" x14ac:dyDescent="0.25">
      <c r="A129" s="8">
        <v>42703.583287037036</v>
      </c>
      <c r="B129" s="21" t="s">
        <v>238</v>
      </c>
      <c r="C129" s="21" t="s">
        <v>661</v>
      </c>
      <c r="D129" s="21">
        <v>2600000</v>
      </c>
      <c r="E129" s="21" t="s">
        <v>265</v>
      </c>
      <c r="F129" s="21" t="str">
        <f t="shared" si="2"/>
        <v>rtdc.l.rtdc.4013:itc</v>
      </c>
      <c r="G129" s="8">
        <f t="shared" si="3"/>
        <v>42703.583287037036</v>
      </c>
    </row>
    <row r="130" spans="1:7" x14ac:dyDescent="0.25">
      <c r="A130" s="8">
        <v>42703.590208333335</v>
      </c>
      <c r="B130" s="21" t="s">
        <v>286</v>
      </c>
      <c r="C130" s="21" t="s">
        <v>558</v>
      </c>
      <c r="D130" s="21">
        <v>940000</v>
      </c>
      <c r="E130" s="21" t="s">
        <v>362</v>
      </c>
      <c r="F130" s="21" t="str">
        <f t="shared" ref="F130:F193" si="4">B130</f>
        <v>rtdc.l.rtdc.4032:itc</v>
      </c>
      <c r="G130" s="8">
        <f t="shared" ref="G130:G193" si="5">A130</f>
        <v>42703.590208333335</v>
      </c>
    </row>
    <row r="131" spans="1:7" x14ac:dyDescent="0.25">
      <c r="A131" s="8">
        <v>42703.590949074074</v>
      </c>
      <c r="B131" s="21" t="s">
        <v>213</v>
      </c>
      <c r="C131" s="21" t="s">
        <v>662</v>
      </c>
      <c r="D131" s="21">
        <v>1740000</v>
      </c>
      <c r="E131" s="21" t="s">
        <v>647</v>
      </c>
      <c r="F131" s="21" t="str">
        <f t="shared" si="4"/>
        <v>rtdc.l.rtdc.4040:itc</v>
      </c>
      <c r="G131" s="8">
        <f t="shared" si="5"/>
        <v>42703.590949074074</v>
      </c>
    </row>
    <row r="132" spans="1:7" x14ac:dyDescent="0.25">
      <c r="A132" s="8">
        <v>42703.594837962963</v>
      </c>
      <c r="B132" s="21" t="s">
        <v>210</v>
      </c>
      <c r="C132" s="21" t="s">
        <v>663</v>
      </c>
      <c r="D132" s="21">
        <v>920000</v>
      </c>
      <c r="E132" s="21" t="s">
        <v>254</v>
      </c>
      <c r="F132" s="21" t="str">
        <f t="shared" si="4"/>
        <v>rtdc.l.rtdc.4011:itc</v>
      </c>
      <c r="G132" s="8">
        <f t="shared" si="5"/>
        <v>42703.594837962963</v>
      </c>
    </row>
    <row r="133" spans="1:7" x14ac:dyDescent="0.25">
      <c r="A133" s="8">
        <v>42703.599733796298</v>
      </c>
      <c r="B133" s="21" t="s">
        <v>537</v>
      </c>
      <c r="C133" s="21" t="s">
        <v>664</v>
      </c>
      <c r="D133" s="21">
        <v>1280000</v>
      </c>
      <c r="E133" s="21" t="s">
        <v>317</v>
      </c>
      <c r="F133" s="21" t="str">
        <f t="shared" si="4"/>
        <v>rtdc.l.rtdc.4029:itc</v>
      </c>
      <c r="G133" s="8">
        <f t="shared" si="5"/>
        <v>42703.599733796298</v>
      </c>
    </row>
    <row r="134" spans="1:7" x14ac:dyDescent="0.25">
      <c r="A134" s="8">
        <v>42703.607789351852</v>
      </c>
      <c r="B134" s="21" t="s">
        <v>273</v>
      </c>
      <c r="C134" s="21" t="s">
        <v>665</v>
      </c>
      <c r="D134" s="21">
        <v>2280000</v>
      </c>
      <c r="E134" s="21" t="s">
        <v>642</v>
      </c>
      <c r="F134" s="21" t="str">
        <f t="shared" si="4"/>
        <v>rtdc.l.rtdc.4004:itc</v>
      </c>
      <c r="G134" s="8">
        <f t="shared" si="5"/>
        <v>42703.607789351852</v>
      </c>
    </row>
    <row r="135" spans="1:7" x14ac:dyDescent="0.25">
      <c r="A135" s="8">
        <v>42703.609791666669</v>
      </c>
      <c r="B135" s="21" t="s">
        <v>332</v>
      </c>
      <c r="C135" s="21" t="s">
        <v>666</v>
      </c>
      <c r="D135" s="21">
        <v>880000</v>
      </c>
      <c r="E135" s="21" t="s">
        <v>316</v>
      </c>
      <c r="F135" s="21" t="str">
        <f t="shared" si="4"/>
        <v>rtdc.l.rtdc.4016:itc</v>
      </c>
      <c r="G135" s="8">
        <f t="shared" si="5"/>
        <v>42703.609791666669</v>
      </c>
    </row>
    <row r="136" spans="1:7" x14ac:dyDescent="0.25">
      <c r="A136" s="8">
        <v>42703.610717592594</v>
      </c>
      <c r="B136" s="21" t="s">
        <v>218</v>
      </c>
      <c r="C136" s="21" t="s">
        <v>667</v>
      </c>
      <c r="D136" s="21">
        <v>920000</v>
      </c>
      <c r="E136" s="21" t="s">
        <v>254</v>
      </c>
      <c r="F136" s="21" t="str">
        <f t="shared" si="4"/>
        <v>rtdc.l.rtdc.4012:itc</v>
      </c>
      <c r="G136" s="8">
        <f t="shared" si="5"/>
        <v>42703.610717592594</v>
      </c>
    </row>
    <row r="137" spans="1:7" x14ac:dyDescent="0.25">
      <c r="A137" s="8">
        <v>42703.618923611109</v>
      </c>
      <c r="B137" s="21" t="s">
        <v>567</v>
      </c>
      <c r="C137" s="21" t="s">
        <v>668</v>
      </c>
      <c r="D137" s="21">
        <v>930000</v>
      </c>
      <c r="E137" s="21" t="s">
        <v>315</v>
      </c>
      <c r="F137" s="21" t="str">
        <f t="shared" si="4"/>
        <v>rtdc.l.rtdc.4021:itc</v>
      </c>
      <c r="G137" s="8">
        <f t="shared" si="5"/>
        <v>42703.618923611109</v>
      </c>
    </row>
    <row r="138" spans="1:7" x14ac:dyDescent="0.25">
      <c r="A138" s="8">
        <v>42703.620798611111</v>
      </c>
      <c r="B138" s="21" t="s">
        <v>237</v>
      </c>
      <c r="C138" s="21" t="s">
        <v>669</v>
      </c>
      <c r="D138" s="21">
        <v>2600000</v>
      </c>
      <c r="E138" s="21" t="s">
        <v>265</v>
      </c>
      <c r="F138" s="21" t="str">
        <f t="shared" si="4"/>
        <v>rtdc.l.rtdc.4014:itc</v>
      </c>
      <c r="G138" s="8">
        <f t="shared" si="5"/>
        <v>42703.620798611111</v>
      </c>
    </row>
    <row r="139" spans="1:7" x14ac:dyDescent="0.25">
      <c r="A139" s="8">
        <v>42703.627511574072</v>
      </c>
      <c r="B139" s="21" t="s">
        <v>215</v>
      </c>
      <c r="C139" s="21" t="s">
        <v>670</v>
      </c>
      <c r="D139" s="21">
        <v>1740000</v>
      </c>
      <c r="E139" s="21" t="s">
        <v>647</v>
      </c>
      <c r="F139" s="21" t="str">
        <f t="shared" si="4"/>
        <v>rtdc.l.rtdc.4039:itc</v>
      </c>
      <c r="G139" s="8">
        <f t="shared" si="5"/>
        <v>42703.627511574072</v>
      </c>
    </row>
    <row r="140" spans="1:7" x14ac:dyDescent="0.25">
      <c r="A140" s="8">
        <v>42703.630590277775</v>
      </c>
      <c r="B140" s="21" t="s">
        <v>250</v>
      </c>
      <c r="C140" s="21" t="s">
        <v>671</v>
      </c>
      <c r="D140" s="21">
        <v>940000</v>
      </c>
      <c r="E140" s="21" t="s">
        <v>362</v>
      </c>
      <c r="F140" s="21" t="str">
        <f t="shared" si="4"/>
        <v>rtdc.l.rtdc.4031:itc</v>
      </c>
      <c r="G140" s="8">
        <f t="shared" si="5"/>
        <v>42703.630590277775</v>
      </c>
    </row>
    <row r="141" spans="1:7" x14ac:dyDescent="0.25">
      <c r="A141" s="8">
        <v>42703.635462962964</v>
      </c>
      <c r="B141" s="21" t="s">
        <v>210</v>
      </c>
      <c r="C141" s="21" t="s">
        <v>559</v>
      </c>
      <c r="D141" s="21">
        <v>920000</v>
      </c>
      <c r="E141" s="21" t="s">
        <v>254</v>
      </c>
      <c r="F141" s="21" t="str">
        <f t="shared" si="4"/>
        <v>rtdc.l.rtdc.4011:itc</v>
      </c>
      <c r="G141" s="8">
        <f t="shared" si="5"/>
        <v>42703.635462962964</v>
      </c>
    </row>
    <row r="142" spans="1:7" x14ac:dyDescent="0.25">
      <c r="A142" s="8">
        <v>42703.63857638889</v>
      </c>
      <c r="B142" s="21" t="s">
        <v>528</v>
      </c>
      <c r="C142" s="21" t="s">
        <v>672</v>
      </c>
      <c r="D142" s="21">
        <v>1280000</v>
      </c>
      <c r="E142" s="21" t="s">
        <v>317</v>
      </c>
      <c r="F142" s="21" t="str">
        <f t="shared" si="4"/>
        <v>rtdc.l.rtdc.4030:itc</v>
      </c>
      <c r="G142" s="8">
        <f t="shared" si="5"/>
        <v>42703.63857638889</v>
      </c>
    </row>
    <row r="143" spans="1:7" x14ac:dyDescent="0.25">
      <c r="A143" s="8">
        <v>42703.641273148147</v>
      </c>
      <c r="B143" s="21" t="s">
        <v>272</v>
      </c>
      <c r="C143" s="21" t="s">
        <v>673</v>
      </c>
      <c r="D143" s="21">
        <v>2280000</v>
      </c>
      <c r="E143" s="21" t="s">
        <v>642</v>
      </c>
      <c r="F143" s="21" t="str">
        <f t="shared" si="4"/>
        <v>rtdc.l.rtdc.4003:itc</v>
      </c>
      <c r="G143" s="8">
        <f t="shared" si="5"/>
        <v>42703.641273148147</v>
      </c>
    </row>
    <row r="144" spans="1:7" x14ac:dyDescent="0.25">
      <c r="A144" s="8">
        <v>42703.641793981478</v>
      </c>
      <c r="B144" s="21" t="s">
        <v>264</v>
      </c>
      <c r="C144" s="21" t="s">
        <v>674</v>
      </c>
      <c r="D144" s="21">
        <v>2000000</v>
      </c>
      <c r="E144" s="21" t="s">
        <v>217</v>
      </c>
      <c r="F144" s="21" t="str">
        <f t="shared" si="4"/>
        <v>rtdc.l.rtdc.4041:itc</v>
      </c>
      <c r="G144" s="8">
        <f t="shared" si="5"/>
        <v>42703.641793981478</v>
      </c>
    </row>
    <row r="145" spans="1:7" x14ac:dyDescent="0.25">
      <c r="A145" s="8">
        <v>42703.650902777779</v>
      </c>
      <c r="B145" s="21" t="s">
        <v>334</v>
      </c>
      <c r="C145" s="21" t="s">
        <v>675</v>
      </c>
      <c r="D145" s="21">
        <v>880000</v>
      </c>
      <c r="E145" s="21" t="s">
        <v>316</v>
      </c>
      <c r="F145" s="21" t="str">
        <f t="shared" si="4"/>
        <v>rtdc.l.rtdc.4015:itc</v>
      </c>
      <c r="G145" s="8">
        <f t="shared" si="5"/>
        <v>42703.650902777779</v>
      </c>
    </row>
    <row r="146" spans="1:7" x14ac:dyDescent="0.25">
      <c r="A146" s="8">
        <v>42703.652303240742</v>
      </c>
      <c r="B146" s="21" t="s">
        <v>223</v>
      </c>
      <c r="C146" s="21" t="s">
        <v>676</v>
      </c>
      <c r="D146" s="21">
        <v>930000</v>
      </c>
      <c r="E146" s="21" t="s">
        <v>315</v>
      </c>
      <c r="F146" s="21" t="str">
        <f t="shared" si="4"/>
        <v>rtdc.l.rtdc.4022:itc</v>
      </c>
      <c r="G146" s="8">
        <f t="shared" si="5"/>
        <v>42703.652303240742</v>
      </c>
    </row>
    <row r="147" spans="1:7" x14ac:dyDescent="0.25">
      <c r="A147" s="8">
        <v>42703.652465277781</v>
      </c>
      <c r="B147" s="21" t="s">
        <v>218</v>
      </c>
      <c r="C147" s="21" t="s">
        <v>677</v>
      </c>
      <c r="D147" s="21">
        <v>920000</v>
      </c>
      <c r="E147" s="21" t="s">
        <v>254</v>
      </c>
      <c r="F147" s="21" t="str">
        <f t="shared" si="4"/>
        <v>rtdc.l.rtdc.4012:itc</v>
      </c>
      <c r="G147" s="8">
        <f t="shared" si="5"/>
        <v>42703.652465277781</v>
      </c>
    </row>
    <row r="148" spans="1:7" x14ac:dyDescent="0.25">
      <c r="A148" s="8">
        <v>42703.654120370367</v>
      </c>
      <c r="B148" s="21" t="s">
        <v>263</v>
      </c>
      <c r="C148" s="21" t="s">
        <v>678</v>
      </c>
      <c r="D148" s="21">
        <v>2000000</v>
      </c>
      <c r="E148" s="21" t="s">
        <v>217</v>
      </c>
      <c r="F148" s="21" t="str">
        <f t="shared" si="4"/>
        <v>rtdc.l.rtdc.4042:itc</v>
      </c>
      <c r="G148" s="8">
        <f t="shared" si="5"/>
        <v>42703.654120370367</v>
      </c>
    </row>
    <row r="149" spans="1:7" x14ac:dyDescent="0.25">
      <c r="A149" s="8">
        <v>42703.655173611114</v>
      </c>
      <c r="B149" s="21" t="s">
        <v>238</v>
      </c>
      <c r="C149" s="21" t="s">
        <v>679</v>
      </c>
      <c r="D149" s="21">
        <v>2600000</v>
      </c>
      <c r="E149" s="21" t="s">
        <v>265</v>
      </c>
      <c r="F149" s="21" t="str">
        <f t="shared" si="4"/>
        <v>rtdc.l.rtdc.4013:itc</v>
      </c>
      <c r="G149" s="8">
        <f t="shared" si="5"/>
        <v>42703.655173611114</v>
      </c>
    </row>
    <row r="150" spans="1:7" x14ac:dyDescent="0.25">
      <c r="A150" s="8">
        <v>42703.662002314813</v>
      </c>
      <c r="B150" s="21" t="s">
        <v>213</v>
      </c>
      <c r="C150" s="21" t="s">
        <v>680</v>
      </c>
      <c r="D150" s="21">
        <v>1740000</v>
      </c>
      <c r="E150" s="21" t="s">
        <v>647</v>
      </c>
      <c r="F150" s="21" t="str">
        <f t="shared" si="4"/>
        <v>rtdc.l.rtdc.4040:itc</v>
      </c>
      <c r="G150" s="8">
        <f t="shared" si="5"/>
        <v>42703.662002314813</v>
      </c>
    </row>
    <row r="151" spans="1:7" x14ac:dyDescent="0.25">
      <c r="A151" s="8">
        <v>42703.662418981483</v>
      </c>
      <c r="B151" s="21" t="s">
        <v>286</v>
      </c>
      <c r="C151" s="21" t="s">
        <v>681</v>
      </c>
      <c r="D151" s="21">
        <v>940000</v>
      </c>
      <c r="E151" s="21" t="s">
        <v>362</v>
      </c>
      <c r="F151" s="21" t="str">
        <f t="shared" si="4"/>
        <v>rtdc.l.rtdc.4032:itc</v>
      </c>
      <c r="G151" s="8">
        <f t="shared" si="5"/>
        <v>42703.662418981483</v>
      </c>
    </row>
    <row r="152" spans="1:7" x14ac:dyDescent="0.25">
      <c r="A152" s="8">
        <v>42703.672129629631</v>
      </c>
      <c r="B152" s="21" t="s">
        <v>264</v>
      </c>
      <c r="C152" s="21" t="s">
        <v>560</v>
      </c>
      <c r="D152" s="21">
        <v>2000000</v>
      </c>
      <c r="E152" s="21" t="s">
        <v>217</v>
      </c>
      <c r="F152" s="21" t="str">
        <f t="shared" si="4"/>
        <v>rtdc.l.rtdc.4041:itc</v>
      </c>
      <c r="G152" s="8">
        <f t="shared" si="5"/>
        <v>42703.672129629631</v>
      </c>
    </row>
    <row r="153" spans="1:7" x14ac:dyDescent="0.25">
      <c r="A153" s="8">
        <v>42703.673333333332</v>
      </c>
      <c r="B153" s="21" t="s">
        <v>537</v>
      </c>
      <c r="C153" s="21" t="s">
        <v>682</v>
      </c>
      <c r="D153" s="21">
        <v>1280000</v>
      </c>
      <c r="E153" s="21" t="s">
        <v>317</v>
      </c>
      <c r="F153" s="21" t="str">
        <f t="shared" si="4"/>
        <v>rtdc.l.rtdc.4029:itc</v>
      </c>
      <c r="G153" s="8">
        <f t="shared" si="5"/>
        <v>42703.673333333332</v>
      </c>
    </row>
    <row r="154" spans="1:7" x14ac:dyDescent="0.25">
      <c r="A154" s="8">
        <v>42703.678553240738</v>
      </c>
      <c r="B154" s="21" t="s">
        <v>210</v>
      </c>
      <c r="C154" s="21" t="s">
        <v>683</v>
      </c>
      <c r="D154" s="21">
        <v>920000</v>
      </c>
      <c r="E154" s="21" t="s">
        <v>254</v>
      </c>
      <c r="F154" s="21" t="str">
        <f t="shared" si="4"/>
        <v>rtdc.l.rtdc.4011:itc</v>
      </c>
      <c r="G154" s="8">
        <f t="shared" si="5"/>
        <v>42703.678553240738</v>
      </c>
    </row>
    <row r="155" spans="1:7" x14ac:dyDescent="0.25">
      <c r="A155" s="8">
        <v>42703.68408564815</v>
      </c>
      <c r="B155" s="21" t="s">
        <v>273</v>
      </c>
      <c r="C155" s="21" t="s">
        <v>684</v>
      </c>
      <c r="D155" s="21">
        <v>2280000</v>
      </c>
      <c r="E155" s="21" t="s">
        <v>642</v>
      </c>
      <c r="F155" s="21" t="str">
        <f t="shared" si="4"/>
        <v>rtdc.l.rtdc.4004:itc</v>
      </c>
      <c r="G155" s="8">
        <f t="shared" si="5"/>
        <v>42703.68408564815</v>
      </c>
    </row>
    <row r="156" spans="1:7" x14ac:dyDescent="0.25">
      <c r="A156" s="8">
        <v>42703.684108796297</v>
      </c>
      <c r="B156" s="21" t="s">
        <v>332</v>
      </c>
      <c r="C156" s="21" t="s">
        <v>685</v>
      </c>
      <c r="D156" s="21">
        <v>880000</v>
      </c>
      <c r="E156" s="21" t="s">
        <v>316</v>
      </c>
      <c r="F156" s="21" t="str">
        <f t="shared" si="4"/>
        <v>rtdc.l.rtdc.4016:itc</v>
      </c>
      <c r="G156" s="8">
        <f t="shared" si="5"/>
        <v>42703.684108796297</v>
      </c>
    </row>
    <row r="157" spans="1:7" x14ac:dyDescent="0.25">
      <c r="A157" s="8">
        <v>42703.689560185187</v>
      </c>
      <c r="B157" s="21" t="s">
        <v>567</v>
      </c>
      <c r="C157" s="21" t="s">
        <v>686</v>
      </c>
      <c r="D157" s="21">
        <v>930000</v>
      </c>
      <c r="E157" s="21" t="s">
        <v>315</v>
      </c>
      <c r="F157" s="21" t="str">
        <f t="shared" si="4"/>
        <v>rtdc.l.rtdc.4021:itc</v>
      </c>
      <c r="G157" s="8">
        <f t="shared" si="5"/>
        <v>42703.689560185187</v>
      </c>
    </row>
    <row r="158" spans="1:7" x14ac:dyDescent="0.25">
      <c r="A158" s="8">
        <v>42703.693553240744</v>
      </c>
      <c r="B158" s="21" t="s">
        <v>218</v>
      </c>
      <c r="C158" s="21" t="s">
        <v>687</v>
      </c>
      <c r="D158" s="21">
        <v>920000</v>
      </c>
      <c r="E158" s="21" t="s">
        <v>254</v>
      </c>
      <c r="F158" s="21" t="str">
        <f t="shared" si="4"/>
        <v>rtdc.l.rtdc.4012:itc</v>
      </c>
      <c r="G158" s="8">
        <f t="shared" si="5"/>
        <v>42703.693553240744</v>
      </c>
    </row>
    <row r="159" spans="1:7" x14ac:dyDescent="0.25">
      <c r="A159" s="8">
        <v>42703.696030092593</v>
      </c>
      <c r="B159" s="21" t="s">
        <v>237</v>
      </c>
      <c r="C159" s="21" t="s">
        <v>688</v>
      </c>
      <c r="D159" s="21">
        <v>2600000</v>
      </c>
      <c r="E159" s="21" t="s">
        <v>265</v>
      </c>
      <c r="F159" s="21" t="str">
        <f t="shared" si="4"/>
        <v>rtdc.l.rtdc.4014:itc</v>
      </c>
      <c r="G159" s="8">
        <f t="shared" si="5"/>
        <v>42703.696030092593</v>
      </c>
    </row>
    <row r="160" spans="1:7" x14ac:dyDescent="0.25">
      <c r="A160" s="8">
        <v>42703.696493055555</v>
      </c>
      <c r="B160" s="21" t="s">
        <v>263</v>
      </c>
      <c r="C160" s="21" t="s">
        <v>689</v>
      </c>
      <c r="D160" s="21">
        <v>2000000</v>
      </c>
      <c r="E160" s="21" t="s">
        <v>217</v>
      </c>
      <c r="F160" s="21" t="str">
        <f t="shared" si="4"/>
        <v>rtdc.l.rtdc.4042:itc</v>
      </c>
      <c r="G160" s="8">
        <f t="shared" si="5"/>
        <v>42703.696493055555</v>
      </c>
    </row>
    <row r="161" spans="1:7" x14ac:dyDescent="0.25">
      <c r="A161" s="8">
        <v>42703.696851851855</v>
      </c>
      <c r="B161" s="21" t="s">
        <v>237</v>
      </c>
      <c r="C161" s="21" t="s">
        <v>688</v>
      </c>
      <c r="D161" s="21">
        <v>2600000</v>
      </c>
      <c r="E161" s="21" t="s">
        <v>265</v>
      </c>
      <c r="F161" s="21" t="str">
        <f t="shared" si="4"/>
        <v>rtdc.l.rtdc.4014:itc</v>
      </c>
      <c r="G161" s="8">
        <f t="shared" si="5"/>
        <v>42703.696851851855</v>
      </c>
    </row>
    <row r="162" spans="1:7" x14ac:dyDescent="0.25">
      <c r="A162" s="8">
        <v>42703.700729166667</v>
      </c>
      <c r="B162" s="21" t="s">
        <v>215</v>
      </c>
      <c r="C162" s="21" t="s">
        <v>690</v>
      </c>
      <c r="D162" s="21">
        <v>1740000</v>
      </c>
      <c r="E162" s="21" t="s">
        <v>647</v>
      </c>
      <c r="F162" s="21" t="str">
        <f t="shared" si="4"/>
        <v>rtdc.l.rtdc.4039:itc</v>
      </c>
      <c r="G162" s="8">
        <f t="shared" si="5"/>
        <v>42703.700729166667</v>
      </c>
    </row>
    <row r="163" spans="1:7" x14ac:dyDescent="0.25">
      <c r="A163" s="8">
        <v>42703.704155092593</v>
      </c>
      <c r="B163" s="21" t="s">
        <v>250</v>
      </c>
      <c r="C163" s="21" t="s">
        <v>691</v>
      </c>
      <c r="D163" s="21">
        <v>940000</v>
      </c>
      <c r="E163" s="21" t="s">
        <v>362</v>
      </c>
      <c r="F163" s="21" t="str">
        <f t="shared" si="4"/>
        <v>rtdc.l.rtdc.4031:itc</v>
      </c>
      <c r="G163" s="8">
        <f t="shared" si="5"/>
        <v>42703.704155092593</v>
      </c>
    </row>
    <row r="164" spans="1:7" x14ac:dyDescent="0.25">
      <c r="A164" s="8">
        <v>42703.70516203704</v>
      </c>
      <c r="B164" s="21" t="s">
        <v>528</v>
      </c>
      <c r="C164" s="21" t="s">
        <v>692</v>
      </c>
      <c r="D164" s="21">
        <v>1280000</v>
      </c>
      <c r="E164" s="21" t="s">
        <v>317</v>
      </c>
      <c r="F164" s="21" t="str">
        <f t="shared" si="4"/>
        <v>rtdc.l.rtdc.4030:itc</v>
      </c>
      <c r="G164" s="8">
        <f t="shared" si="5"/>
        <v>42703.70516203704</v>
      </c>
    </row>
    <row r="165" spans="1:7" x14ac:dyDescent="0.25">
      <c r="A165" s="8">
        <v>42703.710474537038</v>
      </c>
      <c r="B165" s="21" t="s">
        <v>210</v>
      </c>
      <c r="C165" s="21" t="s">
        <v>561</v>
      </c>
      <c r="D165" s="21">
        <v>920000</v>
      </c>
      <c r="E165" s="21" t="s">
        <v>254</v>
      </c>
      <c r="F165" s="21" t="str">
        <f t="shared" si="4"/>
        <v>rtdc.l.rtdc.4011:itc</v>
      </c>
      <c r="G165" s="8">
        <f t="shared" si="5"/>
        <v>42703.710474537038</v>
      </c>
    </row>
    <row r="166" spans="1:7" x14ac:dyDescent="0.25">
      <c r="A166" s="8">
        <v>42703.713495370372</v>
      </c>
      <c r="B166" s="21" t="s">
        <v>183</v>
      </c>
      <c r="C166" s="21" t="s">
        <v>693</v>
      </c>
      <c r="D166" s="21">
        <v>2250000</v>
      </c>
      <c r="E166" s="21" t="s">
        <v>359</v>
      </c>
      <c r="F166" s="21" t="str">
        <f t="shared" si="4"/>
        <v>rtdc.l.rtdc.4009:itc</v>
      </c>
      <c r="G166" s="8">
        <f t="shared" si="5"/>
        <v>42703.713495370372</v>
      </c>
    </row>
    <row r="167" spans="1:7" x14ac:dyDescent="0.25">
      <c r="A167" s="8">
        <v>42703.713576388887</v>
      </c>
      <c r="B167" s="21" t="s">
        <v>264</v>
      </c>
      <c r="C167" s="21" t="s">
        <v>694</v>
      </c>
      <c r="D167" s="21">
        <v>2000000</v>
      </c>
      <c r="E167" s="21" t="s">
        <v>217</v>
      </c>
      <c r="F167" s="21" t="str">
        <f t="shared" si="4"/>
        <v>rtdc.l.rtdc.4041:itc</v>
      </c>
      <c r="G167" s="8">
        <f t="shared" si="5"/>
        <v>42703.713576388887</v>
      </c>
    </row>
    <row r="168" spans="1:7" x14ac:dyDescent="0.25">
      <c r="A168" s="8">
        <v>42703.715567129628</v>
      </c>
      <c r="B168" s="21" t="s">
        <v>272</v>
      </c>
      <c r="C168" s="21" t="s">
        <v>695</v>
      </c>
      <c r="D168" s="21">
        <v>1180000</v>
      </c>
      <c r="E168" s="21" t="s">
        <v>336</v>
      </c>
      <c r="F168" s="21" t="str">
        <f t="shared" si="4"/>
        <v>rtdc.l.rtdc.4003:itc</v>
      </c>
      <c r="G168" s="8">
        <f t="shared" si="5"/>
        <v>42703.715567129628</v>
      </c>
    </row>
    <row r="169" spans="1:7" x14ac:dyDescent="0.25">
      <c r="A169" s="8">
        <v>42703.724386574075</v>
      </c>
      <c r="B169" s="21" t="s">
        <v>334</v>
      </c>
      <c r="C169" s="21" t="s">
        <v>696</v>
      </c>
      <c r="D169" s="21">
        <v>880000</v>
      </c>
      <c r="E169" s="21" t="s">
        <v>316</v>
      </c>
      <c r="F169" s="21" t="str">
        <f t="shared" si="4"/>
        <v>rtdc.l.rtdc.4015:itc</v>
      </c>
      <c r="G169" s="8">
        <f t="shared" si="5"/>
        <v>42703.724386574075</v>
      </c>
    </row>
    <row r="170" spans="1:7" x14ac:dyDescent="0.25">
      <c r="A170" s="8">
        <v>42703.726053240738</v>
      </c>
      <c r="B170" s="21" t="s">
        <v>223</v>
      </c>
      <c r="C170" s="21" t="s">
        <v>697</v>
      </c>
      <c r="D170" s="21">
        <v>2280000</v>
      </c>
      <c r="E170" s="21" t="s">
        <v>642</v>
      </c>
      <c r="F170" s="21" t="str">
        <f t="shared" si="4"/>
        <v>rtdc.l.rtdc.4022:itc</v>
      </c>
      <c r="G170" s="8">
        <f t="shared" si="5"/>
        <v>42703.726053240738</v>
      </c>
    </row>
    <row r="171" spans="1:7" x14ac:dyDescent="0.25">
      <c r="A171" s="8">
        <v>42703.731307870374</v>
      </c>
      <c r="B171" s="21" t="s">
        <v>238</v>
      </c>
      <c r="C171" s="21" t="s">
        <v>698</v>
      </c>
      <c r="D171" s="21">
        <v>2600000</v>
      </c>
      <c r="E171" s="21" t="s">
        <v>265</v>
      </c>
      <c r="F171" s="21" t="str">
        <f t="shared" si="4"/>
        <v>rtdc.l.rtdc.4013:itc</v>
      </c>
      <c r="G171" s="8">
        <f t="shared" si="5"/>
        <v>42703.731307870374</v>
      </c>
    </row>
    <row r="172" spans="1:7" x14ac:dyDescent="0.25">
      <c r="A172" s="8">
        <v>42703.732638888891</v>
      </c>
      <c r="B172" s="21" t="s">
        <v>547</v>
      </c>
      <c r="C172" s="21" t="s">
        <v>562</v>
      </c>
      <c r="D172" s="21">
        <v>1230000</v>
      </c>
      <c r="E172" s="21" t="s">
        <v>364</v>
      </c>
      <c r="F172" s="21" t="str">
        <f t="shared" si="4"/>
        <v>rtdc.l.rtdc.4028:itc</v>
      </c>
      <c r="G172" s="8">
        <f t="shared" si="5"/>
        <v>42703.732638888891</v>
      </c>
    </row>
    <row r="173" spans="1:7" x14ac:dyDescent="0.25">
      <c r="A173" s="8">
        <v>42703.735162037039</v>
      </c>
      <c r="B173" s="21" t="s">
        <v>218</v>
      </c>
      <c r="C173" s="21" t="s">
        <v>699</v>
      </c>
      <c r="D173" s="21">
        <v>920000</v>
      </c>
      <c r="E173" s="21" t="s">
        <v>254</v>
      </c>
      <c r="F173" s="21" t="str">
        <f t="shared" si="4"/>
        <v>rtdc.l.rtdc.4012:itc</v>
      </c>
      <c r="G173" s="8">
        <f t="shared" si="5"/>
        <v>42703.735162037039</v>
      </c>
    </row>
    <row r="174" spans="1:7" x14ac:dyDescent="0.25">
      <c r="A174" s="8">
        <v>42703.736145833333</v>
      </c>
      <c r="B174" s="21" t="s">
        <v>213</v>
      </c>
      <c r="C174" s="21" t="s">
        <v>700</v>
      </c>
      <c r="D174" s="21">
        <v>1290000</v>
      </c>
      <c r="E174" s="21" t="s">
        <v>337</v>
      </c>
      <c r="F174" s="21" t="str">
        <f t="shared" si="4"/>
        <v>rtdc.l.rtdc.4040:itc</v>
      </c>
      <c r="G174" s="8">
        <f t="shared" si="5"/>
        <v>42703.736145833333</v>
      </c>
    </row>
    <row r="175" spans="1:7" x14ac:dyDescent="0.25">
      <c r="A175" s="8">
        <v>42703.736550925925</v>
      </c>
      <c r="B175" s="21" t="s">
        <v>286</v>
      </c>
      <c r="C175" s="21" t="s">
        <v>701</v>
      </c>
      <c r="D175" s="21">
        <v>940000</v>
      </c>
      <c r="E175" s="21" t="s">
        <v>362</v>
      </c>
      <c r="F175" s="21" t="str">
        <f t="shared" si="4"/>
        <v>rtdc.l.rtdc.4032:itc</v>
      </c>
      <c r="G175" s="8">
        <f t="shared" si="5"/>
        <v>42703.736550925925</v>
      </c>
    </row>
    <row r="176" spans="1:7" x14ac:dyDescent="0.25">
      <c r="A176" s="8">
        <v>42703.74</v>
      </c>
      <c r="B176" s="21" t="s">
        <v>263</v>
      </c>
      <c r="C176" s="21" t="s">
        <v>702</v>
      </c>
      <c r="D176" s="21">
        <v>2000000</v>
      </c>
      <c r="E176" s="21" t="s">
        <v>217</v>
      </c>
      <c r="F176" s="21" t="str">
        <f t="shared" si="4"/>
        <v>rtdc.l.rtdc.4042:itc</v>
      </c>
      <c r="G176" s="8">
        <f t="shared" si="5"/>
        <v>42703.74</v>
      </c>
    </row>
    <row r="177" spans="1:7" x14ac:dyDescent="0.25">
      <c r="A177" s="8">
        <v>42703.746053240742</v>
      </c>
      <c r="B177" s="21" t="s">
        <v>537</v>
      </c>
      <c r="C177" s="21" t="s">
        <v>564</v>
      </c>
      <c r="D177" s="21">
        <v>1740000</v>
      </c>
      <c r="E177" s="21" t="s">
        <v>647</v>
      </c>
      <c r="F177" s="21" t="str">
        <f t="shared" si="4"/>
        <v>rtdc.l.rtdc.4029:itc</v>
      </c>
      <c r="G177" s="8">
        <f t="shared" si="5"/>
        <v>42703.746053240742</v>
      </c>
    </row>
    <row r="178" spans="1:7" x14ac:dyDescent="0.25">
      <c r="A178" s="8">
        <v>42703.746678240743</v>
      </c>
      <c r="B178" s="21" t="s">
        <v>333</v>
      </c>
      <c r="C178" s="21" t="s">
        <v>703</v>
      </c>
      <c r="D178" s="21">
        <v>2450000</v>
      </c>
      <c r="E178" s="21" t="s">
        <v>704</v>
      </c>
      <c r="F178" s="21" t="str">
        <f t="shared" si="4"/>
        <v>rtdc.l.rtdc.4001:itc</v>
      </c>
      <c r="G178" s="8">
        <f t="shared" si="5"/>
        <v>42703.746678240743</v>
      </c>
    </row>
    <row r="179" spans="1:7" x14ac:dyDescent="0.25">
      <c r="A179" s="8">
        <v>42703.751469907409</v>
      </c>
      <c r="B179" s="21" t="s">
        <v>210</v>
      </c>
      <c r="C179" s="21" t="s">
        <v>705</v>
      </c>
      <c r="D179" s="21">
        <v>920000</v>
      </c>
      <c r="E179" s="21" t="s">
        <v>254</v>
      </c>
      <c r="F179" s="21" t="str">
        <f t="shared" si="4"/>
        <v>rtdc.l.rtdc.4011:itc</v>
      </c>
      <c r="G179" s="8">
        <f t="shared" si="5"/>
        <v>42703.751469907409</v>
      </c>
    </row>
    <row r="180" spans="1:7" x14ac:dyDescent="0.25">
      <c r="A180" s="8">
        <v>42703.754606481481</v>
      </c>
      <c r="B180" s="21" t="s">
        <v>273</v>
      </c>
      <c r="C180" s="21" t="s">
        <v>706</v>
      </c>
      <c r="D180" s="21">
        <v>1180000</v>
      </c>
      <c r="E180" s="21" t="s">
        <v>336</v>
      </c>
      <c r="F180" s="21" t="str">
        <f t="shared" si="4"/>
        <v>rtdc.l.rtdc.4004:itc</v>
      </c>
      <c r="G180" s="8">
        <f t="shared" si="5"/>
        <v>42703.754606481481</v>
      </c>
    </row>
    <row r="181" spans="1:7" x14ac:dyDescent="0.25">
      <c r="A181" s="8">
        <v>42703.755694444444</v>
      </c>
      <c r="B181" s="21" t="s">
        <v>264</v>
      </c>
      <c r="C181" s="21" t="s">
        <v>707</v>
      </c>
      <c r="D181" s="21">
        <v>2000000</v>
      </c>
      <c r="E181" s="21" t="s">
        <v>217</v>
      </c>
      <c r="F181" s="21" t="str">
        <f t="shared" si="4"/>
        <v>rtdc.l.rtdc.4041:itc</v>
      </c>
      <c r="G181" s="8">
        <f t="shared" si="5"/>
        <v>42703.755694444444</v>
      </c>
    </row>
    <row r="182" spans="1:7" x14ac:dyDescent="0.25">
      <c r="A182" s="8">
        <v>42703.756990740738</v>
      </c>
      <c r="B182" s="21" t="s">
        <v>332</v>
      </c>
      <c r="C182" s="21" t="s">
        <v>708</v>
      </c>
      <c r="D182" s="21">
        <v>1230000</v>
      </c>
      <c r="E182" s="21" t="s">
        <v>364</v>
      </c>
      <c r="F182" s="21" t="str">
        <f t="shared" si="4"/>
        <v>rtdc.l.rtdc.4016:itc</v>
      </c>
      <c r="G182" s="8">
        <f t="shared" si="5"/>
        <v>42703.756990740738</v>
      </c>
    </row>
    <row r="183" spans="1:7" x14ac:dyDescent="0.25">
      <c r="A183" s="8">
        <v>42703.760150462964</v>
      </c>
      <c r="B183" s="21" t="s">
        <v>553</v>
      </c>
      <c r="C183" s="21" t="s">
        <v>709</v>
      </c>
      <c r="D183" s="21">
        <v>880000</v>
      </c>
      <c r="E183" s="21" t="s">
        <v>316</v>
      </c>
      <c r="F183" s="21" t="str">
        <f t="shared" si="4"/>
        <v>rtdc.l.rtdc.4027:itc</v>
      </c>
      <c r="G183" s="8">
        <f t="shared" si="5"/>
        <v>42703.760150462964</v>
      </c>
    </row>
    <row r="184" spans="1:7" x14ac:dyDescent="0.25">
      <c r="A184" s="8">
        <v>42703.763726851852</v>
      </c>
      <c r="B184" s="21" t="s">
        <v>567</v>
      </c>
      <c r="C184" s="21" t="s">
        <v>710</v>
      </c>
      <c r="D184" s="21">
        <v>2280000</v>
      </c>
      <c r="E184" s="21" t="s">
        <v>642</v>
      </c>
      <c r="F184" s="21" t="str">
        <f t="shared" si="4"/>
        <v>rtdc.l.rtdc.4021:itc</v>
      </c>
      <c r="G184" s="8">
        <f t="shared" si="5"/>
        <v>42703.763726851852</v>
      </c>
    </row>
    <row r="185" spans="1:7" x14ac:dyDescent="0.25">
      <c r="A185" s="8">
        <v>42703.769548611112</v>
      </c>
      <c r="B185" s="21" t="s">
        <v>237</v>
      </c>
      <c r="C185" s="21" t="s">
        <v>711</v>
      </c>
      <c r="D185" s="21">
        <v>1800000</v>
      </c>
      <c r="E185" s="21" t="s">
        <v>288</v>
      </c>
      <c r="F185" s="21" t="str">
        <f t="shared" si="4"/>
        <v>rtdc.l.rtdc.4014:itc</v>
      </c>
      <c r="G185" s="8">
        <f t="shared" si="5"/>
        <v>42703.769548611112</v>
      </c>
    </row>
    <row r="186" spans="1:7" x14ac:dyDescent="0.25">
      <c r="A186" s="8">
        <v>42703.774756944447</v>
      </c>
      <c r="B186" s="21" t="s">
        <v>215</v>
      </c>
      <c r="C186" s="21" t="s">
        <v>712</v>
      </c>
      <c r="D186" s="21">
        <v>1290000</v>
      </c>
      <c r="E186" s="21" t="s">
        <v>337</v>
      </c>
      <c r="F186" s="21" t="str">
        <f t="shared" si="4"/>
        <v>rtdc.l.rtdc.4039:itc</v>
      </c>
      <c r="G186" s="8">
        <f t="shared" si="5"/>
        <v>42703.774756944447</v>
      </c>
    </row>
    <row r="187" spans="1:7" x14ac:dyDescent="0.25">
      <c r="A187" s="8">
        <v>42703.776423611111</v>
      </c>
      <c r="B187" s="21" t="s">
        <v>218</v>
      </c>
      <c r="C187" s="21" t="s">
        <v>713</v>
      </c>
      <c r="D187" s="21">
        <v>920000</v>
      </c>
      <c r="E187" s="21" t="s">
        <v>254</v>
      </c>
      <c r="F187" s="21" t="str">
        <f t="shared" si="4"/>
        <v>rtdc.l.rtdc.4012:itc</v>
      </c>
      <c r="G187" s="8">
        <f t="shared" si="5"/>
        <v>42703.776423611111</v>
      </c>
    </row>
    <row r="188" spans="1:7" x14ac:dyDescent="0.25">
      <c r="A188" s="8">
        <v>42703.777615740742</v>
      </c>
      <c r="B188" s="21" t="s">
        <v>250</v>
      </c>
      <c r="C188" s="21" t="s">
        <v>714</v>
      </c>
      <c r="D188" s="21">
        <v>940000</v>
      </c>
      <c r="E188" s="21" t="s">
        <v>362</v>
      </c>
      <c r="F188" s="21" t="str">
        <f t="shared" si="4"/>
        <v>rtdc.l.rtdc.4031:itc</v>
      </c>
      <c r="G188" s="8">
        <f t="shared" si="5"/>
        <v>42703.777615740742</v>
      </c>
    </row>
    <row r="189" spans="1:7" x14ac:dyDescent="0.25">
      <c r="A189" s="8">
        <v>42703.781550925924</v>
      </c>
      <c r="B189" s="21" t="s">
        <v>263</v>
      </c>
      <c r="C189" s="21" t="s">
        <v>715</v>
      </c>
      <c r="D189" s="21">
        <v>2000000</v>
      </c>
      <c r="E189" s="21" t="s">
        <v>217</v>
      </c>
      <c r="F189" s="21" t="str">
        <f t="shared" si="4"/>
        <v>rtdc.l.rtdc.4042:itc</v>
      </c>
      <c r="G189" s="8">
        <f t="shared" si="5"/>
        <v>42703.781550925924</v>
      </c>
    </row>
    <row r="190" spans="1:7" x14ac:dyDescent="0.25">
      <c r="A190" s="8">
        <v>42703.786828703705</v>
      </c>
      <c r="B190" s="21" t="s">
        <v>528</v>
      </c>
      <c r="C190" s="21" t="s">
        <v>716</v>
      </c>
      <c r="D190" s="21">
        <v>1740000</v>
      </c>
      <c r="E190" s="21" t="s">
        <v>647</v>
      </c>
      <c r="F190" s="21" t="str">
        <f t="shared" si="4"/>
        <v>rtdc.l.rtdc.4030:itc</v>
      </c>
      <c r="G190" s="8">
        <f t="shared" si="5"/>
        <v>42703.786828703705</v>
      </c>
    </row>
    <row r="191" spans="1:7" x14ac:dyDescent="0.25">
      <c r="A191" s="8">
        <v>42703.787905092591</v>
      </c>
      <c r="B191" s="21" t="s">
        <v>272</v>
      </c>
      <c r="C191" s="21" t="s">
        <v>717</v>
      </c>
      <c r="D191" s="21">
        <v>1180000</v>
      </c>
      <c r="E191" s="21" t="s">
        <v>336</v>
      </c>
      <c r="F191" s="21" t="str">
        <f t="shared" si="4"/>
        <v>rtdc.l.rtdc.4003:itc</v>
      </c>
      <c r="G191" s="8">
        <f t="shared" si="5"/>
        <v>42703.787905092591</v>
      </c>
    </row>
    <row r="192" spans="1:7" x14ac:dyDescent="0.25">
      <c r="A192" s="8">
        <v>42703.787939814814</v>
      </c>
      <c r="B192" s="21" t="s">
        <v>334</v>
      </c>
      <c r="C192" s="21" t="s">
        <v>718</v>
      </c>
      <c r="D192" s="21">
        <v>1230000</v>
      </c>
      <c r="E192" s="21" t="s">
        <v>364</v>
      </c>
      <c r="F192" s="21" t="str">
        <f t="shared" si="4"/>
        <v>rtdc.l.rtdc.4015:itc</v>
      </c>
      <c r="G192" s="8">
        <f t="shared" si="5"/>
        <v>42703.787939814814</v>
      </c>
    </row>
    <row r="193" spans="1:7" x14ac:dyDescent="0.25">
      <c r="A193" s="8">
        <v>42703.796631944446</v>
      </c>
      <c r="B193" s="21" t="s">
        <v>264</v>
      </c>
      <c r="C193" s="21" t="s">
        <v>719</v>
      </c>
      <c r="D193" s="21">
        <v>2000000</v>
      </c>
      <c r="E193" s="21" t="s">
        <v>217</v>
      </c>
      <c r="F193" s="21" t="str">
        <f t="shared" si="4"/>
        <v>rtdc.l.rtdc.4041:itc</v>
      </c>
      <c r="G193" s="8">
        <f t="shared" si="5"/>
        <v>42703.796631944446</v>
      </c>
    </row>
    <row r="194" spans="1:7" x14ac:dyDescent="0.25">
      <c r="A194" s="8">
        <v>42703.800416666665</v>
      </c>
      <c r="B194" s="21" t="s">
        <v>210</v>
      </c>
      <c r="C194" s="21" t="s">
        <v>720</v>
      </c>
      <c r="D194" s="21">
        <v>920000</v>
      </c>
      <c r="E194" s="21" t="s">
        <v>254</v>
      </c>
      <c r="F194" s="21" t="str">
        <f t="shared" ref="F194:F235" si="6">B194</f>
        <v>rtdc.l.rtdc.4011:itc</v>
      </c>
      <c r="G194" s="8">
        <f t="shared" ref="G194:G235" si="7">A194</f>
        <v>42703.800416666665</v>
      </c>
    </row>
    <row r="195" spans="1:7" x14ac:dyDescent="0.25">
      <c r="A195" s="8">
        <v>42703.801018518519</v>
      </c>
      <c r="B195" s="21" t="s">
        <v>223</v>
      </c>
      <c r="C195" s="21" t="s">
        <v>721</v>
      </c>
      <c r="D195" s="21">
        <v>2280000</v>
      </c>
      <c r="E195" s="21" t="s">
        <v>642</v>
      </c>
      <c r="F195" s="21" t="str">
        <f t="shared" si="6"/>
        <v>rtdc.l.rtdc.4022:itc</v>
      </c>
      <c r="G195" s="8">
        <f t="shared" si="7"/>
        <v>42703.801018518519</v>
      </c>
    </row>
    <row r="196" spans="1:7" x14ac:dyDescent="0.25">
      <c r="A196" s="8">
        <v>42703.808159722219</v>
      </c>
      <c r="B196" s="21" t="s">
        <v>213</v>
      </c>
      <c r="C196" s="21" t="s">
        <v>722</v>
      </c>
      <c r="D196" s="21">
        <v>1290000</v>
      </c>
      <c r="E196" s="21" t="s">
        <v>337</v>
      </c>
      <c r="F196" s="21" t="str">
        <f t="shared" si="6"/>
        <v>rtdc.l.rtdc.4040:itc</v>
      </c>
      <c r="G196" s="8">
        <f t="shared" si="7"/>
        <v>42703.808159722219</v>
      </c>
    </row>
    <row r="197" spans="1:7" x14ac:dyDescent="0.25">
      <c r="A197" s="8">
        <v>42703.808854166666</v>
      </c>
      <c r="B197" s="21" t="s">
        <v>238</v>
      </c>
      <c r="C197" s="21" t="s">
        <v>723</v>
      </c>
      <c r="D197" s="21">
        <v>1800000</v>
      </c>
      <c r="E197" s="21" t="s">
        <v>288</v>
      </c>
      <c r="F197" s="21" t="str">
        <f t="shared" si="6"/>
        <v>rtdc.l.rtdc.4013:itc</v>
      </c>
      <c r="G197" s="8">
        <f t="shared" si="7"/>
        <v>42703.808854166666</v>
      </c>
    </row>
    <row r="198" spans="1:7" x14ac:dyDescent="0.25">
      <c r="A198" s="8">
        <v>42703.818506944444</v>
      </c>
      <c r="B198" s="21" t="s">
        <v>218</v>
      </c>
      <c r="C198" s="21" t="s">
        <v>724</v>
      </c>
      <c r="D198" s="21">
        <v>920000</v>
      </c>
      <c r="E198" s="21" t="s">
        <v>254</v>
      </c>
      <c r="F198" s="21" t="str">
        <f t="shared" si="6"/>
        <v>rtdc.l.rtdc.4012:itc</v>
      </c>
      <c r="G198" s="8">
        <f t="shared" si="7"/>
        <v>42703.818506944444</v>
      </c>
    </row>
    <row r="199" spans="1:7" x14ac:dyDescent="0.25">
      <c r="A199" s="8">
        <v>42703.819548611114</v>
      </c>
      <c r="B199" s="21" t="s">
        <v>537</v>
      </c>
      <c r="C199" s="21" t="s">
        <v>725</v>
      </c>
      <c r="D199" s="21">
        <v>1740000</v>
      </c>
      <c r="E199" s="21" t="s">
        <v>647</v>
      </c>
      <c r="F199" s="21" t="str">
        <f t="shared" si="6"/>
        <v>rtdc.l.rtdc.4029:itc</v>
      </c>
      <c r="G199" s="8">
        <f t="shared" si="7"/>
        <v>42703.819548611114</v>
      </c>
    </row>
    <row r="200" spans="1:7" x14ac:dyDescent="0.25">
      <c r="A200" s="8">
        <v>42703.823171296295</v>
      </c>
      <c r="B200" s="21" t="s">
        <v>273</v>
      </c>
      <c r="C200" s="21" t="s">
        <v>726</v>
      </c>
      <c r="D200" s="21">
        <v>1180000</v>
      </c>
      <c r="E200" s="21" t="s">
        <v>336</v>
      </c>
      <c r="F200" s="21" t="str">
        <f t="shared" si="6"/>
        <v>rtdc.l.rtdc.4004:itc</v>
      </c>
      <c r="G200" s="8">
        <f t="shared" si="7"/>
        <v>42703.823171296295</v>
      </c>
    </row>
    <row r="201" spans="1:7" x14ac:dyDescent="0.25">
      <c r="A201" s="8">
        <v>42703.828067129631</v>
      </c>
      <c r="B201" s="21" t="s">
        <v>332</v>
      </c>
      <c r="C201" s="21" t="s">
        <v>727</v>
      </c>
      <c r="D201" s="21">
        <v>1230000</v>
      </c>
      <c r="E201" s="21" t="s">
        <v>364</v>
      </c>
      <c r="F201" s="21" t="str">
        <f t="shared" si="6"/>
        <v>rtdc.l.rtdc.4016:itc</v>
      </c>
      <c r="G201" s="8">
        <f t="shared" si="7"/>
        <v>42703.828067129631</v>
      </c>
    </row>
    <row r="202" spans="1:7" x14ac:dyDescent="0.25">
      <c r="A202" s="27">
        <v>42703.837187500001</v>
      </c>
      <c r="B202" s="21" t="s">
        <v>210</v>
      </c>
      <c r="C202" s="21" t="s">
        <v>728</v>
      </c>
      <c r="D202" s="21">
        <v>920000</v>
      </c>
      <c r="E202" s="21" t="s">
        <v>254</v>
      </c>
      <c r="F202" s="21" t="str">
        <f t="shared" si="6"/>
        <v>rtdc.l.rtdc.4011:itc</v>
      </c>
      <c r="G202" s="8">
        <f t="shared" si="7"/>
        <v>42703.837187500001</v>
      </c>
    </row>
    <row r="203" spans="1:7" x14ac:dyDescent="0.25">
      <c r="A203" s="8">
        <v>42703.847939814812</v>
      </c>
      <c r="B203" s="21" t="s">
        <v>215</v>
      </c>
      <c r="C203" s="21" t="s">
        <v>729</v>
      </c>
      <c r="D203" s="21">
        <v>1290000</v>
      </c>
      <c r="E203" s="21" t="s">
        <v>337</v>
      </c>
      <c r="F203" s="21" t="str">
        <f t="shared" si="6"/>
        <v>rtdc.l.rtdc.4039:itc</v>
      </c>
      <c r="G203" s="8">
        <f t="shared" si="7"/>
        <v>42703.847939814812</v>
      </c>
    </row>
    <row r="204" spans="1:7" x14ac:dyDescent="0.25">
      <c r="A204" s="8">
        <v>42703.851145833331</v>
      </c>
      <c r="B204" s="21" t="s">
        <v>237</v>
      </c>
      <c r="C204" s="21" t="s">
        <v>730</v>
      </c>
      <c r="D204" s="21">
        <v>1800000</v>
      </c>
      <c r="E204" s="21" t="s">
        <v>288</v>
      </c>
      <c r="F204" s="21" t="str">
        <f t="shared" si="6"/>
        <v>rtdc.l.rtdc.4014:itc</v>
      </c>
      <c r="G204" s="8">
        <f t="shared" si="7"/>
        <v>42703.851145833331</v>
      </c>
    </row>
    <row r="205" spans="1:7" x14ac:dyDescent="0.25">
      <c r="A205" s="8">
        <v>42703.859710648147</v>
      </c>
      <c r="B205" s="21" t="s">
        <v>334</v>
      </c>
      <c r="C205" s="21" t="s">
        <v>731</v>
      </c>
      <c r="D205" s="21">
        <v>1230000</v>
      </c>
      <c r="E205" s="21" t="s">
        <v>364</v>
      </c>
      <c r="F205" s="21" t="str">
        <f t="shared" si="6"/>
        <v>rtdc.l.rtdc.4015:itc</v>
      </c>
      <c r="G205" s="8">
        <f t="shared" si="7"/>
        <v>42703.859710648147</v>
      </c>
    </row>
    <row r="206" spans="1:7" x14ac:dyDescent="0.25">
      <c r="A206" s="8">
        <v>42703.859722222223</v>
      </c>
      <c r="B206" s="21" t="s">
        <v>218</v>
      </c>
      <c r="C206" s="21" t="s">
        <v>732</v>
      </c>
      <c r="D206" s="21">
        <v>920000</v>
      </c>
      <c r="E206" s="21" t="s">
        <v>254</v>
      </c>
      <c r="F206" s="21" t="str">
        <f t="shared" si="6"/>
        <v>rtdc.l.rtdc.4012:itc</v>
      </c>
      <c r="G206" s="8">
        <f t="shared" si="7"/>
        <v>42703.859722222223</v>
      </c>
    </row>
    <row r="207" spans="1:7" x14ac:dyDescent="0.25">
      <c r="A207" s="8">
        <v>42703.868391203701</v>
      </c>
      <c r="B207" s="21" t="s">
        <v>272</v>
      </c>
      <c r="C207" s="21" t="s">
        <v>733</v>
      </c>
      <c r="D207" s="21">
        <v>1180000</v>
      </c>
      <c r="E207" s="21" t="s">
        <v>336</v>
      </c>
      <c r="F207" s="21" t="str">
        <f t="shared" si="6"/>
        <v>rtdc.l.rtdc.4003:itc</v>
      </c>
      <c r="G207" s="8">
        <f t="shared" si="7"/>
        <v>42703.868391203701</v>
      </c>
    </row>
    <row r="208" spans="1:7" x14ac:dyDescent="0.25">
      <c r="A208" s="8">
        <v>42703.874490740738</v>
      </c>
      <c r="B208" s="21" t="s">
        <v>210</v>
      </c>
      <c r="C208" s="21" t="s">
        <v>734</v>
      </c>
      <c r="D208" s="21">
        <v>2000000</v>
      </c>
      <c r="E208" s="21" t="s">
        <v>217</v>
      </c>
      <c r="F208" s="21" t="str">
        <f t="shared" si="6"/>
        <v>rtdc.l.rtdc.4011:itc</v>
      </c>
      <c r="G208" s="8">
        <f t="shared" si="7"/>
        <v>42703.874490740738</v>
      </c>
    </row>
    <row r="209" spans="1:7" x14ac:dyDescent="0.25">
      <c r="A209" s="8">
        <v>42703.888495370367</v>
      </c>
      <c r="B209" s="21" t="s">
        <v>238</v>
      </c>
      <c r="C209" s="21" t="s">
        <v>735</v>
      </c>
      <c r="D209" s="21">
        <v>1800000</v>
      </c>
      <c r="E209" s="21" t="s">
        <v>288</v>
      </c>
      <c r="F209" s="21" t="str">
        <f t="shared" si="6"/>
        <v>rtdc.l.rtdc.4013:itc</v>
      </c>
      <c r="G209" s="8">
        <f t="shared" si="7"/>
        <v>42703.888495370367</v>
      </c>
    </row>
    <row r="210" spans="1:7" x14ac:dyDescent="0.25">
      <c r="A210" s="8">
        <v>42703.893483796295</v>
      </c>
      <c r="B210" s="21" t="s">
        <v>213</v>
      </c>
      <c r="C210" s="21" t="s">
        <v>736</v>
      </c>
      <c r="D210" s="21">
        <v>1290000</v>
      </c>
      <c r="E210" s="21" t="s">
        <v>337</v>
      </c>
      <c r="F210" s="21" t="str">
        <f t="shared" si="6"/>
        <v>rtdc.l.rtdc.4040:itc</v>
      </c>
      <c r="G210" s="8">
        <f t="shared" si="7"/>
        <v>42703.893483796295</v>
      </c>
    </row>
    <row r="211" spans="1:7" x14ac:dyDescent="0.25">
      <c r="A211" s="8">
        <v>42703.899421296293</v>
      </c>
      <c r="B211" s="21" t="s">
        <v>332</v>
      </c>
      <c r="C211" s="21" t="s">
        <v>737</v>
      </c>
      <c r="D211" s="21">
        <v>1230000</v>
      </c>
      <c r="E211" s="21" t="s">
        <v>364</v>
      </c>
      <c r="F211" s="21" t="str">
        <f t="shared" si="6"/>
        <v>rtdc.l.rtdc.4016:itc</v>
      </c>
      <c r="G211" s="8">
        <f t="shared" si="7"/>
        <v>42703.899421296293</v>
      </c>
    </row>
    <row r="212" spans="1:7" x14ac:dyDescent="0.25">
      <c r="A212" s="8">
        <v>42703.900682870371</v>
      </c>
      <c r="B212" s="21" t="s">
        <v>218</v>
      </c>
      <c r="C212" s="21" t="s">
        <v>738</v>
      </c>
      <c r="D212" s="21">
        <v>2000000</v>
      </c>
      <c r="E212" s="21" t="s">
        <v>217</v>
      </c>
      <c r="F212" s="21" t="str">
        <f t="shared" si="6"/>
        <v>rtdc.l.rtdc.4012:itc</v>
      </c>
      <c r="G212" s="8">
        <f t="shared" si="7"/>
        <v>42703.900682870371</v>
      </c>
    </row>
    <row r="213" spans="1:7" x14ac:dyDescent="0.25">
      <c r="A213" s="8">
        <v>42703.907743055555</v>
      </c>
      <c r="B213" s="21" t="s">
        <v>273</v>
      </c>
      <c r="C213" s="21" t="s">
        <v>739</v>
      </c>
      <c r="D213" s="21">
        <v>1180000</v>
      </c>
      <c r="E213" s="21" t="s">
        <v>336</v>
      </c>
      <c r="F213" s="21" t="str">
        <f t="shared" si="6"/>
        <v>rtdc.l.rtdc.4004:itc</v>
      </c>
      <c r="G213" s="8">
        <f t="shared" si="7"/>
        <v>42703.907743055555</v>
      </c>
    </row>
    <row r="214" spans="1:7" x14ac:dyDescent="0.25">
      <c r="A214" s="8">
        <v>42703.914490740739</v>
      </c>
      <c r="B214" s="21" t="s">
        <v>210</v>
      </c>
      <c r="C214" s="21" t="s">
        <v>740</v>
      </c>
      <c r="D214" s="21">
        <v>2000000</v>
      </c>
      <c r="E214" s="21" t="s">
        <v>217</v>
      </c>
      <c r="F214" s="21" t="str">
        <f t="shared" si="6"/>
        <v>rtdc.l.rtdc.4011:itc</v>
      </c>
      <c r="G214" s="8">
        <f t="shared" si="7"/>
        <v>42703.914490740739</v>
      </c>
    </row>
    <row r="215" spans="1:7" x14ac:dyDescent="0.25">
      <c r="A215" s="8">
        <v>42703.931076388886</v>
      </c>
      <c r="B215" s="21" t="s">
        <v>215</v>
      </c>
      <c r="C215" s="21" t="s">
        <v>741</v>
      </c>
      <c r="D215" s="21">
        <v>1290000</v>
      </c>
      <c r="E215" s="21" t="s">
        <v>337</v>
      </c>
      <c r="F215" s="21" t="str">
        <f t="shared" si="6"/>
        <v>rtdc.l.rtdc.4039:itc</v>
      </c>
      <c r="G215" s="8">
        <f t="shared" si="7"/>
        <v>42703.931076388886</v>
      </c>
    </row>
    <row r="216" spans="1:7" x14ac:dyDescent="0.25">
      <c r="A216" s="8">
        <v>42703.935995370368</v>
      </c>
      <c r="B216" s="21" t="s">
        <v>237</v>
      </c>
      <c r="C216" s="21" t="s">
        <v>742</v>
      </c>
      <c r="D216" s="21">
        <v>1800000</v>
      </c>
      <c r="E216" s="21" t="s">
        <v>288</v>
      </c>
      <c r="F216" s="21" t="str">
        <f t="shared" si="6"/>
        <v>rtdc.l.rtdc.4014:itc</v>
      </c>
      <c r="G216" s="8">
        <f t="shared" si="7"/>
        <v>42703.935995370368</v>
      </c>
    </row>
    <row r="217" spans="1:7" x14ac:dyDescent="0.25">
      <c r="A217" s="8">
        <v>42703.941620370373</v>
      </c>
      <c r="B217" s="21" t="s">
        <v>218</v>
      </c>
      <c r="C217" s="21" t="s">
        <v>743</v>
      </c>
      <c r="D217" s="21">
        <v>2000000</v>
      </c>
      <c r="E217" s="21" t="s">
        <v>217</v>
      </c>
      <c r="F217" s="21" t="str">
        <f t="shared" si="6"/>
        <v>rtdc.l.rtdc.4012:itc</v>
      </c>
      <c r="G217" s="8">
        <f t="shared" si="7"/>
        <v>42703.941620370373</v>
      </c>
    </row>
    <row r="218" spans="1:7" x14ac:dyDescent="0.25">
      <c r="A218" s="8">
        <v>42703.942928240744</v>
      </c>
      <c r="B218" s="21" t="s">
        <v>334</v>
      </c>
      <c r="C218" s="21" t="s">
        <v>744</v>
      </c>
      <c r="D218" s="21">
        <v>1230000</v>
      </c>
      <c r="E218" s="21" t="s">
        <v>364</v>
      </c>
      <c r="F218" s="21" t="str">
        <f t="shared" si="6"/>
        <v>rtdc.l.rtdc.4015:itc</v>
      </c>
      <c r="G218" s="8">
        <f t="shared" si="7"/>
        <v>42703.942928240744</v>
      </c>
    </row>
    <row r="219" spans="1:7" x14ac:dyDescent="0.25">
      <c r="A219" s="8">
        <v>42703.955034722225</v>
      </c>
      <c r="B219" s="21" t="s">
        <v>272</v>
      </c>
      <c r="C219" s="21" t="s">
        <v>745</v>
      </c>
      <c r="D219" s="21">
        <v>1180000</v>
      </c>
      <c r="E219" s="21" t="s">
        <v>336</v>
      </c>
      <c r="F219" s="21" t="str">
        <f t="shared" si="6"/>
        <v>rtdc.l.rtdc.4003:itc</v>
      </c>
      <c r="G219" s="8">
        <f t="shared" si="7"/>
        <v>42703.955034722225</v>
      </c>
    </row>
    <row r="220" spans="1:7" x14ac:dyDescent="0.25">
      <c r="A220" s="8">
        <v>42703.974918981483</v>
      </c>
      <c r="B220" s="21" t="s">
        <v>238</v>
      </c>
      <c r="C220" s="21" t="s">
        <v>746</v>
      </c>
      <c r="D220" s="21">
        <v>1800000</v>
      </c>
      <c r="E220" s="21" t="s">
        <v>288</v>
      </c>
      <c r="F220" s="21" t="str">
        <f t="shared" si="6"/>
        <v>rtdc.l.rtdc.4013:itc</v>
      </c>
      <c r="G220" s="8">
        <f t="shared" si="7"/>
        <v>42703.974918981483</v>
      </c>
    </row>
    <row r="221" spans="1:7" x14ac:dyDescent="0.25">
      <c r="A221" s="8">
        <v>42703.976898148147</v>
      </c>
      <c r="B221" s="21" t="s">
        <v>213</v>
      </c>
      <c r="C221" s="21" t="s">
        <v>747</v>
      </c>
      <c r="D221" s="21">
        <v>1290000</v>
      </c>
      <c r="E221" s="21" t="s">
        <v>337</v>
      </c>
      <c r="F221" s="21" t="str">
        <f t="shared" si="6"/>
        <v>rtdc.l.rtdc.4040:itc</v>
      </c>
      <c r="G221" s="8">
        <f t="shared" si="7"/>
        <v>42703.976898148147</v>
      </c>
    </row>
    <row r="222" spans="1:7" x14ac:dyDescent="0.25">
      <c r="A222" s="8">
        <v>42703.983888888892</v>
      </c>
      <c r="B222" s="21" t="s">
        <v>332</v>
      </c>
      <c r="C222" s="21" t="s">
        <v>748</v>
      </c>
      <c r="D222" s="21">
        <v>1230000</v>
      </c>
      <c r="E222" s="21" t="s">
        <v>364</v>
      </c>
      <c r="F222" s="21" t="str">
        <f t="shared" si="6"/>
        <v>rtdc.l.rtdc.4016:itc</v>
      </c>
      <c r="G222" s="8">
        <f t="shared" si="7"/>
        <v>42703.983888888892</v>
      </c>
    </row>
    <row r="223" spans="1:7" x14ac:dyDescent="0.25">
      <c r="A223" s="8">
        <v>42703.992002314815</v>
      </c>
      <c r="B223" s="21" t="s">
        <v>273</v>
      </c>
      <c r="C223" s="21" t="s">
        <v>749</v>
      </c>
      <c r="D223" s="21">
        <v>1180000</v>
      </c>
      <c r="E223" s="21" t="s">
        <v>336</v>
      </c>
      <c r="F223" s="21" t="str">
        <f t="shared" si="6"/>
        <v>rtdc.l.rtdc.4004:itc</v>
      </c>
      <c r="G223" s="8">
        <f t="shared" si="7"/>
        <v>42703.992002314815</v>
      </c>
    </row>
    <row r="224" spans="1:7" x14ac:dyDescent="0.25">
      <c r="A224" s="8">
        <v>42704.013599537036</v>
      </c>
      <c r="B224" t="s">
        <v>215</v>
      </c>
      <c r="C224" t="s">
        <v>750</v>
      </c>
      <c r="D224">
        <v>1290000</v>
      </c>
      <c r="E224" t="s">
        <v>337</v>
      </c>
      <c r="F224" s="21" t="str">
        <f t="shared" si="6"/>
        <v>rtdc.l.rtdc.4039:itc</v>
      </c>
      <c r="G224" s="8">
        <f t="shared" si="7"/>
        <v>42704.013599537036</v>
      </c>
    </row>
    <row r="225" spans="1:7" x14ac:dyDescent="0.25">
      <c r="A225" s="8">
        <v>42704.015474537038</v>
      </c>
      <c r="B225" t="s">
        <v>237</v>
      </c>
      <c r="C225" t="s">
        <v>751</v>
      </c>
      <c r="D225">
        <v>1800000</v>
      </c>
      <c r="E225" t="s">
        <v>288</v>
      </c>
      <c r="F225" s="21" t="str">
        <f t="shared" si="6"/>
        <v>rtdc.l.rtdc.4014:itc</v>
      </c>
      <c r="G225" s="8">
        <f t="shared" si="7"/>
        <v>42704.015474537038</v>
      </c>
    </row>
    <row r="226" spans="1:7" x14ac:dyDescent="0.25">
      <c r="A226" s="8">
        <v>42704.027627314812</v>
      </c>
      <c r="B226" t="s">
        <v>272</v>
      </c>
      <c r="C226" t="s">
        <v>752</v>
      </c>
      <c r="D226">
        <v>1180000</v>
      </c>
      <c r="E226" t="s">
        <v>336</v>
      </c>
      <c r="F226" s="21" t="str">
        <f t="shared" si="6"/>
        <v>rtdc.l.rtdc.4003:itc</v>
      </c>
      <c r="G226" s="8">
        <f t="shared" si="7"/>
        <v>42704.027627314812</v>
      </c>
    </row>
    <row r="227" spans="1:7" x14ac:dyDescent="0.25">
      <c r="A227" s="8">
        <v>42704.027766203704</v>
      </c>
      <c r="B227" t="s">
        <v>334</v>
      </c>
      <c r="C227" t="s">
        <v>753</v>
      </c>
      <c r="D227">
        <v>1230000</v>
      </c>
      <c r="E227" t="s">
        <v>364</v>
      </c>
      <c r="F227" s="21" t="str">
        <f t="shared" si="6"/>
        <v>rtdc.l.rtdc.4015:itc</v>
      </c>
      <c r="G227" s="8">
        <f t="shared" si="7"/>
        <v>42704.027766203704</v>
      </c>
    </row>
    <row r="228" spans="1:7" x14ac:dyDescent="0.25">
      <c r="A228" s="8">
        <v>42704.028726851851</v>
      </c>
      <c r="B228" t="s">
        <v>272</v>
      </c>
      <c r="C228" t="s">
        <v>752</v>
      </c>
      <c r="D228">
        <v>1180000</v>
      </c>
      <c r="E228" t="s">
        <v>336</v>
      </c>
      <c r="F228" s="21" t="str">
        <f t="shared" si="6"/>
        <v>rtdc.l.rtdc.4003:itc</v>
      </c>
      <c r="G228" s="8">
        <f t="shared" si="7"/>
        <v>42704.028726851851</v>
      </c>
    </row>
    <row r="229" spans="1:7" x14ac:dyDescent="0.25">
      <c r="A229" s="8">
        <v>42704.046550925923</v>
      </c>
      <c r="B229" t="s">
        <v>213</v>
      </c>
      <c r="C229" t="s">
        <v>754</v>
      </c>
      <c r="D229">
        <v>1290000</v>
      </c>
      <c r="E229" t="s">
        <v>337</v>
      </c>
      <c r="F229" s="21" t="str">
        <f t="shared" si="6"/>
        <v>rtdc.l.rtdc.4040:itc</v>
      </c>
      <c r="G229" s="8">
        <f t="shared" si="7"/>
        <v>42704.046550925923</v>
      </c>
    </row>
    <row r="230" spans="1:7" x14ac:dyDescent="0.25">
      <c r="A230" s="8">
        <v>42704.048726851855</v>
      </c>
      <c r="B230" t="s">
        <v>213</v>
      </c>
      <c r="C230" t="s">
        <v>754</v>
      </c>
      <c r="D230">
        <v>1290000</v>
      </c>
      <c r="E230" t="s">
        <v>337</v>
      </c>
      <c r="F230" s="21" t="str">
        <f t="shared" si="6"/>
        <v>rtdc.l.rtdc.4040:itc</v>
      </c>
      <c r="G230" s="8">
        <f t="shared" si="7"/>
        <v>42704.048726851855</v>
      </c>
    </row>
    <row r="231" spans="1:7" x14ac:dyDescent="0.25">
      <c r="A231" s="8">
        <v>42704.056481481479</v>
      </c>
      <c r="B231" t="s">
        <v>238</v>
      </c>
      <c r="C231" t="s">
        <v>755</v>
      </c>
      <c r="D231">
        <v>1800000</v>
      </c>
      <c r="E231" t="s">
        <v>288</v>
      </c>
      <c r="F231" s="21" t="str">
        <f t="shared" si="6"/>
        <v>rtdc.l.rtdc.4013:itc</v>
      </c>
      <c r="G231" s="8">
        <f t="shared" si="7"/>
        <v>42704.056481481479</v>
      </c>
    </row>
    <row r="232" spans="1:7" x14ac:dyDescent="0.25">
      <c r="A232" s="8">
        <v>42704.066064814811</v>
      </c>
      <c r="B232" t="s">
        <v>332</v>
      </c>
      <c r="C232" t="s">
        <v>756</v>
      </c>
      <c r="D232">
        <v>1230000</v>
      </c>
      <c r="E232" t="s">
        <v>364</v>
      </c>
      <c r="F232" s="21" t="str">
        <f t="shared" si="6"/>
        <v>rtdc.l.rtdc.4016:itc</v>
      </c>
      <c r="G232" s="8">
        <f t="shared" si="7"/>
        <v>42704.066064814811</v>
      </c>
    </row>
    <row r="233" spans="1:7" x14ac:dyDescent="0.25">
      <c r="A233" s="8">
        <v>42703.028275462966</v>
      </c>
      <c r="B233" t="s">
        <v>318</v>
      </c>
      <c r="C233" t="s">
        <v>365</v>
      </c>
      <c r="D233">
        <v>1180000</v>
      </c>
      <c r="E233" t="s">
        <v>336</v>
      </c>
      <c r="F233" s="21" t="str">
        <f t="shared" si="6"/>
        <v>rtdc.l.rtdc.4025:itc</v>
      </c>
      <c r="G233" s="8">
        <f t="shared" si="7"/>
        <v>42703.028275462966</v>
      </c>
    </row>
    <row r="234" spans="1:7" x14ac:dyDescent="0.25">
      <c r="A234" s="8">
        <v>42703.046053240738</v>
      </c>
      <c r="B234" t="s">
        <v>225</v>
      </c>
      <c r="C234" t="s">
        <v>366</v>
      </c>
      <c r="D234">
        <v>1810000</v>
      </c>
      <c r="E234" t="s">
        <v>363</v>
      </c>
      <c r="F234" s="21" t="str">
        <f t="shared" si="6"/>
        <v>rtdc.l.rtdc.4038:itc</v>
      </c>
      <c r="G234" s="8">
        <f t="shared" si="7"/>
        <v>42703.046053240738</v>
      </c>
    </row>
    <row r="235" spans="1:7" x14ac:dyDescent="0.25">
      <c r="A235" s="8">
        <v>42703.047199074077</v>
      </c>
      <c r="B235" t="s">
        <v>225</v>
      </c>
      <c r="C235" t="s">
        <v>366</v>
      </c>
      <c r="D235">
        <v>1810000</v>
      </c>
      <c r="E235" t="s">
        <v>363</v>
      </c>
      <c r="F235" s="21" t="str">
        <f t="shared" si="6"/>
        <v>rtdc.l.rtdc.4038:itc</v>
      </c>
      <c r="G235" s="8">
        <f t="shared" si="7"/>
        <v>42703.047199074077</v>
      </c>
    </row>
    <row r="236" spans="1:7" x14ac:dyDescent="0.25">
      <c r="A236" s="8">
        <v>42703.057592592595</v>
      </c>
      <c r="B236" t="s">
        <v>264</v>
      </c>
      <c r="C236" t="s">
        <v>367</v>
      </c>
      <c r="D236">
        <v>1800000</v>
      </c>
      <c r="E236" t="s">
        <v>288</v>
      </c>
      <c r="F236" s="21" t="str">
        <f t="shared" ref="F236:F265" si="8">B236</f>
        <v>rtdc.l.rtdc.4041:itc</v>
      </c>
      <c r="G236" s="8">
        <f t="shared" ref="G236:G265" si="9">A236</f>
        <v>42703.057592592595</v>
      </c>
    </row>
    <row r="237" spans="1:7" x14ac:dyDescent="0.25">
      <c r="A237" s="8">
        <v>42703.066793981481</v>
      </c>
      <c r="B237" t="s">
        <v>220</v>
      </c>
      <c r="C237" t="s">
        <v>368</v>
      </c>
      <c r="D237">
        <v>1230000</v>
      </c>
      <c r="E237" t="s">
        <v>364</v>
      </c>
      <c r="F237" s="21" t="str">
        <f t="shared" si="8"/>
        <v>rtdc.l.rtdc.4002:itc</v>
      </c>
      <c r="G237" s="8">
        <f t="shared" si="9"/>
        <v>42703.066793981481</v>
      </c>
    </row>
    <row r="238" spans="1:7" x14ac:dyDescent="0.25">
      <c r="A238" s="8">
        <v>42699.942499999997</v>
      </c>
      <c r="B238" t="s">
        <v>273</v>
      </c>
      <c r="C238" t="s">
        <v>292</v>
      </c>
      <c r="D238">
        <v>2610000</v>
      </c>
      <c r="E238" t="s">
        <v>222</v>
      </c>
      <c r="F238" s="21" t="str">
        <f t="shared" si="8"/>
        <v>rtdc.l.rtdc.4004:itc</v>
      </c>
      <c r="G238" s="8">
        <f t="shared" si="9"/>
        <v>42699.942499999997</v>
      </c>
    </row>
    <row r="239" spans="1:7" x14ac:dyDescent="0.25">
      <c r="A239" s="8">
        <v>42699.951481481483</v>
      </c>
      <c r="B239" t="s">
        <v>238</v>
      </c>
      <c r="C239" t="s">
        <v>293</v>
      </c>
      <c r="D239">
        <v>1800000</v>
      </c>
      <c r="E239" t="s">
        <v>288</v>
      </c>
      <c r="F239" s="21" t="str">
        <f t="shared" si="8"/>
        <v>rtdc.l.rtdc.4013:itc</v>
      </c>
      <c r="G239" s="8">
        <f t="shared" si="9"/>
        <v>42699.951481481483</v>
      </c>
    </row>
    <row r="240" spans="1:7" x14ac:dyDescent="0.25">
      <c r="A240" s="8">
        <v>42699.9528125</v>
      </c>
      <c r="B240" t="s">
        <v>213</v>
      </c>
      <c r="C240" t="s">
        <v>294</v>
      </c>
      <c r="D240">
        <v>2600000</v>
      </c>
      <c r="E240" t="s">
        <v>265</v>
      </c>
      <c r="F240" s="21" t="str">
        <f t="shared" si="8"/>
        <v>rtdc.l.rtdc.4040:itc</v>
      </c>
      <c r="G240" s="8">
        <f t="shared" si="9"/>
        <v>42699.9528125</v>
      </c>
    </row>
    <row r="241" spans="1:7" x14ac:dyDescent="0.25">
      <c r="A241" s="8">
        <v>42699.954050925924</v>
      </c>
      <c r="B241" t="s">
        <v>154</v>
      </c>
      <c r="C241" t="s">
        <v>290</v>
      </c>
      <c r="D241">
        <v>2530000</v>
      </c>
      <c r="E241" t="s">
        <v>289</v>
      </c>
      <c r="F241" s="21" t="str">
        <f t="shared" si="8"/>
        <v>rtdc.l.rtdc.4051:itc</v>
      </c>
      <c r="G241" s="8">
        <f t="shared" si="9"/>
        <v>42699.954050925924</v>
      </c>
    </row>
    <row r="242" spans="1:7" x14ac:dyDescent="0.25">
      <c r="A242" s="8">
        <v>42699.963761574072</v>
      </c>
      <c r="B242" t="s">
        <v>253</v>
      </c>
      <c r="C242" t="s">
        <v>295</v>
      </c>
      <c r="D242">
        <v>2630000</v>
      </c>
      <c r="E242" t="s">
        <v>266</v>
      </c>
      <c r="F242" s="21" t="str">
        <f t="shared" si="8"/>
        <v>rtdc.l.rtdc.4046:itc</v>
      </c>
      <c r="G242" s="8">
        <f t="shared" si="9"/>
        <v>42699.963761574072</v>
      </c>
    </row>
    <row r="243" spans="1:7" x14ac:dyDescent="0.25">
      <c r="A243" s="8">
        <v>42699.971608796295</v>
      </c>
      <c r="B243" t="s">
        <v>264</v>
      </c>
      <c r="C243" t="s">
        <v>296</v>
      </c>
      <c r="D243">
        <v>2000000</v>
      </c>
      <c r="E243" t="s">
        <v>217</v>
      </c>
      <c r="F243" s="21" t="str">
        <f t="shared" si="8"/>
        <v>rtdc.l.rtdc.4041:itc</v>
      </c>
      <c r="G243" s="8">
        <f t="shared" si="9"/>
        <v>42699.971608796295</v>
      </c>
    </row>
    <row r="244" spans="1:7" x14ac:dyDescent="0.25">
      <c r="A244" s="8">
        <v>42699.974247685182</v>
      </c>
      <c r="B244" t="s">
        <v>155</v>
      </c>
      <c r="C244" t="s">
        <v>291</v>
      </c>
      <c r="D244">
        <v>2530000</v>
      </c>
      <c r="E244" t="s">
        <v>289</v>
      </c>
      <c r="F244" s="21" t="str">
        <f t="shared" si="8"/>
        <v>rtdc.l.rtdc.4052:itc</v>
      </c>
      <c r="G244" s="8">
        <f t="shared" si="9"/>
        <v>42699.974247685182</v>
      </c>
    </row>
    <row r="245" spans="1:7" x14ac:dyDescent="0.25">
      <c r="A245" s="8">
        <v>42699.978321759256</v>
      </c>
      <c r="B245" t="s">
        <v>253</v>
      </c>
      <c r="C245" t="s">
        <v>295</v>
      </c>
      <c r="D245">
        <v>2630000</v>
      </c>
      <c r="E245" t="s">
        <v>266</v>
      </c>
      <c r="F245" s="21" t="str">
        <f t="shared" si="8"/>
        <v>rtdc.l.rtdc.4046:itc</v>
      </c>
      <c r="G245" s="8">
        <f t="shared" si="9"/>
        <v>42699.978321759256</v>
      </c>
    </row>
    <row r="246" spans="1:7" x14ac:dyDescent="0.25">
      <c r="A246" s="8">
        <v>42699.992013888892</v>
      </c>
      <c r="B246" t="s">
        <v>237</v>
      </c>
      <c r="C246" t="s">
        <v>297</v>
      </c>
      <c r="D246">
        <v>1800000</v>
      </c>
      <c r="E246" t="s">
        <v>288</v>
      </c>
      <c r="F246" s="21" t="str">
        <f t="shared" si="8"/>
        <v>rtdc.l.rtdc.4014:itc</v>
      </c>
      <c r="G246" s="8">
        <f t="shared" si="9"/>
        <v>42699.992013888892</v>
      </c>
    </row>
    <row r="247" spans="1:7" x14ac:dyDescent="0.25">
      <c r="A247" s="8">
        <v>42699.99428240741</v>
      </c>
      <c r="B247" t="s">
        <v>215</v>
      </c>
      <c r="C247" t="s">
        <v>298</v>
      </c>
      <c r="D247">
        <v>2600000</v>
      </c>
      <c r="E247" t="s">
        <v>265</v>
      </c>
      <c r="F247" s="21" t="str">
        <f t="shared" si="8"/>
        <v>rtdc.l.rtdc.4039:itc</v>
      </c>
      <c r="G247" s="8">
        <f t="shared" si="9"/>
        <v>42699.99428240741</v>
      </c>
    </row>
    <row r="248" spans="1:7" x14ac:dyDescent="0.25">
      <c r="A248" s="8">
        <v>42700.005150462966</v>
      </c>
      <c r="B248" t="s">
        <v>263</v>
      </c>
      <c r="C248" t="s">
        <v>299</v>
      </c>
      <c r="D248">
        <v>2000000</v>
      </c>
      <c r="E248" t="s">
        <v>217</v>
      </c>
      <c r="F248" s="21" t="str">
        <f t="shared" si="8"/>
        <v>rtdc.l.rtdc.4042:itc</v>
      </c>
      <c r="G248" s="8">
        <f t="shared" si="9"/>
        <v>42700.005150462966</v>
      </c>
    </row>
    <row r="249" spans="1:7" x14ac:dyDescent="0.25">
      <c r="A249" s="8">
        <v>42700.015486111108</v>
      </c>
      <c r="B249" t="s">
        <v>252</v>
      </c>
      <c r="C249" t="s">
        <v>300</v>
      </c>
      <c r="D249">
        <v>2630000</v>
      </c>
      <c r="E249" t="s">
        <v>266</v>
      </c>
      <c r="F249" s="21" t="str">
        <f t="shared" si="8"/>
        <v>rtdc.l.rtdc.4045:itc</v>
      </c>
      <c r="G249" s="8">
        <f t="shared" si="9"/>
        <v>42700.015486111108</v>
      </c>
    </row>
    <row r="250" spans="1:7" x14ac:dyDescent="0.25">
      <c r="A250" s="8">
        <v>42700.022650462961</v>
      </c>
      <c r="B250" t="s">
        <v>154</v>
      </c>
      <c r="C250" t="s">
        <v>290</v>
      </c>
      <c r="D250">
        <v>2530000</v>
      </c>
      <c r="E250" t="s">
        <v>289</v>
      </c>
      <c r="F250" s="21" t="str">
        <f t="shared" si="8"/>
        <v>rtdc.l.rtdc.4051:itc</v>
      </c>
      <c r="G250" s="8">
        <f t="shared" si="9"/>
        <v>42700.022650462961</v>
      </c>
    </row>
    <row r="251" spans="1:7" x14ac:dyDescent="0.25">
      <c r="A251" s="8">
        <v>42700.032500000001</v>
      </c>
      <c r="B251" t="s">
        <v>238</v>
      </c>
      <c r="C251" t="s">
        <v>287</v>
      </c>
      <c r="D251">
        <v>1800000</v>
      </c>
      <c r="E251" t="s">
        <v>288</v>
      </c>
      <c r="F251" s="21" t="str">
        <f t="shared" si="8"/>
        <v>rtdc.l.rtdc.4013:itc</v>
      </c>
      <c r="G251" s="8">
        <f t="shared" si="9"/>
        <v>42700.032500000001</v>
      </c>
    </row>
    <row r="252" spans="1:7" x14ac:dyDescent="0.25">
      <c r="A252" s="8">
        <v>42700.037488425929</v>
      </c>
      <c r="B252" t="s">
        <v>213</v>
      </c>
      <c r="C252" t="s">
        <v>301</v>
      </c>
      <c r="D252">
        <v>2600000</v>
      </c>
      <c r="E252" t="s">
        <v>265</v>
      </c>
      <c r="F252" s="21" t="str">
        <f t="shared" si="8"/>
        <v>rtdc.l.rtdc.4040:itc</v>
      </c>
      <c r="G252" s="8">
        <f t="shared" si="9"/>
        <v>42700.037488425929</v>
      </c>
    </row>
    <row r="253" spans="1:7" x14ac:dyDescent="0.25">
      <c r="A253" s="8">
        <v>42700.045208333337</v>
      </c>
      <c r="B253" t="s">
        <v>155</v>
      </c>
      <c r="C253" t="s">
        <v>291</v>
      </c>
      <c r="D253">
        <v>2530000</v>
      </c>
      <c r="E253" t="s">
        <v>289</v>
      </c>
      <c r="F253" s="21" t="str">
        <f t="shared" si="8"/>
        <v>rtdc.l.rtdc.4052:itc</v>
      </c>
      <c r="G253" s="8">
        <f t="shared" si="9"/>
        <v>42700.045208333337</v>
      </c>
    </row>
    <row r="254" spans="1:7" x14ac:dyDescent="0.25">
      <c r="A254" s="8">
        <v>42700.045347222222</v>
      </c>
      <c r="B254" t="s">
        <v>253</v>
      </c>
      <c r="C254" t="s">
        <v>302</v>
      </c>
      <c r="D254">
        <v>2630000</v>
      </c>
      <c r="E254" t="s">
        <v>266</v>
      </c>
      <c r="F254" s="21" t="str">
        <f t="shared" si="8"/>
        <v>rtdc.l.rtdc.4046:itc</v>
      </c>
      <c r="G254" s="8">
        <f t="shared" si="9"/>
        <v>42700.045347222222</v>
      </c>
    </row>
    <row r="255" spans="1:7" x14ac:dyDescent="0.25">
      <c r="A255" s="8">
        <v>42700.053495370368</v>
      </c>
      <c r="B255" t="s">
        <v>264</v>
      </c>
      <c r="C255" t="s">
        <v>303</v>
      </c>
      <c r="D255">
        <v>2000000</v>
      </c>
      <c r="E255" t="s">
        <v>217</v>
      </c>
      <c r="F255" s="21" t="str">
        <f t="shared" si="8"/>
        <v>rtdc.l.rtdc.4041:itc</v>
      </c>
      <c r="G255" s="8">
        <f t="shared" si="9"/>
        <v>42700.053495370368</v>
      </c>
    </row>
    <row r="256" spans="1:7" x14ac:dyDescent="0.25">
      <c r="A256" s="8">
        <v>42700.064895833333</v>
      </c>
      <c r="B256" t="s">
        <v>154</v>
      </c>
      <c r="C256" t="s">
        <v>290</v>
      </c>
      <c r="D256">
        <v>2530000</v>
      </c>
      <c r="E256" t="s">
        <v>289</v>
      </c>
      <c r="F256" s="21" t="str">
        <f t="shared" si="8"/>
        <v>rtdc.l.rtdc.4051:itc</v>
      </c>
      <c r="G256" s="8">
        <f t="shared" si="9"/>
        <v>42700.064895833333</v>
      </c>
    </row>
    <row r="257" spans="1:7" x14ac:dyDescent="0.25">
      <c r="A257" s="8">
        <v>42700.072881944441</v>
      </c>
      <c r="B257" t="s">
        <v>237</v>
      </c>
      <c r="C257" t="s">
        <v>304</v>
      </c>
      <c r="D257">
        <v>1800000</v>
      </c>
      <c r="E257" t="s">
        <v>288</v>
      </c>
      <c r="F257" s="21" t="str">
        <f t="shared" si="8"/>
        <v>rtdc.l.rtdc.4014:itc</v>
      </c>
      <c r="G257" s="8">
        <f t="shared" si="9"/>
        <v>42700.072881944441</v>
      </c>
    </row>
    <row r="258" spans="1:7" x14ac:dyDescent="0.25">
      <c r="A258" s="8">
        <v>42700.07576388889</v>
      </c>
      <c r="B258" t="s">
        <v>215</v>
      </c>
      <c r="C258" t="s">
        <v>305</v>
      </c>
      <c r="D258">
        <v>2600000</v>
      </c>
      <c r="E258" t="s">
        <v>265</v>
      </c>
      <c r="F258" s="21" t="str">
        <f t="shared" si="8"/>
        <v>rtdc.l.rtdc.4039:itc</v>
      </c>
      <c r="G258" s="8">
        <f t="shared" si="9"/>
        <v>42700.07576388889</v>
      </c>
    </row>
    <row r="259" spans="1:7" x14ac:dyDescent="0.25">
      <c r="A259" s="8">
        <v>42700.083275462966</v>
      </c>
      <c r="B259" t="s">
        <v>155</v>
      </c>
      <c r="C259" t="s">
        <v>291</v>
      </c>
      <c r="D259">
        <v>2530000</v>
      </c>
      <c r="E259" t="s">
        <v>289</v>
      </c>
      <c r="F259" s="21" t="str">
        <f t="shared" si="8"/>
        <v>rtdc.l.rtdc.4052:itc</v>
      </c>
      <c r="G259" s="8">
        <f t="shared" si="9"/>
        <v>42700.083275462966</v>
      </c>
    </row>
    <row r="260" spans="1:7" x14ac:dyDescent="0.25">
      <c r="A260" s="8">
        <v>42700.08734953704</v>
      </c>
      <c r="B260" t="s">
        <v>263</v>
      </c>
      <c r="C260" t="s">
        <v>306</v>
      </c>
      <c r="D260">
        <v>2000000</v>
      </c>
      <c r="E260" t="s">
        <v>217</v>
      </c>
      <c r="F260" s="21" t="str">
        <f t="shared" si="8"/>
        <v>rtdc.l.rtdc.4042:itc</v>
      </c>
      <c r="G260" s="8">
        <f t="shared" si="9"/>
        <v>42700.08734953704</v>
      </c>
    </row>
    <row r="261" spans="1:7" x14ac:dyDescent="0.25">
      <c r="A261" s="8">
        <v>42700.106736111113</v>
      </c>
      <c r="B261" t="s">
        <v>154</v>
      </c>
      <c r="C261" t="s">
        <v>290</v>
      </c>
      <c r="D261">
        <v>2530000</v>
      </c>
      <c r="E261" t="s">
        <v>289</v>
      </c>
      <c r="F261" s="21" t="str">
        <f t="shared" si="8"/>
        <v>rtdc.l.rtdc.4051:itc</v>
      </c>
      <c r="G261" s="8">
        <f t="shared" si="9"/>
        <v>42700.106736111113</v>
      </c>
    </row>
    <row r="262" spans="1:7" x14ac:dyDescent="0.25">
      <c r="A262" s="8">
        <v>42700.111076388886</v>
      </c>
      <c r="B262" t="s">
        <v>213</v>
      </c>
      <c r="C262" t="s">
        <v>307</v>
      </c>
      <c r="D262">
        <v>2600000</v>
      </c>
      <c r="E262" t="s">
        <v>265</v>
      </c>
      <c r="F262" s="21" t="str">
        <f t="shared" si="8"/>
        <v>rtdc.l.rtdc.4040:itc</v>
      </c>
      <c r="G262" s="8">
        <f t="shared" si="9"/>
        <v>42700.111076388886</v>
      </c>
    </row>
    <row r="263" spans="1:7" x14ac:dyDescent="0.25">
      <c r="A263" s="8">
        <v>42685.016226851854</v>
      </c>
      <c r="B263" t="s">
        <v>210</v>
      </c>
      <c r="C263" t="s">
        <v>227</v>
      </c>
      <c r="D263">
        <v>2000000</v>
      </c>
      <c r="E263" t="s">
        <v>217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223</v>
      </c>
      <c r="C264" t="s">
        <v>228</v>
      </c>
      <c r="D264">
        <v>2550000</v>
      </c>
      <c r="E264" t="s">
        <v>221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226</v>
      </c>
      <c r="C265" t="s">
        <v>229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220</v>
      </c>
      <c r="C266" t="s">
        <v>230</v>
      </c>
      <c r="D266">
        <v>2420000</v>
      </c>
      <c r="E266" t="s">
        <v>224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218</v>
      </c>
      <c r="C267" t="s">
        <v>231</v>
      </c>
      <c r="D267">
        <v>2000000</v>
      </c>
      <c r="E267" t="s">
        <v>217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225</v>
      </c>
      <c r="C268" t="s">
        <v>232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154</v>
      </c>
      <c r="C269" t="s">
        <v>185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183</v>
      </c>
      <c r="C270" t="s">
        <v>186</v>
      </c>
      <c r="D270">
        <v>1480000</v>
      </c>
      <c r="E270" t="s">
        <v>181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155</v>
      </c>
      <c r="C271" t="s">
        <v>185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155</v>
      </c>
      <c r="C272" t="s">
        <v>185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155</v>
      </c>
      <c r="C273" t="s">
        <v>185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29.75</v>
      </c>
      <c r="B2" s="165">
        <v>0.84</v>
      </c>
      <c r="C2" s="165">
        <v>12.25</v>
      </c>
      <c r="D2" s="8">
        <v>42703</v>
      </c>
      <c r="E2" s="165">
        <v>0.43</v>
      </c>
      <c r="F2" s="165" t="s">
        <v>757</v>
      </c>
      <c r="G2" s="165">
        <v>296.58</v>
      </c>
      <c r="H2" s="165">
        <v>0</v>
      </c>
      <c r="I2" s="165">
        <v>0</v>
      </c>
      <c r="J2" s="165">
        <v>1003.44</v>
      </c>
      <c r="K2" s="165" t="s">
        <v>758</v>
      </c>
      <c r="L2" s="165">
        <v>32.43</v>
      </c>
      <c r="M2" s="165">
        <v>1480402800</v>
      </c>
      <c r="N2" s="165">
        <v>1.1000000000000001</v>
      </c>
      <c r="O2" s="165">
        <v>305</v>
      </c>
      <c r="P2" s="165">
        <v>3.03</v>
      </c>
      <c r="Q2"/>
      <c r="R2"/>
    </row>
    <row r="3" spans="1:18" x14ac:dyDescent="0.25">
      <c r="A3" s="165">
        <v>27.96</v>
      </c>
      <c r="B3" s="165">
        <v>0.74</v>
      </c>
      <c r="C3" s="165">
        <v>13.98</v>
      </c>
      <c r="D3" s="8">
        <v>42703.041666666664</v>
      </c>
      <c r="E3" s="165">
        <v>0.48</v>
      </c>
      <c r="F3" s="165" t="s">
        <v>757</v>
      </c>
      <c r="G3" s="165">
        <v>296.86</v>
      </c>
      <c r="H3" s="165">
        <v>0</v>
      </c>
      <c r="I3" s="165">
        <v>0</v>
      </c>
      <c r="J3" s="165">
        <v>1004.46</v>
      </c>
      <c r="K3" s="165" t="s">
        <v>758</v>
      </c>
      <c r="L3" s="165">
        <v>31.53</v>
      </c>
      <c r="M3" s="165">
        <v>1480406400</v>
      </c>
      <c r="N3" s="165">
        <v>1.1000000000000001</v>
      </c>
      <c r="O3" s="165">
        <v>319</v>
      </c>
      <c r="P3" s="165">
        <v>3.63</v>
      </c>
      <c r="Q3"/>
      <c r="R3"/>
    </row>
    <row r="4" spans="1:18" x14ac:dyDescent="0.25">
      <c r="A4" s="165">
        <v>25.19</v>
      </c>
      <c r="B4" s="165">
        <v>0.63</v>
      </c>
      <c r="C4" s="165">
        <v>13.59</v>
      </c>
      <c r="D4" s="8">
        <v>42703.083333333336</v>
      </c>
      <c r="E4" s="165">
        <v>0.53</v>
      </c>
      <c r="F4" s="165" t="s">
        <v>757</v>
      </c>
      <c r="G4" s="165">
        <v>297.14</v>
      </c>
      <c r="H4" s="165">
        <v>0</v>
      </c>
      <c r="I4" s="165">
        <v>0</v>
      </c>
      <c r="J4" s="165">
        <v>1005.5</v>
      </c>
      <c r="K4" s="165" t="s">
        <v>758</v>
      </c>
      <c r="L4" s="165">
        <v>28.4</v>
      </c>
      <c r="M4" s="165">
        <v>1480410000</v>
      </c>
      <c r="N4" s="165">
        <v>1.1000000000000001</v>
      </c>
      <c r="O4" s="165">
        <v>332</v>
      </c>
      <c r="P4" s="165">
        <v>3.04</v>
      </c>
      <c r="Q4"/>
      <c r="R4"/>
    </row>
    <row r="5" spans="1:18" x14ac:dyDescent="0.25">
      <c r="A5" s="165">
        <v>26.47</v>
      </c>
      <c r="B5" s="165">
        <v>0.6</v>
      </c>
      <c r="C5" s="165">
        <v>13.09</v>
      </c>
      <c r="D5" s="8">
        <v>42703.125</v>
      </c>
      <c r="E5" s="165">
        <v>0.56000000000000005</v>
      </c>
      <c r="F5" s="165" t="s">
        <v>757</v>
      </c>
      <c r="G5" s="165">
        <v>297.62</v>
      </c>
      <c r="H5" s="165">
        <v>0</v>
      </c>
      <c r="I5" s="165">
        <v>0</v>
      </c>
      <c r="J5" s="165">
        <v>1006.17</v>
      </c>
      <c r="K5" s="165" t="s">
        <v>758</v>
      </c>
      <c r="L5" s="165">
        <v>26.47</v>
      </c>
      <c r="M5" s="165">
        <v>1480413600</v>
      </c>
      <c r="N5" s="165">
        <v>1.1000000000000001</v>
      </c>
      <c r="O5" s="165">
        <v>278</v>
      </c>
      <c r="P5" s="165">
        <v>1.1499999999999999</v>
      </c>
      <c r="Q5"/>
      <c r="R5"/>
    </row>
    <row r="6" spans="1:18" x14ac:dyDescent="0.25">
      <c r="A6" s="165">
        <v>25.98</v>
      </c>
      <c r="B6" s="165">
        <v>0.59</v>
      </c>
      <c r="C6" s="165">
        <v>13.73</v>
      </c>
      <c r="D6" s="8">
        <v>42703.166666666664</v>
      </c>
      <c r="E6" s="165">
        <v>0.59</v>
      </c>
      <c r="F6" s="165" t="s">
        <v>757</v>
      </c>
      <c r="G6" s="165">
        <v>298.14999999999998</v>
      </c>
      <c r="H6" s="165">
        <v>0</v>
      </c>
      <c r="I6" s="165">
        <v>0</v>
      </c>
      <c r="J6" s="165">
        <v>1006.72</v>
      </c>
      <c r="K6" s="165" t="s">
        <v>758</v>
      </c>
      <c r="L6" s="165">
        <v>25.98</v>
      </c>
      <c r="M6" s="165">
        <v>1480417200</v>
      </c>
      <c r="N6" s="165">
        <v>1.1000000000000001</v>
      </c>
      <c r="O6" s="165">
        <v>264</v>
      </c>
      <c r="P6" s="165">
        <v>2.38</v>
      </c>
      <c r="Q6"/>
      <c r="R6"/>
    </row>
    <row r="7" spans="1:18" x14ac:dyDescent="0.25">
      <c r="A7" s="165">
        <v>25.16</v>
      </c>
      <c r="B7" s="165">
        <v>0.5</v>
      </c>
      <c r="C7" s="165">
        <v>13.3</v>
      </c>
      <c r="D7" s="8">
        <v>42703.208333333336</v>
      </c>
      <c r="E7" s="165">
        <v>0.6</v>
      </c>
      <c r="F7" s="165" t="s">
        <v>757</v>
      </c>
      <c r="G7" s="165">
        <v>298.48</v>
      </c>
      <c r="H7" s="165">
        <v>0</v>
      </c>
      <c r="I7" s="165">
        <v>0</v>
      </c>
      <c r="J7" s="165">
        <v>1007.35</v>
      </c>
      <c r="K7" s="165" t="s">
        <v>758</v>
      </c>
      <c r="L7" s="165">
        <v>25.16</v>
      </c>
      <c r="M7" s="165">
        <v>1480420800</v>
      </c>
      <c r="N7" s="165">
        <v>1.1000000000000001</v>
      </c>
      <c r="O7" s="165">
        <v>259</v>
      </c>
      <c r="P7" s="165">
        <v>2.4900000000000002</v>
      </c>
      <c r="Q7"/>
      <c r="R7"/>
    </row>
    <row r="8" spans="1:18" x14ac:dyDescent="0.25">
      <c r="A8" s="165">
        <v>22.35</v>
      </c>
      <c r="B8" s="165">
        <v>0.51</v>
      </c>
      <c r="C8" s="165">
        <v>13.29</v>
      </c>
      <c r="D8" s="8">
        <v>42703.25</v>
      </c>
      <c r="E8" s="165">
        <v>0.56999999999999995</v>
      </c>
      <c r="F8" s="165" t="s">
        <v>757</v>
      </c>
      <c r="G8" s="165">
        <v>298.35000000000002</v>
      </c>
      <c r="H8" s="165">
        <v>0</v>
      </c>
      <c r="I8" s="165">
        <v>0</v>
      </c>
      <c r="J8" s="165">
        <v>1008.16</v>
      </c>
      <c r="K8" s="165" t="s">
        <v>758</v>
      </c>
      <c r="L8" s="165">
        <v>26.42</v>
      </c>
      <c r="M8" s="165">
        <v>1480424400</v>
      </c>
      <c r="N8" s="165">
        <v>1.1000000000000001</v>
      </c>
      <c r="O8" s="165">
        <v>279</v>
      </c>
      <c r="P8" s="165">
        <v>3.45</v>
      </c>
      <c r="Q8"/>
      <c r="R8"/>
    </row>
    <row r="9" spans="1:18" x14ac:dyDescent="0.25">
      <c r="A9" s="165">
        <v>21.97</v>
      </c>
      <c r="B9" s="165">
        <v>0.53</v>
      </c>
      <c r="C9" s="165">
        <v>12.5</v>
      </c>
      <c r="D9" s="8">
        <v>42703.291666666664</v>
      </c>
      <c r="E9" s="165">
        <v>0.54</v>
      </c>
      <c r="F9" s="165" t="s">
        <v>757</v>
      </c>
      <c r="G9" s="165">
        <v>298.01</v>
      </c>
      <c r="H9" s="165">
        <v>0</v>
      </c>
      <c r="I9" s="165">
        <v>0</v>
      </c>
      <c r="J9" s="165">
        <v>1009.06</v>
      </c>
      <c r="K9" s="165" t="s">
        <v>758</v>
      </c>
      <c r="L9" s="165">
        <v>26.68</v>
      </c>
      <c r="M9" s="165">
        <v>1480428000</v>
      </c>
      <c r="N9" s="165">
        <v>1.1000000000000001</v>
      </c>
      <c r="O9" s="165">
        <v>279</v>
      </c>
      <c r="P9" s="165">
        <v>3.96</v>
      </c>
      <c r="Q9"/>
      <c r="R9"/>
    </row>
    <row r="10" spans="1:18" x14ac:dyDescent="0.25">
      <c r="A10" s="165">
        <v>25.02</v>
      </c>
      <c r="B10" s="165">
        <v>0.53</v>
      </c>
      <c r="C10" s="165">
        <v>12.44</v>
      </c>
      <c r="D10" s="8">
        <v>42703.333333333336</v>
      </c>
      <c r="E10" s="165">
        <v>0.5</v>
      </c>
      <c r="F10" s="165" t="s">
        <v>757</v>
      </c>
      <c r="G10" s="165">
        <v>297.97000000000003</v>
      </c>
      <c r="H10" s="165">
        <v>0</v>
      </c>
      <c r="I10" s="165">
        <v>0</v>
      </c>
      <c r="J10" s="165">
        <v>1009.82</v>
      </c>
      <c r="K10" s="165" t="s">
        <v>758</v>
      </c>
      <c r="L10" s="165">
        <v>28.46</v>
      </c>
      <c r="M10" s="165">
        <v>1480431600</v>
      </c>
      <c r="N10" s="165">
        <v>1.1000000000000001</v>
      </c>
      <c r="O10" s="165">
        <v>293</v>
      </c>
      <c r="P10" s="165">
        <v>3.2</v>
      </c>
      <c r="Q10"/>
      <c r="R10"/>
    </row>
    <row r="11" spans="1:18" x14ac:dyDescent="0.25">
      <c r="A11" s="165">
        <v>32.119999999999997</v>
      </c>
      <c r="B11" s="165">
        <v>0.51</v>
      </c>
      <c r="C11" s="165">
        <v>15.06</v>
      </c>
      <c r="D11" s="8">
        <v>42703.375</v>
      </c>
      <c r="E11" s="165">
        <v>0.49</v>
      </c>
      <c r="F11" s="165" t="s">
        <v>757</v>
      </c>
      <c r="G11" s="165">
        <v>298.52</v>
      </c>
      <c r="H11" s="165">
        <v>0</v>
      </c>
      <c r="I11" s="165">
        <v>0</v>
      </c>
      <c r="J11" s="165">
        <v>1010.24</v>
      </c>
      <c r="K11" s="165" t="s">
        <v>758</v>
      </c>
      <c r="L11" s="165">
        <v>32.119999999999997</v>
      </c>
      <c r="M11" s="165">
        <v>1480435200</v>
      </c>
      <c r="N11" s="165">
        <v>1.1000000000000001</v>
      </c>
      <c r="O11" s="165">
        <v>330</v>
      </c>
      <c r="P11" s="165">
        <v>0.48</v>
      </c>
      <c r="Q11"/>
      <c r="R11"/>
    </row>
    <row r="12" spans="1:18" x14ac:dyDescent="0.25">
      <c r="A12" s="165">
        <v>33.68</v>
      </c>
      <c r="B12" s="165">
        <v>0.52</v>
      </c>
      <c r="C12" s="165">
        <v>11.6</v>
      </c>
      <c r="D12" s="8">
        <v>42703.416666666664</v>
      </c>
      <c r="E12" s="165">
        <v>0.39</v>
      </c>
      <c r="F12" s="165" t="s">
        <v>320</v>
      </c>
      <c r="G12" s="165">
        <v>299.37</v>
      </c>
      <c r="H12" s="165">
        <v>0</v>
      </c>
      <c r="I12" s="165">
        <v>0</v>
      </c>
      <c r="J12" s="165">
        <v>1010.49</v>
      </c>
      <c r="K12" s="165" t="s">
        <v>369</v>
      </c>
      <c r="L12" s="165">
        <v>33.68</v>
      </c>
      <c r="M12" s="165">
        <v>1480438800</v>
      </c>
      <c r="N12" s="165"/>
      <c r="O12" s="165">
        <v>127</v>
      </c>
      <c r="P12" s="165">
        <v>2.2000000000000002</v>
      </c>
      <c r="Q12"/>
      <c r="R12"/>
    </row>
    <row r="13" spans="1:18" x14ac:dyDescent="0.25">
      <c r="A13" s="165">
        <v>39.07</v>
      </c>
      <c r="B13" s="165">
        <v>0.53</v>
      </c>
      <c r="C13" s="165">
        <v>11.08</v>
      </c>
      <c r="D13" s="8">
        <v>42703.458333333336</v>
      </c>
      <c r="E13" s="165">
        <v>0.31</v>
      </c>
      <c r="F13" s="165" t="s">
        <v>757</v>
      </c>
      <c r="G13" s="165">
        <v>300.14999999999998</v>
      </c>
      <c r="H13" s="165">
        <v>0</v>
      </c>
      <c r="I13" s="165">
        <v>0</v>
      </c>
      <c r="J13" s="165">
        <v>1010.6</v>
      </c>
      <c r="K13" s="165" t="s">
        <v>758</v>
      </c>
      <c r="L13" s="165">
        <v>39.07</v>
      </c>
      <c r="M13" s="165">
        <v>1480442400</v>
      </c>
      <c r="N13" s="165">
        <v>1.1000000000000001</v>
      </c>
      <c r="O13" s="165">
        <v>40</v>
      </c>
      <c r="P13" s="165">
        <v>2.25</v>
      </c>
      <c r="Q13"/>
      <c r="R13"/>
    </row>
    <row r="14" spans="1:18" x14ac:dyDescent="0.25">
      <c r="A14" s="165">
        <v>35.57</v>
      </c>
      <c r="B14" s="165">
        <v>0.52</v>
      </c>
      <c r="C14" s="165">
        <v>15.1</v>
      </c>
      <c r="D14" s="8">
        <v>42703.5</v>
      </c>
      <c r="E14" s="165">
        <v>0.37</v>
      </c>
      <c r="F14" s="165" t="s">
        <v>757</v>
      </c>
      <c r="G14" s="165">
        <v>301.17</v>
      </c>
      <c r="H14" s="165">
        <v>0</v>
      </c>
      <c r="I14" s="165">
        <v>0</v>
      </c>
      <c r="J14" s="165">
        <v>1010.49</v>
      </c>
      <c r="K14" s="165" t="s">
        <v>758</v>
      </c>
      <c r="L14" s="165">
        <v>39.07</v>
      </c>
      <c r="M14" s="165">
        <v>1480446000</v>
      </c>
      <c r="N14" s="165">
        <v>1.1000000000000001</v>
      </c>
      <c r="O14" s="165">
        <v>41</v>
      </c>
      <c r="P14" s="165">
        <v>4.76</v>
      </c>
      <c r="Q14"/>
      <c r="R14"/>
    </row>
    <row r="15" spans="1:18" x14ac:dyDescent="0.25">
      <c r="A15" s="165">
        <v>37.020000000000003</v>
      </c>
      <c r="B15" s="165">
        <v>0.56000000000000005</v>
      </c>
      <c r="C15" s="165">
        <v>16.510000000000002</v>
      </c>
      <c r="D15" s="8">
        <v>42703.541666666664</v>
      </c>
      <c r="E15" s="165">
        <v>0.37</v>
      </c>
      <c r="F15" s="165" t="s">
        <v>757</v>
      </c>
      <c r="G15" s="165">
        <v>302.13</v>
      </c>
      <c r="H15" s="165">
        <v>0</v>
      </c>
      <c r="I15" s="165">
        <v>0</v>
      </c>
      <c r="J15" s="165">
        <v>1010.35</v>
      </c>
      <c r="K15" s="165" t="s">
        <v>758</v>
      </c>
      <c r="L15" s="165">
        <v>41.02</v>
      </c>
      <c r="M15" s="165">
        <v>1480449600</v>
      </c>
      <c r="N15" s="165">
        <v>1.1000000000000001</v>
      </c>
      <c r="O15" s="165">
        <v>19</v>
      </c>
      <c r="P15" s="165">
        <v>5.93</v>
      </c>
      <c r="Q15"/>
      <c r="R15"/>
    </row>
    <row r="16" spans="1:18" x14ac:dyDescent="0.25">
      <c r="A16" s="165">
        <v>38.200000000000003</v>
      </c>
      <c r="B16" s="165">
        <v>0.43</v>
      </c>
      <c r="C16" s="165">
        <v>13.58</v>
      </c>
      <c r="D16" s="8">
        <v>42703.583333333336</v>
      </c>
      <c r="E16" s="165">
        <v>0.31</v>
      </c>
      <c r="F16" s="165" t="s">
        <v>320</v>
      </c>
      <c r="G16" s="165">
        <v>301.76</v>
      </c>
      <c r="H16" s="165">
        <v>0</v>
      </c>
      <c r="I16" s="165">
        <v>0</v>
      </c>
      <c r="J16" s="165">
        <v>1010.64</v>
      </c>
      <c r="K16" s="165" t="s">
        <v>369</v>
      </c>
      <c r="L16" s="165">
        <v>42.31</v>
      </c>
      <c r="M16" s="165">
        <v>1480453200</v>
      </c>
      <c r="N16" s="165">
        <v>2.74</v>
      </c>
      <c r="O16" s="165">
        <v>1</v>
      </c>
      <c r="P16" s="165">
        <v>6.5</v>
      </c>
      <c r="Q16"/>
      <c r="R16"/>
    </row>
    <row r="17" spans="1:18" x14ac:dyDescent="0.25">
      <c r="A17" s="165">
        <v>35.93</v>
      </c>
      <c r="B17" s="165">
        <v>0.51</v>
      </c>
      <c r="C17" s="165">
        <v>10.41</v>
      </c>
      <c r="D17" s="8">
        <v>42703.625</v>
      </c>
      <c r="E17" s="165">
        <v>0.28000000000000003</v>
      </c>
      <c r="F17" s="165" t="s">
        <v>320</v>
      </c>
      <c r="G17" s="165">
        <v>298.74</v>
      </c>
      <c r="H17" s="165">
        <v>0</v>
      </c>
      <c r="I17" s="165">
        <v>0</v>
      </c>
      <c r="J17" s="165">
        <v>1011.67</v>
      </c>
      <c r="K17" s="165" t="s">
        <v>369</v>
      </c>
      <c r="L17" s="165">
        <v>40.770000000000003</v>
      </c>
      <c r="M17" s="165">
        <v>1480456800</v>
      </c>
      <c r="N17" s="165">
        <v>2.85</v>
      </c>
      <c r="O17" s="165">
        <v>358</v>
      </c>
      <c r="P17" s="165">
        <v>7.25</v>
      </c>
      <c r="Q17"/>
      <c r="R17"/>
    </row>
    <row r="18" spans="1:18" x14ac:dyDescent="0.25">
      <c r="A18" s="165">
        <v>35.19</v>
      </c>
      <c r="B18" s="165">
        <v>0.61</v>
      </c>
      <c r="C18" s="165">
        <v>9.35</v>
      </c>
      <c r="D18" s="8">
        <v>42703.666666666664</v>
      </c>
      <c r="E18" s="165">
        <v>0.28000000000000003</v>
      </c>
      <c r="F18" s="165" t="s">
        <v>320</v>
      </c>
      <c r="G18" s="165">
        <v>294.39999999999998</v>
      </c>
      <c r="H18" s="165">
        <v>0</v>
      </c>
      <c r="I18" s="165">
        <v>0</v>
      </c>
      <c r="J18" s="165">
        <v>1012.55</v>
      </c>
      <c r="K18" s="165" t="s">
        <v>321</v>
      </c>
      <c r="L18" s="165">
        <v>39.4</v>
      </c>
      <c r="M18" s="165">
        <v>1480460400</v>
      </c>
      <c r="N18" s="165">
        <v>5.0599999999999996</v>
      </c>
      <c r="O18" s="165">
        <v>342</v>
      </c>
      <c r="P18" s="165">
        <v>5.78</v>
      </c>
      <c r="Q18"/>
      <c r="R18"/>
    </row>
    <row r="19" spans="1:18" x14ac:dyDescent="0.25">
      <c r="A19" s="165">
        <v>32.409999999999997</v>
      </c>
      <c r="B19" s="165">
        <v>0.79</v>
      </c>
      <c r="C19" s="165">
        <v>8.17</v>
      </c>
      <c r="D19" s="8">
        <v>42703.708333333336</v>
      </c>
      <c r="E19" s="165">
        <v>0.3</v>
      </c>
      <c r="F19" s="165" t="s">
        <v>319</v>
      </c>
      <c r="G19" s="165">
        <v>291.39</v>
      </c>
      <c r="H19" s="165">
        <v>0</v>
      </c>
      <c r="I19" s="165">
        <v>0</v>
      </c>
      <c r="J19" s="165">
        <v>1013.46</v>
      </c>
      <c r="K19" s="165" t="s">
        <v>321</v>
      </c>
      <c r="L19" s="165">
        <v>36.97</v>
      </c>
      <c r="M19" s="165">
        <v>1480464000</v>
      </c>
      <c r="N19" s="165">
        <v>5.46</v>
      </c>
      <c r="O19" s="165">
        <v>348</v>
      </c>
      <c r="P19" s="165">
        <v>5.64</v>
      </c>
      <c r="Q19"/>
      <c r="R19"/>
    </row>
    <row r="20" spans="1:18" x14ac:dyDescent="0.25">
      <c r="A20" s="165">
        <v>29.91</v>
      </c>
      <c r="B20" s="165">
        <v>0.76</v>
      </c>
      <c r="C20" s="165">
        <v>7.93</v>
      </c>
      <c r="D20" s="8">
        <v>42703.75</v>
      </c>
      <c r="E20" s="165">
        <v>0.33</v>
      </c>
      <c r="F20" s="165" t="s">
        <v>319</v>
      </c>
      <c r="G20" s="165">
        <v>291.04000000000002</v>
      </c>
      <c r="H20" s="165">
        <v>0</v>
      </c>
      <c r="I20" s="165">
        <v>0</v>
      </c>
      <c r="J20" s="165">
        <v>1014.08</v>
      </c>
      <c r="K20" s="165" t="s">
        <v>321</v>
      </c>
      <c r="L20" s="165">
        <v>34.200000000000003</v>
      </c>
      <c r="M20" s="165">
        <v>1480467600</v>
      </c>
      <c r="N20" s="165">
        <v>6.17</v>
      </c>
      <c r="O20" s="165">
        <v>4</v>
      </c>
      <c r="P20" s="165">
        <v>4.72</v>
      </c>
      <c r="Q20"/>
      <c r="R20"/>
    </row>
    <row r="21" spans="1:18" x14ac:dyDescent="0.25">
      <c r="A21" s="165">
        <v>32.26</v>
      </c>
      <c r="B21" s="165">
        <v>0.45</v>
      </c>
      <c r="C21" s="165">
        <v>8.49</v>
      </c>
      <c r="D21" s="8">
        <v>42703.791666666664</v>
      </c>
      <c r="E21" s="165">
        <v>0.36</v>
      </c>
      <c r="F21" s="165" t="s">
        <v>319</v>
      </c>
      <c r="G21" s="165">
        <v>292.02</v>
      </c>
      <c r="H21" s="165">
        <v>0</v>
      </c>
      <c r="I21" s="165">
        <v>0</v>
      </c>
      <c r="J21" s="165">
        <v>1015.16</v>
      </c>
      <c r="K21" s="165" t="s">
        <v>369</v>
      </c>
      <c r="L21" s="165">
        <v>32.26</v>
      </c>
      <c r="M21" s="165">
        <v>1480471200</v>
      </c>
      <c r="N21" s="165">
        <v>7.35</v>
      </c>
      <c r="O21" s="165">
        <v>356</v>
      </c>
      <c r="P21" s="165">
        <v>2.82</v>
      </c>
      <c r="Q21"/>
      <c r="R21"/>
    </row>
    <row r="22" spans="1:18" x14ac:dyDescent="0.25">
      <c r="A22" s="165">
        <v>31.11</v>
      </c>
      <c r="B22" s="165">
        <v>0.28000000000000003</v>
      </c>
      <c r="C22" s="165">
        <v>8.6999999999999993</v>
      </c>
      <c r="D22" s="8">
        <v>42703.833333333336</v>
      </c>
      <c r="E22" s="165">
        <v>0.38</v>
      </c>
      <c r="F22" s="165" t="s">
        <v>319</v>
      </c>
      <c r="G22" s="165">
        <v>293</v>
      </c>
      <c r="H22" s="165">
        <v>0</v>
      </c>
      <c r="I22" s="165">
        <v>0</v>
      </c>
      <c r="J22" s="165">
        <v>1016.22</v>
      </c>
      <c r="K22" s="165" t="s">
        <v>369</v>
      </c>
      <c r="L22" s="165">
        <v>31.11</v>
      </c>
      <c r="M22" s="165">
        <v>1480474800</v>
      </c>
      <c r="N22" s="165">
        <v>6.76</v>
      </c>
      <c r="O22" s="165">
        <v>325</v>
      </c>
      <c r="P22" s="165">
        <v>2.38</v>
      </c>
      <c r="Q22"/>
      <c r="R22"/>
    </row>
    <row r="23" spans="1:18" x14ac:dyDescent="0.25">
      <c r="A23" s="165">
        <v>29.7</v>
      </c>
      <c r="B23" s="165">
        <v>0.36</v>
      </c>
      <c r="C23" s="165">
        <v>8.9600000000000009</v>
      </c>
      <c r="D23" s="8">
        <v>42703.875</v>
      </c>
      <c r="E23" s="165">
        <v>0.41</v>
      </c>
      <c r="F23" s="165" t="s">
        <v>319</v>
      </c>
      <c r="G23" s="165">
        <v>293.5</v>
      </c>
      <c r="H23" s="165">
        <v>0</v>
      </c>
      <c r="I23" s="165">
        <v>0</v>
      </c>
      <c r="J23" s="165">
        <v>1016.97</v>
      </c>
      <c r="K23" s="165" t="s">
        <v>369</v>
      </c>
      <c r="L23" s="165">
        <v>29.7</v>
      </c>
      <c r="M23" s="165">
        <v>1480478400</v>
      </c>
      <c r="N23" s="165">
        <v>5.87</v>
      </c>
      <c r="O23" s="165">
        <v>266</v>
      </c>
      <c r="P23" s="165">
        <v>0.73</v>
      </c>
      <c r="Q23"/>
      <c r="R23"/>
    </row>
    <row r="24" spans="1:18" x14ac:dyDescent="0.25">
      <c r="A24" s="165">
        <v>28.61</v>
      </c>
      <c r="B24" s="165">
        <v>0.5</v>
      </c>
      <c r="C24" s="165">
        <v>9.1199999999999992</v>
      </c>
      <c r="D24" s="8">
        <v>42703.916666666664</v>
      </c>
      <c r="E24" s="165">
        <v>0.43</v>
      </c>
      <c r="F24" s="165" t="s">
        <v>319</v>
      </c>
      <c r="G24" s="165">
        <v>293.99</v>
      </c>
      <c r="H24" s="165">
        <v>0</v>
      </c>
      <c r="I24" s="165">
        <v>0</v>
      </c>
      <c r="J24" s="165">
        <v>1017.49</v>
      </c>
      <c r="K24" s="165" t="s">
        <v>369</v>
      </c>
      <c r="L24" s="165">
        <v>28.61</v>
      </c>
      <c r="M24" s="165">
        <v>1480482000</v>
      </c>
      <c r="N24" s="165">
        <v>5.91</v>
      </c>
      <c r="O24" s="165">
        <v>293</v>
      </c>
      <c r="P24" s="165">
        <v>1.22</v>
      </c>
      <c r="Q24"/>
      <c r="R24"/>
    </row>
    <row r="25" spans="1:18" x14ac:dyDescent="0.25">
      <c r="A25" s="165">
        <v>27.26</v>
      </c>
      <c r="B25" s="165">
        <v>0.51</v>
      </c>
      <c r="C25" s="165">
        <v>8.7899999999999991</v>
      </c>
      <c r="D25" s="8">
        <v>42703.958333333336</v>
      </c>
      <c r="E25" s="165">
        <v>0.45</v>
      </c>
      <c r="F25" s="165" t="s">
        <v>319</v>
      </c>
      <c r="G25" s="165">
        <v>294.61</v>
      </c>
      <c r="H25" s="165">
        <v>0</v>
      </c>
      <c r="I25" s="165">
        <v>0</v>
      </c>
      <c r="J25" s="165">
        <v>1017.85</v>
      </c>
      <c r="K25" s="165" t="s">
        <v>369</v>
      </c>
      <c r="L25" s="165">
        <v>27.26</v>
      </c>
      <c r="M25" s="165">
        <v>1480485600</v>
      </c>
      <c r="N25" s="165">
        <v>6.54</v>
      </c>
      <c r="O25" s="165">
        <v>241</v>
      </c>
      <c r="P25" s="165">
        <v>2.62</v>
      </c>
      <c r="Q25"/>
      <c r="R25"/>
    </row>
    <row r="26" spans="1:18" x14ac:dyDescent="0.25">
      <c r="A26" s="165">
        <v>25.97</v>
      </c>
      <c r="B26" s="165">
        <v>0.52</v>
      </c>
      <c r="C26" s="165">
        <v>9.16</v>
      </c>
      <c r="D26" s="8">
        <v>42704</v>
      </c>
      <c r="E26" s="165">
        <v>0.48</v>
      </c>
      <c r="F26" s="165" t="s">
        <v>319</v>
      </c>
      <c r="G26" s="165">
        <v>295.51</v>
      </c>
      <c r="H26" s="165">
        <v>0</v>
      </c>
      <c r="I26" s="165">
        <v>0</v>
      </c>
      <c r="J26" s="165">
        <v>1018.01</v>
      </c>
      <c r="K26" s="165" t="s">
        <v>369</v>
      </c>
      <c r="L26" s="165">
        <v>25.97</v>
      </c>
      <c r="M26" s="165">
        <v>1480489200</v>
      </c>
      <c r="N26" s="165">
        <v>6.95</v>
      </c>
      <c r="O26" s="165">
        <v>205</v>
      </c>
      <c r="P26" s="165">
        <v>2.48</v>
      </c>
      <c r="Q26"/>
      <c r="R26"/>
    </row>
    <row r="27" spans="1:18" x14ac:dyDescent="0.25">
      <c r="A27" s="165">
        <v>24.03</v>
      </c>
      <c r="B27" s="165">
        <v>0.37</v>
      </c>
      <c r="C27" s="165">
        <v>8.23</v>
      </c>
      <c r="D27" s="8">
        <v>42704.041666666664</v>
      </c>
      <c r="E27" s="165">
        <v>0.5</v>
      </c>
      <c r="F27" s="165" t="s">
        <v>319</v>
      </c>
      <c r="G27" s="165">
        <v>296.42</v>
      </c>
      <c r="H27" s="165">
        <v>0</v>
      </c>
      <c r="I27" s="165">
        <v>0</v>
      </c>
      <c r="J27" s="165">
        <v>1018.15</v>
      </c>
      <c r="K27" s="165" t="s">
        <v>369</v>
      </c>
      <c r="L27" s="165">
        <v>24.03</v>
      </c>
      <c r="M27" s="165">
        <v>1480492800</v>
      </c>
      <c r="N27" s="165">
        <v>6.79</v>
      </c>
      <c r="O27" s="165">
        <v>176</v>
      </c>
      <c r="P27" s="165">
        <v>2.02</v>
      </c>
      <c r="Q27"/>
      <c r="R27"/>
    </row>
    <row r="28" spans="1:18" x14ac:dyDescent="0.25">
      <c r="A28" s="165">
        <v>19.059999999999999</v>
      </c>
      <c r="B28" s="165">
        <v>0.28000000000000003</v>
      </c>
      <c r="C28" s="165">
        <v>8.33</v>
      </c>
      <c r="D28" s="8">
        <v>42704.083333333336</v>
      </c>
      <c r="E28" s="165">
        <v>0.53</v>
      </c>
      <c r="F28" s="165" t="s">
        <v>319</v>
      </c>
      <c r="G28" s="165">
        <v>297.32</v>
      </c>
      <c r="H28" s="165">
        <v>0</v>
      </c>
      <c r="I28" s="165">
        <v>0</v>
      </c>
      <c r="J28" s="165">
        <v>1018.28</v>
      </c>
      <c r="K28" s="165" t="s">
        <v>369</v>
      </c>
      <c r="L28" s="165">
        <v>23.05</v>
      </c>
      <c r="M28" s="165">
        <v>1480496400</v>
      </c>
      <c r="N28" s="165">
        <v>4.76</v>
      </c>
      <c r="O28" s="165">
        <v>182</v>
      </c>
      <c r="P28" s="165">
        <v>3.08</v>
      </c>
      <c r="Q28"/>
      <c r="R28"/>
    </row>
    <row r="29" spans="1:18" x14ac:dyDescent="0.25">
      <c r="A29" s="165">
        <v>19.670000000000002</v>
      </c>
      <c r="B29" s="165">
        <v>0.28000000000000003</v>
      </c>
      <c r="C29" s="165">
        <v>5.01</v>
      </c>
      <c r="D29" s="8">
        <v>42704.125</v>
      </c>
      <c r="E29" s="165">
        <v>0.52</v>
      </c>
      <c r="F29" s="165" t="s">
        <v>319</v>
      </c>
      <c r="G29" s="165">
        <v>298.62</v>
      </c>
      <c r="H29" s="165">
        <v>0</v>
      </c>
      <c r="I29" s="165">
        <v>0</v>
      </c>
      <c r="J29" s="165">
        <v>1018.8</v>
      </c>
      <c r="K29" s="165" t="s">
        <v>369</v>
      </c>
      <c r="L29" s="165">
        <v>19.670000000000002</v>
      </c>
      <c r="M29" s="165">
        <v>1480500000</v>
      </c>
      <c r="N29" s="165">
        <v>7</v>
      </c>
      <c r="O29" s="165">
        <v>206</v>
      </c>
      <c r="P29" s="165">
        <v>2.1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205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topLeftCell="A2"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42703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207</v>
      </c>
      <c r="J17" s="33"/>
      <c r="K17" s="34"/>
      <c r="L17" s="34"/>
    </row>
    <row r="18" spans="3:13" x14ac:dyDescent="0.25">
      <c r="C18" t="s">
        <v>880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881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882</v>
      </c>
      <c r="J20" t="s">
        <v>87</v>
      </c>
      <c r="M20" s="68" t="s">
        <v>352</v>
      </c>
    </row>
    <row r="21" spans="3:13" x14ac:dyDescent="0.25">
      <c r="C21" t="s">
        <v>883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884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885</v>
      </c>
      <c r="J23" s="29" t="s">
        <v>95</v>
      </c>
      <c r="K23" s="21"/>
      <c r="M23" s="69">
        <v>-7</v>
      </c>
    </row>
    <row r="24" spans="3:13" x14ac:dyDescent="0.25">
      <c r="C24" t="s">
        <v>886</v>
      </c>
      <c r="J24" s="21" t="s">
        <v>108</v>
      </c>
      <c r="K24" s="21"/>
      <c r="M24" s="68" t="s">
        <v>110</v>
      </c>
    </row>
    <row r="25" spans="3:13" x14ac:dyDescent="0.25">
      <c r="C25" t="s">
        <v>887</v>
      </c>
      <c r="J25" t="s">
        <v>151</v>
      </c>
      <c r="M25" s="68" t="b">
        <v>1</v>
      </c>
    </row>
    <row r="26" spans="3:13" x14ac:dyDescent="0.25">
      <c r="C26" t="s">
        <v>888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C:\Users\stu\Documents\GitHub\eaglep3-reporting\EC\2016-11-29-refined-times.txt</v>
      </c>
    </row>
    <row r="27" spans="3:13" x14ac:dyDescent="0.25">
      <c r="C27" t="s">
        <v>889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C:\Users\stu\Documents\GitHub\eaglep3-reporting\EC\2016-11-29-Enforcements.txt</v>
      </c>
    </row>
    <row r="28" spans="3:13" x14ac:dyDescent="0.25">
      <c r="C28" t="s">
        <v>890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C:\Users\stu\Documents\GitHub\eaglep3-reporting\EC\2016-11-29-Runs-Refined.txt</v>
      </c>
    </row>
    <row r="29" spans="3:13" x14ac:dyDescent="0.25">
      <c r="C29" t="s">
        <v>891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C:\Users\stu\Documents\GitHub\eaglep3-reporting\EC\2016-11-29-Trips.txt</v>
      </c>
    </row>
    <row r="30" spans="3:13" x14ac:dyDescent="0.25">
      <c r="C30" t="s">
        <v>892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C:\Users\stu\Documents\GitHub\eaglep3-reporting\EC\2016-11-29-Weather.txt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topLeftCell="A7" workbookViewId="0">
      <selection activeCell="B27" sqref="B2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413</v>
      </c>
      <c r="B1" t="str">
        <f t="shared" ref="B1:B64" si="0">MID(A1,6,23)</f>
        <v>2016/11/28 11:15:40.777</v>
      </c>
      <c r="C1" t="e">
        <f>ABS(B1-#REF!)</f>
        <v>#REF!</v>
      </c>
    </row>
    <row r="2" spans="1:3" x14ac:dyDescent="0.25">
      <c r="A2" t="s">
        <v>414</v>
      </c>
      <c r="B2" s="21" t="str">
        <f t="shared" si="0"/>
        <v>2016/11/28 11:15:40.990</v>
      </c>
      <c r="C2">
        <f>ABS(B2-B1)</f>
        <v>2.4652763386256993E-6</v>
      </c>
    </row>
    <row r="3" spans="1:3" x14ac:dyDescent="0.25">
      <c r="A3" t="s">
        <v>415</v>
      </c>
      <c r="B3" s="21" t="str">
        <f t="shared" si="0"/>
        <v>2016/11/28 11:15:41.493</v>
      </c>
      <c r="C3" s="21">
        <f t="shared" ref="C3:C66" si="1">ABS(B3-B2)</f>
        <v>5.8217628975398839E-6</v>
      </c>
    </row>
    <row r="4" spans="1:3" x14ac:dyDescent="0.25">
      <c r="A4" t="s">
        <v>416</v>
      </c>
      <c r="B4" s="21" t="str">
        <f t="shared" si="0"/>
        <v>2016/11/28 12:10:21.877</v>
      </c>
      <c r="C4" s="21">
        <f t="shared" si="1"/>
        <v>3.7967407406540588E-2</v>
      </c>
    </row>
    <row r="5" spans="1:3" x14ac:dyDescent="0.25">
      <c r="A5" t="s">
        <v>417</v>
      </c>
      <c r="B5" s="21" t="str">
        <f t="shared" si="0"/>
        <v>2016/11/28 12:10:22.011</v>
      </c>
      <c r="C5" s="21">
        <f t="shared" si="1"/>
        <v>1.5509285731241107E-6</v>
      </c>
    </row>
    <row r="6" spans="1:3" x14ac:dyDescent="0.25">
      <c r="A6" t="s">
        <v>418</v>
      </c>
      <c r="B6" s="21" t="str">
        <f t="shared" si="0"/>
        <v>2016/11/28 12:10:22.745</v>
      </c>
      <c r="C6" s="21">
        <f t="shared" si="1"/>
        <v>8.4953717305324972E-6</v>
      </c>
    </row>
    <row r="7" spans="1:3" x14ac:dyDescent="0.25">
      <c r="A7" t="s">
        <v>419</v>
      </c>
      <c r="B7" s="21" t="str">
        <f t="shared" si="0"/>
        <v>2016/11/28 12:16:02.064</v>
      </c>
      <c r="C7" s="21">
        <f t="shared" si="1"/>
        <v>3.9273032380151562E-3</v>
      </c>
    </row>
    <row r="8" spans="1:3" x14ac:dyDescent="0.25">
      <c r="A8" t="s">
        <v>420</v>
      </c>
      <c r="B8" s="21" t="str">
        <f t="shared" si="0"/>
        <v>2016/11/28 12:16:02.466</v>
      </c>
      <c r="C8" s="21">
        <f t="shared" si="1"/>
        <v>4.6527784434147179E-6</v>
      </c>
    </row>
    <row r="9" spans="1:3" x14ac:dyDescent="0.25">
      <c r="A9" t="s">
        <v>421</v>
      </c>
      <c r="B9" s="21" t="str">
        <f t="shared" si="0"/>
        <v>2016/11/28 12:16:02.872</v>
      </c>
      <c r="C9" s="21">
        <f t="shared" si="1"/>
        <v>4.6990753617137671E-6</v>
      </c>
    </row>
    <row r="10" spans="1:3" x14ac:dyDescent="0.25">
      <c r="A10" t="s">
        <v>422</v>
      </c>
      <c r="B10" s="21" t="str">
        <f t="shared" si="0"/>
        <v>2016/11/28 12:28:25.435</v>
      </c>
      <c r="C10" s="21">
        <f t="shared" si="1"/>
        <v>8.59447916445788E-3</v>
      </c>
    </row>
    <row r="11" spans="1:3" x14ac:dyDescent="0.25">
      <c r="A11" t="s">
        <v>423</v>
      </c>
      <c r="B11" s="21" t="str">
        <f t="shared" si="0"/>
        <v>2016/11/28 12:28:25.820</v>
      </c>
      <c r="C11" s="21">
        <f t="shared" si="1"/>
        <v>4.4560147216543555E-6</v>
      </c>
    </row>
    <row r="12" spans="1:3" x14ac:dyDescent="0.25">
      <c r="A12" t="s">
        <v>424</v>
      </c>
      <c r="B12" s="21" t="str">
        <f t="shared" si="0"/>
        <v>2016/11/28 12:28:26.025</v>
      </c>
      <c r="C12" s="21">
        <f t="shared" si="1"/>
        <v>2.3726897779852152E-6</v>
      </c>
    </row>
    <row r="13" spans="1:3" x14ac:dyDescent="0.25">
      <c r="A13" t="s">
        <v>425</v>
      </c>
      <c r="B13" s="21" t="str">
        <f t="shared" si="0"/>
        <v>2016/11/28 12:32:06.289</v>
      </c>
      <c r="C13" s="21">
        <f t="shared" si="1"/>
        <v>2.5493518478469923E-3</v>
      </c>
    </row>
    <row r="14" spans="1:3" x14ac:dyDescent="0.25">
      <c r="A14" t="s">
        <v>426</v>
      </c>
      <c r="B14" s="21" t="str">
        <f t="shared" si="0"/>
        <v>2016/11/28 12:32:06.837</v>
      </c>
      <c r="C14" s="21">
        <f t="shared" si="1"/>
        <v>6.342597771435976E-6</v>
      </c>
    </row>
    <row r="15" spans="1:3" x14ac:dyDescent="0.25">
      <c r="A15" t="s">
        <v>427</v>
      </c>
      <c r="B15" s="21" t="str">
        <f t="shared" si="0"/>
        <v>2016/11/28 12:50:08.096</v>
      </c>
      <c r="C15" s="21">
        <f t="shared" si="1"/>
        <v>1.2514571753854398E-2</v>
      </c>
    </row>
    <row r="16" spans="1:3" x14ac:dyDescent="0.25">
      <c r="A16" t="s">
        <v>428</v>
      </c>
      <c r="B16" s="21" t="str">
        <f t="shared" si="0"/>
        <v>2016/11/28 12:50:08.388</v>
      </c>
      <c r="C16" s="21">
        <f t="shared" si="1"/>
        <v>3.379631380084902E-6</v>
      </c>
    </row>
    <row r="17" spans="1:3" x14ac:dyDescent="0.25">
      <c r="A17" t="s">
        <v>429</v>
      </c>
      <c r="B17" s="21" t="str">
        <f t="shared" si="0"/>
        <v>2016/11/28 13:05:57.742</v>
      </c>
      <c r="C17" s="21">
        <f t="shared" si="1"/>
        <v>1.0987893518176861E-2</v>
      </c>
    </row>
    <row r="18" spans="1:3" x14ac:dyDescent="0.25">
      <c r="A18" t="s">
        <v>430</v>
      </c>
      <c r="B18" s="21" t="str">
        <f t="shared" si="0"/>
        <v>2016/11/28 13:05:57.879</v>
      </c>
      <c r="C18" s="21">
        <f t="shared" si="1"/>
        <v>1.585649442858994E-6</v>
      </c>
    </row>
    <row r="19" spans="1:3" x14ac:dyDescent="0.25">
      <c r="A19" t="s">
        <v>431</v>
      </c>
      <c r="B19" s="21" t="str">
        <f t="shared" si="0"/>
        <v>2016/11/28 13:05:58.007</v>
      </c>
      <c r="C19" s="21">
        <f t="shared" si="1"/>
        <v>1.4814795576967299E-6</v>
      </c>
    </row>
    <row r="20" spans="1:3" x14ac:dyDescent="0.25">
      <c r="A20" t="s">
        <v>432</v>
      </c>
      <c r="B20" s="21" t="str">
        <f t="shared" si="0"/>
        <v>2016/11/28 13:06:06.605</v>
      </c>
      <c r="C20" s="21">
        <f t="shared" si="1"/>
        <v>9.9513890745583922E-5</v>
      </c>
    </row>
    <row r="21" spans="1:3" x14ac:dyDescent="0.25">
      <c r="A21" t="s">
        <v>433</v>
      </c>
      <c r="B21" s="21" t="str">
        <f t="shared" si="0"/>
        <v>2016/11/28 13:26:08.014</v>
      </c>
      <c r="C21" s="21">
        <f t="shared" si="1"/>
        <v>1.3905196756240912E-2</v>
      </c>
    </row>
    <row r="22" spans="1:3" x14ac:dyDescent="0.25">
      <c r="A22" t="s">
        <v>434</v>
      </c>
      <c r="B22" s="21" t="str">
        <f t="shared" si="0"/>
        <v>2016/11/28 13:26:08.434</v>
      </c>
      <c r="C22" s="21">
        <f t="shared" si="1"/>
        <v>4.8611109377816319E-6</v>
      </c>
    </row>
    <row r="23" spans="1:3" x14ac:dyDescent="0.25">
      <c r="A23" t="s">
        <v>435</v>
      </c>
      <c r="B23" s="21" t="str">
        <f t="shared" si="0"/>
        <v>2016/11/28 13:26:08.819</v>
      </c>
      <c r="C23" s="21">
        <f t="shared" si="1"/>
        <v>4.4560219976119697E-6</v>
      </c>
    </row>
    <row r="24" spans="1:3" x14ac:dyDescent="0.25">
      <c r="A24" t="s">
        <v>436</v>
      </c>
      <c r="B24" s="21" t="str">
        <f t="shared" si="0"/>
        <v>2016/11/28 14:05:21.873</v>
      </c>
      <c r="C24" s="21">
        <f t="shared" si="1"/>
        <v>2.7234421293542255E-2</v>
      </c>
    </row>
    <row r="25" spans="1:3" x14ac:dyDescent="0.25">
      <c r="A25" t="s">
        <v>437</v>
      </c>
      <c r="B25" s="21" t="str">
        <f t="shared" si="0"/>
        <v>2016/11/28 14:05:22.008</v>
      </c>
      <c r="C25" s="21">
        <f t="shared" si="1"/>
        <v>1.5625046216882765E-6</v>
      </c>
    </row>
    <row r="26" spans="1:3" x14ac:dyDescent="0.25">
      <c r="A26" t="s">
        <v>438</v>
      </c>
      <c r="B26" s="21" t="str">
        <f t="shared" si="0"/>
        <v>2016/11/28 14:05:22.744</v>
      </c>
      <c r="C26" s="21">
        <f t="shared" si="1"/>
        <v>8.5185165517032146E-6</v>
      </c>
    </row>
    <row r="27" spans="1:3" x14ac:dyDescent="0.25">
      <c r="A27" t="s">
        <v>439</v>
      </c>
      <c r="B27" s="21" t="str">
        <f t="shared" si="0"/>
        <v>2016/11/28 14:50:58.279</v>
      </c>
      <c r="C27" s="21">
        <f t="shared" si="1"/>
        <v>3.1661284723668359E-2</v>
      </c>
    </row>
    <row r="28" spans="1:3" x14ac:dyDescent="0.25">
      <c r="A28" t="s">
        <v>440</v>
      </c>
      <c r="B28" s="21" t="str">
        <f t="shared" si="0"/>
        <v>2016/11/28 15:04:22.611</v>
      </c>
      <c r="C28" s="21">
        <f t="shared" si="1"/>
        <v>9.3093981486163102E-3</v>
      </c>
    </row>
    <row r="29" spans="1:3" x14ac:dyDescent="0.25">
      <c r="A29" t="s">
        <v>441</v>
      </c>
      <c r="B29" s="21" t="str">
        <f t="shared" si="0"/>
        <v>2016/11/28 15:04:23.103</v>
      </c>
      <c r="C29" s="21">
        <f t="shared" si="1"/>
        <v>5.6944409152492881E-6</v>
      </c>
    </row>
    <row r="30" spans="1:3" x14ac:dyDescent="0.25">
      <c r="A30" t="s">
        <v>442</v>
      </c>
      <c r="B30" s="21" t="str">
        <f t="shared" si="0"/>
        <v>2016/11/28 15:06:19.006</v>
      </c>
      <c r="C30" s="21">
        <f t="shared" si="1"/>
        <v>1.3414699060376734E-3</v>
      </c>
    </row>
    <row r="31" spans="1:3" x14ac:dyDescent="0.25">
      <c r="A31" t="s">
        <v>443</v>
      </c>
      <c r="B31" s="21" t="str">
        <f t="shared" si="0"/>
        <v>2016/11/28 15:06:19.749</v>
      </c>
      <c r="C31" s="21">
        <f t="shared" si="1"/>
        <v>8.5995416156947613E-6</v>
      </c>
    </row>
    <row r="32" spans="1:3" x14ac:dyDescent="0.25">
      <c r="A32" t="s">
        <v>444</v>
      </c>
      <c r="B32" s="21" t="str">
        <f t="shared" si="0"/>
        <v>2016/11/28 15:06:19.873</v>
      </c>
      <c r="C32" s="21">
        <f t="shared" si="1"/>
        <v>1.4351826393976808E-6</v>
      </c>
    </row>
    <row r="33" spans="1:3" x14ac:dyDescent="0.25">
      <c r="A33" t="s">
        <v>445</v>
      </c>
      <c r="B33" s="21" t="str">
        <f t="shared" si="0"/>
        <v>2016/11/28 15:25:57.012</v>
      </c>
      <c r="C33" s="21">
        <f t="shared" si="1"/>
        <v>1.3624293984321412E-2</v>
      </c>
    </row>
    <row r="34" spans="1:3" x14ac:dyDescent="0.25">
      <c r="A34" t="s">
        <v>446</v>
      </c>
      <c r="B34" s="21" t="str">
        <f t="shared" si="0"/>
        <v>2016/11/28 15:31:07.828</v>
      </c>
      <c r="C34" s="21">
        <f t="shared" si="1"/>
        <v>3.5974074053228833E-3</v>
      </c>
    </row>
    <row r="35" spans="1:3" x14ac:dyDescent="0.25">
      <c r="A35" t="s">
        <v>447</v>
      </c>
      <c r="B35" s="21" t="str">
        <f t="shared" si="0"/>
        <v>2016/11/28 15:31:08.012</v>
      </c>
      <c r="C35" s="21">
        <f t="shared" si="1"/>
        <v>2.1296291379258037E-6</v>
      </c>
    </row>
    <row r="36" spans="1:3" x14ac:dyDescent="0.25">
      <c r="A36" t="s">
        <v>448</v>
      </c>
      <c r="B36" s="21" t="str">
        <f t="shared" si="0"/>
        <v>2016/11/28 15:34:41.579</v>
      </c>
      <c r="C36" s="21">
        <f t="shared" si="1"/>
        <v>2.4718402783037163E-3</v>
      </c>
    </row>
    <row r="37" spans="1:3" x14ac:dyDescent="0.25">
      <c r="A37" t="s">
        <v>449</v>
      </c>
      <c r="B37" s="21" t="str">
        <f t="shared" si="0"/>
        <v>2016/11/28 15:34:42.194</v>
      </c>
      <c r="C37" s="21">
        <f t="shared" si="1"/>
        <v>7.1180547820404172E-6</v>
      </c>
    </row>
    <row r="38" spans="1:3" x14ac:dyDescent="0.25">
      <c r="A38" t="s">
        <v>450</v>
      </c>
      <c r="B38" s="21" t="str">
        <f t="shared" si="0"/>
        <v>2016/11/28 15:34:42.228</v>
      </c>
      <c r="C38" s="21">
        <f t="shared" si="1"/>
        <v>3.9352016756311059E-7</v>
      </c>
    </row>
    <row r="39" spans="1:3" x14ac:dyDescent="0.25">
      <c r="A39" t="s">
        <v>451</v>
      </c>
      <c r="B39" s="21" t="str">
        <f t="shared" si="0"/>
        <v>2016/11/28 16:16:56.839</v>
      </c>
      <c r="C39" s="21">
        <f t="shared" si="1"/>
        <v>2.9335775463550817E-2</v>
      </c>
    </row>
    <row r="40" spans="1:3" x14ac:dyDescent="0.25">
      <c r="A40" t="s">
        <v>452</v>
      </c>
      <c r="B40" s="21" t="str">
        <f t="shared" si="0"/>
        <v>2016/11/28 16:16:57.322</v>
      </c>
      <c r="C40" s="21">
        <f t="shared" si="1"/>
        <v>5.5902783060446382E-6</v>
      </c>
    </row>
    <row r="41" spans="1:3" x14ac:dyDescent="0.25">
      <c r="A41" t="s">
        <v>453</v>
      </c>
      <c r="B41" s="21" t="str">
        <f t="shared" si="0"/>
        <v>2016/11/28 16:46:00.781</v>
      </c>
      <c r="C41" s="21">
        <f t="shared" si="1"/>
        <v>2.0178923608909827E-2</v>
      </c>
    </row>
    <row r="42" spans="1:3" x14ac:dyDescent="0.25">
      <c r="A42" t="s">
        <v>454</v>
      </c>
      <c r="B42" s="21" t="str">
        <f t="shared" si="0"/>
        <v>2016/11/28 16:46:02.040</v>
      </c>
      <c r="C42" s="21">
        <f t="shared" si="1"/>
        <v>1.457175676478073E-5</v>
      </c>
    </row>
    <row r="43" spans="1:3" x14ac:dyDescent="0.25">
      <c r="A43" t="s">
        <v>455</v>
      </c>
      <c r="B43" s="21" t="str">
        <f t="shared" si="0"/>
        <v>2016/11/28 17:21:19.069</v>
      </c>
      <c r="C43" s="21">
        <f t="shared" si="1"/>
        <v>2.4502650463546161E-2</v>
      </c>
    </row>
    <row r="44" spans="1:3" x14ac:dyDescent="0.25">
      <c r="A44" t="s">
        <v>456</v>
      </c>
      <c r="B44" s="21" t="str">
        <f t="shared" si="0"/>
        <v>2016/11/28 17:21:19.321</v>
      </c>
      <c r="C44" s="21">
        <f t="shared" si="1"/>
        <v>2.9166694730520248E-6</v>
      </c>
    </row>
    <row r="45" spans="1:3" x14ac:dyDescent="0.25">
      <c r="A45" t="s">
        <v>457</v>
      </c>
      <c r="B45" s="21" t="str">
        <f t="shared" si="0"/>
        <v>2016/11/28 17:22:10.964</v>
      </c>
      <c r="C45" s="21">
        <f t="shared" si="1"/>
        <v>5.9771991072921082E-4</v>
      </c>
    </row>
    <row r="46" spans="1:3" x14ac:dyDescent="0.25">
      <c r="A46" t="s">
        <v>458</v>
      </c>
      <c r="B46" s="21" t="str">
        <f t="shared" si="0"/>
        <v>2016/11/28 17:22:11.068</v>
      </c>
      <c r="C46" s="21">
        <f t="shared" si="1"/>
        <v>1.2036980479024351E-6</v>
      </c>
    </row>
    <row r="47" spans="1:3" x14ac:dyDescent="0.25">
      <c r="A47" t="s">
        <v>459</v>
      </c>
      <c r="B47" s="21" t="str">
        <f t="shared" si="0"/>
        <v>2016/11/28 17:22:11.321</v>
      </c>
      <c r="C47" s="21">
        <f t="shared" si="1"/>
        <v>2.9282455216161907E-6</v>
      </c>
    </row>
    <row r="48" spans="1:3" x14ac:dyDescent="0.25">
      <c r="A48" t="s">
        <v>460</v>
      </c>
      <c r="B48" s="21" t="str">
        <f t="shared" si="0"/>
        <v>2016/11/28 17:23:53.484</v>
      </c>
      <c r="C48" s="21">
        <f t="shared" si="1"/>
        <v>1.1824421235360205E-3</v>
      </c>
    </row>
    <row r="49" spans="1:3" x14ac:dyDescent="0.25">
      <c r="A49" t="s">
        <v>461</v>
      </c>
      <c r="B49" s="21" t="str">
        <f t="shared" si="0"/>
        <v>2016/11/28 17:23:53.770</v>
      </c>
      <c r="C49" s="21">
        <f t="shared" si="1"/>
        <v>3.3101896406151354E-6</v>
      </c>
    </row>
    <row r="50" spans="1:3" x14ac:dyDescent="0.25">
      <c r="A50" t="s">
        <v>462</v>
      </c>
      <c r="B50" s="21" t="str">
        <f t="shared" si="0"/>
        <v>2016/11/28 18:06:53.404</v>
      </c>
      <c r="C50" s="21">
        <f t="shared" si="1"/>
        <v>2.9856875000405125E-2</v>
      </c>
    </row>
    <row r="51" spans="1:3" x14ac:dyDescent="0.25">
      <c r="A51" t="s">
        <v>463</v>
      </c>
      <c r="B51" s="21" t="str">
        <f t="shared" si="0"/>
        <v>2016/11/28 18:06:54.101</v>
      </c>
      <c r="C51" s="21">
        <f t="shared" si="1"/>
        <v>8.0671306932345033E-6</v>
      </c>
    </row>
    <row r="52" spans="1:3" x14ac:dyDescent="0.25">
      <c r="A52" t="s">
        <v>464</v>
      </c>
      <c r="B52" s="21" t="str">
        <f t="shared" si="0"/>
        <v>2016/11/28 19:48:20.406</v>
      </c>
      <c r="C52" s="21">
        <f t="shared" si="1"/>
        <v>7.0443344906379934E-2</v>
      </c>
    </row>
    <row r="53" spans="1:3" x14ac:dyDescent="0.25">
      <c r="A53" t="s">
        <v>465</v>
      </c>
      <c r="B53" s="21" t="str">
        <f t="shared" si="0"/>
        <v>2016/11/28 19:48:21.101</v>
      </c>
      <c r="C53" s="21">
        <f t="shared" si="1"/>
        <v>8.0439785961061716E-6</v>
      </c>
    </row>
    <row r="54" spans="1:3" x14ac:dyDescent="0.25">
      <c r="A54" t="s">
        <v>466</v>
      </c>
      <c r="B54" s="21" t="str">
        <f t="shared" si="0"/>
        <v>2016/11/28 20:04:33.286</v>
      </c>
      <c r="C54" s="21">
        <f t="shared" si="1"/>
        <v>1.1252141208387911E-2</v>
      </c>
    </row>
    <row r="55" spans="1:3" x14ac:dyDescent="0.25">
      <c r="A55" t="s">
        <v>467</v>
      </c>
      <c r="B55" s="21" t="str">
        <f t="shared" si="0"/>
        <v>2016/11/28 20:49:24.362</v>
      </c>
      <c r="C55" s="21">
        <f t="shared" si="1"/>
        <v>3.1146712957706768E-2</v>
      </c>
    </row>
    <row r="56" spans="1:3" x14ac:dyDescent="0.25">
      <c r="A56" t="s">
        <v>468</v>
      </c>
      <c r="B56" s="21" t="str">
        <f t="shared" si="0"/>
        <v>2016/11/28 20:49:24.484</v>
      </c>
      <c r="C56" s="21">
        <f t="shared" si="1"/>
        <v>1.4120378182269633E-6</v>
      </c>
    </row>
    <row r="57" spans="1:3" x14ac:dyDescent="0.25">
      <c r="A57" t="s">
        <v>469</v>
      </c>
      <c r="B57" s="21" t="str">
        <f t="shared" si="0"/>
        <v>2016/11/28 20:49:25.034</v>
      </c>
      <c r="C57" s="21">
        <f t="shared" si="1"/>
        <v>6.3657425926066935E-6</v>
      </c>
    </row>
    <row r="58" spans="1:3" x14ac:dyDescent="0.25">
      <c r="A58" t="s">
        <v>470</v>
      </c>
      <c r="B58" s="21" t="str">
        <f t="shared" si="0"/>
        <v>2016/11/28 20:54:43.367</v>
      </c>
      <c r="C58" s="21">
        <f t="shared" si="1"/>
        <v>3.6844097194261849E-3</v>
      </c>
    </row>
    <row r="59" spans="1:3" x14ac:dyDescent="0.25">
      <c r="A59" t="s">
        <v>471</v>
      </c>
      <c r="B59" s="21" t="str">
        <f t="shared" si="0"/>
        <v>2016/11/28 20:54:43.497</v>
      </c>
      <c r="C59" s="21">
        <f t="shared" si="1"/>
        <v>1.5046316548250616E-6</v>
      </c>
    </row>
    <row r="60" spans="1:3" x14ac:dyDescent="0.25">
      <c r="A60" t="s">
        <v>472</v>
      </c>
      <c r="B60" s="21" t="str">
        <f t="shared" si="0"/>
        <v>2016/11/28 20:54:43.892</v>
      </c>
      <c r="C60" s="21">
        <f t="shared" si="1"/>
        <v>4.5717606553807855E-6</v>
      </c>
    </row>
    <row r="61" spans="1:3" x14ac:dyDescent="0.25">
      <c r="A61" t="s">
        <v>473</v>
      </c>
      <c r="B61" s="21" t="str">
        <f t="shared" si="0"/>
        <v>2016/11/28 21:30:21.100</v>
      </c>
      <c r="C61" s="21">
        <f t="shared" si="1"/>
        <v>2.4736203704378568E-2</v>
      </c>
    </row>
    <row r="62" spans="1:3" x14ac:dyDescent="0.25">
      <c r="A62" t="s">
        <v>474</v>
      </c>
      <c r="B62" s="21" t="str">
        <f t="shared" si="0"/>
        <v>2016/11/28 21:30:21.402</v>
      </c>
      <c r="C62" s="21">
        <f t="shared" si="1"/>
        <v>3.4953700378537178E-6</v>
      </c>
    </row>
    <row r="63" spans="1:3" x14ac:dyDescent="0.25">
      <c r="A63" t="s">
        <v>475</v>
      </c>
      <c r="B63" s="21" t="str">
        <f t="shared" si="0"/>
        <v>2016/11/28 21:49:38.607</v>
      </c>
      <c r="C63" s="21">
        <f t="shared" si="1"/>
        <v>1.3393576387898065E-2</v>
      </c>
    </row>
    <row r="64" spans="1:3" x14ac:dyDescent="0.25">
      <c r="A64" t="s">
        <v>476</v>
      </c>
      <c r="B64" s="21" t="str">
        <f t="shared" si="0"/>
        <v>2016/11/28 21:49:38.614</v>
      </c>
      <c r="C64" s="21">
        <f t="shared" si="1"/>
        <v>8.1017788033932447E-8</v>
      </c>
    </row>
    <row r="65" spans="1:3" x14ac:dyDescent="0.25">
      <c r="A65" t="s">
        <v>477</v>
      </c>
      <c r="B65" s="21" t="str">
        <f t="shared" ref="B65:B75" si="2">MID(A65,6,23)</f>
        <v>2016/11/28 21:49:39.288</v>
      </c>
      <c r="C65" s="21">
        <f t="shared" si="1"/>
        <v>7.8009252320043743E-6</v>
      </c>
    </row>
    <row r="66" spans="1:3" x14ac:dyDescent="0.25">
      <c r="A66" t="s">
        <v>478</v>
      </c>
      <c r="B66" s="21" t="str">
        <f t="shared" si="2"/>
        <v>2016/11/28 22:06:56.576</v>
      </c>
      <c r="C66" s="21">
        <f t="shared" si="1"/>
        <v>1.2005648146441672E-2</v>
      </c>
    </row>
    <row r="67" spans="1:3" x14ac:dyDescent="0.25">
      <c r="A67" t="s">
        <v>479</v>
      </c>
      <c r="B67" s="21" t="str">
        <f t="shared" si="2"/>
        <v>2016/11/28 22:06:56.900</v>
      </c>
      <c r="C67" s="21">
        <f t="shared" ref="C67:C75" si="3">ABS(B67-B66)</f>
        <v>3.749999450519681E-6</v>
      </c>
    </row>
    <row r="68" spans="1:3" x14ac:dyDescent="0.25">
      <c r="A68" t="s">
        <v>480</v>
      </c>
      <c r="B68" s="21" t="str">
        <f t="shared" si="2"/>
        <v>2016/11/28 22:15:46.156</v>
      </c>
      <c r="C68" s="21">
        <f t="shared" si="3"/>
        <v>6.1256481494638138E-3</v>
      </c>
    </row>
    <row r="69" spans="1:3" x14ac:dyDescent="0.25">
      <c r="A69" t="s">
        <v>481</v>
      </c>
      <c r="B69" s="21" t="str">
        <f t="shared" si="2"/>
        <v>2016/11/28 22:15:46.222</v>
      </c>
      <c r="C69" s="21">
        <f t="shared" si="3"/>
        <v>7.6388823799788952E-7</v>
      </c>
    </row>
    <row r="70" spans="1:3" x14ac:dyDescent="0.25">
      <c r="A70" t="s">
        <v>482</v>
      </c>
      <c r="B70" s="21" t="str">
        <f t="shared" si="2"/>
        <v>2016/11/28 22:15:46.334</v>
      </c>
      <c r="C70" s="21">
        <f t="shared" si="3"/>
        <v>1.2962991604581475E-6</v>
      </c>
    </row>
    <row r="71" spans="1:3" x14ac:dyDescent="0.25">
      <c r="A71" t="s">
        <v>483</v>
      </c>
      <c r="B71" s="21" t="str">
        <f t="shared" si="2"/>
        <v>2016/11/28 22:28:17.223</v>
      </c>
      <c r="C71" s="21">
        <f t="shared" si="3"/>
        <v>8.6908449084148742E-3</v>
      </c>
    </row>
    <row r="72" spans="1:3" x14ac:dyDescent="0.25">
      <c r="A72" t="s">
        <v>484</v>
      </c>
      <c r="B72" s="21" t="str">
        <f t="shared" si="2"/>
        <v>2016/11/28 22:28:17.268</v>
      </c>
      <c r="C72" s="21">
        <f t="shared" si="3"/>
        <v>5.2083487389609218E-7</v>
      </c>
    </row>
    <row r="73" spans="1:3" x14ac:dyDescent="0.25">
      <c r="A73" t="s">
        <v>485</v>
      </c>
      <c r="B73" s="21" t="str">
        <f t="shared" si="2"/>
        <v>2016/11/28 22:28:17.612</v>
      </c>
      <c r="C73" s="21">
        <f t="shared" si="3"/>
        <v>3.9814767660573125E-6</v>
      </c>
    </row>
    <row r="74" spans="1:3" x14ac:dyDescent="0.25">
      <c r="A74" t="s">
        <v>486</v>
      </c>
      <c r="B74" s="21" t="str">
        <f t="shared" si="2"/>
        <v>2016/11/28 22:36:45.159</v>
      </c>
      <c r="C74" s="21">
        <f t="shared" si="3"/>
        <v>5.8743865738506429E-3</v>
      </c>
    </row>
    <row r="75" spans="1:3" x14ac:dyDescent="0.25">
      <c r="A75" t="s">
        <v>487</v>
      </c>
      <c r="B75" s="21" t="str">
        <f t="shared" si="2"/>
        <v>2016/11/28 22:36:45.242</v>
      </c>
      <c r="C75" s="21">
        <f t="shared" si="3"/>
        <v>9.6065195975825191E-7</v>
      </c>
    </row>
    <row r="76" spans="1:3" x14ac:dyDescent="0.25">
      <c r="A76" t="s">
        <v>488</v>
      </c>
      <c r="B76" s="21" t="str">
        <f t="shared" ref="B76:B81" si="4">MID(A76,6,23)</f>
        <v>2016/11/28 22:36:45.344</v>
      </c>
      <c r="C76" s="21">
        <f t="shared" ref="C76:C81" si="5">ABS(B76-B75)</f>
        <v>1.1805532267317176E-6</v>
      </c>
    </row>
    <row r="77" spans="1:3" x14ac:dyDescent="0.25">
      <c r="A77" t="s">
        <v>489</v>
      </c>
      <c r="B77" s="21" t="str">
        <f t="shared" si="4"/>
        <v>2016/11/28 22:38:19.157</v>
      </c>
      <c r="C77" s="21">
        <f t="shared" si="5"/>
        <v>1.0857986126211472E-3</v>
      </c>
    </row>
    <row r="78" spans="1:3" x14ac:dyDescent="0.25">
      <c r="A78" t="s">
        <v>490</v>
      </c>
      <c r="B78" s="21" t="str">
        <f t="shared" si="4"/>
        <v>2016/11/28 22:38:19.210</v>
      </c>
      <c r="C78" s="21">
        <f t="shared" si="5"/>
        <v>6.1342143453657627E-7</v>
      </c>
    </row>
    <row r="79" spans="1:3" x14ac:dyDescent="0.25">
      <c r="A79" t="s">
        <v>491</v>
      </c>
      <c r="B79" s="21" t="str">
        <f t="shared" si="4"/>
        <v>2016/11/28 22:38:19.326</v>
      </c>
      <c r="C79" s="21">
        <f t="shared" si="5"/>
        <v>1.3425960787571967E-6</v>
      </c>
    </row>
    <row r="80" spans="1:3" x14ac:dyDescent="0.25">
      <c r="A80" t="s">
        <v>492</v>
      </c>
      <c r="B80" s="21" t="str">
        <f t="shared" si="4"/>
        <v>2016/11/28 22:39:40.194</v>
      </c>
      <c r="C80" s="21">
        <f t="shared" si="5"/>
        <v>9.3597222439711913E-4</v>
      </c>
    </row>
    <row r="81" spans="1:3" x14ac:dyDescent="0.25">
      <c r="A81" t="s">
        <v>493</v>
      </c>
      <c r="B81" s="21" t="str">
        <f t="shared" si="4"/>
        <v>2016/11/28 22:39:40.233</v>
      </c>
      <c r="C81" s="21">
        <f t="shared" si="5"/>
        <v>4.5138585846871138E-7</v>
      </c>
    </row>
    <row r="82" spans="1:3" x14ac:dyDescent="0.25">
      <c r="A82" t="s">
        <v>494</v>
      </c>
      <c r="B82" s="21" t="str">
        <f t="shared" ref="B82:B114" si="6">MID(A82,6,23)</f>
        <v>2016/11/28 22:39:40.589</v>
      </c>
      <c r="C82" s="21">
        <f t="shared" ref="C82:C114" si="7">ABS(B82-B81)</f>
        <v>4.1203675209544599E-6</v>
      </c>
    </row>
    <row r="83" spans="1:3" x14ac:dyDescent="0.25">
      <c r="A83" t="s">
        <v>495</v>
      </c>
      <c r="B83" s="21" t="str">
        <f t="shared" si="6"/>
        <v>2016/11/28 22:40:23.201</v>
      </c>
      <c r="C83" s="21">
        <f t="shared" si="7"/>
        <v>4.9319444951834157E-4</v>
      </c>
    </row>
    <row r="84" spans="1:3" x14ac:dyDescent="0.25">
      <c r="A84" t="s">
        <v>496</v>
      </c>
      <c r="B84" s="21" t="str">
        <f t="shared" si="6"/>
        <v>2016/11/29 00:14:00.040</v>
      </c>
      <c r="C84" s="21">
        <f t="shared" si="7"/>
        <v>6.5009710648155306E-2</v>
      </c>
    </row>
    <row r="85" spans="1:3" x14ac:dyDescent="0.25">
      <c r="A85" t="s">
        <v>497</v>
      </c>
      <c r="B85" s="21" t="str">
        <f t="shared" si="6"/>
        <v>2016/11/29 00:14:00.372</v>
      </c>
      <c r="C85" s="21">
        <f t="shared" si="7"/>
        <v>3.8425932871177793E-6</v>
      </c>
    </row>
    <row r="86" spans="1:3" x14ac:dyDescent="0.25">
      <c r="A86" t="s">
        <v>498</v>
      </c>
      <c r="B86" s="21" t="str">
        <f t="shared" si="6"/>
        <v>2016/11/29 00:14:00.489</v>
      </c>
      <c r="C86" s="21">
        <f t="shared" si="7"/>
        <v>1.3541648513637483E-6</v>
      </c>
    </row>
    <row r="87" spans="1:3" x14ac:dyDescent="0.25">
      <c r="A87" t="s">
        <v>499</v>
      </c>
      <c r="B87" s="21" t="str">
        <f t="shared" si="6"/>
        <v>2016/11/29 00:25:52.024</v>
      </c>
      <c r="C87" s="21">
        <f t="shared" si="7"/>
        <v>8.235358793172054E-3</v>
      </c>
    </row>
    <row r="88" spans="1:3" x14ac:dyDescent="0.25">
      <c r="A88" t="s">
        <v>500</v>
      </c>
      <c r="B88" s="21" t="str">
        <f t="shared" si="6"/>
        <v>2016/11/29 00:25:52.824</v>
      </c>
      <c r="C88" s="21">
        <f t="shared" si="7"/>
        <v>9.2592599685303867E-6</v>
      </c>
    </row>
    <row r="89" spans="1:3" x14ac:dyDescent="0.25">
      <c r="A89" t="s">
        <v>501</v>
      </c>
      <c r="B89" s="21" t="str">
        <f t="shared" si="6"/>
        <v>2016/11/29 00:25:53.440</v>
      </c>
      <c r="C89" s="21">
        <f t="shared" si="7"/>
        <v>7.129630830604583E-6</v>
      </c>
    </row>
    <row r="90" spans="1:3" x14ac:dyDescent="0.25">
      <c r="A90" t="s">
        <v>502</v>
      </c>
      <c r="B90" s="21" t="str">
        <f t="shared" si="6"/>
        <v>2016/11/29 00:52:10.899</v>
      </c>
      <c r="C90" s="21">
        <f t="shared" si="7"/>
        <v>1.8257627314596903E-2</v>
      </c>
    </row>
    <row r="91" spans="1:3" x14ac:dyDescent="0.25">
      <c r="A91" t="s">
        <v>503</v>
      </c>
      <c r="B91" s="21" t="str">
        <f t="shared" si="6"/>
        <v>2016/11/29 00:52:11.504</v>
      </c>
      <c r="C91" s="21">
        <f t="shared" si="7"/>
        <v>7.0023161242716014E-6</v>
      </c>
    </row>
    <row r="92" spans="1:3" x14ac:dyDescent="0.25">
      <c r="A92" t="s">
        <v>504</v>
      </c>
      <c r="B92" s="21" t="str">
        <f t="shared" si="6"/>
        <v>2016/11/29 00:52:12.372</v>
      </c>
      <c r="C92" s="21">
        <f t="shared" si="7"/>
        <v>1.0046293027698994E-5</v>
      </c>
    </row>
    <row r="93" spans="1:3" x14ac:dyDescent="0.25">
      <c r="A93" t="s">
        <v>505</v>
      </c>
      <c r="B93" s="21" t="str">
        <f t="shared" si="6"/>
        <v>2016/11/29 00:56:32.498</v>
      </c>
      <c r="C93" s="21">
        <f t="shared" si="7"/>
        <v>3.0107175989542156E-3</v>
      </c>
    </row>
    <row r="94" spans="1:3" x14ac:dyDescent="0.25">
      <c r="A94" t="s">
        <v>506</v>
      </c>
      <c r="B94" s="21" t="str">
        <f t="shared" si="6"/>
        <v>2016/11/29 00:56:32.892</v>
      </c>
      <c r="C94" s="21">
        <f t="shared" si="7"/>
        <v>4.5601846068166196E-6</v>
      </c>
    </row>
    <row r="95" spans="1:3" x14ac:dyDescent="0.25">
      <c r="A95" t="s">
        <v>507</v>
      </c>
      <c r="B95" s="21" t="str">
        <f t="shared" si="6"/>
        <v>2016/11/29 00:57:10.361</v>
      </c>
      <c r="C95" s="21">
        <f t="shared" si="7"/>
        <v>4.3366898171370849E-4</v>
      </c>
    </row>
    <row r="96" spans="1:3" x14ac:dyDescent="0.25">
      <c r="A96" t="s">
        <v>508</v>
      </c>
      <c r="B96" s="21" t="str">
        <f t="shared" si="6"/>
        <v>2016/11/29 00:57:10.487</v>
      </c>
      <c r="C96" s="21">
        <f t="shared" si="7"/>
        <v>1.4583274605683982E-6</v>
      </c>
    </row>
    <row r="97" spans="1:3" x14ac:dyDescent="0.25">
      <c r="A97" t="s">
        <v>509</v>
      </c>
      <c r="B97" s="21" t="str">
        <f t="shared" si="6"/>
        <v>2016/11/29 00:57:10.891</v>
      </c>
      <c r="C97" s="21">
        <f t="shared" si="7"/>
        <v>4.6759305405430496E-6</v>
      </c>
    </row>
    <row r="98" spans="1:3" x14ac:dyDescent="0.25">
      <c r="A98" t="s">
        <v>510</v>
      </c>
      <c r="B98" s="21" t="str">
        <f t="shared" si="6"/>
        <v>2016/11/29 01:02:48.829</v>
      </c>
      <c r="C98" s="21">
        <f t="shared" si="7"/>
        <v>3.9113194434321485E-3</v>
      </c>
    </row>
    <row r="99" spans="1:3" x14ac:dyDescent="0.25">
      <c r="A99" t="s">
        <v>511</v>
      </c>
      <c r="B99" s="21" t="str">
        <f t="shared" si="6"/>
        <v>2016/11/29 01:02:48.886</v>
      </c>
      <c r="C99" s="21">
        <f t="shared" si="7"/>
        <v>6.5971835283562541E-7</v>
      </c>
    </row>
    <row r="100" spans="1:3" x14ac:dyDescent="0.25">
      <c r="A100" t="s">
        <v>512</v>
      </c>
      <c r="B100" s="21" t="str">
        <f t="shared" si="6"/>
        <v>2016/11/29 01:02:49.014</v>
      </c>
      <c r="C100" s="21">
        <f t="shared" si="7"/>
        <v>1.4814868336543441E-6</v>
      </c>
    </row>
    <row r="101" spans="1:3" x14ac:dyDescent="0.25">
      <c r="A101" t="s">
        <v>513</v>
      </c>
      <c r="B101" s="21" t="str">
        <f t="shared" si="6"/>
        <v>2016/11/29 01:26:10.016</v>
      </c>
      <c r="C101" s="21">
        <f t="shared" si="7"/>
        <v>1.6215300922340248E-2</v>
      </c>
    </row>
    <row r="102" spans="1:3" x14ac:dyDescent="0.25">
      <c r="A102" t="s">
        <v>514</v>
      </c>
      <c r="B102" s="21" t="str">
        <f t="shared" si="6"/>
        <v>2016/11/29 01:26:10.434</v>
      </c>
      <c r="C102" s="21">
        <f t="shared" si="7"/>
        <v>4.8379661166109145E-6</v>
      </c>
    </row>
    <row r="103" spans="1:3" x14ac:dyDescent="0.25">
      <c r="A103" t="s">
        <v>515</v>
      </c>
      <c r="B103" s="21" t="str">
        <f t="shared" si="6"/>
        <v>2016/11/29 02:06:52.357</v>
      </c>
      <c r="C103" s="21">
        <f t="shared" si="7"/>
        <v>2.8262997686397284E-2</v>
      </c>
    </row>
    <row r="104" spans="1:3" x14ac:dyDescent="0.25">
      <c r="A104" t="s">
        <v>516</v>
      </c>
      <c r="B104" s="21" t="str">
        <f t="shared" si="6"/>
        <v>2016/11/29 02:06:52.478</v>
      </c>
      <c r="C104" s="21">
        <f t="shared" si="7"/>
        <v>1.4004617696627975E-6</v>
      </c>
    </row>
    <row r="105" spans="1:3" x14ac:dyDescent="0.25">
      <c r="A105" t="s">
        <v>517</v>
      </c>
      <c r="B105" s="21" t="str">
        <f t="shared" si="6"/>
        <v>2016/11/29 02:06:53.032</v>
      </c>
      <c r="C105" s="21">
        <f t="shared" si="7"/>
        <v>6.4120322349481285E-6</v>
      </c>
    </row>
    <row r="106" spans="1:3" x14ac:dyDescent="0.25">
      <c r="A106" t="s">
        <v>518</v>
      </c>
      <c r="B106" s="21" t="str">
        <f t="shared" si="6"/>
        <v>2016/11/29 02:34:37.583</v>
      </c>
      <c r="C106" s="21">
        <f t="shared" si="7"/>
        <v>1.9265636576164979E-2</v>
      </c>
    </row>
    <row r="107" spans="1:3" x14ac:dyDescent="0.25">
      <c r="A107" t="s">
        <v>519</v>
      </c>
      <c r="B107" s="21" t="str">
        <f t="shared" si="6"/>
        <v>2016/11/29 02:34:38.195</v>
      </c>
      <c r="C107" s="21">
        <f t="shared" si="7"/>
        <v>7.0833339123055339E-6</v>
      </c>
    </row>
    <row r="108" spans="1:3" x14ac:dyDescent="0.25">
      <c r="A108" t="s">
        <v>520</v>
      </c>
      <c r="B108" s="21" t="str">
        <f t="shared" si="6"/>
        <v>2016/11/29 02:34:38.227</v>
      </c>
      <c r="C108" s="21">
        <f t="shared" si="7"/>
        <v>3.7036807043477893E-7</v>
      </c>
    </row>
    <row r="109" spans="1:3" x14ac:dyDescent="0.25">
      <c r="A109" t="s">
        <v>521</v>
      </c>
      <c r="B109" s="21" t="str">
        <f t="shared" si="6"/>
        <v>2016/11/29 02:35:14.579</v>
      </c>
      <c r="C109" s="21">
        <f t="shared" si="7"/>
        <v>4.2074074008269235E-4</v>
      </c>
    </row>
    <row r="110" spans="1:3" x14ac:dyDescent="0.25">
      <c r="A110" t="s">
        <v>522</v>
      </c>
      <c r="B110" s="21" t="str">
        <f t="shared" si="6"/>
        <v>2016/11/29 02:35:15.195</v>
      </c>
      <c r="C110" s="21">
        <f t="shared" si="7"/>
        <v>7.129630830604583E-6</v>
      </c>
    </row>
    <row r="111" spans="1:3" x14ac:dyDescent="0.25">
      <c r="A111" t="s">
        <v>523</v>
      </c>
      <c r="B111" s="21" t="str">
        <f t="shared" si="6"/>
        <v>2016/11/29 02:35:15.228</v>
      </c>
      <c r="C111" s="21">
        <f t="shared" si="7"/>
        <v>3.8194411899894476E-7</v>
      </c>
    </row>
    <row r="112" spans="1:3" x14ac:dyDescent="0.25">
      <c r="A112" t="s">
        <v>524</v>
      </c>
      <c r="B112" s="21" t="str">
        <f t="shared" si="6"/>
        <v>2016/11/29 02:58:01.677</v>
      </c>
      <c r="C112" s="21">
        <f t="shared" si="7"/>
        <v>1.5815381950233132E-2</v>
      </c>
    </row>
    <row r="113" spans="1:3" x14ac:dyDescent="0.25">
      <c r="A113" t="s">
        <v>525</v>
      </c>
      <c r="B113" s="21" t="str">
        <f t="shared" si="6"/>
        <v>2016/11/29 02:58:01.923</v>
      </c>
      <c r="C113" s="21">
        <f t="shared" si="7"/>
        <v>2.847220457624644E-6</v>
      </c>
    </row>
    <row r="114" spans="1:3" x14ac:dyDescent="0.25">
      <c r="A114" t="s">
        <v>526</v>
      </c>
      <c r="B114" s="21" t="str">
        <f t="shared" si="6"/>
        <v>2016/11/29 02:58:02.235</v>
      </c>
      <c r="C114" s="21">
        <f t="shared" si="7"/>
        <v>3.6111086956225336E-6</v>
      </c>
    </row>
    <row r="115" spans="1:3" x14ac:dyDescent="0.25">
      <c r="B115" s="21"/>
      <c r="C115" s="21"/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2016-11-30T18:30:06Z</dcterms:modified>
</cp:coreProperties>
</file>