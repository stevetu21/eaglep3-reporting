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Enforcements!$A$6:$AC$64</definedName>
    <definedName name="_xlnm._FilterDatabase" localSheetId="2" hidden="1">'Missing Trips'!$A$2:$J$79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6" i="1" l="1"/>
  <c r="X137" i="1"/>
  <c r="X138" i="1"/>
  <c r="X139" i="1"/>
  <c r="X140" i="1"/>
  <c r="X141" i="1"/>
  <c r="X142" i="1"/>
  <c r="L113" i="1" l="1"/>
  <c r="K99" i="1"/>
  <c r="L99" i="1"/>
  <c r="M99" i="1"/>
  <c r="N99" i="1" s="1"/>
  <c r="V99" i="1"/>
  <c r="AA99" i="1"/>
  <c r="AB99" i="1"/>
  <c r="AC99" i="1"/>
  <c r="AD99" i="1"/>
  <c r="AG99" i="1" s="1"/>
  <c r="AE99" i="1"/>
  <c r="AF99" i="1"/>
  <c r="AH99" i="1"/>
  <c r="AM99" i="1"/>
  <c r="AN99" i="1"/>
  <c r="K92" i="1"/>
  <c r="L92" i="1"/>
  <c r="M92" i="1"/>
  <c r="N92" i="1" s="1"/>
  <c r="V92" i="1"/>
  <c r="AA92" i="1"/>
  <c r="AB92" i="1"/>
  <c r="AC92" i="1"/>
  <c r="AD92" i="1"/>
  <c r="AG92" i="1" s="1"/>
  <c r="AE92" i="1"/>
  <c r="AF92" i="1"/>
  <c r="AH92" i="1"/>
  <c r="AM92" i="1"/>
  <c r="AN92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G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X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AA33" i="1" s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S23" i="3" s="1"/>
  <c r="Y37" i="1"/>
  <c r="Z37" i="1"/>
  <c r="AA37" i="1" s="1"/>
  <c r="AB37" i="1"/>
  <c r="AC37" i="1"/>
  <c r="AD37" i="1"/>
  <c r="T37" i="1" s="1"/>
  <c r="AE37" i="1"/>
  <c r="R23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T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R8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AA45" i="1" s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W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R19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X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G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S9" i="3" s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S17" i="3" s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R12" i="3" s="1"/>
  <c r="AF69" i="1"/>
  <c r="AH69" i="1"/>
  <c r="AM69" i="1"/>
  <c r="AN69" i="1"/>
  <c r="K70" i="1"/>
  <c r="L70" i="1"/>
  <c r="M70" i="1"/>
  <c r="N70" i="1" s="1"/>
  <c r="V70" i="1"/>
  <c r="S20" i="3" s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21" i="3" s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/>
  <c r="V78" i="1"/>
  <c r="Y78" i="1"/>
  <c r="AA78" i="1" s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R15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S18" i="3" s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T102" i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S26" i="3" s="1"/>
  <c r="Y105" i="1"/>
  <c r="Z105" i="1"/>
  <c r="AB105" i="1"/>
  <c r="AC105" i="1"/>
  <c r="AD105" i="1"/>
  <c r="AG105" i="1" s="1"/>
  <c r="AE105" i="1"/>
  <c r="R26" i="3" s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R7" i="3" s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T110" i="1"/>
  <c r="V110" i="1"/>
  <c r="X110" i="1"/>
  <c r="Y110" i="1"/>
  <c r="Z110" i="1"/>
  <c r="AB110" i="1"/>
  <c r="AC110" i="1"/>
  <c r="AD110" i="1"/>
  <c r="AE110" i="1"/>
  <c r="AF110" i="1"/>
  <c r="AG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M113" i="1"/>
  <c r="P114" i="1" s="1"/>
  <c r="V113" i="1"/>
  <c r="Y113" i="1"/>
  <c r="Z113" i="1"/>
  <c r="AC113" i="1"/>
  <c r="AD113" i="1"/>
  <c r="AG113" i="1" s="1"/>
  <c r="AE113" i="1"/>
  <c r="AF113" i="1"/>
  <c r="AH113" i="1"/>
  <c r="AM113" i="1"/>
  <c r="AN113" i="1"/>
  <c r="K114" i="1"/>
  <c r="L114" i="1"/>
  <c r="M114" i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AA125" i="1" s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W137" i="1" s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W140" i="1" s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G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X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S39" i="3" s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/>
  <c r="V229" i="1"/>
  <c r="Y229" i="1"/>
  <c r="AA229" i="1" s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AA232" i="1" s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AA233" i="1" s="1"/>
  <c r="W233" i="1" s="1"/>
  <c r="Z233" i="1"/>
  <c r="AB233" i="1"/>
  <c r="AC233" i="1"/>
  <c r="AD233" i="1"/>
  <c r="AG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S41" i="3" s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X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3" i="1"/>
  <c r="AM193" i="1"/>
  <c r="AN193" i="1"/>
  <c r="K247" i="1"/>
  <c r="L247" i="1"/>
  <c r="M247" i="1"/>
  <c r="N247" i="1" s="1"/>
  <c r="V247" i="1"/>
  <c r="Y247" i="1"/>
  <c r="Z247" i="1"/>
  <c r="AB247" i="1"/>
  <c r="AC247" i="1"/>
  <c r="AD247" i="1"/>
  <c r="AG247" i="1" s="1"/>
  <c r="AE247" i="1"/>
  <c r="AF247" i="1"/>
  <c r="AH194" i="1"/>
  <c r="AM194" i="1"/>
  <c r="AN194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195" i="1"/>
  <c r="AM195" i="1"/>
  <c r="AN195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6" i="1"/>
  <c r="AM196" i="1"/>
  <c r="AN196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197" i="1"/>
  <c r="AM197" i="1"/>
  <c r="AN197" i="1"/>
  <c r="K251" i="1"/>
  <c r="L251" i="1"/>
  <c r="M251" i="1"/>
  <c r="N251" i="1" s="1"/>
  <c r="V251" i="1"/>
  <c r="Y251" i="1"/>
  <c r="Z251" i="1"/>
  <c r="AB251" i="1"/>
  <c r="AC251" i="1"/>
  <c r="AD251" i="1"/>
  <c r="AG251" i="1" s="1"/>
  <c r="AE251" i="1"/>
  <c r="AF251" i="1"/>
  <c r="AH198" i="1"/>
  <c r="AM198" i="1"/>
  <c r="AN198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9" i="1"/>
  <c r="AM199" i="1"/>
  <c r="AN199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200" i="1"/>
  <c r="AM200" i="1"/>
  <c r="AN200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201" i="1"/>
  <c r="AM201" i="1"/>
  <c r="AN201" i="1"/>
  <c r="K255" i="1"/>
  <c r="L255" i="1"/>
  <c r="M255" i="1"/>
  <c r="N255" i="1" s="1"/>
  <c r="V255" i="1"/>
  <c r="Y255" i="1"/>
  <c r="Z255" i="1"/>
  <c r="AB255" i="1"/>
  <c r="AC255" i="1"/>
  <c r="AD255" i="1"/>
  <c r="AG255" i="1" s="1"/>
  <c r="AE255" i="1"/>
  <c r="AF255" i="1"/>
  <c r="AH202" i="1"/>
  <c r="AM202" i="1"/>
  <c r="AN202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03" i="1"/>
  <c r="AM203" i="1"/>
  <c r="AN203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04" i="1"/>
  <c r="AM204" i="1"/>
  <c r="AN204" i="1"/>
  <c r="K258" i="1"/>
  <c r="L258" i="1"/>
  <c r="M258" i="1"/>
  <c r="N258" i="1"/>
  <c r="V258" i="1"/>
  <c r="Y258" i="1"/>
  <c r="Z258" i="1"/>
  <c r="AA258" i="1"/>
  <c r="AB258" i="1"/>
  <c r="AC258" i="1"/>
  <c r="AD258" i="1"/>
  <c r="T258" i="1" s="1"/>
  <c r="AE258" i="1"/>
  <c r="AF258" i="1"/>
  <c r="AH205" i="1"/>
  <c r="AM205" i="1"/>
  <c r="AN205" i="1"/>
  <c r="K259" i="1"/>
  <c r="L259" i="1"/>
  <c r="M259" i="1"/>
  <c r="N259" i="1"/>
  <c r="V259" i="1"/>
  <c r="Y259" i="1"/>
  <c r="Z259" i="1"/>
  <c r="AB259" i="1"/>
  <c r="AC259" i="1"/>
  <c r="AD259" i="1"/>
  <c r="AG259" i="1" s="1"/>
  <c r="AI259" i="1" s="1"/>
  <c r="AE259" i="1"/>
  <c r="AF259" i="1"/>
  <c r="AH206" i="1"/>
  <c r="AM206" i="1"/>
  <c r="AN206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207" i="1"/>
  <c r="AM207" i="1"/>
  <c r="AN207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08" i="1"/>
  <c r="AM208" i="1"/>
  <c r="AN20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209" i="1"/>
  <c r="AM209" i="1"/>
  <c r="AN209" i="1"/>
  <c r="K161" i="1"/>
  <c r="L161" i="1"/>
  <c r="M161" i="1"/>
  <c r="N161" i="1" s="1"/>
  <c r="V161" i="1"/>
  <c r="Y161" i="1"/>
  <c r="Z161" i="1"/>
  <c r="AA161" i="1" s="1"/>
  <c r="AB161" i="1"/>
  <c r="AC161" i="1"/>
  <c r="AD161" i="1"/>
  <c r="AG161" i="1" s="1"/>
  <c r="AE161" i="1"/>
  <c r="AF161" i="1"/>
  <c r="AH210" i="1"/>
  <c r="AM210" i="1"/>
  <c r="AN210" i="1"/>
  <c r="K162" i="1"/>
  <c r="L162" i="1"/>
  <c r="M162" i="1"/>
  <c r="N162" i="1" s="1"/>
  <c r="T162" i="1"/>
  <c r="V162" i="1"/>
  <c r="X162" i="1"/>
  <c r="Y162" i="1"/>
  <c r="Z162" i="1"/>
  <c r="AB162" i="1"/>
  <c r="AC162" i="1"/>
  <c r="AD162" i="1"/>
  <c r="AE162" i="1"/>
  <c r="AF162" i="1"/>
  <c r="AG162" i="1"/>
  <c r="AH211" i="1"/>
  <c r="AM211" i="1"/>
  <c r="AN21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12" i="1"/>
  <c r="AM212" i="1"/>
  <c r="AN21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13" i="1"/>
  <c r="AM213" i="1"/>
  <c r="AN21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214" i="1"/>
  <c r="AM214" i="1"/>
  <c r="AN214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15" i="1"/>
  <c r="AM215" i="1"/>
  <c r="AN21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16" i="1"/>
  <c r="AM216" i="1"/>
  <c r="AN21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17" i="1"/>
  <c r="AM217" i="1"/>
  <c r="AN217" i="1"/>
  <c r="K169" i="1"/>
  <c r="L169" i="1"/>
  <c r="M169" i="1"/>
  <c r="N169" i="1" s="1"/>
  <c r="V169" i="1"/>
  <c r="S29" i="3" s="1"/>
  <c r="Y169" i="1"/>
  <c r="Z169" i="1"/>
  <c r="AA169" i="1" s="1"/>
  <c r="AB169" i="1"/>
  <c r="AC169" i="1"/>
  <c r="AD169" i="1"/>
  <c r="AG169" i="1" s="1"/>
  <c r="AE169" i="1"/>
  <c r="AF169" i="1"/>
  <c r="AH218" i="1"/>
  <c r="AM218" i="1"/>
  <c r="AN21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19" i="1"/>
  <c r="AM219" i="1"/>
  <c r="AN21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20" i="1"/>
  <c r="AM220" i="1"/>
  <c r="AN22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21" i="1"/>
  <c r="AM221" i="1"/>
  <c r="AN221" i="1"/>
  <c r="K173" i="1"/>
  <c r="L173" i="1"/>
  <c r="M173" i="1"/>
  <c r="N173" i="1"/>
  <c r="V173" i="1"/>
  <c r="Y173" i="1"/>
  <c r="Z173" i="1"/>
  <c r="AB173" i="1"/>
  <c r="AC173" i="1"/>
  <c r="AD173" i="1"/>
  <c r="AG173" i="1" s="1"/>
  <c r="AE173" i="1"/>
  <c r="AF173" i="1"/>
  <c r="AH222" i="1"/>
  <c r="AM222" i="1"/>
  <c r="AN22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23" i="1"/>
  <c r="AM223" i="1"/>
  <c r="AN22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24" i="1"/>
  <c r="AM224" i="1"/>
  <c r="AN224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5" i="1"/>
  <c r="AM225" i="1"/>
  <c r="AN225" i="1"/>
  <c r="K177" i="1"/>
  <c r="L177" i="1"/>
  <c r="M177" i="1"/>
  <c r="N177" i="1"/>
  <c r="V177" i="1"/>
  <c r="X177" i="1"/>
  <c r="Y177" i="1"/>
  <c r="Z177" i="1"/>
  <c r="AB177" i="1"/>
  <c r="AC177" i="1"/>
  <c r="AD177" i="1"/>
  <c r="AG177" i="1" s="1"/>
  <c r="AE177" i="1"/>
  <c r="AF177" i="1"/>
  <c r="AH226" i="1"/>
  <c r="AM226" i="1"/>
  <c r="AN226" i="1"/>
  <c r="K178" i="1"/>
  <c r="L178" i="1"/>
  <c r="M178" i="1"/>
  <c r="N178" i="1" s="1"/>
  <c r="T178" i="1"/>
  <c r="V178" i="1"/>
  <c r="X178" i="1"/>
  <c r="Y178" i="1"/>
  <c r="Z178" i="1"/>
  <c r="AB178" i="1"/>
  <c r="AC178" i="1"/>
  <c r="AD178" i="1"/>
  <c r="AE178" i="1"/>
  <c r="AF178" i="1"/>
  <c r="AG178" i="1"/>
  <c r="AH227" i="1"/>
  <c r="AM227" i="1"/>
  <c r="AN22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8" i="1"/>
  <c r="AM228" i="1"/>
  <c r="AN228" i="1"/>
  <c r="K180" i="1"/>
  <c r="L180" i="1"/>
  <c r="M180" i="1"/>
  <c r="N180" i="1" s="1"/>
  <c r="V180" i="1"/>
  <c r="Y180" i="1"/>
  <c r="AA180" i="1" s="1"/>
  <c r="Z180" i="1"/>
  <c r="AB180" i="1"/>
  <c r="AC180" i="1"/>
  <c r="AD180" i="1"/>
  <c r="T180" i="1" s="1"/>
  <c r="AE180" i="1"/>
  <c r="AF180" i="1"/>
  <c r="AH229" i="1"/>
  <c r="AM229" i="1"/>
  <c r="AN22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30" i="1"/>
  <c r="AM230" i="1"/>
  <c r="AN230" i="1"/>
  <c r="K182" i="1"/>
  <c r="L182" i="1"/>
  <c r="M182" i="1"/>
  <c r="N182" i="1" s="1"/>
  <c r="T182" i="1"/>
  <c r="V182" i="1"/>
  <c r="Y182" i="1"/>
  <c r="Z182" i="1"/>
  <c r="AB182" i="1"/>
  <c r="AC182" i="1"/>
  <c r="AD182" i="1"/>
  <c r="AE182" i="1"/>
  <c r="AF182" i="1"/>
  <c r="AH231" i="1"/>
  <c r="AM231" i="1"/>
  <c r="AN23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32" i="1"/>
  <c r="AM232" i="1"/>
  <c r="AN23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33" i="1"/>
  <c r="AM233" i="1"/>
  <c r="AN23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34" i="1"/>
  <c r="AM234" i="1"/>
  <c r="AN234" i="1"/>
  <c r="K186" i="1"/>
  <c r="L186" i="1"/>
  <c r="M186" i="1"/>
  <c r="N186" i="1" s="1"/>
  <c r="V186" i="1"/>
  <c r="S32" i="3" s="1"/>
  <c r="Y186" i="1"/>
  <c r="Z186" i="1"/>
  <c r="AB186" i="1"/>
  <c r="AC186" i="1"/>
  <c r="AD186" i="1"/>
  <c r="AE186" i="1"/>
  <c r="AF186" i="1"/>
  <c r="AH235" i="1"/>
  <c r="AM235" i="1"/>
  <c r="AN23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36" i="1"/>
  <c r="AM236" i="1"/>
  <c r="AN23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37" i="1"/>
  <c r="AM237" i="1"/>
  <c r="AN23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38" i="1"/>
  <c r="AM238" i="1"/>
  <c r="AN23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9" i="1"/>
  <c r="AM239" i="1"/>
  <c r="AN239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240" i="1"/>
  <c r="AM240" i="1"/>
  <c r="AN240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41" i="1"/>
  <c r="AM241" i="1"/>
  <c r="AN241" i="1"/>
  <c r="K193" i="1"/>
  <c r="L193" i="1"/>
  <c r="M193" i="1"/>
  <c r="N193" i="1" s="1"/>
  <c r="V193" i="1"/>
  <c r="X193" i="1"/>
  <c r="Y193" i="1"/>
  <c r="Z193" i="1"/>
  <c r="AB193" i="1"/>
  <c r="AC193" i="1"/>
  <c r="AD193" i="1"/>
  <c r="AG193" i="1" s="1"/>
  <c r="AE193" i="1"/>
  <c r="AF193" i="1"/>
  <c r="AH242" i="1"/>
  <c r="AM242" i="1"/>
  <c r="AN24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43" i="1"/>
  <c r="AM243" i="1"/>
  <c r="AN243" i="1"/>
  <c r="K195" i="1"/>
  <c r="L195" i="1"/>
  <c r="M195" i="1"/>
  <c r="N195" i="1"/>
  <c r="V195" i="1"/>
  <c r="Y195" i="1"/>
  <c r="Z195" i="1"/>
  <c r="AB195" i="1"/>
  <c r="AC195" i="1"/>
  <c r="AD195" i="1"/>
  <c r="T195" i="1" s="1"/>
  <c r="AE195" i="1"/>
  <c r="AF195" i="1"/>
  <c r="AH244" i="1"/>
  <c r="AM244" i="1"/>
  <c r="AN24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45" i="1"/>
  <c r="AM245" i="1"/>
  <c r="AN245" i="1"/>
  <c r="K197" i="1"/>
  <c r="L197" i="1"/>
  <c r="M197" i="1"/>
  <c r="N197" i="1" s="1"/>
  <c r="V197" i="1"/>
  <c r="Y197" i="1"/>
  <c r="Z197" i="1"/>
  <c r="AA197" i="1"/>
  <c r="AB197" i="1"/>
  <c r="AC197" i="1"/>
  <c r="AD197" i="1"/>
  <c r="AG197" i="1" s="1"/>
  <c r="AE197" i="1"/>
  <c r="AF197" i="1"/>
  <c r="AH246" i="1"/>
  <c r="AM246" i="1"/>
  <c r="AN246" i="1"/>
  <c r="K198" i="1"/>
  <c r="L198" i="1"/>
  <c r="M198" i="1"/>
  <c r="N198" i="1" s="1"/>
  <c r="T198" i="1"/>
  <c r="V198" i="1"/>
  <c r="Y198" i="1"/>
  <c r="Z198" i="1"/>
  <c r="AB198" i="1"/>
  <c r="AC198" i="1"/>
  <c r="AD198" i="1"/>
  <c r="AE198" i="1"/>
  <c r="AF198" i="1"/>
  <c r="AH247" i="1"/>
  <c r="AM247" i="1"/>
  <c r="AN24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48" i="1"/>
  <c r="AM248" i="1"/>
  <c r="AN24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49" i="1"/>
  <c r="AM249" i="1"/>
  <c r="AN24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50" i="1"/>
  <c r="AM250" i="1"/>
  <c r="AN25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51" i="1"/>
  <c r="AM251" i="1"/>
  <c r="AN25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52" i="1"/>
  <c r="AM252" i="1"/>
  <c r="AN252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53" i="1"/>
  <c r="AM253" i="1"/>
  <c r="AN253" i="1"/>
  <c r="K260" i="1"/>
  <c r="L260" i="1"/>
  <c r="M260" i="1"/>
  <c r="N260" i="1" s="1"/>
  <c r="V260" i="1"/>
  <c r="Y260" i="1"/>
  <c r="Z260" i="1"/>
  <c r="AB260" i="1"/>
  <c r="AC260" i="1"/>
  <c r="AD260" i="1"/>
  <c r="T260" i="1" s="1"/>
  <c r="AE260" i="1"/>
  <c r="AF260" i="1"/>
  <c r="AH254" i="1"/>
  <c r="AM254" i="1"/>
  <c r="AN25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55" i="1"/>
  <c r="AM255" i="1"/>
  <c r="AN25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56" i="1"/>
  <c r="AM256" i="1"/>
  <c r="AN25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57" i="1"/>
  <c r="AM257" i="1"/>
  <c r="AN257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58" i="1"/>
  <c r="AM258" i="1"/>
  <c r="AN25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59" i="1"/>
  <c r="AM259" i="1"/>
  <c r="AN259" i="1"/>
  <c r="K223" i="1"/>
  <c r="L223" i="1"/>
  <c r="M223" i="1"/>
  <c r="N223" i="1" s="1"/>
  <c r="V223" i="1"/>
  <c r="Y223" i="1"/>
  <c r="Z223" i="1"/>
  <c r="AA223" i="1" s="1"/>
  <c r="AB223" i="1"/>
  <c r="AC223" i="1"/>
  <c r="AD223" i="1"/>
  <c r="AG223" i="1" s="1"/>
  <c r="AE223" i="1"/>
  <c r="AF223" i="1"/>
  <c r="AH260" i="1"/>
  <c r="AM260" i="1"/>
  <c r="AN260" i="1"/>
  <c r="M22" i="3"/>
  <c r="R22" i="3"/>
  <c r="S22" i="3"/>
  <c r="U22" i="3"/>
  <c r="T22" i="3" s="1"/>
  <c r="V22" i="3"/>
  <c r="W22" i="3"/>
  <c r="X22" i="3"/>
  <c r="M23" i="3"/>
  <c r="U23" i="3"/>
  <c r="T23" i="3" s="1"/>
  <c r="V23" i="3"/>
  <c r="W23" i="3"/>
  <c r="X23" i="3"/>
  <c r="AC23" i="3"/>
  <c r="M10" i="3"/>
  <c r="R10" i="3"/>
  <c r="S10" i="3"/>
  <c r="U10" i="3"/>
  <c r="AC10" i="3" s="1"/>
  <c r="V10" i="3"/>
  <c r="W10" i="3"/>
  <c r="Y10" i="3" s="1"/>
  <c r="X10" i="3"/>
  <c r="M30" i="3"/>
  <c r="R30" i="3"/>
  <c r="U30" i="3"/>
  <c r="AC30" i="3" s="1"/>
  <c r="V30" i="3"/>
  <c r="W30" i="3"/>
  <c r="X30" i="3"/>
  <c r="M29" i="3"/>
  <c r="R29" i="3"/>
  <c r="U29" i="3"/>
  <c r="AC29" i="3" s="1"/>
  <c r="V29" i="3"/>
  <c r="W29" i="3"/>
  <c r="X29" i="3"/>
  <c r="M35" i="3"/>
  <c r="R35" i="3"/>
  <c r="U35" i="3"/>
  <c r="V35" i="3"/>
  <c r="W35" i="3"/>
  <c r="X35" i="3"/>
  <c r="AC35" i="3"/>
  <c r="M11" i="3"/>
  <c r="R11" i="3"/>
  <c r="S11" i="3"/>
  <c r="U11" i="3"/>
  <c r="AC11" i="3" s="1"/>
  <c r="V11" i="3"/>
  <c r="W11" i="3"/>
  <c r="X11" i="3"/>
  <c r="M8" i="3"/>
  <c r="S8" i="3"/>
  <c r="U8" i="3"/>
  <c r="AC8" i="3" s="1"/>
  <c r="V8" i="3"/>
  <c r="W8" i="3"/>
  <c r="X8" i="3"/>
  <c r="Y8" i="3"/>
  <c r="M19" i="3"/>
  <c r="S19" i="3"/>
  <c r="U19" i="3"/>
  <c r="AC19" i="3" s="1"/>
  <c r="V19" i="3"/>
  <c r="W19" i="3"/>
  <c r="X19" i="3"/>
  <c r="M13" i="3"/>
  <c r="R13" i="3"/>
  <c r="S13" i="3"/>
  <c r="U13" i="3"/>
  <c r="T13" i="3" s="1"/>
  <c r="V13" i="3"/>
  <c r="W13" i="3"/>
  <c r="X13" i="3"/>
  <c r="M36" i="3"/>
  <c r="R36" i="3"/>
  <c r="U36" i="3"/>
  <c r="AC36" i="3" s="1"/>
  <c r="V36" i="3"/>
  <c r="W36" i="3"/>
  <c r="X36" i="3"/>
  <c r="M12" i="3"/>
  <c r="S12" i="3"/>
  <c r="U12" i="3"/>
  <c r="AC12" i="3" s="1"/>
  <c r="V12" i="3"/>
  <c r="W12" i="3"/>
  <c r="X12" i="3"/>
  <c r="M9" i="3"/>
  <c r="R9" i="3"/>
  <c r="U9" i="3"/>
  <c r="AC9" i="3" s="1"/>
  <c r="V9" i="3"/>
  <c r="W9" i="3"/>
  <c r="X9" i="3"/>
  <c r="M39" i="3"/>
  <c r="R39" i="3"/>
  <c r="U39" i="3"/>
  <c r="T39" i="3" s="1"/>
  <c r="V39" i="3"/>
  <c r="W39" i="3"/>
  <c r="X39" i="3"/>
  <c r="AC39" i="3"/>
  <c r="M20" i="3"/>
  <c r="R20" i="3"/>
  <c r="U20" i="3"/>
  <c r="V20" i="3"/>
  <c r="W20" i="3"/>
  <c r="X20" i="3"/>
  <c r="M17" i="3"/>
  <c r="R17" i="3"/>
  <c r="U17" i="3"/>
  <c r="AC17" i="3" s="1"/>
  <c r="V17" i="3"/>
  <c r="W17" i="3"/>
  <c r="X17" i="3"/>
  <c r="M15" i="3"/>
  <c r="S15" i="3"/>
  <c r="U15" i="3"/>
  <c r="AC15" i="3" s="1"/>
  <c r="V15" i="3"/>
  <c r="W15" i="3"/>
  <c r="X15" i="3"/>
  <c r="M21" i="3"/>
  <c r="R21" i="3"/>
  <c r="U21" i="3"/>
  <c r="T21" i="3" s="1"/>
  <c r="V21" i="3"/>
  <c r="W21" i="3"/>
  <c r="X21" i="3"/>
  <c r="AC21" i="3"/>
  <c r="M16" i="3"/>
  <c r="R16" i="3"/>
  <c r="U16" i="3"/>
  <c r="V16" i="3"/>
  <c r="W16" i="3"/>
  <c r="X16" i="3"/>
  <c r="M18" i="3"/>
  <c r="R18" i="3"/>
  <c r="U18" i="3"/>
  <c r="AC18" i="3" s="1"/>
  <c r="V18" i="3"/>
  <c r="W18" i="3"/>
  <c r="X18" i="3"/>
  <c r="M34" i="3"/>
  <c r="R34" i="3"/>
  <c r="U34" i="3"/>
  <c r="AC34" i="3" s="1"/>
  <c r="V34" i="3"/>
  <c r="W34" i="3"/>
  <c r="X34" i="3"/>
  <c r="M24" i="3"/>
  <c r="R24" i="3"/>
  <c r="S24" i="3"/>
  <c r="U24" i="3"/>
  <c r="AD24" i="3" s="1"/>
  <c r="V24" i="3"/>
  <c r="W24" i="3"/>
  <c r="X24" i="3"/>
  <c r="M25" i="3"/>
  <c r="R25" i="3"/>
  <c r="S25" i="3"/>
  <c r="U25" i="3"/>
  <c r="V25" i="3"/>
  <c r="W25" i="3"/>
  <c r="X25" i="3"/>
  <c r="M7" i="3"/>
  <c r="S7" i="3"/>
  <c r="U7" i="3"/>
  <c r="AC7" i="3" s="1"/>
  <c r="V7" i="3"/>
  <c r="W7" i="3"/>
  <c r="X7" i="3"/>
  <c r="M26" i="3"/>
  <c r="U26" i="3"/>
  <c r="AC26" i="3" s="1"/>
  <c r="V26" i="3"/>
  <c r="W26" i="3"/>
  <c r="X26" i="3"/>
  <c r="M32" i="3"/>
  <c r="R32" i="3"/>
  <c r="U32" i="3"/>
  <c r="AD32" i="3" s="1"/>
  <c r="V32" i="3"/>
  <c r="W32" i="3"/>
  <c r="X32" i="3"/>
  <c r="AC32" i="3"/>
  <c r="M14" i="3"/>
  <c r="R14" i="3"/>
  <c r="S14" i="3"/>
  <c r="U14" i="3"/>
  <c r="V14" i="3"/>
  <c r="W14" i="3"/>
  <c r="X14" i="3"/>
  <c r="AC14" i="3"/>
  <c r="M37" i="3"/>
  <c r="R37" i="3"/>
  <c r="U37" i="3"/>
  <c r="AC37" i="3" s="1"/>
  <c r="V37" i="3"/>
  <c r="W37" i="3"/>
  <c r="Y37" i="3" s="1"/>
  <c r="X37" i="3"/>
  <c r="M40" i="3"/>
  <c r="R40" i="3"/>
  <c r="S40" i="3"/>
  <c r="U40" i="3"/>
  <c r="AC40" i="3" s="1"/>
  <c r="V40" i="3"/>
  <c r="W40" i="3"/>
  <c r="X40" i="3"/>
  <c r="AE36" i="3"/>
  <c r="M31" i="3"/>
  <c r="R31" i="3"/>
  <c r="S31" i="3"/>
  <c r="U31" i="3"/>
  <c r="T31" i="3" s="1"/>
  <c r="V31" i="3"/>
  <c r="W31" i="3"/>
  <c r="X31" i="3"/>
  <c r="M41" i="3"/>
  <c r="R41" i="3"/>
  <c r="U41" i="3"/>
  <c r="V41" i="3"/>
  <c r="W41" i="3"/>
  <c r="X41" i="3"/>
  <c r="M42" i="3"/>
  <c r="R42" i="3"/>
  <c r="U42" i="3"/>
  <c r="AC42" i="3" s="1"/>
  <c r="V42" i="3"/>
  <c r="W42" i="3"/>
  <c r="X42" i="3"/>
  <c r="M27" i="3"/>
  <c r="R27" i="3"/>
  <c r="U27" i="3"/>
  <c r="AC27" i="3" s="1"/>
  <c r="V27" i="3"/>
  <c r="W27" i="3"/>
  <c r="X27" i="3"/>
  <c r="M33" i="3"/>
  <c r="R33" i="3"/>
  <c r="S33" i="3"/>
  <c r="U33" i="3"/>
  <c r="AD33" i="3" s="1"/>
  <c r="V33" i="3"/>
  <c r="W33" i="3"/>
  <c r="X33" i="3"/>
  <c r="AC33" i="3"/>
  <c r="AD41" i="3"/>
  <c r="M38" i="3"/>
  <c r="R38" i="3"/>
  <c r="U38" i="3"/>
  <c r="V38" i="3"/>
  <c r="W38" i="3"/>
  <c r="X38" i="3"/>
  <c r="Y38" i="3"/>
  <c r="X32" i="1" l="1"/>
  <c r="X28" i="1"/>
  <c r="X100" i="1"/>
  <c r="S16" i="3"/>
  <c r="AA176" i="1"/>
  <c r="AG170" i="1"/>
  <c r="X170" i="1"/>
  <c r="AA168" i="1"/>
  <c r="AA164" i="1"/>
  <c r="AA160" i="1"/>
  <c r="T158" i="1"/>
  <c r="AI255" i="1"/>
  <c r="AA255" i="1"/>
  <c r="AA253" i="1"/>
  <c r="AI251" i="1"/>
  <c r="AA240" i="1"/>
  <c r="AA227" i="1"/>
  <c r="AA156" i="1"/>
  <c r="AA141" i="1"/>
  <c r="AA133" i="1"/>
  <c r="AA126" i="1"/>
  <c r="AA121" i="1"/>
  <c r="X102" i="1"/>
  <c r="AA88" i="1"/>
  <c r="AA82" i="1"/>
  <c r="AG64" i="1"/>
  <c r="AA28" i="1"/>
  <c r="W28" i="1" s="1"/>
  <c r="AA24" i="1"/>
  <c r="W24" i="1" s="1"/>
  <c r="AA22" i="1"/>
  <c r="Y39" i="3"/>
  <c r="T244" i="1"/>
  <c r="T38" i="1"/>
  <c r="AI21" i="1"/>
  <c r="X34" i="1"/>
  <c r="X30" i="1"/>
  <c r="X93" i="1"/>
  <c r="AC31" i="3"/>
  <c r="Y16" i="3"/>
  <c r="Y20" i="3"/>
  <c r="X166" i="1"/>
  <c r="Y25" i="3"/>
  <c r="T223" i="1"/>
  <c r="AA219" i="1"/>
  <c r="AA260" i="1"/>
  <c r="X182" i="1"/>
  <c r="AA175" i="1"/>
  <c r="AA167" i="1"/>
  <c r="AG158" i="1"/>
  <c r="AA250" i="1"/>
  <c r="AA235" i="1"/>
  <c r="AA228" i="1"/>
  <c r="AA214" i="1"/>
  <c r="AG157" i="1"/>
  <c r="AI157" i="1" s="1"/>
  <c r="X157" i="1"/>
  <c r="AA136" i="1"/>
  <c r="AA132" i="1"/>
  <c r="AA116" i="1"/>
  <c r="AA81" i="1"/>
  <c r="AA79" i="1"/>
  <c r="AA72" i="1"/>
  <c r="AA68" i="1"/>
  <c r="AA55" i="1"/>
  <c r="AA23" i="1"/>
  <c r="X33" i="1"/>
  <c r="AD42" i="3"/>
  <c r="T32" i="3"/>
  <c r="Y12" i="3"/>
  <c r="Y14" i="3"/>
  <c r="AA114" i="1"/>
  <c r="S42" i="3"/>
  <c r="S34" i="3"/>
  <c r="S36" i="3"/>
  <c r="S35" i="3"/>
  <c r="S37" i="3"/>
  <c r="AB113" i="1"/>
  <c r="S38" i="3"/>
  <c r="S27" i="3"/>
  <c r="S30" i="3"/>
  <c r="W99" i="1"/>
  <c r="AI99" i="1"/>
  <c r="X99" i="1"/>
  <c r="T99" i="1"/>
  <c r="U99" i="1" s="1"/>
  <c r="S99" i="1" s="1"/>
  <c r="X92" i="1"/>
  <c r="W92" i="1"/>
  <c r="T92" i="1"/>
  <c r="U92" i="1" s="1"/>
  <c r="S92" i="1" s="1"/>
  <c r="AI92" i="1"/>
  <c r="AC13" i="3"/>
  <c r="W223" i="1"/>
  <c r="AD36" i="3"/>
  <c r="Y18" i="3"/>
  <c r="AG202" i="1"/>
  <c r="X202" i="1"/>
  <c r="X200" i="1"/>
  <c r="AA189" i="1"/>
  <c r="AA181" i="1"/>
  <c r="AA172" i="1"/>
  <c r="X169" i="1"/>
  <c r="AG256" i="1"/>
  <c r="AI256" i="1" s="1"/>
  <c r="X256" i="1"/>
  <c r="AA251" i="1"/>
  <c r="W251" i="1" s="1"/>
  <c r="X247" i="1"/>
  <c r="AG236" i="1"/>
  <c r="X236" i="1"/>
  <c r="AA148" i="1"/>
  <c r="W148" i="1" s="1"/>
  <c r="AI117" i="1"/>
  <c r="AA91" i="1"/>
  <c r="AA57" i="1"/>
  <c r="W57" i="1" s="1"/>
  <c r="AA47" i="1"/>
  <c r="AG33" i="1"/>
  <c r="AI33" i="1" s="1"/>
  <c r="T29" i="1"/>
  <c r="Y7" i="3"/>
  <c r="AD29" i="3"/>
  <c r="Y19" i="3"/>
  <c r="T29" i="3"/>
  <c r="Y22" i="3"/>
  <c r="T33" i="3"/>
  <c r="AD40" i="3"/>
  <c r="Y41" i="3"/>
  <c r="Y31" i="3"/>
  <c r="T40" i="3"/>
  <c r="AD30" i="3"/>
  <c r="AD22" i="3"/>
  <c r="AD20" i="3"/>
  <c r="Y36" i="3"/>
  <c r="Y29" i="3"/>
  <c r="Y30" i="3"/>
  <c r="Y23" i="3"/>
  <c r="AA201" i="1"/>
  <c r="X198" i="1"/>
  <c r="AA188" i="1"/>
  <c r="AG182" i="1"/>
  <c r="AA173" i="1"/>
  <c r="W173" i="1" s="1"/>
  <c r="T166" i="1"/>
  <c r="AA254" i="1"/>
  <c r="AG244" i="1"/>
  <c r="AA242" i="1"/>
  <c r="AA231" i="1"/>
  <c r="AA225" i="1"/>
  <c r="AA215" i="1"/>
  <c r="AA208" i="1"/>
  <c r="X153" i="1"/>
  <c r="AA151" i="1"/>
  <c r="X145" i="1"/>
  <c r="AA139" i="1"/>
  <c r="X130" i="1"/>
  <c r="X122" i="1"/>
  <c r="AA104" i="1"/>
  <c r="AA95" i="1"/>
  <c r="AG84" i="1"/>
  <c r="X84" i="1"/>
  <c r="X64" i="1"/>
  <c r="AC38" i="3"/>
  <c r="AD26" i="3"/>
  <c r="AA199" i="1"/>
  <c r="AA184" i="1"/>
  <c r="AA249" i="1"/>
  <c r="AA247" i="1"/>
  <c r="W247" i="1" s="1"/>
  <c r="AA224" i="1"/>
  <c r="AA152" i="1"/>
  <c r="W152" i="1" s="1"/>
  <c r="AA146" i="1"/>
  <c r="AA144" i="1"/>
  <c r="W144" i="1" s="1"/>
  <c r="AA131" i="1"/>
  <c r="AA129" i="1"/>
  <c r="X125" i="1"/>
  <c r="X106" i="1"/>
  <c r="AA106" i="1"/>
  <c r="AA96" i="1"/>
  <c r="AA86" i="1"/>
  <c r="AA83" i="1"/>
  <c r="W83" i="1" s="1"/>
  <c r="AA74" i="1"/>
  <c r="AA70" i="1"/>
  <c r="AA66" i="1"/>
  <c r="AA58" i="1"/>
  <c r="AA54" i="1"/>
  <c r="T48" i="1"/>
  <c r="AG29" i="1"/>
  <c r="AI29" i="1" s="1"/>
  <c r="AG222" i="1"/>
  <c r="U222" i="1" s="1"/>
  <c r="S222" i="1" s="1"/>
  <c r="X222" i="1"/>
  <c r="U202" i="1"/>
  <c r="S202" i="1" s="1"/>
  <c r="T252" i="1"/>
  <c r="U252" i="1" s="1"/>
  <c r="S252" i="1" s="1"/>
  <c r="X252" i="1"/>
  <c r="AG252" i="1"/>
  <c r="AG221" i="1"/>
  <c r="AG219" i="1"/>
  <c r="AI219" i="1" s="1"/>
  <c r="AG218" i="1"/>
  <c r="U218" i="1" s="1"/>
  <c r="S218" i="1" s="1"/>
  <c r="X218" i="1"/>
  <c r="X204" i="1"/>
  <c r="AG201" i="1"/>
  <c r="W201" i="1" s="1"/>
  <c r="AA194" i="1"/>
  <c r="AG190" i="1"/>
  <c r="X190" i="1"/>
  <c r="X189" i="1"/>
  <c r="AA179" i="1"/>
  <c r="AA177" i="1"/>
  <c r="AG174" i="1"/>
  <c r="X174" i="1"/>
  <c r="AA165" i="1"/>
  <c r="X161" i="1"/>
  <c r="X223" i="1"/>
  <c r="AA222" i="1"/>
  <c r="W222" i="1" s="1"/>
  <c r="AG260" i="1"/>
  <c r="AI260" i="1" s="1"/>
  <c r="AA203" i="1"/>
  <c r="AA202" i="1"/>
  <c r="AG198" i="1"/>
  <c r="U198" i="1" s="1"/>
  <c r="S198" i="1" s="1"/>
  <c r="AA193" i="1"/>
  <c r="W193" i="1" s="1"/>
  <c r="AA192" i="1"/>
  <c r="X186" i="1"/>
  <c r="AA186" i="1"/>
  <c r="AA171" i="1"/>
  <c r="AG166" i="1"/>
  <c r="W221" i="1"/>
  <c r="AA218" i="1"/>
  <c r="W218" i="1" s="1"/>
  <c r="AA204" i="1"/>
  <c r="W204" i="1" s="1"/>
  <c r="AA196" i="1"/>
  <c r="AA185" i="1"/>
  <c r="W185" i="1" s="1"/>
  <c r="AA183" i="1"/>
  <c r="AA163" i="1"/>
  <c r="X248" i="1"/>
  <c r="AG248" i="1"/>
  <c r="T248" i="1"/>
  <c r="U248" i="1" s="1"/>
  <c r="S248" i="1" s="1"/>
  <c r="X212" i="1"/>
  <c r="X152" i="1"/>
  <c r="X144" i="1"/>
  <c r="X129" i="1"/>
  <c r="X96" i="1"/>
  <c r="AA257" i="1"/>
  <c r="AA245" i="1"/>
  <c r="AA243" i="1"/>
  <c r="W243" i="1" s="1"/>
  <c r="AA238" i="1"/>
  <c r="AG230" i="1"/>
  <c r="X230" i="1"/>
  <c r="T226" i="1"/>
  <c r="AA211" i="1"/>
  <c r="W211" i="1" s="1"/>
  <c r="AA205" i="1"/>
  <c r="AA153" i="1"/>
  <c r="AG149" i="1"/>
  <c r="U149" i="1" s="1"/>
  <c r="S149" i="1" s="1"/>
  <c r="X149" i="1"/>
  <c r="T145" i="1"/>
  <c r="AA143" i="1"/>
  <c r="AG141" i="1"/>
  <c r="U141" i="1" s="1"/>
  <c r="S141" i="1" s="1"/>
  <c r="T130" i="1"/>
  <c r="AA128" i="1"/>
  <c r="AG126" i="1"/>
  <c r="AI126" i="1" s="1"/>
  <c r="X126" i="1"/>
  <c r="AA123" i="1"/>
  <c r="T122" i="1"/>
  <c r="AA113" i="1"/>
  <c r="W113" i="1" s="1"/>
  <c r="AA112" i="1"/>
  <c r="AA103" i="1"/>
  <c r="AA97" i="1"/>
  <c r="AG93" i="1"/>
  <c r="U93" i="1" s="1"/>
  <c r="S93" i="1" s="1"/>
  <c r="AA90" i="1"/>
  <c r="AG88" i="1"/>
  <c r="W88" i="1" s="1"/>
  <c r="X88" i="1"/>
  <c r="AG76" i="1"/>
  <c r="U76" i="1" s="1"/>
  <c r="S76" i="1" s="1"/>
  <c r="X76" i="1"/>
  <c r="AA73" i="1"/>
  <c r="AA71" i="1"/>
  <c r="AG69" i="1"/>
  <c r="AI69" i="1" s="1"/>
  <c r="X67" i="1"/>
  <c r="AA65" i="1"/>
  <c r="AA64" i="1"/>
  <c r="X63" i="1"/>
  <c r="AA60" i="1"/>
  <c r="X51" i="1"/>
  <c r="AG43" i="1"/>
  <c r="AI43" i="1" s="1"/>
  <c r="X43" i="1"/>
  <c r="X42" i="1"/>
  <c r="X39" i="1"/>
  <c r="X35" i="1"/>
  <c r="AA27" i="1"/>
  <c r="AG25" i="1"/>
  <c r="AI25" i="1" s="1"/>
  <c r="X25" i="1"/>
  <c r="AA20" i="1"/>
  <c r="W20" i="1" s="1"/>
  <c r="AG17" i="1"/>
  <c r="AI17" i="1" s="1"/>
  <c r="X17" i="1"/>
  <c r="W225" i="1"/>
  <c r="AA50" i="1"/>
  <c r="AA159" i="1"/>
  <c r="AA259" i="1"/>
  <c r="W259" i="1" s="1"/>
  <c r="X255" i="1"/>
  <c r="AA246" i="1"/>
  <c r="AA239" i="1"/>
  <c r="AA237" i="1"/>
  <c r="AA234" i="1"/>
  <c r="X233" i="1"/>
  <c r="AG226" i="1"/>
  <c r="AI226" i="1" s="1"/>
  <c r="X225" i="1"/>
  <c r="AA212" i="1"/>
  <c r="X211" i="1"/>
  <c r="AA207" i="1"/>
  <c r="W207" i="1" s="1"/>
  <c r="AA155" i="1"/>
  <c r="AG145" i="1"/>
  <c r="AA134" i="1"/>
  <c r="AG130" i="1"/>
  <c r="U130" i="1" s="1"/>
  <c r="S130" i="1" s="1"/>
  <c r="AA124" i="1"/>
  <c r="AG122" i="1"/>
  <c r="X121" i="1"/>
  <c r="AG118" i="1"/>
  <c r="AI118" i="1" s="1"/>
  <c r="X118" i="1"/>
  <c r="X113" i="1"/>
  <c r="AA111" i="1"/>
  <c r="AA109" i="1"/>
  <c r="W109" i="1" s="1"/>
  <c r="AA105" i="1"/>
  <c r="W105" i="1" s="1"/>
  <c r="AA84" i="1"/>
  <c r="AI83" i="1"/>
  <c r="X80" i="1"/>
  <c r="AG73" i="1"/>
  <c r="AI73" i="1" s="1"/>
  <c r="X71" i="1"/>
  <c r="AA69" i="1"/>
  <c r="AA67" i="1"/>
  <c r="W67" i="1" s="1"/>
  <c r="AG65" i="1"/>
  <c r="U65" i="1" s="1"/>
  <c r="S65" i="1" s="1"/>
  <c r="AA63" i="1"/>
  <c r="AG61" i="1"/>
  <c r="X56" i="1"/>
  <c r="AA56" i="1"/>
  <c r="AG55" i="1"/>
  <c r="W55" i="1" s="1"/>
  <c r="X55" i="1"/>
  <c r="AG45" i="1"/>
  <c r="U45" i="1" s="1"/>
  <c r="S45" i="1" s="1"/>
  <c r="AA44" i="1"/>
  <c r="AA42" i="1"/>
  <c r="W42" i="1" s="1"/>
  <c r="T42" i="1"/>
  <c r="AA38" i="1"/>
  <c r="W38" i="1" s="1"/>
  <c r="AA30" i="1"/>
  <c r="W30" i="1" s="1"/>
  <c r="AA26" i="1"/>
  <c r="AA17" i="1"/>
  <c r="AG16" i="1"/>
  <c r="AI16" i="1" s="1"/>
  <c r="U221" i="1"/>
  <c r="S221" i="1" s="1"/>
  <c r="T204" i="1"/>
  <c r="W202" i="1"/>
  <c r="U201" i="1"/>
  <c r="S201" i="1" s="1"/>
  <c r="T193" i="1"/>
  <c r="U193" i="1" s="1"/>
  <c r="S193" i="1" s="1"/>
  <c r="X185" i="1"/>
  <c r="T239" i="1"/>
  <c r="AA217" i="1"/>
  <c r="U260" i="1"/>
  <c r="S260" i="1" s="1"/>
  <c r="X221" i="1"/>
  <c r="X260" i="1"/>
  <c r="X201" i="1"/>
  <c r="X197" i="1"/>
  <c r="AG194" i="1"/>
  <c r="X194" i="1"/>
  <c r="AA190" i="1"/>
  <c r="W190" i="1" s="1"/>
  <c r="T189" i="1"/>
  <c r="U189" i="1" s="1"/>
  <c r="S189" i="1" s="1"/>
  <c r="AA187" i="1"/>
  <c r="T186" i="1"/>
  <c r="X181" i="1"/>
  <c r="AA178" i="1"/>
  <c r="W178" i="1" s="1"/>
  <c r="T177" i="1"/>
  <c r="X173" i="1"/>
  <c r="AA170" i="1"/>
  <c r="W170" i="1" s="1"/>
  <c r="T169" i="1"/>
  <c r="X165" i="1"/>
  <c r="AA162" i="1"/>
  <c r="W162" i="1" s="1"/>
  <c r="T161" i="1"/>
  <c r="U161" i="1" s="1"/>
  <c r="S161" i="1" s="1"/>
  <c r="X259" i="1"/>
  <c r="AA256" i="1"/>
  <c r="W256" i="1" s="1"/>
  <c r="T255" i="1"/>
  <c r="U255" i="1" s="1"/>
  <c r="S255" i="1" s="1"/>
  <c r="X251" i="1"/>
  <c r="AA248" i="1"/>
  <c r="W248" i="1" s="1"/>
  <c r="T247" i="1"/>
  <c r="X243" i="1"/>
  <c r="AG240" i="1"/>
  <c r="W240" i="1" s="1"/>
  <c r="X240" i="1"/>
  <c r="AA236" i="1"/>
  <c r="W236" i="1" s="1"/>
  <c r="T235" i="1"/>
  <c r="U235" i="1" s="1"/>
  <c r="S235" i="1" s="1"/>
  <c r="AG234" i="1"/>
  <c r="W234" i="1" s="1"/>
  <c r="X234" i="1"/>
  <c r="T233" i="1"/>
  <c r="X229" i="1"/>
  <c r="X239" i="1"/>
  <c r="AG215" i="1"/>
  <c r="AI215" i="1" s="1"/>
  <c r="X215" i="1"/>
  <c r="T185" i="1"/>
  <c r="AA220" i="1"/>
  <c r="AA200" i="1"/>
  <c r="AA198" i="1"/>
  <c r="T197" i="1"/>
  <c r="U197" i="1" s="1"/>
  <c r="S197" i="1" s="1"/>
  <c r="AA195" i="1"/>
  <c r="AG186" i="1"/>
  <c r="AA182" i="1"/>
  <c r="W182" i="1" s="1"/>
  <c r="T181" i="1"/>
  <c r="U181" i="1" s="1"/>
  <c r="S181" i="1" s="1"/>
  <c r="AA174" i="1"/>
  <c r="W174" i="1" s="1"/>
  <c r="T173" i="1"/>
  <c r="U173" i="1" s="1"/>
  <c r="S173" i="1" s="1"/>
  <c r="AA166" i="1"/>
  <c r="T165" i="1"/>
  <c r="AA158" i="1"/>
  <c r="W158" i="1" s="1"/>
  <c r="T259" i="1"/>
  <c r="U259" i="1" s="1"/>
  <c r="S259" i="1" s="1"/>
  <c r="AA252" i="1"/>
  <c r="T251" i="1"/>
  <c r="U251" i="1" s="1"/>
  <c r="S251" i="1" s="1"/>
  <c r="AA244" i="1"/>
  <c r="W244" i="1" s="1"/>
  <c r="T243" i="1"/>
  <c r="U243" i="1" s="1"/>
  <c r="S243" i="1" s="1"/>
  <c r="AA241" i="1"/>
  <c r="X235" i="1"/>
  <c r="AA230" i="1"/>
  <c r="W230" i="1" s="1"/>
  <c r="T229" i="1"/>
  <c r="U229" i="1" s="1"/>
  <c r="S229" i="1" s="1"/>
  <c r="X216" i="1"/>
  <c r="AG216" i="1"/>
  <c r="U216" i="1" s="1"/>
  <c r="S216" i="1" s="1"/>
  <c r="AA216" i="1"/>
  <c r="AI51" i="1"/>
  <c r="AA213" i="1"/>
  <c r="AG208" i="1"/>
  <c r="U208" i="1" s="1"/>
  <c r="S208" i="1" s="1"/>
  <c r="X208" i="1"/>
  <c r="AA157" i="1"/>
  <c r="T156" i="1"/>
  <c r="U156" i="1" s="1"/>
  <c r="S156" i="1" s="1"/>
  <c r="AA154" i="1"/>
  <c r="T153" i="1"/>
  <c r="X148" i="1"/>
  <c r="AA145" i="1"/>
  <c r="W145" i="1" s="1"/>
  <c r="T144" i="1"/>
  <c r="AA142" i="1"/>
  <c r="AG134" i="1"/>
  <c r="U134" i="1" s="1"/>
  <c r="S134" i="1" s="1"/>
  <c r="X134" i="1"/>
  <c r="AA130" i="1"/>
  <c r="T129" i="1"/>
  <c r="AA127" i="1"/>
  <c r="AG125" i="1"/>
  <c r="W125" i="1" s="1"/>
  <c r="AA122" i="1"/>
  <c r="W122" i="1" s="1"/>
  <c r="T121" i="1"/>
  <c r="AA118" i="1"/>
  <c r="X117" i="1"/>
  <c r="AG114" i="1"/>
  <c r="X114" i="1"/>
  <c r="AA110" i="1"/>
  <c r="W110" i="1" s="1"/>
  <c r="T109" i="1"/>
  <c r="AA107" i="1"/>
  <c r="T106" i="1"/>
  <c r="X101" i="1"/>
  <c r="AG97" i="1"/>
  <c r="U97" i="1" s="1"/>
  <c r="S97" i="1" s="1"/>
  <c r="X97" i="1"/>
  <c r="AA93" i="1"/>
  <c r="T91" i="1"/>
  <c r="U91" i="1" s="1"/>
  <c r="S91" i="1" s="1"/>
  <c r="T87" i="1"/>
  <c r="U87" i="1" s="1"/>
  <c r="S87" i="1" s="1"/>
  <c r="X79" i="1"/>
  <c r="X75" i="1"/>
  <c r="AG72" i="1"/>
  <c r="U72" i="1" s="1"/>
  <c r="S72" i="1" s="1"/>
  <c r="X72" i="1"/>
  <c r="AG68" i="1"/>
  <c r="U68" i="1" s="1"/>
  <c r="X68" i="1"/>
  <c r="U64" i="1"/>
  <c r="S64" i="1" s="1"/>
  <c r="U60" i="1"/>
  <c r="S60" i="1" s="1"/>
  <c r="X60" i="1"/>
  <c r="T56" i="1"/>
  <c r="U55" i="1"/>
  <c r="S55" i="1" s="1"/>
  <c r="AA226" i="1"/>
  <c r="T225" i="1"/>
  <c r="U225" i="1" s="1"/>
  <c r="S225" i="1" s="1"/>
  <c r="W212" i="1"/>
  <c r="T211" i="1"/>
  <c r="X207" i="1"/>
  <c r="T152" i="1"/>
  <c r="W141" i="1"/>
  <c r="T140" i="1"/>
  <c r="AA138" i="1"/>
  <c r="X133" i="1"/>
  <c r="W126" i="1"/>
  <c r="T105" i="1"/>
  <c r="T83" i="1"/>
  <c r="U83" i="1" s="1"/>
  <c r="S83" i="1" s="1"/>
  <c r="T59" i="1"/>
  <c r="AG52" i="1"/>
  <c r="X52" i="1"/>
  <c r="W51" i="1"/>
  <c r="AG49" i="1"/>
  <c r="AG47" i="1"/>
  <c r="AI47" i="1" s="1"/>
  <c r="X47" i="1"/>
  <c r="X46" i="1"/>
  <c r="X36" i="1"/>
  <c r="AA34" i="1"/>
  <c r="W34" i="1" s="1"/>
  <c r="T34" i="1"/>
  <c r="U34" i="1" s="1"/>
  <c r="S34" i="1" s="1"/>
  <c r="T31" i="1"/>
  <c r="AA29" i="1"/>
  <c r="T28" i="1"/>
  <c r="U28" i="1" s="1"/>
  <c r="S28" i="1" s="1"/>
  <c r="AA25" i="1"/>
  <c r="W25" i="1" s="1"/>
  <c r="T24" i="1"/>
  <c r="AA21" i="1"/>
  <c r="W21" i="1" s="1"/>
  <c r="T20" i="1"/>
  <c r="U20" i="1" s="1"/>
  <c r="S20" i="1" s="1"/>
  <c r="X16" i="1"/>
  <c r="AA209" i="1"/>
  <c r="X156" i="1"/>
  <c r="AG153" i="1"/>
  <c r="W153" i="1" s="1"/>
  <c r="AA149" i="1"/>
  <c r="T148" i="1"/>
  <c r="T137" i="1"/>
  <c r="AA135" i="1"/>
  <c r="T117" i="1"/>
  <c r="U117" i="1" s="1"/>
  <c r="S117" i="1" s="1"/>
  <c r="AA115" i="1"/>
  <c r="X109" i="1"/>
  <c r="AG106" i="1"/>
  <c r="W106" i="1" s="1"/>
  <c r="AA102" i="1"/>
  <c r="T101" i="1"/>
  <c r="AA98" i="1"/>
  <c r="X91" i="1"/>
  <c r="X87" i="1"/>
  <c r="AA80" i="1"/>
  <c r="T79" i="1"/>
  <c r="AA77" i="1"/>
  <c r="W77" i="1" s="1"/>
  <c r="AA76" i="1"/>
  <c r="T75" i="1"/>
  <c r="AG59" i="1"/>
  <c r="AG56" i="1"/>
  <c r="U56" i="1" s="1"/>
  <c r="S56" i="1" s="1"/>
  <c r="AI55" i="1"/>
  <c r="T51" i="1"/>
  <c r="U51" i="1" s="1"/>
  <c r="S51" i="1" s="1"/>
  <c r="AA39" i="1"/>
  <c r="AG37" i="1"/>
  <c r="AI37" i="1" s="1"/>
  <c r="AA35" i="1"/>
  <c r="T30" i="1"/>
  <c r="W208" i="1"/>
  <c r="T207" i="1"/>
  <c r="T133" i="1"/>
  <c r="T113" i="1"/>
  <c r="U113" i="1" s="1"/>
  <c r="X105" i="1"/>
  <c r="AG102" i="1"/>
  <c r="T96" i="1"/>
  <c r="U96" i="1" s="1"/>
  <c r="S96" i="1" s="1"/>
  <c r="AA89" i="1"/>
  <c r="AA85" i="1"/>
  <c r="X83" i="1"/>
  <c r="AG80" i="1"/>
  <c r="U80" i="1" s="1"/>
  <c r="S80" i="1" s="1"/>
  <c r="T71" i="1"/>
  <c r="T67" i="1"/>
  <c r="U67" i="1" s="1"/>
  <c r="S67" i="1" s="1"/>
  <c r="W64" i="1"/>
  <c r="T63" i="1"/>
  <c r="U63" i="1" s="1"/>
  <c r="S63" i="1" s="1"/>
  <c r="AA62" i="1"/>
  <c r="AA61" i="1"/>
  <c r="W61" i="1" s="1"/>
  <c r="W60" i="1"/>
  <c r="AA53" i="1"/>
  <c r="W53" i="1" s="1"/>
  <c r="AA52" i="1"/>
  <c r="AA49" i="1"/>
  <c r="W49" i="1" s="1"/>
  <c r="AA46" i="1"/>
  <c r="W46" i="1" s="1"/>
  <c r="T46" i="1"/>
  <c r="AA43" i="1"/>
  <c r="W43" i="1" s="1"/>
  <c r="AG41" i="1"/>
  <c r="AI41" i="1" s="1"/>
  <c r="AG39" i="1"/>
  <c r="AI39" i="1" s="1"/>
  <c r="X38" i="1"/>
  <c r="AA36" i="1"/>
  <c r="T36" i="1"/>
  <c r="U36" i="1" s="1"/>
  <c r="S36" i="1" s="1"/>
  <c r="AG35" i="1"/>
  <c r="AI35" i="1" s="1"/>
  <c r="AA32" i="1"/>
  <c r="T32" i="1"/>
  <c r="AG31" i="1"/>
  <c r="AI31" i="1" s="1"/>
  <c r="X24" i="1"/>
  <c r="X20" i="1"/>
  <c r="U204" i="1"/>
  <c r="S204" i="1" s="1"/>
  <c r="U223" i="1"/>
  <c r="S223" i="1" s="1"/>
  <c r="AG203" i="1"/>
  <c r="W203" i="1" s="1"/>
  <c r="W189" i="1"/>
  <c r="W177" i="1"/>
  <c r="W169" i="1"/>
  <c r="W161" i="1"/>
  <c r="W255" i="1"/>
  <c r="U239" i="1"/>
  <c r="S239" i="1" s="1"/>
  <c r="W235" i="1"/>
  <c r="AG220" i="1"/>
  <c r="X219" i="1"/>
  <c r="X203" i="1"/>
  <c r="U177" i="1"/>
  <c r="S177" i="1" s="1"/>
  <c r="U169" i="1"/>
  <c r="S169" i="1" s="1"/>
  <c r="AI202" i="1"/>
  <c r="U247" i="1"/>
  <c r="S247" i="1" s="1"/>
  <c r="AI194" i="1"/>
  <c r="AI182" i="1"/>
  <c r="X220" i="1"/>
  <c r="T199" i="1"/>
  <c r="X199" i="1"/>
  <c r="AG199" i="1"/>
  <c r="W197" i="1"/>
  <c r="U185" i="1"/>
  <c r="S185" i="1" s="1"/>
  <c r="W181" i="1"/>
  <c r="W165" i="1"/>
  <c r="T200" i="1"/>
  <c r="AG200" i="1"/>
  <c r="AI247" i="1"/>
  <c r="AI230" i="1"/>
  <c r="AI222" i="1"/>
  <c r="U165" i="1"/>
  <c r="S165" i="1" s="1"/>
  <c r="AI190" i="1"/>
  <c r="W239" i="1"/>
  <c r="U194" i="1"/>
  <c r="S194" i="1" s="1"/>
  <c r="U190" i="1"/>
  <c r="S190" i="1" s="1"/>
  <c r="U182" i="1"/>
  <c r="S182" i="1" s="1"/>
  <c r="U178" i="1"/>
  <c r="S178" i="1" s="1"/>
  <c r="U174" i="1"/>
  <c r="S174" i="1" s="1"/>
  <c r="U170" i="1"/>
  <c r="S170" i="1" s="1"/>
  <c r="U162" i="1"/>
  <c r="S162" i="1" s="1"/>
  <c r="U158" i="1"/>
  <c r="S158" i="1" s="1"/>
  <c r="U256" i="1"/>
  <c r="S256" i="1" s="1"/>
  <c r="U244" i="1"/>
  <c r="S244" i="1" s="1"/>
  <c r="U236" i="1"/>
  <c r="S236" i="1" s="1"/>
  <c r="AI156" i="1"/>
  <c r="U144" i="1"/>
  <c r="S144" i="1" s="1"/>
  <c r="AI144" i="1"/>
  <c r="U129" i="1"/>
  <c r="S129" i="1" s="1"/>
  <c r="AI129" i="1"/>
  <c r="U121" i="1"/>
  <c r="S121" i="1" s="1"/>
  <c r="AI121" i="1"/>
  <c r="AG195" i="1"/>
  <c r="AG191" i="1"/>
  <c r="W191" i="1" s="1"/>
  <c r="AG187" i="1"/>
  <c r="W187" i="1" s="1"/>
  <c r="AG183" i="1"/>
  <c r="AG179" i="1"/>
  <c r="AG175" i="1"/>
  <c r="W175" i="1" s="1"/>
  <c r="AG171" i="1"/>
  <c r="AG167" i="1"/>
  <c r="W167" i="1" s="1"/>
  <c r="AG163" i="1"/>
  <c r="AG159" i="1"/>
  <c r="AG257" i="1"/>
  <c r="W257" i="1" s="1"/>
  <c r="AG253" i="1"/>
  <c r="W253" i="1" s="1"/>
  <c r="AG249" i="1"/>
  <c r="AG245" i="1"/>
  <c r="AG241" i="1"/>
  <c r="W241" i="1" s="1"/>
  <c r="AG237" i="1"/>
  <c r="W237" i="1" s="1"/>
  <c r="U211" i="1"/>
  <c r="S211" i="1" s="1"/>
  <c r="U152" i="1"/>
  <c r="S152" i="1" s="1"/>
  <c r="AI152" i="1"/>
  <c r="U140" i="1"/>
  <c r="S140" i="1" s="1"/>
  <c r="AI140" i="1"/>
  <c r="AG196" i="1"/>
  <c r="X195" i="1"/>
  <c r="AI243" i="1"/>
  <c r="AG192" i="1"/>
  <c r="W192" i="1" s="1"/>
  <c r="X191" i="1"/>
  <c r="AI239" i="1"/>
  <c r="AG188" i="1"/>
  <c r="X187" i="1"/>
  <c r="AI235" i="1"/>
  <c r="AG184" i="1"/>
  <c r="X183" i="1"/>
  <c r="AG180" i="1"/>
  <c r="X179" i="1"/>
  <c r="AG176" i="1"/>
  <c r="W176" i="1" s="1"/>
  <c r="X175" i="1"/>
  <c r="AI223" i="1"/>
  <c r="AG172" i="1"/>
  <c r="X171" i="1"/>
  <c r="AG168" i="1"/>
  <c r="AI168" i="1" s="1"/>
  <c r="X167" i="1"/>
  <c r="AG164" i="1"/>
  <c r="X163" i="1"/>
  <c r="AI211" i="1"/>
  <c r="AG160" i="1"/>
  <c r="W160" i="1" s="1"/>
  <c r="X159" i="1"/>
  <c r="AI207" i="1"/>
  <c r="AG258" i="1"/>
  <c r="X257" i="1"/>
  <c r="AG254" i="1"/>
  <c r="AI254" i="1" s="1"/>
  <c r="X253" i="1"/>
  <c r="AI199" i="1"/>
  <c r="AG250" i="1"/>
  <c r="X249" i="1"/>
  <c r="AI195" i="1"/>
  <c r="AG246" i="1"/>
  <c r="W246" i="1" s="1"/>
  <c r="X245" i="1"/>
  <c r="AI191" i="1"/>
  <c r="AG242" i="1"/>
  <c r="AI242" i="1" s="1"/>
  <c r="X241" i="1"/>
  <c r="AG238" i="1"/>
  <c r="AI238" i="1" s="1"/>
  <c r="X237" i="1"/>
  <c r="U233" i="1"/>
  <c r="S233" i="1" s="1"/>
  <c r="W229" i="1"/>
  <c r="U148" i="1"/>
  <c r="S148" i="1" s="1"/>
  <c r="AI148" i="1"/>
  <c r="U137" i="1"/>
  <c r="S137" i="1" s="1"/>
  <c r="AI137" i="1"/>
  <c r="W133" i="1"/>
  <c r="X196" i="1"/>
  <c r="X192" i="1"/>
  <c r="X188" i="1"/>
  <c r="X184" i="1"/>
  <c r="X180" i="1"/>
  <c r="X176" i="1"/>
  <c r="X172" i="1"/>
  <c r="X168" i="1"/>
  <c r="X164" i="1"/>
  <c r="X160" i="1"/>
  <c r="X258" i="1"/>
  <c r="X254" i="1"/>
  <c r="X250" i="1"/>
  <c r="X246" i="1"/>
  <c r="X242" i="1"/>
  <c r="X238" i="1"/>
  <c r="AI181" i="1"/>
  <c r="T231" i="1"/>
  <c r="X231" i="1"/>
  <c r="AG231" i="1"/>
  <c r="AI231" i="1" s="1"/>
  <c r="U215" i="1"/>
  <c r="S215" i="1" s="1"/>
  <c r="U207" i="1"/>
  <c r="S207" i="1" s="1"/>
  <c r="AI160" i="1"/>
  <c r="W156" i="1"/>
  <c r="U133" i="1"/>
  <c r="S133" i="1" s="1"/>
  <c r="AI133" i="1"/>
  <c r="W129" i="1"/>
  <c r="W121" i="1"/>
  <c r="U230" i="1"/>
  <c r="S230" i="1" s="1"/>
  <c r="U212" i="1"/>
  <c r="S212" i="1" s="1"/>
  <c r="U153" i="1"/>
  <c r="S153" i="1" s="1"/>
  <c r="U145" i="1"/>
  <c r="S145" i="1" s="1"/>
  <c r="U122" i="1"/>
  <c r="S122" i="1" s="1"/>
  <c r="T119" i="1"/>
  <c r="X119" i="1"/>
  <c r="U109" i="1"/>
  <c r="S109" i="1" s="1"/>
  <c r="AI109" i="1"/>
  <c r="AI91" i="1"/>
  <c r="AI87" i="1"/>
  <c r="AG227" i="1"/>
  <c r="W227" i="1" s="1"/>
  <c r="AG217" i="1"/>
  <c r="AG213" i="1"/>
  <c r="AG209" i="1"/>
  <c r="AG205" i="1"/>
  <c r="W205" i="1" s="1"/>
  <c r="AG154" i="1"/>
  <c r="AG150" i="1"/>
  <c r="AG146" i="1"/>
  <c r="AG142" i="1"/>
  <c r="AG138" i="1"/>
  <c r="W138" i="1" s="1"/>
  <c r="AG135" i="1"/>
  <c r="AG131" i="1"/>
  <c r="AG127" i="1"/>
  <c r="AG123" i="1"/>
  <c r="AG119" i="1"/>
  <c r="U105" i="1"/>
  <c r="S105" i="1" s="1"/>
  <c r="AI105" i="1"/>
  <c r="W101" i="1"/>
  <c r="AG232" i="1"/>
  <c r="AI177" i="1"/>
  <c r="AG228" i="1"/>
  <c r="W228" i="1" s="1"/>
  <c r="X227" i="1"/>
  <c r="AI173" i="1"/>
  <c r="AG224" i="1"/>
  <c r="W224" i="1" s="1"/>
  <c r="X217" i="1"/>
  <c r="AI169" i="1"/>
  <c r="AG214" i="1"/>
  <c r="AI214" i="1" s="1"/>
  <c r="X213" i="1"/>
  <c r="AI165" i="1"/>
  <c r="AG210" i="1"/>
  <c r="AI210" i="1" s="1"/>
  <c r="X209" i="1"/>
  <c r="AI161" i="1"/>
  <c r="AG206" i="1"/>
  <c r="W206" i="1" s="1"/>
  <c r="X205" i="1"/>
  <c r="AG155" i="1"/>
  <c r="W155" i="1" s="1"/>
  <c r="X154" i="1"/>
  <c r="AG151" i="1"/>
  <c r="X150" i="1"/>
  <c r="AG147" i="1"/>
  <c r="X146" i="1"/>
  <c r="AI145" i="1"/>
  <c r="AG143" i="1"/>
  <c r="AG139" i="1"/>
  <c r="W139" i="1" s="1"/>
  <c r="AG136" i="1"/>
  <c r="W136" i="1" s="1"/>
  <c r="X135" i="1"/>
  <c r="AI134" i="1"/>
  <c r="AG132" i="1"/>
  <c r="X131" i="1"/>
  <c r="AG128" i="1"/>
  <c r="X127" i="1"/>
  <c r="AG124" i="1"/>
  <c r="X123" i="1"/>
  <c r="AI122" i="1"/>
  <c r="AG120" i="1"/>
  <c r="W117" i="1"/>
  <c r="U101" i="1"/>
  <c r="S101" i="1" s="1"/>
  <c r="AI101" i="1"/>
  <c r="W96" i="1"/>
  <c r="X232" i="1"/>
  <c r="X228" i="1"/>
  <c r="X224" i="1"/>
  <c r="X214" i="1"/>
  <c r="X210" i="1"/>
  <c r="X206" i="1"/>
  <c r="X155" i="1"/>
  <c r="X151" i="1"/>
  <c r="X147" i="1"/>
  <c r="X143" i="1"/>
  <c r="X132" i="1"/>
  <c r="X128" i="1"/>
  <c r="X124" i="1"/>
  <c r="X120" i="1"/>
  <c r="AA119" i="1"/>
  <c r="AI113" i="1"/>
  <c r="AI96" i="1"/>
  <c r="W91" i="1"/>
  <c r="W87" i="1"/>
  <c r="U110" i="1"/>
  <c r="S110" i="1" s="1"/>
  <c r="U102" i="1"/>
  <c r="S102" i="1" s="1"/>
  <c r="U88" i="1"/>
  <c r="S88" i="1" s="1"/>
  <c r="AI53" i="1"/>
  <c r="AG115" i="1"/>
  <c r="W115" i="1" s="1"/>
  <c r="AG111" i="1"/>
  <c r="AG107" i="1"/>
  <c r="W107" i="1" s="1"/>
  <c r="AG103" i="1"/>
  <c r="AG98" i="1"/>
  <c r="AG94" i="1"/>
  <c r="AG89" i="1"/>
  <c r="AG85" i="1"/>
  <c r="W85" i="1" s="1"/>
  <c r="W79" i="1"/>
  <c r="W75" i="1"/>
  <c r="U73" i="1"/>
  <c r="S73" i="1" s="1"/>
  <c r="U61" i="1"/>
  <c r="S61" i="1" s="1"/>
  <c r="AG116" i="1"/>
  <c r="X115" i="1"/>
  <c r="AG112" i="1"/>
  <c r="W112" i="1" s="1"/>
  <c r="X111" i="1"/>
  <c r="AI110" i="1"/>
  <c r="AG108" i="1"/>
  <c r="X107" i="1"/>
  <c r="AI106" i="1"/>
  <c r="AG104" i="1"/>
  <c r="W104" i="1" s="1"/>
  <c r="X103" i="1"/>
  <c r="AI102" i="1"/>
  <c r="AG100" i="1"/>
  <c r="X98" i="1"/>
  <c r="AG95" i="1"/>
  <c r="X94" i="1"/>
  <c r="AI93" i="1"/>
  <c r="AG90" i="1"/>
  <c r="X89" i="1"/>
  <c r="AI88" i="1"/>
  <c r="AG86" i="1"/>
  <c r="X85" i="1"/>
  <c r="U84" i="1"/>
  <c r="S84" i="1" s="1"/>
  <c r="W81" i="1"/>
  <c r="AI79" i="1"/>
  <c r="U79" i="1"/>
  <c r="S79" i="1" s="1"/>
  <c r="AI75" i="1"/>
  <c r="U75" i="1"/>
  <c r="S75" i="1" s="1"/>
  <c r="W71" i="1"/>
  <c r="W63" i="1"/>
  <c r="AI57" i="1"/>
  <c r="X116" i="1"/>
  <c r="X112" i="1"/>
  <c r="X108" i="1"/>
  <c r="X104" i="1"/>
  <c r="X95" i="1"/>
  <c r="X90" i="1"/>
  <c r="X86" i="1"/>
  <c r="AI81" i="1"/>
  <c r="AI77" i="1"/>
  <c r="AI71" i="1"/>
  <c r="U71" i="1"/>
  <c r="S71" i="1" s="1"/>
  <c r="AI67" i="1"/>
  <c r="AI63" i="1"/>
  <c r="AG82" i="1"/>
  <c r="X81" i="1"/>
  <c r="T81" i="1"/>
  <c r="U81" i="1" s="1"/>
  <c r="S81" i="1" s="1"/>
  <c r="AG78" i="1"/>
  <c r="X77" i="1"/>
  <c r="T77" i="1"/>
  <c r="U77" i="1" s="1"/>
  <c r="S77" i="1" s="1"/>
  <c r="AG74" i="1"/>
  <c r="W74" i="1" s="1"/>
  <c r="X73" i="1"/>
  <c r="AG70" i="1"/>
  <c r="X69" i="1"/>
  <c r="AI68" i="1"/>
  <c r="S68" i="1"/>
  <c r="AG66" i="1"/>
  <c r="X65" i="1"/>
  <c r="AI64" i="1"/>
  <c r="AG62" i="1"/>
  <c r="X61" i="1"/>
  <c r="AI60" i="1"/>
  <c r="AG58" i="1"/>
  <c r="X57" i="1"/>
  <c r="T57" i="1"/>
  <c r="U57" i="1" s="1"/>
  <c r="S57" i="1" s="1"/>
  <c r="AG54" i="1"/>
  <c r="X53" i="1"/>
  <c r="T53" i="1"/>
  <c r="U53" i="1" s="1"/>
  <c r="S53" i="1" s="1"/>
  <c r="AG50" i="1"/>
  <c r="X49" i="1"/>
  <c r="U46" i="1"/>
  <c r="S46" i="1" s="1"/>
  <c r="AI46" i="1"/>
  <c r="AI36" i="1"/>
  <c r="AI32" i="1"/>
  <c r="U32" i="1"/>
  <c r="S32" i="1" s="1"/>
  <c r="X82" i="1"/>
  <c r="X78" i="1"/>
  <c r="X74" i="1"/>
  <c r="X70" i="1"/>
  <c r="X66" i="1"/>
  <c r="X62" i="1"/>
  <c r="AI61" i="1"/>
  <c r="X58" i="1"/>
  <c r="X54" i="1"/>
  <c r="X50" i="1"/>
  <c r="AI48" i="1"/>
  <c r="U48" i="1"/>
  <c r="S48" i="1" s="1"/>
  <c r="AI28" i="1"/>
  <c r="U24" i="1"/>
  <c r="S24" i="1" s="1"/>
  <c r="AI24" i="1"/>
  <c r="AI20" i="1"/>
  <c r="X48" i="1"/>
  <c r="U38" i="1"/>
  <c r="S38" i="1" s="1"/>
  <c r="AI38" i="1"/>
  <c r="U37" i="1"/>
  <c r="S37" i="1" s="1"/>
  <c r="AI34" i="1"/>
  <c r="U30" i="1"/>
  <c r="S30" i="1" s="1"/>
  <c r="AI30" i="1"/>
  <c r="U42" i="1"/>
  <c r="S42" i="1" s="1"/>
  <c r="AI42" i="1"/>
  <c r="W36" i="1"/>
  <c r="W32" i="1"/>
  <c r="U47" i="1"/>
  <c r="S47" i="1" s="1"/>
  <c r="U43" i="1"/>
  <c r="S43" i="1" s="1"/>
  <c r="U35" i="1"/>
  <c r="S35" i="1" s="1"/>
  <c r="U21" i="1"/>
  <c r="S21" i="1" s="1"/>
  <c r="AG44" i="1"/>
  <c r="AG40" i="1"/>
  <c r="AG26" i="1"/>
  <c r="AG22" i="1"/>
  <c r="AG18" i="1"/>
  <c r="AG14" i="1"/>
  <c r="X44" i="1"/>
  <c r="X40" i="1"/>
  <c r="AG27" i="1"/>
  <c r="X26" i="1"/>
  <c r="AG23" i="1"/>
  <c r="W23" i="1" s="1"/>
  <c r="X22" i="1"/>
  <c r="AG19" i="1"/>
  <c r="W19" i="1" s="1"/>
  <c r="X18" i="1"/>
  <c r="AG15" i="1"/>
  <c r="W15" i="1" s="1"/>
  <c r="X45" i="1"/>
  <c r="X41" i="1"/>
  <c r="X37" i="1"/>
  <c r="X27" i="1"/>
  <c r="X23" i="1"/>
  <c r="X19" i="1"/>
  <c r="X15" i="1"/>
  <c r="AD34" i="3"/>
  <c r="T34" i="3"/>
  <c r="AD25" i="3"/>
  <c r="AE25" i="3"/>
  <c r="T9" i="3"/>
  <c r="AE16" i="3"/>
  <c r="AD13" i="3"/>
  <c r="AE41" i="3"/>
  <c r="AD38" i="3"/>
  <c r="Y34" i="3"/>
  <c r="Y17" i="3"/>
  <c r="Y9" i="3"/>
  <c r="Y13" i="3"/>
  <c r="AD16" i="3"/>
  <c r="Y11" i="3"/>
  <c r="AE12" i="3"/>
  <c r="AE33" i="3"/>
  <c r="Y42" i="3"/>
  <c r="Y40" i="3"/>
  <c r="Y26" i="3"/>
  <c r="AC16" i="3"/>
  <c r="AE20" i="3"/>
  <c r="T19" i="3"/>
  <c r="AD12" i="3"/>
  <c r="AD8" i="3"/>
  <c r="AC24" i="3"/>
  <c r="T27" i="3"/>
  <c r="AD37" i="3"/>
  <c r="AE37" i="3"/>
  <c r="Y32" i="3"/>
  <c r="AE32" i="3"/>
  <c r="AC25" i="3"/>
  <c r="T24" i="3"/>
  <c r="T15" i="3"/>
  <c r="AD21" i="3"/>
  <c r="AE21" i="3"/>
  <c r="AD17" i="3"/>
  <c r="AE17" i="3"/>
  <c r="T8" i="3"/>
  <c r="T35" i="3"/>
  <c r="AE11" i="3"/>
  <c r="AD9" i="3"/>
  <c r="AE9" i="3"/>
  <c r="Y24" i="3"/>
  <c r="Y15" i="3"/>
  <c r="Y35" i="3"/>
  <c r="Y27" i="3"/>
  <c r="Y33" i="3"/>
  <c r="AE40" i="3"/>
  <c r="AC41" i="3"/>
  <c r="T26" i="3"/>
  <c r="AE29" i="3"/>
  <c r="Y21" i="3"/>
  <c r="AE24" i="3"/>
  <c r="AC20" i="3"/>
  <c r="AE15" i="3"/>
  <c r="AE13" i="3"/>
  <c r="T30" i="3"/>
  <c r="T7" i="3"/>
  <c r="AE19" i="3"/>
  <c r="T12" i="3"/>
  <c r="AE35" i="3"/>
  <c r="T37" i="3"/>
  <c r="AE31" i="3"/>
  <c r="AE27" i="3"/>
  <c r="T18" i="3"/>
  <c r="AE23" i="3"/>
  <c r="T17" i="3"/>
  <c r="AE42" i="3"/>
  <c r="T38" i="3"/>
  <c r="AD39" i="3"/>
  <c r="AE38" i="3"/>
  <c r="T41" i="3"/>
  <c r="AD35" i="3"/>
  <c r="AE34" i="3"/>
  <c r="T14" i="3"/>
  <c r="AD31" i="3"/>
  <c r="AE30" i="3"/>
  <c r="T25" i="3"/>
  <c r="AD27" i="3"/>
  <c r="AE26" i="3"/>
  <c r="T16" i="3"/>
  <c r="AD23" i="3"/>
  <c r="AE22" i="3"/>
  <c r="T20" i="3"/>
  <c r="AD19" i="3"/>
  <c r="AE18" i="3"/>
  <c r="T36" i="3"/>
  <c r="AD15" i="3"/>
  <c r="AE14" i="3"/>
  <c r="T11" i="3"/>
  <c r="AD11" i="3"/>
  <c r="AE10" i="3"/>
  <c r="T10" i="3"/>
  <c r="AC22" i="3"/>
  <c r="AE39" i="3"/>
  <c r="T42" i="3"/>
  <c r="AD18" i="3"/>
  <c r="AD14" i="3"/>
  <c r="AD10" i="3"/>
  <c r="AE8" i="3"/>
  <c r="R28" i="3"/>
  <c r="M28" i="3"/>
  <c r="S28" i="3"/>
  <c r="U28" i="3"/>
  <c r="V28" i="3"/>
  <c r="W28" i="3"/>
  <c r="X28" i="3"/>
  <c r="U31" i="1" l="1"/>
  <c r="S31" i="1" s="1"/>
  <c r="U69" i="1"/>
  <c r="S69" i="1" s="1"/>
  <c r="U106" i="1"/>
  <c r="S106" i="1" s="1"/>
  <c r="AI130" i="1"/>
  <c r="W146" i="1"/>
  <c r="U126" i="1"/>
  <c r="S126" i="1" s="1"/>
  <c r="U157" i="1"/>
  <c r="S157" i="1" s="1"/>
  <c r="AI176" i="1"/>
  <c r="W164" i="1"/>
  <c r="W172" i="1"/>
  <c r="W52" i="1"/>
  <c r="W69" i="1"/>
  <c r="W134" i="1"/>
  <c r="AI45" i="1"/>
  <c r="W93" i="1"/>
  <c r="W157" i="1"/>
  <c r="W252" i="1"/>
  <c r="W166" i="1"/>
  <c r="W97" i="1"/>
  <c r="AI76" i="1"/>
  <c r="AI80" i="1"/>
  <c r="W213" i="1"/>
  <c r="AI198" i="1"/>
  <c r="W114" i="1"/>
  <c r="W130" i="1"/>
  <c r="U118" i="1"/>
  <c r="S118" i="1" s="1"/>
  <c r="W186" i="1"/>
  <c r="W65" i="1"/>
  <c r="W73" i="1"/>
  <c r="U226" i="1"/>
  <c r="S226" i="1" s="1"/>
  <c r="U17" i="1"/>
  <c r="S17" i="1" s="1"/>
  <c r="U41" i="1"/>
  <c r="S41" i="1" s="1"/>
  <c r="AI72" i="1"/>
  <c r="W116" i="1"/>
  <c r="W217" i="1"/>
  <c r="U219" i="1"/>
  <c r="S219" i="1" s="1"/>
  <c r="W76" i="1"/>
  <c r="W149" i="1"/>
  <c r="W17" i="1"/>
  <c r="W219" i="1"/>
  <c r="W84" i="1"/>
  <c r="U166" i="1"/>
  <c r="S166" i="1" s="1"/>
  <c r="AI84" i="1"/>
  <c r="AI141" i="1"/>
  <c r="W33" i="1"/>
  <c r="U25" i="1"/>
  <c r="S25" i="1" s="1"/>
  <c r="U39" i="1"/>
  <c r="S39" i="1" s="1"/>
  <c r="AI65" i="1"/>
  <c r="W58" i="1"/>
  <c r="AI97" i="1"/>
  <c r="AI114" i="1"/>
  <c r="U114" i="1"/>
  <c r="S114" i="1" s="1"/>
  <c r="W119" i="1"/>
  <c r="AI153" i="1"/>
  <c r="W123" i="1"/>
  <c r="U234" i="1"/>
  <c r="S234" i="1" s="1"/>
  <c r="AI187" i="1"/>
  <c r="AI203" i="1"/>
  <c r="W245" i="1"/>
  <c r="W159" i="1"/>
  <c r="U240" i="1"/>
  <c r="S240" i="1" s="1"/>
  <c r="U186" i="1"/>
  <c r="S186" i="1" s="1"/>
  <c r="W198" i="1"/>
  <c r="W72" i="1"/>
  <c r="W29" i="1"/>
  <c r="W226" i="1"/>
  <c r="W118" i="1"/>
  <c r="U33" i="1"/>
  <c r="S33" i="1" s="1"/>
  <c r="W215" i="1"/>
  <c r="W171" i="1"/>
  <c r="W27" i="1"/>
  <c r="W44" i="1"/>
  <c r="U29" i="1"/>
  <c r="S29" i="1" s="1"/>
  <c r="AI56" i="1"/>
  <c r="W86" i="1"/>
  <c r="W103" i="1"/>
  <c r="W128" i="1"/>
  <c r="AI149" i="1"/>
  <c r="W249" i="1"/>
  <c r="W163" i="1"/>
  <c r="W179" i="1"/>
  <c r="W195" i="1"/>
  <c r="AI234" i="1"/>
  <c r="AI218" i="1"/>
  <c r="AI186" i="1"/>
  <c r="U16" i="1"/>
  <c r="S16" i="1" s="1"/>
  <c r="W194" i="1"/>
  <c r="W45" i="1"/>
  <c r="W260" i="1"/>
  <c r="W16" i="1"/>
  <c r="W258" i="1"/>
  <c r="AI258" i="1"/>
  <c r="AI227" i="1"/>
  <c r="W183" i="1"/>
  <c r="AI183" i="1"/>
  <c r="W37" i="1"/>
  <c r="W231" i="1"/>
  <c r="AI172" i="1"/>
  <c r="AI246" i="1"/>
  <c r="W39" i="1"/>
  <c r="W102" i="1"/>
  <c r="W47" i="1"/>
  <c r="W250" i="1"/>
  <c r="AI250" i="1"/>
  <c r="W180" i="1"/>
  <c r="AI180" i="1"/>
  <c r="AI164" i="1"/>
  <c r="W31" i="1"/>
  <c r="U59" i="1"/>
  <c r="S59" i="1" s="1"/>
  <c r="AI59" i="1"/>
  <c r="U52" i="1"/>
  <c r="S52" i="1" s="1"/>
  <c r="AI52" i="1"/>
  <c r="U125" i="1"/>
  <c r="S125" i="1" s="1"/>
  <c r="AI125" i="1"/>
  <c r="W59" i="1"/>
  <c r="AI206" i="1"/>
  <c r="AI253" i="1"/>
  <c r="W68" i="1"/>
  <c r="W35" i="1"/>
  <c r="W80" i="1"/>
  <c r="W41" i="1"/>
  <c r="U49" i="1"/>
  <c r="S49" i="1" s="1"/>
  <c r="AI49" i="1"/>
  <c r="W56" i="1"/>
  <c r="W216" i="1"/>
  <c r="U95" i="1"/>
  <c r="S95" i="1" s="1"/>
  <c r="AI95" i="1"/>
  <c r="U120" i="1"/>
  <c r="S120" i="1" s="1"/>
  <c r="AI120" i="1"/>
  <c r="U242" i="1"/>
  <c r="S242" i="1" s="1"/>
  <c r="AI189" i="1"/>
  <c r="U188" i="1"/>
  <c r="S188" i="1" s="1"/>
  <c r="AI237" i="1"/>
  <c r="U200" i="1"/>
  <c r="S200" i="1" s="1"/>
  <c r="AI249" i="1"/>
  <c r="W188" i="1"/>
  <c r="AI248" i="1"/>
  <c r="U199" i="1"/>
  <c r="S199" i="1" s="1"/>
  <c r="W200" i="1"/>
  <c r="U19" i="1"/>
  <c r="S19" i="1" s="1"/>
  <c r="AI19" i="1"/>
  <c r="AI14" i="1"/>
  <c r="U14" i="1"/>
  <c r="S14" i="1" s="1"/>
  <c r="AI40" i="1"/>
  <c r="U40" i="1"/>
  <c r="S40" i="1" s="1"/>
  <c r="U82" i="1"/>
  <c r="S82" i="1" s="1"/>
  <c r="W82" i="1"/>
  <c r="AI82" i="1"/>
  <c r="U90" i="1"/>
  <c r="S90" i="1" s="1"/>
  <c r="AI90" i="1"/>
  <c r="U108" i="1"/>
  <c r="S108" i="1" s="1"/>
  <c r="AI108" i="1"/>
  <c r="AI94" i="1"/>
  <c r="U94" i="1"/>
  <c r="S94" i="1" s="1"/>
  <c r="AI111" i="1"/>
  <c r="U111" i="1"/>
  <c r="S111" i="1" s="1"/>
  <c r="W111" i="1"/>
  <c r="U132" i="1"/>
  <c r="S132" i="1" s="1"/>
  <c r="AI132" i="1"/>
  <c r="U147" i="1"/>
  <c r="S147" i="1" s="1"/>
  <c r="AI147" i="1"/>
  <c r="U210" i="1"/>
  <c r="S210" i="1" s="1"/>
  <c r="AI163" i="1"/>
  <c r="AI131" i="1"/>
  <c r="U131" i="1"/>
  <c r="S131" i="1" s="1"/>
  <c r="AI146" i="1"/>
  <c r="U146" i="1"/>
  <c r="S146" i="1" s="1"/>
  <c r="AI162" i="1"/>
  <c r="U209" i="1"/>
  <c r="S209" i="1" s="1"/>
  <c r="W90" i="1"/>
  <c r="W131" i="1"/>
  <c r="W147" i="1"/>
  <c r="W209" i="1"/>
  <c r="U238" i="1"/>
  <c r="S238" i="1" s="1"/>
  <c r="AI185" i="1"/>
  <c r="U254" i="1"/>
  <c r="S254" i="1" s="1"/>
  <c r="AI201" i="1"/>
  <c r="U168" i="1"/>
  <c r="S168" i="1" s="1"/>
  <c r="AI217" i="1"/>
  <c r="U184" i="1"/>
  <c r="S184" i="1" s="1"/>
  <c r="AI233" i="1"/>
  <c r="AI188" i="1"/>
  <c r="U241" i="1"/>
  <c r="S241" i="1" s="1"/>
  <c r="AI204" i="1"/>
  <c r="U257" i="1"/>
  <c r="S257" i="1" s="1"/>
  <c r="AI220" i="1"/>
  <c r="U171" i="1"/>
  <c r="S171" i="1" s="1"/>
  <c r="AI236" i="1"/>
  <c r="U187" i="1"/>
  <c r="S187" i="1" s="1"/>
  <c r="W254" i="1"/>
  <c r="W168" i="1"/>
  <c r="W199" i="1"/>
  <c r="W242" i="1"/>
  <c r="AI252" i="1"/>
  <c r="U203" i="1"/>
  <c r="S203" i="1" s="1"/>
  <c r="AI26" i="1"/>
  <c r="U26" i="1"/>
  <c r="S26" i="1" s="1"/>
  <c r="W26" i="1"/>
  <c r="AI78" i="1"/>
  <c r="U78" i="1"/>
  <c r="S78" i="1" s="1"/>
  <c r="U151" i="1"/>
  <c r="S151" i="1" s="1"/>
  <c r="AI151" i="1"/>
  <c r="U214" i="1"/>
  <c r="S214" i="1" s="1"/>
  <c r="AI167" i="1"/>
  <c r="U232" i="1"/>
  <c r="S232" i="1" s="1"/>
  <c r="AI179" i="1"/>
  <c r="AI127" i="1"/>
  <c r="U127" i="1"/>
  <c r="S127" i="1" s="1"/>
  <c r="AI142" i="1"/>
  <c r="U142" i="1"/>
  <c r="S142" i="1" s="1"/>
  <c r="AI174" i="1"/>
  <c r="U227" i="1"/>
  <c r="S227" i="1" s="1"/>
  <c r="U258" i="1"/>
  <c r="S258" i="1" s="1"/>
  <c r="AI205" i="1"/>
  <c r="W151" i="1"/>
  <c r="AI184" i="1"/>
  <c r="U237" i="1"/>
  <c r="S237" i="1" s="1"/>
  <c r="AI216" i="1"/>
  <c r="U167" i="1"/>
  <c r="S167" i="1" s="1"/>
  <c r="AI232" i="1"/>
  <c r="U183" i="1"/>
  <c r="S183" i="1" s="1"/>
  <c r="W120" i="1"/>
  <c r="W127" i="1"/>
  <c r="U27" i="1"/>
  <c r="S27" i="1" s="1"/>
  <c r="AI27" i="1"/>
  <c r="AI18" i="1"/>
  <c r="U18" i="1"/>
  <c r="S18" i="1" s="1"/>
  <c r="AI44" i="1"/>
  <c r="U44" i="1"/>
  <c r="S44" i="1" s="1"/>
  <c r="W18" i="1"/>
  <c r="AI50" i="1"/>
  <c r="U50" i="1"/>
  <c r="S50" i="1" s="1"/>
  <c r="AI54" i="1"/>
  <c r="U54" i="1"/>
  <c r="S54" i="1" s="1"/>
  <c r="W54" i="1"/>
  <c r="W50" i="1"/>
  <c r="W78" i="1"/>
  <c r="U86" i="1"/>
  <c r="S86" i="1" s="1"/>
  <c r="AI86" i="1"/>
  <c r="U104" i="1"/>
  <c r="S104" i="1" s="1"/>
  <c r="AI104" i="1"/>
  <c r="AI98" i="1"/>
  <c r="U98" i="1"/>
  <c r="S98" i="1" s="1"/>
  <c r="AI115" i="1"/>
  <c r="U115" i="1"/>
  <c r="S115" i="1" s="1"/>
  <c r="W94" i="1"/>
  <c r="W98" i="1"/>
  <c r="U128" i="1"/>
  <c r="S128" i="1" s="1"/>
  <c r="AI128" i="1"/>
  <c r="U143" i="1"/>
  <c r="S143" i="1" s="1"/>
  <c r="AI143" i="1"/>
  <c r="U206" i="1"/>
  <c r="S206" i="1" s="1"/>
  <c r="AI159" i="1"/>
  <c r="U228" i="1"/>
  <c r="S228" i="1" s="1"/>
  <c r="AI175" i="1"/>
  <c r="AI119" i="1"/>
  <c r="U119" i="1"/>
  <c r="S119" i="1" s="1"/>
  <c r="AI135" i="1"/>
  <c r="U135" i="1"/>
  <c r="S135" i="1" s="1"/>
  <c r="AI150" i="1"/>
  <c r="U150" i="1"/>
  <c r="S150" i="1" s="1"/>
  <c r="AI166" i="1"/>
  <c r="U213" i="1"/>
  <c r="S213" i="1" s="1"/>
  <c r="W132" i="1"/>
  <c r="W210" i="1"/>
  <c r="U250" i="1"/>
  <c r="S250" i="1" s="1"/>
  <c r="AI197" i="1"/>
  <c r="U164" i="1"/>
  <c r="S164" i="1" s="1"/>
  <c r="AI213" i="1"/>
  <c r="U180" i="1"/>
  <c r="S180" i="1" s="1"/>
  <c r="AI229" i="1"/>
  <c r="U196" i="1"/>
  <c r="S196" i="1" s="1"/>
  <c r="AI245" i="1"/>
  <c r="AI192" i="1"/>
  <c r="U245" i="1"/>
  <c r="S245" i="1" s="1"/>
  <c r="AI208" i="1"/>
  <c r="U159" i="1"/>
  <c r="S159" i="1" s="1"/>
  <c r="AI224" i="1"/>
  <c r="U175" i="1"/>
  <c r="S175" i="1" s="1"/>
  <c r="AI240" i="1"/>
  <c r="U191" i="1"/>
  <c r="S191" i="1" s="1"/>
  <c r="W142" i="1"/>
  <c r="W214" i="1"/>
  <c r="W196" i="1"/>
  <c r="W232" i="1"/>
  <c r="AI257" i="1"/>
  <c r="U220" i="1"/>
  <c r="S220" i="1" s="1"/>
  <c r="W220" i="1"/>
  <c r="U112" i="1"/>
  <c r="S112" i="1" s="1"/>
  <c r="AI112" i="1"/>
  <c r="AI89" i="1"/>
  <c r="U89" i="1"/>
  <c r="S89" i="1" s="1"/>
  <c r="AI107" i="1"/>
  <c r="U107" i="1"/>
  <c r="S107" i="1" s="1"/>
  <c r="W89" i="1"/>
  <c r="U136" i="1"/>
  <c r="S136" i="1" s="1"/>
  <c r="AI136" i="1"/>
  <c r="AI158" i="1"/>
  <c r="U205" i="1"/>
  <c r="S205" i="1" s="1"/>
  <c r="U172" i="1"/>
  <c r="S172" i="1" s="1"/>
  <c r="AI221" i="1"/>
  <c r="AI200" i="1"/>
  <c r="U253" i="1"/>
  <c r="S253" i="1" s="1"/>
  <c r="U15" i="1"/>
  <c r="S15" i="1" s="1"/>
  <c r="AI15" i="1"/>
  <c r="U23" i="1"/>
  <c r="S23" i="1" s="1"/>
  <c r="AI23" i="1"/>
  <c r="AI22" i="1"/>
  <c r="U22" i="1"/>
  <c r="S22" i="1" s="1"/>
  <c r="W14" i="1"/>
  <c r="W22" i="1"/>
  <c r="W40" i="1"/>
  <c r="AI58" i="1"/>
  <c r="U58" i="1"/>
  <c r="S58" i="1" s="1"/>
  <c r="AI62" i="1"/>
  <c r="U62" i="1"/>
  <c r="S62" i="1" s="1"/>
  <c r="AI66" i="1"/>
  <c r="U66" i="1"/>
  <c r="S66" i="1" s="1"/>
  <c r="AI70" i="1"/>
  <c r="U70" i="1"/>
  <c r="S70" i="1" s="1"/>
  <c r="AI74" i="1"/>
  <c r="U74" i="1"/>
  <c r="S74" i="1" s="1"/>
  <c r="W62" i="1"/>
  <c r="W66" i="1"/>
  <c r="W70" i="1"/>
  <c r="U100" i="1"/>
  <c r="S100" i="1" s="1"/>
  <c r="AI100" i="1"/>
  <c r="U116" i="1"/>
  <c r="S116" i="1" s="1"/>
  <c r="AI116" i="1"/>
  <c r="AI85" i="1"/>
  <c r="U85" i="1"/>
  <c r="S85" i="1" s="1"/>
  <c r="AI103" i="1"/>
  <c r="U103" i="1"/>
  <c r="S103" i="1" s="1"/>
  <c r="W95" i="1"/>
  <c r="W100" i="1"/>
  <c r="U124" i="1"/>
  <c r="S124" i="1" s="1"/>
  <c r="AI124" i="1"/>
  <c r="U139" i="1"/>
  <c r="S139" i="1" s="1"/>
  <c r="AI139" i="1"/>
  <c r="U155" i="1"/>
  <c r="S155" i="1" s="1"/>
  <c r="AI155" i="1"/>
  <c r="U224" i="1"/>
  <c r="S224" i="1" s="1"/>
  <c r="AI171" i="1"/>
  <c r="AI123" i="1"/>
  <c r="U123" i="1"/>
  <c r="S123" i="1" s="1"/>
  <c r="AI138" i="1"/>
  <c r="U138" i="1"/>
  <c r="S138" i="1" s="1"/>
  <c r="AI154" i="1"/>
  <c r="U154" i="1"/>
  <c r="S154" i="1" s="1"/>
  <c r="AI170" i="1"/>
  <c r="U217" i="1"/>
  <c r="S217" i="1" s="1"/>
  <c r="W108" i="1"/>
  <c r="W124" i="1"/>
  <c r="AI178" i="1"/>
  <c r="U231" i="1"/>
  <c r="S231" i="1" s="1"/>
  <c r="W135" i="1"/>
  <c r="U246" i="1"/>
  <c r="S246" i="1" s="1"/>
  <c r="AI193" i="1"/>
  <c r="U160" i="1"/>
  <c r="S160" i="1" s="1"/>
  <c r="AI209" i="1"/>
  <c r="U176" i="1"/>
  <c r="S176" i="1" s="1"/>
  <c r="AI225" i="1"/>
  <c r="U192" i="1"/>
  <c r="S192" i="1" s="1"/>
  <c r="AI241" i="1"/>
  <c r="W150" i="1"/>
  <c r="AI196" i="1"/>
  <c r="U249" i="1"/>
  <c r="S249" i="1" s="1"/>
  <c r="AI212" i="1"/>
  <c r="U163" i="1"/>
  <c r="S163" i="1" s="1"/>
  <c r="AI228" i="1"/>
  <c r="U179" i="1"/>
  <c r="S179" i="1" s="1"/>
  <c r="AI244" i="1"/>
  <c r="U195" i="1"/>
  <c r="S195" i="1" s="1"/>
  <c r="W143" i="1"/>
  <c r="W154" i="1"/>
  <c r="W184" i="1"/>
  <c r="W238" i="1"/>
  <c r="AE28" i="3"/>
  <c r="AD28" i="3"/>
  <c r="Y28" i="3"/>
  <c r="AC28" i="3"/>
  <c r="T28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22" i="3" s="1"/>
  <c r="G40" i="4"/>
  <c r="G41" i="4"/>
  <c r="G42" i="4"/>
  <c r="G43" i="4"/>
  <c r="G44" i="4"/>
  <c r="G45" i="4"/>
  <c r="G46" i="4"/>
  <c r="N23" i="3" s="1"/>
  <c r="G47" i="4"/>
  <c r="G48" i="4"/>
  <c r="G49" i="4"/>
  <c r="G50" i="4"/>
  <c r="N10" i="3" s="1"/>
  <c r="G51" i="4"/>
  <c r="G52" i="4"/>
  <c r="G53" i="4"/>
  <c r="G54" i="4"/>
  <c r="G55" i="4"/>
  <c r="N30" i="3" s="1"/>
  <c r="G56" i="4"/>
  <c r="G57" i="4"/>
  <c r="G58" i="4"/>
  <c r="G59" i="4"/>
  <c r="G60" i="4"/>
  <c r="G61" i="4"/>
  <c r="G62" i="4"/>
  <c r="G63" i="4"/>
  <c r="G64" i="4"/>
  <c r="N29" i="3" s="1"/>
  <c r="G65" i="4"/>
  <c r="G66" i="4"/>
  <c r="N35" i="3" s="1"/>
  <c r="G67" i="4"/>
  <c r="G68" i="4"/>
  <c r="G69" i="4"/>
  <c r="G70" i="4"/>
  <c r="G71" i="4"/>
  <c r="G72" i="4"/>
  <c r="G73" i="4"/>
  <c r="G74" i="4"/>
  <c r="G75" i="4"/>
  <c r="N28" i="3" s="1"/>
  <c r="G76" i="4"/>
  <c r="G77" i="4"/>
  <c r="G78" i="4"/>
  <c r="G79" i="4"/>
  <c r="G80" i="4"/>
  <c r="G81" i="4"/>
  <c r="G82" i="4"/>
  <c r="G83" i="4"/>
  <c r="G84" i="4"/>
  <c r="G85" i="4"/>
  <c r="G86" i="4"/>
  <c r="N36" i="3" s="1"/>
  <c r="G87" i="4"/>
  <c r="G88" i="4"/>
  <c r="G89" i="4"/>
  <c r="G90" i="4"/>
  <c r="G91" i="4"/>
  <c r="G92" i="4"/>
  <c r="N12" i="3" s="1"/>
  <c r="G93" i="4"/>
  <c r="G94" i="4"/>
  <c r="G95" i="4"/>
  <c r="G96" i="4"/>
  <c r="G97" i="4"/>
  <c r="G98" i="4"/>
  <c r="N17" i="3" s="1"/>
  <c r="G99" i="4"/>
  <c r="N9" i="3" s="1"/>
  <c r="G100" i="4"/>
  <c r="G101" i="4"/>
  <c r="G102" i="4"/>
  <c r="G103" i="4"/>
  <c r="N39" i="3" s="1"/>
  <c r="G104" i="4"/>
  <c r="G105" i="4"/>
  <c r="G106" i="4"/>
  <c r="G107" i="4"/>
  <c r="G108" i="4"/>
  <c r="N15" i="3" s="1"/>
  <c r="G109" i="4"/>
  <c r="G110" i="4"/>
  <c r="G111" i="4"/>
  <c r="N21" i="3" s="1"/>
  <c r="G112" i="4"/>
  <c r="G113" i="4"/>
  <c r="G114" i="4"/>
  <c r="N18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N34" i="3" s="1"/>
  <c r="G131" i="4"/>
  <c r="G132" i="4"/>
  <c r="G133" i="4"/>
  <c r="G134" i="4"/>
  <c r="G135" i="4"/>
  <c r="G136" i="4"/>
  <c r="G137" i="4"/>
  <c r="G138" i="4"/>
  <c r="G139" i="4"/>
  <c r="G140" i="4"/>
  <c r="G141" i="4"/>
  <c r="N26" i="3" s="1"/>
  <c r="G142" i="4"/>
  <c r="G143" i="4"/>
  <c r="G144" i="4"/>
  <c r="N7" i="3" s="1"/>
  <c r="G145" i="4"/>
  <c r="G146" i="4"/>
  <c r="G147" i="4"/>
  <c r="G148" i="4"/>
  <c r="G149" i="4"/>
  <c r="G150" i="4"/>
  <c r="G151" i="4"/>
  <c r="G152" i="4"/>
  <c r="G153" i="4"/>
  <c r="G154" i="4"/>
  <c r="N32" i="3" s="1"/>
  <c r="G155" i="4"/>
  <c r="G156" i="4"/>
  <c r="G157" i="4"/>
  <c r="G158" i="4"/>
  <c r="N14" i="3" s="1"/>
  <c r="G159" i="4"/>
  <c r="G160" i="4"/>
  <c r="G161" i="4"/>
  <c r="G162" i="4"/>
  <c r="G163" i="4"/>
  <c r="G164" i="4"/>
  <c r="G165" i="4"/>
  <c r="G166" i="4"/>
  <c r="G167" i="4"/>
  <c r="G168" i="4"/>
  <c r="G169" i="4"/>
  <c r="N37" i="3" s="1"/>
  <c r="G170" i="4"/>
  <c r="G171" i="4"/>
  <c r="G172" i="4"/>
  <c r="G173" i="4"/>
  <c r="G174" i="4"/>
  <c r="G175" i="4"/>
  <c r="G176" i="4"/>
  <c r="N40" i="3" s="1"/>
  <c r="G177" i="4"/>
  <c r="G178" i="4"/>
  <c r="G179" i="4"/>
  <c r="G180" i="4"/>
  <c r="N31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38" i="3" s="1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9" i="3" l="1"/>
  <c r="N13" i="3"/>
  <c r="N11" i="3"/>
  <c r="N8" i="3"/>
  <c r="N16" i="3"/>
  <c r="N20" i="3"/>
  <c r="N33" i="3"/>
  <c r="N27" i="3"/>
  <c r="N24" i="3"/>
  <c r="N25" i="3"/>
  <c r="N41" i="3"/>
  <c r="N42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H3" i="6"/>
  <c r="J3" i="6"/>
  <c r="B4" i="6" l="1"/>
  <c r="I4" i="6" l="1"/>
  <c r="F4" i="6"/>
  <c r="G4" i="6"/>
  <c r="H4" i="6"/>
  <c r="J4" i="6"/>
  <c r="B5" i="6"/>
  <c r="I5" i="6" l="1"/>
  <c r="F5" i="6"/>
  <c r="B6" i="6"/>
  <c r="J5" i="6"/>
  <c r="H5" i="6"/>
  <c r="G5" i="6"/>
  <c r="I6" i="6" l="1"/>
  <c r="F6" i="6"/>
  <c r="J6" i="6"/>
  <c r="G6" i="6"/>
  <c r="H6" i="6"/>
  <c r="B7" i="6"/>
  <c r="I7" i="6" l="1"/>
  <c r="F7" i="6"/>
  <c r="B8" i="6"/>
  <c r="G7" i="6"/>
  <c r="J7" i="6"/>
  <c r="H7" i="6"/>
  <c r="I8" i="6" l="1"/>
  <c r="F8" i="6"/>
  <c r="G8" i="6"/>
  <c r="J8" i="6"/>
  <c r="H8" i="6"/>
  <c r="B70" i="6" l="1"/>
  <c r="I70" i="6" l="1"/>
  <c r="F70" i="6"/>
  <c r="B71" i="6"/>
  <c r="H70" i="6"/>
  <c r="G70" i="6"/>
  <c r="J70" i="6"/>
  <c r="I71" i="6" l="1"/>
  <c r="F71" i="6"/>
  <c r="B72" i="6"/>
  <c r="J71" i="6"/>
  <c r="G71" i="6"/>
  <c r="H71" i="6"/>
  <c r="I72" i="6" l="1"/>
  <c r="F72" i="6"/>
  <c r="H72" i="6"/>
  <c r="G72" i="6"/>
  <c r="J72" i="6"/>
  <c r="B73" i="6"/>
  <c r="I73" i="6" l="1"/>
  <c r="F73" i="6"/>
  <c r="H73" i="6"/>
  <c r="J73" i="6"/>
  <c r="G73" i="6"/>
  <c r="B74" i="6"/>
  <c r="I74" i="6" l="1"/>
  <c r="F74" i="6"/>
  <c r="G74" i="6"/>
  <c r="J74" i="6"/>
  <c r="H74" i="6"/>
  <c r="B75" i="6"/>
  <c r="I75" i="6" l="1"/>
  <c r="F75" i="6"/>
  <c r="B76" i="6"/>
  <c r="H75" i="6"/>
  <c r="J75" i="6"/>
  <c r="G75" i="6"/>
  <c r="I76" i="6" l="1"/>
  <c r="F76" i="6"/>
  <c r="B77" i="6"/>
  <c r="J76" i="6"/>
  <c r="H76" i="6"/>
  <c r="G76" i="6"/>
  <c r="I77" i="6" l="1"/>
  <c r="F77" i="6"/>
  <c r="B79" i="6"/>
  <c r="B78" i="6"/>
  <c r="G77" i="6"/>
  <c r="H77" i="6"/>
  <c r="J77" i="6"/>
  <c r="I78" i="6" l="1"/>
  <c r="F78" i="6"/>
  <c r="I79" i="6"/>
  <c r="F79" i="6"/>
  <c r="G78" i="6"/>
  <c r="H78" i="6"/>
  <c r="J78" i="6"/>
  <c r="J79" i="6"/>
  <c r="G79" i="6"/>
  <c r="H7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<sst xmlns="http://schemas.openxmlformats.org/spreadsheetml/2006/main" count="2976" uniqueCount="1040">
  <si>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</si>
  <si>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</si>
  <si>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</si>
  <si>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</si>
  <si>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</si>
  <si>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</si>
  <si>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</si>
  <si>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</si>
  <si>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</si>
  <si>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</si>
  <si>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</si>
  <si>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</si>
  <si>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</si>
  <si>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</si>
  <si>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</si>
  <si>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</si>
  <si>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</si>
  <si>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</si>
  <si>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</si>
  <si>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</si>
  <si>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</si>
  <si>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</si>
  <si>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</si>
  <si>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</si>
  <si>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</si>
  <si>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</si>
  <si>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</si>
  <si>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</si>
  <si>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</si>
  <si>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</si>
  <si>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</si>
  <si>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</si>
  <si>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</si>
  <si>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</si>
  <si>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</si>
  <si>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</si>
  <si>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</si>
  <si>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</si>
  <si>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</si>
  <si>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</si>
  <si>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</si>
  <si>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</si>
  <si>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</si>
  <si>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</si>
  <si>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</si>
  <si>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</si>
  <si>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</si>
  <si>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</si>
  <si>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</si>
  <si>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</si>
  <si>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</si>
  <si>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</si>
  <si>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</si>
  <si>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</si>
  <si>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</si>
  <si>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</si>
  <si>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</si>
  <si>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</si>
  <si>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</si>
  <si>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</si>
  <si>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</si>
  <si>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</si>
  <si>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</si>
  <si>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</si>
  <si>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</si>
  <si>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</si>
  <si>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</si>
  <si>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</si>
  <si>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</si>
  <si>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</si>
  <si>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</si>
  <si>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</si>
  <si>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</si>
  <si>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</si>
  <si>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</si>
  <si>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</si>
  <si>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</si>
  <si>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</si>
  <si>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</si>
  <si>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</si>
  <si>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</si>
  <si>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</si>
  <si>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</si>
  <si>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</si>
  <si>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</si>
  <si>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</si>
  <si>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</si>
  <si>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</si>
  <si>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</si>
  <si>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</si>
  <si>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</si>
  <si>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</si>
  <si>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</si>
  <si>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</si>
  <si>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</si>
  <si>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</si>
  <si>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</si>
  <si>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</si>
  <si>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</si>
  <si>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</si>
  <si>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</si>
  <si>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</si>
  <si>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</si>
  <si>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</si>
  <si>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</si>
  <si>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</si>
  <si>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</si>
  <si>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</si>
  <si>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</si>
  <si>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</si>
  <si>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</si>
  <si>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</si>
  <si>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</si>
  <si>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</si>
  <si>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</si>
  <si>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</si>
  <si>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</si>
  <si>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</si>
  <si>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</si>
  <si>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</si>
  <si>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</si>
  <si>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</si>
  <si>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</si>
  <si>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</si>
  <si>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</si>
  <si>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</si>
  <si>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</si>
  <si>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</si>
  <si>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</si>
  <si>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</si>
  <si>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</si>
  <si>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</si>
  <si>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</si>
  <si>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</si>
  <si>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</si>
  <si>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</si>
  <si>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</si>
  <si>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</si>
  <si>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</si>
  <si>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</si>
  <si>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</si>
  <si>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</si>
  <si>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</si>
  <si>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</si>
  <si>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</si>
  <si>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</si>
  <si>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</si>
  <si>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</si>
  <si>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</si>
  <si>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</si>
  <si>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</si>
  <si>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</si>
  <si>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</si>
  <si>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</si>
  <si>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</si>
  <si>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</si>
  <si>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</si>
  <si>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</si>
  <si>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</si>
  <si>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</si>
  <si>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</si>
  <si>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</si>
  <si>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</si>
  <si>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</si>
  <si>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</si>
  <si>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</si>
  <si>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</si>
  <si>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</si>
  <si>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</si>
  <si>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</si>
  <si>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</si>
  <si>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</si>
  <si>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</si>
  <si>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</si>
  <si>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</si>
  <si>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</si>
  <si>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</si>
  <si>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</si>
  <si>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</si>
  <si>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</si>
  <si>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</si>
  <si>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</si>
  <si>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</si>
  <si>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</si>
  <si>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</si>
  <si>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</si>
  <si>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</si>
  <si>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</si>
  <si>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</si>
  <si>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</si>
  <si>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</si>
  <si>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</si>
  <si>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</si>
  <si>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</si>
  <si>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</si>
  <si>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</si>
  <si>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</si>
  <si>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</si>
  <si>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</si>
  <si>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</si>
  <si>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</si>
  <si>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</si>
  <si>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</si>
  <si>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</si>
  <si>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</si>
  <si>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</si>
  <si>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</si>
  <si>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</si>
  <si>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</si>
  <si>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</si>
  <si>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</si>
  <si>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</si>
  <si>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</si>
  <si>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</si>
  <si>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</si>
  <si>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</si>
  <si>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</si>
  <si>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</si>
  <si>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</si>
  <si>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</si>
  <si>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</si>
  <si>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</si>
  <si>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</si>
  <si>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</si>
  <si>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</si>
  <si>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</si>
  <si>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</si>
  <si>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</si>
  <si>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</si>
  <si>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</si>
  <si>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</si>
  <si>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</si>
  <si>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</si>
  <si>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</si>
  <si>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</si>
  <si>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</si>
  <si>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</si>
  <si>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</si>
  <si>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</si>
  <si>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</si>
  <si>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</si>
  <si>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</si>
  <si>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</si>
  <si>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</si>
  <si>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</si>
  <si>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</si>
  <si>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</si>
  <si>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</si>
  <si>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</si>
  <si>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</si>
  <si>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</si>
  <si>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</si>
  <si>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</si>
  <si>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</si>
  <si>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</si>
  <si>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</si>
  <si>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</si>
  <si>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</si>
  <si>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</si>
  <si>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</si>
  <si>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</si>
  <si>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</si>
  <si>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</si>
  <si>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</si>
  <si>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</si>
  <si>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</si>
  <si>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</si>
  <si>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</si>
  <si>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</si>
  <si>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</si>
  <si>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</si>
  <si>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</si>
  <si>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</si>
  <si>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</si>
  <si>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</si>
  <si>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</si>
  <si>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</si>
  <si>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</si>
  <si>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</si>
  <si>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</si>
  <si>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</si>
  <si>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</si>
  <si>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</si>
  <si>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</si>
  <si>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</si>
  <si>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</si>
  <si>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</si>
  <si>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</si>
  <si>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</si>
  <si>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</si>
  <si>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</si>
  <si>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</si>
  <si>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</si>
  <si>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</si>
  <si>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</si>
  <si>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</si>
  <si>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</si>
  <si>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</si>
  <si>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</si>
  <si>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</si>
  <si>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</si>
  <si>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</si>
  <si>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</si>
  <si>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</si>
  <si>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</si>
  <si>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</si>
  <si>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</si>
  <si>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</si>
  <si>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</si>
  <si>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</si>
  <si>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</si>
  <si>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</si>
  <si>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</si>
  <si>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</si>
  <si>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</si>
  <si>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</si>
  <si>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</si>
  <si>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</si>
  <si>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</si>
  <si>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</si>
  <si>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</si>
  <si>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</si>
  <si>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</si>
  <si>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</si>
  <si>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</si>
  <si>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</si>
  <si>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</si>
  <si>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</si>
  <si>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</si>
  <si>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</si>
  <si>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</si>
  <si>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</si>
  <si>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</si>
  <si>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</si>
  <si>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</si>
  <si>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</si>
  <si>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</si>
  <si>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</si>
  <si>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</si>
  <si>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</si>
  <si>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</si>
  <si>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</si>
  <si>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</si>
  <si>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</si>
  <si>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</si>
  <si>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</si>
  <si>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</si>
  <si>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</si>
  <si>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</si>
  <si>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</si>
  <si>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</si>
  <si>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</si>
  <si>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</si>
  <si>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</si>
  <si>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</si>
  <si>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</si>
  <si>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rtdc.l.rtdc.4004:itc</t>
  </si>
  <si>
    <t>rtdc.l.rtdc.4003:itc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</si>
  <si>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</si>
  <si>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</si>
  <si>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</si>
  <si>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</si>
  <si>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</si>
  <si>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</si>
  <si>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</si>
  <si>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</si>
  <si>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</si>
  <si>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</si>
  <si>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204:156</t>
  </si>
  <si>
    <t>rtdc.l.rtdc.4017:itc</t>
  </si>
  <si>
    <t>204:453</t>
  </si>
  <si>
    <t>204:440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</si>
  <si>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</si>
  <si>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</si>
  <si>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</si>
  <si>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</si>
  <si>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</si>
  <si>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</si>
  <si>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</si>
  <si>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204:442</t>
  </si>
  <si>
    <t>204:233319</t>
  </si>
  <si>
    <t>204:437</t>
  </si>
  <si>
    <t>SIGNAL</t>
  </si>
  <si>
    <t>Signal based authority (5)</t>
  </si>
  <si>
    <t>rtdc.l.rtdc.4051:itc</t>
  </si>
  <si>
    <t>Y</t>
  </si>
  <si>
    <t>rtdc.l.rtdc.4052:itc</t>
  </si>
  <si>
    <t>204:233297</t>
  </si>
  <si>
    <t>204:232987</t>
  </si>
  <si>
    <t>rtdc.l.rtdc.4041:itc</t>
  </si>
  <si>
    <t>rtdc.l.rtdc.4020:itc</t>
  </si>
  <si>
    <t>rtdc.l.rtdc.4019:itc</t>
  </si>
  <si>
    <t>204:233301</t>
  </si>
  <si>
    <t>204:233295</t>
  </si>
  <si>
    <t>204:232967</t>
  </si>
  <si>
    <t>204:455</t>
  </si>
  <si>
    <t>204:233004</t>
  </si>
  <si>
    <t>204:233000</t>
  </si>
  <si>
    <t>rtdc.l.rtdc.4033:itc</t>
  </si>
  <si>
    <t>rtdc.l.rtdc.4034:itc</t>
  </si>
  <si>
    <t>MAELZER</t>
  </si>
  <si>
    <t>KURT</t>
  </si>
  <si>
    <t>DAVIS</t>
  </si>
  <si>
    <t>SANTIZO</t>
  </si>
  <si>
    <t>D. EDY</t>
  </si>
  <si>
    <t>LEVIN</t>
  </si>
  <si>
    <t>SCOTT</t>
  </si>
  <si>
    <t>partly-cloudy-day</t>
  </si>
  <si>
    <t>Mostly Cloudy</t>
  </si>
  <si>
    <t>204:233312</t>
  </si>
  <si>
    <t>204:136</t>
  </si>
  <si>
    <t>204:467</t>
  </si>
  <si>
    <t>204:478</t>
  </si>
  <si>
    <t>300:58621</t>
  </si>
  <si>
    <t>204:232998</t>
  </si>
  <si>
    <t>204:232992</t>
  </si>
  <si>
    <t>204:123</t>
  </si>
  <si>
    <t>rtdc.l.rtdc.4011:itc</t>
  </si>
  <si>
    <t>rtdc.l.rtdc.4021:itc</t>
  </si>
  <si>
    <t>rtdc.l.rtdc.4012:itc</t>
  </si>
  <si>
    <t>THOMAS</t>
  </si>
  <si>
    <t>NEWELL</t>
  </si>
  <si>
    <t>precipType</t>
  </si>
  <si>
    <t>rain</t>
  </si>
  <si>
    <t>300:58950</t>
  </si>
  <si>
    <t>rtdc.l.rtdc.4013:itc</t>
  </si>
  <si>
    <t>rtdc.l.rtdc.4030:itc</t>
  </si>
  <si>
    <t>rtdc.l.rtdc.4029:itc</t>
  </si>
  <si>
    <t>rtdc.l.rtdc.4039:itc</t>
  </si>
  <si>
    <t>66-08</t>
  </si>
  <si>
    <t>72-08</t>
  </si>
  <si>
    <t>rtdc.l.rtdc.4040:itc</t>
  </si>
  <si>
    <t>243-08</t>
  </si>
  <si>
    <t>244-08</t>
  </si>
  <si>
    <t>STARKS</t>
  </si>
  <si>
    <t>ANGELINA</t>
  </si>
  <si>
    <t>BONDS</t>
  </si>
  <si>
    <t>REYNALDO</t>
  </si>
  <si>
    <t>rtdc.l.rtdc.4014:itc</t>
  </si>
  <si>
    <t>SPECTOR</t>
  </si>
  <si>
    <t>rtdc.l.rtdc.4046:itc</t>
  </si>
  <si>
    <t>CLARK</t>
  </si>
  <si>
    <t>KATHLEEN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</si>
  <si>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</si>
  <si>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</si>
  <si>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</si>
  <si>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</si>
  <si>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</si>
  <si>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</si>
  <si>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</si>
  <si>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</si>
  <si>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</si>
  <si>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</si>
  <si>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</si>
  <si>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236-08</t>
  </si>
  <si>
    <t>241-08</t>
  </si>
  <si>
    <t>238-08</t>
  </si>
  <si>
    <t>240-08</t>
  </si>
  <si>
    <t>315-08</t>
  </si>
  <si>
    <t>242-08</t>
  </si>
  <si>
    <t>309-08</t>
  </si>
  <si>
    <t>311-08</t>
  </si>
  <si>
    <t>313-08</t>
  </si>
  <si>
    <t>Light Rain</t>
  </si>
  <si>
    <t>Drizzle</t>
  </si>
  <si>
    <t>204:462</t>
  </si>
  <si>
    <t>204:232978</t>
  </si>
  <si>
    <t>204:232994</t>
  </si>
  <si>
    <t>204:433</t>
  </si>
  <si>
    <t>204:233293</t>
  </si>
  <si>
    <t>204:233002</t>
  </si>
  <si>
    <t>204:233309</t>
  </si>
  <si>
    <t>204:232986</t>
  </si>
  <si>
    <t>204:233276</t>
  </si>
  <si>
    <t>204:233280</t>
  </si>
  <si>
    <t>204:484</t>
  </si>
  <si>
    <t>300:23310</t>
  </si>
  <si>
    <t>204:477</t>
  </si>
  <si>
    <t>300:58645</t>
  </si>
  <si>
    <t>204:948</t>
  </si>
  <si>
    <t>300:58617</t>
  </si>
  <si>
    <t>204:979</t>
  </si>
  <si>
    <t>300:58926</t>
  </si>
  <si>
    <t>Early arrival</t>
  </si>
  <si>
    <t>Onboard in-route failure</t>
  </si>
  <si>
    <t>Wi-MAX data drop</t>
  </si>
  <si>
    <t>rtdc.l.rtdc.4031:itc</t>
  </si>
  <si>
    <t>rtdc.l.rtdc.4005:itc</t>
  </si>
  <si>
    <t>rtdc.l.rtdc.4006:itc</t>
  </si>
  <si>
    <t>rtdc.l.rtdc.4007:itc</t>
  </si>
  <si>
    <t>rtdc.l.rtdc.4032:itc</t>
  </si>
  <si>
    <t>rtdc.l.rtdc.4008:itc</t>
  </si>
  <si>
    <t>LOZA</t>
  </si>
  <si>
    <t>FIDEL</t>
  </si>
  <si>
    <t>ROCHA</t>
  </si>
  <si>
    <t>YAOTL</t>
  </si>
  <si>
    <t>THOMPSON</t>
  </si>
  <si>
    <t>LESTER</t>
  </si>
  <si>
    <t>SWANSON</t>
  </si>
  <si>
    <t>BRYCE</t>
  </si>
  <si>
    <t>FORTUNATO</t>
  </si>
  <si>
    <t>FRANK</t>
  </si>
  <si>
    <t>315-09</t>
  </si>
  <si>
    <t>242-09</t>
  </si>
  <si>
    <t>309-09</t>
  </si>
  <si>
    <t>244-09</t>
  </si>
  <si>
    <t>311-09</t>
  </si>
  <si>
    <t>313-09</t>
  </si>
  <si>
    <t>cloudy</t>
  </si>
  <si>
    <t>Overcast</t>
  </si>
  <si>
    <t>204:233303</t>
  </si>
  <si>
    <t>204:232977</t>
  </si>
  <si>
    <t>204:233332</t>
  </si>
  <si>
    <t>204:438</t>
  </si>
  <si>
    <t>204:233299</t>
  </si>
  <si>
    <t>204:420</t>
  </si>
  <si>
    <t>204:232985</t>
  </si>
  <si>
    <t>204:232988</t>
  </si>
  <si>
    <t>204:233329</t>
  </si>
  <si>
    <t>204:232996</t>
  </si>
  <si>
    <t>204:232980</t>
  </si>
  <si>
    <t>204:435</t>
  </si>
  <si>
    <t>204:233344</t>
  </si>
  <si>
    <t>204:200</t>
  </si>
  <si>
    <t>204:233011</t>
  </si>
  <si>
    <t>204:233320</t>
  </si>
  <si>
    <t>204:233005</t>
  </si>
  <si>
    <t>204:233310</t>
  </si>
  <si>
    <t>204:233355</t>
  </si>
  <si>
    <t>204:232982</t>
  </si>
  <si>
    <t>204:169</t>
  </si>
  <si>
    <t>204:471</t>
  </si>
  <si>
    <t>204:488</t>
  </si>
  <si>
    <t>204:233015</t>
  </si>
  <si>
    <t>204:233346</t>
  </si>
  <si>
    <t>204:233349</t>
  </si>
  <si>
    <t>204:176</t>
  </si>
  <si>
    <t>204:232973</t>
  </si>
  <si>
    <t>204:232979</t>
  </si>
  <si>
    <t>204:180</t>
  </si>
  <si>
    <t>204:748</t>
  </si>
  <si>
    <t>300:23306</t>
  </si>
  <si>
    <t>300:23291</t>
  </si>
  <si>
    <t>300:23302</t>
  </si>
  <si>
    <t>300:24260</t>
  </si>
  <si>
    <t>204:142</t>
  </si>
  <si>
    <t>300:58961</t>
  </si>
  <si>
    <t>204:696</t>
  </si>
  <si>
    <t>300:58992</t>
  </si>
  <si>
    <t>204:981</t>
  </si>
  <si>
    <t>300:58937</t>
  </si>
  <si>
    <t>204:692</t>
  </si>
  <si>
    <t>204:715</t>
  </si>
  <si>
    <t>300:58956</t>
  </si>
  <si>
    <t>204:684</t>
  </si>
  <si>
    <t>300:58941</t>
  </si>
  <si>
    <t>300:58624</t>
  </si>
  <si>
    <t>204:678</t>
  </si>
  <si>
    <t>300:58920</t>
  </si>
  <si>
    <t>300:58634</t>
  </si>
  <si>
    <t>204:661</t>
  </si>
  <si>
    <t>300:58997</t>
  </si>
  <si>
    <t>204:680</t>
  </si>
  <si>
    <t>start /low /b %USERPROFILE%\Documents\GitHub\eaglep3\Utilities\DownloadLogsFromS3.py --loco 4017 --day 2017-05-10</t>
  </si>
  <si>
    <t>rtdc.l.rtdc.4025:itc</t>
  </si>
  <si>
    <t>802-10</t>
  </si>
  <si>
    <t>116-10</t>
  </si>
  <si>
    <t>125-10</t>
  </si>
  <si>
    <t>122-10</t>
  </si>
  <si>
    <t>rtdc.l.rtdc.4026:itc</t>
  </si>
  <si>
    <t>809-10</t>
  </si>
  <si>
    <t>811-10</t>
  </si>
  <si>
    <t>903-10</t>
  </si>
  <si>
    <t>130-10</t>
  </si>
  <si>
    <t>144-10</t>
  </si>
  <si>
    <t>rtdc.l.rtdc.4015:itc</t>
  </si>
  <si>
    <t>54-10</t>
  </si>
  <si>
    <t>157-10</t>
  </si>
  <si>
    <t>154-10</t>
  </si>
  <si>
    <t>58-10</t>
  </si>
  <si>
    <t>158-10</t>
  </si>
  <si>
    <t>156-10</t>
  </si>
  <si>
    <t>167-10</t>
  </si>
  <si>
    <t>162-10</t>
  </si>
  <si>
    <t>171-10</t>
  </si>
  <si>
    <t>823-10</t>
  </si>
  <si>
    <t>183-10</t>
  </si>
  <si>
    <t>195-10</t>
  </si>
  <si>
    <t>193-10</t>
  </si>
  <si>
    <t>828-10</t>
  </si>
  <si>
    <t>198-10</t>
  </si>
  <si>
    <t>66-10</t>
  </si>
  <si>
    <t>70-10</t>
  </si>
  <si>
    <t>835-10</t>
  </si>
  <si>
    <t>rtdc.l.rtdc.4001:itc</t>
  </si>
  <si>
    <t>72-10</t>
  </si>
  <si>
    <t>836-10</t>
  </si>
  <si>
    <t>76-10</t>
  </si>
  <si>
    <t>302-10</t>
  </si>
  <si>
    <t>BADERTSCHER</t>
  </si>
  <si>
    <t>DIANE</t>
  </si>
  <si>
    <t>101-10</t>
  </si>
  <si>
    <t>304-10</t>
  </si>
  <si>
    <t>103-10</t>
  </si>
  <si>
    <t>306-10</t>
  </si>
  <si>
    <t>GEBRETEKLE</t>
  </si>
  <si>
    <t>DAGNEW</t>
  </si>
  <si>
    <t>102-10</t>
  </si>
  <si>
    <t>105-10</t>
  </si>
  <si>
    <t>308-10</t>
  </si>
  <si>
    <t>310-10</t>
  </si>
  <si>
    <t>107-10</t>
  </si>
  <si>
    <t>104-10</t>
  </si>
  <si>
    <t>109-10</t>
  </si>
  <si>
    <t>901-10</t>
  </si>
  <si>
    <t>YORK</t>
  </si>
  <si>
    <t>EDGAR</t>
  </si>
  <si>
    <t>111-10</t>
  </si>
  <si>
    <t>113-10</t>
  </si>
  <si>
    <t>106-10</t>
  </si>
  <si>
    <t>800-10</t>
  </si>
  <si>
    <t>108-10</t>
  </si>
  <si>
    <t>110-10</t>
  </si>
  <si>
    <t>117-10</t>
  </si>
  <si>
    <t>115-10</t>
  </si>
  <si>
    <t>801-10</t>
  </si>
  <si>
    <t>112-10</t>
  </si>
  <si>
    <t>119-10</t>
  </si>
  <si>
    <t>114-10</t>
  </si>
  <si>
    <t>902-10</t>
  </si>
  <si>
    <t>50-10</t>
  </si>
  <si>
    <t>121-10</t>
  </si>
  <si>
    <t>803-10</t>
  </si>
  <si>
    <t>123-10</t>
  </si>
  <si>
    <t>805-10</t>
  </si>
  <si>
    <t>118-10</t>
  </si>
  <si>
    <t>804-10</t>
  </si>
  <si>
    <t>120-10</t>
  </si>
  <si>
    <t>127-10</t>
  </si>
  <si>
    <t>806-10</t>
  </si>
  <si>
    <t>124-10</t>
  </si>
  <si>
    <t>129-10</t>
  </si>
  <si>
    <t>807-10</t>
  </si>
  <si>
    <t>131-10</t>
  </si>
  <si>
    <t>126-10</t>
  </si>
  <si>
    <t>808-10</t>
  </si>
  <si>
    <t>133-10</t>
  </si>
  <si>
    <t>128-10</t>
  </si>
  <si>
    <t>135-10</t>
  </si>
  <si>
    <t>137-10</t>
  </si>
  <si>
    <t>810-10</t>
  </si>
  <si>
    <t>132-10</t>
  </si>
  <si>
    <t>139-10</t>
  </si>
  <si>
    <t>134-10</t>
  </si>
  <si>
    <t>812-10</t>
  </si>
  <si>
    <t>141-10</t>
  </si>
  <si>
    <t>136-10</t>
  </si>
  <si>
    <t>138-10</t>
  </si>
  <si>
    <t>143-10</t>
  </si>
  <si>
    <t>145-10</t>
  </si>
  <si>
    <t>813-10</t>
  </si>
  <si>
    <t>147-10</t>
  </si>
  <si>
    <t>140-10</t>
  </si>
  <si>
    <t>142-10</t>
  </si>
  <si>
    <t>814-10</t>
  </si>
  <si>
    <t>149-10</t>
  </si>
  <si>
    <t>151-10</t>
  </si>
  <si>
    <t>146-10</t>
  </si>
  <si>
    <t>815-10</t>
  </si>
  <si>
    <t>153-10</t>
  </si>
  <si>
    <t>DELGADO</t>
  </si>
  <si>
    <t>DIANAH</t>
  </si>
  <si>
    <t>148-10</t>
  </si>
  <si>
    <t>155-10</t>
  </si>
  <si>
    <t>150-10</t>
  </si>
  <si>
    <t>816-10</t>
  </si>
  <si>
    <t>152-10</t>
  </si>
  <si>
    <t>159-10</t>
  </si>
  <si>
    <t>rtdc.l.rtdc.4016:itc</t>
  </si>
  <si>
    <t>55-10</t>
  </si>
  <si>
    <t>161-10</t>
  </si>
  <si>
    <t>817-10</t>
  </si>
  <si>
    <t>163-10</t>
  </si>
  <si>
    <t>818-10</t>
  </si>
  <si>
    <t>165-10</t>
  </si>
  <si>
    <t>HELVIE</t>
  </si>
  <si>
    <t>ADAM</t>
  </si>
  <si>
    <t>160-10</t>
  </si>
  <si>
    <t>59-10</t>
  </si>
  <si>
    <t>819-10</t>
  </si>
  <si>
    <t>164-10</t>
  </si>
  <si>
    <t>169-10</t>
  </si>
  <si>
    <t>820-10</t>
  </si>
  <si>
    <t>166-10</t>
  </si>
  <si>
    <t>173-10</t>
  </si>
  <si>
    <t>168-10</t>
  </si>
  <si>
    <t>175-10</t>
  </si>
  <si>
    <t>170-10</t>
  </si>
  <si>
    <t>177-10</t>
  </si>
  <si>
    <t>821-10</t>
  </si>
  <si>
    <t>MCREYNOLDS</t>
  </si>
  <si>
    <t>KYLE</t>
  </si>
  <si>
    <t>172-10</t>
  </si>
  <si>
    <t>179-10</t>
  </si>
  <si>
    <t>174-10</t>
  </si>
  <si>
    <t>181-10</t>
  </si>
  <si>
    <t>822-10</t>
  </si>
  <si>
    <t>176-10</t>
  </si>
  <si>
    <t>178-10</t>
  </si>
  <si>
    <t>185-10</t>
  </si>
  <si>
    <t>180-10</t>
  </si>
  <si>
    <t>182-10</t>
  </si>
  <si>
    <t>187-10</t>
  </si>
  <si>
    <t>824-10</t>
  </si>
  <si>
    <t>189-10</t>
  </si>
  <si>
    <t>184-10</t>
  </si>
  <si>
    <t>191-10</t>
  </si>
  <si>
    <t>825-10</t>
  </si>
  <si>
    <t>186-10</t>
  </si>
  <si>
    <t>188-10</t>
  </si>
  <si>
    <t>904-10</t>
  </si>
  <si>
    <t>826-10</t>
  </si>
  <si>
    <t>190-10</t>
  </si>
  <si>
    <t>197-10</t>
  </si>
  <si>
    <t>192-10</t>
  </si>
  <si>
    <t>827-10</t>
  </si>
  <si>
    <t>199-10</t>
  </si>
  <si>
    <t>829-10</t>
  </si>
  <si>
    <t>LOPES</t>
  </si>
  <si>
    <t>KIMBERLY</t>
  </si>
  <si>
    <t>194-10</t>
  </si>
  <si>
    <t>201-10</t>
  </si>
  <si>
    <t>196-10</t>
  </si>
  <si>
    <t>203-10</t>
  </si>
  <si>
    <t>830-10</t>
  </si>
  <si>
    <t>205-10</t>
  </si>
  <si>
    <t>831-10</t>
  </si>
  <si>
    <t>200-10</t>
  </si>
  <si>
    <t>207-10</t>
  </si>
  <si>
    <t>833-10</t>
  </si>
  <si>
    <t>832-10</t>
  </si>
  <si>
    <t>209-10</t>
  </si>
  <si>
    <t>202-10</t>
  </si>
  <si>
    <t>STORY</t>
  </si>
  <si>
    <t>SAMANTHA</t>
  </si>
  <si>
    <t>73-10</t>
  </si>
  <si>
    <t>204-10</t>
  </si>
  <si>
    <t>211-10</t>
  </si>
  <si>
    <t>206-10</t>
  </si>
  <si>
    <t>68-10</t>
  </si>
  <si>
    <t>BROWN</t>
  </si>
  <si>
    <t>JACOB</t>
  </si>
  <si>
    <t>834-10</t>
  </si>
  <si>
    <t>213-10</t>
  </si>
  <si>
    <t>208-10</t>
  </si>
  <si>
    <t>215-10</t>
  </si>
  <si>
    <t>210-10</t>
  </si>
  <si>
    <t>837-10</t>
  </si>
  <si>
    <t>69-10</t>
  </si>
  <si>
    <t>212-10</t>
  </si>
  <si>
    <t>217-10</t>
  </si>
  <si>
    <t>219-10</t>
  </si>
  <si>
    <t>214-10</t>
  </si>
  <si>
    <t>303-10</t>
  </si>
  <si>
    <t>838-10</t>
  </si>
  <si>
    <t>839-10</t>
  </si>
  <si>
    <t>216-10</t>
  </si>
  <si>
    <t>221-10</t>
  </si>
  <si>
    <t>JACKSON</t>
  </si>
  <si>
    <t>WILLIAM</t>
  </si>
  <si>
    <t>SULLIVAN</t>
  </si>
  <si>
    <t>BRANDON</t>
  </si>
  <si>
    <t>841-10</t>
  </si>
  <si>
    <t>218-10</t>
  </si>
  <si>
    <t>305-10</t>
  </si>
  <si>
    <t>906-10</t>
  </si>
  <si>
    <t>220-10</t>
  </si>
  <si>
    <t>223-10</t>
  </si>
  <si>
    <t>840-10</t>
  </si>
  <si>
    <t>307-10</t>
  </si>
  <si>
    <t>222-10</t>
  </si>
  <si>
    <t>225-10</t>
  </si>
  <si>
    <t>843-10</t>
  </si>
  <si>
    <t>227-10</t>
  </si>
  <si>
    <t>YANG</t>
  </si>
  <si>
    <t>JAN</t>
  </si>
  <si>
    <t>224-10</t>
  </si>
  <si>
    <t>842-10</t>
  </si>
  <si>
    <t>229-10</t>
  </si>
  <si>
    <t>226-10</t>
  </si>
  <si>
    <t>845-10</t>
  </si>
  <si>
    <t>228-10</t>
  </si>
  <si>
    <t>231-10</t>
  </si>
  <si>
    <t>844-10</t>
  </si>
  <si>
    <t>230-10</t>
  </si>
  <si>
    <t>233-10</t>
  </si>
  <si>
    <t>235-10</t>
  </si>
  <si>
    <t>847-10</t>
  </si>
  <si>
    <t>232-10</t>
  </si>
  <si>
    <t>908-10</t>
  </si>
  <si>
    <t>234-10</t>
  </si>
  <si>
    <t>237-10</t>
  </si>
  <si>
    <t>88-10</t>
  </si>
  <si>
    <t>236-10</t>
  </si>
  <si>
    <t>239-10</t>
  </si>
  <si>
    <t>238-10</t>
  </si>
  <si>
    <t>241-10</t>
  </si>
  <si>
    <t>240-10</t>
  </si>
  <si>
    <t>243-10</t>
  </si>
  <si>
    <t>315-10</t>
  </si>
  <si>
    <t>242-10</t>
  </si>
  <si>
    <t>309-10</t>
  </si>
  <si>
    <t>244-10</t>
  </si>
  <si>
    <t>311-10</t>
  </si>
  <si>
    <t>61-11</t>
  </si>
  <si>
    <t>313-10</t>
  </si>
  <si>
    <t>60-11</t>
  </si>
  <si>
    <t>204:232677</t>
  </si>
  <si>
    <t>204:728</t>
  </si>
  <si>
    <t>204:233360</t>
  </si>
  <si>
    <t>204:232717</t>
  </si>
  <si>
    <t>204:232689</t>
  </si>
  <si>
    <t>204:232969</t>
  </si>
  <si>
    <t>204:101</t>
  </si>
  <si>
    <t>204:812</t>
  </si>
  <si>
    <t>204:770</t>
  </si>
  <si>
    <t>204:424</t>
  </si>
  <si>
    <t>204:781</t>
  </si>
  <si>
    <t>204:233328</t>
  </si>
  <si>
    <t>204:233274</t>
  </si>
  <si>
    <t>204:232981</t>
  </si>
  <si>
    <t>204:134</t>
  </si>
  <si>
    <t>204:427</t>
  </si>
  <si>
    <t>204:232965</t>
  </si>
  <si>
    <t>204:233025</t>
  </si>
  <si>
    <t>204:233003</t>
  </si>
  <si>
    <t>204:233308</t>
  </si>
  <si>
    <t>204:233353</t>
  </si>
  <si>
    <t>204:233026</t>
  </si>
  <si>
    <t>204:233334</t>
  </si>
  <si>
    <t>204:232990</t>
  </si>
  <si>
    <t>204:233305</t>
  </si>
  <si>
    <t>204:233034</t>
  </si>
  <si>
    <t>204:233278</t>
  </si>
  <si>
    <t>204:233370</t>
  </si>
  <si>
    <t>204:232948</t>
  </si>
  <si>
    <t>204:218</t>
  </si>
  <si>
    <t>204:233006</t>
  </si>
  <si>
    <t>204:232953</t>
  </si>
  <si>
    <t>204:232983</t>
  </si>
  <si>
    <t>204:233339</t>
  </si>
  <si>
    <t>204:233019</t>
  </si>
  <si>
    <t>204:233036</t>
  </si>
  <si>
    <t>204:130</t>
  </si>
  <si>
    <t>204:233322</t>
  </si>
  <si>
    <t>204:491</t>
  </si>
  <si>
    <t>204:189</t>
  </si>
  <si>
    <t>204:233316</t>
  </si>
  <si>
    <t>204:233007</t>
  </si>
  <si>
    <t>204:486</t>
  </si>
  <si>
    <t>204:121</t>
  </si>
  <si>
    <t>204:232946</t>
  </si>
  <si>
    <t>204:212</t>
  </si>
  <si>
    <t>204:233317</t>
  </si>
  <si>
    <t>204:129</t>
  </si>
  <si>
    <t>204:233397</t>
  </si>
  <si>
    <t>204:233085</t>
  </si>
  <si>
    <t>204:233321</t>
  </si>
  <si>
    <t>204:201</t>
  </si>
  <si>
    <t>204:128264</t>
  </si>
  <si>
    <t>204:130230</t>
  </si>
  <si>
    <t>204:506</t>
  </si>
  <si>
    <t>204:86378</t>
  </si>
  <si>
    <t>204:232964</t>
  </si>
  <si>
    <t>204:233336</t>
  </si>
  <si>
    <t>204:232993</t>
  </si>
  <si>
    <t>204:233286</t>
  </si>
  <si>
    <t>204:165</t>
  </si>
  <si>
    <t>204:233381</t>
  </si>
  <si>
    <t>204:233094</t>
  </si>
  <si>
    <t>204:233341</t>
  </si>
  <si>
    <t>204:233038</t>
  </si>
  <si>
    <t>204:520</t>
  </si>
  <si>
    <t>204:233359</t>
  </si>
  <si>
    <t>204:233030</t>
  </si>
  <si>
    <t>204:500</t>
  </si>
  <si>
    <t>204:228101</t>
  </si>
  <si>
    <t>204:119</t>
  </si>
  <si>
    <t>204:233330</t>
  </si>
  <si>
    <t>204:480</t>
  </si>
  <si>
    <t>204:233272</t>
  </si>
  <si>
    <t>204:233407</t>
  </si>
  <si>
    <t>204:233097</t>
  </si>
  <si>
    <t>204:232984</t>
  </si>
  <si>
    <t>300:23027</t>
  </si>
  <si>
    <t>300:23300</t>
  </si>
  <si>
    <t>300:23572</t>
  </si>
  <si>
    <t>300:23304</t>
  </si>
  <si>
    <t>300:22947</t>
  </si>
  <si>
    <t>300:19536</t>
  </si>
  <si>
    <t>300:23308</t>
  </si>
  <si>
    <t>204:3253</t>
  </si>
  <si>
    <t>204:1179</t>
  </si>
  <si>
    <t>204:3572</t>
  </si>
  <si>
    <t>300:22450</t>
  </si>
  <si>
    <t>204:106</t>
  </si>
  <si>
    <t>204:415</t>
  </si>
  <si>
    <t>300:24227</t>
  </si>
  <si>
    <t>300:23483</t>
  </si>
  <si>
    <t>204:876</t>
  </si>
  <si>
    <t>204:1188</t>
  </si>
  <si>
    <t>300:24208</t>
  </si>
  <si>
    <t>300:30896</t>
  </si>
  <si>
    <t>204:366</t>
  </si>
  <si>
    <t>300:31068</t>
  </si>
  <si>
    <t>204:256</t>
  </si>
  <si>
    <t>300:31382</t>
  </si>
  <si>
    <t>204:565</t>
  </si>
  <si>
    <t>300:31210</t>
  </si>
  <si>
    <t>300:23663</t>
  </si>
  <si>
    <t>204:365</t>
  </si>
  <si>
    <t>300:23194</t>
  </si>
  <si>
    <t>204:991</t>
  </si>
  <si>
    <t>300:22075</t>
  </si>
  <si>
    <t>204:877</t>
  </si>
  <si>
    <t>204:1496</t>
  </si>
  <si>
    <t>300:23533</t>
  </si>
  <si>
    <t>300:31403</t>
  </si>
  <si>
    <t>204:148</t>
  </si>
  <si>
    <t>300:31447</t>
  </si>
  <si>
    <t>204:135</t>
  </si>
  <si>
    <t>300:31543</t>
  </si>
  <si>
    <t>300:31744</t>
  </si>
  <si>
    <t>204:122</t>
  </si>
  <si>
    <t>300:31774</t>
  </si>
  <si>
    <t>300:31795</t>
  </si>
  <si>
    <t>204:131</t>
  </si>
  <si>
    <t>300:31871</t>
  </si>
  <si>
    <t>300:39124</t>
  </si>
  <si>
    <t>300:39151</t>
  </si>
  <si>
    <t>204:120</t>
  </si>
  <si>
    <t>300:39153</t>
  </si>
  <si>
    <t>204:137</t>
  </si>
  <si>
    <t>204:419</t>
  </si>
  <si>
    <t>300:32068</t>
  </si>
  <si>
    <t>300:31723</t>
  </si>
  <si>
    <t>300:31863</t>
  </si>
  <si>
    <t>204:439</t>
  </si>
  <si>
    <t>300:31765</t>
  </si>
  <si>
    <t>300:32119</t>
  </si>
  <si>
    <t>300:32089</t>
  </si>
  <si>
    <t>300:39475</t>
  </si>
  <si>
    <t>204:448</t>
  </si>
  <si>
    <t>300:39485</t>
  </si>
  <si>
    <t>204:475</t>
  </si>
  <si>
    <t>300:32193</t>
  </si>
  <si>
    <t>204:967</t>
  </si>
  <si>
    <t>300:39452</t>
  </si>
  <si>
    <t>300:58647</t>
  </si>
  <si>
    <t>204:766</t>
  </si>
  <si>
    <t>204:1030</t>
  </si>
  <si>
    <t>300:58929</t>
  </si>
  <si>
    <t>204:734</t>
  </si>
  <si>
    <t>204:972</t>
  </si>
  <si>
    <t>300:58649</t>
  </si>
  <si>
    <t>204:682</t>
  </si>
  <si>
    <t>204:1020</t>
  </si>
  <si>
    <t>204:736</t>
  </si>
  <si>
    <t>204:1034</t>
  </si>
  <si>
    <t>300:58619</t>
  </si>
  <si>
    <t>204:848</t>
  </si>
  <si>
    <t>204:965</t>
  </si>
  <si>
    <t>204:673</t>
  </si>
  <si>
    <t>204:950</t>
  </si>
  <si>
    <t>300:58965</t>
  </si>
  <si>
    <t>204:992</t>
  </si>
  <si>
    <t>300:58643</t>
  </si>
  <si>
    <t>204:687</t>
  </si>
  <si>
    <t>204:969</t>
  </si>
  <si>
    <t>204:115</t>
  </si>
  <si>
    <t>204:401</t>
  </si>
  <si>
    <t>204:128</t>
  </si>
  <si>
    <t>204:428</t>
  </si>
  <si>
    <t>300:57339</t>
  </si>
  <si>
    <t>204:117</t>
  </si>
  <si>
    <t>300:57352</t>
  </si>
  <si>
    <t>300:58924</t>
  </si>
  <si>
    <t>204:960</t>
  </si>
  <si>
    <t>300:58677</t>
  </si>
  <si>
    <t>204:652</t>
  </si>
  <si>
    <t>300:58933</t>
  </si>
  <si>
    <t>300:58679</t>
  </si>
  <si>
    <t>300:58928</t>
  </si>
  <si>
    <t>300:58602</t>
  </si>
  <si>
    <t>204:958</t>
  </si>
  <si>
    <t>300:58988</t>
  </si>
  <si>
    <t>300:58670</t>
  </si>
  <si>
    <t>300:58916</t>
  </si>
  <si>
    <t>300:58606</t>
  </si>
  <si>
    <t>204:124</t>
  </si>
  <si>
    <t>300:58609</t>
  </si>
  <si>
    <t>204:417</t>
  </si>
  <si>
    <t>300:58672</t>
  </si>
  <si>
    <t>204:671</t>
  </si>
  <si>
    <t>300:58986</t>
  </si>
  <si>
    <t>204:962</t>
  </si>
  <si>
    <t>300:58980</t>
  </si>
  <si>
    <t>204:1309</t>
  </si>
  <si>
    <t>300:30205</t>
  </si>
  <si>
    <t>300:58963</t>
  </si>
  <si>
    <t>300:23374</t>
  </si>
  <si>
    <t>204:1149</t>
  </si>
  <si>
    <t>300:23381</t>
  </si>
  <si>
    <t>204:668</t>
  </si>
  <si>
    <t>300:58675</t>
  </si>
  <si>
    <t>300:21369</t>
  </si>
  <si>
    <t>300:58664</t>
  </si>
  <si>
    <t>300:21526</t>
  </si>
  <si>
    <t>start /low /b %USERPROFILE%\Documents\GitHub\eaglep3\Utilities\DownloadLogsFromS3.py --loco 4028 --day 2017-05-10</t>
  </si>
  <si>
    <t>start /low /b %USERPROFILE%\Documents\GitHub\eaglep3\Utilities\DownloadLogsFromS3.py --loco 4012 --day 2017-05-10</t>
  </si>
  <si>
    <t>start /low /b %USERPROFILE%\Documents\GitHub\eaglep3\Utilities\DownloadLogsFromS3.py --loco 4040 --day 2017-05-10</t>
  </si>
  <si>
    <t>start /low /b %USERPROFILE%\Documents\GitHub\eaglep3\Utilities\DownloadLogsFromS3.py --loco 4031 --day 2017-05-10</t>
  </si>
  <si>
    <t>start /low /b %USERPROFILE%\Documents\GitHub\eaglep3\Utilities\DownloadLogsFromS3.py --loco 4039 --day 2017-05-10</t>
  </si>
  <si>
    <t>start /low /b %USERPROFILE%\Documents\GitHub\eaglep3\Utilities\DownloadLogsFromS3.py --loco 4032 --day 2017-05-10</t>
  </si>
  <si>
    <t>start /low /b %USERPROFILE%\Documents\GitHub\eaglep3\Utilities\DownloadLogsFromS3.py --loco 4005 --day 2017-05-10</t>
  </si>
  <si>
    <t>start /low /b %USERPROFILE%\Documents\GitHub\eaglep3\Utilities\DownloadLogsFromS3.py --loco 4011 --day 2017-05-10</t>
  </si>
  <si>
    <t>start /low /b %USERPROFILE%\Documents\GitHub\eaglep3\Utilities\DownloadLogsFromS3.py --loco 4006 --day 2017-05-10</t>
  </si>
  <si>
    <t>start /low /b %USERPROFILE%\Documents\GitHub\eaglep3\Utilities\DownloadLogsFromS3.py --loco 4008 --day 2017-05-10</t>
  </si>
  <si>
    <t>start /low /b %USERPROFILE%\Documents\GitHub\eaglep3\Utilities\DownloadLogsFromS3.py --loco 4025 --day 2017-05-11</t>
  </si>
  <si>
    <t>start /low /b %USERPROFILE%\Documents\GitHub\eaglep3\Utilities\DownloadLogsFromS3.py --loco 4025 --day 2017-05-10</t>
  </si>
  <si>
    <t>start /low /b %USERPROFILE%\Documents\GitHub\eaglep3\Utilities\DownloadLogsFromS3.py --loco 4030 --day 2017-05-10</t>
  </si>
  <si>
    <t>start /low /b %USERPROFILE%\Documents\GitHub\eaglep3\Utilities\DownloadLogsFromS3.py --loco 4026 --day 2017-05-10</t>
  </si>
  <si>
    <t>start /low /b %USERPROFILE%\Documents\GitHub\eaglep3\Utilities\DownloadLogsFromS3.py --loco 4026 --day 2017-05-11</t>
  </si>
  <si>
    <t>DTO barricade test</t>
  </si>
  <si>
    <t>Restricting aspect</t>
  </si>
  <si>
    <t>08:25:01 - NW0190RH 20-2T 2N downgraded from 270 to 0, train was about 65 ft away. Do logs show anything unusual at this time?</t>
  </si>
  <si>
    <t>08:30:50 - NW0190RH 20-2T 2N cycled a few times between 50 and 0, do logs tell of anything unusual?</t>
  </si>
  <si>
    <t>Cut fuse at NW0190RH 20-2T 2N</t>
  </si>
  <si>
    <t>CRMFS 2S - stuck at STOP?</t>
  </si>
  <si>
    <t>At 19:43:08, CRMFS 2S went to STOP (I think a STOP request came from dispatch?). It seems like it stayed that way longer than intended (until 19:51:00), do logs show anything unusual at this time?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</si>
</sst>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42865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42865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COUNTIFS($N$13:$N$9319,"&gt;0",$AG$13:$AG$9319,I1)</f>
        <v>143</v>
      </c>
      <c r="K5" s="39"/>
      <c r="L5" s="39"/>
      <c r="M5" s="40">
        <f>AVERAGEIFS($N$13:$N$9319,$AG$13:$AG$9319,I1)</f>
        <v>38.146969697078354</v>
      </c>
      <c r="N5" s="38">
        <f t="array" ref="N5">MIN(IF($AG$13:$AG$9319=I1,IF(ISNUMBER($N$13:$N$9319),IF($N$13:$N$9319&gt;0,$N$13:$N$9319))))</f>
        <v>34.599999999627471</v>
      </c>
      <c r="O5" s="3">
        <f t="array" ref="O5">MAX(IF($AG$13:$AG$9319=I1,IF(ISNUMBER($N$13:$N$9319),IF($N$13:$N$9319&gt;0,$N$13:$N$9319))))</f>
        <v>43.683333329390734</v>
      </c>
      <c r="P5" s="2"/>
      <c r="R5" s="177" t="s">
        <v>17</v>
      </c>
      <c r="S5" s="199">
        <f>COUNTIFS($N$13:$N$9319,"&gt;0",$AG$13:$AG$9319,R1)</f>
        <v>47</v>
      </c>
      <c r="T5" s="179"/>
      <c r="U5" s="179"/>
      <c r="V5" s="176">
        <f>AVERAGEIFS($N$13:$N$9319,$AG$13:$AG$9319,R1)</f>
        <v>14.635815602266527</v>
      </c>
      <c r="W5" s="177">
        <f t="array" ref="W5">MIN(IF($AG$13:$AG$9319=R1,IF(ISNUMBER($N$13:$N$9319),IF($N$13:$N$9319&gt;0,$N$13:$N$9319))))</f>
        <v>12.049999998416752</v>
      </c>
      <c r="X5" s="178">
        <f t="array" ref="X5">MAX(IF($AG$13:$AG$9319=R1,IF(ISNUMBER($N$13:$N$9319),IF($N$13:$N$9319&gt;0,$N$13:$N$9319))))</f>
        <v>21.466666666092351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COUNT($O$13:$O$113)</f>
        <v>0</v>
      </c>
      <c r="K6" s="39"/>
      <c r="L6" s="39"/>
      <c r="M6" s="40">
        <f>IFERROR(AVERAGE($O$13:$O$113),0)</f>
        <v>0</v>
      </c>
      <c r="N6" s="38">
        <f>MIN($O$13:$O$113)</f>
        <v>0</v>
      </c>
      <c r="O6" s="3">
        <f>MAX($O$13:$O$113)</f>
        <v>0</v>
      </c>
      <c r="P6" s="2"/>
      <c r="R6" s="180" t="s">
        <v>43</v>
      </c>
      <c r="S6" s="199">
        <f>COUNT($O$13:$O$113)</f>
        <v>0</v>
      </c>
      <c r="T6" s="179"/>
      <c r="U6" s="179"/>
      <c r="V6" s="176">
        <f>IFERROR(AVERAGE($O$13:$O$113),0)</f>
        <v>0</v>
      </c>
      <c r="W6" s="177">
        <f>MIN($O$13:$O$113)</f>
        <v>0</v>
      </c>
      <c r="X6" s="178">
        <f>MAX($O$13:$O$113)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COUNTIFS($P$13:$P$9319,"&gt;0",$AG$13:$AG$9319,I1)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COUNTIFS($P$13:$P$9319,"&gt;0",$AG$13:$AG$9319,R1)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38.146969697078354</v>
      </c>
      <c r="N8" s="38">
        <f>N5</f>
        <v>34.599999999627471</v>
      </c>
      <c r="O8" s="3">
        <f>O5</f>
        <v>43.683333329390734</v>
      </c>
      <c r="P8" s="2"/>
      <c r="R8" s="177" t="s">
        <v>16</v>
      </c>
      <c r="S8" s="199">
        <f>S5</f>
        <v>47</v>
      </c>
      <c r="T8" s="179"/>
      <c r="U8" s="179"/>
      <c r="V8" s="176">
        <f>V5</f>
        <v>14.635815602266527</v>
      </c>
      <c r="W8" s="177">
        <f>W5</f>
        <v>12.049999998416752</v>
      </c>
      <c r="X8" s="178">
        <f>X5</f>
        <v>21.466666666092351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0.99305555555555558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- 2017-05-10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AVERAGE(S13:S89)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601</v>
      </c>
      <c r="B13" s="7">
        <v>4040</v>
      </c>
      <c r="C13" s="21" t="s">
        <v>206</v>
      </c>
      <c r="D13" s="21" t="s">
        <v>540</v>
      </c>
      <c r="E13" s="13">
        <v>42865.131481481483</v>
      </c>
      <c r="F13" s="13">
        <v>42865.135601851849</v>
      </c>
      <c r="G13" s="7">
        <v>1</v>
      </c>
      <c r="H13" s="21" t="s">
        <v>534</v>
      </c>
      <c r="I13" s="13">
        <v>42865.161134259259</v>
      </c>
      <c r="J13" s="7">
        <v>0</v>
      </c>
      <c r="K13" s="92" t="str">
        <f t="shared" ref="K13:K76" si="0">IF(ISEVEN(B13),(B13-1)&amp;"/"&amp;B13,B13&amp;"/"&amp;(B13+1))</f>
        <v>4039/4040</v>
      </c>
      <c r="L13" s="21" t="str">
        <f>VLOOKUP(A13,'Trips&amp;Operators'!$C$1:$G$99999,5,FALSE)</f>
        <v>BADERTSCHER DIANE</v>
      </c>
      <c r="M13" s="6">
        <f t="shared" ref="M13:M76" si="1">I13-F13</f>
        <v>2.5532407409627922E-2</v>
      </c>
      <c r="N13" s="7">
        <f t="shared" ref="N13:N44" si="2">24*60*SUM($M13:$M13)</f>
        <v>36.766666669864208</v>
      </c>
      <c r="O13" s="7"/>
      <c r="P13" s="7"/>
      <c r="Q13" s="22"/>
      <c r="R13" s="190"/>
      <c r="S13" s="196">
        <f t="shared" ref="S13:S44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-10T02:09:20-0600',mode:absolute,to:'2017-05-10T04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192" t="str">
        <f t="shared" ref="W13:W76" si="6">IF(AA13&lt;IF(AG13="EC",23,5.65),"Y","N")</f>
        <v>N</v>
      </c>
      <c r="X13" s="192" t="e">
        <f t="shared" ref="X13:X27" si="7">VALUE(LEFT(AD13,4))-VALUE(LEFT(AD12,4))</f>
        <v>#VALUE!</v>
      </c>
      <c r="Y13" s="192">
        <f t="shared" ref="Y13:Y44" si="8">RIGHT(D13,LEN(D13)-4)/10000</f>
        <v>7.4800000000000005E-2</v>
      </c>
      <c r="Z13" s="192">
        <f t="shared" ref="Z13:Z44" si="9">RIGHT(H13,LEN(H13)-4)/10000</f>
        <v>23.334599999999998</v>
      </c>
      <c r="AA13" s="192">
        <f t="shared" ref="AA13:AA76" si="10">ABS(Z13-Y13)</f>
        <v>23.259799999999998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0101-10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/stypes="app*4040*20170510*"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4040 --swversion DE.1.0.9.0 --startMP 204:748 --initTime 2017-05-10T03:09:20 --startdatetime 2017-05-10T03:15:16 --delay 1 --endMP 204:233346 --enddatetime 2017-05-10T03:52:02 --enforcementcount 0 &gt;&gt;C:\Users\stu\Documents\GitHub\eaglep3-reporting\EC\2017-05-10-refined-times.txt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{"issue":{"subject":"","project_id":79,"tracker_id":40,"status_id":1,"priority_id":2,"assigned_to_id":23,"start_date":"2017-05-10","description":"","custom_fields":[{"id":1,"name":"Subdivision","value":"EC"},{"id":4,"name":"Milepost","value":"23.3346"},{"id":17,"name":"Train ID","value":"101-10"},{"id":16,"name":"Locomotive ID","value":"4040"},{"id":130,"name":"Impact","value":""},{"id":150,"name":"Time of Event (Mountain Time)","value":"03:52:02"},{"id":151,"name":"Denver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4040 --day 2017-05-10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09:52:02"},{"id":29,"name":"Sharepoint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607</v>
      </c>
      <c r="B14" s="7">
        <v>4005</v>
      </c>
      <c r="C14" s="21" t="s">
        <v>206</v>
      </c>
      <c r="D14" s="21" t="s">
        <v>817</v>
      </c>
      <c r="E14" s="13">
        <v>42865.168287037035</v>
      </c>
      <c r="F14" s="13">
        <v>42865.17454861111</v>
      </c>
      <c r="G14" s="7">
        <v>1</v>
      </c>
      <c r="H14" s="21" t="s">
        <v>410</v>
      </c>
      <c r="I14" s="13">
        <v>42865.202210648145</v>
      </c>
      <c r="J14" s="7">
        <v>0</v>
      </c>
      <c r="K14" s="92" t="str">
        <f t="shared" si="0"/>
        <v>4005/4006</v>
      </c>
      <c r="L14" s="21" t="str">
        <f>VLOOKUP(A14,'Trips&amp;Operators'!$C$1:$G$99999,5,FALSE)</f>
        <v>BADERTSCHER DIANE</v>
      </c>
      <c r="M14" s="6">
        <f t="shared" si="1"/>
        <v>2.7662037035042886E-2</v>
      </c>
      <c r="N14" s="7">
        <f t="shared" si="2"/>
        <v>39.833333330461755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-10T03:02:20-0600',mode:absolute,to:'2017-05-10T05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23.267700000000001</v>
      </c>
      <c r="Z14" s="192">
        <f t="shared" si="9"/>
        <v>1.3599999999999999E-2</v>
      </c>
      <c r="AA14" s="192">
        <f t="shared" si="10"/>
        <v>23.254100000000001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0102-10</v>
      </c>
      <c r="AE14" s="80" t="str">
        <f t="shared" si="12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14" s="77" t="str">
        <f t="shared" si="13"/>
        <v>"C:\Program Files (x86)\AstroGrep\AstroGrep.exe" /e /r /s /spath="%USERPROFILE%\AppData\Local\Temp\OnboardLogs" /stypes="app*4005*20170510*"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4005 --swversion DE.1.0.9.0 --startMP 204:232677 --initTime 2017-05-10T04:02:20 --startdatetime 2017-05-10T04:11:21 --delay 1 --endMP 204:136 --enddatetime 2017-05-10T04:51:11 --enforcementcount 0 &gt;&gt;C:\Users\stu\Documents\GitHub\eaglep3-reporting\EC\2017-05-10-refined-times.txt</v>
      </c>
      <c r="AI14" s="99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{"issue":{"subject":"","project_id":79,"tracker_id":40,"status_id":1,"priority_id":2,"assigned_to_id":23,"start_date":"2017-05-10","description":"","custom_fields":[{"id":1,"name":"Subdivision","value":"EC"},{"id":4,"name":"Milepost","value":"0.0136"},{"id":17,"name":"Train ID","value":"102-10"},{"id":16,"name":"Locomotive ID","value":"4005"},{"id":130,"name":"Impact","value":""},{"id":150,"name":"Time of Event (Mountain Time)","value":"04:51:11"},{"id":151,"name":"Denver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5" si="21">"start /low /b "&amp;dls3logs&amp;" --loco "&amp;B14&amp;" --day "&amp;TEXT(F14,"YYYY-MM-DD")</f>
        <v>start /low /b %USERPROFILE%\Documents\GitHub\eaglep3\Utilities\DownloadLogsFromS3.py --loco 4005 --day 2017-05-10</v>
      </c>
      <c r="AN14" s="154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603</v>
      </c>
      <c r="B15" s="7">
        <v>4032</v>
      </c>
      <c r="C15" s="21" t="s">
        <v>206</v>
      </c>
      <c r="D15" s="21" t="s">
        <v>818</v>
      </c>
      <c r="E15" s="13">
        <v>42865.152025462965</v>
      </c>
      <c r="F15" s="13">
        <v>42865.1565162037</v>
      </c>
      <c r="G15" s="7">
        <v>1</v>
      </c>
      <c r="H15" s="21" t="s">
        <v>819</v>
      </c>
      <c r="I15" s="13">
        <v>42865.18105324074</v>
      </c>
      <c r="J15" s="7">
        <v>0</v>
      </c>
      <c r="K15" s="92" t="str">
        <f t="shared" si="0"/>
        <v>4031/4032</v>
      </c>
      <c r="L15" s="21" t="str">
        <f>VLOOKUP(A15,'Trips&amp;Operators'!$C$1:$G$99999,5,FALSE)</f>
        <v>MAELZER KURT</v>
      </c>
      <c r="M15" s="6">
        <f t="shared" si="1"/>
        <v>2.453703703940846E-2</v>
      </c>
      <c r="N15" s="7">
        <f t="shared" si="2"/>
        <v>35.333333336748183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-10T02:38:55-0600',mode:absolute,to:'2017-05-10T05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7.2800000000000004E-2</v>
      </c>
      <c r="Z15" s="192">
        <f t="shared" si="9"/>
        <v>23.335999999999999</v>
      </c>
      <c r="AA15" s="192">
        <f t="shared" si="10"/>
        <v>23.263199999999998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0103-10</v>
      </c>
      <c r="AE15" s="80" t="str">
        <f t="shared" si="12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15" s="77" t="str">
        <f t="shared" si="13"/>
        <v>"C:\Program Files (x86)\AstroGrep\AstroGrep.exe" /e /r /s /spath="%USERPROFILE%\AppData\Local\Temp\OnboardLogs" /stypes="app*4032*20170510*"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103-10 --locoid 4032 --swversion DE.1.0.9.0 --startMP 204:728 --initTime 2017-05-10T03:38:55 --startdatetime 2017-05-10T03:45:23 --delay 1 --endMP 204:233360 --enddatetime 2017-05-10T04:20:43 --enforcementcount 0 &gt;&gt;C:\Users\stu\Documents\GitHub\eaglep3-reporting\EC\2017-05-10-refined-times.txt</v>
      </c>
      <c r="AI15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{"issue":{"subject":"","project_id":79,"tracker_id":40,"status_id":1,"priority_id":2,"assigned_to_id":23,"start_date":"2017-05-10","description":"","custom_fields":[{"id":1,"name":"Subdivision","value":"EC"},{"id":4,"name":"Milepost","value":"23.336"},{"id":17,"name":"Train ID","value":"103-10"},{"id":16,"name":"Locomotive ID","value":"4032"},{"id":130,"name":"Impact","value":""},{"id":150,"name":"Time of Event (Mountain Time)","value":"04:20:43"},{"id":151,"name":"Denver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4032 --day 2017-05-10</v>
      </c>
      <c r="AN15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612</v>
      </c>
      <c r="B16" s="7">
        <v>4027</v>
      </c>
      <c r="C16" s="21" t="s">
        <v>206</v>
      </c>
      <c r="D16" s="21" t="s">
        <v>820</v>
      </c>
      <c r="E16" s="13">
        <v>42865.187407407408</v>
      </c>
      <c r="F16" s="13">
        <v>42865.195381944446</v>
      </c>
      <c r="G16" s="7">
        <v>1</v>
      </c>
      <c r="H16" s="21" t="s">
        <v>358</v>
      </c>
      <c r="I16" s="13">
        <v>42865.222256944442</v>
      </c>
      <c r="J16" s="7">
        <v>0</v>
      </c>
      <c r="K16" s="92" t="str">
        <f t="shared" si="0"/>
        <v>4027/4028</v>
      </c>
      <c r="L16" s="21" t="str">
        <f>VLOOKUP(A16,'Trips&amp;Operators'!$C$1:$G$99999,5,FALSE)</f>
        <v>MAELZER KURT</v>
      </c>
      <c r="M16" s="6">
        <f t="shared" si="1"/>
        <v>2.6874999995925464E-2</v>
      </c>
      <c r="N16" s="7">
        <f t="shared" si="2"/>
        <v>38.699999994132668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-10T03:29:52-0600',mode:absolute,to:'2017-05-10T06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23.271699999999999</v>
      </c>
      <c r="Z16" s="192">
        <f t="shared" si="9"/>
        <v>1.4999999999999999E-2</v>
      </c>
      <c r="AA16" s="192">
        <f t="shared" si="10"/>
        <v>23.256699999999999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0104-10</v>
      </c>
      <c r="AE16" s="80" t="str">
        <f t="shared" si="12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16" s="77" t="str">
        <f t="shared" si="13"/>
        <v>"C:\Program Files (x86)\AstroGrep\AstroGrep.exe" /e /r /s /spath="%USERPROFILE%\AppData\Local\Temp\OnboardLogs" /stypes="app*4027*20170510*"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104-10 --locoid 4027 --swversion DE.1.0.9.0 --startMP 204:232717 --initTime 2017-05-10T04:29:52 --startdatetime 2017-05-10T04:41:21 --delay 1 --endMP 204:150 --enddatetime 2017-05-10T05:20:03 --enforcementcount 0 &gt;&gt;C:\Users\stu\Documents\GitHub\eaglep3-reporting\EC\2017-05-10-refined-times.txt</v>
      </c>
      <c r="AI16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{"issue":{"subject":"","project_id":79,"tracker_id":40,"status_id":1,"priority_id":2,"assigned_to_id":23,"start_date":"2017-05-10","description":"","custom_fields":[{"id":1,"name":"Subdivision","value":"EC"},{"id":4,"name":"Milepost","value":"0.015"},{"id":17,"name":"Train ID","value":"104-10"},{"id":16,"name":"Locomotive ID","value":"4027"},{"id":130,"name":"Impact","value":""},{"id":150,"name":"Time of Event (Mountain Time)","value":"05:20:03"},{"id":151,"name":"Denver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4027 --day 2017-05-10</v>
      </c>
      <c r="AN16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608</v>
      </c>
      <c r="B17" s="7">
        <v>4012</v>
      </c>
      <c r="C17" s="21" t="s">
        <v>206</v>
      </c>
      <c r="D17" s="21" t="s">
        <v>540</v>
      </c>
      <c r="E17" s="13">
        <v>42865.170682870368</v>
      </c>
      <c r="F17" s="13">
        <v>42865.177291666667</v>
      </c>
      <c r="G17" s="7">
        <v>1</v>
      </c>
      <c r="H17" s="21" t="s">
        <v>518</v>
      </c>
      <c r="I17" s="13">
        <v>42865.202094907407</v>
      </c>
      <c r="J17" s="7">
        <v>0</v>
      </c>
      <c r="K17" s="92" t="str">
        <f t="shared" si="0"/>
        <v>4011/4012</v>
      </c>
      <c r="L17" s="21" t="str">
        <f>VLOOKUP(A17,'Trips&amp;Operators'!$C$1:$G$99999,5,FALSE)</f>
        <v>GEBRETEKLE DAGNEW</v>
      </c>
      <c r="M17" s="6">
        <f t="shared" si="1"/>
        <v>2.4803240739856847E-2</v>
      </c>
      <c r="N17" s="7">
        <f t="shared" si="2"/>
        <v>35.716666665393859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-10T03:05:47-0600',mode:absolute,to:'2017-05-10T05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7.4800000000000005E-2</v>
      </c>
      <c r="Z17" s="192">
        <f t="shared" si="9"/>
        <v>23.332899999999999</v>
      </c>
      <c r="AA17" s="192">
        <f t="shared" si="10"/>
        <v>23.258099999999999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0105-10</v>
      </c>
      <c r="AE17" s="80" t="str">
        <f t="shared" si="12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17" s="77" t="str">
        <f t="shared" si="13"/>
        <v>"C:\Program Files (x86)\AstroGrep\AstroGrep.exe" /e /r /s /spath="%USERPROFILE%\AppData\Local\Temp\OnboardLogs" /stypes="app*4012*20170510*"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105-10 --locoid 4012 --swversion DE.1.0.9.0 --startMP 204:748 --initTime 2017-05-10T04:05:47 --startdatetime 2017-05-10T04:15:18 --delay 1 --endMP 204:233329 --enddatetime 2017-05-10T04:51:01 --enforcementcount 0 &gt;&gt;C:\Users\stu\Documents\GitHub\eaglep3-reporting\EC\2017-05-10-refined-times.txt</v>
      </c>
      <c r="AI17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{"issue":{"subject":"","project_id":79,"tracker_id":40,"status_id":1,"priority_id":2,"assigned_to_id":23,"start_date":"2017-05-10","description":"","custom_fields":[{"id":1,"name":"Subdivision","value":"EC"},{"id":4,"name":"Milepost","value":"23.3329"},{"id":17,"name":"Train ID","value":"105-10"},{"id":16,"name":"Locomotive ID","value":"4012"},{"id":130,"name":"Impact","value":""},{"id":150,"name":"Time of Event (Mountain Time)","value":"04:51:01"},{"id":151,"name":"Denver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4012 --day 2017-05-10</v>
      </c>
      <c r="AN17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10:51:01"},{"id":29,"name":"Sharepoint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619</v>
      </c>
      <c r="B18" s="7">
        <v>4003</v>
      </c>
      <c r="C18" s="21" t="s">
        <v>206</v>
      </c>
      <c r="D18" s="21" t="s">
        <v>821</v>
      </c>
      <c r="E18" s="13">
        <v>42865.212534722225</v>
      </c>
      <c r="F18" s="13">
        <v>42865.216226851851</v>
      </c>
      <c r="G18" s="7">
        <v>1</v>
      </c>
      <c r="H18" s="21" t="s">
        <v>368</v>
      </c>
      <c r="I18" s="13">
        <v>42865.242569444446</v>
      </c>
      <c r="J18" s="7">
        <v>0</v>
      </c>
      <c r="K18" s="92" t="str">
        <f t="shared" si="0"/>
        <v>4003/4004</v>
      </c>
      <c r="L18" s="21" t="str">
        <f>VLOOKUP(A18,'Trips&amp;Operators'!$C$1:$G$99999,5,FALSE)</f>
        <v>GEBRETEKLE DAGNEW</v>
      </c>
      <c r="M18" s="6">
        <f t="shared" si="1"/>
        <v>2.6342592595028691E-2</v>
      </c>
      <c r="N18" s="7">
        <f t="shared" si="2"/>
        <v>37.933333336841315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-10T04:06:03-0600',mode:absolute,to:'2017-05-10T06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23.268899999999999</v>
      </c>
      <c r="Z18" s="192">
        <f t="shared" si="9"/>
        <v>1.5599999999999999E-2</v>
      </c>
      <c r="AA18" s="192">
        <f t="shared" si="10"/>
        <v>23.253299999999999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0106-10</v>
      </c>
      <c r="AE18" s="80" t="str">
        <f t="shared" si="12"/>
        <v>aws s3 cp s3://rtdc.mdm.uploadarchive.raw/RTDC4003/ "%USERPROFILE%\AppData\Local\Temp\OnboardLogs"\RTDC4003\2017-05-10 --exclude "*" --recursive --include "*20170510*" &amp; "%USERPROFILE%\Documents\GitHub\mrs-test-scripts\Headless Mode &amp; Sideloading\WalkAndUnGZ.bat" "%USERPROFILE%\AppData\Local\Temp\OnboardLogs"\RTDC4003\2017-05-10 &amp; 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</v>
      </c>
      <c r="AF18" s="77" t="str">
        <f t="shared" si="13"/>
        <v>"C:\Program Files (x86)\AstroGrep\AstroGrep.exe" /e /r /s /spath="%USERPROFILE%\AppData\Local\Temp\OnboardLogs" /stypes="app*4003*20170510*"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106-10 --locoid 4003 --swversion DE.1.0.9.0 --startMP 204:232689 --initTime 2017-05-10T05:06:03 --startdatetime 2017-05-10T05:11:22 --delay 1 --endMP 204:156 --enddatetime 2017-05-10T05:49:18 --enforcementcount 0 &gt;&gt;C:\Users\stu\Documents\GitHub\eaglep3-reporting\EC\2017-05-10-refined-times.txt</v>
      </c>
      <c r="AI18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{"issue":{"subject":"","project_id":79,"tracker_id":40,"status_id":1,"priority_id":2,"assigned_to_id":23,"start_date":"2017-05-10","description":"","custom_fields":[{"id":1,"name":"Subdivision","value":"EC"},{"id":4,"name":"Milepost","value":"0.0156"},{"id":17,"name":"Train ID","value":"106-10"},{"id":16,"name":"Locomotive ID","value":"4003"},{"id":130,"name":"Impact","value":""},{"id":150,"name":"Time of Event (Mountain Time)","value":"05:49:18"},{"id":151,"name":"Denver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4003 --day 2017-05-10</v>
      </c>
      <c r="AN18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11:49:18"},{"id":29,"name":"Sharepoint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611</v>
      </c>
      <c r="B19" s="7">
        <v>4018</v>
      </c>
      <c r="C19" s="21" t="s">
        <v>206</v>
      </c>
      <c r="D19" s="21" t="s">
        <v>411</v>
      </c>
      <c r="E19" s="13">
        <v>42865.182858796295</v>
      </c>
      <c r="F19" s="13">
        <v>42865.187743055554</v>
      </c>
      <c r="G19" s="7">
        <v>1</v>
      </c>
      <c r="H19" s="21" t="s">
        <v>510</v>
      </c>
      <c r="I19" s="13">
        <v>42865.21361111111</v>
      </c>
      <c r="J19" s="7">
        <v>0</v>
      </c>
      <c r="K19" s="92" t="str">
        <f t="shared" si="0"/>
        <v>4017/4018</v>
      </c>
      <c r="L19" s="21" t="str">
        <f>VLOOKUP(A19,'Trips&amp;Operators'!$C$1:$G$99999,5,FALSE)</f>
        <v>BONDS REYNALDO</v>
      </c>
      <c r="M19" s="6">
        <f t="shared" si="1"/>
        <v>2.5868055556202307E-2</v>
      </c>
      <c r="N19" s="7">
        <f t="shared" si="2"/>
        <v>37.250000000931323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-10T03:23:19-0600',mode:absolute,to:'2017-05-10T06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4.6699999999999998E-2</v>
      </c>
      <c r="Z19" s="192">
        <f t="shared" si="9"/>
        <v>23.330300000000001</v>
      </c>
      <c r="AA19" s="192">
        <f t="shared" si="10"/>
        <v>23.2836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0107-10</v>
      </c>
      <c r="AE19" s="80" t="str">
        <f t="shared" si="12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19" s="77" t="str">
        <f t="shared" si="13"/>
        <v>"C:\Program Files (x86)\AstroGrep\AstroGrep.exe" /e /r /s /spath="%USERPROFILE%\AppData\Local\Temp\OnboardLogs" /stypes="app*4018*20170510*"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107-10 --locoid 4018 --swversion DE.1.0.9.0 --startMP 204:467 --initTime 2017-05-10T04:23:19 --startdatetime 2017-05-10T04:30:21 --delay 1 --endMP 204:233303 --enddatetime 2017-05-10T05:07:36 --enforcementcount 0 &gt;&gt;C:\Users\stu\Documents\GitHub\eaglep3-reporting\EC\2017-05-10-refined-times.txt</v>
      </c>
      <c r="AI19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{"issue":{"subject":"","project_id":79,"tracker_id":40,"status_id":1,"priority_id":2,"assigned_to_id":23,"start_date":"2017-05-10","description":"","custom_fields":[{"id":1,"name":"Subdivision","value":"EC"},{"id":4,"name":"Milepost","value":"23.3303"},{"id":17,"name":"Train ID","value":"107-10"},{"id":16,"name":"Locomotive ID","value":"4018"},{"id":130,"name":"Impact","value":""},{"id":150,"name":"Time of Event (Mountain Time)","value":"05:07:36"},{"id":151,"name":"Denver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4018 --day 2017-05-10</v>
      </c>
      <c r="AN19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621</v>
      </c>
      <c r="B20" s="7">
        <v>4017</v>
      </c>
      <c r="C20" s="21" t="s">
        <v>206</v>
      </c>
      <c r="D20" s="21" t="s">
        <v>822</v>
      </c>
      <c r="E20" s="13">
        <v>42865.221435185187</v>
      </c>
      <c r="F20" s="13">
        <v>42865.226574074077</v>
      </c>
      <c r="G20" s="7">
        <v>1</v>
      </c>
      <c r="H20" s="21" t="s">
        <v>197</v>
      </c>
      <c r="I20" s="13">
        <v>42865.254479166666</v>
      </c>
      <c r="J20" s="7">
        <v>0</v>
      </c>
      <c r="K20" s="92" t="str">
        <f t="shared" si="0"/>
        <v>4017/4018</v>
      </c>
      <c r="L20" s="21" t="str">
        <f>VLOOKUP(A20,'Trips&amp;Operators'!$C$1:$G$99999,5,FALSE)</f>
        <v>BONDS REYNALDO</v>
      </c>
      <c r="M20" s="6">
        <f t="shared" si="1"/>
        <v>2.7905092589207925E-2</v>
      </c>
      <c r="N20" s="7">
        <f t="shared" si="2"/>
        <v>40.183333328459412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-10T04:18:52-0600',mode:absolute,to:'2017-05-10T07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23.296900000000001</v>
      </c>
      <c r="Z20" s="192">
        <f t="shared" si="9"/>
        <v>1.52E-2</v>
      </c>
      <c r="AA20" s="192">
        <f t="shared" si="10"/>
        <v>23.281700000000001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0108-10</v>
      </c>
      <c r="AE20" s="80" t="str">
        <f t="shared" si="12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20" s="77" t="str">
        <f t="shared" si="13"/>
        <v>"C:\Program Files (x86)\AstroGrep\AstroGrep.exe" /e /r /s /spath="%USERPROFILE%\AppData\Local\Temp\OnboardLogs" /stypes="app*4017*20170510*"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108-10 --locoid 4017 --swversion DE.1.0.9.0 --startMP 204:232969 --initTime 2017-05-10T05:18:52 --startdatetime 2017-05-10T05:26:16 --delay 1 --endMP 204:152 --enddatetime 2017-05-10T06:06:27 --enforcementcount 0 &gt;&gt;C:\Users\stu\Documents\GitHub\eaglep3-reporting\EC\2017-05-10-refined-times.txt</v>
      </c>
      <c r="AI20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{"issue":{"subject":"","project_id":79,"tracker_id":40,"status_id":1,"priority_id":2,"assigned_to_id":23,"start_date":"2017-05-10","description":"","custom_fields":[{"id":1,"name":"Subdivision","value":"EC"},{"id":4,"name":"Milepost","value":"0.0152"},{"id":17,"name":"Train ID","value":"108-10"},{"id":16,"name":"Locomotive ID","value":"4017"},{"id":130,"name":"Impact","value":""},{"id":150,"name":"Time of Event (Mountain Time)","value":"06:06:27"},{"id":151,"name":"Denver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4017 --day 2017-05-10</v>
      </c>
      <c r="AN20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613</v>
      </c>
      <c r="B21" s="7">
        <v>4008</v>
      </c>
      <c r="C21" s="21" t="s">
        <v>206</v>
      </c>
      <c r="D21" s="21" t="s">
        <v>412</v>
      </c>
      <c r="E21" s="13">
        <v>42865.193749999999</v>
      </c>
      <c r="F21" s="13">
        <v>42865.19809027778</v>
      </c>
      <c r="G21" s="7">
        <v>2</v>
      </c>
      <c r="H21" s="21" t="s">
        <v>527</v>
      </c>
      <c r="I21" s="13">
        <v>42865.22314814815</v>
      </c>
      <c r="J21" s="7">
        <v>0</v>
      </c>
      <c r="K21" s="92" t="str">
        <f t="shared" si="0"/>
        <v>4007/4008</v>
      </c>
      <c r="L21" s="21" t="str">
        <f>VLOOKUP(A21,'Trips&amp;Operators'!$C$1:$G$99999,5,FALSE)</f>
        <v>SANTIZO D. EDY</v>
      </c>
      <c r="M21" s="6">
        <f t="shared" si="1"/>
        <v>2.5057870370801538E-2</v>
      </c>
      <c r="N21" s="7">
        <f t="shared" si="2"/>
        <v>36.083333333954215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-10T03:39:00-0600',mode:absolute,to:'2017-05-10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4.7800000000000002E-2</v>
      </c>
      <c r="Z21" s="192">
        <f t="shared" si="9"/>
        <v>23.331</v>
      </c>
      <c r="AA21" s="192">
        <f t="shared" si="10"/>
        <v>23.283200000000001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0109-10</v>
      </c>
      <c r="AE21" s="80" t="str">
        <f t="shared" si="12"/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21" s="77" t="str">
        <f t="shared" si="13"/>
        <v>"C:\Program Files (x86)\AstroGrep\AstroGrep.exe" /e /r /s /spath="%USERPROFILE%\AppData\Local\Temp\OnboardLogs" /stypes="app*4008*20170510*"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109-10 --locoid 4008 --swversion DE.1.0.9.0 --startMP 204:478 --initTime 2017-05-10T04:39:00 --startdatetime 2017-05-10T04:45:15 --delay 2 --endMP 204:233310 --enddatetime 2017-05-10T05:21:20 --enforcementcount 0 &gt;&gt;C:\Users\stu\Documents\GitHub\eaglep3-reporting\EC\2017-05-10-refined-times.txt</v>
      </c>
      <c r="AI21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{"issue":{"subject":"","project_id":79,"tracker_id":40,"status_id":1,"priority_id":2,"assigned_to_id":23,"start_date":"2017-05-10","description":"","custom_fields":[{"id":1,"name":"Subdivision","value":"EC"},{"id":4,"name":"Milepost","value":"23.331"},{"id":17,"name":"Train ID","value":"109-10"},{"id":16,"name":"Locomotive ID","value":"4008"},{"id":130,"name":"Impact","value":""},{"id":150,"name":"Time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4008 --day 2017-05-10</v>
      </c>
      <c r="AN21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622</v>
      </c>
      <c r="B22" s="7">
        <v>4007</v>
      </c>
      <c r="C22" s="21" t="s">
        <v>206</v>
      </c>
      <c r="D22" s="21" t="s">
        <v>538</v>
      </c>
      <c r="E22" s="13">
        <v>42865.224803240744</v>
      </c>
      <c r="F22" s="13">
        <v>42865.236990740741</v>
      </c>
      <c r="G22" s="7">
        <v>1</v>
      </c>
      <c r="H22" s="21" t="s">
        <v>823</v>
      </c>
      <c r="I22" s="13">
        <v>42865.263171296298</v>
      </c>
      <c r="J22" s="7">
        <v>0</v>
      </c>
      <c r="K22" s="92" t="str">
        <f t="shared" si="0"/>
        <v>4007/4008</v>
      </c>
      <c r="L22" s="21" t="str">
        <f>VLOOKUP(A22,'Trips&amp;Operators'!$C$1:$G$99999,5,FALSE)</f>
        <v>SANTIZO D. EDY</v>
      </c>
      <c r="M22" s="6">
        <f t="shared" si="1"/>
        <v>2.6180555556493346E-2</v>
      </c>
      <c r="N22" s="7">
        <f t="shared" si="2"/>
        <v>37.700000001350418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-10T04:23:43-0600',mode:absolute,to:'2017-05-10T07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23.297899999999998</v>
      </c>
      <c r="Z22" s="192">
        <f t="shared" si="9"/>
        <v>1.01E-2</v>
      </c>
      <c r="AA22" s="192">
        <f t="shared" si="10"/>
        <v>23.287799999999997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0110-10</v>
      </c>
      <c r="AE22" s="80" t="str">
        <f t="shared" si="12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22" s="77" t="str">
        <f t="shared" si="13"/>
        <v>"C:\Program Files (x86)\AstroGrep\AstroGrep.exe" /e /r /s /spath="%USERPROFILE%\AppData\Local\Temp\OnboardLogs" /stypes="app*4007*20170510*"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110-10 --locoid 4007 --swversion DE.1.0.9.0 --startMP 204:232979 --initTime 2017-05-10T05:23:43 --startdatetime 2017-05-10T05:41:16 --delay 1 --endMP 204:101 --enddatetime 2017-05-10T06:18:58 --enforcementcount 0 &gt;&gt;C:\Users\stu\Documents\GitHub\eaglep3-reporting\EC\2017-05-10-refined-times.txt</v>
      </c>
      <c r="AI22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{"issue":{"subject":"","project_id":79,"tracker_id":40,"status_id":1,"priority_id":2,"assigned_to_id":23,"start_date":"2017-05-10","description":"","custom_fields":[{"id":1,"name":"Subdivision","value":"EC"},{"id":4,"name":"Milepost","value":"0.0101"},{"id":17,"name":"Train ID","value":"110-10"},{"id":16,"name":"Locomotive ID","value":"4007"},{"id":130,"name":"Impact","value":""},{"id":150,"name":"Time of Event (Mountain Time)","value":"06:18:58"},{"id":151,"name":"Denver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4007 --day 2017-05-10</v>
      </c>
      <c r="AN22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617</v>
      </c>
      <c r="B23" s="7">
        <v>4040</v>
      </c>
      <c r="C23" s="21" t="s">
        <v>206</v>
      </c>
      <c r="D23" s="21" t="s">
        <v>824</v>
      </c>
      <c r="E23" s="13">
        <v>42865.204895833333</v>
      </c>
      <c r="F23" s="13">
        <v>42865.208506944444</v>
      </c>
      <c r="G23" s="7">
        <v>1</v>
      </c>
      <c r="H23" s="21" t="s">
        <v>393</v>
      </c>
      <c r="I23" s="13">
        <v>42865.232777777775</v>
      </c>
      <c r="J23" s="7">
        <v>0</v>
      </c>
      <c r="K23" s="92" t="str">
        <f t="shared" si="0"/>
        <v>4039/4040</v>
      </c>
      <c r="L23" s="21" t="str">
        <f>VLOOKUP(A23,'Trips&amp;Operators'!$C$1:$G$99999,5,FALSE)</f>
        <v>ROCHA YAOTL</v>
      </c>
      <c r="M23" s="6">
        <f t="shared" si="1"/>
        <v>2.4270833331684116E-2</v>
      </c>
      <c r="N23" s="7">
        <f t="shared" si="2"/>
        <v>34.949999997625127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-10T03:55:03-0600',mode:absolute,to:'2017-05-10T06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8.1199999999999994E-2</v>
      </c>
      <c r="Z23" s="192">
        <f t="shared" si="9"/>
        <v>23.329499999999999</v>
      </c>
      <c r="AA23" s="192">
        <f t="shared" si="10"/>
        <v>23.2483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0111-10</v>
      </c>
      <c r="AE23" s="80" t="str">
        <f t="shared" si="12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23" s="77" t="str">
        <f t="shared" si="13"/>
        <v>"C:\Program Files (x86)\AstroGrep\AstroGrep.exe" /e /r /s /spath="%USERPROFILE%\AppData\Local\Temp\OnboardLogs" /stypes="app*4040*20170510*"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111-10 --locoid 4040 --swversion DE.1.0.9.0 --startMP 204:812 --initTime 2017-05-10T04:55:03 --startdatetime 2017-05-10T05:00:15 --delay 1 --endMP 204:233295 --enddatetime 2017-05-10T05:35:12 --enforcementcount 0 &gt;&gt;C:\Users\stu\Documents\GitHub\eaglep3-reporting\EC\2017-05-10-refined-times.txt</v>
      </c>
      <c r="AI23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{"issue":{"subject":"","project_id":79,"tracker_id":40,"status_id":1,"priority_id":2,"assigned_to_id":23,"start_date":"2017-05-10","description":"","custom_fields":[{"id":1,"name":"Subdivision","value":"EC"},{"id":4,"name":"Milepost","value":"23.3295"},{"id":17,"name":"Train ID","value":"111-10"},{"id":16,"name":"Locomotive ID","value":"4040"},{"id":130,"name":"Impact","value":""},{"id":150,"name":"Time of Event (Mountain Time)","value":"05:35:12"},{"id":151,"name":"Denver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4040 --day 2017-05-10</v>
      </c>
      <c r="AN23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626</v>
      </c>
      <c r="B24" s="7">
        <v>4039</v>
      </c>
      <c r="C24" s="21" t="s">
        <v>206</v>
      </c>
      <c r="D24" s="21" t="s">
        <v>511</v>
      </c>
      <c r="E24" s="13">
        <v>42865.245682870373</v>
      </c>
      <c r="F24" s="13">
        <v>42865.247743055559</v>
      </c>
      <c r="G24" s="7">
        <v>1</v>
      </c>
      <c r="H24" s="21" t="s">
        <v>358</v>
      </c>
      <c r="I24" s="13">
        <v>42865.2734837963</v>
      </c>
      <c r="J24" s="7">
        <v>0</v>
      </c>
      <c r="K24" s="92" t="str">
        <f t="shared" si="0"/>
        <v>4039/4040</v>
      </c>
      <c r="L24" s="21" t="str">
        <f>VLOOKUP(A24,'Trips&amp;Operators'!$C$1:$G$99999,5,FALSE)</f>
        <v>ROCHA YAOTL</v>
      </c>
      <c r="M24" s="6">
        <f t="shared" si="1"/>
        <v>2.5740740740729962E-2</v>
      </c>
      <c r="N24" s="7">
        <f t="shared" si="2"/>
        <v>37.066666666651145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-10T04:53:47-0600',mode:absolute,to:'2017-05-10T07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23.297699999999999</v>
      </c>
      <c r="Z24" s="192">
        <f t="shared" si="9"/>
        <v>1.4999999999999999E-2</v>
      </c>
      <c r="AA24" s="192">
        <f t="shared" si="10"/>
        <v>23.282699999999998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0112-10</v>
      </c>
      <c r="AE24" s="80" t="str">
        <f t="shared" si="12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24" s="77" t="str">
        <f t="shared" si="13"/>
        <v>"C:\Program Files (x86)\AstroGrep\AstroGrep.exe" /e /r /s /spath="%USERPROFILE%\AppData\Local\Temp\OnboardLogs" /stypes="app*4039*20170510*"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112-10 --locoid 4039 --swversion DE.1.0.9.0 --startMP 204:232977 --initTime 2017-05-10T05:53:47 --startdatetime 2017-05-10T05:56:45 --delay 1 --endMP 204:150 --enddatetime 2017-05-10T06:33:49 --enforcementcount 0 &gt;&gt;C:\Users\stu\Documents\GitHub\eaglep3-reporting\EC\2017-05-10-refined-times.txt</v>
      </c>
      <c r="AI24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{"issue":{"subject":"","project_id":79,"tracker_id":40,"status_id":1,"priority_id":2,"assigned_to_id":23,"start_date":"2017-05-10","description":"","custom_fields":[{"id":1,"name":"Subdivision","value":"EC"},{"id":4,"name":"Milepost","value":"0.015"},{"id":17,"name":"Train ID","value":"112-10"},{"id":16,"name":"Locomotive ID","value":"4039"},{"id":130,"name":"Impact","value":""},{"id":150,"name":"Time of Event (Mountain Time)","value":"06:33:49"},{"id":151,"name":"Denver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4039 --day 2017-05-10</v>
      </c>
      <c r="AN24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618</v>
      </c>
      <c r="B25" s="7">
        <v>4006</v>
      </c>
      <c r="C25" s="21" t="s">
        <v>206</v>
      </c>
      <c r="D25" s="21" t="s">
        <v>515</v>
      </c>
      <c r="E25" s="13">
        <v>42865.208819444444</v>
      </c>
      <c r="F25" s="13">
        <v>42865.218969907408</v>
      </c>
      <c r="G25" s="7">
        <v>1</v>
      </c>
      <c r="H25" s="21" t="s">
        <v>409</v>
      </c>
      <c r="I25" s="13">
        <v>42865.244652777779</v>
      </c>
      <c r="J25" s="7">
        <v>0</v>
      </c>
      <c r="K25" s="92" t="str">
        <f t="shared" si="0"/>
        <v>4005/4006</v>
      </c>
      <c r="L25" s="21" t="str">
        <f>VLOOKUP(A25,'Trips&amp;Operators'!$C$1:$G$99999,5,FALSE)</f>
        <v>BADERTSCHER DIANE</v>
      </c>
      <c r="M25" s="6">
        <f t="shared" si="1"/>
        <v>2.5682870371383615E-2</v>
      </c>
      <c r="N25" s="7">
        <f t="shared" si="2"/>
        <v>36.983333334792405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-10T04:00:42-0600',mode:absolute,to:'2017-05-10T06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4.2000000000000003E-2</v>
      </c>
      <c r="Z25" s="192">
        <f t="shared" si="9"/>
        <v>23.331199999999999</v>
      </c>
      <c r="AA25" s="192">
        <f t="shared" si="10"/>
        <v>23.289199999999997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0113-10</v>
      </c>
      <c r="AE25" s="80" t="str">
        <f t="shared" si="12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25" s="77" t="str">
        <f t="shared" si="13"/>
        <v>"C:\Program Files (x86)\AstroGrep\AstroGrep.exe" /e /r /s /spath="%USERPROFILE%\AppData\Local\Temp\OnboardLogs" /stypes="app*4006*20170510*"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113-10 --locoid 4006 --swversion DE.1.0.9.0 --startMP 204:420 --initTime 2017-05-10T05:00:42 --startdatetime 2017-05-10T05:15:19 --delay 1 --endMP 204:233312 --enddatetime 2017-05-10T05:52:18 --enforcementcount 0 &gt;&gt;C:\Users\stu\Documents\GitHub\eaglep3-reporting\EC\2017-05-10-refined-times.txt</v>
      </c>
      <c r="AI25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{"issue":{"subject":"","project_id":79,"tracker_id":40,"status_id":1,"priority_id":2,"assigned_to_id":23,"start_date":"2017-05-10","description":"","custom_fields":[{"id":1,"name":"Subdivision","value":"EC"},{"id":4,"name":"Milepost","value":"23.3312"},{"id":17,"name":"Train ID","value":"113-10"},{"id":16,"name":"Locomotive ID","value":"4006"},{"id":130,"name":"Impact","value":""},{"id":150,"name":"Time of Event (Mountain Time)","value":"05:52:18"},{"id":151,"name":"Denver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4006 --day 2017-05-10</v>
      </c>
      <c r="AN25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11:52:18"},{"id":29,"name":"Sharepoint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628</v>
      </c>
      <c r="B26" s="7">
        <v>4005</v>
      </c>
      <c r="C26" s="21" t="s">
        <v>206</v>
      </c>
      <c r="D26" s="21" t="s">
        <v>519</v>
      </c>
      <c r="E26" s="13">
        <v>42865.248043981483</v>
      </c>
      <c r="F26" s="13">
        <v>42865.257824074077</v>
      </c>
      <c r="G26" s="7">
        <v>0</v>
      </c>
      <c r="H26" s="21" t="s">
        <v>358</v>
      </c>
      <c r="I26" s="13">
        <v>42865.285462962966</v>
      </c>
      <c r="J26" s="7">
        <v>0</v>
      </c>
      <c r="K26" s="92" t="str">
        <f t="shared" si="0"/>
        <v>4005/4006</v>
      </c>
      <c r="L26" s="21" t="str">
        <f>VLOOKUP(A26,'Trips&amp;Operators'!$C$1:$G$99999,5,FALSE)</f>
        <v>BADERTSCHER DIANE</v>
      </c>
      <c r="M26" s="6">
        <f t="shared" si="1"/>
        <v>2.7638888888759539E-2</v>
      </c>
      <c r="N26" s="7">
        <f t="shared" si="2"/>
        <v>39.799999999813735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-10T04:57:11-0600',mode:absolute,to:'2017-05-10T07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23.299600000000002</v>
      </c>
      <c r="Z26" s="192">
        <f t="shared" si="9"/>
        <v>1.4999999999999999E-2</v>
      </c>
      <c r="AA26" s="192">
        <f t="shared" si="10"/>
        <v>23.284600000000001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0114-10</v>
      </c>
      <c r="AE26" s="80" t="str">
        <f t="shared" si="12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26" s="77" t="str">
        <f t="shared" si="13"/>
        <v>"C:\Program Files (x86)\AstroGrep\AstroGrep.exe" /e /r /s /spath="%USERPROFILE%\AppData\Local\Temp\OnboardLogs" /stypes="app*4005*20170510*"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114-10 --locoid 4005 --swversion DE.1.0.9.0 --startMP 204:232996 --initTime 2017-05-10T05:57:11 --startdatetime 2017-05-10T06:11:16 --delay 0 --endMP 204:150 --enddatetime 2017-05-10T06:51:04 --enforcementcount 0 &gt;&gt;C:\Users\stu\Documents\GitHub\eaglep3-reporting\EC\2017-05-10-refined-times.txt</v>
      </c>
      <c r="AI26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{"issue":{"subject":"","project_id":79,"tracker_id":40,"status_id":1,"priority_id":2,"assigned_to_id":23,"start_date":"2017-05-10","description":"","custom_fields":[{"id":1,"name":"Subdivision","value":"EC"},{"id":4,"name":"Milepost","value":"0.015"},{"id":17,"name":"Train ID","value":"114-10"},{"id":16,"name":"Locomotive ID","value":"4005"},{"id":130,"name":"Impact","value":""},{"id":150,"name":"Time of Event (Mountain Time)","value":"06:51:04"},{"id":151,"name":"Denver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4005 --day 2017-05-10</v>
      </c>
      <c r="AN26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624</v>
      </c>
      <c r="B27" s="7">
        <v>4032</v>
      </c>
      <c r="C27" s="21" t="s">
        <v>206</v>
      </c>
      <c r="D27" s="21" t="s">
        <v>825</v>
      </c>
      <c r="E27" s="13">
        <v>42865.225335648145</v>
      </c>
      <c r="F27" s="13">
        <v>42865.229375000003</v>
      </c>
      <c r="G27" s="7">
        <v>1</v>
      </c>
      <c r="H27" s="21" t="s">
        <v>387</v>
      </c>
      <c r="I27" s="13">
        <v>42865.254571759258</v>
      </c>
      <c r="J27" s="7">
        <v>0</v>
      </c>
      <c r="K27" s="92" t="str">
        <f t="shared" si="0"/>
        <v>4031/4032</v>
      </c>
      <c r="L27" s="21" t="str">
        <f>VLOOKUP(A27,'Trips&amp;Operators'!$C$1:$G$99999,5,FALSE)</f>
        <v>STARKS ANGELINA</v>
      </c>
      <c r="M27" s="6">
        <f t="shared" si="1"/>
        <v>2.5196759255777579E-2</v>
      </c>
      <c r="N27" s="7">
        <f t="shared" si="2"/>
        <v>36.283333328319713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-10T04:24:29-0600',mode:absolute,to:'2017-05-10T07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7.6999999999999999E-2</v>
      </c>
      <c r="Z27" s="192">
        <f t="shared" si="9"/>
        <v>23.329699999999999</v>
      </c>
      <c r="AA27" s="192">
        <f t="shared" si="10"/>
        <v>23.252699999999997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0115-10</v>
      </c>
      <c r="AE27" s="80" t="str">
        <f t="shared" si="12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27" s="77" t="str">
        <f t="shared" si="13"/>
        <v>"C:\Program Files (x86)\AstroGrep\AstroGrep.exe" /e /r /s /spath="%USERPROFILE%\AppData\Local\Temp\OnboardLogs" /stypes="app*4032*20170510*"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115-10 --locoid 4032 --swversion DE.1.0.9.0 --startMP 204:770 --initTime 2017-05-10T05:24:29 --startdatetime 2017-05-10T05:30:18 --delay 1 --endMP 204:233297 --enddatetime 2017-05-10T06:06:35 --enforcementcount 0 &gt;&gt;C:\Users\stu\Documents\GitHub\eaglep3-reporting\EC\2017-05-10-refined-times.txt</v>
      </c>
      <c r="AI27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{"issue":{"subject":"","project_id":79,"tracker_id":40,"status_id":1,"priority_id":2,"assigned_to_id":23,"start_date":"2017-05-10","description":"","custom_fields":[{"id":1,"name":"Subdivision","value":"EC"},{"id":4,"name":"Milepost","value":"23.3297"},{"id":17,"name":"Train ID","value":"115-10"},{"id":16,"name":"Locomotive ID","value":"4032"},{"id":130,"name":"Impact","value":""},{"id":150,"name":"Time of Event (Mountain Time)","value":"06:06:35"},{"id":151,"name":"Denver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4032 --day 2017-05-10</v>
      </c>
      <c r="AN27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566</v>
      </c>
      <c r="B28" s="7">
        <v>4031</v>
      </c>
      <c r="C28" s="21" t="s">
        <v>206</v>
      </c>
      <c r="D28" s="21" t="s">
        <v>537</v>
      </c>
      <c r="E28" s="13">
        <v>42865.257245370369</v>
      </c>
      <c r="F28" s="13">
        <v>42865.268217592595</v>
      </c>
      <c r="G28" s="7">
        <v>1</v>
      </c>
      <c r="H28" s="21" t="s">
        <v>539</v>
      </c>
      <c r="I28" s="13">
        <v>42865.295127314814</v>
      </c>
      <c r="J28" s="7">
        <v>0</v>
      </c>
      <c r="K28" s="92" t="str">
        <f t="shared" si="0"/>
        <v>4031/4032</v>
      </c>
      <c r="L28" s="21" t="str">
        <f>VLOOKUP(A28,'Trips&amp;Operators'!$C$1:$G$99999,5,FALSE)</f>
        <v>STARKS ANGELINA</v>
      </c>
      <c r="M28" s="6">
        <f t="shared" si="1"/>
        <v>2.6909722218988463E-2</v>
      </c>
      <c r="N28" s="7">
        <f t="shared" si="2"/>
        <v>38.749999995343387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-10T05:10:26-0600',mode:absolute,to:'2017-05-10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92" t="str">
        <f t="shared" si="6"/>
        <v>N</v>
      </c>
      <c r="X28" s="192">
        <f t="shared" ref="X28:X34" si="23">VALUE(LEFT(AD28,4))-VALUE(LEFT(AD27,4))</f>
        <v>1</v>
      </c>
      <c r="Y28" s="192">
        <f t="shared" si="8"/>
        <v>23.2973</v>
      </c>
      <c r="Z28" s="192">
        <f t="shared" si="9"/>
        <v>1.7999999999999999E-2</v>
      </c>
      <c r="AA28" s="192">
        <f t="shared" si="10"/>
        <v>23.279299999999999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0116-10</v>
      </c>
      <c r="AE28" s="80" t="str">
        <f t="shared" si="12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28" s="77" t="str">
        <f t="shared" si="13"/>
        <v>"C:\Program Files (x86)\AstroGrep\AstroGrep.exe" /e /r /s /spath="%USERPROFILE%\AppData\Local\Temp\OnboardLogs" /stypes="app*4031*20170510*"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116-10 --locoid 4031 --swversion DE.1.0.9.0 --startMP 204:232973 --initTime 2017-05-10T06:10:26 --startdatetime 2017-05-10T06:26:14 --delay 1 --endMP 204:180 --enddatetime 2017-05-10T07:04:59 --enforcementcount 0 &gt;&gt;C:\Users\stu\Documents\GitHub\eaglep3-reporting\EC\2017-05-10-refined-times.txt</v>
      </c>
      <c r="AI28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{"issue":{"subject":"","project_id":79,"tracker_id":40,"status_id":1,"priority_id":2,"assigned_to_id":23,"start_date":"2017-05-10","description":"","custom_fields":[{"id":1,"name":"Subdivision","value":"EC"},{"id":4,"name":"Milepost","value":"0.018"},{"id":17,"name":"Train ID","value":"116-10"},{"id":16,"name":"Locomotive ID","value":"4031"},{"id":130,"name":"Impact","value":""},{"id":150,"name":"Time of Event (Mountain Time)","value":"07:04:59"},{"id":151,"name":"Denver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4031 --day 2017-05-10</v>
      </c>
      <c r="AN28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623</v>
      </c>
      <c r="B29" s="7">
        <v>4028</v>
      </c>
      <c r="C29" s="21" t="s">
        <v>206</v>
      </c>
      <c r="D29" s="21" t="s">
        <v>826</v>
      </c>
      <c r="E29" s="13">
        <v>42865.225127314814</v>
      </c>
      <c r="F29" s="13">
        <v>42865.239791666667</v>
      </c>
      <c r="G29" s="7">
        <v>1</v>
      </c>
      <c r="H29" s="21" t="s">
        <v>512</v>
      </c>
      <c r="I29" s="13">
        <v>42865.264675925922</v>
      </c>
      <c r="J29" s="7">
        <v>0</v>
      </c>
      <c r="K29" s="92" t="str">
        <f t="shared" si="0"/>
        <v>4027/4028</v>
      </c>
      <c r="L29" s="21" t="str">
        <f>VLOOKUP(A29,'Trips&amp;Operators'!$C$1:$G$99999,5,FALSE)</f>
        <v>MAELZER KURT</v>
      </c>
      <c r="M29" s="6">
        <f t="shared" si="1"/>
        <v>2.488425925548654E-2</v>
      </c>
      <c r="N29" s="7">
        <f t="shared" si="2"/>
        <v>35.833333327900618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-10T04:24:11-0600',mode:absolute,to:'2017-05-10T07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192" t="str">
        <f t="shared" si="6"/>
        <v>N</v>
      </c>
      <c r="X29" s="192">
        <f t="shared" si="23"/>
        <v>1</v>
      </c>
      <c r="Y29" s="192">
        <f t="shared" si="8"/>
        <v>4.24E-2</v>
      </c>
      <c r="Z29" s="192">
        <f t="shared" si="9"/>
        <v>23.333200000000001</v>
      </c>
      <c r="AA29" s="192">
        <f t="shared" si="10"/>
        <v>23.290800000000001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0117-10</v>
      </c>
      <c r="AE29" s="80" t="str">
        <f t="shared" si="12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29" s="77" t="str">
        <f t="shared" si="13"/>
        <v>"C:\Program Files (x86)\AstroGrep\AstroGrep.exe" /e /r /s /spath="%USERPROFILE%\AppData\Local\Temp\OnboardLogs" /stypes="app*4028*20170510*"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117-10 --locoid 4028 --swversion DE.1.0.9.0 --startMP 204:424 --initTime 2017-05-10T05:24:11 --startdatetime 2017-05-10T05:45:18 --delay 1 --endMP 204:233332 --enddatetime 2017-05-10T06:21:08 --enforcementcount 0 &gt;&gt;C:\Users\stu\Documents\GitHub\eaglep3-reporting\EC\2017-05-10-refined-times.txt</v>
      </c>
      <c r="AI29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{"issue":{"subject":"","project_id":79,"tracker_id":40,"status_id":1,"priority_id":2,"assigned_to_id":23,"start_date":"2017-05-10","description":"","custom_fields":[{"id":1,"name":"Subdivision","value":"EC"},{"id":4,"name":"Milepost","value":"23.3332"},{"id":17,"name":"Train ID","value":"117-10"},{"id":16,"name":"Locomotive ID","value":"4028"},{"id":130,"name":"Impact","value":""},{"id":150,"name":"Time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4028 --day 2017-05-10</v>
      </c>
      <c r="AN29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635</v>
      </c>
      <c r="B30" s="7">
        <v>4027</v>
      </c>
      <c r="C30" s="21" t="s">
        <v>206</v>
      </c>
      <c r="D30" s="21" t="s">
        <v>533</v>
      </c>
      <c r="E30" s="13">
        <v>42865.2731712963</v>
      </c>
      <c r="F30" s="13">
        <v>42865.278726851851</v>
      </c>
      <c r="G30" s="7">
        <v>0</v>
      </c>
      <c r="H30" s="21" t="s">
        <v>197</v>
      </c>
      <c r="I30" s="13">
        <v>42865.305150462962</v>
      </c>
      <c r="J30" s="7">
        <v>0</v>
      </c>
      <c r="K30" s="92" t="str">
        <f t="shared" si="0"/>
        <v>4027/4028</v>
      </c>
      <c r="L30" s="21" t="str">
        <f>VLOOKUP(A30,'Trips&amp;Operators'!$C$1:$G$99999,5,FALSE)</f>
        <v>MAELZER KURT</v>
      </c>
      <c r="M30" s="6">
        <f t="shared" si="1"/>
        <v>2.6423611110658385E-2</v>
      </c>
      <c r="N30" s="7">
        <f t="shared" si="2"/>
        <v>38.049999999348074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-10T05:33:22-0600',mode:absolute,to:'2017-05-10T08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0" s="192" t="str">
        <f t="shared" si="6"/>
        <v>N</v>
      </c>
      <c r="X30" s="192">
        <f t="shared" si="23"/>
        <v>1</v>
      </c>
      <c r="Y30" s="192">
        <f t="shared" si="8"/>
        <v>23.301500000000001</v>
      </c>
      <c r="Z30" s="192">
        <f t="shared" si="9"/>
        <v>1.52E-2</v>
      </c>
      <c r="AA30" s="192">
        <f t="shared" si="10"/>
        <v>23.286300000000001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0118-10</v>
      </c>
      <c r="AE30" s="80" t="str">
        <f t="shared" si="12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30" s="77" t="str">
        <f t="shared" si="13"/>
        <v>"C:\Program Files (x86)\AstroGrep\AstroGrep.exe" /e /r /s /spath="%USERPROFILE%\AppData\Local\Temp\OnboardLogs" /stypes="app*4027*20170510*"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118-10 --locoid 4027 --swversion DE.1.0.9.0 --startMP 204:233015 --initTime 2017-05-10T06:33:22 --startdatetime 2017-05-10T06:41:22 --delay 0 --endMP 204:152 --enddatetime 2017-05-10T07:19:25 --enforcementcount 0 &gt;&gt;C:\Users\stu\Documents\GitHub\eaglep3-reporting\EC\2017-05-10-refined-times.txt</v>
      </c>
      <c r="AI30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{"issue":{"subject":"","project_id":79,"tracker_id":40,"status_id":1,"priority_id":2,"assigned_to_id":23,"start_date":"2017-05-10","description":"","custom_fields":[{"id":1,"name":"Subdivision","value":"EC"},{"id":4,"name":"Milepost","value":"0.0152"},{"id":17,"name":"Train ID","value":"118-10"},{"id":16,"name":"Locomotive ID","value":"4027"},{"id":130,"name":"Impact","value":""},{"id":150,"name":"Time of Event (Mountain Time)","value":"07:19:25"},{"id":151,"name":"Denver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4027 --day 2017-05-10</v>
      </c>
      <c r="AN30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627</v>
      </c>
      <c r="B31" s="7">
        <v>4012</v>
      </c>
      <c r="C31" s="21" t="s">
        <v>206</v>
      </c>
      <c r="D31" s="21" t="s">
        <v>827</v>
      </c>
      <c r="E31" s="13">
        <v>42865.245925925927</v>
      </c>
      <c r="F31" s="13">
        <v>42865.250185185185</v>
      </c>
      <c r="G31" s="7">
        <v>1</v>
      </c>
      <c r="H31" s="21" t="s">
        <v>828</v>
      </c>
      <c r="I31" s="13">
        <v>42865.275173611109</v>
      </c>
      <c r="J31" s="7">
        <v>0</v>
      </c>
      <c r="K31" s="92" t="str">
        <f t="shared" si="0"/>
        <v>4011/4012</v>
      </c>
      <c r="L31" s="21" t="str">
        <f>VLOOKUP(A31,'Trips&amp;Operators'!$C$1:$G$99999,5,FALSE)</f>
        <v>GEBRETEKLE DAGNEW</v>
      </c>
      <c r="M31" s="6">
        <f t="shared" si="1"/>
        <v>2.4988425924675539E-2</v>
      </c>
      <c r="N31" s="7">
        <f t="shared" si="2"/>
        <v>35.983333331532776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-10T04:54:08-0600',mode:absolute,to:'2017-05-10T07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192" t="str">
        <f t="shared" si="6"/>
        <v>N</v>
      </c>
      <c r="X31" s="192">
        <f t="shared" si="23"/>
        <v>1</v>
      </c>
      <c r="Y31" s="192">
        <f t="shared" si="8"/>
        <v>7.8100000000000003E-2</v>
      </c>
      <c r="Z31" s="192">
        <f t="shared" si="9"/>
        <v>23.332799999999999</v>
      </c>
      <c r="AA31" s="192">
        <f t="shared" si="10"/>
        <v>23.2547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0119-10</v>
      </c>
      <c r="AE31" s="80" t="str">
        <f t="shared" si="12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31" s="77" t="str">
        <f t="shared" si="13"/>
        <v>"C:\Program Files (x86)\AstroGrep\AstroGrep.exe" /e /r /s /spath="%USERPROFILE%\AppData\Local\Temp\OnboardLogs" /stypes="app*4012*20170510*"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119-10 --locoid 4012 --swversion DE.1.0.9.0 --startMP 204:781 --initTime 2017-05-10T05:54:08 --startdatetime 2017-05-10T06:00:16 --delay 1 --endMP 204:233328 --enddatetime 2017-05-10T06:36:15 --enforcementcount 0 &gt;&gt;C:\Users\stu\Documents\GitHub\eaglep3-reporting\EC\2017-05-10-refined-times.txt</v>
      </c>
      <c r="AI31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{"issue":{"subject":"","project_id":79,"tracker_id":40,"status_id":1,"priority_id":2,"assigned_to_id":23,"start_date":"2017-05-10","description":"","custom_fields":[{"id":1,"name":"Subdivision","value":"EC"},{"id":4,"name":"Milepost","value":"23.3328"},{"id":17,"name":"Train ID","value":"119-10"},{"id":16,"name":"Locomotive ID","value":"4012"},{"id":130,"name":"Impact","value":""},{"id":150,"name":"Time of Event (Mountain Time)","value":"06:36:15"},{"id":151,"name":"Denver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4012 --day 2017-05-10</v>
      </c>
      <c r="AN31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637</v>
      </c>
      <c r="B32" s="7">
        <v>4011</v>
      </c>
      <c r="C32" s="21" t="s">
        <v>206</v>
      </c>
      <c r="D32" s="21" t="s">
        <v>526</v>
      </c>
      <c r="E32" s="13">
        <v>42865.284120370372</v>
      </c>
      <c r="F32" s="13">
        <v>42865.289097222223</v>
      </c>
      <c r="G32" s="7">
        <v>1</v>
      </c>
      <c r="H32" s="21" t="s">
        <v>376</v>
      </c>
      <c r="I32" s="13">
        <v>42865.31554398148</v>
      </c>
      <c r="J32" s="7">
        <v>0</v>
      </c>
      <c r="K32" s="92" t="str">
        <f t="shared" si="0"/>
        <v>4011/4012</v>
      </c>
      <c r="L32" s="21" t="str">
        <f>VLOOKUP(A32,'Trips&amp;Operators'!$C$1:$G$99999,5,FALSE)</f>
        <v>GEBRETEKLE DAGNEW</v>
      </c>
      <c r="M32" s="6">
        <f t="shared" si="1"/>
        <v>2.6446759256941732E-2</v>
      </c>
      <c r="N32" s="7">
        <f t="shared" si="2"/>
        <v>38.083333329996094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-10T05:49:08-0600',mode:absolute,to:'2017-05-10T08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192" t="str">
        <f t="shared" si="6"/>
        <v>N</v>
      </c>
      <c r="X32" s="192">
        <f t="shared" si="23"/>
        <v>1</v>
      </c>
      <c r="Y32" s="192">
        <f t="shared" si="8"/>
        <v>23.3005</v>
      </c>
      <c r="Z32" s="192">
        <f t="shared" si="9"/>
        <v>1.41E-2</v>
      </c>
      <c r="AA32" s="192">
        <f t="shared" si="10"/>
        <v>23.2864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0120-10</v>
      </c>
      <c r="AE32" s="80" t="str">
        <f t="shared" si="12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32" s="77" t="str">
        <f t="shared" si="13"/>
        <v>"C:\Program Files (x86)\AstroGrep\AstroGrep.exe" /e /r /s /spath="%USERPROFILE%\AppData\Local\Temp\OnboardLogs" /stypes="app*4011*20170510*"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120-10 --locoid 4011 --swversion DE.1.0.9.0 --startMP 204:233005 --initTime 2017-05-10T06:49:08 --startdatetime 2017-05-10T06:56:18 --delay 1 --endMP 204:141 --enddatetime 2017-05-10T07:34:23 --enforcementcount 0 &gt;&gt;C:\Users\stu\Documents\GitHub\eaglep3-reporting\EC\2017-05-10-refined-times.txt</v>
      </c>
      <c r="AI32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{"issue":{"subject":"","project_id":79,"tracker_id":40,"status_id":1,"priority_id":2,"assigned_to_id":23,"start_date":"2017-05-10","description":"","custom_fields":[{"id":1,"name":"Subdivision","value":"EC"},{"id":4,"name":"Milepost","value":"0.0141"},{"id":17,"name":"Train ID","value":"120-10"},{"id":16,"name":"Locomotive ID","value":"4011"},{"id":130,"name":"Impact","value":""},{"id":150,"name":"Time of Event (Mountain Time)","value":"07:34:23"},{"id":151,"name":"Denver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4011 --day 2017-05-10</v>
      </c>
      <c r="AN32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631</v>
      </c>
      <c r="B33" s="7">
        <v>4018</v>
      </c>
      <c r="C33" s="21" t="s">
        <v>206</v>
      </c>
      <c r="D33" s="21" t="s">
        <v>371</v>
      </c>
      <c r="E33" s="13">
        <v>42865.2577662037</v>
      </c>
      <c r="F33" s="13">
        <v>42865.260613425926</v>
      </c>
      <c r="G33" s="7">
        <v>1</v>
      </c>
      <c r="H33" s="21" t="s">
        <v>829</v>
      </c>
      <c r="I33" s="13">
        <v>42865.286273148151</v>
      </c>
      <c r="J33" s="7">
        <v>0</v>
      </c>
      <c r="K33" s="92" t="str">
        <f t="shared" si="0"/>
        <v>4017/4018</v>
      </c>
      <c r="L33" s="21" t="str">
        <f>VLOOKUP(A33,'Trips&amp;Operators'!$C$1:$G$99999,5,FALSE)</f>
        <v>BONDS REYNALDO</v>
      </c>
      <c r="M33" s="6">
        <f t="shared" si="1"/>
        <v>2.5659722225100268E-2</v>
      </c>
      <c r="N33" s="7">
        <f t="shared" si="2"/>
        <v>36.950000004144385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-10T05:11:11-0600',mode:absolute,to:'2017-05-10T07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192" t="str">
        <f t="shared" si="6"/>
        <v>N</v>
      </c>
      <c r="X33" s="192">
        <f t="shared" si="23"/>
        <v>1</v>
      </c>
      <c r="Y33" s="192">
        <f t="shared" si="8"/>
        <v>4.3999999999999997E-2</v>
      </c>
      <c r="Z33" s="192">
        <f t="shared" si="9"/>
        <v>23.327400000000001</v>
      </c>
      <c r="AA33" s="192">
        <f t="shared" si="10"/>
        <v>23.2834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0121-10</v>
      </c>
      <c r="AE33" s="80" t="str">
        <f t="shared" si="12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33" s="77" t="str">
        <f t="shared" si="13"/>
        <v>"C:\Program Files (x86)\AstroGrep\AstroGrep.exe" /e /r /s /spath="%USERPROFILE%\AppData\Local\Temp\OnboardLogs" /stypes="app*4018*20170510*"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121-10 --locoid 4018 --swversion DE.1.0.9.0 --startMP 204:440 --initTime 2017-05-10T06:11:11 --startdatetime 2017-05-10T06:15:17 --delay 1 --endMP 204:233274 --enddatetime 2017-05-10T06:52:14 --enforcementcount 0 &gt;&gt;C:\Users\stu\Documents\GitHub\eaglep3-reporting\EC\2017-05-10-refined-times.txt</v>
      </c>
      <c r="AI33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{"issue":{"subject":"","project_id":79,"tracker_id":40,"status_id":1,"priority_id":2,"assigned_to_id":23,"start_date":"2017-05-10","description":"","custom_fields":[{"id":1,"name":"Subdivision","value":"EC"},{"id":4,"name":"Milepost","value":"23.3274"},{"id":17,"name":"Train ID","value":"121-10"},{"id":16,"name":"Locomotive ID","value":"4018"},{"id":130,"name":"Impact","value":""},{"id":150,"name":"Time of Event (Mountain Time)","value":"06:52:14"},{"id":151,"name":"Denver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4018 --day 2017-05-10</v>
      </c>
      <c r="AN33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568</v>
      </c>
      <c r="B34" s="7">
        <v>4017</v>
      </c>
      <c r="C34" s="21" t="s">
        <v>206</v>
      </c>
      <c r="D34" s="21" t="s">
        <v>830</v>
      </c>
      <c r="E34" s="13">
        <v>42865.296655092592</v>
      </c>
      <c r="F34" s="13">
        <v>42865.299490740741</v>
      </c>
      <c r="G34" s="7">
        <v>1</v>
      </c>
      <c r="H34" s="21" t="s">
        <v>831</v>
      </c>
      <c r="I34" s="13">
        <v>42865.327349537038</v>
      </c>
      <c r="J34" s="7">
        <v>0</v>
      </c>
      <c r="K34" s="92" t="str">
        <f t="shared" si="0"/>
        <v>4017/4018</v>
      </c>
      <c r="L34" s="21" t="str">
        <f>VLOOKUP(A34,'Trips&amp;Operators'!$C$1:$G$99999,5,FALSE)</f>
        <v>BONDS REYNALDO</v>
      </c>
      <c r="M34" s="6">
        <f t="shared" si="1"/>
        <v>2.7858796296641231E-2</v>
      </c>
      <c r="N34" s="7">
        <f t="shared" si="2"/>
        <v>40.116666667163372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-10T06:07:11-0600',mode:absolute,to:'2017-05-10T08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192" t="str">
        <f t="shared" si="6"/>
        <v>N</v>
      </c>
      <c r="X34" s="192">
        <f t="shared" si="23"/>
        <v>1</v>
      </c>
      <c r="Y34" s="192">
        <f t="shared" si="8"/>
        <v>23.298100000000002</v>
      </c>
      <c r="Z34" s="192">
        <f t="shared" si="9"/>
        <v>1.34E-2</v>
      </c>
      <c r="AA34" s="192">
        <f t="shared" si="10"/>
        <v>23.284700000000001</v>
      </c>
      <c r="AB34" s="57" t="str">
        <f>VLOOKUP(A34,Enforcements!$C$7:$K$13,8,0)</f>
        <v>Bulletin (2)</v>
      </c>
      <c r="AC34" s="53" t="str">
        <f>VLOOKUP(A34,Enforcements!$C$7:$E$13,3,0)</f>
        <v>GRADE CROSSING</v>
      </c>
      <c r="AD34" s="54" t="str">
        <f t="shared" si="11"/>
        <v>0122-10</v>
      </c>
      <c r="AE34" s="80" t="str">
        <f t="shared" si="12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34" s="77" t="str">
        <f t="shared" si="13"/>
        <v>"C:\Program Files (x86)\AstroGrep\AstroGrep.exe" /e /r /s /spath="%USERPROFILE%\AppData\Local\Temp\OnboardLogs" /stypes="app*4017*20170510*"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122-10 --locoid 4017 --swversion DE.1.0.9.0 --startMP 204:232981 --initTime 2017-05-10T07:07:11 --startdatetime 2017-05-10T07:11:16 --delay 1 --endMP 204:134 --enddatetime 2017-05-10T07:51:23 --enforcementcount 0 &gt;&gt;C:\Users\stu\Documents\GitHub\eaglep3-reporting\EC\2017-05-10-refined-times.txt</v>
      </c>
      <c r="AI34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{"issue":{"subject":"","project_id":79,"tracker_id":40,"status_id":1,"priority_id":2,"assigned_to_id":23,"start_date":"2017-05-10","description":"","custom_fields":[{"id":1,"name":"Subdivision","value":"EC"},{"id":4,"name":"Milepost","value":"0.0134"},{"id":17,"name":"Train ID","value":"122-10"},{"id":16,"name":"Locomotive ID","value":"4017"},{"id":130,"name":"Impact","value":""},{"id":150,"name":"Time of Event (Mountain Time)","value":"07:51:23"},{"id":151,"name":"Denver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4017 --day 2017-05-10</v>
      </c>
      <c r="AN34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633</v>
      </c>
      <c r="B35" s="7">
        <v>4008</v>
      </c>
      <c r="C35" s="21" t="s">
        <v>206</v>
      </c>
      <c r="D35" s="21" t="s">
        <v>832</v>
      </c>
      <c r="E35" s="13">
        <v>42865.264745370368</v>
      </c>
      <c r="F35" s="13">
        <v>42865.270995370367</v>
      </c>
      <c r="G35" s="7">
        <v>1</v>
      </c>
      <c r="H35" s="21" t="s">
        <v>469</v>
      </c>
      <c r="I35" s="13">
        <v>42865.29546296296</v>
      </c>
      <c r="J35" s="7">
        <v>0</v>
      </c>
      <c r="K35" s="92" t="str">
        <f t="shared" si="0"/>
        <v>4007/4008</v>
      </c>
      <c r="L35" s="21" t="str">
        <f>VLOOKUP(A35,'Trips&amp;Operators'!$C$1:$G$99999,5,FALSE)</f>
        <v>SANTIZO D. EDY</v>
      </c>
      <c r="M35" s="6">
        <f t="shared" si="1"/>
        <v>2.4467592593282461E-2</v>
      </c>
      <c r="N35" s="7">
        <f t="shared" si="2"/>
        <v>35.233333334326744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-10T05:21:14-0600',mode:absolute,to:'2017-05-10T08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92" t="str">
        <f t="shared" si="6"/>
        <v>N</v>
      </c>
      <c r="X35" s="192">
        <f t="shared" ref="X35:X66" si="24">VALUE(LEFT(AD35,4))-VALUE(LEFT(AD34,4))</f>
        <v>1</v>
      </c>
      <c r="Y35" s="192">
        <f t="shared" si="8"/>
        <v>4.2700000000000002E-2</v>
      </c>
      <c r="Z35" s="192">
        <f t="shared" si="9"/>
        <v>23.3293</v>
      </c>
      <c r="AA35" s="192">
        <f t="shared" si="10"/>
        <v>23.2866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0123-10</v>
      </c>
      <c r="AE35" s="80" t="str">
        <f t="shared" si="12"/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35" s="77" t="str">
        <f t="shared" si="13"/>
        <v>"C:\Program Files (x86)\AstroGrep\AstroGrep.exe" /e /r /s /spath="%USERPROFILE%\AppData\Local\Temp\OnboardLogs" /stypes="app*4008*20170510*"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123-10 --locoid 4008 --swversion DE.1.0.9.0 --startMP 204:427 --initTime 2017-05-10T06:21:14 --startdatetime 2017-05-10T06:30:14 --delay 1 --endMP 204:233293 --enddatetime 2017-05-10T07:05:28 --enforcementcount 0 &gt;&gt;C:\Users\stu\Documents\GitHub\eaglep3-reporting\EC\2017-05-10-refined-times.txt</v>
      </c>
      <c r="AI35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{"issue":{"subject":"","project_id":79,"tracker_id":40,"status_id":1,"priority_id":2,"assigned_to_id":23,"start_date":"2017-05-10","description":"","custom_fields":[{"id":1,"name":"Subdivision","value":"EC"},{"id":4,"name":"Milepost","value":"23.3293"},{"id":17,"name":"Train ID","value":"123-10"},{"id":16,"name":"Locomotive ID","value":"4008"},{"id":130,"name":"Impact","value":""},{"id":150,"name":"Time of Event (Mountain Time)","value":"07:05:28"},{"id":151,"name":"Denver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4008 --day 2017-05-10</v>
      </c>
      <c r="AN35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640</v>
      </c>
      <c r="B36" s="7">
        <v>4007</v>
      </c>
      <c r="C36" s="21" t="s">
        <v>206</v>
      </c>
      <c r="D36" s="21" t="s">
        <v>833</v>
      </c>
      <c r="E36" s="13">
        <v>42865.296701388892</v>
      </c>
      <c r="F36" s="13">
        <v>42865.309988425928</v>
      </c>
      <c r="G36" s="7">
        <v>1</v>
      </c>
      <c r="H36" s="21" t="s">
        <v>376</v>
      </c>
      <c r="I36" s="13">
        <v>42865.336099537039</v>
      </c>
      <c r="J36" s="7">
        <v>0</v>
      </c>
      <c r="K36" s="92" t="str">
        <f t="shared" si="0"/>
        <v>4007/4008</v>
      </c>
      <c r="L36" s="21" t="str">
        <f>VLOOKUP(A36,'Trips&amp;Operators'!$C$1:$G$99999,5,FALSE)</f>
        <v>SANTIZO D. EDY</v>
      </c>
      <c r="M36" s="6">
        <f t="shared" si="1"/>
        <v>2.6111111110367347E-2</v>
      </c>
      <c r="N36" s="7">
        <f t="shared" si="2"/>
        <v>37.599999998928979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-10T06:07:15-0600',mode:absolute,to:'2017-05-10T09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92" t="str">
        <f t="shared" si="6"/>
        <v>N</v>
      </c>
      <c r="X36" s="192">
        <f t="shared" si="24"/>
        <v>1</v>
      </c>
      <c r="Y36" s="192">
        <f t="shared" si="8"/>
        <v>23.296500000000002</v>
      </c>
      <c r="Z36" s="192">
        <f t="shared" si="9"/>
        <v>1.41E-2</v>
      </c>
      <c r="AA36" s="192">
        <f t="shared" si="10"/>
        <v>23.282400000000003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0124-10</v>
      </c>
      <c r="AE36" s="80" t="str">
        <f t="shared" si="12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36" s="77" t="str">
        <f t="shared" si="13"/>
        <v>"C:\Program Files (x86)\AstroGrep\AstroGrep.exe" /e /r /s /spath="%USERPROFILE%\AppData\Local\Temp\OnboardLogs" /stypes="app*4007*20170510*"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124-10 --locoid 4007 --swversion DE.1.0.9.0 --startMP 204:232965 --initTime 2017-05-10T07:07:15 --startdatetime 2017-05-10T07:26:23 --delay 1 --endMP 204:141 --enddatetime 2017-05-10T08:03:59 --enforcementcount 0 &gt;&gt;C:\Users\stu\Documents\GitHub\eaglep3-reporting\EC\2017-05-10-refined-times.txt</v>
      </c>
      <c r="AI36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{"issue":{"subject":"","project_id":79,"tracker_id":40,"status_id":1,"priority_id":2,"assigned_to_id":23,"start_date":"2017-05-10","description":"","custom_fields":[{"id":1,"name":"Subdivision","value":"EC"},{"id":4,"name":"Milepost","value":"0.0141"},{"id":17,"name":"Train ID","value":"124-10"},{"id":16,"name":"Locomotive ID","value":"4007"},{"id":130,"name":"Impact","value":""},{"id":150,"name":"Time of Event (Mountain Time)","value":"08:03:59"},{"id":151,"name":"Denver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4007 --day 2017-05-10</v>
      </c>
      <c r="AN36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567</v>
      </c>
      <c r="B37" s="7">
        <v>4040</v>
      </c>
      <c r="C37" s="21" t="s">
        <v>206</v>
      </c>
      <c r="D37" s="21" t="s">
        <v>355</v>
      </c>
      <c r="E37" s="13">
        <v>42865.278344907405</v>
      </c>
      <c r="F37" s="13">
        <v>42865.281423611108</v>
      </c>
      <c r="G37" s="7">
        <v>1</v>
      </c>
      <c r="H37" s="21" t="s">
        <v>535</v>
      </c>
      <c r="I37" s="13">
        <v>42865.306030092594</v>
      </c>
      <c r="J37" s="7">
        <v>0</v>
      </c>
      <c r="K37" s="92" t="str">
        <f t="shared" si="0"/>
        <v>4039/4040</v>
      </c>
      <c r="L37" s="21" t="str">
        <f>VLOOKUP(A37,'Trips&amp;Operators'!$C$1:$G$99999,5,FALSE)</f>
        <v>ROCHA YAOTL</v>
      </c>
      <c r="M37" s="6">
        <f t="shared" si="1"/>
        <v>2.4606481485534459E-2</v>
      </c>
      <c r="N37" s="7">
        <f t="shared" si="2"/>
        <v>35.433333339169621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-10T05:40:49-0600',mode:absolute,to:'2017-05-10T08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192" t="str">
        <f t="shared" si="6"/>
        <v>N</v>
      </c>
      <c r="X37" s="192">
        <f t="shared" si="24"/>
        <v>1</v>
      </c>
      <c r="Y37" s="192">
        <f t="shared" si="8"/>
        <v>4.58E-2</v>
      </c>
      <c r="Z37" s="192">
        <f t="shared" si="9"/>
        <v>23.334900000000001</v>
      </c>
      <c r="AA37" s="192">
        <f t="shared" si="10"/>
        <v>23.289100000000001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0125-10</v>
      </c>
      <c r="AE37" s="80" t="str">
        <f t="shared" si="12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37" s="77" t="str">
        <f t="shared" si="13"/>
        <v>"C:\Program Files (x86)\AstroGrep\AstroGrep.exe" /e /r /s /spath="%USERPROFILE%\AppData\Local\Temp\OnboardLogs" /stypes="app*4040*20170510*"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125-10 --locoid 4040 --swversion DE.1.0.9.0 --startMP 204:458 --initTime 2017-05-10T06:40:49 --startdatetime 2017-05-10T06:45:15 --delay 1 --endMP 204:233349 --enddatetime 2017-05-10T07:20:41 --enforcementcount 0 &gt;&gt;C:\Users\stu\Documents\GitHub\eaglep3-reporting\EC\2017-05-10-refined-times.txt</v>
      </c>
      <c r="AI37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{"issue":{"subject":"","project_id":79,"tracker_id":40,"status_id":1,"priority_id":2,"assigned_to_id":23,"start_date":"2017-05-10","description":"","custom_fields":[{"id":1,"name":"Subdivision","value":"EC"},{"id":4,"name":"Milepost","value":"23.3349"},{"id":17,"name":"Train ID","value":"125-10"},{"id":16,"name":"Locomotive ID","value":"4040"},{"id":130,"name":"Impact","value":""},{"id":150,"name":"Time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4040 --day 2017-05-10</v>
      </c>
      <c r="AN37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644</v>
      </c>
      <c r="B38" s="7">
        <v>4039</v>
      </c>
      <c r="C38" s="21" t="s">
        <v>206</v>
      </c>
      <c r="D38" s="21" t="s">
        <v>834</v>
      </c>
      <c r="E38" s="13">
        <v>42865.318101851852</v>
      </c>
      <c r="F38" s="13">
        <v>42865.320405092592</v>
      </c>
      <c r="G38" s="7">
        <v>1</v>
      </c>
      <c r="H38" s="21" t="s">
        <v>831</v>
      </c>
      <c r="I38" s="13">
        <v>42865.346226851849</v>
      </c>
      <c r="J38" s="7">
        <v>0</v>
      </c>
      <c r="K38" s="92" t="str">
        <f t="shared" si="0"/>
        <v>4039/4040</v>
      </c>
      <c r="L38" s="21" t="str">
        <f>VLOOKUP(A38,'Trips&amp;Operators'!$C$1:$G$99999,5,FALSE)</f>
        <v>ROCHA YAOTL</v>
      </c>
      <c r="M38" s="6">
        <f t="shared" si="1"/>
        <v>2.5821759256359655E-2</v>
      </c>
      <c r="N38" s="7">
        <f t="shared" si="2"/>
        <v>37.183333329157904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-10T06:38:04-0600',mode:absolute,to:'2017-05-10T09:18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192" t="str">
        <f t="shared" si="6"/>
        <v>N</v>
      </c>
      <c r="X38" s="192">
        <f t="shared" si="24"/>
        <v>1</v>
      </c>
      <c r="Y38" s="192">
        <f t="shared" si="8"/>
        <v>23.302499999999998</v>
      </c>
      <c r="Z38" s="192">
        <f t="shared" si="9"/>
        <v>1.34E-2</v>
      </c>
      <c r="AA38" s="192">
        <f t="shared" si="10"/>
        <v>23.289099999999998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0126-10</v>
      </c>
      <c r="AE38" s="80" t="str">
        <f t="shared" si="12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38" s="77" t="str">
        <f t="shared" si="13"/>
        <v>"C:\Program Files (x86)\AstroGrep\AstroGrep.exe" /e /r /s /spath="%USERPROFILE%\AppData\Local\Temp\OnboardLogs" /stypes="app*4039*20170510*"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126-10 --locoid 4039 --swversion DE.1.0.9.0 --startMP 204:233025 --initTime 2017-05-10T07:38:04 --startdatetime 2017-05-10T07:41:23 --delay 1 --endMP 204:134 --enddatetime 2017-05-10T08:18:34 --enforcementcount 0 &gt;&gt;C:\Users\stu\Documents\GitHub\eaglep3-reporting\EC\2017-05-10-refined-times.txt</v>
      </c>
      <c r="AI38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{"issue":{"subject":"","project_id":79,"tracker_id":40,"status_id":1,"priority_id":2,"assigned_to_id":23,"start_date":"2017-05-10","description":"","custom_fields":[{"id":1,"name":"Subdivision","value":"EC"},{"id":4,"name":"Milepost","value":"0.0134"},{"id":17,"name":"Train ID","value":"126-10"},{"id":16,"name":"Locomotive ID","value":"4039"},{"id":130,"name":"Impact","value":""},{"id":150,"name":"Time of Event (Mountain Time)","value":"08:18:34"},{"id":151,"name":"Denver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4039 --day 2017-05-10</v>
      </c>
      <c r="AN38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638</v>
      </c>
      <c r="B39" s="7">
        <v>4006</v>
      </c>
      <c r="C39" s="21" t="s">
        <v>206</v>
      </c>
      <c r="D39" s="21" t="s">
        <v>202</v>
      </c>
      <c r="E39" s="13">
        <v>42865.287557870368</v>
      </c>
      <c r="F39" s="13">
        <v>42865.292349537034</v>
      </c>
      <c r="G39" s="7">
        <v>1</v>
      </c>
      <c r="H39" s="21" t="s">
        <v>471</v>
      </c>
      <c r="I39" s="13">
        <v>42865.317118055558</v>
      </c>
      <c r="J39" s="7">
        <v>0</v>
      </c>
      <c r="K39" s="92" t="str">
        <f t="shared" si="0"/>
        <v>4005/4006</v>
      </c>
      <c r="L39" s="21" t="str">
        <f>VLOOKUP(A39,'Trips&amp;Operators'!$C$1:$G$99999,5,FALSE)</f>
        <v>BADERTSCHER DIANE</v>
      </c>
      <c r="M39" s="6">
        <f t="shared" si="1"/>
        <v>2.4768518524069805E-2</v>
      </c>
      <c r="N39" s="7">
        <f t="shared" si="2"/>
        <v>35.666666674660519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-10T05:54:05-0600',mode:absolute,to:'2017-05-10T08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9" s="192" t="str">
        <f t="shared" si="6"/>
        <v>N</v>
      </c>
      <c r="X39" s="192">
        <f t="shared" si="24"/>
        <v>1</v>
      </c>
      <c r="Y39" s="192">
        <f t="shared" si="8"/>
        <v>4.5699999999999998E-2</v>
      </c>
      <c r="Z39" s="192">
        <f t="shared" si="9"/>
        <v>23.3309</v>
      </c>
      <c r="AA39" s="192">
        <f t="shared" si="10"/>
        <v>23.2852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0127-10</v>
      </c>
      <c r="AE39" s="80" t="str">
        <f t="shared" si="12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39" s="77" t="str">
        <f t="shared" si="13"/>
        <v>"C:\Program Files (x86)\AstroGrep\AstroGrep.exe" /e /r /s /spath="%USERPROFILE%\AppData\Local\Temp\OnboardLogs" /stypes="app*4006*20170510*"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127-10 --locoid 4006 --swversion DE.1.0.9.0 --startMP 204:457 --initTime 2017-05-10T06:54:05 --startdatetime 2017-05-10T07:00:59 --delay 1 --endMP 204:233309 --enddatetime 2017-05-10T07:36:39 --enforcementcount 0 &gt;&gt;C:\Users\stu\Documents\GitHub\eaglep3-reporting\EC\2017-05-10-refined-times.txt</v>
      </c>
      <c r="AI39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{"issue":{"subject":"","project_id":79,"tracker_id":40,"status_id":1,"priority_id":2,"assigned_to_id":23,"start_date":"2017-05-10","description":"","custom_fields":[{"id":1,"name":"Subdivision","value":"EC"},{"id":4,"name":"Milepost","value":"23.3309"},{"id":17,"name":"Train ID","value":"127-10"},{"id":16,"name":"Locomotive ID","value":"4006"},{"id":130,"name":"Impact","value":""},{"id":150,"name":"Time of Event (Mountain Time)","value":"07:36:39"},{"id":151,"name":"Denver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4006 --day 2017-05-10</v>
      </c>
      <c r="AN39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647</v>
      </c>
      <c r="B40" s="7">
        <v>4005</v>
      </c>
      <c r="C40" s="21" t="s">
        <v>206</v>
      </c>
      <c r="D40" s="21" t="s">
        <v>835</v>
      </c>
      <c r="E40" s="13">
        <v>42865.324583333335</v>
      </c>
      <c r="F40" s="13">
        <v>42865.330729166664</v>
      </c>
      <c r="G40" s="7">
        <v>1</v>
      </c>
      <c r="H40" s="21" t="s">
        <v>410</v>
      </c>
      <c r="I40" s="13">
        <v>42865.358703703707</v>
      </c>
      <c r="J40" s="7">
        <v>0</v>
      </c>
      <c r="K40" s="92" t="str">
        <f t="shared" si="0"/>
        <v>4005/4006</v>
      </c>
      <c r="L40" s="21" t="str">
        <f>VLOOKUP(A40,'Trips&amp;Operators'!$C$1:$G$99999,5,FALSE)</f>
        <v>BADERTSCHER DIANE</v>
      </c>
      <c r="M40" s="6">
        <f t="shared" si="1"/>
        <v>2.7974537042609882E-2</v>
      </c>
      <c r="N40" s="7">
        <f t="shared" si="2"/>
        <v>40.28333334135823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-10T06:47:24-0600',mode:absolute,to:'2017-05-10T09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0" s="192" t="str">
        <f t="shared" si="6"/>
        <v>N</v>
      </c>
      <c r="X40" s="192">
        <f t="shared" si="24"/>
        <v>1</v>
      </c>
      <c r="Y40" s="192">
        <f t="shared" si="8"/>
        <v>23.3003</v>
      </c>
      <c r="Z40" s="192">
        <f t="shared" si="9"/>
        <v>1.3599999999999999E-2</v>
      </c>
      <c r="AA40" s="192">
        <f t="shared" si="10"/>
        <v>23.2867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0128-10</v>
      </c>
      <c r="AE40" s="80" t="str">
        <f t="shared" si="12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40" s="77" t="str">
        <f t="shared" si="13"/>
        <v>"C:\Program Files (x86)\AstroGrep\AstroGrep.exe" /e /r /s /spath="%USERPROFILE%\AppData\Local\Temp\OnboardLogs" /stypes="app*4005*20170510*"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128-10 --locoid 4005 --swversion DE.1.0.9.0 --startMP 204:233003 --initTime 2017-05-10T07:47:24 --startdatetime 2017-05-10T07:56:15 --delay 1 --endMP 204:136 --enddatetime 2017-05-10T08:36:32 --enforcementcount 0 &gt;&gt;C:\Users\stu\Documents\GitHub\eaglep3-reporting\EC\2017-05-10-refined-times.txt</v>
      </c>
      <c r="AI40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{"issue":{"subject":"","project_id":79,"tracker_id":40,"status_id":1,"priority_id":2,"assigned_to_id":23,"start_date":"2017-05-10","description":"","custom_fields":[{"id":1,"name":"Subdivision","value":"EC"},{"id":4,"name":"Milepost","value":"0.0136"},{"id":17,"name":"Train ID","value":"128-10"},{"id":16,"name":"Locomotive ID","value":"4005"},{"id":130,"name":"Impact","value":""},{"id":150,"name":"Time of Event (Mountain Time)","value":"08:36:32"},{"id":151,"name":"Denver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4005 --day 2017-05-10</v>
      </c>
      <c r="AN40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641</v>
      </c>
      <c r="B41" s="7">
        <v>4032</v>
      </c>
      <c r="C41" s="21" t="s">
        <v>206</v>
      </c>
      <c r="D41" s="21" t="s">
        <v>412</v>
      </c>
      <c r="E41" s="13">
        <v>42865.29959490741</v>
      </c>
      <c r="F41" s="13">
        <v>42865.302442129629</v>
      </c>
      <c r="G41" s="7">
        <v>1</v>
      </c>
      <c r="H41" s="21" t="s">
        <v>836</v>
      </c>
      <c r="I41" s="13">
        <v>42865.327060185184</v>
      </c>
      <c r="J41" s="7">
        <v>0</v>
      </c>
      <c r="K41" s="92" t="str">
        <f t="shared" si="0"/>
        <v>4031/4032</v>
      </c>
      <c r="L41" s="21" t="str">
        <f>VLOOKUP(A41,'Trips&amp;Operators'!$C$1:$G$99999,5,FALSE)</f>
        <v>STARKS ANGELINA</v>
      </c>
      <c r="M41" s="6">
        <f t="shared" si="1"/>
        <v>2.4618055555038154E-2</v>
      </c>
      <c r="N41" s="7">
        <f t="shared" si="2"/>
        <v>35.449999999254942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-10T06:11:25-0600',mode:absolute,to:'2017-05-10T08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192" t="str">
        <f t="shared" si="6"/>
        <v>N</v>
      </c>
      <c r="X41" s="192">
        <f t="shared" si="24"/>
        <v>1</v>
      </c>
      <c r="Y41" s="192">
        <f t="shared" si="8"/>
        <v>4.7800000000000002E-2</v>
      </c>
      <c r="Z41" s="192">
        <f t="shared" si="9"/>
        <v>23.3308</v>
      </c>
      <c r="AA41" s="192">
        <f t="shared" si="10"/>
        <v>23.283000000000001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0129-10</v>
      </c>
      <c r="AE41" s="80" t="str">
        <f t="shared" si="12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41" s="77" t="str">
        <f t="shared" si="13"/>
        <v>"C:\Program Files (x86)\AstroGrep\AstroGrep.exe" /e /r /s /spath="%USERPROFILE%\AppData\Local\Temp\OnboardLogs" /stypes="app*4032*20170510*"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129-10 --locoid 4032 --swversion DE.1.0.9.0 --startMP 204:478 --initTime 2017-05-10T07:11:25 --startdatetime 2017-05-10T07:15:31 --delay 1 --endMP 204:233308 --enddatetime 2017-05-10T07:50:58 --enforcementcount 0 &gt;&gt;C:\Users\stu\Documents\GitHub\eaglep3-reporting\EC\2017-05-10-refined-times.txt</v>
      </c>
      <c r="AI41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{"issue":{"subject":"","project_id":79,"tracker_id":40,"status_id":1,"priority_id":2,"assigned_to_id":23,"start_date":"2017-05-10","description":"","custom_fields":[{"id":1,"name":"Subdivision","value":"EC"},{"id":4,"name":"Milepost","value":"23.3308"},{"id":17,"name":"Train ID","value":"129-10"},{"id":16,"name":"Locomotive ID","value":"4032"},{"id":130,"name":"Impact","value":""},{"id":150,"name":"Time of Event (Mountain Time)","value":"07:50:58"},{"id":151,"name":"Denver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4032 --day 2017-05-10</v>
      </c>
      <c r="AN41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573</v>
      </c>
      <c r="B42" s="7">
        <v>4031</v>
      </c>
      <c r="C42" s="21" t="s">
        <v>206</v>
      </c>
      <c r="D42" s="21" t="s">
        <v>511</v>
      </c>
      <c r="E42" s="13">
        <v>42865.339328703703</v>
      </c>
      <c r="F42" s="13">
        <v>42865.341134259259</v>
      </c>
      <c r="G42" s="7">
        <v>1</v>
      </c>
      <c r="H42" s="21" t="s">
        <v>368</v>
      </c>
      <c r="I42" s="13">
        <v>42865.368356481478</v>
      </c>
      <c r="J42" s="7">
        <v>0</v>
      </c>
      <c r="K42" s="92" t="str">
        <f t="shared" si="0"/>
        <v>4031/4032</v>
      </c>
      <c r="L42" s="21" t="str">
        <f>VLOOKUP(A42,'Trips&amp;Operators'!$C$1:$G$99999,5,FALSE)</f>
        <v>STARKS ANGELINA</v>
      </c>
      <c r="M42" s="6">
        <f t="shared" si="1"/>
        <v>2.7222222219279502E-2</v>
      </c>
      <c r="N42" s="7">
        <f t="shared" si="2"/>
        <v>39.199999995762482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-10T07:08:38-0600',mode:absolute,to:'2017-05-10T09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192" t="str">
        <f t="shared" si="6"/>
        <v>N</v>
      </c>
      <c r="X42" s="192">
        <f t="shared" si="24"/>
        <v>1</v>
      </c>
      <c r="Y42" s="192">
        <f t="shared" si="8"/>
        <v>23.297699999999999</v>
      </c>
      <c r="Z42" s="192">
        <f t="shared" si="9"/>
        <v>1.5599999999999999E-2</v>
      </c>
      <c r="AA42" s="192">
        <f t="shared" si="10"/>
        <v>23.2821</v>
      </c>
      <c r="AB42" s="57" t="str">
        <f>VLOOKUP(A42,Enforcements!$C$7:$K$13,8,0)</f>
        <v>Bulletin (2)</v>
      </c>
      <c r="AC42" s="53" t="str">
        <f>VLOOKUP(A42,Enforcements!$C$7:$E$13,3,0)</f>
        <v>GRADE CROSSING</v>
      </c>
      <c r="AD42" s="54" t="str">
        <f t="shared" si="11"/>
        <v>0130-10</v>
      </c>
      <c r="AE42" s="80" t="str">
        <f t="shared" si="12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42" s="77" t="str">
        <f t="shared" si="13"/>
        <v>"C:\Program Files (x86)\AstroGrep\AstroGrep.exe" /e /r /s /spath="%USERPROFILE%\AppData\Local\Temp\OnboardLogs" /stypes="app*4031*20170510*"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130-10 --locoid 4031 --swversion DE.1.0.9.0 --startMP 204:232977 --initTime 2017-05-10T08:08:38 --startdatetime 2017-05-10T08:11:14 --delay 1 --endMP 204:156 --enddatetime 2017-05-10T08:50:26 --enforcementcount 0 &gt;&gt;C:\Users\stu\Documents\GitHub\eaglep3-reporting\EC\2017-05-10-refined-times.txt</v>
      </c>
      <c r="AI42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{"issue":{"subject":"","project_id":79,"tracker_id":40,"status_id":1,"priority_id":2,"assigned_to_id":23,"start_date":"2017-05-10","description":"","custom_fields":[{"id":1,"name":"Subdivision","value":"EC"},{"id":4,"name":"Milepost","value":"0.0156"},{"id":17,"name":"Train ID","value":"130-10"},{"id":16,"name":"Locomotive ID","value":"4031"},{"id":130,"name":"Impact","value":""},{"id":150,"name":"Time of Event (Mountain Time)","value":"08:50:26"},{"id":151,"name":"Denver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4031 --day 2017-05-10</v>
      </c>
      <c r="AN42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643</v>
      </c>
      <c r="B43" s="7">
        <v>4028</v>
      </c>
      <c r="C43" s="21" t="s">
        <v>206</v>
      </c>
      <c r="D43" s="21" t="s">
        <v>361</v>
      </c>
      <c r="E43" s="13">
        <v>42865.307789351849</v>
      </c>
      <c r="F43" s="13">
        <v>42865.312708333331</v>
      </c>
      <c r="G43" s="7">
        <v>0</v>
      </c>
      <c r="H43" s="21" t="s">
        <v>837</v>
      </c>
      <c r="I43" s="13">
        <v>42865.337233796294</v>
      </c>
      <c r="J43" s="7">
        <v>0</v>
      </c>
      <c r="K43" s="92" t="str">
        <f t="shared" si="0"/>
        <v>4027/4028</v>
      </c>
      <c r="L43" s="21" t="str">
        <f>VLOOKUP(A43,'Trips&amp;Operators'!$C$1:$G$99999,5,FALSE)</f>
        <v>MAELZER KURT</v>
      </c>
      <c r="M43" s="6">
        <f t="shared" si="1"/>
        <v>2.4525462962628808E-2</v>
      </c>
      <c r="N43" s="7">
        <f t="shared" si="2"/>
        <v>35.316666666185483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-10T06:23:13-0600',mode:absolute,to:'2017-05-10T09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192" t="str">
        <f t="shared" si="6"/>
        <v>N</v>
      </c>
      <c r="X43" s="192">
        <f t="shared" si="24"/>
        <v>1</v>
      </c>
      <c r="Y43" s="192">
        <f t="shared" si="8"/>
        <v>4.6600000000000003E-2</v>
      </c>
      <c r="Z43" s="192">
        <f t="shared" si="9"/>
        <v>23.3353</v>
      </c>
      <c r="AA43" s="192">
        <f t="shared" si="10"/>
        <v>23.288699999999999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0131-10</v>
      </c>
      <c r="AE43" s="80" t="str">
        <f t="shared" si="12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43" s="77" t="str">
        <f t="shared" si="13"/>
        <v>"C:\Program Files (x86)\AstroGrep\AstroGrep.exe" /e /r /s /spath="%USERPROFILE%\AppData\Local\Temp\OnboardLogs" /stypes="app*4028*20170510*"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131-10 --locoid 4028 --swversion DE.1.0.9.0 --startMP 204:466 --initTime 2017-05-10T07:23:13 --startdatetime 2017-05-10T07:30:18 --delay 0 --endMP 204:233353 --enddatetime 2017-05-10T08:05:37 --enforcementcount 0 &gt;&gt;C:\Users\stu\Documents\GitHub\eaglep3-reporting\EC\2017-05-10-refined-times.txt</v>
      </c>
      <c r="AI43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{"issue":{"subject":"","project_id":79,"tracker_id":40,"status_id":1,"priority_id":2,"assigned_to_id":23,"start_date":"2017-05-10","description":"","custom_fields":[{"id":1,"name":"Subdivision","value":"EC"},{"id":4,"name":"Milepost","value":"23.3353"},{"id":17,"name":"Train ID","value":"131-10"},{"id":16,"name":"Locomotive ID","value":"4028"},{"id":130,"name":"Impact","value":""},{"id":150,"name":"Time of Event (Mountain Time)","value":"08:05:37"},{"id":151,"name":"Denver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4028 --day 2017-05-10</v>
      </c>
      <c r="AN43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651</v>
      </c>
      <c r="B44" s="7">
        <v>4027</v>
      </c>
      <c r="C44" s="21" t="s">
        <v>206</v>
      </c>
      <c r="D44" s="21" t="s">
        <v>838</v>
      </c>
      <c r="E44" s="13">
        <v>42865.344039351854</v>
      </c>
      <c r="F44" s="13">
        <v>42865.351597222223</v>
      </c>
      <c r="G44" s="7">
        <v>1</v>
      </c>
      <c r="H44" s="21" t="s">
        <v>416</v>
      </c>
      <c r="I44" s="13">
        <v>42865.378541666665</v>
      </c>
      <c r="J44" s="7">
        <v>0</v>
      </c>
      <c r="K44" s="92" t="str">
        <f t="shared" si="0"/>
        <v>4027/4028</v>
      </c>
      <c r="L44" s="21" t="str">
        <f>VLOOKUP(A44,'Trips&amp;Operators'!$C$1:$G$99999,5,FALSE)</f>
        <v>MAELZER KURT</v>
      </c>
      <c r="M44" s="6">
        <f t="shared" si="1"/>
        <v>2.6944444442051463E-2</v>
      </c>
      <c r="N44" s="7">
        <f t="shared" si="2"/>
        <v>38.799999996554106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-10T07:15:25-0600',mode:absolute,to:'2017-05-10T10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4" s="192" t="str">
        <f t="shared" si="6"/>
        <v>N</v>
      </c>
      <c r="X44" s="192">
        <f t="shared" si="24"/>
        <v>1</v>
      </c>
      <c r="Y44" s="192">
        <f t="shared" si="8"/>
        <v>23.302600000000002</v>
      </c>
      <c r="Z44" s="192">
        <f t="shared" si="9"/>
        <v>1.23E-2</v>
      </c>
      <c r="AA44" s="192">
        <f t="shared" si="10"/>
        <v>23.290300000000002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0132-10</v>
      </c>
      <c r="AE44" s="80" t="str">
        <f t="shared" si="12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44" s="77" t="str">
        <f t="shared" si="13"/>
        <v>"C:\Program Files (x86)\AstroGrep\AstroGrep.exe" /e /r /s /spath="%USERPROFILE%\AppData\Local\Temp\OnboardLogs" /stypes="app*4027*20170510*"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132-10 --locoid 4027 --swversion DE.1.0.9.0 --startMP 204:233026 --initTime 2017-05-10T08:15:25 --startdatetime 2017-05-10T08:26:18 --delay 1 --endMP 204:123 --enddatetime 2017-05-10T09:05:06 --enforcementcount 0 &gt;&gt;C:\Users\stu\Documents\GitHub\eaglep3-reporting\EC\2017-05-10-refined-times.txt</v>
      </c>
      <c r="AI44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{"issue":{"subject":"","project_id":79,"tracker_id":40,"status_id":1,"priority_id":2,"assigned_to_id":23,"start_date":"2017-05-10","description":"","custom_fields":[{"id":1,"name":"Subdivision","value":"EC"},{"id":4,"name":"Milepost","value":"0.0123"},{"id":17,"name":"Train ID","value":"132-10"},{"id":16,"name":"Locomotive ID","value":"4027"},{"id":130,"name":"Impact","value":""},{"id":150,"name":"Time of Event (Mountain Time)","value":"09:05:06"},{"id":151,"name":"Denver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4027 --day 2017-05-10</v>
      </c>
      <c r="AN44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646</v>
      </c>
      <c r="B45" s="7">
        <v>4012</v>
      </c>
      <c r="C45" s="21" t="s">
        <v>206</v>
      </c>
      <c r="D45" s="21" t="s">
        <v>521</v>
      </c>
      <c r="E45" s="13">
        <v>42865.318310185183</v>
      </c>
      <c r="F45" s="13">
        <v>42865.323078703703</v>
      </c>
      <c r="G45" s="7">
        <v>1</v>
      </c>
      <c r="H45" s="21" t="s">
        <v>512</v>
      </c>
      <c r="I45" s="13">
        <v>42865.34783564815</v>
      </c>
      <c r="J45" s="7">
        <v>0</v>
      </c>
      <c r="K45" s="92" t="str">
        <f t="shared" si="0"/>
        <v>4011/4012</v>
      </c>
      <c r="L45" s="21" t="str">
        <f>VLOOKUP(A45,'Trips&amp;Operators'!$C$1:$G$99999,5,FALSE)</f>
        <v>GEBRETEKLE DAGNEW</v>
      </c>
      <c r="M45" s="6">
        <f t="shared" si="1"/>
        <v>2.4756944447290152E-2</v>
      </c>
      <c r="N45" s="7">
        <f t="shared" ref="N45:N76" si="25">24*60*SUM($M45:$M45)</f>
        <v>35.650000004097819</v>
      </c>
      <c r="O45" s="7"/>
      <c r="P45" s="7"/>
      <c r="Q45" s="22"/>
      <c r="R45" s="190"/>
      <c r="S45" s="196">
        <f t="shared" ref="S45:S76" si="26">SUM(U45:U45)/IF(AG45="EC",12,1)</f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-10T06:38:22-0600',mode:absolute,to:'2017-05-10T09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192" t="str">
        <f t="shared" si="6"/>
        <v>N</v>
      </c>
      <c r="X45" s="192">
        <f t="shared" si="24"/>
        <v>1</v>
      </c>
      <c r="Y45" s="192">
        <f t="shared" ref="Y45:Y76" si="27">RIGHT(D45,LEN(D45)-4)/10000</f>
        <v>4.3499999999999997E-2</v>
      </c>
      <c r="Z45" s="192">
        <f t="shared" ref="Z45:Z76" si="28">RIGHT(H45,LEN(H45)-4)/10000</f>
        <v>23.333200000000001</v>
      </c>
      <c r="AA45" s="192">
        <f t="shared" si="10"/>
        <v>23.2897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0133-10</v>
      </c>
      <c r="AE45" s="80" t="str">
        <f t="shared" si="12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45" s="77" t="str">
        <f t="shared" si="13"/>
        <v>"C:\Program Files (x86)\AstroGrep\AstroGrep.exe" /e /r /s /spath="%USERPROFILE%\AppData\Local\Temp\OnboardLogs" /stypes="app*4012*20170510*"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133-10 --locoid 4012 --swversion DE.1.0.9.0 --startMP 204:435 --initTime 2017-05-10T07:38:22 --startdatetime 2017-05-10T07:45:14 --delay 1 --endMP 204:233332 --enddatetime 2017-05-10T08:20:53 --enforcementcount 0 &gt;&gt;C:\Users\stu\Documents\GitHub\eaglep3-reporting\EC\2017-05-10-refined-times.txt</v>
      </c>
      <c r="AI45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{"issue":{"subject":"","project_id":79,"tracker_id":40,"status_id":1,"priority_id":2,"assigned_to_id":23,"start_date":"2017-05-10","description":"","custom_fields":[{"id":1,"name":"Subdivision","value":"EC"},{"id":4,"name":"Milepost","value":"23.3332"},{"id":17,"name":"Train ID","value":"133-10"},{"id":16,"name":"Locomotive ID","value":"4012"},{"id":130,"name":"Impact","value":""},{"id":150,"name":"Time of Event (Mountain Time)","value":"08:20:53"},{"id":151,"name":"Denver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4012 --day 2017-05-10</v>
      </c>
      <c r="AN45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653</v>
      </c>
      <c r="B46" s="7">
        <v>4011</v>
      </c>
      <c r="C46" s="21" t="s">
        <v>206</v>
      </c>
      <c r="D46" s="21" t="s">
        <v>834</v>
      </c>
      <c r="E46" s="13">
        <v>42865.357685185183</v>
      </c>
      <c r="F46" s="13">
        <v>42865.362129629626</v>
      </c>
      <c r="G46" s="7">
        <v>1</v>
      </c>
      <c r="H46" s="21" t="s">
        <v>198</v>
      </c>
      <c r="I46" s="13">
        <v>42865.38789351852</v>
      </c>
      <c r="J46" s="7">
        <v>0</v>
      </c>
      <c r="K46" s="92" t="str">
        <f t="shared" si="0"/>
        <v>4011/4012</v>
      </c>
      <c r="L46" s="21" t="str">
        <f>VLOOKUP(A46,'Trips&amp;Operators'!$C$1:$G$99999,5,FALSE)</f>
        <v>GEBRETEKLE DAGNEW</v>
      </c>
      <c r="M46" s="6">
        <f t="shared" si="1"/>
        <v>2.5763888894289266E-2</v>
      </c>
      <c r="N46" s="7">
        <f t="shared" si="25"/>
        <v>37.100000007776543</v>
      </c>
      <c r="O46" s="7"/>
      <c r="P46" s="7"/>
      <c r="Q46" s="22"/>
      <c r="R46" s="190"/>
      <c r="S46" s="196">
        <f t="shared" si="26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-10T07:35:04-0600',mode:absolute,to:'2017-05-10T10:18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192" t="str">
        <f t="shared" si="6"/>
        <v>N</v>
      </c>
      <c r="X46" s="192">
        <f t="shared" si="24"/>
        <v>1</v>
      </c>
      <c r="Y46" s="192">
        <f t="shared" si="27"/>
        <v>23.302499999999998</v>
      </c>
      <c r="Z46" s="192">
        <f t="shared" si="28"/>
        <v>1.5800000000000002E-2</v>
      </c>
      <c r="AA46" s="192">
        <f t="shared" si="10"/>
        <v>23.2867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0134-10</v>
      </c>
      <c r="AE46" s="80" t="str">
        <f t="shared" si="12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46" s="77" t="str">
        <f t="shared" si="13"/>
        <v>"C:\Program Files (x86)\AstroGrep\AstroGrep.exe" /e /r /s /spath="%USERPROFILE%\AppData\Local\Temp\OnboardLogs" /stypes="app*4011*20170510*"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134-10 --locoid 4011 --swversion DE.1.0.9.0 --startMP 204:233025 --initTime 2017-05-10T08:35:04 --startdatetime 2017-05-10T08:41:28 --delay 1 --endMP 204:158 --enddatetime 2017-05-10T09:18:34 --enforcementcount 0 &gt;&gt;C:\Users\stu\Documents\GitHub\eaglep3-reporting\EC\2017-05-10-refined-times.txt</v>
      </c>
      <c r="AI46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{"issue":{"subject":"","project_id":79,"tracker_id":40,"status_id":1,"priority_id":2,"assigned_to_id":23,"start_date":"2017-05-10","description":"","custom_fields":[{"id":1,"name":"Subdivision","value":"EC"},{"id":4,"name":"Milepost","value":"0.0158"},{"id":17,"name":"Train ID","value":"134-10"},{"id":16,"name":"Locomotive ID","value":"4011"},{"id":130,"name":"Impact","value":""},{"id":150,"name":"Time of Event (Mountain Time)","value":"09:18:34"},{"id":151,"name":"Denver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4011 --day 2017-05-10</v>
      </c>
      <c r="AN46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648</v>
      </c>
      <c r="B47" s="7">
        <v>4018</v>
      </c>
      <c r="C47" s="21" t="s">
        <v>206</v>
      </c>
      <c r="D47" s="21" t="s">
        <v>371</v>
      </c>
      <c r="E47" s="13">
        <v>42865.329571759263</v>
      </c>
      <c r="F47" s="13">
        <v>42865.333587962959</v>
      </c>
      <c r="G47" s="7">
        <v>1</v>
      </c>
      <c r="H47" s="21" t="s">
        <v>839</v>
      </c>
      <c r="I47" s="13">
        <v>42865.358784722222</v>
      </c>
      <c r="J47" s="7">
        <v>0</v>
      </c>
      <c r="K47" s="92" t="str">
        <f t="shared" si="0"/>
        <v>4017/4018</v>
      </c>
      <c r="L47" s="21" t="str">
        <f>VLOOKUP(A47,'Trips&amp;Operators'!$C$1:$G$99999,5,FALSE)</f>
        <v>BONDS REYNALDO</v>
      </c>
      <c r="M47" s="6">
        <f t="shared" si="1"/>
        <v>2.5196759263053536E-2</v>
      </c>
      <c r="N47" s="7">
        <f t="shared" si="25"/>
        <v>36.283333338797092</v>
      </c>
      <c r="O47" s="7"/>
      <c r="P47" s="7"/>
      <c r="Q47" s="22"/>
      <c r="R47" s="190"/>
      <c r="S47" s="196">
        <f t="shared" si="26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-10T06:54:35-0600',mode:absolute,to:'2017-05-10T09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192" t="str">
        <f t="shared" si="6"/>
        <v>N</v>
      </c>
      <c r="X47" s="192">
        <f t="shared" si="24"/>
        <v>1</v>
      </c>
      <c r="Y47" s="192">
        <f t="shared" si="27"/>
        <v>4.3999999999999997E-2</v>
      </c>
      <c r="Z47" s="192">
        <f t="shared" si="28"/>
        <v>23.333400000000001</v>
      </c>
      <c r="AA47" s="192">
        <f t="shared" si="10"/>
        <v>23.289400000000001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0135-10</v>
      </c>
      <c r="AE47" s="80" t="str">
        <f t="shared" si="12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47" s="77" t="str">
        <f t="shared" si="13"/>
        <v>"C:\Program Files (x86)\AstroGrep\AstroGrep.exe" /e /r /s /spath="%USERPROFILE%\AppData\Local\Temp\OnboardLogs" /stypes="app*4018*20170510*"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135-10 --locoid 4018 --swversion DE.1.0.9.0 --startMP 204:440 --initTime 2017-05-10T07:54:35 --startdatetime 2017-05-10T08:00:22 --delay 1 --endMP 204:233334 --enddatetime 2017-05-10T08:36:39 --enforcementcount 0 &gt;&gt;C:\Users\stu\Documents\GitHub\eaglep3-reporting\EC\2017-05-10-refined-times.txt</v>
      </c>
      <c r="AI47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{"issue":{"subject":"","project_id":79,"tracker_id":40,"status_id":1,"priority_id":2,"assigned_to_id":23,"start_date":"2017-05-10","description":"","custom_fields":[{"id":1,"name":"Subdivision","value":"EC"},{"id":4,"name":"Milepost","value":"23.3334"},{"id":17,"name":"Train ID","value":"135-10"},{"id":16,"name":"Locomotive ID","value":"4018"},{"id":130,"name":"Impact","value":""},{"id":150,"name":"Time of Event (Mountain Time)","value":"08:36:39"},{"id":151,"name":"Denver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4018 --day 2017-05-10</v>
      </c>
      <c r="AN47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656</v>
      </c>
      <c r="B48" s="7">
        <v>4017</v>
      </c>
      <c r="C48" s="21" t="s">
        <v>206</v>
      </c>
      <c r="D48" s="21" t="s">
        <v>840</v>
      </c>
      <c r="E48" s="13">
        <v>42865.367511574077</v>
      </c>
      <c r="F48" s="13">
        <v>42865.372430555559</v>
      </c>
      <c r="G48" s="7">
        <v>1</v>
      </c>
      <c r="H48" s="21" t="s">
        <v>368</v>
      </c>
      <c r="I48" s="13">
        <v>42865.39980324074</v>
      </c>
      <c r="J48" s="7">
        <v>0</v>
      </c>
      <c r="K48" s="92" t="str">
        <f t="shared" si="0"/>
        <v>4017/4018</v>
      </c>
      <c r="L48" s="21" t="str">
        <f>VLOOKUP(A48,'Trips&amp;Operators'!$C$1:$G$99999,5,FALSE)</f>
        <v>BONDS REYNALDO</v>
      </c>
      <c r="M48" s="6">
        <f t="shared" si="1"/>
        <v>2.7372685181035195E-2</v>
      </c>
      <c r="N48" s="7">
        <f t="shared" si="25"/>
        <v>39.41666666069068</v>
      </c>
      <c r="O48" s="7"/>
      <c r="P48" s="7"/>
      <c r="Q48" s="22"/>
      <c r="R48" s="190"/>
      <c r="S48" s="196">
        <f t="shared" si="26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-10T07:49:13-0600',mode:absolute,to:'2017-05-10T10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192" t="str">
        <f t="shared" si="6"/>
        <v>N</v>
      </c>
      <c r="X48" s="192">
        <f t="shared" si="24"/>
        <v>1</v>
      </c>
      <c r="Y48" s="192">
        <f t="shared" si="27"/>
        <v>23.298999999999999</v>
      </c>
      <c r="Z48" s="192">
        <f t="shared" si="28"/>
        <v>1.5599999999999999E-2</v>
      </c>
      <c r="AA48" s="192">
        <f t="shared" si="10"/>
        <v>23.2834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0136-10</v>
      </c>
      <c r="AE48" s="80" t="str">
        <f t="shared" si="12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48" s="77" t="str">
        <f t="shared" si="13"/>
        <v>"C:\Program Files (x86)\AstroGrep\AstroGrep.exe" /e /r /s /spath="%USERPROFILE%\AppData\Local\Temp\OnboardLogs" /stypes="app*4017*20170510*"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136-10 --locoid 4017 --swversion DE.1.0.9.0 --startMP 204:232990 --initTime 2017-05-10T08:49:13 --startdatetime 2017-05-10T08:56:18 --delay 1 --endMP 204:156 --enddatetime 2017-05-10T09:35:43 --enforcementcount 0 &gt;&gt;C:\Users\stu\Documents\GitHub\eaglep3-reporting\EC\2017-05-10-refined-times.txt</v>
      </c>
      <c r="AI48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{"issue":{"subject":"","project_id":79,"tracker_id":40,"status_id":1,"priority_id":2,"assigned_to_id":23,"start_date":"2017-05-10","description":"","custom_fields":[{"id":1,"name":"Subdivision","value":"EC"},{"id":4,"name":"Milepost","value":"0.0156"},{"id":17,"name":"Train ID","value":"136-10"},{"id":16,"name":"Locomotive ID","value":"4017"},{"id":130,"name":"Impact","value":""},{"id":150,"name":"Time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4017 --day 2017-05-10</v>
      </c>
      <c r="AN48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649</v>
      </c>
      <c r="B49" s="7">
        <v>4008</v>
      </c>
      <c r="C49" s="21" t="s">
        <v>206</v>
      </c>
      <c r="D49" s="21" t="s">
        <v>202</v>
      </c>
      <c r="E49" s="13">
        <v>42865.337222222224</v>
      </c>
      <c r="F49" s="13">
        <v>42865.34412037037</v>
      </c>
      <c r="G49" s="7">
        <v>1</v>
      </c>
      <c r="H49" s="21" t="s">
        <v>366</v>
      </c>
      <c r="I49" s="13">
        <v>42865.36891203704</v>
      </c>
      <c r="J49" s="7">
        <v>0</v>
      </c>
      <c r="K49" s="92" t="str">
        <f t="shared" si="0"/>
        <v>4007/4008</v>
      </c>
      <c r="L49" s="21" t="str">
        <f>VLOOKUP(A49,'Trips&amp;Operators'!$C$1:$G$99999,5,FALSE)</f>
        <v>SANTIZO D. EDY</v>
      </c>
      <c r="M49" s="6">
        <f t="shared" si="1"/>
        <v>2.4791666670353152E-2</v>
      </c>
      <c r="N49" s="7">
        <f t="shared" si="25"/>
        <v>35.700000005308539</v>
      </c>
      <c r="O49" s="7"/>
      <c r="P49" s="7"/>
      <c r="Q49" s="22"/>
      <c r="R49" s="190"/>
      <c r="S49" s="196">
        <f t="shared" si="26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-10T07:05:36-0600',mode:absolute,to:'2017-05-10T09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92" t="str">
        <f t="shared" si="6"/>
        <v>N</v>
      </c>
      <c r="X49" s="192">
        <f t="shared" si="24"/>
        <v>1</v>
      </c>
      <c r="Y49" s="192">
        <f t="shared" si="27"/>
        <v>4.5699999999999998E-2</v>
      </c>
      <c r="Z49" s="192">
        <f t="shared" si="28"/>
        <v>23.331399999999999</v>
      </c>
      <c r="AA49" s="192">
        <f t="shared" si="10"/>
        <v>23.285699999999999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0137-10</v>
      </c>
      <c r="AE49" s="80" t="str">
        <f t="shared" si="12"/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49" s="77" t="str">
        <f t="shared" si="13"/>
        <v>"C:\Program Files (x86)\AstroGrep\AstroGrep.exe" /e /r /s /spath="%USERPROFILE%\AppData\Local\Temp\OnboardLogs" /stypes="app*4008*20170510*"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137-10 --locoid 4008 --swversion DE.1.0.9.0 --startMP 204:457 --initTime 2017-05-10T08:05:36 --startdatetime 2017-05-10T08:15:32 --delay 1 --endMP 204:233314 --enddatetime 2017-05-10T08:51:14 --enforcementcount 0 &gt;&gt;C:\Users\stu\Documents\GitHub\eaglep3-reporting\EC\2017-05-10-refined-times.txt</v>
      </c>
      <c r="AI49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{"issue":{"subject":"","project_id":79,"tracker_id":40,"status_id":1,"priority_id":2,"assigned_to_id":23,"start_date":"2017-05-10","description":"","custom_fields":[{"id":1,"name":"Subdivision","value":"EC"},{"id":4,"name":"Milepost","value":"23.3314"},{"id":17,"name":"Train ID","value":"137-10"},{"id":16,"name":"Locomotive ID","value":"4008"},{"id":130,"name":"Impact","value":""},{"id":150,"name":"Time of Event (Mountain Time)","value":"08:51:14"},{"id":151,"name":"Denver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4008 --day 2017-05-10</v>
      </c>
      <c r="AN49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657</v>
      </c>
      <c r="B50" s="7">
        <v>4007</v>
      </c>
      <c r="C50" s="21" t="s">
        <v>206</v>
      </c>
      <c r="D50" s="21" t="s">
        <v>519</v>
      </c>
      <c r="E50" s="13">
        <v>42865.369953703703</v>
      </c>
      <c r="F50" s="13">
        <v>42865.382800925923</v>
      </c>
      <c r="G50" s="7">
        <v>1</v>
      </c>
      <c r="H50" s="21" t="s">
        <v>376</v>
      </c>
      <c r="I50" s="13">
        <v>42865.409062500003</v>
      </c>
      <c r="J50" s="7">
        <v>0</v>
      </c>
      <c r="K50" s="92" t="str">
        <f t="shared" si="0"/>
        <v>4007/4008</v>
      </c>
      <c r="L50" s="21" t="str">
        <f>VLOOKUP(A50,'Trips&amp;Operators'!$C$1:$G$99999,5,FALSE)</f>
        <v>SANTIZO D. EDY</v>
      </c>
      <c r="M50" s="6">
        <f t="shared" si="1"/>
        <v>2.6261574079398997E-2</v>
      </c>
      <c r="N50" s="7">
        <f t="shared" si="25"/>
        <v>37.816666674334556</v>
      </c>
      <c r="O50" s="7"/>
      <c r="P50" s="7"/>
      <c r="Q50" s="22"/>
      <c r="R50" s="190"/>
      <c r="S50" s="196">
        <f t="shared" si="26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-10T07:52:44-0600',mode:absolute,to:'2017-05-10T10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92" t="str">
        <f t="shared" si="6"/>
        <v>N</v>
      </c>
      <c r="X50" s="192">
        <f t="shared" si="24"/>
        <v>1</v>
      </c>
      <c r="Y50" s="192">
        <f t="shared" si="27"/>
        <v>23.299600000000002</v>
      </c>
      <c r="Z50" s="192">
        <f t="shared" si="28"/>
        <v>1.41E-2</v>
      </c>
      <c r="AA50" s="192">
        <f t="shared" si="10"/>
        <v>23.285500000000003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0138-10</v>
      </c>
      <c r="AE50" s="80" t="str">
        <f t="shared" si="12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50" s="77" t="str">
        <f t="shared" si="13"/>
        <v>"C:\Program Files (x86)\AstroGrep\AstroGrep.exe" /e /r /s /spath="%USERPROFILE%\AppData\Local\Temp\OnboardLogs" /stypes="app*4007*20170510*"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138-10 --locoid 4007 --swversion DE.1.0.9.0 --startMP 204:232996 --initTime 2017-05-10T08:52:44 --startdatetime 2017-05-10T09:11:14 --delay 1 --endMP 204:141 --enddatetime 2017-05-10T09:49:03 --enforcementcount 0 &gt;&gt;C:\Users\stu\Documents\GitHub\eaglep3-reporting\EC\2017-05-10-refined-times.txt</v>
      </c>
      <c r="AI50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{"issue":{"subject":"","project_id":79,"tracker_id":40,"status_id":1,"priority_id":2,"assigned_to_id":23,"start_date":"2017-05-10","description":"","custom_fields":[{"id":1,"name":"Subdivision","value":"EC"},{"id":4,"name":"Milepost","value":"0.0141"},{"id":17,"name":"Train ID","value":"138-10"},{"id":16,"name":"Locomotive ID","value":"4007"},{"id":130,"name":"Impact","value":""},{"id":150,"name":"Time of Event (Mountain Time)","value":"09:49:03"},{"id":151,"name":"Denver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4007 --day 2017-05-10</v>
      </c>
      <c r="AN50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652</v>
      </c>
      <c r="B51" s="7">
        <v>4040</v>
      </c>
      <c r="C51" s="21" t="s">
        <v>206</v>
      </c>
      <c r="D51" s="21" t="s">
        <v>371</v>
      </c>
      <c r="E51" s="13">
        <v>42865.352002314816</v>
      </c>
      <c r="F51" s="13">
        <v>42865.354432870372</v>
      </c>
      <c r="G51" s="7">
        <v>0</v>
      </c>
      <c r="H51" s="21" t="s">
        <v>841</v>
      </c>
      <c r="I51" s="13">
        <v>42865.378576388888</v>
      </c>
      <c r="J51" s="7">
        <v>0</v>
      </c>
      <c r="K51" s="92" t="str">
        <f t="shared" si="0"/>
        <v>4039/4040</v>
      </c>
      <c r="L51" s="21" t="str">
        <f>VLOOKUP(A51,'Trips&amp;Operators'!$C$1:$G$99999,5,FALSE)</f>
        <v>ROCHA YAOTL</v>
      </c>
      <c r="M51" s="6">
        <f t="shared" si="1"/>
        <v>2.414351851621177E-2</v>
      </c>
      <c r="N51" s="7">
        <f t="shared" si="25"/>
        <v>34.766666663344949</v>
      </c>
      <c r="O51" s="7"/>
      <c r="P51" s="7"/>
      <c r="Q51" s="22"/>
      <c r="R51" s="190"/>
      <c r="S51" s="196">
        <f t="shared" si="26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-10T07:26:53-0600',mode:absolute,to:'2017-05-10T10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192" t="str">
        <f t="shared" si="6"/>
        <v>N</v>
      </c>
      <c r="X51" s="192">
        <f t="shared" si="24"/>
        <v>1</v>
      </c>
      <c r="Y51" s="192">
        <f t="shared" si="27"/>
        <v>4.3999999999999997E-2</v>
      </c>
      <c r="Z51" s="192">
        <f t="shared" si="28"/>
        <v>23.330500000000001</v>
      </c>
      <c r="AA51" s="192">
        <f t="shared" si="10"/>
        <v>23.2865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0139-10</v>
      </c>
      <c r="AE51" s="80" t="str">
        <f t="shared" si="12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51" s="77" t="str">
        <f t="shared" si="13"/>
        <v>"C:\Program Files (x86)\AstroGrep\AstroGrep.exe" /e /r /s /spath="%USERPROFILE%\AppData\Local\Temp\OnboardLogs" /stypes="app*4040*20170510*"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139-10 --locoid 4040 --swversion DE.1.0.9.0 --startMP 204:440 --initTime 2017-05-10T08:26:53 --startdatetime 2017-05-10T08:30:23 --delay 0 --endMP 204:233305 --enddatetime 2017-05-10T09:05:09 --enforcementcount 0 &gt;&gt;C:\Users\stu\Documents\GitHub\eaglep3-reporting\EC\2017-05-10-refined-times.txt</v>
      </c>
      <c r="AI51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{"issue":{"subject":"","project_id":79,"tracker_id":40,"status_id":1,"priority_id":2,"assigned_to_id":23,"start_date":"2017-05-10","description":"","custom_fields":[{"id":1,"name":"Subdivision","value":"EC"},{"id":4,"name":"Milepost","value":"23.3305"},{"id":17,"name":"Train ID","value":"139-10"},{"id":16,"name":"Locomotive ID","value":"4040"},{"id":130,"name":"Impact","value":""},{"id":150,"name":"Time of Event (Mountain Time)","value":"09:05:09"},{"id":151,"name":"Denver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4040 --day 2017-05-10</v>
      </c>
      <c r="AN51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662</v>
      </c>
      <c r="B52" s="7">
        <v>4039</v>
      </c>
      <c r="C52" s="21" t="s">
        <v>206</v>
      </c>
      <c r="D52" s="21" t="s">
        <v>519</v>
      </c>
      <c r="E52" s="13">
        <v>42865.392199074071</v>
      </c>
      <c r="F52" s="13">
        <v>42865.393310185187</v>
      </c>
      <c r="G52" s="7">
        <v>0</v>
      </c>
      <c r="H52" s="21" t="s">
        <v>377</v>
      </c>
      <c r="I52" s="13">
        <v>42865.419270833336</v>
      </c>
      <c r="J52" s="7">
        <v>0</v>
      </c>
      <c r="K52" s="92" t="str">
        <f t="shared" si="0"/>
        <v>4039/4040</v>
      </c>
      <c r="L52" s="21" t="str">
        <f>VLOOKUP(A52,'Trips&amp;Operators'!$C$1:$G$99999,5,FALSE)</f>
        <v>ROCHA YAOTL</v>
      </c>
      <c r="M52" s="6">
        <f t="shared" si="1"/>
        <v>2.5960648148611654E-2</v>
      </c>
      <c r="N52" s="7">
        <f t="shared" si="25"/>
        <v>37.383333334000781</v>
      </c>
      <c r="O52" s="7"/>
      <c r="P52" s="7"/>
      <c r="Q52" s="22"/>
      <c r="R52" s="190"/>
      <c r="S52" s="196">
        <f t="shared" si="26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-10T08:24:46-0600',mode:absolute,to:'2017-05-10T11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192" t="str">
        <f t="shared" si="6"/>
        <v>N</v>
      </c>
      <c r="X52" s="192">
        <f t="shared" si="24"/>
        <v>1</v>
      </c>
      <c r="Y52" s="192">
        <f t="shared" si="27"/>
        <v>23.299600000000002</v>
      </c>
      <c r="Z52" s="192">
        <f t="shared" si="28"/>
        <v>1.47E-2</v>
      </c>
      <c r="AA52" s="192">
        <f t="shared" si="10"/>
        <v>23.2849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0140-10</v>
      </c>
      <c r="AE52" s="80" t="str">
        <f t="shared" si="12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52" s="77" t="str">
        <f t="shared" si="13"/>
        <v>"C:\Program Files (x86)\AstroGrep\AstroGrep.exe" /e /r /s /spath="%USERPROFILE%\AppData\Local\Temp\OnboardLogs" /stypes="app*4039*20170510*"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140-10 --locoid 4039 --swversion DE.1.0.9.0 --startMP 204:232996 --initTime 2017-05-10T09:24:46 --startdatetime 2017-05-10T09:26:22 --delay 0 --endMP 204:147 --enddatetime 2017-05-10T10:03:45 --enforcementcount 0 &gt;&gt;C:\Users\stu\Documents\GitHub\eaglep3-reporting\EC\2017-05-10-refined-times.txt</v>
      </c>
      <c r="AI52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{"issue":{"subject":"","project_id":79,"tracker_id":40,"status_id":1,"priority_id":2,"assigned_to_id":23,"start_date":"2017-05-10","description":"","custom_fields":[{"id":1,"name":"Subdivision","value":"EC"},{"id":4,"name":"Milepost","value":"0.0147"},{"id":17,"name":"Train ID","value":"140-10"},{"id":16,"name":"Locomotive ID","value":"4039"},{"id":130,"name":"Impact","value":""},{"id":150,"name":"Time of Event (Mountain Time)","value":"10:03:45"},{"id":151,"name":"Denver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4039 --day 2017-05-10</v>
      </c>
      <c r="AN52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655</v>
      </c>
      <c r="B53" s="7">
        <v>4006</v>
      </c>
      <c r="C53" s="21" t="s">
        <v>206</v>
      </c>
      <c r="D53" s="21" t="s">
        <v>372</v>
      </c>
      <c r="E53" s="13">
        <v>42865.361180555556</v>
      </c>
      <c r="F53" s="13">
        <v>42865.364803240744</v>
      </c>
      <c r="G53" s="7">
        <v>0</v>
      </c>
      <c r="H53" s="21" t="s">
        <v>366</v>
      </c>
      <c r="I53" s="13">
        <v>42865.390231481484</v>
      </c>
      <c r="J53" s="7">
        <v>0</v>
      </c>
      <c r="K53" s="92" t="str">
        <f t="shared" si="0"/>
        <v>4005/4006</v>
      </c>
      <c r="L53" s="21" t="str">
        <f>VLOOKUP(A53,'Trips&amp;Operators'!$C$1:$G$99999,5,FALSE)</f>
        <v>BADERTSCHER DIANE</v>
      </c>
      <c r="M53" s="6">
        <f t="shared" si="1"/>
        <v>2.5428240740438923E-2</v>
      </c>
      <c r="N53" s="7">
        <f t="shared" si="25"/>
        <v>36.616666666232049</v>
      </c>
      <c r="O53" s="7"/>
      <c r="P53" s="7"/>
      <c r="Q53" s="22"/>
      <c r="R53" s="190"/>
      <c r="S53" s="196">
        <f t="shared" si="26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-10T07:40:06-0600',mode:absolute,to:'2017-05-10T10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3" s="192" t="str">
        <f t="shared" si="6"/>
        <v>N</v>
      </c>
      <c r="X53" s="192">
        <f t="shared" si="24"/>
        <v>1</v>
      </c>
      <c r="Y53" s="192">
        <f t="shared" si="27"/>
        <v>4.4400000000000002E-2</v>
      </c>
      <c r="Z53" s="192">
        <f t="shared" si="28"/>
        <v>23.331399999999999</v>
      </c>
      <c r="AA53" s="192">
        <f t="shared" si="10"/>
        <v>23.286999999999999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0141-10</v>
      </c>
      <c r="AE53" s="80" t="str">
        <f t="shared" si="12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53" s="77" t="str">
        <f t="shared" si="13"/>
        <v>"C:\Program Files (x86)\AstroGrep\AstroGrep.exe" /e /r /s /spath="%USERPROFILE%\AppData\Local\Temp\OnboardLogs" /stypes="app*4006*20170510*"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141-10 --locoid 4006 --swversion DE.1.0.9.0 --startMP 204:444 --initTime 2017-05-10T08:40:06 --startdatetime 2017-05-10T08:45:19 --delay 0 --endMP 204:233314 --enddatetime 2017-05-10T09:21:56 --enforcementcount 0 &gt;&gt;C:\Users\stu\Documents\GitHub\eaglep3-reporting\EC\2017-05-10-refined-times.txt</v>
      </c>
      <c r="AI53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{"issue":{"subject":"","project_id":79,"tracker_id":40,"status_id":1,"priority_id":2,"assigned_to_id":23,"start_date":"2017-05-10","description":"","custom_fields":[{"id":1,"name":"Subdivision","value":"EC"},{"id":4,"name":"Milepost","value":"23.3314"},{"id":17,"name":"Train ID","value":"141-10"},{"id":16,"name":"Locomotive ID","value":"4006"},{"id":130,"name":"Impact","value":""},{"id":150,"name":"Time of Event (Mountain Time)","value":"09:21:56"},{"id":151,"name":"Denver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4006 --day 2017-05-10</v>
      </c>
      <c r="AN53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663</v>
      </c>
      <c r="B54" s="7">
        <v>4005</v>
      </c>
      <c r="C54" s="21" t="s">
        <v>206</v>
      </c>
      <c r="D54" s="21" t="s">
        <v>388</v>
      </c>
      <c r="E54" s="13">
        <v>42865.397974537038</v>
      </c>
      <c r="F54" s="13">
        <v>42865.40384259259</v>
      </c>
      <c r="G54" s="7">
        <v>1</v>
      </c>
      <c r="H54" s="21" t="s">
        <v>197</v>
      </c>
      <c r="I54" s="13">
        <v>42865.431087962963</v>
      </c>
      <c r="J54" s="7">
        <v>0</v>
      </c>
      <c r="K54" s="92" t="str">
        <f t="shared" si="0"/>
        <v>4005/4006</v>
      </c>
      <c r="L54" s="21" t="str">
        <f>VLOOKUP(A54,'Trips&amp;Operators'!$C$1:$G$99999,5,FALSE)</f>
        <v>BADERTSCHER DIANE</v>
      </c>
      <c r="M54" s="6">
        <f t="shared" si="1"/>
        <v>2.7245370372838806E-2</v>
      </c>
      <c r="N54" s="7">
        <f t="shared" si="25"/>
        <v>39.233333336887881</v>
      </c>
      <c r="O54" s="7"/>
      <c r="P54" s="7"/>
      <c r="Q54" s="22"/>
      <c r="R54" s="190"/>
      <c r="S54" s="196">
        <f t="shared" si="26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-10T08:33:05-0600',mode:absolute,to:'2017-05-10T11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4" s="192" t="str">
        <f t="shared" si="6"/>
        <v>N</v>
      </c>
      <c r="X54" s="192">
        <f t="shared" si="24"/>
        <v>1</v>
      </c>
      <c r="Y54" s="192">
        <f t="shared" si="27"/>
        <v>23.2987</v>
      </c>
      <c r="Z54" s="192">
        <f t="shared" si="28"/>
        <v>1.52E-2</v>
      </c>
      <c r="AA54" s="192">
        <f t="shared" si="10"/>
        <v>23.2835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0142-10</v>
      </c>
      <c r="AE54" s="80" t="str">
        <f t="shared" si="12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54" s="77" t="str">
        <f t="shared" si="13"/>
        <v>"C:\Program Files (x86)\AstroGrep\AstroGrep.exe" /e /r /s /spath="%USERPROFILE%\AppData\Local\Temp\OnboardLogs" /stypes="app*4005*20170510*"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142-10 --locoid 4005 --swversion DE.1.0.9.0 --startMP 204:232987 --initTime 2017-05-10T09:33:05 --startdatetime 2017-05-10T09:41:32 --delay 1 --endMP 204:152 --enddatetime 2017-05-10T10:20:46 --enforcementcount 0 &gt;&gt;C:\Users\stu\Documents\GitHub\eaglep3-reporting\EC\2017-05-10-refined-times.txt</v>
      </c>
      <c r="AI54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{"issue":{"subject":"","project_id":79,"tracker_id":40,"status_id":1,"priority_id":2,"assigned_to_id":23,"start_date":"2017-05-10","description":"","custom_fields":[{"id":1,"name":"Subdivision","value":"EC"},{"id":4,"name":"Milepost","value":"0.0152"},{"id":17,"name":"Train ID","value":"142-10"},{"id":16,"name":"Locomotive ID","value":"4005"},{"id":130,"name":"Impact","value":""},{"id":150,"name":"Time of Event (Mountain Time)","value":"10:20:46"},{"id":151,"name":"Denver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4005 --day 2017-05-10</v>
      </c>
      <c r="AN54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658</v>
      </c>
      <c r="B55" s="7">
        <v>4032</v>
      </c>
      <c r="C55" s="21" t="s">
        <v>206</v>
      </c>
      <c r="D55" s="21" t="s">
        <v>352</v>
      </c>
      <c r="E55" s="13">
        <v>42865.372187499997</v>
      </c>
      <c r="F55" s="13">
        <v>42865.375243055554</v>
      </c>
      <c r="G55" s="7">
        <v>1</v>
      </c>
      <c r="H55" s="21" t="s">
        <v>473</v>
      </c>
      <c r="I55" s="13">
        <v>42865.399884259263</v>
      </c>
      <c r="J55" s="7">
        <v>0</v>
      </c>
      <c r="K55" s="92" t="str">
        <f t="shared" si="0"/>
        <v>4031/4032</v>
      </c>
      <c r="L55" s="21" t="str">
        <f>VLOOKUP(A55,'Trips&amp;Operators'!$C$1:$G$99999,5,FALSE)</f>
        <v>STARKS ANGELINA</v>
      </c>
      <c r="M55" s="6">
        <f t="shared" si="1"/>
        <v>2.4641203708597459E-2</v>
      </c>
      <c r="N55" s="7">
        <f t="shared" si="25"/>
        <v>35.483333340380341</v>
      </c>
      <c r="O55" s="7"/>
      <c r="P55" s="7"/>
      <c r="Q55" s="22"/>
      <c r="R55" s="190"/>
      <c r="S55" s="196">
        <f t="shared" si="26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-10T07:55:57-0600',mode:absolute,to:'2017-05-10T10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192" t="str">
        <f t="shared" si="6"/>
        <v>N</v>
      </c>
      <c r="X55" s="192">
        <f t="shared" si="24"/>
        <v>1</v>
      </c>
      <c r="Y55" s="192">
        <f t="shared" si="27"/>
        <v>4.4600000000000001E-2</v>
      </c>
      <c r="Z55" s="192">
        <f t="shared" si="28"/>
        <v>23.3276</v>
      </c>
      <c r="AA55" s="192">
        <f t="shared" si="10"/>
        <v>23.283000000000001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0143-10</v>
      </c>
      <c r="AE55" s="80" t="str">
        <f t="shared" si="12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55" s="77" t="str">
        <f t="shared" si="13"/>
        <v>"C:\Program Files (x86)\AstroGrep\AstroGrep.exe" /e /r /s /spath="%USERPROFILE%\AppData\Local\Temp\OnboardLogs" /stypes="app*4032*20170510*"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143-10 --locoid 4032 --swversion DE.1.0.9.0 --startMP 204:446 --initTime 2017-05-10T08:55:57 --startdatetime 2017-05-10T09:00:21 --delay 1 --endMP 204:233276 --enddatetime 2017-05-10T09:35:50 --enforcementcount 0 &gt;&gt;C:\Users\stu\Documents\GitHub\eaglep3-reporting\EC\2017-05-10-refined-times.txt</v>
      </c>
      <c r="AI55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{"issue":{"subject":"","project_id":79,"tracker_id":40,"status_id":1,"priority_id":2,"assigned_to_id":23,"start_date":"2017-05-10","description":"","custom_fields":[{"id":1,"name":"Subdivision","value":"EC"},{"id":4,"name":"Milepost","value":"23.3276"},{"id":17,"name":"Train ID","value":"143-10"},{"id":16,"name":"Locomotive ID","value":"4032"},{"id":130,"name":"Impact","value":""},{"id":150,"name":"Time of Event (Mountain Time)","value":"09:35:50"},{"id":151,"name":"Denver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4032 --day 2017-05-10</v>
      </c>
      <c r="AN55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574</v>
      </c>
      <c r="B56" s="7">
        <v>4031</v>
      </c>
      <c r="C56" s="21" t="s">
        <v>206</v>
      </c>
      <c r="D56" s="21" t="s">
        <v>394</v>
      </c>
      <c r="E56" s="13">
        <v>42865.412233796298</v>
      </c>
      <c r="F56" s="13">
        <v>42865.414166666669</v>
      </c>
      <c r="G56" s="7">
        <v>1</v>
      </c>
      <c r="H56" s="21" t="s">
        <v>198</v>
      </c>
      <c r="I56" s="13">
        <v>42865.444502314815</v>
      </c>
      <c r="J56" s="7">
        <v>0</v>
      </c>
      <c r="K56" s="92" t="str">
        <f t="shared" si="0"/>
        <v>4031/4032</v>
      </c>
      <c r="L56" s="21" t="str">
        <f>VLOOKUP(A56,'Trips&amp;Operators'!$C$1:$G$99999,5,FALSE)</f>
        <v>STARKS ANGELINA</v>
      </c>
      <c r="M56" s="6">
        <f t="shared" si="1"/>
        <v>3.0335648145410232E-2</v>
      </c>
      <c r="N56" s="7">
        <f t="shared" si="25"/>
        <v>43.683333329390734</v>
      </c>
      <c r="O56" s="7"/>
      <c r="P56" s="7"/>
      <c r="Q56" s="22"/>
      <c r="R56" s="190"/>
      <c r="S56" s="196">
        <f t="shared" si="26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-10T08:53:37-0600',mode:absolute,to:'2017-05-10T11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192" t="str">
        <f t="shared" si="6"/>
        <v>N</v>
      </c>
      <c r="X56" s="192">
        <f t="shared" si="24"/>
        <v>1</v>
      </c>
      <c r="Y56" s="192">
        <f t="shared" si="27"/>
        <v>23.296700000000001</v>
      </c>
      <c r="Z56" s="192">
        <f t="shared" si="28"/>
        <v>1.5800000000000002E-2</v>
      </c>
      <c r="AA56" s="192">
        <f t="shared" si="10"/>
        <v>23.280900000000003</v>
      </c>
      <c r="AB56" s="57" t="str">
        <f>VLOOKUP(A56,Enforcements!$C$7:$K$13,8,0)</f>
        <v>Bulletin (2)</v>
      </c>
      <c r="AC56" s="53" t="str">
        <f>VLOOKUP(A56,Enforcements!$C$7:$E$13,3,0)</f>
        <v>GRADE CROSSING</v>
      </c>
      <c r="AD56" s="54" t="str">
        <f t="shared" si="11"/>
        <v>0144-10</v>
      </c>
      <c r="AE56" s="80" t="str">
        <f t="shared" si="12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56" s="77" t="str">
        <f t="shared" si="13"/>
        <v>"C:\Program Files (x86)\AstroGrep\AstroGrep.exe" /e /r /s /spath="%USERPROFILE%\AppData\Local\Temp\OnboardLogs" /stypes="app*4031*20170510*"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144-10 --locoid 4031 --swversion DE.1.0.9.0 --startMP 204:232967 --initTime 2017-05-10T09:53:37 --startdatetime 2017-05-10T09:56:24 --delay 1 --endMP 204:158 --enddatetime 2017-05-10T10:40:05 --enforcementcount 0 &gt;&gt;C:\Users\stu\Documents\GitHub\eaglep3-reporting\EC\2017-05-10-refined-times.txt</v>
      </c>
      <c r="AI56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{"issue":{"subject":"","project_id":79,"tracker_id":40,"status_id":1,"priority_id":2,"assigned_to_id":23,"start_date":"2017-05-10","description":"","custom_fields":[{"id":1,"name":"Subdivision","value":"EC"},{"id":4,"name":"Milepost","value":"0.0158"},{"id":17,"name":"Train ID","value":"144-10"},{"id":16,"name":"Locomotive ID","value":"4031"},{"id":130,"name":"Impact","value":""},{"id":150,"name":"Time of Event (Mountain Time)","value":"10:40:05"},{"id":151,"name":"Denver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4031 --day 2017-05-10</v>
      </c>
      <c r="AN56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659</v>
      </c>
      <c r="B57" s="7">
        <v>4028</v>
      </c>
      <c r="C57" s="21" t="s">
        <v>206</v>
      </c>
      <c r="D57" s="21" t="s">
        <v>347</v>
      </c>
      <c r="E57" s="13">
        <v>42865.380682870367</v>
      </c>
      <c r="F57" s="13">
        <v>42865.385648148149</v>
      </c>
      <c r="G57" s="7">
        <v>1</v>
      </c>
      <c r="H57" s="21" t="s">
        <v>528</v>
      </c>
      <c r="I57" s="13">
        <v>42865.41064814815</v>
      </c>
      <c r="J57" s="7">
        <v>0</v>
      </c>
      <c r="K57" s="92" t="str">
        <f t="shared" si="0"/>
        <v>4027/4028</v>
      </c>
      <c r="L57" s="21" t="str">
        <f>VLOOKUP(A57,'Trips&amp;Operators'!$C$1:$G$99999,5,FALSE)</f>
        <v>MAELZER KURT</v>
      </c>
      <c r="M57" s="6">
        <f t="shared" si="1"/>
        <v>2.5000000001455192E-2</v>
      </c>
      <c r="N57" s="7">
        <f t="shared" si="25"/>
        <v>36.000000002095476</v>
      </c>
      <c r="O57" s="7"/>
      <c r="P57" s="7"/>
      <c r="Q57" s="22"/>
      <c r="R57" s="190"/>
      <c r="S57" s="196">
        <f t="shared" si="26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-10T08:08:11-0600',mode:absolute,to:'2017-05-10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192" t="str">
        <f t="shared" si="6"/>
        <v>N</v>
      </c>
      <c r="X57" s="192">
        <f t="shared" si="24"/>
        <v>1</v>
      </c>
      <c r="Y57" s="192">
        <f t="shared" si="27"/>
        <v>4.4900000000000002E-2</v>
      </c>
      <c r="Z57" s="192">
        <f t="shared" si="28"/>
        <v>23.3355</v>
      </c>
      <c r="AA57" s="192">
        <f t="shared" si="10"/>
        <v>23.290600000000001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0145-10</v>
      </c>
      <c r="AE57" s="80" t="str">
        <f t="shared" si="12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57" s="77" t="str">
        <f t="shared" si="13"/>
        <v>"C:\Program Files (x86)\AstroGrep\AstroGrep.exe" /e /r /s /spath="%USERPROFILE%\AppData\Local\Temp\OnboardLogs" /stypes="app*4028*20170510*"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145-10 --locoid 4028 --swversion DE.1.0.9.0 --startMP 204:449 --initTime 2017-05-10T09:08:11 --startdatetime 2017-05-10T09:15:20 --delay 1 --endMP 204:233355 --enddatetime 2017-05-10T09:51:20 --enforcementcount 0 &gt;&gt;C:\Users\stu\Documents\GitHub\eaglep3-reporting\EC\2017-05-10-refined-times.txt</v>
      </c>
      <c r="AI57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{"issue":{"subject":"","project_id":79,"tracker_id":40,"status_id":1,"priority_id":2,"assigned_to_id":23,"start_date":"2017-05-10","description":"","custom_fields":[{"id":1,"name":"Subdivision","value":"EC"},{"id":4,"name":"Milepost","value":"23.3355"},{"id":17,"name":"Train ID","value":"145-10"},{"id":16,"name":"Locomotive ID","value":"4028"},{"id":130,"name":"Impact","value":""},{"id":150,"name":"Time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4028 --day 2017-05-10</v>
      </c>
      <c r="AN57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667</v>
      </c>
      <c r="B58" s="7">
        <v>4027</v>
      </c>
      <c r="C58" s="21" t="s">
        <v>206</v>
      </c>
      <c r="D58" s="21" t="s">
        <v>842</v>
      </c>
      <c r="E58" s="13">
        <v>42865.415405092594</v>
      </c>
      <c r="F58" s="13">
        <v>42865.424537037034</v>
      </c>
      <c r="G58" s="7">
        <v>0</v>
      </c>
      <c r="H58" s="21" t="s">
        <v>353</v>
      </c>
      <c r="I58" s="13">
        <v>42865.451215277775</v>
      </c>
      <c r="J58" s="7">
        <v>0</v>
      </c>
      <c r="K58" s="92" t="str">
        <f t="shared" si="0"/>
        <v>4027/4028</v>
      </c>
      <c r="L58" s="21" t="str">
        <f>VLOOKUP(A58,'Trips&amp;Operators'!$C$1:$G$99999,5,FALSE)</f>
        <v>MAELZER KURT</v>
      </c>
      <c r="M58" s="6">
        <f t="shared" si="1"/>
        <v>2.6678240741603076E-2</v>
      </c>
      <c r="N58" s="7">
        <f t="shared" si="25"/>
        <v>38.41666666790843</v>
      </c>
      <c r="O58" s="7"/>
      <c r="P58" s="7"/>
      <c r="Q58" s="22"/>
      <c r="R58" s="190"/>
      <c r="S58" s="196">
        <f t="shared" si="26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-10T08:58:11-0600',mode:absolute,to:'2017-05-10T11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192" t="str">
        <f t="shared" si="6"/>
        <v>N</v>
      </c>
      <c r="X58" s="192">
        <f t="shared" si="24"/>
        <v>1</v>
      </c>
      <c r="Y58" s="192">
        <f t="shared" si="27"/>
        <v>23.3034</v>
      </c>
      <c r="Z58" s="192">
        <f t="shared" si="28"/>
        <v>1.4500000000000001E-2</v>
      </c>
      <c r="AA58" s="192">
        <f t="shared" si="10"/>
        <v>23.288899999999998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0146-10</v>
      </c>
      <c r="AE58" s="80" t="str">
        <f t="shared" si="12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58" s="77" t="str">
        <f t="shared" si="13"/>
        <v>"C:\Program Files (x86)\AstroGrep\AstroGrep.exe" /e /r /s /spath="%USERPROFILE%\AppData\Local\Temp\OnboardLogs" /stypes="app*4027*20170510*"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146-10 --locoid 4027 --swversion DE.1.0.9.0 --startMP 204:233034 --initTime 2017-05-10T09:58:11 --startdatetime 2017-05-10T10:11:20 --delay 0 --endMP 204:145 --enddatetime 2017-05-10T10:49:45 --enforcementcount 0 &gt;&gt;C:\Users\stu\Documents\GitHub\eaglep3-reporting\EC\2017-05-10-refined-times.txt</v>
      </c>
      <c r="AI58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{"issue":{"subject":"","project_id":79,"tracker_id":40,"status_id":1,"priority_id":2,"assigned_to_id":23,"start_date":"2017-05-10","description":"","custom_fields":[{"id":1,"name":"Subdivision","value":"EC"},{"id":4,"name":"Milepost","value":"0.0145"},{"id":17,"name":"Train ID","value":"146-10"},{"id":16,"name":"Locomotive ID","value":"4027"},{"id":130,"name":"Impact","value":""},{"id":150,"name":"Time of Event (Mountain Time)","value":"10:49:45"},{"id":151,"name":"Denver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4027 --day 2017-05-10</v>
      </c>
      <c r="AN58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661</v>
      </c>
      <c r="B59" s="7">
        <v>4012</v>
      </c>
      <c r="C59" s="21" t="s">
        <v>206</v>
      </c>
      <c r="D59" s="21" t="s">
        <v>203</v>
      </c>
      <c r="E59" s="13">
        <v>42865.389826388891</v>
      </c>
      <c r="F59" s="13">
        <v>42865.396018518521</v>
      </c>
      <c r="G59" s="7">
        <v>1</v>
      </c>
      <c r="H59" s="21" t="s">
        <v>366</v>
      </c>
      <c r="I59" s="13">
        <v>42865.420405092591</v>
      </c>
      <c r="J59" s="7">
        <v>0</v>
      </c>
      <c r="K59" s="92" t="str">
        <f t="shared" si="0"/>
        <v>4011/4012</v>
      </c>
      <c r="L59" s="21" t="str">
        <f>VLOOKUP(A59,'Trips&amp;Operators'!$C$1:$G$99999,5,FALSE)</f>
        <v>GEBRETEKLE DAGNEW</v>
      </c>
      <c r="M59" s="6">
        <f t="shared" si="1"/>
        <v>2.438657407037681E-2</v>
      </c>
      <c r="N59" s="7">
        <f t="shared" si="25"/>
        <v>35.116666661342606</v>
      </c>
      <c r="O59" s="7"/>
      <c r="P59" s="7"/>
      <c r="Q59" s="22"/>
      <c r="R59" s="190"/>
      <c r="S59" s="196">
        <f t="shared" si="26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-10T08:21:21-0600',mode:absolute,to:'2017-05-10T11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192" t="str">
        <f t="shared" si="6"/>
        <v>N</v>
      </c>
      <c r="X59" s="192">
        <f t="shared" si="24"/>
        <v>1</v>
      </c>
      <c r="Y59" s="192">
        <f t="shared" si="27"/>
        <v>4.5999999999999999E-2</v>
      </c>
      <c r="Z59" s="192">
        <f t="shared" si="28"/>
        <v>23.331399999999999</v>
      </c>
      <c r="AA59" s="192">
        <f t="shared" si="10"/>
        <v>23.285399999999999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0147-10</v>
      </c>
      <c r="AE59" s="80" t="str">
        <f t="shared" si="12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59" s="77" t="str">
        <f t="shared" si="13"/>
        <v>"C:\Program Files (x86)\AstroGrep\AstroGrep.exe" /e /r /s /spath="%USERPROFILE%\AppData\Local\Temp\OnboardLogs" /stypes="app*4012*20170510*"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147-10 --locoid 4012 --swversion DE.1.0.9.0 --startMP 204:460 --initTime 2017-05-10T09:21:21 --startdatetime 2017-05-10T09:30:16 --delay 1 --endMP 204:233314 --enddatetime 2017-05-10T10:05:23 --enforcementcount 0 &gt;&gt;C:\Users\stu\Documents\GitHub\eaglep3-reporting\EC\2017-05-10-refined-times.txt</v>
      </c>
      <c r="AI59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{"issue":{"subject":"","project_id":79,"tracker_id":40,"status_id":1,"priority_id":2,"assigned_to_id":23,"start_date":"2017-05-10","description":"","custom_fields":[{"id":1,"name":"Subdivision","value":"EC"},{"id":4,"name":"Milepost","value":"23.3314"},{"id":17,"name":"Train ID","value":"147-10"},{"id":16,"name":"Locomotive ID","value":"4012"},{"id":130,"name":"Impact","value":""},{"id":150,"name":"Time of Event (Mountain Time)","value":"10:05:23"},{"id":151,"name":"Denver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4012 --day 2017-05-10</v>
      </c>
      <c r="AN59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672</v>
      </c>
      <c r="B60" s="7">
        <v>4011</v>
      </c>
      <c r="C60" s="21" t="s">
        <v>206</v>
      </c>
      <c r="D60" s="21" t="s">
        <v>517</v>
      </c>
      <c r="E60" s="13">
        <v>42865.428020833337</v>
      </c>
      <c r="F60" s="13">
        <v>42865.434907407405</v>
      </c>
      <c r="G60" s="7">
        <v>1</v>
      </c>
      <c r="H60" s="21" t="s">
        <v>197</v>
      </c>
      <c r="I60" s="13">
        <v>42865.462916666664</v>
      </c>
      <c r="J60" s="7">
        <v>0</v>
      </c>
      <c r="K60" s="92" t="str">
        <f t="shared" si="0"/>
        <v>4011/4012</v>
      </c>
      <c r="L60" s="21" t="str">
        <f>VLOOKUP(A60,'Trips&amp;Operators'!$C$1:$G$99999,5,FALSE)</f>
        <v>GEBRETEKLE DAGNEW</v>
      </c>
      <c r="M60" s="6">
        <f t="shared" si="1"/>
        <v>2.8009259258396924E-2</v>
      </c>
      <c r="N60" s="7">
        <f t="shared" si="25"/>
        <v>40.33333333209157</v>
      </c>
      <c r="O60" s="7"/>
      <c r="P60" s="7"/>
      <c r="Q60" s="22"/>
      <c r="R60" s="190"/>
      <c r="S60" s="196">
        <f t="shared" si="26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-10T09:16:21-0600',mode:absolute,to:'2017-05-10T12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192" t="str">
        <f t="shared" si="6"/>
        <v>N</v>
      </c>
      <c r="X60" s="192">
        <f t="shared" si="24"/>
        <v>1</v>
      </c>
      <c r="Y60" s="192">
        <f t="shared" si="27"/>
        <v>23.2988</v>
      </c>
      <c r="Z60" s="192">
        <f t="shared" si="28"/>
        <v>1.52E-2</v>
      </c>
      <c r="AA60" s="192">
        <f t="shared" si="10"/>
        <v>23.2836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0148-10</v>
      </c>
      <c r="AE60" s="80" t="str">
        <f t="shared" si="12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60" s="77" t="str">
        <f t="shared" si="13"/>
        <v>"C:\Program Files (x86)\AstroGrep\AstroGrep.exe" /e /r /s /spath="%USERPROFILE%\AppData\Local\Temp\OnboardLogs" /stypes="app*4011*20170510*"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148-10 --locoid 4011 --swversion DE.1.0.9.0 --startMP 204:232988 --initTime 2017-05-10T10:16:21 --startdatetime 2017-05-10T10:26:16 --delay 1 --endMP 204:152 --enddatetime 2017-05-10T11:06:36 --enforcementcount 0 &gt;&gt;C:\Users\stu\Documents\GitHub\eaglep3-reporting\EC\2017-05-10-refined-times.txt</v>
      </c>
      <c r="AI60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{"issue":{"subject":"","project_id":79,"tracker_id":40,"status_id":1,"priority_id":2,"assigned_to_id":23,"start_date":"2017-05-10","description":"","custom_fields":[{"id":1,"name":"Subdivision","value":"EC"},{"id":4,"name":"Milepost","value":"0.0152"},{"id":17,"name":"Train ID","value":"148-10"},{"id":16,"name":"Locomotive ID","value":"4011"},{"id":130,"name":"Impact","value":""},{"id":150,"name":"Time of Event (Mountain Time)","value":"11:06:36"},{"id":151,"name":"Denver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4011 --day 2017-05-10</v>
      </c>
      <c r="AN60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665</v>
      </c>
      <c r="B61" s="7">
        <v>4018</v>
      </c>
      <c r="C61" s="21" t="s">
        <v>206</v>
      </c>
      <c r="D61" s="21" t="s">
        <v>370</v>
      </c>
      <c r="E61" s="13">
        <v>42865.40179398148</v>
      </c>
      <c r="F61" s="13">
        <v>42865.406597222223</v>
      </c>
      <c r="G61" s="7">
        <v>1</v>
      </c>
      <c r="H61" s="21" t="s">
        <v>843</v>
      </c>
      <c r="I61" s="13">
        <v>42865.431898148148</v>
      </c>
      <c r="J61" s="7">
        <v>0</v>
      </c>
      <c r="K61" s="92" t="str">
        <f t="shared" si="0"/>
        <v>4017/4018</v>
      </c>
      <c r="L61" s="21" t="str">
        <f>VLOOKUP(A61,'Trips&amp;Operators'!$C$1:$G$99999,5,FALSE)</f>
        <v>BONDS REYNALDO</v>
      </c>
      <c r="M61" s="6">
        <f t="shared" si="1"/>
        <v>2.5300925924966577E-2</v>
      </c>
      <c r="N61" s="7">
        <f t="shared" si="25"/>
        <v>36.433333331951872</v>
      </c>
      <c r="O61" s="7"/>
      <c r="P61" s="7"/>
      <c r="Q61" s="22"/>
      <c r="R61" s="190"/>
      <c r="S61" s="196">
        <f t="shared" si="26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-10T08:38:35-0600',mode:absolute,to:'2017-05-10T11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192" t="str">
        <f t="shared" si="6"/>
        <v>N</v>
      </c>
      <c r="X61" s="192">
        <f t="shared" si="24"/>
        <v>1</v>
      </c>
      <c r="Y61" s="192">
        <f t="shared" si="27"/>
        <v>4.53E-2</v>
      </c>
      <c r="Z61" s="192">
        <f t="shared" si="28"/>
        <v>23.3278</v>
      </c>
      <c r="AA61" s="192">
        <f t="shared" si="10"/>
        <v>23.282499999999999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0149-10</v>
      </c>
      <c r="AE61" s="80" t="str">
        <f t="shared" si="12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61" s="77" t="str">
        <f t="shared" si="13"/>
        <v>"C:\Program Files (x86)\AstroGrep\AstroGrep.exe" /e /r /s /spath="%USERPROFILE%\AppData\Local\Temp\OnboardLogs" /stypes="app*4018*20170510*"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149-10 --locoid 4018 --swversion DE.1.0.9.0 --startMP 204:453 --initTime 2017-05-10T09:38:35 --startdatetime 2017-05-10T09:45:30 --delay 1 --endMP 204:233278 --enddatetime 2017-05-10T10:21:56 --enforcementcount 0 &gt;&gt;C:\Users\stu\Documents\GitHub\eaglep3-reporting\EC\2017-05-10-refined-times.txt</v>
      </c>
      <c r="AI61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{"issue":{"subject":"","project_id":79,"tracker_id":40,"status_id":1,"priority_id":2,"assigned_to_id":23,"start_date":"2017-05-10","description":"","custom_fields":[{"id":1,"name":"Subdivision","value":"EC"},{"id":4,"name":"Milepost","value":"23.3278"},{"id":17,"name":"Train ID","value":"149-10"},{"id":16,"name":"Locomotive ID","value":"4018"},{"id":130,"name":"Impact","value":""},{"id":150,"name":"Time of Event (Mountain Time)","value":"10:21:56"},{"id":151,"name":"Denver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4018 --day 2017-05-10</v>
      </c>
      <c r="AN61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674</v>
      </c>
      <c r="B62" s="7">
        <v>4017</v>
      </c>
      <c r="C62" s="21" t="s">
        <v>206</v>
      </c>
      <c r="D62" s="21" t="s">
        <v>538</v>
      </c>
      <c r="E62" s="13">
        <v>42865.440555555557</v>
      </c>
      <c r="F62" s="13">
        <v>42865.445451388892</v>
      </c>
      <c r="G62" s="7">
        <v>0</v>
      </c>
      <c r="H62" s="21" t="s">
        <v>376</v>
      </c>
      <c r="I62" s="13">
        <v>42865.472731481481</v>
      </c>
      <c r="J62" s="7">
        <v>0</v>
      </c>
      <c r="K62" s="92" t="str">
        <f t="shared" si="0"/>
        <v>4017/4018</v>
      </c>
      <c r="L62" s="21" t="str">
        <f>VLOOKUP(A62,'Trips&amp;Operators'!$C$1:$G$99999,5,FALSE)</f>
        <v>BONDS REYNALDO</v>
      </c>
      <c r="M62" s="6">
        <f t="shared" si="1"/>
        <v>2.7280092588625848E-2</v>
      </c>
      <c r="N62" s="7">
        <f t="shared" si="25"/>
        <v>39.283333327621222</v>
      </c>
      <c r="O62" s="7"/>
      <c r="P62" s="7"/>
      <c r="Q62" s="22"/>
      <c r="R62" s="190"/>
      <c r="S62" s="196">
        <f t="shared" si="26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-10T09:34:24-0600',mode:absolute,to:'2017-05-10T12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192" t="str">
        <f t="shared" si="6"/>
        <v>N</v>
      </c>
      <c r="X62" s="192">
        <f t="shared" si="24"/>
        <v>1</v>
      </c>
      <c r="Y62" s="192">
        <f t="shared" si="27"/>
        <v>23.297899999999998</v>
      </c>
      <c r="Z62" s="192">
        <f t="shared" si="28"/>
        <v>1.41E-2</v>
      </c>
      <c r="AA62" s="192">
        <f t="shared" si="10"/>
        <v>23.283799999999999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0150-10</v>
      </c>
      <c r="AE62" s="80" t="str">
        <f t="shared" si="12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62" s="77" t="str">
        <f t="shared" si="13"/>
        <v>"C:\Program Files (x86)\AstroGrep\AstroGrep.exe" /e /r /s /spath="%USERPROFILE%\AppData\Local\Temp\OnboardLogs" /stypes="app*4017*20170510*"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150-10 --locoid 4017 --swversion DE.1.0.9.0 --startMP 204:232979 --initTime 2017-05-10T10:34:24 --startdatetime 2017-05-10T10:41:27 --delay 0 --endMP 204:141 --enddatetime 2017-05-10T11:20:44 --enforcementcount 0 &gt;&gt;C:\Users\stu\Documents\GitHub\eaglep3-reporting\EC\2017-05-10-refined-times.txt</v>
      </c>
      <c r="AI62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{"issue":{"subject":"","project_id":79,"tracker_id":40,"status_id":1,"priority_id":2,"assigned_to_id":23,"start_date":"2017-05-10","description":"","custom_fields":[{"id":1,"name":"Subdivision","value":"EC"},{"id":4,"name":"Milepost","value":"0.0141"},{"id":17,"name":"Train ID","value":"150-10"},{"id":16,"name":"Locomotive ID","value":"4017"},{"id":130,"name":"Impact","value":""},{"id":150,"name":"Time of Event (Mountain Time)","value":"11:20:44"},{"id":151,"name":"Denver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4017 --day 2017-05-10</v>
      </c>
      <c r="AN62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666</v>
      </c>
      <c r="B63" s="7">
        <v>4008</v>
      </c>
      <c r="C63" s="21" t="s">
        <v>206</v>
      </c>
      <c r="D63" s="21" t="s">
        <v>395</v>
      </c>
      <c r="E63" s="13">
        <v>42865.410219907404</v>
      </c>
      <c r="F63" s="13">
        <v>42865.417048611111</v>
      </c>
      <c r="G63" s="7">
        <v>1</v>
      </c>
      <c r="H63" s="21" t="s">
        <v>392</v>
      </c>
      <c r="I63" s="13">
        <v>42865.441516203704</v>
      </c>
      <c r="J63" s="7">
        <v>0</v>
      </c>
      <c r="K63" s="92" t="str">
        <f t="shared" si="0"/>
        <v>4007/4008</v>
      </c>
      <c r="L63" s="21" t="str">
        <f>VLOOKUP(A63,'Trips&amp;Operators'!$C$1:$G$99999,5,FALSE)</f>
        <v>SANTIZO D. EDY</v>
      </c>
      <c r="M63" s="6">
        <f t="shared" si="1"/>
        <v>2.4467592593282461E-2</v>
      </c>
      <c r="N63" s="7">
        <f t="shared" si="25"/>
        <v>35.233333334326744</v>
      </c>
      <c r="O63" s="7"/>
      <c r="P63" s="7"/>
      <c r="Q63" s="22"/>
      <c r="R63" s="190"/>
      <c r="S63" s="196">
        <f t="shared" si="26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-10T08:50:43-0600',mode:absolute,to:'2017-05-10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92" t="str">
        <f t="shared" si="6"/>
        <v>N</v>
      </c>
      <c r="X63" s="192">
        <f t="shared" si="24"/>
        <v>1</v>
      </c>
      <c r="Y63" s="192">
        <f t="shared" si="27"/>
        <v>4.5499999999999999E-2</v>
      </c>
      <c r="Z63" s="192">
        <f t="shared" si="28"/>
        <v>23.330100000000002</v>
      </c>
      <c r="AA63" s="192">
        <f t="shared" si="10"/>
        <v>23.284600000000001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0151-10</v>
      </c>
      <c r="AE63" s="80" t="str">
        <f t="shared" si="12"/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63" s="77" t="str">
        <f t="shared" si="13"/>
        <v>"C:\Program Files (x86)\AstroGrep\AstroGrep.exe" /e /r /s /spath="%USERPROFILE%\AppData\Local\Temp\OnboardLogs" /stypes="app*4008*20170510*"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151-10 --locoid 4008 --swversion DE.1.0.9.0 --startMP 204:455 --initTime 2017-05-10T09:50:43 --startdatetime 2017-05-10T10:00:33 --delay 1 --endMP 204:233301 --enddatetime 2017-05-10T10:35:47 --enforcementcount 0 &gt;&gt;C:\Users\stu\Documents\GitHub\eaglep3-reporting\EC\2017-05-10-refined-times.txt</v>
      </c>
      <c r="AI63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{"issue":{"subject":"","project_id":79,"tracker_id":40,"status_id":1,"priority_id":2,"assigned_to_id":23,"start_date":"2017-05-10","description":"","custom_fields":[{"id":1,"name":"Subdivision","value":"EC"},{"id":4,"name":"Milepost","value":"23.3301"},{"id":17,"name":"Train ID","value":"151-10"},{"id":16,"name":"Locomotive ID","value":"4008"},{"id":130,"name":"Impact","value":""},{"id":150,"name":"Time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4008 --day 2017-05-10</v>
      </c>
      <c r="AN63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676</v>
      </c>
      <c r="B64" s="7">
        <v>4007</v>
      </c>
      <c r="C64" s="21" t="s">
        <v>206</v>
      </c>
      <c r="D64" s="21" t="s">
        <v>537</v>
      </c>
      <c r="E64" s="13">
        <v>42865.442824074074</v>
      </c>
      <c r="F64" s="13">
        <v>42865.455787037034</v>
      </c>
      <c r="G64" s="7">
        <v>1</v>
      </c>
      <c r="H64" s="21" t="s">
        <v>359</v>
      </c>
      <c r="I64" s="13">
        <v>42865.481747685182</v>
      </c>
      <c r="J64" s="7">
        <v>0</v>
      </c>
      <c r="K64" s="92" t="str">
        <f t="shared" si="0"/>
        <v>4007/4008</v>
      </c>
      <c r="L64" s="21" t="str">
        <f>VLOOKUP(A64,'Trips&amp;Operators'!$C$1:$G$99999,5,FALSE)</f>
        <v>SANTIZO D. EDY</v>
      </c>
      <c r="M64" s="6">
        <f t="shared" si="1"/>
        <v>2.5960648148611654E-2</v>
      </c>
      <c r="N64" s="7">
        <f t="shared" si="25"/>
        <v>37.383333334000781</v>
      </c>
      <c r="O64" s="7"/>
      <c r="P64" s="7"/>
      <c r="Q64" s="22"/>
      <c r="R64" s="190"/>
      <c r="S64" s="196">
        <f t="shared" si="26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-10T09:37:40-0600',mode:absolute,to:'2017-05-10T12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92" t="str">
        <f t="shared" si="6"/>
        <v>N</v>
      </c>
      <c r="X64" s="192">
        <f t="shared" si="24"/>
        <v>1</v>
      </c>
      <c r="Y64" s="192">
        <f t="shared" si="27"/>
        <v>23.2973</v>
      </c>
      <c r="Z64" s="192">
        <f t="shared" si="28"/>
        <v>1.49E-2</v>
      </c>
      <c r="AA64" s="192">
        <f t="shared" si="10"/>
        <v>23.282399999999999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0152-10</v>
      </c>
      <c r="AE64" s="80" t="str">
        <f t="shared" si="12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64" s="77" t="str">
        <f t="shared" si="13"/>
        <v>"C:\Program Files (x86)\AstroGrep\AstroGrep.exe" /e /r /s /spath="%USERPROFILE%\AppData\Local\Temp\OnboardLogs" /stypes="app*4007*20170510*"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152-10 --locoid 4007 --swversion DE.1.0.9.0 --startMP 204:232973 --initTime 2017-05-10T10:37:40 --startdatetime 2017-05-10T10:56:20 --delay 1 --endMP 204:149 --enddatetime 2017-05-10T11:33:43 --enforcementcount 0 &gt;&gt;C:\Users\stu\Documents\GitHub\eaglep3-reporting\EC\2017-05-10-refined-times.txt</v>
      </c>
      <c r="AI64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{"issue":{"subject":"","project_id":79,"tracker_id":40,"status_id":1,"priority_id":2,"assigned_to_id":23,"start_date":"2017-05-10","description":"","custom_fields":[{"id":1,"name":"Subdivision","value":"EC"},{"id":4,"name":"Milepost","value":"0.0149"},{"id":17,"name":"Train ID","value":"152-10"},{"id":16,"name":"Locomotive ID","value":"4007"},{"id":130,"name":"Impact","value":""},{"id":150,"name":"Time of Event (Mountain Time)","value":"11:33:43"},{"id":151,"name":"Denver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4007 --day 2017-05-10</v>
      </c>
      <c r="AN64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669</v>
      </c>
      <c r="B65" s="7">
        <v>4040</v>
      </c>
      <c r="C65" s="21" t="s">
        <v>206</v>
      </c>
      <c r="D65" s="21" t="s">
        <v>531</v>
      </c>
      <c r="E65" s="13">
        <v>42865.425509259258</v>
      </c>
      <c r="F65" s="13">
        <v>42865.427268518521</v>
      </c>
      <c r="G65" s="7">
        <v>1</v>
      </c>
      <c r="H65" s="21" t="s">
        <v>844</v>
      </c>
      <c r="I65" s="13">
        <v>42865.452002314814</v>
      </c>
      <c r="J65" s="7">
        <v>0</v>
      </c>
      <c r="K65" s="92" t="str">
        <f t="shared" si="0"/>
        <v>4039/4040</v>
      </c>
      <c r="L65" s="21" t="str">
        <f>VLOOKUP(A65,'Trips&amp;Operators'!$C$1:$G$99999,5,FALSE)</f>
        <v>ROCHA YAOTL</v>
      </c>
      <c r="M65" s="6">
        <f t="shared" si="1"/>
        <v>2.4733796293730848E-2</v>
      </c>
      <c r="N65" s="7">
        <f t="shared" si="25"/>
        <v>35.61666666297242</v>
      </c>
      <c r="O65" s="7"/>
      <c r="P65" s="7"/>
      <c r="Q65" s="22"/>
      <c r="R65" s="190"/>
      <c r="S65" s="196">
        <f t="shared" si="26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-10T09:12:44-0600',mode:absolute,to:'2017-05-10T11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192" t="str">
        <f t="shared" si="6"/>
        <v>N</v>
      </c>
      <c r="X65" s="192">
        <f t="shared" si="24"/>
        <v>1</v>
      </c>
      <c r="Y65" s="192">
        <f t="shared" si="27"/>
        <v>4.7100000000000003E-2</v>
      </c>
      <c r="Z65" s="192">
        <f t="shared" si="28"/>
        <v>23.337</v>
      </c>
      <c r="AA65" s="192">
        <f t="shared" si="10"/>
        <v>23.289899999999999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0153-10</v>
      </c>
      <c r="AE65" s="80" t="str">
        <f t="shared" si="12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65" s="77" t="str">
        <f t="shared" si="13"/>
        <v>"C:\Program Files (x86)\AstroGrep\AstroGrep.exe" /e /r /s /spath="%USERPROFILE%\AppData\Local\Temp\OnboardLogs" /stypes="app*4040*20170510*"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153-10 --locoid 4040 --swversion DE.1.0.9.0 --startMP 204:471 --initTime 2017-05-10T10:12:44 --startdatetime 2017-05-10T10:15:16 --delay 1 --endMP 204:233370 --enddatetime 2017-05-10T10:50:53 --enforcementcount 0 &gt;&gt;C:\Users\stu\Documents\GitHub\eaglep3-reporting\EC\2017-05-10-refined-times.txt</v>
      </c>
      <c r="AI65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{"issue":{"subject":"","project_id":79,"tracker_id":40,"status_id":1,"priority_id":2,"assigned_to_id":23,"start_date":"2017-05-10","description":"","custom_fields":[{"id":1,"name":"Subdivision","value":"EC"},{"id":4,"name":"Milepost","value":"23.337"},{"id":17,"name":"Train ID","value":"153-10"},{"id":16,"name":"Locomotive ID","value":"4040"},{"id":130,"name":"Impact","value":""},{"id":150,"name":"Time of Event (Mountain Time)","value":"10:50:53"},{"id":151,"name":"Denver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4040 --day 2017-05-10</v>
      </c>
      <c r="AN65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578</v>
      </c>
      <c r="B66" s="7">
        <v>4039</v>
      </c>
      <c r="C66" s="21" t="s">
        <v>206</v>
      </c>
      <c r="D66" s="21" t="s">
        <v>842</v>
      </c>
      <c r="E66" s="13">
        <v>42865.464826388888</v>
      </c>
      <c r="F66" s="13">
        <v>42865.466203703705</v>
      </c>
      <c r="G66" s="7">
        <v>0</v>
      </c>
      <c r="H66" s="21" t="s">
        <v>358</v>
      </c>
      <c r="I66" s="13">
        <v>42865.492997685185</v>
      </c>
      <c r="J66" s="7">
        <v>0</v>
      </c>
      <c r="K66" s="92" t="str">
        <f t="shared" si="0"/>
        <v>4039/4040</v>
      </c>
      <c r="L66" s="21" t="str">
        <f>VLOOKUP(A66,'Trips&amp;Operators'!$C$1:$G$99999,5,FALSE)</f>
        <v>ROCHA YAOTL</v>
      </c>
      <c r="M66" s="6">
        <f t="shared" si="1"/>
        <v>2.679398148029577E-2</v>
      </c>
      <c r="N66" s="7">
        <f t="shared" si="25"/>
        <v>38.583333331625909</v>
      </c>
      <c r="O66" s="7"/>
      <c r="P66" s="7"/>
      <c r="Q66" s="22"/>
      <c r="R66" s="190"/>
      <c r="S66" s="196">
        <f t="shared" si="26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-10T10:09:21-0600',mode:absolute,to:'2017-05-10T12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192" t="str">
        <f t="shared" si="6"/>
        <v>N</v>
      </c>
      <c r="X66" s="192">
        <f t="shared" si="24"/>
        <v>1</v>
      </c>
      <c r="Y66" s="192">
        <f t="shared" si="27"/>
        <v>23.3034</v>
      </c>
      <c r="Z66" s="192">
        <f t="shared" si="28"/>
        <v>1.4999999999999999E-2</v>
      </c>
      <c r="AA66" s="192">
        <f t="shared" si="10"/>
        <v>23.288399999999999</v>
      </c>
      <c r="AB66" s="57" t="str">
        <f>VLOOKUP(A66,Enforcements!$C$7:$K$13,8,0)</f>
        <v>Bulletin (2)</v>
      </c>
      <c r="AC66" s="53" t="str">
        <f>VLOOKUP(A66,Enforcements!$C$7:$E$13,3,0)</f>
        <v>GRADE CROSSING</v>
      </c>
      <c r="AD66" s="54" t="str">
        <f t="shared" si="11"/>
        <v>0154-10</v>
      </c>
      <c r="AE66" s="80" t="str">
        <f t="shared" si="12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66" s="77" t="str">
        <f t="shared" si="13"/>
        <v>"C:\Program Files (x86)\AstroGrep\AstroGrep.exe" /e /r /s /spath="%USERPROFILE%\AppData\Local\Temp\OnboardLogs" /stypes="app*4039*20170510*"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154-10 --locoid 4039 --swversion DE.1.0.9.0 --startMP 204:233034 --initTime 2017-05-10T11:09:21 --startdatetime 2017-05-10T11:11:20 --delay 0 --endMP 204:150 --enddatetime 2017-05-10T11:49:55 --enforcementcount 0 &gt;&gt;C:\Users\stu\Documents\GitHub\eaglep3-reporting\EC\2017-05-10-refined-times.txt</v>
      </c>
      <c r="AI66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{"issue":{"subject":"","project_id":79,"tracker_id":40,"status_id":1,"priority_id":2,"assigned_to_id":23,"start_date":"2017-05-10","description":"","custom_fields":[{"id":1,"name":"Subdivision","value":"EC"},{"id":4,"name":"Milepost","value":"0.015"},{"id":17,"name":"Train ID","value":"154-10"},{"id":16,"name":"Locomotive ID","value":"4039"},{"id":130,"name":"Impact","value":""},{"id":150,"name":"Time of Event (Mountain Time)","value":"11:49:55"},{"id":151,"name":"Denver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4039 --day 2017-05-10</v>
      </c>
      <c r="AN66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673</v>
      </c>
      <c r="B67" s="7">
        <v>4006</v>
      </c>
      <c r="C67" s="21" t="s">
        <v>206</v>
      </c>
      <c r="D67" s="21" t="s">
        <v>355</v>
      </c>
      <c r="E67" s="13">
        <v>42865.432685185187</v>
      </c>
      <c r="F67" s="13">
        <v>42865.476574074077</v>
      </c>
      <c r="G67" s="7">
        <v>1</v>
      </c>
      <c r="H67" s="21" t="s">
        <v>469</v>
      </c>
      <c r="I67" s="13">
        <v>42865.504374999997</v>
      </c>
      <c r="J67" s="7">
        <v>0</v>
      </c>
      <c r="K67" s="92" t="str">
        <f t="shared" si="0"/>
        <v>4005/4006</v>
      </c>
      <c r="L67" s="21" t="str">
        <f>VLOOKUP(A67,'Trips&amp;Operators'!$C$1:$G$99999,5,FALSE)</f>
        <v>YORK EDGAR</v>
      </c>
      <c r="M67" s="6">
        <f t="shared" si="1"/>
        <v>2.7800925920018926E-2</v>
      </c>
      <c r="N67" s="7">
        <f t="shared" si="25"/>
        <v>40.033333324827254</v>
      </c>
      <c r="O67" s="7"/>
      <c r="P67" s="7"/>
      <c r="Q67" s="22"/>
      <c r="R67" s="190"/>
      <c r="S67" s="196">
        <f t="shared" si="26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-10T09:23:04-0600',mode:absolute,to:'2017-05-10T13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7" s="192" t="str">
        <f t="shared" si="6"/>
        <v>N</v>
      </c>
      <c r="X67" s="192">
        <f t="shared" ref="X67:X98" si="29">VALUE(LEFT(AD67,4))-VALUE(LEFT(AD66,4))</f>
        <v>1</v>
      </c>
      <c r="Y67" s="192">
        <f t="shared" si="27"/>
        <v>4.58E-2</v>
      </c>
      <c r="Z67" s="192">
        <f t="shared" si="28"/>
        <v>23.3293</v>
      </c>
      <c r="AA67" s="192">
        <f t="shared" si="10"/>
        <v>23.2835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0155-10</v>
      </c>
      <c r="AE67" s="80" t="str">
        <f t="shared" si="12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67" s="77" t="str">
        <f t="shared" si="13"/>
        <v>"C:\Program Files (x86)\AstroGrep\AstroGrep.exe" /e /r /s /spath="%USERPROFILE%\AppData\Local\Temp\OnboardLogs" /stypes="app*4006*20170510*" /stext=" 18:.+((SYSTEM_STATE.+slice.+state.+changed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155-10 --locoid 4006 --swversion DE.1.0.9.0 --startMP 204:458 --initTime 2017-05-10T10:23:04 --startdatetime 2017-05-10T11:26:16 --delay 1 --endMP 204:233293 --enddatetime 2017-05-10T12:06:18 --enforcementcount 0 &gt;&gt;C:\Users\stu\Documents\GitHub\eaglep3-reporting\EC\2017-05-10-refined-times.txt</v>
      </c>
      <c r="AI67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{"issue":{"subject":"","project_id":79,"tracker_id":40,"status_id":1,"priority_id":2,"assigned_to_id":23,"start_date":"2017-05-10","description":"","custom_fields":[{"id":1,"name":"Subdivision","value":"EC"},{"id":4,"name":"Milepost","value":"23.3293"},{"id":17,"name":"Train ID","value":"155-10"},{"id":16,"name":"Locomotive ID","value":"4006"},{"id":130,"name":"Impact","value":""},{"id":150,"name":"Time of Event (Mountain Time)","value":"12:06:18"},{"id":151,"name":"Denver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4006 --day 2017-05-10</v>
      </c>
      <c r="AN67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581</v>
      </c>
      <c r="B68" s="7">
        <v>4005</v>
      </c>
      <c r="C68" s="21" t="s">
        <v>206</v>
      </c>
      <c r="D68" s="21" t="s">
        <v>537</v>
      </c>
      <c r="E68" s="13">
        <v>42865.464537037034</v>
      </c>
      <c r="F68" s="13">
        <v>42865.476574074077</v>
      </c>
      <c r="G68" s="7">
        <v>1</v>
      </c>
      <c r="H68" s="21" t="s">
        <v>376</v>
      </c>
      <c r="I68" s="13">
        <v>42865.504374999997</v>
      </c>
      <c r="J68" s="7">
        <v>0</v>
      </c>
      <c r="K68" s="92" t="str">
        <f t="shared" si="0"/>
        <v>4005/4006</v>
      </c>
      <c r="L68" s="21" t="str">
        <f>VLOOKUP(A68,'Trips&amp;Operators'!$C$1:$G$99999,5,FALSE)</f>
        <v>YORK EDGAR</v>
      </c>
      <c r="M68" s="6">
        <f t="shared" si="1"/>
        <v>2.7800925920018926E-2</v>
      </c>
      <c r="N68" s="7">
        <f t="shared" si="25"/>
        <v>40.033333324827254</v>
      </c>
      <c r="O68" s="7"/>
      <c r="P68" s="7"/>
      <c r="Q68" s="22"/>
      <c r="R68" s="190"/>
      <c r="S68" s="196">
        <f t="shared" si="26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-10T10:08:56-0600',mode:absolute,to:'2017-05-10T13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8" s="192" t="str">
        <f t="shared" si="6"/>
        <v>N</v>
      </c>
      <c r="X68" s="192">
        <f t="shared" si="29"/>
        <v>1</v>
      </c>
      <c r="Y68" s="192">
        <f t="shared" si="27"/>
        <v>23.2973</v>
      </c>
      <c r="Z68" s="192">
        <f t="shared" si="28"/>
        <v>1.41E-2</v>
      </c>
      <c r="AA68" s="192">
        <f t="shared" si="10"/>
        <v>23.283200000000001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0156-10</v>
      </c>
      <c r="AE68" s="80" t="str">
        <f t="shared" si="12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68" s="77" t="str">
        <f t="shared" si="13"/>
        <v>"C:\Program Files (x86)\AstroGrep\AstroGrep.exe" /e /r /s /spath="%USERPROFILE%\AppData\Local\Temp\OnboardLogs" /stypes="app*4005*20170510*"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156-10 --locoid 4005 --swversion DE.1.0.9.0 --startMP 204:232973 --initTime 2017-05-10T11:08:56 --startdatetime 2017-05-10T11:26:16 --delay 1 --endMP 204:141 --enddatetime 2017-05-10T12:06:18 --enforcementcount 0 &gt;&gt;C:\Users\stu\Documents\GitHub\eaglep3-reporting\EC\2017-05-10-refined-times.txt</v>
      </c>
      <c r="AI68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{"issue":{"subject":"","project_id":79,"tracker_id":40,"status_id":1,"priority_id":2,"assigned_to_id":23,"start_date":"2017-05-10","description":"","custom_fields":[{"id":1,"name":"Subdivision","value":"EC"},{"id":4,"name":"Milepost","value":"0.0141"},{"id":17,"name":"Train ID","value":"156-10"},{"id":16,"name":"Locomotive ID","value":"4005"},{"id":130,"name":"Impact","value":""},{"id":150,"name":"Time of Event (Mountain Time)","value":"12:06:18"},{"id":151,"name":"Denver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4005 --day 2017-05-10</v>
      </c>
      <c r="AN68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577</v>
      </c>
      <c r="B69" s="7">
        <v>4032</v>
      </c>
      <c r="C69" s="21" t="s">
        <v>206</v>
      </c>
      <c r="D69" s="21" t="s">
        <v>347</v>
      </c>
      <c r="E69" s="13">
        <v>42865.445555555554</v>
      </c>
      <c r="F69" s="13">
        <v>42865.448078703703</v>
      </c>
      <c r="G69" s="7">
        <v>1</v>
      </c>
      <c r="H69" s="21" t="s">
        <v>409</v>
      </c>
      <c r="I69" s="13">
        <v>42865.473321759258</v>
      </c>
      <c r="J69" s="7">
        <v>0</v>
      </c>
      <c r="K69" s="92" t="str">
        <f t="shared" si="0"/>
        <v>4031/4032</v>
      </c>
      <c r="L69" s="21" t="str">
        <f>VLOOKUP(A69,'Trips&amp;Operators'!$C$1:$G$99999,5,FALSE)</f>
        <v>STARKS ANGELINA</v>
      </c>
      <c r="M69" s="6">
        <f t="shared" si="1"/>
        <v>2.5243055555620231E-2</v>
      </c>
      <c r="N69" s="7">
        <f t="shared" si="25"/>
        <v>36.350000000093132</v>
      </c>
      <c r="O69" s="7"/>
      <c r="P69" s="7"/>
      <c r="Q69" s="22"/>
      <c r="R69" s="190"/>
      <c r="S69" s="196">
        <f t="shared" si="26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-10T09:41:36-0600',mode:absolute,to:'2017-05-10T12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192" t="str">
        <f t="shared" si="6"/>
        <v>N</v>
      </c>
      <c r="X69" s="192">
        <f t="shared" si="29"/>
        <v>1</v>
      </c>
      <c r="Y69" s="192">
        <f t="shared" si="27"/>
        <v>4.4900000000000002E-2</v>
      </c>
      <c r="Z69" s="192">
        <f t="shared" si="28"/>
        <v>23.331199999999999</v>
      </c>
      <c r="AA69" s="192">
        <f t="shared" si="10"/>
        <v>23.286300000000001</v>
      </c>
      <c r="AB69" s="57" t="str">
        <f>VLOOKUP(A69,Enforcements!$C$7:$K$13,8,0)</f>
        <v>Bulletin (2)</v>
      </c>
      <c r="AC69" s="53" t="str">
        <f>VLOOKUP(A69,Enforcements!$C$7:$E$13,3,0)</f>
        <v>GRADE CROSSING</v>
      </c>
      <c r="AD69" s="54" t="str">
        <f t="shared" si="11"/>
        <v>0157-10</v>
      </c>
      <c r="AE69" s="80" t="str">
        <f t="shared" si="12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69" s="77" t="str">
        <f t="shared" si="13"/>
        <v>"C:\Program Files (x86)\AstroGrep\AstroGrep.exe" /e /r /s /spath="%USERPROFILE%\AppData\Local\Temp\OnboardLogs" /stypes="app*4032*20170510*"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157-10 --locoid 4032 --swversion DE.1.0.9.0 --startMP 204:449 --initTime 2017-05-10T10:41:36 --startdatetime 2017-05-10T10:45:14 --delay 1 --endMP 204:233312 --enddatetime 2017-05-10T11:21:35 --enforcementcount 0 &gt;&gt;C:\Users\stu\Documents\GitHub\eaglep3-reporting\EC\2017-05-10-refined-times.txt</v>
      </c>
      <c r="AI69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{"issue":{"subject":"","project_id":79,"tracker_id":40,"status_id":1,"priority_id":2,"assigned_to_id":23,"start_date":"2017-05-10","description":"","custom_fields":[{"id":1,"name":"Subdivision","value":"EC"},{"id":4,"name":"Milepost","value":"23.3312"},{"id":17,"name":"Train ID","value":"157-10"},{"id":16,"name":"Locomotive ID","value":"4032"},{"id":130,"name":"Impact","value":""},{"id":150,"name":"Time of Event (Mountain Time)","value":"11:21:35"},{"id":151,"name":"Denver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4032 --day 2017-05-10</v>
      </c>
      <c r="AN69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580</v>
      </c>
      <c r="B70" s="7">
        <v>4031</v>
      </c>
      <c r="C70" s="21" t="s">
        <v>206</v>
      </c>
      <c r="D70" s="21" t="s">
        <v>467</v>
      </c>
      <c r="E70" s="13">
        <v>42865.484525462962</v>
      </c>
      <c r="F70" s="13">
        <v>42865.488136574073</v>
      </c>
      <c r="G70" s="7">
        <v>1</v>
      </c>
      <c r="H70" s="21" t="s">
        <v>353</v>
      </c>
      <c r="I70" s="13">
        <v>42865.515590277777</v>
      </c>
      <c r="J70" s="7">
        <v>0</v>
      </c>
      <c r="K70" s="92" t="str">
        <f t="shared" si="0"/>
        <v>4031/4032</v>
      </c>
      <c r="L70" s="21" t="str">
        <f>VLOOKUP(A70,'Trips&amp;Operators'!$C$1:$G$99999,5,FALSE)</f>
        <v>STARKS ANGELINA</v>
      </c>
      <c r="M70" s="6">
        <f t="shared" si="1"/>
        <v>2.7453703703940846E-2</v>
      </c>
      <c r="N70" s="7">
        <f t="shared" si="25"/>
        <v>39.533333333674818</v>
      </c>
      <c r="O70" s="7"/>
      <c r="P70" s="7"/>
      <c r="Q70" s="22"/>
      <c r="R70" s="190"/>
      <c r="S70" s="196">
        <f t="shared" si="26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-10T10:37:43-0600',mode:absolute,to:'2017-05-10T13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192" t="str">
        <f t="shared" si="6"/>
        <v>N</v>
      </c>
      <c r="X70" s="192">
        <f t="shared" si="29"/>
        <v>1</v>
      </c>
      <c r="Y70" s="192">
        <f t="shared" si="27"/>
        <v>23.299399999999999</v>
      </c>
      <c r="Z70" s="192">
        <f t="shared" si="28"/>
        <v>1.4500000000000001E-2</v>
      </c>
      <c r="AA70" s="192">
        <f t="shared" si="10"/>
        <v>23.284899999999997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0158-10</v>
      </c>
      <c r="AE70" s="80" t="str">
        <f t="shared" si="12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70" s="77" t="str">
        <f t="shared" si="13"/>
        <v>"C:\Program Files (x86)\AstroGrep\AstroGrep.exe" /e /r /s /spath="%USERPROFILE%\AppData\Local\Temp\OnboardLogs" /stypes="app*4031*20170510*"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158-10 --locoid 4031 --swversion DE.1.0.9.0 --startMP 204:232994 --initTime 2017-05-10T11:37:43 --startdatetime 2017-05-10T11:42:55 --delay 1 --endMP 204:145 --enddatetime 2017-05-10T12:22:27 --enforcementcount 0 &gt;&gt;C:\Users\stu\Documents\GitHub\eaglep3-reporting\EC\2017-05-10-refined-times.txt</v>
      </c>
      <c r="AI70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{"issue":{"subject":"","project_id":79,"tracker_id":40,"status_id":1,"priority_id":2,"assigned_to_id":23,"start_date":"2017-05-10","description":"","custom_fields":[{"id":1,"name":"Subdivision","value":"EC"},{"id":4,"name":"Milepost","value":"0.0145"},{"id":17,"name":"Train ID","value":"158-10"},{"id":16,"name":"Locomotive ID","value":"4031"},{"id":130,"name":"Impact","value":""},{"id":150,"name":"Time of Event (Mountain Time)","value":"12:22:27"},{"id":151,"name":"Denver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4031 --day 2017-05-10</v>
      </c>
      <c r="AN70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677</v>
      </c>
      <c r="B71" s="7">
        <v>4028</v>
      </c>
      <c r="C71" s="21" t="s">
        <v>206</v>
      </c>
      <c r="D71" s="21" t="s">
        <v>379</v>
      </c>
      <c r="E71" s="13">
        <v>42865.453148148146</v>
      </c>
      <c r="F71" s="13">
        <v>42865.458865740744</v>
      </c>
      <c r="G71" s="7">
        <v>1</v>
      </c>
      <c r="H71" s="21" t="s">
        <v>474</v>
      </c>
      <c r="I71" s="13">
        <v>42865.485289351855</v>
      </c>
      <c r="J71" s="7">
        <v>0</v>
      </c>
      <c r="K71" s="92" t="str">
        <f t="shared" si="0"/>
        <v>4027/4028</v>
      </c>
      <c r="L71" s="21" t="str">
        <f>VLOOKUP(A71,'Trips&amp;Operators'!$C$1:$G$99999,5,FALSE)</f>
        <v>CLARK KATHLEEN</v>
      </c>
      <c r="M71" s="6">
        <f t="shared" si="1"/>
        <v>2.6423611110658385E-2</v>
      </c>
      <c r="N71" s="7">
        <f t="shared" si="25"/>
        <v>38.049999999348074</v>
      </c>
      <c r="O71" s="7"/>
      <c r="P71" s="7"/>
      <c r="Q71" s="22"/>
      <c r="R71" s="190"/>
      <c r="S71" s="196">
        <f t="shared" si="26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-10T09:52:32-0600',mode:absolute,to:'2017-05-10T12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192" t="str">
        <f t="shared" si="6"/>
        <v>N</v>
      </c>
      <c r="X71" s="192">
        <f t="shared" si="29"/>
        <v>1</v>
      </c>
      <c r="Y71" s="192">
        <f t="shared" si="27"/>
        <v>4.4200000000000003E-2</v>
      </c>
      <c r="Z71" s="192">
        <f t="shared" si="28"/>
        <v>23.327999999999999</v>
      </c>
      <c r="AA71" s="192">
        <f t="shared" si="10"/>
        <v>23.283799999999999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0159-10</v>
      </c>
      <c r="AE71" s="80" t="str">
        <f t="shared" si="12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71" s="77" t="str">
        <f t="shared" si="13"/>
        <v>"C:\Program Files (x86)\AstroGrep\AstroGrep.exe" /e /r /s /spath="%USERPROFILE%\AppData\Local\Temp\OnboardLogs" /stypes="app*4028*20170510*"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159-10 --locoid 4028 --swversion DE.1.0.9.0 --startMP 204:442 --initTime 2017-05-10T10:52:32 --startdatetime 2017-05-10T11:00:46 --delay 1 --endMP 204:233280 --enddatetime 2017-05-10T11:38:49 --enforcementcount 0 &gt;&gt;C:\Users\stu\Documents\GitHub\eaglep3-reporting\EC\2017-05-10-refined-times.txt</v>
      </c>
      <c r="AI71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{"issue":{"subject":"","project_id":79,"tracker_id":40,"status_id":1,"priority_id":2,"assigned_to_id":23,"start_date":"2017-05-10","description":"","custom_fields":[{"id":1,"name":"Subdivision","value":"EC"},{"id":4,"name":"Milepost","value":"23.328"},{"id":17,"name":"Train ID","value":"159-10"},{"id":16,"name":"Locomotive ID","value":"4028"},{"id":130,"name":"Impact","value":""},{"id":150,"name":"Time of Event (Mountain Time)","value":"11:38:49"},{"id":151,"name":"Denver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4028 --day 2017-05-10</v>
      </c>
      <c r="AN71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687</v>
      </c>
      <c r="B72" s="7">
        <v>4027</v>
      </c>
      <c r="C72" s="21" t="s">
        <v>206</v>
      </c>
      <c r="D72" s="21" t="s">
        <v>845</v>
      </c>
      <c r="E72" s="13">
        <v>42865.493414351855</v>
      </c>
      <c r="F72" s="13">
        <v>42865.497465277775</v>
      </c>
      <c r="G72" s="7">
        <v>1</v>
      </c>
      <c r="H72" s="21" t="s">
        <v>846</v>
      </c>
      <c r="I72" s="13">
        <v>42865.526469907411</v>
      </c>
      <c r="J72" s="7">
        <v>0</v>
      </c>
      <c r="K72" s="92" t="str">
        <f t="shared" si="0"/>
        <v>4027/4028</v>
      </c>
      <c r="L72" s="21" t="str">
        <f>VLOOKUP(A72,'Trips&amp;Operators'!$C$1:$G$99999,5,FALSE)</f>
        <v>CLARK KATHLEEN</v>
      </c>
      <c r="M72" s="6">
        <f t="shared" si="1"/>
        <v>2.9004629635892343E-2</v>
      </c>
      <c r="N72" s="7">
        <f t="shared" si="25"/>
        <v>41.766666675684974</v>
      </c>
      <c r="O72" s="7"/>
      <c r="P72" s="7"/>
      <c r="Q72" s="22"/>
      <c r="R72" s="190"/>
      <c r="S72" s="196">
        <f t="shared" si="26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-10T10:50:31-0600',mode:absolute,to:'2017-05-10T13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192" t="str">
        <f t="shared" si="6"/>
        <v>N</v>
      </c>
      <c r="X72" s="192">
        <f t="shared" si="29"/>
        <v>1</v>
      </c>
      <c r="Y72" s="192">
        <f t="shared" si="27"/>
        <v>23.294799999999999</v>
      </c>
      <c r="Z72" s="192">
        <f t="shared" si="28"/>
        <v>2.18E-2</v>
      </c>
      <c r="AA72" s="192">
        <f t="shared" si="10"/>
        <v>23.273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0160-10</v>
      </c>
      <c r="AE72" s="80" t="str">
        <f t="shared" si="12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72" s="77" t="str">
        <f t="shared" si="13"/>
        <v>"C:\Program Files (x86)\AstroGrep\AstroGrep.exe" /e /r /s /spath="%USERPROFILE%\AppData\Local\Temp\OnboardLogs" /stypes="app*4027*20170510*"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160-10 --locoid 4027 --swversion DE.1.0.9.0 --startMP 204:232948 --initTime 2017-05-10T11:50:31 --startdatetime 2017-05-10T11:56:21 --delay 1 --endMP 204:218 --enddatetime 2017-05-10T12:38:07 --enforcementcount 0 &gt;&gt;C:\Users\stu\Documents\GitHub\eaglep3-reporting\EC\2017-05-10-refined-times.txt</v>
      </c>
      <c r="AI72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{"issue":{"subject":"","project_id":79,"tracker_id":40,"status_id":1,"priority_id":2,"assigned_to_id":23,"start_date":"2017-05-10","description":"","custom_fields":[{"id":1,"name":"Subdivision","value":"EC"},{"id":4,"name":"Milepost","value":"0.0218"},{"id":17,"name":"Train ID","value":"160-10"},{"id":16,"name":"Locomotive ID","value":"4027"},{"id":130,"name":"Impact","value":""},{"id":150,"name":"Time of Event (Mountain Time)","value":"12:38:07"},{"id":151,"name":"Denver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4027 --day 2017-05-10</v>
      </c>
      <c r="AN72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680</v>
      </c>
      <c r="B73" s="7">
        <v>4012</v>
      </c>
      <c r="C73" s="21" t="s">
        <v>206</v>
      </c>
      <c r="D73" s="21" t="s">
        <v>370</v>
      </c>
      <c r="E73" s="13">
        <v>42865.465891203705</v>
      </c>
      <c r="F73" s="13">
        <v>42865.4690625</v>
      </c>
      <c r="G73" s="7">
        <v>2</v>
      </c>
      <c r="H73" s="21" t="s">
        <v>409</v>
      </c>
      <c r="I73" s="13">
        <v>42865.495150462964</v>
      </c>
      <c r="J73" s="7">
        <v>0</v>
      </c>
      <c r="K73" s="92" t="str">
        <f t="shared" si="0"/>
        <v>4011/4012</v>
      </c>
      <c r="L73" s="21" t="str">
        <f>VLOOKUP(A73,'Trips&amp;Operators'!$C$1:$G$99999,5,FALSE)</f>
        <v>DAVIS MICHAEL</v>
      </c>
      <c r="M73" s="6">
        <f t="shared" si="1"/>
        <v>2.6087962964083999E-2</v>
      </c>
      <c r="N73" s="7">
        <f t="shared" si="25"/>
        <v>37.566666668280959</v>
      </c>
      <c r="O73" s="7"/>
      <c r="P73" s="7"/>
      <c r="Q73" s="22"/>
      <c r="R73" s="190"/>
      <c r="S73" s="196">
        <f t="shared" si="26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-10T10:10:53-0600',mode:absolute,to:'2017-05-10T12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192" t="str">
        <f t="shared" si="6"/>
        <v>N</v>
      </c>
      <c r="X73" s="192">
        <f t="shared" si="29"/>
        <v>1</v>
      </c>
      <c r="Y73" s="192">
        <f t="shared" si="27"/>
        <v>4.53E-2</v>
      </c>
      <c r="Z73" s="192">
        <f t="shared" si="28"/>
        <v>23.331199999999999</v>
      </c>
      <c r="AA73" s="192">
        <f t="shared" si="10"/>
        <v>23.285899999999998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0161-10</v>
      </c>
      <c r="AE73" s="80" t="str">
        <f t="shared" si="12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73" s="77" t="str">
        <f t="shared" si="13"/>
        <v>"C:\Program Files (x86)\AstroGrep\AstroGrep.exe" /e /r /s /spath="%USERPROFILE%\AppData\Local\Temp\OnboardLogs" /stypes="app*4012*20170510*"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161-10 --locoid 4012 --swversion DE.1.0.9.0 --startMP 204:453 --initTime 2017-05-10T11:10:53 --startdatetime 2017-05-10T11:15:27 --delay 2 --endMP 204:233312 --enddatetime 2017-05-10T11:53:01 --enforcementcount 0 &gt;&gt;C:\Users\stu\Documents\GitHub\eaglep3-reporting\EC\2017-05-10-refined-times.txt</v>
      </c>
      <c r="AI73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{"issue":{"subject":"","project_id":79,"tracker_id":40,"status_id":1,"priority_id":2,"assigned_to_id":23,"start_date":"2017-05-10","description":"","custom_fields":[{"id":1,"name":"Subdivision","value":"EC"},{"id":4,"name":"Milepost","value":"23.3312"},{"id":17,"name":"Train ID","value":"161-10"},{"id":16,"name":"Locomotive ID","value":"4012"},{"id":130,"name":"Impact","value":""},{"id":150,"name":"Time of Event (Mountain Time)","value":"11:53:01"},{"id":151,"name":"Denver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4012 --day 2017-05-10</v>
      </c>
      <c r="AN73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583</v>
      </c>
      <c r="B74" s="7">
        <v>4011</v>
      </c>
      <c r="C74" s="21" t="s">
        <v>206</v>
      </c>
      <c r="D74" s="21" t="s">
        <v>847</v>
      </c>
      <c r="E74" s="13">
        <v>42865.505509259259</v>
      </c>
      <c r="F74" s="13">
        <v>42865.508240740739</v>
      </c>
      <c r="G74" s="7">
        <v>2</v>
      </c>
      <c r="H74" s="21" t="s">
        <v>376</v>
      </c>
      <c r="I74" s="13">
        <v>42865.537476851852</v>
      </c>
      <c r="J74" s="7">
        <v>0</v>
      </c>
      <c r="K74" s="92" t="str">
        <f t="shared" si="0"/>
        <v>4011/4012</v>
      </c>
      <c r="L74" s="21" t="str">
        <f>VLOOKUP(A74,'Trips&amp;Operators'!$C$1:$G$99999,5,FALSE)</f>
        <v>DAVIS MICHAEL</v>
      </c>
      <c r="M74" s="6">
        <f t="shared" si="1"/>
        <v>2.923611111327773E-2</v>
      </c>
      <c r="N74" s="7">
        <f t="shared" si="25"/>
        <v>42.100000003119931</v>
      </c>
      <c r="O74" s="7"/>
      <c r="P74" s="7"/>
      <c r="Q74" s="22"/>
      <c r="R74" s="190"/>
      <c r="S74" s="196">
        <f t="shared" si="26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-10T11:07:56-0600',mode:absolute,to:'2017-05-10T13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192" t="str">
        <f t="shared" si="6"/>
        <v>N</v>
      </c>
      <c r="X74" s="192">
        <f t="shared" si="29"/>
        <v>1</v>
      </c>
      <c r="Y74" s="192">
        <f t="shared" si="27"/>
        <v>23.300599999999999</v>
      </c>
      <c r="Z74" s="192">
        <f t="shared" si="28"/>
        <v>1.41E-2</v>
      </c>
      <c r="AA74" s="192">
        <f t="shared" si="10"/>
        <v>23.2865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0162-10</v>
      </c>
      <c r="AE74" s="80" t="str">
        <f t="shared" si="12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74" s="77" t="str">
        <f t="shared" si="13"/>
        <v>"C:\Program Files (x86)\AstroGrep\AstroGrep.exe" /e /r /s /spath="%USERPROFILE%\AppData\Local\Temp\OnboardLogs" /stypes="app*4011*20170510*"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162-10 --locoid 4011 --swversion DE.1.0.9.0 --startMP 204:233006 --initTime 2017-05-10T12:07:56 --startdatetime 2017-05-10T12:11:52 --delay 2 --endMP 204:141 --enddatetime 2017-05-10T12:53:58 --enforcementcount 0 &gt;&gt;C:\Users\stu\Documents\GitHub\eaglep3-reporting\EC\2017-05-10-refined-times.txt</v>
      </c>
      <c r="AI74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{"issue":{"subject":"","project_id":79,"tracker_id":40,"status_id":1,"priority_id":2,"assigned_to_id":23,"start_date":"2017-05-10","description":"","custom_fields":[{"id":1,"name":"Subdivision","value":"EC"},{"id":4,"name":"Milepost","value":"0.0141"},{"id":17,"name":"Train ID","value":"162-10"},{"id":16,"name":"Locomotive ID","value":"4011"},{"id":130,"name":"Impact","value":""},{"id":150,"name":"Time of Event (Mountain Time)","value":"12:53:58"},{"id":151,"name":"Denver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4011 --day 2017-05-10</v>
      </c>
      <c r="AN74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682</v>
      </c>
      <c r="B75" s="7">
        <v>4018</v>
      </c>
      <c r="C75" s="21" t="s">
        <v>206</v>
      </c>
      <c r="D75" s="21" t="s">
        <v>465</v>
      </c>
      <c r="E75" s="13">
        <v>42865.475138888891</v>
      </c>
      <c r="F75" s="13">
        <v>42865.479375000003</v>
      </c>
      <c r="G75" s="7">
        <v>1</v>
      </c>
      <c r="H75" s="21" t="s">
        <v>473</v>
      </c>
      <c r="I75" s="13">
        <v>42865.505243055559</v>
      </c>
      <c r="J75" s="7">
        <v>0</v>
      </c>
      <c r="K75" s="92" t="str">
        <f t="shared" si="0"/>
        <v>4017/4018</v>
      </c>
      <c r="L75" s="21" t="str">
        <f>VLOOKUP(A75,'Trips&amp;Operators'!$C$1:$G$99999,5,FALSE)</f>
        <v>LAMAR NEKESHA</v>
      </c>
      <c r="M75" s="6">
        <f t="shared" si="1"/>
        <v>2.5868055556202307E-2</v>
      </c>
      <c r="N75" s="7">
        <f t="shared" si="25"/>
        <v>37.250000000931323</v>
      </c>
      <c r="O75" s="7"/>
      <c r="P75" s="7"/>
      <c r="Q75" s="22"/>
      <c r="R75" s="190"/>
      <c r="S75" s="196">
        <f t="shared" si="26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-10T10:24:12-0600',mode:absolute,to:'2017-05-10T13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192" t="str">
        <f t="shared" si="6"/>
        <v>N</v>
      </c>
      <c r="X75" s="192">
        <f t="shared" si="29"/>
        <v>1</v>
      </c>
      <c r="Y75" s="192">
        <f t="shared" si="27"/>
        <v>4.6199999999999998E-2</v>
      </c>
      <c r="Z75" s="192">
        <f t="shared" si="28"/>
        <v>23.3276</v>
      </c>
      <c r="AA75" s="192">
        <f t="shared" si="10"/>
        <v>23.281400000000001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0163-10</v>
      </c>
      <c r="AE75" s="80" t="str">
        <f t="shared" si="12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75" s="77" t="str">
        <f t="shared" si="13"/>
        <v>"C:\Program Files (x86)\AstroGrep\AstroGrep.exe" /e /r /s /spath="%USERPROFILE%\AppData\Local\Temp\OnboardLogs" /stypes="app*4018*20170510*"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163-10 --locoid 4018 --swversion DE.1.0.9.0 --startMP 204:462 --initTime 2017-05-10T11:24:12 --startdatetime 2017-05-10T11:30:18 --delay 1 --endMP 204:233276 --enddatetime 2017-05-10T12:07:33 --enforcementcount 0 &gt;&gt;C:\Users\stu\Documents\GitHub\eaglep3-reporting\EC\2017-05-10-refined-times.txt</v>
      </c>
      <c r="AI75" s="99" t="str">
        <f t="shared" si="20"/>
        <v>echo {"issue":{"subject":"","project_id":79,"tracker_id":40,"status_id":1,"priority_id":2,"assigned_to_id":23,"start_date":"2017-05-10","description":"","custom_fields":[{"id":1,"name":"Subdivision","value":"EC"},{"id":4,"name":"Milepost","value":"23.3276"},{"id":17,"name":"Train ID","value":"163-10"},{"id":16,"name":"Locomotive ID","value":"4018"},{"id":130,"name":"Impact","value":""},{"id":150,"name":"Time of Event (Mountain Time)","value":"12:07:33"},{"id":151,"name":"Denver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4018 --day 2017-05-10</v>
      </c>
      <c r="AN75" s="154" t="str">
        <f t="shared" si="2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690</v>
      </c>
      <c r="B76" s="7">
        <v>4017</v>
      </c>
      <c r="C76" s="21" t="s">
        <v>206</v>
      </c>
      <c r="D76" s="21" t="s">
        <v>848</v>
      </c>
      <c r="E76" s="13">
        <v>42865.5075</v>
      </c>
      <c r="F76" s="13">
        <v>42865.518541666665</v>
      </c>
      <c r="G76" s="7">
        <v>1</v>
      </c>
      <c r="H76" s="21" t="s">
        <v>530</v>
      </c>
      <c r="I76" s="13">
        <v>42865.548182870371</v>
      </c>
      <c r="J76" s="7">
        <v>0</v>
      </c>
      <c r="K76" s="92" t="str">
        <f t="shared" si="0"/>
        <v>4017/4018</v>
      </c>
      <c r="L76" s="21" t="str">
        <f>VLOOKUP(A76,'Trips&amp;Operators'!$C$1:$G$99999,5,FALSE)</f>
        <v>LAMAR NEKESHA</v>
      </c>
      <c r="M76" s="6">
        <f t="shared" si="1"/>
        <v>2.9641203705978114E-2</v>
      </c>
      <c r="N76" s="7">
        <f t="shared" si="25"/>
        <v>42.683333336608484</v>
      </c>
      <c r="O76" s="7"/>
      <c r="P76" s="7"/>
      <c r="Q76" s="22"/>
      <c r="R76" s="190"/>
      <c r="S76" s="196">
        <f t="shared" si="26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-10T11:10:48-0600',mode:absolute,to:'2017-05-10T14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192" t="str">
        <f t="shared" si="6"/>
        <v>N</v>
      </c>
      <c r="X76" s="192">
        <f t="shared" si="29"/>
        <v>1</v>
      </c>
      <c r="Y76" s="192">
        <f t="shared" si="27"/>
        <v>23.295300000000001</v>
      </c>
      <c r="Z76" s="192">
        <f t="shared" si="28"/>
        <v>1.6899999999999998E-2</v>
      </c>
      <c r="AA76" s="192">
        <f t="shared" si="10"/>
        <v>23.278400000000001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0164-10</v>
      </c>
      <c r="AE76" s="80" t="str">
        <f t="shared" si="12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76" s="77" t="str">
        <f t="shared" si="13"/>
        <v>"C:\Program Files (x86)\AstroGrep\AstroGrep.exe" /e /r /s /spath="%USERPROFILE%\AppData\Local\Temp\OnboardLogs" /stypes="app*4017*20170510*"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ref="AH76:AH140" si="30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164-10 --locoid 4017 --swversion DE.1.0.9.0 --startMP 204:232953 --initTime 2017-05-10T12:10:48 --startdatetime 2017-05-10T12:26:42 --delay 1 --endMP 204:169 --enddatetime 2017-05-10T13:09:23 --enforcementcount 0 &gt;&gt;C:\Users\stu\Documents\GitHub\eaglep3-reporting\EC\2017-05-10-refined-times.txt</v>
      </c>
      <c r="AI76" s="99" t="str">
        <f t="shared" ref="AI76:AI140" si="31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{"issue":{"subject":"","project_id":79,"tracker_id":40,"status_id":1,"priority_id":2,"assigned_to_id":23,"start_date":"2017-05-10","description":"","custom_fields":[{"id":1,"name":"Subdivision","value":"EC"},{"id":4,"name":"Milepost","value":"0.0169"},{"id":17,"name":"Train ID","value":"164-10"},{"id":16,"name":"Locomotive ID","value":"4017"},{"id":130,"name":"Impact","value":""},{"id":150,"name":"Time of Event (Mountain Time)","value":"13:09:23"},{"id":151,"name":"Denver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ref="AM76:AM140" si="32">"start /low /b "&amp;dls3logs&amp;" --loco "&amp;B76&amp;" --day "&amp;TEXT(F76,"YYYY-MM-DD")</f>
        <v>start /low /b %USERPROFILE%\Documents\GitHub\eaglep3\Utilities\DownloadLogsFromS3.py --loco 4017 --day 2017-05-10</v>
      </c>
      <c r="AN76" s="154" t="str">
        <f t="shared" ref="AN76:AN140" si="33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684</v>
      </c>
      <c r="B77" s="7">
        <v>4008</v>
      </c>
      <c r="C77" s="21" t="s">
        <v>206</v>
      </c>
      <c r="D77" s="21" t="s">
        <v>379</v>
      </c>
      <c r="E77" s="13">
        <v>42865.485659722224</v>
      </c>
      <c r="F77" s="13">
        <v>42865.489768518521</v>
      </c>
      <c r="G77" s="7">
        <v>1</v>
      </c>
      <c r="H77" s="21" t="s">
        <v>409</v>
      </c>
      <c r="I77" s="13">
        <v>42865.514687499999</v>
      </c>
      <c r="J77" s="7">
        <v>0</v>
      </c>
      <c r="K77" s="92" t="str">
        <f t="shared" ref="K77:K140" si="34">IF(ISEVEN(B77),(B77-1)&amp;"/"&amp;B77,B77&amp;"/"&amp;(B77+1))</f>
        <v>4007/4008</v>
      </c>
      <c r="L77" s="21" t="str">
        <f>VLOOKUP(A77,'Trips&amp;Operators'!$C$1:$G$99999,5,FALSE)</f>
        <v>HELVIE ADAM</v>
      </c>
      <c r="M77" s="6">
        <f t="shared" ref="M77:M140" si="35">I77-F77</f>
        <v>2.491898147854954E-2</v>
      </c>
      <c r="N77" s="7">
        <f t="shared" ref="N77:N112" si="36">24*60*SUM($M77:$M77)</f>
        <v>35.883333329111338</v>
      </c>
      <c r="O77" s="7"/>
      <c r="P77" s="7"/>
      <c r="Q77" s="22"/>
      <c r="R77" s="190"/>
      <c r="S77" s="196">
        <f t="shared" ref="S77:S112" si="37">SUM(U77:U77)/IF(AG77="EC",12,1)</f>
        <v>1</v>
      </c>
      <c r="T77" s="190" t="str">
        <f t="shared" ref="T77:T140" si="38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-10T10:39:21-0600',mode:absolute,to:'2017-05-10T13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192" t="str">
        <f t="shared" ref="W77:W140" si="40">IF(AA77&lt;IF(AG77="EC",23,5.65),"Y","N")</f>
        <v>N</v>
      </c>
      <c r="X77" s="192">
        <f t="shared" si="29"/>
        <v>1</v>
      </c>
      <c r="Y77" s="192">
        <f t="shared" ref="Y77:Y91" si="41">RIGHT(D77,LEN(D77)-4)/10000</f>
        <v>4.4200000000000003E-2</v>
      </c>
      <c r="Z77" s="192">
        <f t="shared" ref="Z77:Z91" si="42">RIGHT(H77,LEN(H77)-4)/10000</f>
        <v>23.331199999999999</v>
      </c>
      <c r="AA77" s="192">
        <f t="shared" ref="AA77:AA140" si="43">ABS(Z77-Y77)</f>
        <v>23.286999999999999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4">IF(LEN(A77)=6,"0"&amp;A77,A77)</f>
        <v>0165-10</v>
      </c>
      <c r="AE77" s="80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77" s="77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/stypes="app*4008*20170510*"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7">IFERROR(IF(VALUE(LEFT(AD77,2))&lt;=2,"EC",IF(OR(VALUE(LEFT(AD77,2))=8,VALUE(LEFT(AD77,2))=18),"NW","Other")),"Other")</f>
        <v>EC</v>
      </c>
      <c r="AH77" s="81" t="str">
        <f t="shared" si="30"/>
        <v>"%USERPROFILE%\Documents\GitHub\eaglep3\Utilities\RefineRTDCRunTimes.py" --tripid 165-10 --locoid 4008 --swversion DE.1.0.9.0 --startMP 204:442 --initTime 2017-05-10T11:39:21 --startdatetime 2017-05-10T11:45:16 --delay 1 --endMP 204:233312 --enddatetime 2017-05-10T12:21:09 --enforcementcount 0 &gt;&gt;C:\Users\stu\Documents\GitHub\eaglep3-reporting\EC\2017-05-10-refined-times.txt</v>
      </c>
      <c r="AI77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{"issue":{"subject":"","project_id":79,"tracker_id":40,"status_id":1,"priority_id":2,"assigned_to_id":23,"start_date":"2017-05-10","description":"","custom_fields":[{"id":1,"name":"Subdivision","value":"EC"},{"id":4,"name":"Milepost","value":"23.3312"},{"id":17,"name":"Train ID","value":"165-10"},{"id":16,"name":"Locomotive ID","value":"4008"},{"id":130,"name":"Impact","value":""},{"id":150,"name":"Time of Event (Mountain Time)","value":"12:21:09"},{"id":151,"name":"Denver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32"/>
        <v>start /low /b %USERPROFILE%\Documents\GitHub\eaglep3\Utilities\DownloadLogsFromS3.py --loco 4008 --day 2017-05-10</v>
      </c>
      <c r="AN77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693</v>
      </c>
      <c r="B78" s="7">
        <v>4007</v>
      </c>
      <c r="C78" s="21" t="s">
        <v>206</v>
      </c>
      <c r="D78" s="21" t="s">
        <v>849</v>
      </c>
      <c r="E78" s="13">
        <v>42865.52548611111</v>
      </c>
      <c r="F78" s="13">
        <v>42865.528865740744</v>
      </c>
      <c r="G78" s="7">
        <v>1</v>
      </c>
      <c r="H78" s="21" t="s">
        <v>530</v>
      </c>
      <c r="I78" s="13">
        <v>42865.554062499999</v>
      </c>
      <c r="J78" s="7">
        <v>0</v>
      </c>
      <c r="K78" s="92" t="str">
        <f t="shared" si="34"/>
        <v>4007/4008</v>
      </c>
      <c r="L78" s="21" t="str">
        <f>VLOOKUP(A78,'Trips&amp;Operators'!$C$1:$G$99999,5,FALSE)</f>
        <v>HELVIE ADAM</v>
      </c>
      <c r="M78" s="6">
        <f t="shared" si="35"/>
        <v>2.5196759255777579E-2</v>
      </c>
      <c r="N78" s="7">
        <f t="shared" si="36"/>
        <v>36.283333328319713</v>
      </c>
      <c r="O78" s="7"/>
      <c r="P78" s="7"/>
      <c r="Q78" s="22"/>
      <c r="R78" s="190"/>
      <c r="S78" s="196">
        <f t="shared" si="37"/>
        <v>1</v>
      </c>
      <c r="T78" s="190" t="str">
        <f t="shared" si="38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9"/>
        <v>https://d0f6bd738d7f1b3e5a7ca70fe4ff75f0.us-east-1.aws.found.io/app/kibana#/discover/Steve-Slow-Train-Analysis-(2080s-and-2083s)?_g=(refreshInterval:(display:Off,pause:!f,section:0,value:0),time:(from:'2017-05-10T11:36:42-0600',mode:absolute,to:'2017-05-10T14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92" t="str">
        <f t="shared" si="40"/>
        <v>N</v>
      </c>
      <c r="X78" s="192">
        <f t="shared" si="29"/>
        <v>1</v>
      </c>
      <c r="Y78" s="192">
        <f t="shared" si="41"/>
        <v>23.298300000000001</v>
      </c>
      <c r="Z78" s="192">
        <f t="shared" si="42"/>
        <v>1.6899999999999998E-2</v>
      </c>
      <c r="AA78" s="192">
        <f t="shared" si="43"/>
        <v>23.281400000000001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4"/>
        <v>0166-10</v>
      </c>
      <c r="AE78" s="80" t="str">
        <f t="shared" si="45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78" s="77" t="str">
        <f t="shared" si="46"/>
        <v>"C:\Program Files (x86)\AstroGrep\AstroGrep.exe" /e /r /s /spath="%USERPROFILE%\AppData\Local\Temp\OnboardLogs" /stypes="app*4007*20170510*" /stext=" 19:.+((SYSTEM_STATE.+slice.+state.+changed )|(ment ac)|(multiple cpu faults)|(system.+state.+changed )|(\[timeout)|(PRM\|1\|D)|(kpr)|(kdp)|(train st.+moving)|(\|lc)|(penalty))"</v>
      </c>
      <c r="AG78" s="1" t="str">
        <f t="shared" si="47"/>
        <v>EC</v>
      </c>
      <c r="AH78" s="81" t="str">
        <f t="shared" si="30"/>
        <v>"%USERPROFILE%\Documents\GitHub\eaglep3\Utilities\RefineRTDCRunTimes.py" --tripid 166-10 --locoid 4007 --swversion DE.1.0.9.0 --startMP 204:232983 --initTime 2017-05-10T12:36:42 --startdatetime 2017-05-10T12:41:34 --delay 1 --endMP 204:169 --enddatetime 2017-05-10T13:17:51 --enforcementcount 0 &gt;&gt;C:\Users\stu\Documents\GitHub\eaglep3-reporting\EC\2017-05-10-refined-times.txt</v>
      </c>
      <c r="AI78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{"issue":{"subject":"","project_id":79,"tracker_id":40,"status_id":1,"priority_id":2,"assigned_to_id":23,"start_date":"2017-05-10","description":"","custom_fields":[{"id":1,"name":"Subdivision","value":"EC"},{"id":4,"name":"Milepost","value":"0.0169"},{"id":17,"name":"Train ID","value":"166-10"},{"id":16,"name":"Locomotive ID","value":"4007"},{"id":130,"name":"Impact","value":""},{"id":150,"name":"Time of Event (Mountain Time)","value":"13:17:51"},{"id":151,"name":"Denver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32"/>
        <v>start /low /b %USERPROFILE%\Documents\GitHub\eaglep3\Utilities\DownloadLogsFromS3.py --loco 4007 --day 2017-05-10</v>
      </c>
      <c r="AN78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582</v>
      </c>
      <c r="B79" s="7">
        <v>4040</v>
      </c>
      <c r="C79" s="21" t="s">
        <v>206</v>
      </c>
      <c r="D79" s="21" t="s">
        <v>521</v>
      </c>
      <c r="E79" s="13">
        <v>42865.496678240743</v>
      </c>
      <c r="F79" s="13">
        <v>42865.500162037039</v>
      </c>
      <c r="G79" s="7">
        <v>1</v>
      </c>
      <c r="H79" s="21" t="s">
        <v>850</v>
      </c>
      <c r="I79" s="13">
        <v>42865.527442129627</v>
      </c>
      <c r="J79" s="7">
        <v>0</v>
      </c>
      <c r="K79" s="92" t="str">
        <f t="shared" si="34"/>
        <v>4039/4040</v>
      </c>
      <c r="L79" s="21" t="str">
        <f>VLOOKUP(A79,'Trips&amp;Operators'!$C$1:$G$99999,5,FALSE)</f>
        <v>BIRENBAUM THOMAS</v>
      </c>
      <c r="M79" s="6">
        <f t="shared" si="35"/>
        <v>2.7280092588625848E-2</v>
      </c>
      <c r="N79" s="7">
        <f t="shared" si="36"/>
        <v>39.283333327621222</v>
      </c>
      <c r="O79" s="7"/>
      <c r="P79" s="7"/>
      <c r="Q79" s="22"/>
      <c r="R79" s="190"/>
      <c r="S79" s="196">
        <f t="shared" si="37"/>
        <v>1</v>
      </c>
      <c r="T79" s="190" t="str">
        <f t="shared" si="38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9"/>
        <v>https://d0f6bd738d7f1b3e5a7ca70fe4ff75f0.us-east-1.aws.found.io/app/kibana#/discover/Steve-Slow-Train-Analysis-(2080s-and-2083s)?_g=(refreshInterval:(display:Off,pause:!f,section:0,value:0),time:(from:'2017-05-10T10:55:13-0600',mode:absolute,to:'2017-05-10T13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192" t="str">
        <f t="shared" si="40"/>
        <v>N</v>
      </c>
      <c r="X79" s="192">
        <f t="shared" si="29"/>
        <v>1</v>
      </c>
      <c r="Y79" s="192">
        <f t="shared" si="41"/>
        <v>4.3499999999999997E-2</v>
      </c>
      <c r="Z79" s="192">
        <f t="shared" si="42"/>
        <v>23.3339</v>
      </c>
      <c r="AA79" s="192">
        <f t="shared" si="43"/>
        <v>23.290399999999998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4"/>
        <v>0167-10</v>
      </c>
      <c r="AE79" s="80" t="str">
        <f t="shared" si="45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79" s="77" t="str">
        <f t="shared" si="46"/>
        <v>"C:\Program Files (x86)\AstroGrep\AstroGrep.exe" /e /r /s /spath="%USERPROFILE%\AppData\Local\Temp\OnboardLogs" /stypes="app*4040*20170510*" /stext=" 18:.+((SYSTEM_STATE.+slice.+state.+changed )|(ment ac)|(multiple cpu faults)|(system.+state.+changed )|(\[timeout)|(PRM\|1\|D)|(kpr)|(kdp)|(train st.+moving)|(\|lc)|(penalty))"</v>
      </c>
      <c r="AG79" s="1" t="str">
        <f t="shared" si="47"/>
        <v>EC</v>
      </c>
      <c r="AH79" s="81" t="str">
        <f t="shared" si="30"/>
        <v>"%USERPROFILE%\Documents\GitHub\eaglep3\Utilities\RefineRTDCRunTimes.py" --tripid 167-10 --locoid 4040 --swversion DE.1.0.9.0 --startMP 204:435 --initTime 2017-05-10T11:55:13 --startdatetime 2017-05-10T12:00:14 --delay 1 --endMP 204:233339 --enddatetime 2017-05-10T12:39:31 --enforcementcount 0 &gt;&gt;C:\Users\stu\Documents\GitHub\eaglep3-reporting\EC\2017-05-10-refined-times.txt</v>
      </c>
      <c r="AI79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{"issue":{"subject":"","project_id":79,"tracker_id":40,"status_id":1,"priority_id":2,"assigned_to_id":23,"start_date":"2017-05-10","description":"","custom_fields":[{"id":1,"name":"Subdivision","value":"EC"},{"id":4,"name":"Milepost","value":"23.3339"},{"id":17,"name":"Train ID","value":"167-10"},{"id":16,"name":"Locomotive ID","value":"4040"},{"id":130,"name":"Impact","value":""},{"id":150,"name":"Time of Event (Mountain Time)","value":"12:39:31"},{"id":151,"name":"Denver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32"/>
        <v>start /low /b %USERPROFILE%\Documents\GitHub\eaglep3\Utilities\DownloadLogsFromS3.py --loco 4040 --day 2017-05-10</v>
      </c>
      <c r="AN79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695</v>
      </c>
      <c r="B80" s="7">
        <v>4039</v>
      </c>
      <c r="C80" s="21" t="s">
        <v>206</v>
      </c>
      <c r="D80" s="21" t="s">
        <v>851</v>
      </c>
      <c r="E80" s="13">
        <v>42865.529467592591</v>
      </c>
      <c r="F80" s="13">
        <v>42865.539074074077</v>
      </c>
      <c r="G80" s="7">
        <v>1</v>
      </c>
      <c r="H80" s="21" t="s">
        <v>376</v>
      </c>
      <c r="I80" s="13">
        <v>42865.565069444441</v>
      </c>
      <c r="J80" s="7">
        <v>0</v>
      </c>
      <c r="K80" s="92" t="str">
        <f t="shared" si="34"/>
        <v>4039/4040</v>
      </c>
      <c r="L80" s="21" t="str">
        <f>VLOOKUP(A80,'Trips&amp;Operators'!$C$1:$G$99999,5,FALSE)</f>
        <v>BIRENBAUM THOMAS</v>
      </c>
      <c r="M80" s="6">
        <f t="shared" si="35"/>
        <v>2.5995370364398696E-2</v>
      </c>
      <c r="N80" s="7">
        <f t="shared" si="36"/>
        <v>37.433333324734122</v>
      </c>
      <c r="O80" s="7"/>
      <c r="P80" s="7"/>
      <c r="Q80" s="22"/>
      <c r="R80" s="190"/>
      <c r="S80" s="196">
        <f t="shared" si="37"/>
        <v>1</v>
      </c>
      <c r="T80" s="190" t="str">
        <f t="shared" si="38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9"/>
        <v>https://d0f6bd738d7f1b3e5a7ca70fe4ff75f0.us-east-1.aws.found.io/app/kibana#/discover/Steve-Slow-Train-Analysis-(2080s-and-2083s)?_g=(refreshInterval:(display:Off,pause:!f,section:0,value:0),time:(from:'2017-05-10T11:42:26-0600',mode:absolute,to:'2017-05-10T14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192" t="str">
        <f t="shared" si="40"/>
        <v>N</v>
      </c>
      <c r="X80" s="192">
        <f t="shared" si="29"/>
        <v>1</v>
      </c>
      <c r="Y80" s="192">
        <f t="shared" si="41"/>
        <v>23.3019</v>
      </c>
      <c r="Z80" s="192">
        <f t="shared" si="42"/>
        <v>1.41E-2</v>
      </c>
      <c r="AA80" s="192">
        <f t="shared" si="43"/>
        <v>23.287800000000001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4"/>
        <v>0168-10</v>
      </c>
      <c r="AE80" s="80" t="str">
        <f t="shared" si="45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80" s="77" t="str">
        <f t="shared" si="46"/>
        <v>"C:\Program Files (x86)\AstroGrep\AstroGrep.exe" /e /r /s /spath="%USERPROFILE%\AppData\Local\Temp\OnboardLogs" /stypes="app*4039*20170510*" /stext=" 19:.+((SYSTEM_STATE.+slice.+state.+changed )|(ment ac)|(multiple cpu faults)|(system.+state.+changed )|(\[timeout)|(PRM\|1\|D)|(kpr)|(kdp)|(train st.+moving)|(\|lc)|(penalty))"</v>
      </c>
      <c r="AG80" s="1" t="str">
        <f t="shared" si="47"/>
        <v>EC</v>
      </c>
      <c r="AH80" s="81" t="str">
        <f t="shared" si="30"/>
        <v>"%USERPROFILE%\Documents\GitHub\eaglep3\Utilities\RefineRTDCRunTimes.py" --tripid 168-10 --locoid 4039 --swversion DE.1.0.9.0 --startMP 204:233019 --initTime 2017-05-10T12:42:26 --startdatetime 2017-05-10T12:56:16 --delay 1 --endMP 204:141 --enddatetime 2017-05-10T13:33:42 --enforcementcount 0 &gt;&gt;C:\Users\stu\Documents\GitHub\eaglep3-reporting\EC\2017-05-10-refined-times.txt</v>
      </c>
      <c r="AI80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{"issue":{"subject":"","project_id":79,"tracker_id":40,"status_id":1,"priority_id":2,"assigned_to_id":23,"start_date":"2017-05-10","description":"","custom_fields":[{"id":1,"name":"Subdivision","value":"EC"},{"id":4,"name":"Milepost","value":"0.0141"},{"id":17,"name":"Train ID","value":"168-10"},{"id":16,"name":"Locomotive ID","value":"4039"},{"id":130,"name":"Impact","value":""},{"id":150,"name":"Time of Event (Mountain Time)","value":"13:33:42"},{"id":151,"name":"Denver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32"/>
        <v>start /low /b %USERPROFILE%\Documents\GitHub\eaglep3\Utilities\DownloadLogsFromS3.py --loco 4039 --day 2017-05-10</v>
      </c>
      <c r="AN80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691</v>
      </c>
      <c r="B81" s="7">
        <v>4006</v>
      </c>
      <c r="C81" s="21" t="s">
        <v>206</v>
      </c>
      <c r="D81" s="21" t="s">
        <v>362</v>
      </c>
      <c r="E81" s="13">
        <v>42865.507754629631</v>
      </c>
      <c r="F81" s="13">
        <v>42865.51059027778</v>
      </c>
      <c r="G81" s="7">
        <v>1</v>
      </c>
      <c r="H81" s="21" t="s">
        <v>535</v>
      </c>
      <c r="I81" s="13">
        <v>42865.535694444443</v>
      </c>
      <c r="J81" s="7">
        <v>0</v>
      </c>
      <c r="K81" s="92" t="str">
        <f t="shared" si="34"/>
        <v>4005/4006</v>
      </c>
      <c r="L81" s="21" t="str">
        <f>VLOOKUP(A81,'Trips&amp;Operators'!$C$1:$G$99999,5,FALSE)</f>
        <v>LEVIN SCOTT</v>
      </c>
      <c r="M81" s="6">
        <f t="shared" si="35"/>
        <v>2.5104166663368233E-2</v>
      </c>
      <c r="N81" s="7">
        <f t="shared" si="36"/>
        <v>36.149999995250255</v>
      </c>
      <c r="O81" s="7"/>
      <c r="P81" s="7"/>
      <c r="Q81" s="22"/>
      <c r="R81" s="190"/>
      <c r="S81" s="196">
        <f t="shared" si="37"/>
        <v>1</v>
      </c>
      <c r="T81" s="190" t="str">
        <f t="shared" si="38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9"/>
        <v>https://d0f6bd738d7f1b3e5a7ca70fe4ff75f0.us-east-1.aws.found.io/app/kibana#/discover/Steve-Slow-Train-Analysis-(2080s-and-2083s)?_g=(refreshInterval:(display:Off,pause:!f,section:0,value:0),time:(from:'2017-05-10T11:11:10-0600',mode:absolute,to:'2017-05-10T13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1" s="192" t="str">
        <f t="shared" si="40"/>
        <v>N</v>
      </c>
      <c r="X81" s="192">
        <f t="shared" si="29"/>
        <v>1</v>
      </c>
      <c r="Y81" s="192">
        <f t="shared" si="41"/>
        <v>4.6899999999999997E-2</v>
      </c>
      <c r="Z81" s="192">
        <f t="shared" si="42"/>
        <v>23.334900000000001</v>
      </c>
      <c r="AA81" s="192">
        <f t="shared" si="43"/>
        <v>23.288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4"/>
        <v>0169-10</v>
      </c>
      <c r="AE81" s="80" t="str">
        <f t="shared" si="45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81" s="77" t="str">
        <f t="shared" si="46"/>
        <v>"C:\Program Files (x86)\AstroGrep\AstroGrep.exe" /e /r /s /spath="%USERPROFILE%\AppData\Local\Temp\OnboardLogs" /stypes="app*4006*20170510*" /stext=" 18:.+((SYSTEM_STATE.+slice.+state.+changed )|(ment ac)|(multiple cpu faults)|(system.+state.+changed )|(\[timeout)|(PRM\|1\|D)|(kpr)|(kdp)|(train st.+moving)|(\|lc)|(penalty))"</v>
      </c>
      <c r="AG81" s="1" t="str">
        <f t="shared" si="47"/>
        <v>EC</v>
      </c>
      <c r="AH81" s="81" t="str">
        <f t="shared" si="30"/>
        <v>"%USERPROFILE%\Documents\GitHub\eaglep3\Utilities\RefineRTDCRunTimes.py" --tripid 169-10 --locoid 4006 --swversion DE.1.0.9.0 --startMP 204:469 --initTime 2017-05-10T12:11:10 --startdatetime 2017-05-10T12:15:15 --delay 1 --endMP 204:233349 --enddatetime 2017-05-10T12:51:24 --enforcementcount 0 &gt;&gt;C:\Users\stu\Documents\GitHub\eaglep3-reporting\EC\2017-05-10-refined-times.txt</v>
      </c>
      <c r="AI81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{"issue":{"subject":"","project_id":79,"tracker_id":40,"status_id":1,"priority_id":2,"assigned_to_id":23,"start_date":"2017-05-10","description":"","custom_fields":[{"id":1,"name":"Subdivision","value":"EC"},{"id":4,"name":"Milepost","value":"23.3349"},{"id":17,"name":"Train ID","value":"169-10"},{"id":16,"name":"Locomotive ID","value":"4006"},{"id":130,"name":"Impact","value":""},{"id":150,"name":"Time of Event (Mountain Time)","value":"12:51:24"},{"id":151,"name":"Denver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32"/>
        <v>start /low /b %USERPROFILE%\Documents\GitHub\eaglep3\Utilities\DownloadLogsFromS3.py --loco 4006 --day 2017-05-10</v>
      </c>
      <c r="AN81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697</v>
      </c>
      <c r="B82" s="7">
        <v>4005</v>
      </c>
      <c r="C82" s="21" t="s">
        <v>206</v>
      </c>
      <c r="D82" s="21" t="s">
        <v>852</v>
      </c>
      <c r="E82" s="13">
        <v>42865.5471875</v>
      </c>
      <c r="F82" s="13">
        <v>42865.549490740741</v>
      </c>
      <c r="G82" s="7">
        <v>1</v>
      </c>
      <c r="H82" s="21" t="s">
        <v>853</v>
      </c>
      <c r="I82" s="13">
        <v>42865.57608796296</v>
      </c>
      <c r="J82" s="7">
        <v>0</v>
      </c>
      <c r="K82" s="92" t="str">
        <f t="shared" si="34"/>
        <v>4005/4006</v>
      </c>
      <c r="L82" s="21" t="str">
        <f>VLOOKUP(A82,'Trips&amp;Operators'!$C$1:$G$99999,5,FALSE)</f>
        <v>LEVIN SCOTT</v>
      </c>
      <c r="M82" s="6">
        <f t="shared" si="35"/>
        <v>2.6597222218697425E-2</v>
      </c>
      <c r="N82" s="7">
        <f t="shared" si="36"/>
        <v>38.299999994924292</v>
      </c>
      <c r="O82" s="7"/>
      <c r="P82" s="7"/>
      <c r="Q82" s="22"/>
      <c r="R82" s="190"/>
      <c r="S82" s="196">
        <f t="shared" si="37"/>
        <v>1</v>
      </c>
      <c r="T82" s="190" t="str">
        <f t="shared" si="38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9"/>
        <v>https://d0f6bd738d7f1b3e5a7ca70fe4ff75f0.us-east-1.aws.found.io/app/kibana#/discover/Steve-Slow-Train-Analysis-(2080s-and-2083s)?_g=(refreshInterval:(display:Off,pause:!f,section:0,value:0),time:(from:'2017-05-10T12:07:57-0600',mode:absolute,to:'2017-05-10T14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2" s="192" t="str">
        <f t="shared" si="40"/>
        <v>N</v>
      </c>
      <c r="X82" s="192">
        <f t="shared" si="29"/>
        <v>1</v>
      </c>
      <c r="Y82" s="192">
        <f t="shared" si="41"/>
        <v>23.303599999999999</v>
      </c>
      <c r="Z82" s="192">
        <f t="shared" si="42"/>
        <v>1.2999999999999999E-2</v>
      </c>
      <c r="AA82" s="192">
        <f t="shared" si="43"/>
        <v>23.290599999999998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4"/>
        <v>0170-10</v>
      </c>
      <c r="AE82" s="80" t="str">
        <f t="shared" si="45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82" s="77" t="str">
        <f t="shared" si="46"/>
        <v>"C:\Program Files (x86)\AstroGrep\AstroGrep.exe" /e /r /s /spath="%USERPROFILE%\AppData\Local\Temp\OnboardLogs" /stypes="app*4005*20170510*" /stext=" 19:.+((SYSTEM_STATE.+slice.+state.+changed )|(ment ac)|(multiple cpu faults)|(system.+state.+changed )|(\[timeout)|(PRM\|1\|D)|(kpr)|(kdp)|(train st.+moving)|(\|lc)|(penalty))"</v>
      </c>
      <c r="AG82" s="1" t="str">
        <f t="shared" si="47"/>
        <v>EC</v>
      </c>
      <c r="AH82" s="81" t="str">
        <f t="shared" si="30"/>
        <v>"%USERPROFILE%\Documents\GitHub\eaglep3\Utilities\RefineRTDCRunTimes.py" --tripid 170-10 --locoid 4005 --swversion DE.1.0.9.0 --startMP 204:233036 --initTime 2017-05-10T13:07:57 --startdatetime 2017-05-10T13:11:16 --delay 1 --endMP 204:130 --enddatetime 2017-05-10T13:49:34 --enforcementcount 0 &gt;&gt;C:\Users\stu\Documents\GitHub\eaglep3-reporting\EC\2017-05-10-refined-times.txt</v>
      </c>
      <c r="AI82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{"issue":{"subject":"","project_id":79,"tracker_id":40,"status_id":1,"priority_id":2,"assigned_to_id":23,"start_date":"2017-05-10","description":"","custom_fields":[{"id":1,"name":"Subdivision","value":"EC"},{"id":4,"name":"Milepost","value":"0.013"},{"id":17,"name":"Train ID","value":"170-10"},{"id":16,"name":"Locomotive ID","value":"4005"},{"id":130,"name":"Impact","value":""},{"id":150,"name":"Time of Event (Mountain Time)","value":"13:49:34"},{"id":151,"name":"Denver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32"/>
        <v>start /low /b %USERPROFILE%\Documents\GitHub\eaglep3\Utilities\DownloadLogsFromS3.py --loco 4005 --day 2017-05-10</v>
      </c>
      <c r="AN82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584</v>
      </c>
      <c r="B83" s="7">
        <v>4032</v>
      </c>
      <c r="C83" s="21" t="s">
        <v>206</v>
      </c>
      <c r="D83" s="21" t="s">
        <v>465</v>
      </c>
      <c r="E83" s="13">
        <v>42865.518877314818</v>
      </c>
      <c r="F83" s="13">
        <v>42865.521064814813</v>
      </c>
      <c r="G83" s="7">
        <v>1</v>
      </c>
      <c r="H83" s="21" t="s">
        <v>854</v>
      </c>
      <c r="I83" s="13">
        <v>42865.547152777777</v>
      </c>
      <c r="J83" s="7">
        <v>0</v>
      </c>
      <c r="K83" s="92" t="str">
        <f t="shared" si="34"/>
        <v>4031/4032</v>
      </c>
      <c r="L83" s="21" t="str">
        <f>VLOOKUP(A83,'Trips&amp;Operators'!$C$1:$G$99999,5,FALSE)</f>
        <v>THOMPSON LESTER</v>
      </c>
      <c r="M83" s="6">
        <f t="shared" si="35"/>
        <v>2.6087962964083999E-2</v>
      </c>
      <c r="N83" s="7">
        <f t="shared" si="36"/>
        <v>37.566666668280959</v>
      </c>
      <c r="O83" s="7"/>
      <c r="P83" s="7"/>
      <c r="Q83" s="22"/>
      <c r="R83" s="190"/>
      <c r="S83" s="196">
        <f t="shared" si="37"/>
        <v>1</v>
      </c>
      <c r="T83" s="190" t="str">
        <f t="shared" si="38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9"/>
        <v>https://d0f6bd738d7f1b3e5a7ca70fe4ff75f0.us-east-1.aws.found.io/app/kibana#/discover/Steve-Slow-Train-Analysis-(2080s-and-2083s)?_g=(refreshInterval:(display:Off,pause:!f,section:0,value:0),time:(from:'2017-05-10T11:27:11-0600',mode:absolute,to:'2017-05-10T14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92" t="str">
        <f t="shared" si="40"/>
        <v>N</v>
      </c>
      <c r="X83" s="192">
        <f t="shared" si="29"/>
        <v>1</v>
      </c>
      <c r="Y83" s="192">
        <f t="shared" si="41"/>
        <v>4.6199999999999998E-2</v>
      </c>
      <c r="Z83" s="192">
        <f t="shared" si="42"/>
        <v>23.3322</v>
      </c>
      <c r="AA83" s="192">
        <f t="shared" si="43"/>
        <v>23.286000000000001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4"/>
        <v>0171-10</v>
      </c>
      <c r="AE83" s="80" t="str">
        <f t="shared" si="45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83" s="77" t="str">
        <f t="shared" si="46"/>
        <v>"C:\Program Files (x86)\AstroGrep\AstroGrep.exe" /e /r /s /spath="%USERPROFILE%\AppData\Local\Temp\OnboardLogs" /stypes="app*4032*20170510*" /stext=" 19:.+((SYSTEM_STATE.+slice.+state.+changed )|(ment ac)|(multiple cpu faults)|(system.+state.+changed )|(\[timeout)|(PRM\|1\|D)|(kpr)|(kdp)|(train st.+moving)|(\|lc)|(penalty))"</v>
      </c>
      <c r="AG83" s="1" t="str">
        <f t="shared" si="47"/>
        <v>EC</v>
      </c>
      <c r="AH83" s="81" t="str">
        <f t="shared" si="30"/>
        <v>"%USERPROFILE%\Documents\GitHub\eaglep3\Utilities\RefineRTDCRunTimes.py" --tripid 171-10 --locoid 4032 --swversion DE.1.0.9.0 --startMP 204:462 --initTime 2017-05-10T12:27:11 --startdatetime 2017-05-10T12:30:20 --delay 1 --endMP 204:233322 --enddatetime 2017-05-10T13:07:54 --enforcementcount 0 &gt;&gt;C:\Users\stu\Documents\GitHub\eaglep3-reporting\EC\2017-05-10-refined-times.txt</v>
      </c>
      <c r="AI83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{"issue":{"subject":"","project_id":79,"tracker_id":40,"status_id":1,"priority_id":2,"assigned_to_id":23,"start_date":"2017-05-10","description":"","custom_fields":[{"id":1,"name":"Subdivision","value":"EC"},{"id":4,"name":"Milepost","value":"23.3322"},{"id":17,"name":"Train ID","value":"171-10"},{"id":16,"name":"Locomotive ID","value":"4032"},{"id":130,"name":"Impact","value":""},{"id":150,"name":"Time of Event (Mountain Time)","value":"13:07:54"},{"id":151,"name":"Denver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32"/>
        <v>start /low /b %USERPROFILE%\Documents\GitHub\eaglep3\Utilities\DownloadLogsFromS3.py --loco 4032 --day 2017-05-10</v>
      </c>
      <c r="AN83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702</v>
      </c>
      <c r="B84" s="7">
        <v>4031</v>
      </c>
      <c r="C84" s="21" t="s">
        <v>206</v>
      </c>
      <c r="D84" s="21" t="s">
        <v>397</v>
      </c>
      <c r="E84" s="13">
        <v>42865.557268518518</v>
      </c>
      <c r="F84" s="13">
        <v>42865.559942129628</v>
      </c>
      <c r="G84" s="7">
        <v>1</v>
      </c>
      <c r="H84" s="21" t="s">
        <v>536</v>
      </c>
      <c r="I84" s="13">
        <v>42865.587835648148</v>
      </c>
      <c r="J84" s="7">
        <v>0</v>
      </c>
      <c r="K84" s="92" t="str">
        <f t="shared" si="34"/>
        <v>4031/4032</v>
      </c>
      <c r="L84" s="21" t="str">
        <f>VLOOKUP(A84,'Trips&amp;Operators'!$C$1:$G$99999,5,FALSE)</f>
        <v>THOMPSON LESTER</v>
      </c>
      <c r="M84" s="6">
        <f t="shared" si="35"/>
        <v>2.789351851970423E-2</v>
      </c>
      <c r="N84" s="7">
        <f t="shared" si="36"/>
        <v>40.166666668374091</v>
      </c>
      <c r="O84" s="7"/>
      <c r="P84" s="7"/>
      <c r="Q84" s="22"/>
      <c r="R84" s="190"/>
      <c r="S84" s="196">
        <f t="shared" si="37"/>
        <v>1</v>
      </c>
      <c r="T84" s="190" t="str">
        <f t="shared" si="38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9"/>
        <v>https://d0f6bd738d7f1b3e5a7ca70fe4ff75f0.us-east-1.aws.found.io/app/kibana#/discover/Steve-Slow-Train-Analysis-(2080s-and-2083s)?_g=(refreshInterval:(display:Off,pause:!f,section:0,value:0),time:(from:'2017-05-10T12:22:28-0600',mode:absolute,to:'2017-05-10T15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192" t="str">
        <f t="shared" si="40"/>
        <v>N</v>
      </c>
      <c r="X84" s="192">
        <f t="shared" si="29"/>
        <v>1</v>
      </c>
      <c r="Y84" s="192">
        <f t="shared" si="41"/>
        <v>23.3</v>
      </c>
      <c r="Z84" s="192">
        <f t="shared" si="42"/>
        <v>1.7600000000000001E-2</v>
      </c>
      <c r="AA84" s="192">
        <f t="shared" si="43"/>
        <v>23.282399999999999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4"/>
        <v>0172-10</v>
      </c>
      <c r="AE84" s="80" t="str">
        <f t="shared" si="45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84" s="77" t="str">
        <f t="shared" si="46"/>
        <v>"C:\Program Files (x86)\AstroGrep\AstroGrep.exe" /e /r /s /spath="%USERPROFILE%\AppData\Local\Temp\OnboardLogs" /stypes="app*4031*20170510*" /stext=" 20:.+((SYSTEM_STATE.+slice.+state.+changed )|(ment ac)|(multiple cpu faults)|(system.+state.+changed )|(\[timeout)|(PRM\|1\|D)|(kpr)|(kdp)|(train st.+moving)|(\|lc)|(penalty))"</v>
      </c>
      <c r="AG84" s="1" t="str">
        <f t="shared" si="47"/>
        <v>EC</v>
      </c>
      <c r="AH84" s="81" t="str">
        <f t="shared" si="30"/>
        <v>"%USERPROFILE%\Documents\GitHub\eaglep3\Utilities\RefineRTDCRunTimes.py" --tripid 172-10 --locoid 4031 --swversion DE.1.0.9.0 --startMP 204:233000 --initTime 2017-05-10T13:22:28 --startdatetime 2017-05-10T13:26:19 --delay 1 --endMP 204:176 --enddatetime 2017-05-10T14:06:29 --enforcementcount 0 &gt;&gt;C:\Users\stu\Documents\GitHub\eaglep3-reporting\EC\2017-05-10-refined-times.txt</v>
      </c>
      <c r="AI84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{"issue":{"subject":"","project_id":79,"tracker_id":40,"status_id":1,"priority_id":2,"assigned_to_id":23,"start_date":"2017-05-10","description":"","custom_fields":[{"id":1,"name":"Subdivision","value":"EC"},{"id":4,"name":"Milepost","value":"0.0176"},{"id":17,"name":"Train ID","value":"172-10"},{"id":16,"name":"Locomotive ID","value":"4031"},{"id":130,"name":"Impact","value":""},{"id":150,"name":"Time of Event (Mountain Time)","value":"14:06:29"},{"id":151,"name":"Denver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32"/>
        <v>start /low /b %USERPROFILE%\Documents\GitHub\eaglep3\Utilities\DownloadLogsFromS3.py --loco 4031 --day 2017-05-10</v>
      </c>
      <c r="AN84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694</v>
      </c>
      <c r="B85" s="7">
        <v>4028</v>
      </c>
      <c r="C85" s="21" t="s">
        <v>206</v>
      </c>
      <c r="D85" s="21" t="s">
        <v>855</v>
      </c>
      <c r="E85" s="13">
        <v>42865.527916666666</v>
      </c>
      <c r="F85" s="13">
        <v>42865.531400462962</v>
      </c>
      <c r="G85" s="7">
        <v>1</v>
      </c>
      <c r="H85" s="21" t="s">
        <v>469</v>
      </c>
      <c r="I85" s="13">
        <v>42865.557928240742</v>
      </c>
      <c r="J85" s="7">
        <v>0</v>
      </c>
      <c r="K85" s="92" t="str">
        <f t="shared" si="34"/>
        <v>4027/4028</v>
      </c>
      <c r="L85" s="21" t="str">
        <f>VLOOKUP(A85,'Trips&amp;Operators'!$C$1:$G$99999,5,FALSE)</f>
        <v>CLARK KATHLEEN</v>
      </c>
      <c r="M85" s="6">
        <f t="shared" si="35"/>
        <v>2.6527777779847383E-2</v>
      </c>
      <c r="N85" s="7">
        <f t="shared" si="36"/>
        <v>38.200000002980232</v>
      </c>
      <c r="O85" s="7"/>
      <c r="P85" s="7"/>
      <c r="Q85" s="22"/>
      <c r="R85" s="190"/>
      <c r="S85" s="196">
        <f t="shared" si="37"/>
        <v>1</v>
      </c>
      <c r="T85" s="190" t="str">
        <f t="shared" si="38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9"/>
        <v>https://d0f6bd738d7f1b3e5a7ca70fe4ff75f0.us-east-1.aws.found.io/app/kibana#/discover/Steve-Slow-Train-Analysis-(2080s-and-2083s)?_g=(refreshInterval:(display:Off,pause:!f,section:0,value:0),time:(from:'2017-05-10T11:40:12-0600',mode:absolute,to:'2017-05-10T14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192" t="str">
        <f t="shared" si="40"/>
        <v>N</v>
      </c>
      <c r="X85" s="192">
        <f t="shared" si="29"/>
        <v>1</v>
      </c>
      <c r="Y85" s="192">
        <f t="shared" si="41"/>
        <v>4.9099999999999998E-2</v>
      </c>
      <c r="Z85" s="192">
        <f t="shared" si="42"/>
        <v>23.3293</v>
      </c>
      <c r="AA85" s="192">
        <f t="shared" si="43"/>
        <v>23.280200000000001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4"/>
        <v>0173-10</v>
      </c>
      <c r="AE85" s="80" t="str">
        <f t="shared" si="45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85" s="77" t="str">
        <f t="shared" si="46"/>
        <v>"C:\Program Files (x86)\AstroGrep\AstroGrep.exe" /e /r /s /spath="%USERPROFILE%\AppData\Local\Temp\OnboardLogs" /stypes="app*4028*20170510*" /stext=" 19:.+((SYSTEM_STATE.+slice.+state.+changed )|(ment ac)|(multiple cpu faults)|(system.+state.+changed )|(\[timeout)|(PRM\|1\|D)|(kpr)|(kdp)|(train st.+moving)|(\|lc)|(penalty))"</v>
      </c>
      <c r="AG85" s="1" t="str">
        <f t="shared" si="47"/>
        <v>EC</v>
      </c>
      <c r="AH85" s="81" t="str">
        <f t="shared" si="30"/>
        <v>"%USERPROFILE%\Documents\GitHub\eaglep3\Utilities\RefineRTDCRunTimes.py" --tripid 173-10 --locoid 4028 --swversion DE.1.0.9.0 --startMP 204:491 --initTime 2017-05-10T12:40:12 --startdatetime 2017-05-10T12:45:13 --delay 1 --endMP 204:233293 --enddatetime 2017-05-10T13:23:25 --enforcementcount 0 &gt;&gt;C:\Users\stu\Documents\GitHub\eaglep3-reporting\EC\2017-05-10-refined-times.txt</v>
      </c>
      <c r="AI85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{"issue":{"subject":"","project_id":79,"tracker_id":40,"status_id":1,"priority_id":2,"assigned_to_id":23,"start_date":"2017-05-10","description":"","custom_fields":[{"id":1,"name":"Subdivision","value":"EC"},{"id":4,"name":"Milepost","value":"23.3293"},{"id":17,"name":"Train ID","value":"173-10"},{"id":16,"name":"Locomotive ID","value":"4028"},{"id":130,"name":"Impact","value":""},{"id":150,"name":"Time of Event (Mountain Time)","value":"13:23:25"},{"id":151,"name":"Denver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32"/>
        <v>start /low /b %USERPROFILE%\Documents\GitHub\eaglep3\Utilities\DownloadLogsFromS3.py --loco 4028 --day 2017-05-10</v>
      </c>
      <c r="AN85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704</v>
      </c>
      <c r="B86" s="7">
        <v>4027</v>
      </c>
      <c r="C86" s="21" t="s">
        <v>206</v>
      </c>
      <c r="D86" s="21" t="s">
        <v>516</v>
      </c>
      <c r="E86" s="13">
        <v>42865.565613425926</v>
      </c>
      <c r="F86" s="13">
        <v>42865.570300925923</v>
      </c>
      <c r="G86" s="7">
        <v>1</v>
      </c>
      <c r="H86" s="21" t="s">
        <v>856</v>
      </c>
      <c r="I86" s="13">
        <v>42865.598622685182</v>
      </c>
      <c r="J86" s="7">
        <v>0</v>
      </c>
      <c r="K86" s="92" t="str">
        <f t="shared" si="34"/>
        <v>4027/4028</v>
      </c>
      <c r="L86" s="21" t="str">
        <f>VLOOKUP(A86,'Trips&amp;Operators'!$C$1:$G$99999,5,FALSE)</f>
        <v>CLARK KATHLEEN</v>
      </c>
      <c r="M86" s="6">
        <f t="shared" si="35"/>
        <v>2.8321759258687962E-2</v>
      </c>
      <c r="N86" s="7">
        <f t="shared" si="36"/>
        <v>40.783333332510665</v>
      </c>
      <c r="O86" s="7"/>
      <c r="P86" s="7"/>
      <c r="Q86" s="22"/>
      <c r="R86" s="190"/>
      <c r="S86" s="196">
        <f t="shared" si="37"/>
        <v>1</v>
      </c>
      <c r="T86" s="190" t="str">
        <f t="shared" si="38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9"/>
        <v>https://d0f6bd738d7f1b3e5a7ca70fe4ff75f0.us-east-1.aws.found.io/app/kibana#/discover/Steve-Slow-Train-Analysis-(2080s-and-2083s)?_g=(refreshInterval:(display:Off,pause:!f,section:0,value:0),time:(from:'2017-05-10T12:34:29-0600',mode:absolute,to:'2017-05-10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192" t="str">
        <f t="shared" si="40"/>
        <v>N</v>
      </c>
      <c r="X86" s="192">
        <f t="shared" si="29"/>
        <v>1</v>
      </c>
      <c r="Y86" s="192">
        <f t="shared" si="41"/>
        <v>23.298500000000001</v>
      </c>
      <c r="Z86" s="192">
        <f t="shared" si="42"/>
        <v>1.89E-2</v>
      </c>
      <c r="AA86" s="192">
        <f t="shared" si="43"/>
        <v>23.279600000000002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4"/>
        <v>0174-10</v>
      </c>
      <c r="AE86" s="80" t="str">
        <f t="shared" si="45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86" s="77" t="str">
        <f t="shared" si="46"/>
        <v>"C:\Program Files (x86)\AstroGrep\AstroGrep.exe" /e /r /s /spath="%USERPROFILE%\AppData\Local\Temp\OnboardLogs" /stypes="app*4027*20170510*" /stext=" 20:.+((SYSTEM_STATE.+slice.+state.+changed )|(ment ac)|(multiple cpu faults)|(system.+state.+changed )|(\[timeout)|(PRM\|1\|D)|(kpr)|(kdp)|(train st.+moving)|(\|lc)|(penalty))"</v>
      </c>
      <c r="AG86" s="1" t="str">
        <f t="shared" si="47"/>
        <v>EC</v>
      </c>
      <c r="AH86" s="81" t="str">
        <f t="shared" si="30"/>
        <v>"%USERPROFILE%\Documents\GitHub\eaglep3\Utilities\RefineRTDCRunTimes.py" --tripid 174-10 --locoid 4027 --swversion DE.1.0.9.0 --startMP 204:232985 --initTime 2017-05-10T13:34:29 --startdatetime 2017-05-10T13:41:14 --delay 1 --endMP 204:189 --enddatetime 2017-05-10T14:22:01 --enforcementcount 0 &gt;&gt;C:\Users\stu\Documents\GitHub\eaglep3-reporting\EC\2017-05-10-refined-times.txt</v>
      </c>
      <c r="AI86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{"issue":{"subject":"","project_id":79,"tracker_id":40,"status_id":1,"priority_id":2,"assigned_to_id":23,"start_date":"2017-05-10","description":"","custom_fields":[{"id":1,"name":"Subdivision","value":"EC"},{"id":4,"name":"Milepost","value":"0.0189"},{"id":17,"name":"Train ID","value":"174-10"},{"id":16,"name":"Locomotive ID","value":"4027"},{"id":130,"name":"Impact","value":""},{"id":150,"name":"Time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32"/>
        <v>start /low /b %USERPROFILE%\Documents\GitHub\eaglep3\Utilities\DownloadLogsFromS3.py --loco 4027 --day 2017-05-10</v>
      </c>
      <c r="AN86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696</v>
      </c>
      <c r="B87" s="7">
        <v>4012</v>
      </c>
      <c r="C87" s="21" t="s">
        <v>206</v>
      </c>
      <c r="D87" s="21" t="s">
        <v>373</v>
      </c>
      <c r="E87" s="13">
        <v>42865.54042824074</v>
      </c>
      <c r="F87" s="13">
        <v>42865.542314814818</v>
      </c>
      <c r="G87" s="7">
        <v>1</v>
      </c>
      <c r="H87" s="21" t="s">
        <v>857</v>
      </c>
      <c r="I87" s="13">
        <v>42865.567824074074</v>
      </c>
      <c r="J87" s="7">
        <v>0</v>
      </c>
      <c r="K87" s="92" t="str">
        <f t="shared" si="34"/>
        <v>4011/4012</v>
      </c>
      <c r="L87" s="21" t="str">
        <f>VLOOKUP(A87,'Trips&amp;Operators'!$C$1:$G$99999,5,FALSE)</f>
        <v>DAVIS MICHAEL</v>
      </c>
      <c r="M87" s="6">
        <f t="shared" si="35"/>
        <v>2.5509259256068617E-2</v>
      </c>
      <c r="N87" s="7">
        <f t="shared" si="36"/>
        <v>36.733333328738809</v>
      </c>
      <c r="O87" s="7"/>
      <c r="P87" s="7"/>
      <c r="Q87" s="22"/>
      <c r="R87" s="190"/>
      <c r="S87" s="196">
        <f t="shared" si="37"/>
        <v>1</v>
      </c>
      <c r="T87" s="190" t="str">
        <f t="shared" si="38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9"/>
        <v>https://d0f6bd738d7f1b3e5a7ca70fe4ff75f0.us-east-1.aws.found.io/app/kibana#/discover/Steve-Slow-Train-Analysis-(2080s-and-2083s)?_g=(refreshInterval:(display:Off,pause:!f,section:0,value:0),time:(from:'2017-05-10T11:58:13-0600',mode:absolute,to:'2017-05-10T14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192" t="str">
        <f t="shared" si="40"/>
        <v>N</v>
      </c>
      <c r="X87" s="192">
        <f t="shared" si="29"/>
        <v>1</v>
      </c>
      <c r="Y87" s="192">
        <f t="shared" si="41"/>
        <v>4.4699999999999997E-2</v>
      </c>
      <c r="Z87" s="192">
        <f t="shared" si="42"/>
        <v>23.331600000000002</v>
      </c>
      <c r="AA87" s="192">
        <f t="shared" si="43"/>
        <v>23.286900000000003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4"/>
        <v>0175-10</v>
      </c>
      <c r="AE87" s="80" t="str">
        <f t="shared" si="45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87" s="77" t="str">
        <f t="shared" si="46"/>
        <v>"C:\Program Files (x86)\AstroGrep\AstroGrep.exe" /e /r /s /spath="%USERPROFILE%\AppData\Local\Temp\OnboardLogs" /stypes="app*4012*20170510*" /stext=" 19:.+((SYSTEM_STATE.+slice.+state.+changed )|(ment ac)|(multiple cpu faults)|(system.+state.+changed )|(\[timeout)|(PRM\|1\|D)|(kpr)|(kdp)|(train st.+moving)|(\|lc)|(penalty))"</v>
      </c>
      <c r="AG87" s="1" t="str">
        <f t="shared" si="47"/>
        <v>EC</v>
      </c>
      <c r="AH87" s="81" t="str">
        <f t="shared" si="30"/>
        <v>"%USERPROFILE%\Documents\GitHub\eaglep3\Utilities\RefineRTDCRunTimes.py" --tripid 175-10 --locoid 4012 --swversion DE.1.0.9.0 --startMP 204:447 --initTime 2017-05-10T12:58:13 --startdatetime 2017-05-10T13:00:56 --delay 1 --endMP 204:233316 --enddatetime 2017-05-10T13:37:40 --enforcementcount 0 &gt;&gt;C:\Users\stu\Documents\GitHub\eaglep3-reporting\EC\2017-05-10-refined-times.txt</v>
      </c>
      <c r="AI87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{"issue":{"subject":"","project_id":79,"tracker_id":40,"status_id":1,"priority_id":2,"assigned_to_id":23,"start_date":"2017-05-10","description":"","custom_fields":[{"id":1,"name":"Subdivision","value":"EC"},{"id":4,"name":"Milepost","value":"23.3316"},{"id":17,"name":"Train ID","value":"175-10"},{"id":16,"name":"Locomotive ID","value":"4012"},{"id":130,"name":"Impact","value":""},{"id":150,"name":"Time of Event (Mountain Time)","value":"13:37:40"},{"id":151,"name":"Denver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32"/>
        <v>start /low /b %USERPROFILE%\Documents\GitHub\eaglep3\Utilities\DownloadLogsFromS3.py --loco 4012 --day 2017-05-10</v>
      </c>
      <c r="AN87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707</v>
      </c>
      <c r="B88" s="7">
        <v>4011</v>
      </c>
      <c r="C88" s="21" t="s">
        <v>206</v>
      </c>
      <c r="D88" s="21" t="s">
        <v>858</v>
      </c>
      <c r="E88" s="13">
        <v>42865.578217592592</v>
      </c>
      <c r="F88" s="13">
        <v>42865.581041666665</v>
      </c>
      <c r="G88" s="7">
        <v>1</v>
      </c>
      <c r="H88" s="21" t="s">
        <v>368</v>
      </c>
      <c r="I88" s="13">
        <v>42865.608402777776</v>
      </c>
      <c r="J88" s="7">
        <v>0</v>
      </c>
      <c r="K88" s="92" t="str">
        <f t="shared" si="34"/>
        <v>4011/4012</v>
      </c>
      <c r="L88" s="21" t="str">
        <f>VLOOKUP(A88,'Trips&amp;Operators'!$C$1:$G$99999,5,FALSE)</f>
        <v>DAVIS MICHAEL</v>
      </c>
      <c r="M88" s="6">
        <f t="shared" si="35"/>
        <v>2.73611111115315E-2</v>
      </c>
      <c r="N88" s="7">
        <f t="shared" si="36"/>
        <v>39.40000000060536</v>
      </c>
      <c r="O88" s="7"/>
      <c r="P88" s="7"/>
      <c r="Q88" s="22"/>
      <c r="R88" s="190"/>
      <c r="S88" s="196">
        <f t="shared" si="37"/>
        <v>1</v>
      </c>
      <c r="T88" s="190" t="str">
        <f t="shared" si="38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9"/>
        <v>https://d0f6bd738d7f1b3e5a7ca70fe4ff75f0.us-east-1.aws.found.io/app/kibana#/discover/Steve-Slow-Train-Analysis-(2080s-and-2083s)?_g=(refreshInterval:(display:Off,pause:!f,section:0,value:0),time:(from:'2017-05-10T12:52:38-0600',mode:absolute,to:'2017-05-10T15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192" t="str">
        <f t="shared" si="40"/>
        <v>N</v>
      </c>
      <c r="X88" s="192">
        <f t="shared" si="29"/>
        <v>1</v>
      </c>
      <c r="Y88" s="192">
        <f t="shared" si="41"/>
        <v>23.300699999999999</v>
      </c>
      <c r="Z88" s="192">
        <f t="shared" si="42"/>
        <v>1.5599999999999999E-2</v>
      </c>
      <c r="AA88" s="192">
        <f t="shared" si="43"/>
        <v>23.2851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4"/>
        <v>0176-10</v>
      </c>
      <c r="AE88" s="80" t="str">
        <f t="shared" si="45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88" s="77" t="str">
        <f t="shared" si="46"/>
        <v>"C:\Program Files (x86)\AstroGrep\AstroGrep.exe" /e /r /s /spath="%USERPROFILE%\AppData\Local\Temp\OnboardLogs" /stypes="app*4011*20170510*" /stext=" 20:.+((SYSTEM_STATE.+slice.+state.+changed )|(ment ac)|(multiple cpu faults)|(system.+state.+changed )|(\[timeout)|(PRM\|1\|D)|(kpr)|(kdp)|(train st.+moving)|(\|lc)|(penalty))"</v>
      </c>
      <c r="AG88" s="1" t="str">
        <f t="shared" si="47"/>
        <v>EC</v>
      </c>
      <c r="AH88" s="81" t="str">
        <f t="shared" si="30"/>
        <v>"%USERPROFILE%\Documents\GitHub\eaglep3\Utilities\RefineRTDCRunTimes.py" --tripid 176-10 --locoid 4011 --swversion DE.1.0.9.0 --startMP 204:233007 --initTime 2017-05-10T13:52:38 --startdatetime 2017-05-10T13:56:42 --delay 1 --endMP 204:156 --enddatetime 2017-05-10T14:36:06 --enforcementcount 0 &gt;&gt;C:\Users\stu\Documents\GitHub\eaglep3-reporting\EC\2017-05-10-refined-times.txt</v>
      </c>
      <c r="AI88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{"issue":{"subject":"","project_id":79,"tracker_id":40,"status_id":1,"priority_id":2,"assigned_to_id":23,"start_date":"2017-05-10","description":"","custom_fields":[{"id":1,"name":"Subdivision","value":"EC"},{"id":4,"name":"Milepost","value":"0.0156"},{"id":17,"name":"Train ID","value":"176-10"},{"id":16,"name":"Locomotive ID","value":"4011"},{"id":130,"name":"Impact","value":""},{"id":150,"name":"Time of Event (Mountain Time)","value":"14:36:06"},{"id":151,"name":"Denver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32"/>
        <v>start /low /b %USERPROFILE%\Documents\GitHub\eaglep3\Utilities\DownloadLogsFromS3.py --loco 4011 --day 2017-05-10</v>
      </c>
      <c r="AN88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698</v>
      </c>
      <c r="B89" s="7">
        <v>4018</v>
      </c>
      <c r="C89" s="21" t="s">
        <v>206</v>
      </c>
      <c r="D89" s="21" t="s">
        <v>475</v>
      </c>
      <c r="E89" s="13">
        <v>42865.549375000002</v>
      </c>
      <c r="F89" s="13">
        <v>42865.552511574075</v>
      </c>
      <c r="G89" s="7">
        <v>2</v>
      </c>
      <c r="H89" s="21" t="s">
        <v>380</v>
      </c>
      <c r="I89" s="13">
        <v>42865.578379629631</v>
      </c>
      <c r="J89" s="7">
        <v>0</v>
      </c>
      <c r="K89" s="92" t="str">
        <f t="shared" si="34"/>
        <v>4017/4018</v>
      </c>
      <c r="L89" s="21" t="str">
        <f>VLOOKUP(A89,'Trips&amp;Operators'!$C$1:$G$99999,5,FALSE)</f>
        <v>LAMAR NEKESHA</v>
      </c>
      <c r="M89" s="6">
        <f t="shared" si="35"/>
        <v>2.5868055556202307E-2</v>
      </c>
      <c r="N89" s="7">
        <f t="shared" si="36"/>
        <v>37.250000000931323</v>
      </c>
      <c r="O89" s="7"/>
      <c r="P89" s="7"/>
      <c r="Q89" s="22"/>
      <c r="R89" s="190"/>
      <c r="S89" s="196">
        <f t="shared" si="37"/>
        <v>1</v>
      </c>
      <c r="T89" s="190" t="str">
        <f t="shared" si="38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9"/>
        <v>https://d0f6bd738d7f1b3e5a7ca70fe4ff75f0.us-east-1.aws.found.io/app/kibana#/discover/Steve-Slow-Train-Analysis-(2080s-and-2083s)?_g=(refreshInterval:(display:Off,pause:!f,section:0,value:0),time:(from:'2017-05-10T12:11:06-0600',mode:absolute,to:'2017-05-10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192" t="str">
        <f t="shared" si="40"/>
        <v>N</v>
      </c>
      <c r="X89" s="192">
        <f t="shared" si="29"/>
        <v>1</v>
      </c>
      <c r="Y89" s="192">
        <f t="shared" si="41"/>
        <v>4.8399999999999999E-2</v>
      </c>
      <c r="Z89" s="192">
        <f t="shared" si="42"/>
        <v>23.331900000000001</v>
      </c>
      <c r="AA89" s="192">
        <f t="shared" si="43"/>
        <v>23.2835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4"/>
        <v>0177-10</v>
      </c>
      <c r="AE89" s="80" t="str">
        <f t="shared" si="45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89" s="77" t="str">
        <f t="shared" si="46"/>
        <v>"C:\Program Files (x86)\AstroGrep\AstroGrep.exe" /e /r /s /spath="%USERPROFILE%\AppData\Local\Temp\OnboardLogs" /stypes="app*4018*20170510*" /stext=" 19:.+((SYSTEM_STATE.+slice.+state.+changed )|(ment ac)|(multiple cpu faults)|(system.+state.+changed )|(\[timeout)|(PRM\|1\|D)|(kpr)|(kdp)|(train st.+moving)|(\|lc)|(penalty))"</v>
      </c>
      <c r="AG89" s="1" t="str">
        <f t="shared" si="47"/>
        <v>EC</v>
      </c>
      <c r="AH89" s="81" t="str">
        <f t="shared" si="30"/>
        <v>"%USERPROFILE%\Documents\GitHub\eaglep3\Utilities\RefineRTDCRunTimes.py" --tripid 177-10 --locoid 4018 --swversion DE.1.0.9.0 --startMP 204:484 --initTime 2017-05-10T13:11:06 --startdatetime 2017-05-10T13:15:37 --delay 2 --endMP 204:233319 --enddatetime 2017-05-10T13:52:52 --enforcementcount 0 &gt;&gt;C:\Users\stu\Documents\GitHub\eaglep3-reporting\EC\2017-05-10-refined-times.txt</v>
      </c>
      <c r="AI89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{"issue":{"subject":"","project_id":79,"tracker_id":40,"status_id":1,"priority_id":2,"assigned_to_id":23,"start_date":"2017-05-10","description":"","custom_fields":[{"id":1,"name":"Subdivision","value":"EC"},{"id":4,"name":"Milepost","value":"23.3319"},{"id":17,"name":"Train ID","value":"177-10"},{"id":16,"name":"Locomotive ID","value":"4018"},{"id":130,"name":"Impact","value":""},{"id":150,"name":"Time of Event (Mountain Time)","value":"13:52:52"},{"id":151,"name":"Denver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32"/>
        <v>start /low /b %USERPROFILE%\Documents\GitHub\eaglep3\Utilities\DownloadLogsFromS3.py --loco 4018 --day 2017-05-10</v>
      </c>
      <c r="AN89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708</v>
      </c>
      <c r="B90" s="7">
        <v>4017</v>
      </c>
      <c r="C90" s="21" t="s">
        <v>206</v>
      </c>
      <c r="D90" s="21" t="s">
        <v>396</v>
      </c>
      <c r="E90" s="13">
        <v>42865.585659722223</v>
      </c>
      <c r="F90" s="13">
        <v>42865.591192129628</v>
      </c>
      <c r="G90" s="7">
        <v>3</v>
      </c>
      <c r="H90" s="21" t="s">
        <v>377</v>
      </c>
      <c r="I90" s="13">
        <v>42865.618125000001</v>
      </c>
      <c r="J90" s="7">
        <v>0</v>
      </c>
      <c r="K90" s="92" t="str">
        <f t="shared" si="34"/>
        <v>4017/4018</v>
      </c>
      <c r="L90" s="21" t="str">
        <f>VLOOKUP(A90,'Trips&amp;Operators'!$C$1:$G$99999,5,FALSE)</f>
        <v>LAMAR NEKESHA</v>
      </c>
      <c r="M90" s="6">
        <f t="shared" si="35"/>
        <v>2.6932870372547768E-2</v>
      </c>
      <c r="N90" s="7">
        <f t="shared" si="36"/>
        <v>38.783333336468786</v>
      </c>
      <c r="O90" s="7"/>
      <c r="P90" s="7"/>
      <c r="Q90" s="22"/>
      <c r="R90" s="190"/>
      <c r="S90" s="196">
        <f t="shared" si="37"/>
        <v>1</v>
      </c>
      <c r="T90" s="190" t="str">
        <f t="shared" si="38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9"/>
        <v>https://d0f6bd738d7f1b3e5a7ca70fe4ff75f0.us-east-1.aws.found.io/app/kibana#/discover/Steve-Slow-Train-Analysis-(2080s-and-2083s)?_g=(refreshInterval:(display:Off,pause:!f,section:0,value:0),time:(from:'2017-05-10T13:03:21-0600',mode:absolute,to:'2017-05-10T15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192" t="str">
        <f t="shared" si="40"/>
        <v>N</v>
      </c>
      <c r="X90" s="192">
        <f t="shared" si="29"/>
        <v>1</v>
      </c>
      <c r="Y90" s="192">
        <f t="shared" si="41"/>
        <v>23.3004</v>
      </c>
      <c r="Z90" s="192">
        <f t="shared" si="42"/>
        <v>1.47E-2</v>
      </c>
      <c r="AA90" s="192">
        <f t="shared" si="43"/>
        <v>23.285699999999999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4"/>
        <v>0178-10</v>
      </c>
      <c r="AE90" s="80" t="str">
        <f t="shared" si="45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90" s="77" t="str">
        <f t="shared" si="46"/>
        <v>"C:\Program Files (x86)\AstroGrep\AstroGrep.exe" /e /r /s /spath="%USERPROFILE%\AppData\Local\Temp\OnboardLogs" /stypes="app*4017*20170510*" /stext=" 20:.+((SYSTEM_STATE.+slice.+state.+changed )|(ment ac)|(multiple cpu faults)|(system.+state.+changed )|(\[timeout)|(PRM\|1\|D)|(kpr)|(kdp)|(train st.+moving)|(\|lc)|(penalty))"</v>
      </c>
      <c r="AG90" s="1" t="str">
        <f t="shared" si="47"/>
        <v>EC</v>
      </c>
      <c r="AH90" s="81" t="str">
        <f t="shared" si="30"/>
        <v>"%USERPROFILE%\Documents\GitHub\eaglep3\Utilities\RefineRTDCRunTimes.py" --tripid 178-10 --locoid 4017 --swversion DE.1.0.9.0 --startMP 204:233004 --initTime 2017-05-10T14:03:21 --startdatetime 2017-05-10T14:11:19 --delay 3 --endMP 204:147 --enddatetime 2017-05-10T14:50:06 --enforcementcount 0 &gt;&gt;C:\Users\stu\Documents\GitHub\eaglep3-reporting\EC\2017-05-10-refined-times.txt</v>
      </c>
      <c r="AI90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{"issue":{"subject":"","project_id":79,"tracker_id":40,"status_id":1,"priority_id":2,"assigned_to_id":23,"start_date":"2017-05-10","description":"","custom_fields":[{"id":1,"name":"Subdivision","value":"EC"},{"id":4,"name":"Milepost","value":"0.0147"},{"id":17,"name":"Train ID","value":"178-10"},{"id":16,"name":"Locomotive ID","value":"4017"},{"id":130,"name":"Impact","value":""},{"id":150,"name":"Time of Event (Mountain Time)","value":"14:50:06"},{"id":151,"name":"Denver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32"/>
        <v>start /low /b %USERPROFILE%\Documents\GitHub\eaglep3\Utilities\DownloadLogsFromS3.py --loco 4017 --day 2017-05-10</v>
      </c>
      <c r="AN90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703</v>
      </c>
      <c r="B91" s="7">
        <v>4008</v>
      </c>
      <c r="C91" s="21" t="s">
        <v>206</v>
      </c>
      <c r="D91" s="21" t="s">
        <v>859</v>
      </c>
      <c r="E91" s="13">
        <v>42865.559004629627</v>
      </c>
      <c r="F91" s="13">
        <v>42865.562800925924</v>
      </c>
      <c r="G91" s="7">
        <v>1</v>
      </c>
      <c r="H91" s="21" t="s">
        <v>469</v>
      </c>
      <c r="I91" s="13">
        <v>42865.586828703701</v>
      </c>
      <c r="J91" s="7">
        <v>0</v>
      </c>
      <c r="K91" s="92" t="str">
        <f t="shared" si="34"/>
        <v>4007/4008</v>
      </c>
      <c r="L91" s="21" t="str">
        <f>VLOOKUP(A91,'Trips&amp;Operators'!$C$1:$G$99999,5,FALSE)</f>
        <v>HELVIE ADAM</v>
      </c>
      <c r="M91" s="6">
        <f t="shared" si="35"/>
        <v>2.4027777777519077E-2</v>
      </c>
      <c r="N91" s="7">
        <f t="shared" si="36"/>
        <v>34.599999999627471</v>
      </c>
      <c r="O91" s="7"/>
      <c r="P91" s="7"/>
      <c r="Q91" s="22"/>
      <c r="R91" s="190"/>
      <c r="S91" s="196">
        <f t="shared" si="37"/>
        <v>1</v>
      </c>
      <c r="T91" s="190" t="str">
        <f t="shared" si="38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9"/>
        <v>https://d0f6bd738d7f1b3e5a7ca70fe4ff75f0.us-east-1.aws.found.io/app/kibana#/discover/Steve-Slow-Train-Analysis-(2080s-and-2083s)?_g=(refreshInterval:(display:Off,pause:!f,section:0,value:0),time:(from:'2017-05-10T12:24:58-0600',mode:absolute,to:'2017-05-10T15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192" t="str">
        <f t="shared" si="40"/>
        <v>N</v>
      </c>
      <c r="X91" s="192">
        <f t="shared" si="29"/>
        <v>1</v>
      </c>
      <c r="Y91" s="192">
        <f t="shared" si="41"/>
        <v>4.8599999999999997E-2</v>
      </c>
      <c r="Z91" s="192">
        <f t="shared" si="42"/>
        <v>23.3293</v>
      </c>
      <c r="AA91" s="192">
        <f t="shared" si="43"/>
        <v>23.2807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4"/>
        <v>0179-10</v>
      </c>
      <c r="AE91" s="80" t="str">
        <f t="shared" si="45"/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91" s="77" t="str">
        <f t="shared" si="46"/>
        <v>"C:\Program Files (x86)\AstroGrep\AstroGrep.exe" /e /r /s /spath="%USERPROFILE%\AppData\Local\Temp\OnboardLogs" /stypes="app*4008*20170510*" /stext=" 20:.+((SYSTEM_STATE.+slice.+state.+changed )|(ment ac)|(multiple cpu faults)|(system.+state.+changed )|(\[timeout)|(PRM\|1\|D)|(kpr)|(kdp)|(train st.+moving)|(\|lc)|(penalty))"</v>
      </c>
      <c r="AG91" s="1" t="str">
        <f t="shared" si="47"/>
        <v>EC</v>
      </c>
      <c r="AH91" s="81" t="str">
        <f t="shared" si="30"/>
        <v>"%USERPROFILE%\Documents\GitHub\eaglep3\Utilities\RefineRTDCRunTimes.py" --tripid 179-10 --locoid 4008 --swversion DE.1.0.9.0 --startMP 204:486 --initTime 2017-05-10T13:24:58 --startdatetime 2017-05-10T13:30:26 --delay 1 --endMP 204:233293 --enddatetime 2017-05-10T14:05:02 --enforcementcount 0 &gt;&gt;C:\Users\stu\Documents\GitHub\eaglep3-reporting\EC\2017-05-10-refined-times.txt</v>
      </c>
      <c r="AI91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{"issue":{"subject":"","project_id":79,"tracker_id":40,"status_id":1,"priority_id":2,"assigned_to_id":23,"start_date":"2017-05-10","description":"","custom_fields":[{"id":1,"name":"Subdivision","value":"EC"},{"id":4,"name":"Milepost","value":"23.3293"},{"id":17,"name":"Train ID","value":"179-10"},{"id":16,"name":"Locomotive ID","value":"4008"},{"id":130,"name":"Impact","value":""},{"id":150,"name":"Time of Event (Mountain Time)","value":"14:05:02"},{"id":151,"name":"Denver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32"/>
        <v>start /low /b %USERPROFILE%\Documents\GitHub\eaglep3\Utilities\DownloadLogsFromS3.py --loco 4008 --day 2017-05-10</v>
      </c>
      <c r="AN91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20" customFormat="1" x14ac:dyDescent="0.25">
      <c r="A92" s="32" t="s">
        <v>710</v>
      </c>
      <c r="B92" s="7">
        <v>4007</v>
      </c>
      <c r="C92" s="21" t="s">
        <v>206</v>
      </c>
      <c r="D92" s="21" t="s">
        <v>859</v>
      </c>
      <c r="E92" s="13">
        <v>42865.559004629627</v>
      </c>
      <c r="F92" s="13">
        <v>42865.601550925923</v>
      </c>
      <c r="G92" s="7">
        <v>1</v>
      </c>
      <c r="H92" s="21" t="s">
        <v>469</v>
      </c>
      <c r="I92" s="13">
        <v>42865.627974537034</v>
      </c>
      <c r="J92" s="7">
        <v>0</v>
      </c>
      <c r="K92" s="92" t="str">
        <f t="shared" si="34"/>
        <v>4007/4008</v>
      </c>
      <c r="L92" s="21" t="str">
        <f>VLOOKUP(A92,'Trips&amp;Operators'!$C$1:$G$99999,5,FALSE)</f>
        <v>HELVIE ADAM</v>
      </c>
      <c r="M92" s="6">
        <f t="shared" si="35"/>
        <v>2.6423611110658385E-2</v>
      </c>
      <c r="N92" s="7">
        <f t="shared" si="36"/>
        <v>38.049999999348074</v>
      </c>
      <c r="O92" s="7"/>
      <c r="P92" s="7"/>
      <c r="Q92" s="22"/>
      <c r="R92" s="190"/>
      <c r="S92" s="196">
        <f t="shared" si="37"/>
        <v>1</v>
      </c>
      <c r="T92" s="190" t="str">
        <f t="shared" si="38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9"/>
        <v>https://d0f6bd738d7f1b3e5a7ca70fe4ff75f0.us-east-1.aws.found.io/app/kibana#/discover/Steve-Slow-Train-Analysis-(2080s-and-2083s)?_g=(refreshInterval:(display:Off,pause:!f,section:0,value:0),time:(from:'2017-05-10T12:24:58-0600',mode:absolute,to:'2017-05-10T16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92" t="str">
        <f t="shared" si="40"/>
        <v>N</v>
      </c>
      <c r="X92" s="192">
        <f t="shared" si="29"/>
        <v>1</v>
      </c>
      <c r="Y92" s="192">
        <v>23.3004</v>
      </c>
      <c r="Z92" s="192">
        <v>1.47E-2</v>
      </c>
      <c r="AA92" s="192">
        <f t="shared" si="43"/>
        <v>23.285699999999999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4"/>
        <v>0180-10</v>
      </c>
      <c r="AE92" s="80" t="str">
        <f t="shared" si="45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92" s="77" t="str">
        <f t="shared" si="46"/>
        <v>"C:\Program Files (x86)\AstroGrep\AstroGrep.exe" /e /r /s /spath="%USERPROFILE%\AppData\Local\Temp\OnboardLogs" /stypes="app*4007*20170510*" /stext=" 21:.+((SYSTEM_STATE.+slice.+state.+changed )|(ment ac)|(multiple cpu faults)|(system.+state.+changed )|(\[timeout)|(PRM\|1\|D)|(kpr)|(kdp)|(train st.+moving)|(\|lc)|(penalty))"</v>
      </c>
      <c r="AG92" s="1" t="str">
        <f t="shared" si="47"/>
        <v>EC</v>
      </c>
      <c r="AH92" s="81" t="str">
        <f t="shared" ref="AH92" si="48"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"&amp;J92&amp;IF(outputrefinedruntimes," &gt;&gt;"&amp;RefinedRTDCRunTimesOutputFile,"")</f>
        <v>"%USERPROFILE%\Documents\GitHub\eaglep3\Utilities\RefineRTDCRunTimes.py" --tripid 180-10 --locoid 4007 --swversion DE.1.0.9.0 --startMP 204:486 --initTime 2017-05-10T13:24:58 --startdatetime 2017-05-10T14:26:14 --delay 1 --endMP 204:233293 --enddatetime 2017-05-10T15:04:17 --enforcementcount 0 &gt;&gt;C:\Users\stu\Documents\GitHub\eaglep3-reporting\EC\2017-05-10-refined-times.txt</v>
      </c>
      <c r="AI92" s="99" t="str">
        <f t="shared" ref="AI92" si="49">"echo {""issue"":{""subject"":"""&amp;R92&amp;""",""project_id"":79,""tracker_id"":40,""status_id"":"&amp;redmine_status&amp;",""priority_id"":"&amp;redmine_priority&amp;",""assigned_to_id"":"&amp;redmine_assignee&amp;",""start_date"":"""&amp;TEXT(I92,"YYYY-mm-dd")&amp;""",""description"":"""&amp;AJ92&amp;""",""custom_fields"":[{""id"":1,""name"":""Subdivision"",""value"":"""&amp;AG92&amp;"""},{""id"":4,""name"":""Milepost"",""value"":"""&amp;Z92&amp;"""},{""id"":17,""name"":""Train ID"",""value"":"""&amp;A92&amp;"""},{""id"":16,""name"":""Locomotive ID"",""value"":"""&amp;B92&amp;"""},{""id"":130,""name"":""Impact"",""value"":"""&amp;AK92&amp;"""},{""id"":150,""name"":""Time of Event (Mountain Time)"",""value"":"""&amp;TEXT(I92,"hh:mm:ss")&amp;"""},{""id"":151,""name"":""Denver Issue ID"",""value"":"""&amp;"""},{""id"":178,""name"":""Operational Impact"",""value"":"""&amp;redmine_op_impact&amp;"""},{""id"":179,""name"":""Denver Segment Assigned"",""value"":"""&amp;AL92&amp;"""}]}}"&amp;"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{"issue":{"subject":"","project_id":79,"tracker_id":40,"status_id":1,"priority_id":2,"assigned_to_id":23,"start_date":"2017-05-10","description":"","custom_fields":[{"id":1,"name":"Subdivision","value":"EC"},{"id":4,"name":"Milepost","value":"0.0147"},{"id":17,"name":"Train ID","value":"180-10"},{"id":16,"name":"Locomotive ID","value":"4007"},{"id":130,"name":"Impact","value":""},{"id":150,"name":"Time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ref="AM92" si="50">"start /low /b "&amp;dls3logs&amp;" --loco "&amp;B92&amp;" --day "&amp;TEXT(F92,"YYYY-MM-DD")</f>
        <v>start /low /b %USERPROFILE%\Documents\GitHub\eaglep3\Utilities\DownloadLogsFromS3.py --loco 4007 --day 2017-05-10</v>
      </c>
      <c r="AN92" s="154" t="str">
        <f t="shared" ref="AN92" si="51">"echo {""issue"":{""subject"":"""&amp;R92&amp;""",""project_id"":30,""tracker_id"":4,""status_id"":"&amp;redmine_status_wcr&amp;",""priority_id"":"&amp;redmine_priority_wcr&amp;",""assigned_to_id"":"&amp;redmine_assignee_wcr&amp;",""start_date"":"""&amp;TEXT(I92-utc_offset/24,"YYYY-mm-dd")&amp;""",""description"":"""&amp;AJ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705</v>
      </c>
      <c r="B93" s="7">
        <v>4040</v>
      </c>
      <c r="C93" s="21" t="s">
        <v>206</v>
      </c>
      <c r="D93" s="21" t="s">
        <v>475</v>
      </c>
      <c r="E93" s="13">
        <v>42865.568206018521</v>
      </c>
      <c r="F93" s="13">
        <v>42865.57309027778</v>
      </c>
      <c r="G93" s="7">
        <v>2</v>
      </c>
      <c r="H93" s="21" t="s">
        <v>527</v>
      </c>
      <c r="I93" s="13">
        <v>42865.597766203704</v>
      </c>
      <c r="J93" s="7">
        <v>0</v>
      </c>
      <c r="K93" s="92" t="str">
        <f t="shared" si="34"/>
        <v>4039/4040</v>
      </c>
      <c r="L93" s="21" t="str">
        <f>VLOOKUP(A93,'Trips&amp;Operators'!$C$1:$G$99999,5,FALSE)</f>
        <v>BIRENBAUM THOMAS</v>
      </c>
      <c r="M93" s="6">
        <f t="shared" si="35"/>
        <v>2.4675925924384501E-2</v>
      </c>
      <c r="N93" s="7">
        <f t="shared" si="36"/>
        <v>35.533333331113681</v>
      </c>
      <c r="O93" s="7"/>
      <c r="P93" s="7"/>
      <c r="Q93" s="22"/>
      <c r="R93" s="190"/>
      <c r="S93" s="196">
        <f t="shared" si="37"/>
        <v>1</v>
      </c>
      <c r="T93" s="190" t="str">
        <f t="shared" si="38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9"/>
        <v>https://d0f6bd738d7f1b3e5a7ca70fe4ff75f0.us-east-1.aws.found.io/app/kibana#/discover/Steve-Slow-Train-Analysis-(2080s-and-2083s)?_g=(refreshInterval:(display:Off,pause:!f,section:0,value:0),time:(from:'2017-05-10T12:38:13-0600',mode:absolute,to:'2017-05-10T15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3" s="192" t="str">
        <f t="shared" si="40"/>
        <v>N</v>
      </c>
      <c r="X93" s="192">
        <f t="shared" si="29"/>
        <v>1</v>
      </c>
      <c r="Y93" s="192">
        <f t="shared" ref="Y93:Y98" si="52">RIGHT(D93,LEN(D93)-4)/10000</f>
        <v>4.8399999999999999E-2</v>
      </c>
      <c r="Z93" s="192">
        <f t="shared" ref="Z93:Z98" si="53">RIGHT(H93,LEN(H93)-4)/10000</f>
        <v>23.331</v>
      </c>
      <c r="AA93" s="192">
        <f t="shared" si="43"/>
        <v>23.282599999999999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4"/>
        <v>0181-10</v>
      </c>
      <c r="AE93" s="80" t="str">
        <f t="shared" si="45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93" s="77" t="str">
        <f t="shared" si="46"/>
        <v>"C:\Program Files (x86)\AstroGrep\AstroGrep.exe" /e /r /s /spath="%USERPROFILE%\AppData\Local\Temp\OnboardLogs" /stypes="app*4040*20170510*" /stext=" 20:.+((SYSTEM_STATE.+slice.+state.+changed )|(ment ac)|(multiple cpu faults)|(system.+state.+changed )|(\[timeout)|(PRM\|1\|D)|(kpr)|(kdp)|(train st.+moving)|(\|lc)|(penalty))"</v>
      </c>
      <c r="AG93" s="1" t="str">
        <f t="shared" si="47"/>
        <v>EC</v>
      </c>
      <c r="AH93" s="81" t="str">
        <f t="shared" si="30"/>
        <v>"%USERPROFILE%\Documents\GitHub\eaglep3\Utilities\RefineRTDCRunTimes.py" --tripid 181-10 --locoid 4040 --swversion DE.1.0.9.0 --startMP 204:484 --initTime 2017-05-10T13:38:13 --startdatetime 2017-05-10T13:45:15 --delay 2 --endMP 204:233310 --enddatetime 2017-05-10T14:20:47 --enforcementcount 0 &gt;&gt;C:\Users\stu\Documents\GitHub\eaglep3-reporting\EC\2017-05-10-refined-times.txt</v>
      </c>
      <c r="AI93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{"issue":{"subject":"","project_id":79,"tracker_id":40,"status_id":1,"priority_id":2,"assigned_to_id":23,"start_date":"2017-05-10","description":"","custom_fields":[{"id":1,"name":"Subdivision","value":"EC"},{"id":4,"name":"Milepost","value":"23.331"},{"id":17,"name":"Train ID","value":"181-10"},{"id":16,"name":"Locomotive ID","value":"4040"},{"id":130,"name":"Impact","value":""},{"id":150,"name":"Time of Event (Mountain Time)","value":"14:20:47"},{"id":151,"name":"Denver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32"/>
        <v>start /low /b %USERPROFILE%\Documents\GitHub\eaglep3\Utilities\DownloadLogsFromS3.py --loco 4040 --day 2017-05-10</v>
      </c>
      <c r="AN93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711</v>
      </c>
      <c r="B94" s="7">
        <v>4039</v>
      </c>
      <c r="C94" s="21" t="s">
        <v>206</v>
      </c>
      <c r="D94" s="21" t="s">
        <v>388</v>
      </c>
      <c r="E94" s="13">
        <v>42865.599722222221</v>
      </c>
      <c r="F94" s="13">
        <v>42865.611990740741</v>
      </c>
      <c r="G94" s="7">
        <v>12</v>
      </c>
      <c r="H94" s="21" t="s">
        <v>359</v>
      </c>
      <c r="I94" s="13">
        <v>42865.639803240738</v>
      </c>
      <c r="J94" s="7">
        <v>0</v>
      </c>
      <c r="K94" s="92" t="str">
        <f t="shared" si="34"/>
        <v>4039/4040</v>
      </c>
      <c r="L94" s="21" t="str">
        <f>VLOOKUP(A94,'Trips&amp;Operators'!$C$1:$G$99999,5,FALSE)</f>
        <v>BIRENBAUM THOMAS</v>
      </c>
      <c r="M94" s="6">
        <f t="shared" si="35"/>
        <v>2.7812499996798579E-2</v>
      </c>
      <c r="N94" s="7">
        <f t="shared" si="36"/>
        <v>40.049999995389953</v>
      </c>
      <c r="O94" s="7"/>
      <c r="P94" s="7"/>
      <c r="Q94" s="22"/>
      <c r="R94" s="190"/>
      <c r="S94" s="196">
        <f t="shared" si="37"/>
        <v>1</v>
      </c>
      <c r="T94" s="190" t="str">
        <f t="shared" si="38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9"/>
        <v>https://d0f6bd738d7f1b3e5a7ca70fe4ff75f0.us-east-1.aws.found.io/app/kibana#/discover/Steve-Slow-Train-Analysis-(2080s-and-2083s)?_g=(refreshInterval:(display:Off,pause:!f,section:0,value:0),time:(from:'2017-05-10T13:23:36-0600',mode:absolute,to:'2017-05-10T16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192" t="str">
        <f t="shared" si="40"/>
        <v>N</v>
      </c>
      <c r="X94" s="192">
        <f t="shared" si="29"/>
        <v>1</v>
      </c>
      <c r="Y94" s="192">
        <f t="shared" si="52"/>
        <v>23.2987</v>
      </c>
      <c r="Z94" s="192">
        <f t="shared" si="53"/>
        <v>1.49E-2</v>
      </c>
      <c r="AA94" s="192">
        <f t="shared" si="43"/>
        <v>23.283799999999999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4"/>
        <v>0182-10</v>
      </c>
      <c r="AE94" s="80" t="str">
        <f t="shared" si="45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94" s="77" t="str">
        <f t="shared" si="46"/>
        <v>"C:\Program Files (x86)\AstroGrep\AstroGrep.exe" /e /r /s /spath="%USERPROFILE%\AppData\Local\Temp\OnboardLogs" /stypes="app*4039*20170510*" /stext=" 21:.+((SYSTEM_STATE.+slice.+state.+changed )|(ment ac)|(multiple cpu faults)|(system.+state.+changed )|(\[timeout)|(PRM\|1\|D)|(kpr)|(kdp)|(train st.+moving)|(\|lc)|(penalty))"</v>
      </c>
      <c r="AG94" s="1" t="str">
        <f t="shared" si="47"/>
        <v>EC</v>
      </c>
      <c r="AH94" s="81" t="str">
        <f t="shared" si="30"/>
        <v>"%USERPROFILE%\Documents\GitHub\eaglep3\Utilities\RefineRTDCRunTimes.py" --tripid 182-10 --locoid 4039 --swversion DE.1.0.9.0 --startMP 204:232987 --initTime 2017-05-10T14:23:36 --startdatetime 2017-05-10T14:41:16 --delay 12 --endMP 204:149 --enddatetime 2017-05-10T15:21:19 --enforcementcount 0 &gt;&gt;C:\Users\stu\Documents\GitHub\eaglep3-reporting\EC\2017-05-10-refined-times.txt</v>
      </c>
      <c r="AI94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{"issue":{"subject":"","project_id":79,"tracker_id":40,"status_id":1,"priority_id":2,"assigned_to_id":23,"start_date":"2017-05-10","description":"","custom_fields":[{"id":1,"name":"Subdivision","value":"EC"},{"id":4,"name":"Milepost","value":"0.0149"},{"id":17,"name":"Train ID","value":"182-10"},{"id":16,"name":"Locomotive ID","value":"4039"},{"id":130,"name":"Impact","value":""},{"id":150,"name":"Time of Event (Mountain Time)","value":"15:21:19"},{"id":151,"name":"Denver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32"/>
        <v>start /low /b %USERPROFILE%\Documents\GitHub\eaglep3\Utilities\DownloadLogsFromS3.py --loco 4039 --day 2017-05-10</v>
      </c>
      <c r="AN94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586</v>
      </c>
      <c r="B95" s="7">
        <v>4006</v>
      </c>
      <c r="C95" s="21" t="s">
        <v>206</v>
      </c>
      <c r="D95" s="21" t="s">
        <v>371</v>
      </c>
      <c r="E95" s="13">
        <v>42865.577662037038</v>
      </c>
      <c r="F95" s="13">
        <v>42865.583807870367</v>
      </c>
      <c r="G95" s="7">
        <v>1</v>
      </c>
      <c r="H95" s="21" t="s">
        <v>850</v>
      </c>
      <c r="I95" s="13">
        <v>42865.608923611115</v>
      </c>
      <c r="J95" s="7">
        <v>0</v>
      </c>
      <c r="K95" s="92" t="str">
        <f t="shared" si="34"/>
        <v>4005/4006</v>
      </c>
      <c r="L95" s="21" t="str">
        <f>VLOOKUP(A95,'Trips&amp;Operators'!$C$1:$G$99999,5,FALSE)</f>
        <v>LEVIN SCOTT</v>
      </c>
      <c r="M95" s="6">
        <f t="shared" si="35"/>
        <v>2.5115740747423843E-2</v>
      </c>
      <c r="N95" s="7">
        <f t="shared" si="36"/>
        <v>36.166666676290333</v>
      </c>
      <c r="O95" s="7"/>
      <c r="P95" s="7"/>
      <c r="Q95" s="22"/>
      <c r="R95" s="190"/>
      <c r="S95" s="196">
        <f t="shared" si="37"/>
        <v>1</v>
      </c>
      <c r="T95" s="190" t="str">
        <f t="shared" si="38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9"/>
        <v>https://d0f6bd738d7f1b3e5a7ca70fe4ff75f0.us-east-1.aws.found.io/app/kibana#/discover/Steve-Slow-Train-Analysis-(2080s-and-2083s)?_g=(refreshInterval:(display:Off,pause:!f,section:0,value:0),time:(from:'2017-05-10T12:51:50-0600',mode:absolute,to:'2017-05-10T15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5" s="192" t="str">
        <f t="shared" si="40"/>
        <v>N</v>
      </c>
      <c r="X95" s="192">
        <f t="shared" si="29"/>
        <v>1</v>
      </c>
      <c r="Y95" s="192">
        <f t="shared" si="52"/>
        <v>4.3999999999999997E-2</v>
      </c>
      <c r="Z95" s="192">
        <f t="shared" si="53"/>
        <v>23.3339</v>
      </c>
      <c r="AA95" s="192">
        <f t="shared" si="43"/>
        <v>23.289899999999999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4"/>
        <v>0183-10</v>
      </c>
      <c r="AE95" s="80" t="str">
        <f t="shared" si="45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95" s="77" t="str">
        <f t="shared" si="46"/>
        <v>"C:\Program Files (x86)\AstroGrep\AstroGrep.exe" /e /r /s /spath="%USERPROFILE%\AppData\Local\Temp\OnboardLogs" /stypes="app*4006*20170510*" /stext=" 20:.+((SYSTEM_STATE.+slice.+state.+changed )|(ment ac)|(multiple cpu faults)|(system.+state.+changed )|(\[timeout)|(PRM\|1\|D)|(kpr)|(kdp)|(train st.+moving)|(\|lc)|(penalty))"</v>
      </c>
      <c r="AG95" s="1" t="str">
        <f t="shared" si="47"/>
        <v>EC</v>
      </c>
      <c r="AH95" s="81" t="str">
        <f t="shared" si="30"/>
        <v>"%USERPROFILE%\Documents\GitHub\eaglep3\Utilities\RefineRTDCRunTimes.py" --tripid 183-10 --locoid 4006 --swversion DE.1.0.9.0 --startMP 204:440 --initTime 2017-05-10T13:51:50 --startdatetime 2017-05-10T14:00:41 --delay 1 --endMP 204:233339 --enddatetime 2017-05-10T14:36:51 --enforcementcount 0 &gt;&gt;C:\Users\stu\Documents\GitHub\eaglep3-reporting\EC\2017-05-10-refined-times.txt</v>
      </c>
      <c r="AI95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{"issue":{"subject":"","project_id":79,"tracker_id":40,"status_id":1,"priority_id":2,"assigned_to_id":23,"start_date":"2017-05-10","description":"","custom_fields":[{"id":1,"name":"Subdivision","value":"EC"},{"id":4,"name":"Milepost","value":"23.3339"},{"id":17,"name":"Train ID","value":"183-10"},{"id":16,"name":"Locomotive ID","value":"4006"},{"id":130,"name":"Impact","value":""},{"id":150,"name":"Time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32"/>
        <v>start /low /b %USERPROFILE%\Documents\GitHub\eaglep3\Utilities\DownloadLogsFromS3.py --loco 4006 --day 2017-05-10</v>
      </c>
      <c r="AN95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715</v>
      </c>
      <c r="B96" s="7">
        <v>4005</v>
      </c>
      <c r="C96" s="21" t="s">
        <v>206</v>
      </c>
      <c r="D96" s="21" t="s">
        <v>519</v>
      </c>
      <c r="E96" s="13">
        <v>42865.618969907409</v>
      </c>
      <c r="F96" s="13">
        <v>42865.622395833336</v>
      </c>
      <c r="G96" s="7">
        <v>1</v>
      </c>
      <c r="H96" s="21" t="s">
        <v>860</v>
      </c>
      <c r="I96" s="13">
        <v>42865.651180555556</v>
      </c>
      <c r="J96" s="7">
        <v>0</v>
      </c>
      <c r="K96" s="92" t="str">
        <f t="shared" si="34"/>
        <v>4005/4006</v>
      </c>
      <c r="L96" s="21" t="str">
        <f>VLOOKUP(A96,'Trips&amp;Operators'!$C$1:$G$99999,5,FALSE)</f>
        <v>LEVIN SCOTT</v>
      </c>
      <c r="M96" s="6">
        <f t="shared" si="35"/>
        <v>2.8784722220734693E-2</v>
      </c>
      <c r="N96" s="7">
        <f t="shared" si="36"/>
        <v>41.449999997857958</v>
      </c>
      <c r="O96" s="7"/>
      <c r="P96" s="7"/>
      <c r="Q96" s="22"/>
      <c r="R96" s="190"/>
      <c r="S96" s="196">
        <f t="shared" si="37"/>
        <v>1</v>
      </c>
      <c r="T96" s="190" t="str">
        <f t="shared" si="38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9"/>
        <v>https://d0f6bd738d7f1b3e5a7ca70fe4ff75f0.us-east-1.aws.found.io/app/kibana#/discover/Steve-Slow-Train-Analysis-(2080s-and-2083s)?_g=(refreshInterval:(display:Off,pause:!f,section:0,value:0),time:(from:'2017-05-10T13:51:19-0600',mode:absolute,to:'2017-05-10T16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6" s="192" t="str">
        <f t="shared" si="40"/>
        <v>N</v>
      </c>
      <c r="X96" s="192">
        <f t="shared" si="29"/>
        <v>1</v>
      </c>
      <c r="Y96" s="192">
        <f t="shared" si="52"/>
        <v>23.299600000000002</v>
      </c>
      <c r="Z96" s="192">
        <f t="shared" si="53"/>
        <v>1.21E-2</v>
      </c>
      <c r="AA96" s="192">
        <f t="shared" si="43"/>
        <v>23.287500000000001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4"/>
        <v>0184-10</v>
      </c>
      <c r="AE96" s="80" t="str">
        <f t="shared" si="45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96" s="77" t="str">
        <f t="shared" si="46"/>
        <v>"C:\Program Files (x86)\AstroGrep\AstroGrep.exe" /e /r /s /spath="%USERPROFILE%\AppData\Local\Temp\OnboardLogs" /stypes="app*4005*20170510*" /stext=" 21:.+((SYSTEM_STATE.+slice.+state.+changed )|(ment ac)|(multiple cpu faults)|(system.+state.+changed )|(\[timeout)|(PRM\|1\|D)|(kpr)|(kdp)|(train st.+moving)|(\|lc)|(penalty))"</v>
      </c>
      <c r="AG96" s="1" t="str">
        <f t="shared" si="47"/>
        <v>EC</v>
      </c>
      <c r="AH96" s="81" t="str">
        <f t="shared" si="30"/>
        <v>"%USERPROFILE%\Documents\GitHub\eaglep3\Utilities\RefineRTDCRunTimes.py" --tripid 184-10 --locoid 4005 --swversion DE.1.0.9.0 --startMP 204:232996 --initTime 2017-05-10T14:51:19 --startdatetime 2017-05-10T14:56:15 --delay 1 --endMP 204:121 --enddatetime 2017-05-10T15:37:42 --enforcementcount 0 &gt;&gt;C:\Users\stu\Documents\GitHub\eaglep3-reporting\EC\2017-05-10-refined-times.txt</v>
      </c>
      <c r="AI96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{"issue":{"subject":"","project_id":79,"tracker_id":40,"status_id":1,"priority_id":2,"assigned_to_id":23,"start_date":"2017-05-10","description":"","custom_fields":[{"id":1,"name":"Subdivision","value":"EC"},{"id":4,"name":"Milepost","value":"0.0121"},{"id":17,"name":"Train ID","value":"184-10"},{"id":16,"name":"Locomotive ID","value":"4005"},{"id":130,"name":"Impact","value":""},{"id":150,"name":"Time of Event (Mountain Time)","value":"15:37:42"},{"id":151,"name":"Denver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5" t="str">
        <f t="shared" si="32"/>
        <v>start /low /b %USERPROFILE%\Documents\GitHub\eaglep3\Utilities\DownloadLogsFromS3.py --loco 4005 --day 2017-05-10</v>
      </c>
      <c r="AN96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7" spans="1:91" s="20" customFormat="1" x14ac:dyDescent="0.25">
      <c r="A97" s="32" t="s">
        <v>709</v>
      </c>
      <c r="B97" s="7">
        <v>4032</v>
      </c>
      <c r="C97" s="21" t="s">
        <v>206</v>
      </c>
      <c r="D97" s="21" t="s">
        <v>531</v>
      </c>
      <c r="E97" s="13">
        <v>42865.589791666665</v>
      </c>
      <c r="F97" s="13">
        <v>42865.594178240739</v>
      </c>
      <c r="G97" s="7">
        <v>1</v>
      </c>
      <c r="H97" s="21" t="s">
        <v>409</v>
      </c>
      <c r="I97" s="13">
        <v>42865.620682870373</v>
      </c>
      <c r="J97" s="7">
        <v>0</v>
      </c>
      <c r="K97" s="92" t="str">
        <f t="shared" si="34"/>
        <v>4031/4032</v>
      </c>
      <c r="L97" s="21" t="str">
        <f>VLOOKUP(A97,'Trips&amp;Operators'!$C$1:$G$99999,5,FALSE)</f>
        <v>THOMPSON LESTER</v>
      </c>
      <c r="M97" s="6">
        <f t="shared" si="35"/>
        <v>2.6504629633564036E-2</v>
      </c>
      <c r="N97" s="7">
        <f t="shared" si="36"/>
        <v>38.166666672332212</v>
      </c>
      <c r="O97" s="7"/>
      <c r="P97" s="7"/>
      <c r="Q97" s="22"/>
      <c r="R97" s="190"/>
      <c r="S97" s="196">
        <f t="shared" si="37"/>
        <v>1</v>
      </c>
      <c r="T97" s="190" t="str">
        <f t="shared" si="38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9"/>
        <v>https://d0f6bd738d7f1b3e5a7ca70fe4ff75f0.us-east-1.aws.found.io/app/kibana#/discover/Steve-Slow-Train-Analysis-(2080s-and-2083s)?_g=(refreshInterval:(display:Off,pause:!f,section:0,value:0),time:(from:'2017-05-10T13:09:18-0600',mode:absolute,to:'2017-05-10T15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7" s="192" t="str">
        <f t="shared" si="40"/>
        <v>N</v>
      </c>
      <c r="X97" s="192">
        <f t="shared" si="29"/>
        <v>1</v>
      </c>
      <c r="Y97" s="192">
        <f t="shared" si="52"/>
        <v>4.7100000000000003E-2</v>
      </c>
      <c r="Z97" s="192">
        <f t="shared" si="53"/>
        <v>23.331199999999999</v>
      </c>
      <c r="AA97" s="192">
        <f t="shared" si="43"/>
        <v>23.284099999999999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4"/>
        <v>0185-10</v>
      </c>
      <c r="AE97" s="80" t="str">
        <f t="shared" si="45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97" s="77" t="str">
        <f t="shared" si="46"/>
        <v>"C:\Program Files (x86)\AstroGrep\AstroGrep.exe" /e /r /s /spath="%USERPROFILE%\AppData\Local\Temp\OnboardLogs" /stypes="app*4032*20170510*" /stext=" 20:.+((SYSTEM_STATE.+slice.+state.+changed )|(ment ac)|(multiple cpu faults)|(system.+state.+changed )|(\[timeout)|(PRM\|1\|D)|(kpr)|(kdp)|(train st.+moving)|(\|lc)|(penalty))"</v>
      </c>
      <c r="AG97" s="1" t="str">
        <f t="shared" si="47"/>
        <v>EC</v>
      </c>
      <c r="AH97" s="81" t="str">
        <f t="shared" si="30"/>
        <v>"%USERPROFILE%\Documents\GitHub\eaglep3\Utilities\RefineRTDCRunTimes.py" --tripid 185-10 --locoid 4032 --swversion DE.1.0.9.0 --startMP 204:471 --initTime 2017-05-10T14:09:18 --startdatetime 2017-05-10T14:15:37 --delay 1 --endMP 204:233312 --enddatetime 2017-05-10T14:53:47 --enforcementcount 0 &gt;&gt;C:\Users\stu\Documents\GitHub\eaglep3-reporting\EC\2017-05-10-refined-times.txt</v>
      </c>
      <c r="AI97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{"issue":{"subject":"","project_id":79,"tracker_id":40,"status_id":1,"priority_id":2,"assigned_to_id":23,"start_date":"2017-05-10","description":"","custom_fields":[{"id":1,"name":"Subdivision","value":"EC"},{"id":4,"name":"Milepost","value":"23.3312"},{"id":17,"name":"Train ID","value":"185-10"},{"id":16,"name":"Locomotive ID","value":"4032"},{"id":130,"name":"Impact","value":""},{"id":150,"name":"Time of Event (Mountain Time)","value":"14:53:47"},{"id":151,"name":"Denver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32"/>
        <v>start /low /b %USERPROFILE%\Documents\GitHub\eaglep3\Utilities\DownloadLogsFromS3.py --loco 4032 --day 2017-05-10</v>
      </c>
      <c r="AN97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718</v>
      </c>
      <c r="B98" s="7">
        <v>4031</v>
      </c>
      <c r="C98" s="21" t="s">
        <v>206</v>
      </c>
      <c r="D98" s="21" t="s">
        <v>470</v>
      </c>
      <c r="E98" s="13">
        <v>42865.630381944444</v>
      </c>
      <c r="F98" s="13">
        <v>42865.632905092592</v>
      </c>
      <c r="G98" s="7">
        <v>1</v>
      </c>
      <c r="H98" s="21" t="s">
        <v>368</v>
      </c>
      <c r="I98" s="13">
        <v>42865.662835648145</v>
      </c>
      <c r="J98" s="7">
        <v>0</v>
      </c>
      <c r="K98" s="92" t="str">
        <f t="shared" si="34"/>
        <v>4031/4032</v>
      </c>
      <c r="L98" s="21" t="str">
        <f>VLOOKUP(A98,'Trips&amp;Operators'!$C$1:$G$99999,5,FALSE)</f>
        <v>THOMPSON LESTER</v>
      </c>
      <c r="M98" s="6">
        <f t="shared" si="35"/>
        <v>2.9930555552709848E-2</v>
      </c>
      <c r="N98" s="7">
        <f t="shared" si="36"/>
        <v>43.099999995902181</v>
      </c>
      <c r="O98" s="7"/>
      <c r="P98" s="7"/>
      <c r="Q98" s="22"/>
      <c r="R98" s="190"/>
      <c r="S98" s="196">
        <f t="shared" si="37"/>
        <v>1</v>
      </c>
      <c r="T98" s="190" t="str">
        <f t="shared" si="38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9"/>
        <v>https://d0f6bd738d7f1b3e5a7ca70fe4ff75f0.us-east-1.aws.found.io/app/kibana#/discover/Steve-Slow-Train-Analysis-(2080s-and-2083s)?_g=(refreshInterval:(display:Off,pause:!f,section:0,value:0),time:(from:'2017-05-10T14:07:45-0600',mode:absolute,to:'2017-05-10T16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8" s="192" t="str">
        <f t="shared" si="40"/>
        <v>N</v>
      </c>
      <c r="X98" s="192">
        <f t="shared" si="29"/>
        <v>1</v>
      </c>
      <c r="Y98" s="192">
        <f t="shared" si="52"/>
        <v>23.3002</v>
      </c>
      <c r="Z98" s="192">
        <f t="shared" si="53"/>
        <v>1.5599999999999999E-2</v>
      </c>
      <c r="AA98" s="192">
        <f t="shared" si="43"/>
        <v>23.284600000000001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4"/>
        <v>0186-10</v>
      </c>
      <c r="AE98" s="80" t="str">
        <f t="shared" si="45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98" s="77" t="str">
        <f t="shared" si="46"/>
        <v>"C:\Program Files (x86)\AstroGrep\AstroGrep.exe" /e /r /s /spath="%USERPROFILE%\AppData\Local\Temp\OnboardLogs" /stypes="app*4031*20170510*" /stext=" 21:.+((SYSTEM_STATE.+slice.+state.+changed )|(ment ac)|(multiple cpu faults)|(system.+state.+changed )|(\[timeout)|(PRM\|1\|D)|(kpr)|(kdp)|(train st.+moving)|(\|lc)|(penalty))"</v>
      </c>
      <c r="AG98" s="1" t="str">
        <f t="shared" si="47"/>
        <v>EC</v>
      </c>
      <c r="AH98" s="81" t="str">
        <f t="shared" si="30"/>
        <v>"%USERPROFILE%\Documents\GitHub\eaglep3\Utilities\RefineRTDCRunTimes.py" --tripid 186-10 --locoid 4031 --swversion DE.1.0.9.0 --startMP 204:233002 --initTime 2017-05-10T15:07:45 --startdatetime 2017-05-10T15:11:23 --delay 1 --endMP 204:156 --enddatetime 2017-05-10T15:54:29 --enforcementcount 0 &gt;&gt;C:\Users\stu\Documents\GitHub\eaglep3-reporting\EC\2017-05-10-refined-times.txt</v>
      </c>
      <c r="AI98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{"issue":{"subject":"","project_id":79,"tracker_id":40,"status_id":1,"priority_id":2,"assigned_to_id":23,"start_date":"2017-05-10","description":"","custom_fields":[{"id":1,"name":"Subdivision","value":"EC"},{"id":4,"name":"Milepost","value":"0.0156"},{"id":17,"name":"Train ID","value":"186-10"},{"id":16,"name":"Locomotive ID","value":"4031"},{"id":130,"name":"Impact","value":""},{"id":150,"name":"Time of Event (Mountain Time)","value":"15:54:29"},{"id":151,"name":"Denver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32"/>
        <v>start /low /b %USERPROFILE%\Documents\GitHub\eaglep3\Utilities\DownloadLogsFromS3.py --loco 4031 --day 2017-05-10</v>
      </c>
      <c r="AN98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712</v>
      </c>
      <c r="B99" s="7">
        <v>4028</v>
      </c>
      <c r="C99" s="21" t="s">
        <v>206</v>
      </c>
      <c r="D99" s="21" t="s">
        <v>470</v>
      </c>
      <c r="E99" s="13">
        <v>42865.630381944444</v>
      </c>
      <c r="F99" s="13">
        <v>42865.604386574072</v>
      </c>
      <c r="G99" s="7">
        <v>1</v>
      </c>
      <c r="H99" s="21" t="s">
        <v>368</v>
      </c>
      <c r="I99" s="13">
        <v>42865.633379629631</v>
      </c>
      <c r="J99" s="7">
        <v>0</v>
      </c>
      <c r="K99" s="92" t="str">
        <f t="shared" si="34"/>
        <v>4027/4028</v>
      </c>
      <c r="L99" s="21" t="str">
        <f>VLOOKUP(A99,'Trips&amp;Operators'!$C$1:$G$99999,5,FALSE)</f>
        <v>CLARK KATHLEEN</v>
      </c>
      <c r="M99" s="6">
        <f t="shared" si="35"/>
        <v>2.899305555911269E-2</v>
      </c>
      <c r="N99" s="7">
        <f t="shared" si="36"/>
        <v>41.750000005122274</v>
      </c>
      <c r="O99" s="7"/>
      <c r="P99" s="7"/>
      <c r="Q99" s="22"/>
      <c r="R99" s="190"/>
      <c r="S99" s="196">
        <f t="shared" si="37"/>
        <v>1</v>
      </c>
      <c r="T99" s="190" t="str">
        <f t="shared" si="38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9"/>
        <v>https://d0f6bd738d7f1b3e5a7ca70fe4ff75f0.us-east-1.aws.found.io/app/kibana#/discover/Steve-Slow-Train-Analysis-(2080s-and-2083s)?_g=(refreshInterval:(display:Off,pause:!f,section:0,value:0),time:(from:'2017-05-10T14:07:45-0600',mode:absolute,to:'2017-05-10T16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192" t="str">
        <f t="shared" si="40"/>
        <v>N</v>
      </c>
      <c r="X99" s="192">
        <f t="shared" ref="X99:X135" si="54">VALUE(LEFT(AD99,4))-VALUE(LEFT(AD98,4))</f>
        <v>1</v>
      </c>
      <c r="Y99" s="192">
        <v>4.7100000000000003E-2</v>
      </c>
      <c r="Z99" s="192">
        <v>23.331199999999999</v>
      </c>
      <c r="AA99" s="192">
        <f t="shared" si="43"/>
        <v>23.284099999999999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4"/>
        <v>0187-10</v>
      </c>
      <c r="AE99" s="80" t="str">
        <f t="shared" si="45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99" s="77" t="str">
        <f t="shared" si="46"/>
        <v>"C:\Program Files (x86)\AstroGrep\AstroGrep.exe" /e /r /s /spath="%USERPROFILE%\AppData\Local\Temp\OnboardLogs" /stypes="app*4028*20170510*" /stext=" 21:.+((SYSTEM_STATE.+slice.+state.+changed )|(ment ac)|(multiple cpu faults)|(system.+state.+changed )|(\[timeout)|(PRM\|1\|D)|(kpr)|(kdp)|(train st.+moving)|(\|lc)|(penalty))"</v>
      </c>
      <c r="AG99" s="1" t="str">
        <f t="shared" si="47"/>
        <v>EC</v>
      </c>
      <c r="AH99" s="81" t="str">
        <f t="shared" ref="AH99" si="55"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"&amp;J99&amp;IF(outputrefinedruntimes," &gt;&gt;"&amp;RefinedRTDCRunTimesOutputFile,"")</f>
        <v>"%USERPROFILE%\Documents\GitHub\eaglep3\Utilities\RefineRTDCRunTimes.py" --tripid 187-10 --locoid 4028 --swversion DE.1.0.9.0 --startMP 204:233002 --initTime 2017-05-10T15:07:45 --startdatetime 2017-05-10T14:30:19 --delay 1 --endMP 204:156 --enddatetime 2017-05-10T15:12:04 --enforcementcount 0 &gt;&gt;C:\Users\stu\Documents\GitHub\eaglep3-reporting\EC\2017-05-10-refined-times.txt</v>
      </c>
      <c r="AI99" s="99" t="str">
        <f t="shared" ref="AI99" si="56"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Z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{"issue":{"subject":"","project_id":79,"tracker_id":40,"status_id":1,"priority_id":2,"assigned_to_id":23,"start_date":"2017-05-10","description":"","custom_fields":[{"id":1,"name":"Subdivision","value":"EC"},{"id":4,"name":"Milepost","value":"23.3312"},{"id":17,"name":"Train ID","value":"187-10"},{"id":16,"name":"Locomotive ID","value":"4028"},{"id":130,"name":"Impact","value":""},{"id":150,"name":"Time of Event (Mountain Time)","value":"15:12:04"},{"id":151,"name":"Denver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ref="AM99" si="57">"start /low /b "&amp;dls3logs&amp;" --loco "&amp;B99&amp;" --day "&amp;TEXT(F99,"YYYY-MM-DD")</f>
        <v>start /low /b %USERPROFILE%\Documents\GitHub\eaglep3\Utilities\DownloadLogsFromS3.py --loco 4028 --day 2017-05-10</v>
      </c>
      <c r="AN99" s="154" t="str">
        <f t="shared" ref="AN99" si="58">"echo {""issue"":{""subject"":"""&amp;R99&amp;""",""project_id"":30,""tracker_id"":4,""status_id"":"&amp;redmine_status_wcr&amp;",""priority_id"":"&amp;redmine_priority_wcr&amp;",""assigned_to_id"":"&amp;redmine_assignee_wcr&amp;",""start_date"":"""&amp;TEXT(I99-utc_offset/24,"YYYY-mm-dd")&amp;""",""description"":"""&amp;AJ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21:12:04"},{"id":29,"name":"Sharepoint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0" spans="1:91" s="20" customFormat="1" x14ac:dyDescent="0.25">
      <c r="A100" s="32" t="s">
        <v>719</v>
      </c>
      <c r="B100" s="7">
        <v>4027</v>
      </c>
      <c r="C100" s="21" t="s">
        <v>206</v>
      </c>
      <c r="D100" s="21" t="s">
        <v>861</v>
      </c>
      <c r="E100" s="13">
        <v>42865.63958333333</v>
      </c>
      <c r="F100" s="13">
        <v>42865.643206018518</v>
      </c>
      <c r="G100" s="7">
        <v>1</v>
      </c>
      <c r="H100" s="21" t="s">
        <v>862</v>
      </c>
      <c r="I100" s="13">
        <v>42865.671458333331</v>
      </c>
      <c r="J100" s="7">
        <v>0</v>
      </c>
      <c r="K100" s="92" t="str">
        <f t="shared" si="34"/>
        <v>4027/4028</v>
      </c>
      <c r="L100" s="21" t="str">
        <f>VLOOKUP(A100,'Trips&amp;Operators'!$C$1:$G$99999,5,FALSE)</f>
        <v>CLARK KATHLEEN</v>
      </c>
      <c r="M100" s="6">
        <f t="shared" si="35"/>
        <v>2.8252314812561963E-2</v>
      </c>
      <c r="N100" s="7">
        <f t="shared" si="36"/>
        <v>40.683333330089226</v>
      </c>
      <c r="O100" s="7"/>
      <c r="P100" s="7"/>
      <c r="Q100" s="22"/>
      <c r="R100" s="190"/>
      <c r="S100" s="196">
        <f t="shared" si="37"/>
        <v>1</v>
      </c>
      <c r="T100" s="190" t="str">
        <f t="shared" si="38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9"/>
        <v>https://d0f6bd738d7f1b3e5a7ca70fe4ff75f0.us-east-1.aws.found.io/app/kibana#/discover/Steve-Slow-Train-Analysis-(2080s-and-2083s)?_g=(refreshInterval:(display:Off,pause:!f,section:0,value:0),time:(from:'2017-05-10T14:21:00-0600',mode:absolute,to:'2017-05-10T17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192" t="str">
        <f t="shared" si="40"/>
        <v>N</v>
      </c>
      <c r="X100" s="192">
        <f t="shared" si="54"/>
        <v>1</v>
      </c>
      <c r="Y100" s="192">
        <f t="shared" ref="Y100:Y131" si="59">RIGHT(D100,LEN(D100)-4)/10000</f>
        <v>23.294599999999999</v>
      </c>
      <c r="Z100" s="192">
        <f t="shared" ref="Z100:Z131" si="60">RIGHT(H100,LEN(H100)-4)/10000</f>
        <v>2.12E-2</v>
      </c>
      <c r="AA100" s="192">
        <f t="shared" si="43"/>
        <v>23.273399999999999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4"/>
        <v>0188-10</v>
      </c>
      <c r="AE100" s="80" t="str">
        <f t="shared" si="45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100" s="77" t="str">
        <f t="shared" si="46"/>
        <v>"C:\Program Files (x86)\AstroGrep\AstroGrep.exe" /e /r /s /spath="%USERPROFILE%\AppData\Local\Temp\OnboardLogs" /stypes="app*4027*20170510*" /stext=" 22:.+((SYSTEM_STATE.+slice.+state.+changed )|(ment ac)|(multiple cpu faults)|(system.+state.+changed )|(\[timeout)|(PRM\|1\|D)|(kpr)|(kdp)|(train st.+moving)|(\|lc)|(penalty))"</v>
      </c>
      <c r="AG100" s="1" t="str">
        <f t="shared" si="47"/>
        <v>EC</v>
      </c>
      <c r="AH100" s="81" t="str">
        <f t="shared" si="30"/>
        <v>"%USERPROFILE%\Documents\GitHub\eaglep3\Utilities\RefineRTDCRunTimes.py" --tripid 188-10 --locoid 4027 --swversion DE.1.0.9.0 --startMP 204:232946 --initTime 2017-05-10T15:21:00 --startdatetime 2017-05-10T15:26:13 --delay 1 --endMP 204:212 --enddatetime 2017-05-10T16:06:54 --enforcementcount 0 &gt;&gt;C:\Users\stu\Documents\GitHub\eaglep3-reporting\EC\2017-05-10-refined-times.txt</v>
      </c>
      <c r="AI100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{"issue":{"subject":"","project_id":79,"tracker_id":40,"status_id":1,"priority_id":2,"assigned_to_id":23,"start_date":"2017-05-10","description":"","custom_fields":[{"id":1,"name":"Subdivision","value":"EC"},{"id":4,"name":"Milepost","value":"0.0212"},{"id":17,"name":"Train ID","value":"188-10"},{"id":16,"name":"Locomotive ID","value":"4027"},{"id":130,"name":"Impact","value":""},{"id":150,"name":"Time of Event (Mountain Time)","value":"16:06:54"},{"id":151,"name":"Denver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32"/>
        <v>start /low /b %USERPROFILE%\Documents\GitHub\eaglep3\Utilities\DownloadLogsFromS3.py --loco 4027 --day 2017-05-10</v>
      </c>
      <c r="AN100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714</v>
      </c>
      <c r="B101" s="7">
        <v>4012</v>
      </c>
      <c r="C101" s="21" t="s">
        <v>206</v>
      </c>
      <c r="D101" s="21" t="s">
        <v>371</v>
      </c>
      <c r="E101" s="13">
        <v>42865.612199074072</v>
      </c>
      <c r="F101" s="13">
        <v>42865.614837962959</v>
      </c>
      <c r="G101" s="7">
        <v>1</v>
      </c>
      <c r="H101" s="21" t="s">
        <v>863</v>
      </c>
      <c r="I101" s="13">
        <v>42865.640532407408</v>
      </c>
      <c r="J101" s="7">
        <v>0</v>
      </c>
      <c r="K101" s="92" t="str">
        <f t="shared" si="34"/>
        <v>4011/4012</v>
      </c>
      <c r="L101" s="21" t="str">
        <f>VLOOKUP(A101,'Trips&amp;Operators'!$C$1:$G$99999,5,FALSE)</f>
        <v>DAVIS MICHAEL</v>
      </c>
      <c r="M101" s="6">
        <f t="shared" si="35"/>
        <v>2.5694444448163267E-2</v>
      </c>
      <c r="N101" s="7">
        <f t="shared" si="36"/>
        <v>37.000000005355105</v>
      </c>
      <c r="O101" s="7"/>
      <c r="P101" s="7"/>
      <c r="Q101" s="22"/>
      <c r="R101" s="190"/>
      <c r="S101" s="196">
        <f t="shared" si="37"/>
        <v>1</v>
      </c>
      <c r="T101" s="190" t="str">
        <f t="shared" si="38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9"/>
        <v>https://d0f6bd738d7f1b3e5a7ca70fe4ff75f0.us-east-1.aws.found.io/app/kibana#/discover/Steve-Slow-Train-Analysis-(2080s-and-2083s)?_g=(refreshInterval:(display:Off,pause:!f,section:0,value:0),time:(from:'2017-05-10T13:41:34-0600',mode:absolute,to:'2017-05-10T16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192" t="str">
        <f t="shared" si="40"/>
        <v>N</v>
      </c>
      <c r="X101" s="192">
        <f t="shared" si="54"/>
        <v>1</v>
      </c>
      <c r="Y101" s="192">
        <f t="shared" si="59"/>
        <v>4.3999999999999997E-2</v>
      </c>
      <c r="Z101" s="192">
        <f t="shared" si="60"/>
        <v>23.331700000000001</v>
      </c>
      <c r="AA101" s="192">
        <f t="shared" si="43"/>
        <v>23.287700000000001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4"/>
        <v>0189-10</v>
      </c>
      <c r="AE101" s="80" t="str">
        <f t="shared" si="45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101" s="77" t="str">
        <f t="shared" si="46"/>
        <v>"C:\Program Files (x86)\AstroGrep\AstroGrep.exe" /e /r /s /spath="%USERPROFILE%\AppData\Local\Temp\OnboardLogs" /stypes="app*4012*20170510*" /stext=" 21:.+((SYSTEM_STATE.+slice.+state.+changed )|(ment ac)|(multiple cpu faults)|(system.+state.+changed )|(\[timeout)|(PRM\|1\|D)|(kpr)|(kdp)|(train st.+moving)|(\|lc)|(penalty))"</v>
      </c>
      <c r="AG101" s="1" t="str">
        <f t="shared" si="47"/>
        <v>EC</v>
      </c>
      <c r="AH101" s="81" t="str">
        <f t="shared" si="30"/>
        <v>"%USERPROFILE%\Documents\GitHub\eaglep3\Utilities\RefineRTDCRunTimes.py" --tripid 189-10 --locoid 4012 --swversion DE.1.0.9.0 --startMP 204:440 --initTime 2017-05-10T14:41:34 --startdatetime 2017-05-10T14:45:22 --delay 1 --endMP 204:233317 --enddatetime 2017-05-10T15:22:22 --enforcementcount 0 &gt;&gt;C:\Users\stu\Documents\GitHub\eaglep3-reporting\EC\2017-05-10-refined-times.txt</v>
      </c>
      <c r="AI101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{"issue":{"subject":"","project_id":79,"tracker_id":40,"status_id":1,"priority_id":2,"assigned_to_id":23,"start_date":"2017-05-10","description":"","custom_fields":[{"id":1,"name":"Subdivision","value":"EC"},{"id":4,"name":"Milepost","value":"23.3317"},{"id":17,"name":"Train ID","value":"189-10"},{"id":16,"name":"Locomotive ID","value":"4012"},{"id":130,"name":"Impact","value":""},{"id":150,"name":"Time of Event (Mountain Time)","value":"15:22:22"},{"id":151,"name":"Denver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32"/>
        <v>start /low /b %USERPROFILE%\Documents\GitHub\eaglep3\Utilities\DownloadLogsFromS3.py --loco 4012 --day 2017-05-10</v>
      </c>
      <c r="AN101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722</v>
      </c>
      <c r="B102" s="7">
        <v>4011</v>
      </c>
      <c r="C102" s="21" t="s">
        <v>206</v>
      </c>
      <c r="D102" s="21" t="s">
        <v>397</v>
      </c>
      <c r="E102" s="13">
        <v>42865.652268518519</v>
      </c>
      <c r="F102" s="13">
        <v>42865.653807870367</v>
      </c>
      <c r="G102" s="7">
        <v>1</v>
      </c>
      <c r="H102" s="21" t="s">
        <v>864</v>
      </c>
      <c r="I102" s="13">
        <v>42865.681666666664</v>
      </c>
      <c r="J102" s="7">
        <v>0</v>
      </c>
      <c r="K102" s="92" t="str">
        <f t="shared" si="34"/>
        <v>4011/4012</v>
      </c>
      <c r="L102" s="21" t="str">
        <f>VLOOKUP(A102,'Trips&amp;Operators'!$C$1:$G$99999,5,FALSE)</f>
        <v>DAVIS MICHAEL</v>
      </c>
      <c r="M102" s="6">
        <f t="shared" si="35"/>
        <v>2.7858796296641231E-2</v>
      </c>
      <c r="N102" s="7">
        <f t="shared" si="36"/>
        <v>40.116666667163372</v>
      </c>
      <c r="O102" s="7"/>
      <c r="P102" s="7"/>
      <c r="Q102" s="22"/>
      <c r="R102" s="190"/>
      <c r="S102" s="196">
        <f t="shared" si="37"/>
        <v>1</v>
      </c>
      <c r="T102" s="190" t="str">
        <f t="shared" si="38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9"/>
        <v>https://d0f6bd738d7f1b3e5a7ca70fe4ff75f0.us-east-1.aws.found.io/app/kibana#/discover/Steve-Slow-Train-Analysis-(2080s-and-2083s)?_g=(refreshInterval:(display:Off,pause:!f,section:0,value:0),time:(from:'2017-05-10T14:39:16-0600',mode:absolute,to:'2017-05-10T17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192" t="str">
        <f t="shared" si="40"/>
        <v>N</v>
      </c>
      <c r="X102" s="192">
        <f t="shared" si="54"/>
        <v>1</v>
      </c>
      <c r="Y102" s="192">
        <f t="shared" si="59"/>
        <v>23.3</v>
      </c>
      <c r="Z102" s="192">
        <f t="shared" si="60"/>
        <v>1.29E-2</v>
      </c>
      <c r="AA102" s="192">
        <f t="shared" si="43"/>
        <v>23.287100000000002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4"/>
        <v>0190-10</v>
      </c>
      <c r="AE102" s="80" t="str">
        <f t="shared" si="45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102" s="77" t="str">
        <f t="shared" si="46"/>
        <v>"C:\Program Files (x86)\AstroGrep\AstroGrep.exe" /e /r /s /spath="%USERPROFILE%\AppData\Local\Temp\OnboardLogs" /stypes="app*4011*20170510*" /stext=" 22:.+((SYSTEM_STATE.+slice.+state.+changed )|(ment ac)|(multiple cpu faults)|(system.+state.+changed )|(\[timeout)|(PRM\|1\|D)|(kpr)|(kdp)|(train st.+moving)|(\|lc)|(penalty))"</v>
      </c>
      <c r="AG102" s="1" t="str">
        <f t="shared" si="47"/>
        <v>EC</v>
      </c>
      <c r="AH102" s="81" t="str">
        <f t="shared" si="30"/>
        <v>"%USERPROFILE%\Documents\GitHub\eaglep3\Utilities\RefineRTDCRunTimes.py" --tripid 190-10 --locoid 4011 --swversion DE.1.0.9.0 --startMP 204:233000 --initTime 2017-05-10T15:39:16 --startdatetime 2017-05-10T15:41:29 --delay 1 --endMP 204:129 --enddatetime 2017-05-10T16:21:36 --enforcementcount 0 &gt;&gt;C:\Users\stu\Documents\GitHub\eaglep3-reporting\EC\2017-05-10-refined-times.txt</v>
      </c>
      <c r="AI102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{"issue":{"subject":"","project_id":79,"tracker_id":40,"status_id":1,"priority_id":2,"assigned_to_id":23,"start_date":"2017-05-10","description":"","custom_fields":[{"id":1,"name":"Subdivision","value":"EC"},{"id":4,"name":"Milepost","value":"0.0129"},{"id":17,"name":"Train ID","value":"190-10"},{"id":16,"name":"Locomotive ID","value":"4011"},{"id":130,"name":"Impact","value":""},{"id":150,"name":"Time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32"/>
        <v>start /low /b %USERPROFILE%\Documents\GitHub\eaglep3\Utilities\DownloadLogsFromS3.py --loco 4011 --day 2017-05-10</v>
      </c>
      <c r="AN102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716</v>
      </c>
      <c r="B103" s="7">
        <v>4018</v>
      </c>
      <c r="C103" s="21" t="s">
        <v>206</v>
      </c>
      <c r="D103" s="21" t="s">
        <v>355</v>
      </c>
      <c r="E103" s="13">
        <v>42865.61990740741</v>
      </c>
      <c r="F103" s="13">
        <v>42865.625243055554</v>
      </c>
      <c r="G103" s="7">
        <v>1</v>
      </c>
      <c r="H103" s="21" t="s">
        <v>857</v>
      </c>
      <c r="I103" s="13">
        <v>42865.651238425926</v>
      </c>
      <c r="J103" s="7">
        <v>0</v>
      </c>
      <c r="K103" s="92" t="str">
        <f t="shared" si="34"/>
        <v>4017/4018</v>
      </c>
      <c r="L103" s="21" t="str">
        <f>VLOOKUP(A103,'Trips&amp;Operators'!$C$1:$G$99999,5,FALSE)</f>
        <v>LAMAR NEKESHA</v>
      </c>
      <c r="M103" s="6">
        <f t="shared" si="35"/>
        <v>2.5995370371674653E-2</v>
      </c>
      <c r="N103" s="7">
        <f t="shared" si="36"/>
        <v>37.433333335211501</v>
      </c>
      <c r="O103" s="7"/>
      <c r="P103" s="7"/>
      <c r="Q103" s="22"/>
      <c r="R103" s="190"/>
      <c r="S103" s="196">
        <f t="shared" si="37"/>
        <v>1</v>
      </c>
      <c r="T103" s="190" t="str">
        <f t="shared" si="38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9"/>
        <v>https://d0f6bd738d7f1b3e5a7ca70fe4ff75f0.us-east-1.aws.found.io/app/kibana#/discover/Steve-Slow-Train-Analysis-(2080s-and-2083s)?_g=(refreshInterval:(display:Off,pause:!f,section:0,value:0),time:(from:'2017-05-10T13:52:40-0600',mode:absolute,to:'2017-05-10T16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192" t="str">
        <f t="shared" si="40"/>
        <v>N</v>
      </c>
      <c r="X103" s="192">
        <f t="shared" si="54"/>
        <v>1</v>
      </c>
      <c r="Y103" s="192">
        <f t="shared" si="59"/>
        <v>4.58E-2</v>
      </c>
      <c r="Z103" s="192">
        <f t="shared" si="60"/>
        <v>23.331600000000002</v>
      </c>
      <c r="AA103" s="192">
        <f t="shared" si="43"/>
        <v>23.285800000000002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4"/>
        <v>0191-10</v>
      </c>
      <c r="AE103" s="80" t="str">
        <f t="shared" si="45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103" s="77" t="str">
        <f t="shared" si="46"/>
        <v>"C:\Program Files (x86)\AstroGrep\AstroGrep.exe" /e /r /s /spath="%USERPROFILE%\AppData\Local\Temp\OnboardLogs" /stypes="app*4018*20170510*" /stext=" 21:.+((SYSTEM_STATE.+slice.+state.+changed )|(ment ac)|(multiple cpu faults)|(system.+state.+changed )|(\[timeout)|(PRM\|1\|D)|(kpr)|(kdp)|(train st.+moving)|(\|lc)|(penalty))"</v>
      </c>
      <c r="AG103" s="1" t="str">
        <f t="shared" si="47"/>
        <v>EC</v>
      </c>
      <c r="AH103" s="81" t="str">
        <f t="shared" si="30"/>
        <v>"%USERPROFILE%\Documents\GitHub\eaglep3\Utilities\RefineRTDCRunTimes.py" --tripid 191-10 --locoid 4018 --swversion DE.1.0.9.0 --startMP 204:458 --initTime 2017-05-10T14:52:40 --startdatetime 2017-05-10T15:00:21 --delay 1 --endMP 204:233316 --enddatetime 2017-05-10T15:37:47 --enforcementcount 0 &gt;&gt;C:\Users\stu\Documents\GitHub\eaglep3-reporting\EC\2017-05-10-refined-times.txt</v>
      </c>
      <c r="AI103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{"issue":{"subject":"","project_id":79,"tracker_id":40,"status_id":1,"priority_id":2,"assigned_to_id":23,"start_date":"2017-05-10","description":"","custom_fields":[{"id":1,"name":"Subdivision","value":"EC"},{"id":4,"name":"Milepost","value":"23.3316"},{"id":17,"name":"Train ID","value":"191-10"},{"id":16,"name":"Locomotive ID","value":"4018"},{"id":130,"name":"Impact","value":""},{"id":150,"name":"Time of Event (Mountain Time)","value":"15:37:47"},{"id":151,"name":"Denver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32"/>
        <v>start /low /b %USERPROFILE%\Documents\GitHub\eaglep3\Utilities\DownloadLogsFromS3.py --loco 4018 --day 2017-05-10</v>
      </c>
      <c r="AN103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724</v>
      </c>
      <c r="B104" s="7">
        <v>4017</v>
      </c>
      <c r="C104" s="21" t="s">
        <v>206</v>
      </c>
      <c r="D104" s="21" t="s">
        <v>415</v>
      </c>
      <c r="E104" s="13">
        <v>42865.658275462964</v>
      </c>
      <c r="F104" s="13">
        <v>42865.664074074077</v>
      </c>
      <c r="G104" s="7">
        <v>1</v>
      </c>
      <c r="H104" s="21" t="s">
        <v>354</v>
      </c>
      <c r="I104" s="13">
        <v>42865.691250000003</v>
      </c>
      <c r="J104" s="7">
        <v>0</v>
      </c>
      <c r="K104" s="92" t="str">
        <f t="shared" si="34"/>
        <v>4017/4018</v>
      </c>
      <c r="L104" s="21" t="str">
        <f>VLOOKUP(A104,'Trips&amp;Operators'!$C$1:$G$99999,5,FALSE)</f>
        <v>LAMAR NEKESHA</v>
      </c>
      <c r="M104" s="6">
        <f t="shared" si="35"/>
        <v>2.7175925926712807E-2</v>
      </c>
      <c r="N104" s="7">
        <f t="shared" si="36"/>
        <v>39.133333334466442</v>
      </c>
      <c r="O104" s="7"/>
      <c r="P104" s="7"/>
      <c r="Q104" s="22"/>
      <c r="R104" s="190"/>
      <c r="S104" s="196">
        <f t="shared" si="37"/>
        <v>1</v>
      </c>
      <c r="T104" s="190" t="str">
        <f t="shared" si="38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9"/>
        <v>https://d0f6bd738d7f1b3e5a7ca70fe4ff75f0.us-east-1.aws.found.io/app/kibana#/discover/Steve-Slow-Train-Analysis-(2080s-and-2083s)?_g=(refreshInterval:(display:Off,pause:!f,section:0,value:0),time:(from:'2017-05-10T14:47:55-0600',mode:absolute,to:'2017-05-10T17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192" t="str">
        <f t="shared" si="40"/>
        <v>N</v>
      </c>
      <c r="X104" s="192">
        <f t="shared" si="54"/>
        <v>1</v>
      </c>
      <c r="Y104" s="192">
        <f t="shared" si="59"/>
        <v>23.299199999999999</v>
      </c>
      <c r="Z104" s="192">
        <f t="shared" si="60"/>
        <v>1.6E-2</v>
      </c>
      <c r="AA104" s="192">
        <f t="shared" si="43"/>
        <v>23.283200000000001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4"/>
        <v>0192-10</v>
      </c>
      <c r="AE104" s="80" t="str">
        <f t="shared" si="45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104" s="77" t="str">
        <f t="shared" si="46"/>
        <v>"C:\Program Files (x86)\AstroGrep\AstroGrep.exe" /e /r /s /spath="%USERPROFILE%\AppData\Local\Temp\OnboardLogs" /stypes="app*4017*20170510*" /stext=" 22:.+((SYSTEM_STATE.+slice.+state.+changed )|(ment ac)|(multiple cpu faults)|(system.+state.+changed )|(\[timeout)|(PRM\|1\|D)|(kpr)|(kdp)|(train st.+moving)|(\|lc)|(penalty))"</v>
      </c>
      <c r="AG104" s="1" t="str">
        <f t="shared" si="47"/>
        <v>EC</v>
      </c>
      <c r="AH104" s="81" t="str">
        <f t="shared" si="30"/>
        <v>"%USERPROFILE%\Documents\GitHub\eaglep3\Utilities\RefineRTDCRunTimes.py" --tripid 192-10 --locoid 4017 --swversion DE.1.0.9.0 --startMP 204:232992 --initTime 2017-05-10T15:47:55 --startdatetime 2017-05-10T15:56:16 --delay 1 --endMP 204:160 --enddatetime 2017-05-10T16:35:24 --enforcementcount 0 &gt;&gt;C:\Users\stu\Documents\GitHub\eaglep3-reporting\EC\2017-05-10-refined-times.txt</v>
      </c>
      <c r="AI104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{"issue":{"subject":"","project_id":79,"tracker_id":40,"status_id":1,"priority_id":2,"assigned_to_id":23,"start_date":"2017-05-10","description":"","custom_fields":[{"id":1,"name":"Subdivision","value":"EC"},{"id":4,"name":"Milepost","value":"0.016"},{"id":17,"name":"Train ID","value":"192-10"},{"id":16,"name":"Locomotive ID","value":"4017"},{"id":130,"name":"Impact","value":""},{"id":150,"name":"Time of Event (Mountain Time)","value":"16:35:24"},{"id":151,"name":"Denver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32"/>
        <v>start /low /b %USERPROFILE%\Documents\GitHub\eaglep3\Utilities\DownloadLogsFromS3.py --loco 4017 --day 2017-05-10</v>
      </c>
      <c r="AN104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588</v>
      </c>
      <c r="B105" s="7">
        <v>4008</v>
      </c>
      <c r="C105" s="21" t="s">
        <v>206</v>
      </c>
      <c r="D105" s="21" t="s">
        <v>373</v>
      </c>
      <c r="E105" s="13">
        <v>42865.628622685188</v>
      </c>
      <c r="F105" s="13">
        <v>42865.635671296295</v>
      </c>
      <c r="G105" s="7">
        <v>1</v>
      </c>
      <c r="H105" s="21" t="s">
        <v>865</v>
      </c>
      <c r="I105" s="13">
        <v>42865.660370370373</v>
      </c>
      <c r="J105" s="7">
        <v>0</v>
      </c>
      <c r="K105" s="92" t="str">
        <f t="shared" si="34"/>
        <v>4007/4008</v>
      </c>
      <c r="L105" s="21" t="str">
        <f>VLOOKUP(A105,'Trips&amp;Operators'!$C$1:$G$99999,5,FALSE)</f>
        <v>DELGADO DIANAH</v>
      </c>
      <c r="M105" s="6">
        <f t="shared" si="35"/>
        <v>2.4699074077943806E-2</v>
      </c>
      <c r="N105" s="7">
        <f t="shared" si="36"/>
        <v>35.56666667223908</v>
      </c>
      <c r="O105" s="7"/>
      <c r="P105" s="7"/>
      <c r="Q105" s="22"/>
      <c r="R105" s="190"/>
      <c r="S105" s="196">
        <f t="shared" si="37"/>
        <v>1</v>
      </c>
      <c r="T105" s="190" t="str">
        <f t="shared" si="38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9"/>
        <v>https://d0f6bd738d7f1b3e5a7ca70fe4ff75f0.us-east-1.aws.found.io/app/kibana#/discover/Steve-Slow-Train-Analysis-(2080s-and-2083s)?_g=(refreshInterval:(display:Off,pause:!f,section:0,value:0),time:(from:'2017-05-10T14:05:13-0600',mode:absolute,to:'2017-05-10T16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92" t="str">
        <f t="shared" si="40"/>
        <v>N</v>
      </c>
      <c r="X105" s="192">
        <f t="shared" si="54"/>
        <v>1</v>
      </c>
      <c r="Y105" s="192">
        <f t="shared" si="59"/>
        <v>4.4699999999999997E-2</v>
      </c>
      <c r="Z105" s="192">
        <f t="shared" si="60"/>
        <v>23.339700000000001</v>
      </c>
      <c r="AA105" s="192">
        <f t="shared" si="43"/>
        <v>23.295000000000002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4"/>
        <v>0193-10</v>
      </c>
      <c r="AE105" s="80" t="str">
        <f t="shared" si="45"/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105" s="77" t="str">
        <f t="shared" si="46"/>
        <v>"C:\Program Files (x86)\AstroGrep\AstroGrep.exe" /e /r /s /spath="%USERPROFILE%\AppData\Local\Temp\OnboardLogs" /stypes="app*4008*20170510*" /stext=" 21:.+((SYSTEM_STATE.+slice.+state.+changed )|(ment ac)|(multiple cpu faults)|(system.+state.+changed )|(\[timeout)|(PRM\|1\|D)|(kpr)|(kdp)|(train st.+moving)|(\|lc)|(penalty))"</v>
      </c>
      <c r="AG105" s="1" t="str">
        <f t="shared" si="47"/>
        <v>EC</v>
      </c>
      <c r="AH105" s="81" t="str">
        <f t="shared" si="30"/>
        <v>"%USERPROFILE%\Documents\GitHub\eaglep3\Utilities\RefineRTDCRunTimes.py" --tripid 193-10 --locoid 4008 --swversion DE.1.0.9.0 --startMP 204:447 --initTime 2017-05-10T15:05:13 --startdatetime 2017-05-10T15:15:22 --delay 1 --endMP 204:233397 --enddatetime 2017-05-10T15:50:56 --enforcementcount 0 &gt;&gt;C:\Users\stu\Documents\GitHub\eaglep3-reporting\EC\2017-05-10-refined-times.txt</v>
      </c>
      <c r="AI105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{"issue":{"subject":"","project_id":79,"tracker_id":40,"status_id":1,"priority_id":2,"assigned_to_id":23,"start_date":"2017-05-10","description":"","custom_fields":[{"id":1,"name":"Subdivision","value":"EC"},{"id":4,"name":"Milepost","value":"23.3397"},{"id":17,"name":"Train ID","value":"193-10"},{"id":16,"name":"Locomotive ID","value":"4008"},{"id":130,"name":"Impact","value":""},{"id":150,"name":"Time of Event (Mountain Time)","value":"15:50:56"},{"id":151,"name":"Denver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32"/>
        <v>start /low /b %USERPROFILE%\Documents\GitHub\eaglep3\Utilities\DownloadLogsFromS3.py --loco 4008 --day 2017-05-10</v>
      </c>
      <c r="AN105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730</v>
      </c>
      <c r="B106" s="7">
        <v>4007</v>
      </c>
      <c r="C106" s="21" t="s">
        <v>206</v>
      </c>
      <c r="D106" s="21" t="s">
        <v>866</v>
      </c>
      <c r="E106" s="13">
        <v>42865.668888888889</v>
      </c>
      <c r="F106" s="13">
        <v>42865.674421296295</v>
      </c>
      <c r="G106" s="7">
        <v>2</v>
      </c>
      <c r="H106" s="21" t="s">
        <v>198</v>
      </c>
      <c r="I106" s="13">
        <v>42865.700381944444</v>
      </c>
      <c r="J106" s="7">
        <v>0</v>
      </c>
      <c r="K106" s="92" t="str">
        <f t="shared" si="34"/>
        <v>4007/4008</v>
      </c>
      <c r="L106" s="21" t="str">
        <f>VLOOKUP(A106,'Trips&amp;Operators'!$C$1:$G$99999,5,FALSE)</f>
        <v>DELGADO DIANAH</v>
      </c>
      <c r="M106" s="6">
        <f t="shared" si="35"/>
        <v>2.5960648148611654E-2</v>
      </c>
      <c r="N106" s="7">
        <f t="shared" si="36"/>
        <v>37.383333334000781</v>
      </c>
      <c r="O106" s="7"/>
      <c r="P106" s="7"/>
      <c r="Q106" s="22"/>
      <c r="R106" s="190"/>
      <c r="S106" s="196">
        <f t="shared" si="37"/>
        <v>1</v>
      </c>
      <c r="T106" s="190" t="str">
        <f t="shared" si="38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9"/>
        <v>https://d0f6bd738d7f1b3e5a7ca70fe4ff75f0.us-east-1.aws.found.io/app/kibana#/discover/Steve-Slow-Train-Analysis-(2080s-and-2083s)?_g=(refreshInterval:(display:Off,pause:!f,section:0,value:0),time:(from:'2017-05-10T15:03:12-0600',mode:absolute,to:'2017-05-10T17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92" t="str">
        <f t="shared" si="40"/>
        <v>N</v>
      </c>
      <c r="X106" s="192">
        <f t="shared" si="54"/>
        <v>1</v>
      </c>
      <c r="Y106" s="192">
        <f t="shared" si="59"/>
        <v>23.308499999999999</v>
      </c>
      <c r="Z106" s="192">
        <f t="shared" si="60"/>
        <v>1.5800000000000002E-2</v>
      </c>
      <c r="AA106" s="192">
        <f t="shared" si="43"/>
        <v>23.2927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4"/>
        <v>0194-10</v>
      </c>
      <c r="AE106" s="80" t="str">
        <f t="shared" si="45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106" s="77" t="str">
        <f t="shared" si="46"/>
        <v>"C:\Program Files (x86)\AstroGrep\AstroGrep.exe" /e /r /s /spath="%USERPROFILE%\AppData\Local\Temp\OnboardLogs" /stypes="app*4007*20170510*" /stext=" 22:.+((SYSTEM_STATE.+slice.+state.+changed )|(ment ac)|(multiple cpu faults)|(system.+state.+changed )|(\[timeout)|(PRM\|1\|D)|(kpr)|(kdp)|(train st.+moving)|(\|lc)|(penalty))"</v>
      </c>
      <c r="AG106" s="1" t="str">
        <f t="shared" si="47"/>
        <v>EC</v>
      </c>
      <c r="AH106" s="81" t="str">
        <f t="shared" si="30"/>
        <v>"%USERPROFILE%\Documents\GitHub\eaglep3\Utilities\RefineRTDCRunTimes.py" --tripid 194-10 --locoid 4007 --swversion DE.1.0.9.0 --startMP 204:233085 --initTime 2017-05-10T16:03:12 --startdatetime 2017-05-10T16:11:10 --delay 2 --endMP 204:158 --enddatetime 2017-05-10T16:48:33 --enforcementcount 0 &gt;&gt;C:\Users\stu\Documents\GitHub\eaglep3-reporting\EC\2017-05-10-refined-times.txt</v>
      </c>
      <c r="AI106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{"issue":{"subject":"","project_id":79,"tracker_id":40,"status_id":1,"priority_id":2,"assigned_to_id":23,"start_date":"2017-05-10","description":"","custom_fields":[{"id":1,"name":"Subdivision","value":"EC"},{"id":4,"name":"Milepost","value":"0.0158"},{"id":17,"name":"Train ID","value":"194-10"},{"id":16,"name":"Locomotive ID","value":"4007"},{"id":130,"name":"Impact","value":""},{"id":150,"name":"Time of Event (Mountain Time)","value":"16:48:33"},{"id":151,"name":"Denver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32"/>
        <v>start /low /b %USERPROFILE%\Documents\GitHub\eaglep3\Utilities\DownloadLogsFromS3.py --loco 4007 --day 2017-05-10</v>
      </c>
      <c r="AN106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587</v>
      </c>
      <c r="B107" s="7">
        <v>4040</v>
      </c>
      <c r="C107" s="21" t="s">
        <v>206</v>
      </c>
      <c r="D107" s="21" t="s">
        <v>532</v>
      </c>
      <c r="E107" s="13">
        <v>42865.641805555555</v>
      </c>
      <c r="F107" s="13">
        <v>42865.646180555559</v>
      </c>
      <c r="G107" s="7">
        <v>1</v>
      </c>
      <c r="H107" s="21" t="s">
        <v>392</v>
      </c>
      <c r="I107" s="13">
        <v>42865.67119212963</v>
      </c>
      <c r="J107" s="7">
        <v>0</v>
      </c>
      <c r="K107" s="92" t="str">
        <f t="shared" si="34"/>
        <v>4039/4040</v>
      </c>
      <c r="L107" s="21" t="str">
        <f>VLOOKUP(A107,'Trips&amp;Operators'!$C$1:$G$99999,5,FALSE)</f>
        <v>BIRENBAUM THOMAS</v>
      </c>
      <c r="M107" s="6">
        <f t="shared" si="35"/>
        <v>2.5011574070958886E-2</v>
      </c>
      <c r="N107" s="7">
        <f t="shared" si="36"/>
        <v>36.016666662180796</v>
      </c>
      <c r="O107" s="7"/>
      <c r="P107" s="7"/>
      <c r="Q107" s="22"/>
      <c r="R107" s="190"/>
      <c r="S107" s="196">
        <f t="shared" si="37"/>
        <v>1</v>
      </c>
      <c r="T107" s="190" t="str">
        <f t="shared" si="38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9"/>
        <v>https://d0f6bd738d7f1b3e5a7ca70fe4ff75f0.us-east-1.aws.found.io/app/kibana#/discover/Steve-Slow-Train-Analysis-(2080s-and-2083s)?_g=(refreshInterval:(display:Off,pause:!f,section:0,value:0),time:(from:'2017-05-10T14:24:12-0600',mode:absolute,to:'2017-05-10T17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7" s="192" t="str">
        <f t="shared" si="40"/>
        <v>N</v>
      </c>
      <c r="X107" s="192">
        <f t="shared" si="54"/>
        <v>1</v>
      </c>
      <c r="Y107" s="192">
        <f t="shared" si="59"/>
        <v>4.8800000000000003E-2</v>
      </c>
      <c r="Z107" s="192">
        <f t="shared" si="60"/>
        <v>23.330100000000002</v>
      </c>
      <c r="AA107" s="192">
        <f t="shared" si="43"/>
        <v>23.281300000000002</v>
      </c>
      <c r="AB107" s="57" t="str">
        <f>VLOOKUP(A107,Enforcements!$C$7:$K$13,8,0)</f>
        <v>Bulletin (2)</v>
      </c>
      <c r="AC107" s="53" t="str">
        <f>VLOOKUP(A107,Enforcements!$C$7:$E$13,3,0)</f>
        <v>GRADE CROSSING</v>
      </c>
      <c r="AD107" s="54" t="str">
        <f t="shared" si="44"/>
        <v>0195-10</v>
      </c>
      <c r="AE107" s="80" t="str">
        <f t="shared" si="45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107" s="77" t="str">
        <f t="shared" si="46"/>
        <v>"C:\Program Files (x86)\AstroGrep\AstroGrep.exe" /e /r /s /spath="%USERPROFILE%\AppData\Local\Temp\OnboardLogs" /stypes="app*4040*20170510*" /stext=" 22:.+((SYSTEM_STATE.+slice.+state.+changed )|(ment ac)|(multiple cpu faults)|(system.+state.+changed )|(\[timeout)|(PRM\|1\|D)|(kpr)|(kdp)|(train st.+moving)|(\|lc)|(penalty))"</v>
      </c>
      <c r="AG107" s="1" t="str">
        <f t="shared" si="47"/>
        <v>EC</v>
      </c>
      <c r="AH107" s="81" t="str">
        <f t="shared" si="30"/>
        <v>"%USERPROFILE%\Documents\GitHub\eaglep3\Utilities\RefineRTDCRunTimes.py" --tripid 195-10 --locoid 4040 --swversion DE.1.0.9.0 --startMP 204:488 --initTime 2017-05-10T15:24:12 --startdatetime 2017-05-10T15:30:30 --delay 1 --endMP 204:233301 --enddatetime 2017-05-10T16:06:31 --enforcementcount 0 &gt;&gt;C:\Users\stu\Documents\GitHub\eaglep3-reporting\EC\2017-05-10-refined-times.txt</v>
      </c>
      <c r="AI107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{"issue":{"subject":"","project_id":79,"tracker_id":40,"status_id":1,"priority_id":2,"assigned_to_id":23,"start_date":"2017-05-10","description":"","custom_fields":[{"id":1,"name":"Subdivision","value":"EC"},{"id":4,"name":"Milepost","value":"23.3301"},{"id":17,"name":"Train ID","value":"195-10"},{"id":16,"name":"Locomotive ID","value":"4040"},{"id":130,"name":"Impact","value":""},{"id":150,"name":"Time of Event (Mountain Time)","value":"16:06:31"},{"id":151,"name":"Denver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32"/>
        <v>start /low /b %USERPROFILE%\Documents\GitHub\eaglep3\Utilities\DownloadLogsFromS3.py --loco 4040 --day 2017-05-10</v>
      </c>
      <c r="AN107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732</v>
      </c>
      <c r="B108" s="7">
        <v>4039</v>
      </c>
      <c r="C108" s="21" t="s">
        <v>206</v>
      </c>
      <c r="D108" s="21" t="s">
        <v>466</v>
      </c>
      <c r="E108" s="13">
        <v>42865.681967592594</v>
      </c>
      <c r="F108" s="13">
        <v>42865.685023148151</v>
      </c>
      <c r="G108" s="7">
        <v>1</v>
      </c>
      <c r="H108" s="21" t="s">
        <v>377</v>
      </c>
      <c r="I108" s="13">
        <v>42865.711701388886</v>
      </c>
      <c r="J108" s="7">
        <v>0</v>
      </c>
      <c r="K108" s="92" t="str">
        <f t="shared" si="34"/>
        <v>4039/4040</v>
      </c>
      <c r="L108" s="21" t="str">
        <f>VLOOKUP(A108,'Trips&amp;Operators'!$C$1:$G$99999,5,FALSE)</f>
        <v>BIRENBAUM THOMAS</v>
      </c>
      <c r="M108" s="6">
        <f t="shared" si="35"/>
        <v>2.6678240734327119E-2</v>
      </c>
      <c r="N108" s="7">
        <f t="shared" si="36"/>
        <v>38.416666657431051</v>
      </c>
      <c r="O108" s="7"/>
      <c r="P108" s="7"/>
      <c r="Q108" s="22"/>
      <c r="R108" s="190"/>
      <c r="S108" s="196">
        <f t="shared" si="37"/>
        <v>1</v>
      </c>
      <c r="T108" s="190" t="str">
        <f t="shared" si="38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9"/>
        <v>https://d0f6bd738d7f1b3e5a7ca70fe4ff75f0.us-east-1.aws.found.io/app/kibana#/discover/Steve-Slow-Train-Analysis-(2080s-and-2083s)?_g=(refreshInterval:(display:Off,pause:!f,section:0,value:0),time:(from:'2017-05-10T15:22:02-0600',mode:absolute,to:'2017-05-10T18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8" s="192" t="str">
        <f t="shared" si="40"/>
        <v>N</v>
      </c>
      <c r="X108" s="192">
        <f t="shared" si="54"/>
        <v>1</v>
      </c>
      <c r="Y108" s="192">
        <f t="shared" si="59"/>
        <v>23.297799999999999</v>
      </c>
      <c r="Z108" s="192">
        <f t="shared" si="60"/>
        <v>1.47E-2</v>
      </c>
      <c r="AA108" s="192">
        <f t="shared" si="43"/>
        <v>23.283099999999997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4"/>
        <v>0196-10</v>
      </c>
      <c r="AE108" s="80" t="str">
        <f t="shared" si="45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108" s="77" t="str">
        <f t="shared" si="46"/>
        <v>"C:\Program Files (x86)\AstroGrep\AstroGrep.exe" /e /r /s /spath="%USERPROFILE%\AppData\Local\Temp\OnboardLogs" /stypes="app*4039*20170510*" /stext=" 23:.+((SYSTEM_STATE.+slice.+state.+changed )|(ment ac)|(multiple cpu faults)|(system.+state.+changed )|(\[timeout)|(PRM\|1\|D)|(kpr)|(kdp)|(train st.+moving)|(\|lc)|(penalty))"</v>
      </c>
      <c r="AG108" s="1" t="str">
        <f t="shared" si="47"/>
        <v>EC</v>
      </c>
      <c r="AH108" s="81" t="str">
        <f t="shared" si="30"/>
        <v>"%USERPROFILE%\Documents\GitHub\eaglep3\Utilities\RefineRTDCRunTimes.py" --tripid 196-10 --locoid 4039 --swversion DE.1.0.9.0 --startMP 204:232978 --initTime 2017-05-10T16:22:02 --startdatetime 2017-05-10T16:26:26 --delay 1 --endMP 204:147 --enddatetime 2017-05-10T17:04:51 --enforcementcount 0 &gt;&gt;C:\Users\stu\Documents\GitHub\eaglep3-reporting\EC\2017-05-10-refined-times.txt</v>
      </c>
      <c r="AI108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{"issue":{"subject":"","project_id":79,"tracker_id":40,"status_id":1,"priority_id":2,"assigned_to_id":23,"start_date":"2017-05-10","description":"","custom_fields":[{"id":1,"name":"Subdivision","value":"EC"},{"id":4,"name":"Milepost","value":"0.0147"},{"id":17,"name":"Train ID","value":"196-10"},{"id":16,"name":"Locomotive ID","value":"4039"},{"id":130,"name":"Impact","value":""},{"id":150,"name":"Time of Event (Mountain Time)","value":"17:04:51"},{"id":151,"name":"Denver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32"/>
        <v>start /low /b %USERPROFILE%\Documents\GitHub\eaglep3\Utilities\DownloadLogsFromS3.py --loco 4039 --day 2017-05-10</v>
      </c>
      <c r="AN108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723</v>
      </c>
      <c r="B109" s="7">
        <v>4006</v>
      </c>
      <c r="C109" s="21" t="s">
        <v>206</v>
      </c>
      <c r="D109" s="21" t="s">
        <v>832</v>
      </c>
      <c r="E109" s="13">
        <v>42865.652754629627</v>
      </c>
      <c r="F109" s="13">
        <v>42865.656550925924</v>
      </c>
      <c r="G109" s="7">
        <v>1</v>
      </c>
      <c r="H109" s="21" t="s">
        <v>867</v>
      </c>
      <c r="I109" s="13">
        <v>42865.681018518517</v>
      </c>
      <c r="J109" s="7">
        <v>0</v>
      </c>
      <c r="K109" s="92" t="str">
        <f t="shared" si="34"/>
        <v>4005/4006</v>
      </c>
      <c r="L109" s="21" t="str">
        <f>VLOOKUP(A109,'Trips&amp;Operators'!$C$1:$G$99999,5,FALSE)</f>
        <v>LEVIN SCOTT</v>
      </c>
      <c r="M109" s="6">
        <f t="shared" si="35"/>
        <v>2.4467592593282461E-2</v>
      </c>
      <c r="N109" s="7">
        <f t="shared" si="36"/>
        <v>35.233333334326744</v>
      </c>
      <c r="O109" s="7"/>
      <c r="P109" s="7"/>
      <c r="Q109" s="22"/>
      <c r="R109" s="190"/>
      <c r="S109" s="196">
        <f t="shared" si="37"/>
        <v>1</v>
      </c>
      <c r="T109" s="190" t="str">
        <f t="shared" si="38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9"/>
        <v>https://d0f6bd738d7f1b3e5a7ca70fe4ff75f0.us-east-1.aws.found.io/app/kibana#/discover/Steve-Slow-Train-Analysis-(2080s-and-2083s)?_g=(refreshInterval:(display:Off,pause:!f,section:0,value:0),time:(from:'2017-05-10T14:39:58-0600',mode:absolute,to:'2017-05-10T17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9" s="192" t="str">
        <f t="shared" si="40"/>
        <v>N</v>
      </c>
      <c r="X109" s="192">
        <f t="shared" si="54"/>
        <v>1</v>
      </c>
      <c r="Y109" s="192">
        <f t="shared" si="59"/>
        <v>4.2700000000000002E-2</v>
      </c>
      <c r="Z109" s="192">
        <f t="shared" si="60"/>
        <v>23.332100000000001</v>
      </c>
      <c r="AA109" s="192">
        <f t="shared" si="43"/>
        <v>23.289400000000001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4"/>
        <v>0197-10</v>
      </c>
      <c r="AE109" s="80" t="str">
        <f t="shared" si="45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109" s="77" t="str">
        <f t="shared" si="46"/>
        <v>"C:\Program Files (x86)\AstroGrep\AstroGrep.exe" /e /r /s /spath="%USERPROFILE%\AppData\Local\Temp\OnboardLogs" /stypes="app*4006*20170510*" /stext=" 22:.+((SYSTEM_STATE.+slice.+state.+changed )|(ment ac)|(multiple cpu faults)|(system.+state.+changed )|(\[timeout)|(PRM\|1\|D)|(kpr)|(kdp)|(train st.+moving)|(\|lc)|(penalty))"</v>
      </c>
      <c r="AG109" s="1" t="str">
        <f t="shared" si="47"/>
        <v>EC</v>
      </c>
      <c r="AH109" s="81" t="str">
        <f t="shared" si="30"/>
        <v>"%USERPROFILE%\Documents\GitHub\eaglep3\Utilities\RefineRTDCRunTimes.py" --tripid 197-10 --locoid 4006 --swversion DE.1.0.9.0 --startMP 204:427 --initTime 2017-05-10T15:39:58 --startdatetime 2017-05-10T15:45:26 --delay 1 --endMP 204:233321 --enddatetime 2017-05-10T16:20:40 --enforcementcount 0 &gt;&gt;C:\Users\stu\Documents\GitHub\eaglep3-reporting\EC\2017-05-10-refined-times.txt</v>
      </c>
      <c r="AI109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{"issue":{"subject":"","project_id":79,"tracker_id":40,"status_id":1,"priority_id":2,"assigned_to_id":23,"start_date":"2017-05-10","description":"","custom_fields":[{"id":1,"name":"Subdivision","value":"EC"},{"id":4,"name":"Milepost","value":"23.3321"},{"id":17,"name":"Train ID","value":"197-10"},{"id":16,"name":"Locomotive ID","value":"4006"},{"id":130,"name":"Impact","value":""},{"id":150,"name":"Time of Event (Mountain Time)","value":"16:20:40"},{"id":151,"name":"Denver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32"/>
        <v>start /low /b %USERPROFILE%\Documents\GitHub\eaglep3\Utilities\DownloadLogsFromS3.py --loco 4006 --day 2017-05-10</v>
      </c>
      <c r="AN109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590</v>
      </c>
      <c r="B110" s="7">
        <v>4005</v>
      </c>
      <c r="C110" s="21" t="s">
        <v>206</v>
      </c>
      <c r="D110" s="21" t="s">
        <v>397</v>
      </c>
      <c r="E110" s="13">
        <v>42865.69054398148</v>
      </c>
      <c r="F110" s="13">
        <v>42865.695324074077</v>
      </c>
      <c r="G110" s="7">
        <v>1</v>
      </c>
      <c r="H110" s="21" t="s">
        <v>853</v>
      </c>
      <c r="I110" s="13">
        <v>42865.725324074076</v>
      </c>
      <c r="J110" s="7">
        <v>0</v>
      </c>
      <c r="K110" s="92" t="str">
        <f t="shared" si="34"/>
        <v>4005/4006</v>
      </c>
      <c r="L110" s="21" t="str">
        <f>VLOOKUP(A110,'Trips&amp;Operators'!$C$1:$G$99999,5,FALSE)</f>
        <v>LEVIN SCOTT</v>
      </c>
      <c r="M110" s="6">
        <f t="shared" si="35"/>
        <v>2.9999999998835847E-2</v>
      </c>
      <c r="N110" s="7">
        <f t="shared" si="36"/>
        <v>43.199999998323619</v>
      </c>
      <c r="O110" s="7"/>
      <c r="P110" s="7"/>
      <c r="Q110" s="22"/>
      <c r="R110" s="190"/>
      <c r="S110" s="196">
        <f t="shared" si="37"/>
        <v>1</v>
      </c>
      <c r="T110" s="190" t="str">
        <f t="shared" si="38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9"/>
        <v>https://d0f6bd738d7f1b3e5a7ca70fe4ff75f0.us-east-1.aws.found.io/app/kibana#/discover/Steve-Slow-Train-Analysis-(2080s-and-2083s)?_g=(refreshInterval:(display:Off,pause:!f,section:0,value:0),time:(from:'2017-05-10T15:34:23-0600',mode:absolute,to:'2017-05-10T18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0" s="192" t="str">
        <f t="shared" si="40"/>
        <v>N</v>
      </c>
      <c r="X110" s="192">
        <f t="shared" si="54"/>
        <v>1</v>
      </c>
      <c r="Y110" s="192">
        <f t="shared" si="59"/>
        <v>23.3</v>
      </c>
      <c r="Z110" s="192">
        <f t="shared" si="60"/>
        <v>1.2999999999999999E-2</v>
      </c>
      <c r="AA110" s="192">
        <f t="shared" si="43"/>
        <v>23.286999999999999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4"/>
        <v>0198-10</v>
      </c>
      <c r="AE110" s="80" t="str">
        <f t="shared" si="45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110" s="77" t="str">
        <f t="shared" si="46"/>
        <v>"C:\Program Files (x86)\AstroGrep\AstroGrep.exe" /e /r /s /spath="%USERPROFILE%\AppData\Local\Temp\OnboardLogs" /stypes="app*4005*20170510*" /stext=" 23:.+((SYSTEM_STATE.+slice.+state.+changed )|(ment ac)|(multiple cpu faults)|(system.+state.+changed )|(\[timeout)|(PRM\|1\|D)|(kpr)|(kdp)|(train st.+moving)|(\|lc)|(penalty))"</v>
      </c>
      <c r="AG110" s="1" t="str">
        <f t="shared" si="47"/>
        <v>EC</v>
      </c>
      <c r="AH110" s="81" t="str">
        <f t="shared" si="30"/>
        <v>"%USERPROFILE%\Documents\GitHub\eaglep3\Utilities\RefineRTDCRunTimes.py" --tripid 198-10 --locoid 4005 --swversion DE.1.0.9.0 --startMP 204:233000 --initTime 2017-05-10T16:34:23 --startdatetime 2017-05-10T16:41:16 --delay 1 --endMP 204:130 --enddatetime 2017-05-10T17:24:28 --enforcementcount 0 &gt;&gt;C:\Users\stu\Documents\GitHub\eaglep3-reporting\EC\2017-05-10-refined-times.txt</v>
      </c>
      <c r="AI110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{"issue":{"subject":"","project_id":79,"tracker_id":40,"status_id":1,"priority_id":2,"assigned_to_id":23,"start_date":"2017-05-10","description":"","custom_fields":[{"id":1,"name":"Subdivision","value":"EC"},{"id":4,"name":"Milepost","value":"0.013"},{"id":17,"name":"Train ID","value":"198-10"},{"id":16,"name":"Locomotive ID","value":"4005"},{"id":130,"name":"Impact","value":""},{"id":150,"name":"Time of Event (Mountain Time)","value":"17:24:28"},{"id":151,"name":"Denver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32"/>
        <v>start /low /b %USERPROFILE%\Documents\GitHub\eaglep3\Utilities\DownloadLogsFromS3.py --loco 4005 --day 2017-05-10</v>
      </c>
      <c r="AN110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726</v>
      </c>
      <c r="B111" s="7">
        <v>4032</v>
      </c>
      <c r="C111" s="21" t="s">
        <v>206</v>
      </c>
      <c r="D111" s="21" t="s">
        <v>411</v>
      </c>
      <c r="E111" s="13">
        <v>42865.664525462962</v>
      </c>
      <c r="F111" s="13">
        <v>42865.66684027778</v>
      </c>
      <c r="G111" s="7">
        <v>1</v>
      </c>
      <c r="H111" s="21" t="s">
        <v>854</v>
      </c>
      <c r="I111" s="13">
        <v>42865.692719907405</v>
      </c>
      <c r="J111" s="7">
        <v>0</v>
      </c>
      <c r="K111" s="92" t="str">
        <f t="shared" si="34"/>
        <v>4031/4032</v>
      </c>
      <c r="L111" s="21" t="str">
        <f>VLOOKUP(A111,'Trips&amp;Operators'!$C$1:$G$99999,5,FALSE)</f>
        <v>THOMPSON LESTER</v>
      </c>
      <c r="M111" s="6">
        <f t="shared" si="35"/>
        <v>2.5879629625706002E-2</v>
      </c>
      <c r="N111" s="7">
        <f t="shared" si="36"/>
        <v>37.266666661016643</v>
      </c>
      <c r="O111" s="7"/>
      <c r="P111" s="7"/>
      <c r="Q111" s="22"/>
      <c r="R111" s="190"/>
      <c r="S111" s="196">
        <f t="shared" si="37"/>
        <v>1</v>
      </c>
      <c r="T111" s="190" t="str">
        <f t="shared" si="38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9"/>
        <v>https://d0f6bd738d7f1b3e5a7ca70fe4ff75f0.us-east-1.aws.found.io/app/kibana#/discover/Steve-Slow-Train-Analysis-(2080s-and-2083s)?_g=(refreshInterval:(display:Off,pause:!f,section:0,value:0),time:(from:'2017-05-10T14:56:55-0600',mode:absolute,to:'2017-05-10T17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1" s="192" t="str">
        <f t="shared" si="40"/>
        <v>N</v>
      </c>
      <c r="X111" s="192">
        <f t="shared" si="54"/>
        <v>1</v>
      </c>
      <c r="Y111" s="192">
        <f t="shared" si="59"/>
        <v>4.6699999999999998E-2</v>
      </c>
      <c r="Z111" s="192">
        <f t="shared" si="60"/>
        <v>23.3322</v>
      </c>
      <c r="AA111" s="192">
        <f t="shared" si="43"/>
        <v>23.285499999999999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4"/>
        <v>0199-10</v>
      </c>
      <c r="AE111" s="80" t="str">
        <f t="shared" si="45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111" s="77" t="str">
        <f t="shared" si="46"/>
        <v>"C:\Program Files (x86)\AstroGrep\AstroGrep.exe" /e /r /s /spath="%USERPROFILE%\AppData\Local\Temp\OnboardLogs" /stypes="app*4032*20170510*" /stext=" 22:.+((SYSTEM_STATE.+slice.+state.+changed )|(ment ac)|(multiple cpu faults)|(system.+state.+changed )|(\[timeout)|(PRM\|1\|D)|(kpr)|(kdp)|(train st.+moving)|(\|lc)|(penalty))"</v>
      </c>
      <c r="AG111" s="1" t="str">
        <f t="shared" si="47"/>
        <v>EC</v>
      </c>
      <c r="AH111" s="81" t="str">
        <f t="shared" si="30"/>
        <v>"%USERPROFILE%\Documents\GitHub\eaglep3\Utilities\RefineRTDCRunTimes.py" --tripid 199-10 --locoid 4032 --swversion DE.1.0.9.0 --startMP 204:467 --initTime 2017-05-10T15:56:55 --startdatetime 2017-05-10T16:00:15 --delay 1 --endMP 204:233322 --enddatetime 2017-05-10T16:37:31 --enforcementcount 0 &gt;&gt;C:\Users\stu\Documents\GitHub\eaglep3-reporting\EC\2017-05-10-refined-times.txt</v>
      </c>
      <c r="AI111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{"issue":{"subject":"","project_id":79,"tracker_id":40,"status_id":1,"priority_id":2,"assigned_to_id":23,"start_date":"2017-05-10","description":"","custom_fields":[{"id":1,"name":"Subdivision","value":"EC"},{"id":4,"name":"Milepost","value":"23.3322"},{"id":17,"name":"Train ID","value":"199-10"},{"id":16,"name":"Locomotive ID","value":"4032"},{"id":130,"name":"Impact","value":""},{"id":150,"name":"Time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32"/>
        <v>start /low /b %USERPROFILE%\Documents\GitHub\eaglep3\Utilities\DownloadLogsFromS3.py --loco 4032 --day 2017-05-10</v>
      </c>
      <c r="AN111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737</v>
      </c>
      <c r="B112" s="7">
        <v>4031</v>
      </c>
      <c r="C112" s="21" t="s">
        <v>206</v>
      </c>
      <c r="D112" s="21" t="s">
        <v>524</v>
      </c>
      <c r="E112" s="13">
        <v>42865.702476851853</v>
      </c>
      <c r="F112" s="13">
        <v>42865.705775462964</v>
      </c>
      <c r="G112" s="7">
        <v>1</v>
      </c>
      <c r="H112" s="21" t="s">
        <v>868</v>
      </c>
      <c r="I112" s="13">
        <v>42865.734282407408</v>
      </c>
      <c r="J112" s="7">
        <v>0</v>
      </c>
      <c r="K112" s="92" t="str">
        <f t="shared" si="34"/>
        <v>4031/4032</v>
      </c>
      <c r="L112" s="21" t="str">
        <f>VLOOKUP(A112,'Trips&amp;Operators'!$C$1:$G$99999,5,FALSE)</f>
        <v>THOMPSON LESTER</v>
      </c>
      <c r="M112" s="6">
        <f t="shared" si="35"/>
        <v>2.8506944443506654E-2</v>
      </c>
      <c r="N112" s="7">
        <f t="shared" si="36"/>
        <v>41.049999998649582</v>
      </c>
      <c r="O112" s="7"/>
      <c r="P112" s="7"/>
      <c r="Q112" s="22"/>
      <c r="R112" s="190"/>
      <c r="S112" s="196">
        <f t="shared" si="37"/>
        <v>1</v>
      </c>
      <c r="T112" s="190" t="str">
        <f t="shared" si="38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9"/>
        <v>https://d0f6bd738d7f1b3e5a7ca70fe4ff75f0.us-east-1.aws.found.io/app/kibana#/discover/Steve-Slow-Train-Analysis-(2080s-and-2083s)?_g=(refreshInterval:(display:Off,pause:!f,section:0,value:0),time:(from:'2017-05-10T15:51:34-0600',mode:absolute,to:'2017-05-10T18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2" s="192" t="str">
        <f t="shared" si="40"/>
        <v>N</v>
      </c>
      <c r="X112" s="192">
        <f t="shared" si="54"/>
        <v>1</v>
      </c>
      <c r="Y112" s="192">
        <f t="shared" si="59"/>
        <v>23.301100000000002</v>
      </c>
      <c r="Z112" s="192">
        <f t="shared" si="60"/>
        <v>2.01E-2</v>
      </c>
      <c r="AA112" s="192">
        <f t="shared" si="43"/>
        <v>23.281000000000002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4"/>
        <v>0200-10</v>
      </c>
      <c r="AE112" s="80" t="str">
        <f t="shared" si="45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112" s="77" t="str">
        <f t="shared" si="46"/>
        <v>"C:\Program Files (x86)\AstroGrep\AstroGrep.exe" /e /r /s /spath="%USERPROFILE%\AppData\Local\Temp\OnboardLogs" /stypes="app*4031*20170510*" /stext=" 23:.+((SYSTEM_STATE.+slice.+state.+changed )|(ment ac)|(multiple cpu faults)|(system.+state.+changed )|(\[timeout)|(PRM\|1\|D)|(kpr)|(kdp)|(train st.+moving)|(\|lc)|(penalty))"</v>
      </c>
      <c r="AG112" s="1" t="str">
        <f t="shared" si="47"/>
        <v>EC</v>
      </c>
      <c r="AH112" s="81" t="str">
        <f t="shared" si="30"/>
        <v>"%USERPROFILE%\Documents\GitHub\eaglep3\Utilities\RefineRTDCRunTimes.py" --tripid 200-10 --locoid 4031 --swversion DE.1.0.9.0 --startMP 204:233011 --initTime 2017-05-10T16:51:34 --startdatetime 2017-05-10T16:56:19 --delay 1 --endMP 204:201 --enddatetime 2017-05-10T17:37:22 --enforcementcount 0 &gt;&gt;C:\Users\stu\Documents\GitHub\eaglep3-reporting\EC\2017-05-10-refined-times.txt</v>
      </c>
      <c r="AI112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{"issue":{"subject":"","project_id":79,"tracker_id":40,"status_id":1,"priority_id":2,"assigned_to_id":23,"start_date":"2017-05-10","description":"","custom_fields":[{"id":1,"name":"Subdivision","value":"EC"},{"id":4,"name":"Milepost","value":"0.0201"},{"id":17,"name":"Train ID","value":"200-10"},{"id":16,"name":"Locomotive ID","value":"4031"},{"id":130,"name":"Impact","value":""},{"id":150,"name":"Time of Event (Mountain Time)","value":"17:37:22"},{"id":151,"name":"Denver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32"/>
        <v>start /low /b %USERPROFILE%\Documents\GitHub\eaglep3\Utilities\DownloadLogsFromS3.py --loco 4031 --day 2017-05-10</v>
      </c>
      <c r="AN112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731</v>
      </c>
      <c r="B113" s="7">
        <v>4028</v>
      </c>
      <c r="C113" s="21" t="s">
        <v>206</v>
      </c>
      <c r="D113" s="21" t="s">
        <v>869</v>
      </c>
      <c r="E113" s="13">
        <v>42865.694895833331</v>
      </c>
      <c r="F113" s="13">
        <v>42865.695497685185</v>
      </c>
      <c r="G113" s="7">
        <v>0</v>
      </c>
      <c r="H113" s="21" t="s">
        <v>870</v>
      </c>
      <c r="I113" s="13">
        <v>42865.696793981479</v>
      </c>
      <c r="J113" s="7">
        <v>0</v>
      </c>
      <c r="K113" s="92" t="str">
        <f t="shared" si="34"/>
        <v>4027/4028</v>
      </c>
      <c r="L113" s="21" t="str">
        <f>VLOOKUP(A113,'Trips&amp;Operators'!$C$1:$G$99999,5,FALSE)</f>
        <v>CLARK KATHLEEN</v>
      </c>
      <c r="M113" s="6">
        <f t="shared" si="35"/>
        <v>1.2962962937308475E-3</v>
      </c>
      <c r="N113" s="7"/>
      <c r="O113" s="7"/>
      <c r="P113" s="7"/>
      <c r="Q113" s="22"/>
      <c r="R113" s="190"/>
      <c r="S113" s="196"/>
      <c r="T113" s="190" t="str">
        <f t="shared" si="38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191" t="str">
        <f t="shared" si="39"/>
        <v>https://d0f6bd738d7f1b3e5a7ca70fe4ff75f0.us-east-1.aws.found.io/app/kibana#/discover/Steve-Slow-Train-Analysis-(2080s-and-2083s)?_g=(refreshInterval:(display:Off,pause:!f,section:0,value:0),time:(from:'2017-05-10T15:40:39-0600',mode:absolute,to:'2017-05-10T17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192" t="str">
        <f t="shared" si="40"/>
        <v>Y</v>
      </c>
      <c r="X113" s="192">
        <f t="shared" si="54"/>
        <v>1</v>
      </c>
      <c r="Y113" s="192">
        <f t="shared" si="59"/>
        <v>12.8264</v>
      </c>
      <c r="Z113" s="192">
        <f t="shared" si="60"/>
        <v>13.023</v>
      </c>
      <c r="AA113" s="192">
        <f t="shared" si="43"/>
        <v>0.19660000000000011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4"/>
        <v>0201-10</v>
      </c>
      <c r="AE113" s="80" t="str">
        <f t="shared" si="45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113" s="77" t="str">
        <f t="shared" si="46"/>
        <v>"C:\Program Files (x86)\AstroGrep\AstroGrep.exe" /e /r /s /spath="%USERPROFILE%\AppData\Local\Temp\OnboardLogs" /stypes="app*4028*20170510*" /stext=" 22:.+((SYSTEM_STATE.+slice.+state.+changed )|(ment ac)|(multiple cpu faults)|(system.+state.+changed )|(\[timeout)|(PRM\|1\|D)|(kpr)|(kdp)|(train st.+moving)|(\|lc)|(penalty))"</v>
      </c>
      <c r="AG113" s="1" t="str">
        <f t="shared" si="47"/>
        <v>EC</v>
      </c>
      <c r="AH113" s="81" t="str">
        <f t="shared" si="30"/>
        <v>"%USERPROFILE%\Documents\GitHub\eaglep3\Utilities\RefineRTDCRunTimes.py" --tripid 201-10 --locoid 4028 --swversion DE.1.0.9.0 --startMP 204:128264 --initTime 2017-05-10T16:40:39 --startdatetime 2017-05-10T16:41:31 --delay 0 --endMP 204:130230 --enddatetime 2017-05-10T16:43:23 --enforcementcount 0 &gt;&gt;C:\Users\stu\Documents\GitHub\eaglep3-reporting\EC\2017-05-10-refined-times.txt</v>
      </c>
      <c r="AI113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{"issue":{"subject":"","project_id":79,"tracker_id":40,"status_id":1,"priority_id":2,"assigned_to_id":23,"start_date":"2017-05-10","description":"","custom_fields":[{"id":1,"name":"Subdivision","value":"EC"},{"id":4,"name":"Milepost","value":"13.023"},{"id":17,"name":"Train ID","value":"201-10"},{"id":16,"name":"Locomotive ID","value":"4028"},{"id":130,"name":"Impact","value":""},{"id":150,"name":"Time of Event (Mountain Time)","value":"16:43:23"},{"id":151,"name":"Denver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32"/>
        <v>start /low /b %USERPROFILE%\Documents\GitHub\eaglep3\Utilities\DownloadLogsFromS3.py --loco 4028 --day 2017-05-10</v>
      </c>
      <c r="AN113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731</v>
      </c>
      <c r="B114" s="7">
        <v>4028</v>
      </c>
      <c r="C114" s="21" t="s">
        <v>206</v>
      </c>
      <c r="D114" s="21" t="s">
        <v>871</v>
      </c>
      <c r="E114" s="13">
        <v>42865.674780092595</v>
      </c>
      <c r="F114" s="13">
        <v>42865.67564814815</v>
      </c>
      <c r="G114" s="7">
        <v>1</v>
      </c>
      <c r="H114" s="21" t="s">
        <v>872</v>
      </c>
      <c r="I114" s="13">
        <v>42865.684212962966</v>
      </c>
      <c r="J114" s="7">
        <v>0</v>
      </c>
      <c r="K114" s="92" t="str">
        <f t="shared" si="34"/>
        <v>4027/4028</v>
      </c>
      <c r="L114" s="21" t="str">
        <f>VLOOKUP(A114,'Trips&amp;Operators'!$C$1:$G$99999,5,FALSE)</f>
        <v>CLARK KATHLEEN</v>
      </c>
      <c r="M114" s="6">
        <f t="shared" si="35"/>
        <v>8.5648148160544224E-3</v>
      </c>
      <c r="N114" s="7"/>
      <c r="O114" s="7"/>
      <c r="P114" s="7">
        <f>24*60*SUM($M113:$M114)</f>
        <v>14.199999998090789</v>
      </c>
      <c r="Q114" s="22"/>
      <c r="R114" s="190" t="s">
        <v>484</v>
      </c>
      <c r="S114" s="196">
        <f>SUM(U113:U114)/IF(AG114="EC",12,1)</f>
        <v>0.83333333333333337</v>
      </c>
      <c r="T114" s="190" t="str">
        <f t="shared" si="38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10</v>
      </c>
      <c r="V114" s="191" t="str">
        <f t="shared" si="39"/>
        <v>https://d0f6bd738d7f1b3e5a7ca70fe4ff75f0.us-east-1.aws.found.io/app/kibana#/discover/Steve-Slow-Train-Analysis-(2080s-and-2083s)?_g=(refreshInterval:(display:Off,pause:!f,section:0,value:0),time:(from:'2017-05-10T15:11:41-0600',mode:absolute,to:'2017-05-10T17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4" s="192" t="str">
        <f t="shared" si="40"/>
        <v>Y</v>
      </c>
      <c r="X114" s="192">
        <f t="shared" si="54"/>
        <v>0</v>
      </c>
      <c r="Y114" s="192">
        <f t="shared" si="59"/>
        <v>5.0599999999999999E-2</v>
      </c>
      <c r="Z114" s="192">
        <f t="shared" si="60"/>
        <v>8.6378000000000004</v>
      </c>
      <c r="AA114" s="192">
        <f t="shared" si="43"/>
        <v>8.5872000000000011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4"/>
        <v>0201-10</v>
      </c>
      <c r="AE114" s="80" t="str">
        <f t="shared" si="45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114" s="77" t="str">
        <f t="shared" si="46"/>
        <v>"C:\Program Files (x86)\AstroGrep\AstroGrep.exe" /e /r /s /spath="%USERPROFILE%\AppData\Local\Temp\OnboardLogs" /stypes="app*4028*20170510*" /stext=" 22:.+((SYSTEM_STATE.+slice.+state.+changed )|(ment ac)|(multiple cpu faults)|(system.+state.+changed )|(\[timeout)|(PRM\|1\|D)|(kpr)|(kdp)|(train st.+moving)|(\|lc)|(penalty))"</v>
      </c>
      <c r="AG114" s="1" t="str">
        <f t="shared" si="47"/>
        <v>EC</v>
      </c>
      <c r="AH114" s="81" t="str">
        <f t="shared" si="30"/>
        <v>"%USERPROFILE%\Documents\GitHub\eaglep3\Utilities\RefineRTDCRunTimes.py" --tripid 201-10 --locoid 4028 --swversion DE.1.0.9.0 --startMP 204:506 --initTime 2017-05-10T16:11:41 --startdatetime 2017-05-10T16:12:56 --delay 1 --endMP 204:86378 --enddatetime 2017-05-10T16:25:16 --enforcementcount 0 &gt;&gt;C:\Users\stu\Documents\GitHub\eaglep3-reporting\EC\2017-05-10-refined-times.txt</v>
      </c>
      <c r="AI114" s="99" t="str">
        <f t="shared" si="31"/>
        <v>echo {"issue":{"subject":"Onboard in-route failure","project_id":79,"tracker_id":40,"status_id":1,"priority_id":2,"assigned_to_id":23,"start_date":"2017-05-10","description":"","custom_fields":[{"id":1,"name":"Subdivision","value":"EC"},{"id":4,"name":"Milepost","value":"8.6378"},{"id":17,"name":"Train ID","value":"201-10"},{"id":16,"name":"Locomotive ID","value":"4028"},{"id":130,"name":"Impact","value":""},{"id":150,"name":"Time of Event (Mountain Time)","value":"16:25:16"},{"id":151,"name":"Denver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32"/>
        <v>start /low /b %USERPROFILE%\Documents\GitHub\eaglep3\Utilities\DownloadLogsFromS3.py --loco 4028 --day 2017-05-10</v>
      </c>
      <c r="AN114" s="154" t="str">
        <f t="shared" si="33"/>
        <v>echo {"issue":{"subject":"Onboard in-route failure","project_id":30,"tracker_id":4,"status_id":1,"priority_id":1,"assigned_to_id":10,"start_date":"2017-05-10","description":"","custom_fields":[{"id":30,"name":"Category","value":"Issue"},{"id":3,"name":"Functional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742</v>
      </c>
      <c r="B115" s="7">
        <v>4027</v>
      </c>
      <c r="C115" s="21" t="s">
        <v>206</v>
      </c>
      <c r="D115" s="21" t="s">
        <v>873</v>
      </c>
      <c r="E115" s="13">
        <v>42865.714907407404</v>
      </c>
      <c r="F115" s="13">
        <v>42865.716817129629</v>
      </c>
      <c r="G115" s="7">
        <v>1</v>
      </c>
      <c r="H115" s="21" t="s">
        <v>523</v>
      </c>
      <c r="I115" s="13">
        <v>42865.745486111111</v>
      </c>
      <c r="J115" s="7">
        <v>0</v>
      </c>
      <c r="K115" s="92" t="str">
        <f t="shared" si="34"/>
        <v>4027/4028</v>
      </c>
      <c r="L115" s="21" t="str">
        <f>VLOOKUP(A115,'Trips&amp;Operators'!$C$1:$G$99999,5,FALSE)</f>
        <v>CLARK KATHLEEN</v>
      </c>
      <c r="M115" s="6">
        <f t="shared" si="35"/>
        <v>2.8668981482042E-2</v>
      </c>
      <c r="N115" s="7">
        <f t="shared" ref="N115:N146" si="61">24*60*SUM($M115:$M115)</f>
        <v>41.28333333414048</v>
      </c>
      <c r="O115" s="7"/>
      <c r="P115" s="7"/>
      <c r="Q115" s="22"/>
      <c r="R115" s="190"/>
      <c r="S115" s="196">
        <f t="shared" ref="S115:S146" si="62">SUM(U115:U115)/IF(AG115="EC",12,1)</f>
        <v>1</v>
      </c>
      <c r="T115" s="190" t="str">
        <f t="shared" si="38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9"/>
        <v>https://d0f6bd738d7f1b3e5a7ca70fe4ff75f0.us-east-1.aws.found.io/app/kibana#/discover/Steve-Slow-Train-Analysis-(2080s-and-2083s)?_g=(refreshInterval:(display:Off,pause:!f,section:0,value:0),time:(from:'2017-05-10T16:09:28-0600',mode:absolute,to:'2017-05-10T18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5" s="192" t="str">
        <f t="shared" si="40"/>
        <v>N</v>
      </c>
      <c r="X115" s="192">
        <f t="shared" si="54"/>
        <v>1</v>
      </c>
      <c r="Y115" s="192">
        <f t="shared" si="59"/>
        <v>23.296399999999998</v>
      </c>
      <c r="Z115" s="192">
        <f t="shared" si="60"/>
        <v>0.02</v>
      </c>
      <c r="AA115" s="192">
        <f t="shared" si="43"/>
        <v>23.276399999999999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4"/>
        <v>0202-10</v>
      </c>
      <c r="AE115" s="80" t="str">
        <f t="shared" si="45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115" s="77" t="str">
        <f t="shared" si="46"/>
        <v>"C:\Program Files (x86)\AstroGrep\AstroGrep.exe" /e /r /s /spath="%USERPROFILE%\AppData\Local\Temp\OnboardLogs" /stypes="app*4027*20170510*" /stext=" 23:.+((SYSTEM_STATE.+slice.+state.+changed )|(ment ac)|(multiple cpu faults)|(system.+state.+changed )|(\[timeout)|(PRM\|1\|D)|(kpr)|(kdp)|(train st.+moving)|(\|lc)|(penalty))"</v>
      </c>
      <c r="AG115" s="1" t="str">
        <f t="shared" si="47"/>
        <v>EC</v>
      </c>
      <c r="AH115" s="81" t="str">
        <f t="shared" si="30"/>
        <v>"%USERPROFILE%\Documents\GitHub\eaglep3\Utilities\RefineRTDCRunTimes.py" --tripid 202-10 --locoid 4027 --swversion DE.1.0.9.0 --startMP 204:232964 --initTime 2017-05-10T17:09:28 --startdatetime 2017-05-10T17:12:13 --delay 1 --endMP 204:200 --enddatetime 2017-05-10T17:53:30 --enforcementcount 0 &gt;&gt;C:\Users\stu\Documents\GitHub\eaglep3-reporting\EC\2017-05-10-refined-times.txt</v>
      </c>
      <c r="AI115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{"issue":{"subject":"","project_id":79,"tracker_id":40,"status_id":1,"priority_id":2,"assigned_to_id":23,"start_date":"2017-05-10","description":"","custom_fields":[{"id":1,"name":"Subdivision","value":"EC"},{"id":4,"name":"Milepost","value":"0.02"},{"id":17,"name":"Train ID","value":"202-10"},{"id":16,"name":"Locomotive ID","value":"4027"},{"id":130,"name":"Impact","value":""},{"id":150,"name":"Time of Event (Mountain Time)","value":"17:53:30"},{"id":151,"name":"Denver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32"/>
        <v>start /low /b %USERPROFILE%\Documents\GitHub\eaglep3\Utilities\DownloadLogsFromS3.py --loco 4027 --day 2017-05-10</v>
      </c>
      <c r="AN115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733</v>
      </c>
      <c r="B116" s="7">
        <v>4012</v>
      </c>
      <c r="C116" s="21" t="s">
        <v>206</v>
      </c>
      <c r="D116" s="21" t="s">
        <v>202</v>
      </c>
      <c r="E116" s="13">
        <v>42865.684803240743</v>
      </c>
      <c r="F116" s="13">
        <v>42865.6877662037</v>
      </c>
      <c r="G116" s="7">
        <v>1</v>
      </c>
      <c r="H116" s="21" t="s">
        <v>874</v>
      </c>
      <c r="I116" s="13">
        <v>42865.715462962966</v>
      </c>
      <c r="J116" s="7">
        <v>0</v>
      </c>
      <c r="K116" s="92" t="str">
        <f t="shared" si="34"/>
        <v>4011/4012</v>
      </c>
      <c r="L116" s="21" t="str">
        <f>VLOOKUP(A116,'Trips&amp;Operators'!$C$1:$G$99999,5,FALSE)</f>
        <v>DAVIS MICHAEL</v>
      </c>
      <c r="M116" s="6">
        <f t="shared" si="35"/>
        <v>2.7696759265381843E-2</v>
      </c>
      <c r="N116" s="7">
        <f t="shared" si="61"/>
        <v>39.883333342149854</v>
      </c>
      <c r="O116" s="7"/>
      <c r="P116" s="7"/>
      <c r="Q116" s="22"/>
      <c r="R116" s="190"/>
      <c r="S116" s="196">
        <f t="shared" si="62"/>
        <v>1</v>
      </c>
      <c r="T116" s="190" t="str">
        <f t="shared" si="38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9"/>
        <v>https://d0f6bd738d7f1b3e5a7ca70fe4ff75f0.us-east-1.aws.found.io/app/kibana#/discover/Steve-Slow-Train-Analysis-(2080s-and-2083s)?_g=(refreshInterval:(display:Off,pause:!f,section:0,value:0),time:(from:'2017-05-10T15:26:07-0600',mode:absolute,to:'2017-05-10T18:10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192" t="str">
        <f t="shared" si="40"/>
        <v>N</v>
      </c>
      <c r="X116" s="192">
        <f t="shared" si="54"/>
        <v>1</v>
      </c>
      <c r="Y116" s="192">
        <f t="shared" si="59"/>
        <v>4.5699999999999998E-2</v>
      </c>
      <c r="Z116" s="192">
        <f t="shared" si="60"/>
        <v>23.333600000000001</v>
      </c>
      <c r="AA116" s="192">
        <f t="shared" si="43"/>
        <v>23.2879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4"/>
        <v>0203-10</v>
      </c>
      <c r="AE116" s="80" t="str">
        <f t="shared" si="45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116" s="77" t="str">
        <f t="shared" si="46"/>
        <v>"C:\Program Files (x86)\AstroGrep\AstroGrep.exe" /e /r /s /spath="%USERPROFILE%\AppData\Local\Temp\OnboardLogs" /stypes="app*4012*20170510*" /stext=" 23:.+((SYSTEM_STATE.+slice.+state.+changed )|(ment ac)|(multiple cpu faults)|(system.+state.+changed )|(\[timeout)|(PRM\|1\|D)|(kpr)|(kdp)|(train st.+moving)|(\|lc)|(penalty))"</v>
      </c>
      <c r="AG116" s="1" t="str">
        <f t="shared" si="47"/>
        <v>EC</v>
      </c>
      <c r="AH116" s="81" t="str">
        <f t="shared" si="30"/>
        <v>"%USERPROFILE%\Documents\GitHub\eaglep3\Utilities\RefineRTDCRunTimes.py" --tripid 203-10 --locoid 4012 --swversion DE.1.0.9.0 --startMP 204:457 --initTime 2017-05-10T16:26:07 --startdatetime 2017-05-10T16:30:23 --delay 1 --endMP 204:233336 --enddatetime 2017-05-10T17:10:16 --enforcementcount 0 &gt;&gt;C:\Users\stu\Documents\GitHub\eaglep3-reporting\EC\2017-05-10-refined-times.txt</v>
      </c>
      <c r="AI116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{"issue":{"subject":"","project_id":79,"tracker_id":40,"status_id":1,"priority_id":2,"assigned_to_id":23,"start_date":"2017-05-10","description":"","custom_fields":[{"id":1,"name":"Subdivision","value":"EC"},{"id":4,"name":"Milepost","value":"23.3336"},{"id":17,"name":"Train ID","value":"203-10"},{"id":16,"name":"Locomotive ID","value":"4012"},{"id":130,"name":"Impact","value":""},{"id":150,"name":"Time of Event (Mountain Time)","value":"17:10:16"},{"id":151,"name":"Denver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32"/>
        <v>start /low /b %USERPROFILE%\Documents\GitHub\eaglep3\Utilities\DownloadLogsFromS3.py --loco 4012 --day 2017-05-10</v>
      </c>
      <c r="AN116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23:10:16"},{"id":29,"name":"Sharepoint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746</v>
      </c>
      <c r="B117" s="7">
        <v>4011</v>
      </c>
      <c r="C117" s="21" t="s">
        <v>206</v>
      </c>
      <c r="D117" s="21" t="s">
        <v>414</v>
      </c>
      <c r="E117" s="13">
        <v>42865.725312499999</v>
      </c>
      <c r="F117" s="13">
        <v>42865.726875</v>
      </c>
      <c r="G117" s="7">
        <v>1</v>
      </c>
      <c r="H117" s="21" t="s">
        <v>831</v>
      </c>
      <c r="I117" s="13">
        <v>42865.756481481483</v>
      </c>
      <c r="J117" s="7">
        <v>0</v>
      </c>
      <c r="K117" s="92" t="str">
        <f t="shared" si="34"/>
        <v>4011/4012</v>
      </c>
      <c r="L117" s="21" t="str">
        <f>VLOOKUP(A117,'Trips&amp;Operators'!$C$1:$G$99999,5,FALSE)</f>
        <v>DAVIS MICHAEL</v>
      </c>
      <c r="M117" s="6">
        <f t="shared" si="35"/>
        <v>2.9606481482915115E-2</v>
      </c>
      <c r="N117" s="7">
        <f t="shared" si="61"/>
        <v>42.633333335397765</v>
      </c>
      <c r="O117" s="7"/>
      <c r="P117" s="7"/>
      <c r="Q117" s="22"/>
      <c r="R117" s="190"/>
      <c r="S117" s="196">
        <f t="shared" si="62"/>
        <v>1</v>
      </c>
      <c r="T117" s="190" t="str">
        <f t="shared" si="38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9"/>
        <v>https://d0f6bd738d7f1b3e5a7ca70fe4ff75f0.us-east-1.aws.found.io/app/kibana#/discover/Steve-Slow-Train-Analysis-(2080s-and-2083s)?_g=(refreshInterval:(display:Off,pause:!f,section:0,value:0),time:(from:'2017-05-10T16:24:27-0600',mode:absolute,to:'2017-05-10T19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192" t="str">
        <f t="shared" si="40"/>
        <v>N</v>
      </c>
      <c r="X117" s="192">
        <f t="shared" si="54"/>
        <v>1</v>
      </c>
      <c r="Y117" s="192">
        <f t="shared" si="59"/>
        <v>23.299800000000001</v>
      </c>
      <c r="Z117" s="192">
        <f t="shared" si="60"/>
        <v>1.34E-2</v>
      </c>
      <c r="AA117" s="192">
        <f t="shared" si="43"/>
        <v>23.2864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4"/>
        <v>0204-10</v>
      </c>
      <c r="AE117" s="80" t="str">
        <f t="shared" si="45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117" s="77" t="str">
        <f t="shared" si="46"/>
        <v>"C:\Program Files (x86)\AstroGrep\AstroGrep.exe" /e /r /s /spath="%USERPROFILE%\AppData\Local\Temp\OnboardLogs" /stypes="app*4011*20170511*" /stext=" 00:.+((SYSTEM_STATE.+slice.+state.+changed )|(ment ac)|(multiple cpu faults)|(system.+state.+changed )|(\[timeout)|(PRM\|1\|D)|(kpr)|(kdp)|(train st.+moving)|(\|lc)|(penalty))"</v>
      </c>
      <c r="AG117" s="1" t="str">
        <f t="shared" si="47"/>
        <v>EC</v>
      </c>
      <c r="AH117" s="81" t="str">
        <f t="shared" si="30"/>
        <v>"%USERPROFILE%\Documents\GitHub\eaglep3\Utilities\RefineRTDCRunTimes.py" --tripid 204-10 --locoid 4011 --swversion DE.1.0.9.0 --startMP 204:232998 --initTime 2017-05-10T17:24:27 --startdatetime 2017-05-10T17:26:42 --delay 1 --endMP 204:134 --enddatetime 2017-05-10T18:09:20 --enforcementcount 0 &gt;&gt;C:\Users\stu\Documents\GitHub\eaglep3-reporting\EC\2017-05-10-refined-times.txt</v>
      </c>
      <c r="AI117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{"issue":{"subject":"","project_id":79,"tracker_id":40,"status_id":1,"priority_id":2,"assigned_to_id":23,"start_date":"2017-05-10","description":"","custom_fields":[{"id":1,"name":"Subdivision","value":"EC"},{"id":4,"name":"Milepost","value":"0.0134"},{"id":17,"name":"Train ID","value":"204-10"},{"id":16,"name":"Locomotive ID","value":"4011"},{"id":130,"name":"Impact","value":""},{"id":150,"name":"Time of Event (Mountain Time)","value":"18:09:20"},{"id":151,"name":"Denver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32"/>
        <v>start /low /b %USERPROFILE%\Documents\GitHub\eaglep3\Utilities\DownloadLogsFromS3.py --loco 4011 --day 2017-05-10</v>
      </c>
      <c r="AN117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735</v>
      </c>
      <c r="B118" s="7">
        <v>4018</v>
      </c>
      <c r="C118" s="21" t="s">
        <v>206</v>
      </c>
      <c r="D118" s="21" t="s">
        <v>521</v>
      </c>
      <c r="E118" s="13">
        <v>42865.693472222221</v>
      </c>
      <c r="F118" s="13">
        <v>42865.69809027778</v>
      </c>
      <c r="G118" s="7">
        <v>1</v>
      </c>
      <c r="H118" s="21" t="s">
        <v>409</v>
      </c>
      <c r="I118" s="13">
        <v>42865.724687499998</v>
      </c>
      <c r="J118" s="7">
        <v>0</v>
      </c>
      <c r="K118" s="92" t="str">
        <f t="shared" si="34"/>
        <v>4017/4018</v>
      </c>
      <c r="L118" s="21" t="str">
        <f>VLOOKUP(A118,'Trips&amp;Operators'!$C$1:$G$99999,5,FALSE)</f>
        <v>LAMAR NEKESHA</v>
      </c>
      <c r="M118" s="6">
        <f t="shared" si="35"/>
        <v>2.6597222218697425E-2</v>
      </c>
      <c r="N118" s="7">
        <f t="shared" si="61"/>
        <v>38.299999994924292</v>
      </c>
      <c r="O118" s="7"/>
      <c r="P118" s="7"/>
      <c r="Q118" s="22"/>
      <c r="R118" s="190"/>
      <c r="S118" s="196">
        <f t="shared" si="62"/>
        <v>1</v>
      </c>
      <c r="T118" s="190" t="str">
        <f t="shared" si="38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9"/>
        <v>https://d0f6bd738d7f1b3e5a7ca70fe4ff75f0.us-east-1.aws.found.io/app/kibana#/discover/Steve-Slow-Train-Analysis-(2080s-and-2083s)?_g=(refreshInterval:(display:Off,pause:!f,section:0,value:0),time:(from:'2017-05-10T15:38:36-0600',mode:absolute,to:'2017-05-10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192" t="str">
        <f t="shared" si="40"/>
        <v>N</v>
      </c>
      <c r="X118" s="192">
        <f t="shared" si="54"/>
        <v>1</v>
      </c>
      <c r="Y118" s="192">
        <f t="shared" si="59"/>
        <v>4.3499999999999997E-2</v>
      </c>
      <c r="Z118" s="192">
        <f t="shared" si="60"/>
        <v>23.331199999999999</v>
      </c>
      <c r="AA118" s="192">
        <f t="shared" si="43"/>
        <v>23.287699999999997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4"/>
        <v>0205-10</v>
      </c>
      <c r="AE118" s="80" t="str">
        <f t="shared" si="45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118" s="77" t="str">
        <f t="shared" si="46"/>
        <v>"C:\Program Files (x86)\AstroGrep\AstroGrep.exe" /e /r /s /spath="%USERPROFILE%\AppData\Local\Temp\OnboardLogs" /stypes="app*4018*20170510*" /stext=" 23:.+((SYSTEM_STATE.+slice.+state.+changed )|(ment ac)|(multiple cpu faults)|(system.+state.+changed )|(\[timeout)|(PRM\|1\|D)|(kpr)|(kdp)|(train st.+moving)|(\|lc)|(penalty))"</v>
      </c>
      <c r="AG118" s="1" t="str">
        <f t="shared" si="47"/>
        <v>EC</v>
      </c>
      <c r="AH118" s="81" t="str">
        <f t="shared" si="30"/>
        <v>"%USERPROFILE%\Documents\GitHub\eaglep3\Utilities\RefineRTDCRunTimes.py" --tripid 205-10 --locoid 4018 --swversion DE.1.0.9.0 --startMP 204:435 --initTime 2017-05-10T16:38:36 --startdatetime 2017-05-10T16:45:15 --delay 1 --endMP 204:233312 --enddatetime 2017-05-10T17:23:33 --enforcementcount 0 &gt;&gt;C:\Users\stu\Documents\GitHub\eaglep3-reporting\EC\2017-05-10-refined-times.txt</v>
      </c>
      <c r="AI118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{"issue":{"subject":"","project_id":79,"tracker_id":40,"status_id":1,"priority_id":2,"assigned_to_id":23,"start_date":"2017-05-10","description":"","custom_fields":[{"id":1,"name":"Subdivision","value":"EC"},{"id":4,"name":"Milepost","value":"23.3312"},{"id":17,"name":"Train ID","value":"205-10"},{"id":16,"name":"Locomotive ID","value":"4018"},{"id":130,"name":"Impact","value":""},{"id":150,"name":"Time of Event (Mountain Time)","value":"17:23:33"},{"id":151,"name":"Denver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32"/>
        <v>start /low /b %USERPROFILE%\Documents\GitHub\eaglep3\Utilities\DownloadLogsFromS3.py --loco 4018 --day 2017-05-10</v>
      </c>
      <c r="AN118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748</v>
      </c>
      <c r="B119" s="7">
        <v>4017</v>
      </c>
      <c r="C119" s="21" t="s">
        <v>206</v>
      </c>
      <c r="D119" s="21" t="s">
        <v>875</v>
      </c>
      <c r="E119" s="13">
        <v>42865.731342592589</v>
      </c>
      <c r="F119" s="13">
        <v>42865.737013888887</v>
      </c>
      <c r="G119" s="7">
        <v>1</v>
      </c>
      <c r="H119" s="21" t="s">
        <v>377</v>
      </c>
      <c r="I119" s="13">
        <v>42865.764861111114</v>
      </c>
      <c r="J119" s="7">
        <v>0</v>
      </c>
      <c r="K119" s="92" t="str">
        <f t="shared" si="34"/>
        <v>4017/4018</v>
      </c>
      <c r="L119" s="21" t="str">
        <f>VLOOKUP(A119,'Trips&amp;Operators'!$C$1:$G$99999,5,FALSE)</f>
        <v>LAMAR NEKESHA</v>
      </c>
      <c r="M119" s="6">
        <f t="shared" si="35"/>
        <v>2.7847222227137536E-2</v>
      </c>
      <c r="N119" s="7">
        <f t="shared" si="61"/>
        <v>40.100000007078052</v>
      </c>
      <c r="O119" s="7"/>
      <c r="P119" s="7"/>
      <c r="Q119" s="22"/>
      <c r="R119" s="190"/>
      <c r="S119" s="196">
        <f t="shared" si="62"/>
        <v>1</v>
      </c>
      <c r="T119" s="190" t="str">
        <f t="shared" si="38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9"/>
        <v>https://d0f6bd738d7f1b3e5a7ca70fe4ff75f0.us-east-1.aws.found.io/app/kibana#/discover/Steve-Slow-Train-Analysis-(2080s-and-2083s)?_g=(refreshInterval:(display:Off,pause:!f,section:0,value:0),time:(from:'2017-05-10T16:33:08-0600',mode:absolute,to:'2017-05-10T19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192" t="str">
        <f t="shared" si="40"/>
        <v>N</v>
      </c>
      <c r="X119" s="192">
        <f t="shared" si="54"/>
        <v>1</v>
      </c>
      <c r="Y119" s="192">
        <f t="shared" si="59"/>
        <v>23.299299999999999</v>
      </c>
      <c r="Z119" s="192">
        <f t="shared" si="60"/>
        <v>1.47E-2</v>
      </c>
      <c r="AA119" s="192">
        <f t="shared" si="43"/>
        <v>23.284599999999998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4"/>
        <v>0206-10</v>
      </c>
      <c r="AE119" s="80" t="str">
        <f t="shared" si="45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119" s="77" t="str">
        <f t="shared" si="46"/>
        <v>"C:\Program Files (x86)\AstroGrep\AstroGrep.exe" /e /r /s /spath="%USERPROFILE%\AppData\Local\Temp\OnboardLogs" /stypes="app*4017*20170511*" /stext=" 00:.+((SYSTEM_STATE.+slice.+state.+changed )|(ment ac)|(multiple cpu faults)|(system.+state.+changed )|(\[timeout)|(PRM\|1\|D)|(kpr)|(kdp)|(train st.+moving)|(\|lc)|(penalty))"</v>
      </c>
      <c r="AG119" s="1" t="str">
        <f t="shared" si="47"/>
        <v>EC</v>
      </c>
      <c r="AH119" s="81" t="str">
        <f t="shared" si="30"/>
        <v>"%USERPROFILE%\Documents\GitHub\eaglep3\Utilities\RefineRTDCRunTimes.py" --tripid 206-10 --locoid 4017 --swversion DE.1.0.9.0 --startMP 204:232993 --initTime 2017-05-10T17:33:08 --startdatetime 2017-05-10T17:41:18 --delay 1 --endMP 204:147 --enddatetime 2017-05-10T18:21:24 --enforcementcount 0 &gt;&gt;C:\Users\stu\Documents\GitHub\eaglep3-reporting\EC\2017-05-10-refined-times.txt</v>
      </c>
      <c r="AI119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{"issue":{"subject":"","project_id":79,"tracker_id":40,"status_id":1,"priority_id":2,"assigned_to_id":23,"start_date":"2017-05-10","description":"","custom_fields":[{"id":1,"name":"Subdivision","value":"EC"},{"id":4,"name":"Milepost","value":"0.0147"},{"id":17,"name":"Train ID","value":"206-10"},{"id":16,"name":"Locomotive ID","value":"4017"},{"id":130,"name":"Impact","value":""},{"id":150,"name":"Time of Event (Mountain Time)","value":"18:21:24"},{"id":151,"name":"Denver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32"/>
        <v>start /low /b %USERPROFILE%\Documents\GitHub\eaglep3\Utilities\DownloadLogsFromS3.py --loco 4017 --day 2017-05-10</v>
      </c>
      <c r="AN119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738</v>
      </c>
      <c r="B120" s="7">
        <v>4008</v>
      </c>
      <c r="C120" s="21" t="s">
        <v>206</v>
      </c>
      <c r="D120" s="21" t="s">
        <v>347</v>
      </c>
      <c r="E120" s="13">
        <v>42865.706678240742</v>
      </c>
      <c r="F120" s="13">
        <v>42865.708726851852</v>
      </c>
      <c r="G120" s="7">
        <v>1</v>
      </c>
      <c r="H120" s="21" t="s">
        <v>876</v>
      </c>
      <c r="I120" s="13">
        <v>42865.7341087963</v>
      </c>
      <c r="J120" s="7">
        <v>0</v>
      </c>
      <c r="K120" s="92" t="str">
        <f t="shared" si="34"/>
        <v>4007/4008</v>
      </c>
      <c r="L120" s="21" t="str">
        <f>VLOOKUP(A120,'Trips&amp;Operators'!$C$1:$G$99999,5,FALSE)</f>
        <v>HELVIE ADAM</v>
      </c>
      <c r="M120" s="6">
        <f t="shared" si="35"/>
        <v>2.5381944447872229E-2</v>
      </c>
      <c r="N120" s="7">
        <f t="shared" si="61"/>
        <v>36.55000000493601</v>
      </c>
      <c r="O120" s="7"/>
      <c r="P120" s="7"/>
      <c r="Q120" s="22"/>
      <c r="R120" s="190"/>
      <c r="S120" s="196">
        <f t="shared" si="62"/>
        <v>1</v>
      </c>
      <c r="T120" s="190" t="str">
        <f t="shared" si="38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9"/>
        <v>https://d0f6bd738d7f1b3e5a7ca70fe4ff75f0.us-east-1.aws.found.io/app/kibana#/discover/Steve-Slow-Train-Analysis-(2080s-and-2083s)?_g=(refreshInterval:(display:Off,pause:!f,section:0,value:0),time:(from:'2017-05-10T15:57:37-0600',mode:absolute,to:'2017-05-10T18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192" t="str">
        <f t="shared" si="40"/>
        <v>N</v>
      </c>
      <c r="X120" s="192">
        <f t="shared" si="54"/>
        <v>1</v>
      </c>
      <c r="Y120" s="192">
        <f t="shared" si="59"/>
        <v>4.4900000000000002E-2</v>
      </c>
      <c r="Z120" s="192">
        <f t="shared" si="60"/>
        <v>23.328600000000002</v>
      </c>
      <c r="AA120" s="192">
        <f t="shared" si="43"/>
        <v>23.283700000000003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4"/>
        <v>0207-10</v>
      </c>
      <c r="AE120" s="80" t="str">
        <f t="shared" si="45"/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120" s="77" t="str">
        <f t="shared" si="46"/>
        <v>"C:\Program Files (x86)\AstroGrep\AstroGrep.exe" /e /r /s /spath="%USERPROFILE%\AppData\Local\Temp\OnboardLogs" /stypes="app*4008*20170510*" /stext=" 23:.+((SYSTEM_STATE.+slice.+state.+changed )|(ment ac)|(multiple cpu faults)|(system.+state.+changed )|(\[timeout)|(PRM\|1\|D)|(kpr)|(kdp)|(train st.+moving)|(\|lc)|(penalty))"</v>
      </c>
      <c r="AG120" s="1" t="str">
        <f t="shared" si="47"/>
        <v>EC</v>
      </c>
      <c r="AH120" s="81" t="str">
        <f t="shared" si="30"/>
        <v>"%USERPROFILE%\Documents\GitHub\eaglep3\Utilities\RefineRTDCRunTimes.py" --tripid 207-10 --locoid 4008 --swversion DE.1.0.9.0 --startMP 204:449 --initTime 2017-05-10T16:57:37 --startdatetime 2017-05-10T17:00:34 --delay 1 --endMP 204:233286 --enddatetime 2017-05-10T17:37:07 --enforcementcount 0 &gt;&gt;C:\Users\stu\Documents\GitHub\eaglep3-reporting\EC\2017-05-10-refined-times.txt</v>
      </c>
      <c r="AI120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{"issue":{"subject":"","project_id":79,"tracker_id":40,"status_id":1,"priority_id":2,"assigned_to_id":23,"start_date":"2017-05-10","description":"","custom_fields":[{"id":1,"name":"Subdivision","value":"EC"},{"id":4,"name":"Milepost","value":"23.3286"},{"id":17,"name":"Train ID","value":"207-10"},{"id":16,"name":"Locomotive ID","value":"4008"},{"id":130,"name":"Impact","value":""},{"id":150,"name":"Time of Event (Mountain Time)","value":"17:37:07"},{"id":151,"name":"Denver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32"/>
        <v>start /low /b %USERPROFILE%\Documents\GitHub\eaglep3\Utilities\DownloadLogsFromS3.py --loco 4008 --day 2017-05-10</v>
      </c>
      <c r="AN120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754</v>
      </c>
      <c r="B121" s="7">
        <v>4007</v>
      </c>
      <c r="C121" s="21" t="s">
        <v>206</v>
      </c>
      <c r="D121" s="21" t="s">
        <v>394</v>
      </c>
      <c r="E121" s="13">
        <v>42865.743993055556</v>
      </c>
      <c r="F121" s="13">
        <v>42865.747361111113</v>
      </c>
      <c r="G121" s="7">
        <v>1</v>
      </c>
      <c r="H121" s="21" t="s">
        <v>877</v>
      </c>
      <c r="I121" s="13">
        <v>42865.772997685184</v>
      </c>
      <c r="J121" s="7">
        <v>0</v>
      </c>
      <c r="K121" s="92" t="str">
        <f t="shared" si="34"/>
        <v>4007/4008</v>
      </c>
      <c r="L121" s="21" t="str">
        <f>VLOOKUP(A121,'Trips&amp;Operators'!$C$1:$G$99999,5,FALSE)</f>
        <v>HELVIE ADAM</v>
      </c>
      <c r="M121" s="6">
        <f t="shared" si="35"/>
        <v>2.5636574071540963E-2</v>
      </c>
      <c r="N121" s="7">
        <f t="shared" si="61"/>
        <v>36.916666663018987</v>
      </c>
      <c r="O121" s="7"/>
      <c r="P121" s="7"/>
      <c r="Q121" s="22"/>
      <c r="R121" s="190"/>
      <c r="S121" s="196">
        <f t="shared" si="62"/>
        <v>1</v>
      </c>
      <c r="T121" s="190" t="str">
        <f t="shared" si="38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9"/>
        <v>https://d0f6bd738d7f1b3e5a7ca70fe4ff75f0.us-east-1.aws.found.io/app/kibana#/discover/Steve-Slow-Train-Analysis-(2080s-and-2083s)?_g=(refreshInterval:(display:Off,pause:!f,section:0,value:0),time:(from:'2017-05-10T16:51:21-0600',mode:absolute,to:'2017-05-10T19:33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192" t="str">
        <f t="shared" si="40"/>
        <v>N</v>
      </c>
      <c r="X121" s="192">
        <f t="shared" si="54"/>
        <v>1</v>
      </c>
      <c r="Y121" s="192">
        <f t="shared" si="59"/>
        <v>23.296700000000001</v>
      </c>
      <c r="Z121" s="192">
        <f t="shared" si="60"/>
        <v>1.6500000000000001E-2</v>
      </c>
      <c r="AA121" s="192">
        <f t="shared" si="43"/>
        <v>23.280200000000001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4"/>
        <v>0208-10</v>
      </c>
      <c r="AE121" s="80" t="str">
        <f t="shared" si="45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121" s="77" t="str">
        <f t="shared" si="46"/>
        <v>"C:\Program Files (x86)\AstroGrep\AstroGrep.exe" /e /r /s /spath="%USERPROFILE%\AppData\Local\Temp\OnboardLogs" /stypes="app*4007*20170511*" /stext=" 00:.+((SYSTEM_STATE.+slice.+state.+changed )|(ment ac)|(multiple cpu faults)|(system.+state.+changed )|(\[timeout)|(PRM\|1\|D)|(kpr)|(kdp)|(train st.+moving)|(\|lc)|(penalty))"</v>
      </c>
      <c r="AG121" s="1" t="str">
        <f t="shared" si="47"/>
        <v>EC</v>
      </c>
      <c r="AH121" s="81" t="str">
        <f t="shared" si="30"/>
        <v>"%USERPROFILE%\Documents\GitHub\eaglep3\Utilities\RefineRTDCRunTimes.py" --tripid 208-10 --locoid 4007 --swversion DE.1.0.9.0 --startMP 204:232967 --initTime 2017-05-10T17:51:21 --startdatetime 2017-05-10T17:56:12 --delay 1 --endMP 204:165 --enddatetime 2017-05-10T18:33:07 --enforcementcount 0 &gt;&gt;C:\Users\stu\Documents\GitHub\eaglep3-reporting\EC\2017-05-10-refined-times.txt</v>
      </c>
      <c r="AI121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{"issue":{"subject":"","project_id":79,"tracker_id":40,"status_id":1,"priority_id":2,"assigned_to_id":23,"start_date":"2017-05-10","description":"","custom_fields":[{"id":1,"name":"Subdivision","value":"EC"},{"id":4,"name":"Milepost","value":"0.0165"},{"id":17,"name":"Train ID","value":"208-10"},{"id":16,"name":"Locomotive ID","value":"4007"},{"id":130,"name":"Impact","value":""},{"id":150,"name":"Time of Event (Mountain Time)","value":"18:33:07"},{"id":151,"name":"Denver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32"/>
        <v>start /low /b %USERPROFILE%\Documents\GitHub\eaglep3\Utilities\DownloadLogsFromS3.py --loco 4007 --day 2017-05-10</v>
      </c>
      <c r="AN121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741</v>
      </c>
      <c r="B122" s="7">
        <v>4040</v>
      </c>
      <c r="C122" s="21" t="s">
        <v>206</v>
      </c>
      <c r="D122" s="21" t="s">
        <v>379</v>
      </c>
      <c r="E122" s="13">
        <v>42865.714050925926</v>
      </c>
      <c r="F122" s="13">
        <v>42865.719236111108</v>
      </c>
      <c r="G122" s="7">
        <v>1</v>
      </c>
      <c r="H122" s="21" t="s">
        <v>878</v>
      </c>
      <c r="I122" s="13">
        <v>42865.74490740741</v>
      </c>
      <c r="J122" s="7">
        <v>0</v>
      </c>
      <c r="K122" s="92" t="str">
        <f t="shared" si="34"/>
        <v>4039/4040</v>
      </c>
      <c r="L122" s="21" t="str">
        <f>VLOOKUP(A122,'Trips&amp;Operators'!$C$1:$G$99999,5,FALSE)</f>
        <v>SWANSON BRYCE</v>
      </c>
      <c r="M122" s="6">
        <f t="shared" si="35"/>
        <v>2.567129630187992E-2</v>
      </c>
      <c r="N122" s="7">
        <f t="shared" si="61"/>
        <v>36.966666674707085</v>
      </c>
      <c r="O122" s="7"/>
      <c r="P122" s="7"/>
      <c r="Q122" s="22"/>
      <c r="R122" s="190"/>
      <c r="S122" s="196">
        <f t="shared" si="62"/>
        <v>1</v>
      </c>
      <c r="T122" s="190" t="str">
        <f t="shared" si="38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9"/>
        <v>https://d0f6bd738d7f1b3e5a7ca70fe4ff75f0.us-east-1.aws.found.io/app/kibana#/discover/Steve-Slow-Train-Analysis-(2080s-and-2083s)?_g=(refreshInterval:(display:Off,pause:!f,section:0,value:0),time:(from:'2017-05-10T16:08:14-0600',mode:absolute,to:'2017-05-10T18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2" s="192" t="str">
        <f t="shared" si="40"/>
        <v>N</v>
      </c>
      <c r="X122" s="192">
        <f t="shared" si="54"/>
        <v>1</v>
      </c>
      <c r="Y122" s="192">
        <f t="shared" si="59"/>
        <v>4.4200000000000003E-2</v>
      </c>
      <c r="Z122" s="192">
        <f t="shared" si="60"/>
        <v>23.338100000000001</v>
      </c>
      <c r="AA122" s="192">
        <f t="shared" si="43"/>
        <v>23.293900000000001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44"/>
        <v>0209-10</v>
      </c>
      <c r="AE122" s="80" t="str">
        <f t="shared" si="45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122" s="77" t="str">
        <f t="shared" si="46"/>
        <v>"C:\Program Files (x86)\AstroGrep\AstroGrep.exe" /e /r /s /spath="%USERPROFILE%\AppData\Local\Temp\OnboardLogs" /stypes="app*4040*20170510*" /stext=" 23:.+((SYSTEM_STATE.+slice.+state.+changed )|(ment ac)|(multiple cpu faults)|(system.+state.+changed )|(\[timeout)|(PRM\|1\|D)|(kpr)|(kdp)|(train st.+moving)|(\|lc)|(penalty))"</v>
      </c>
      <c r="AG122" s="1" t="str">
        <f t="shared" si="47"/>
        <v>EC</v>
      </c>
      <c r="AH122" s="81" t="str">
        <f t="shared" si="30"/>
        <v>"%USERPROFILE%\Documents\GitHub\eaglep3\Utilities\RefineRTDCRunTimes.py" --tripid 209-10 --locoid 4040 --swversion DE.1.0.9.0 --startMP 204:442 --initTime 2017-05-10T17:08:14 --startdatetime 2017-05-10T17:15:42 --delay 1 --endMP 204:233381 --enddatetime 2017-05-10T17:52:40 --enforcementcount 0 &gt;&gt;C:\Users\stu\Documents\GitHub\eaglep3-reporting\EC\2017-05-10-refined-times.txt</v>
      </c>
      <c r="AI122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{"issue":{"subject":"","project_id":79,"tracker_id":40,"status_id":1,"priority_id":2,"assigned_to_id":23,"start_date":"2017-05-10","description":"","custom_fields":[{"id":1,"name":"Subdivision","value":"EC"},{"id":4,"name":"Milepost","value":"23.3381"},{"id":17,"name":"Train ID","value":"209-10"},{"id":16,"name":"Locomotive ID","value":"4040"},{"id":130,"name":"Impact","value":""},{"id":150,"name":"Time of Event (Mountain Time)","value":"17:52:40"},{"id":151,"name":"Denver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32"/>
        <v>start /low /b %USERPROFILE%\Documents\GitHub\eaglep3\Utilities\DownloadLogsFromS3.py --loco 4040 --day 2017-05-10</v>
      </c>
      <c r="AN122" s="154" t="str">
        <f t="shared" si="3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756</v>
      </c>
      <c r="B123" s="7">
        <v>4039</v>
      </c>
      <c r="C123" s="21" t="s">
        <v>206</v>
      </c>
      <c r="D123" s="21" t="s">
        <v>879</v>
      </c>
      <c r="E123" s="13">
        <v>42865.750868055555</v>
      </c>
      <c r="F123" s="13">
        <v>42865.758067129631</v>
      </c>
      <c r="G123" s="7">
        <v>1</v>
      </c>
      <c r="H123" s="21" t="s">
        <v>530</v>
      </c>
      <c r="I123" s="13">
        <v>42865.78670138889</v>
      </c>
      <c r="J123" s="7">
        <v>0</v>
      </c>
      <c r="K123" s="92" t="str">
        <f t="shared" si="34"/>
        <v>4039/4040</v>
      </c>
      <c r="L123" s="21" t="str">
        <f>VLOOKUP(A123,'Trips&amp;Operators'!$C$1:$G$99999,5,FALSE)</f>
        <v>SWANSON BRYCE</v>
      </c>
      <c r="M123" s="6">
        <f t="shared" si="35"/>
        <v>2.8634259258979E-2</v>
      </c>
      <c r="N123" s="7">
        <f t="shared" si="61"/>
        <v>41.23333333292976</v>
      </c>
      <c r="O123" s="7"/>
      <c r="P123" s="7"/>
      <c r="Q123" s="22"/>
      <c r="R123" s="190"/>
      <c r="S123" s="196">
        <f t="shared" si="62"/>
        <v>1</v>
      </c>
      <c r="T123" s="190" t="str">
        <f t="shared" si="38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9"/>
        <v>https://d0f6bd738d7f1b3e5a7ca70fe4ff75f0.us-east-1.aws.found.io/app/kibana#/discover/Steve-Slow-Train-Analysis-(2080s-and-2083s)?_g=(refreshInterval:(display:Off,pause:!f,section:0,value:0),time:(from:'2017-05-10T17:01:15-0600',mode:absolute,to:'2017-05-10T19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3" s="192" t="str">
        <f t="shared" si="40"/>
        <v>N</v>
      </c>
      <c r="X123" s="192">
        <f t="shared" si="54"/>
        <v>1</v>
      </c>
      <c r="Y123" s="192">
        <f t="shared" si="59"/>
        <v>23.3094</v>
      </c>
      <c r="Z123" s="192">
        <f t="shared" si="60"/>
        <v>1.6899999999999998E-2</v>
      </c>
      <c r="AA123" s="192">
        <f t="shared" si="43"/>
        <v>23.2925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4"/>
        <v>0210-10</v>
      </c>
      <c r="AE123" s="80" t="str">
        <f t="shared" si="45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123" s="77" t="str">
        <f t="shared" si="46"/>
        <v>"C:\Program Files (x86)\AstroGrep\AstroGrep.exe" /e /r /s /spath="%USERPROFILE%\AppData\Local\Temp\OnboardLogs" /stypes="app*4039*20170511*" /stext=" 00:.+((SYSTEM_STATE.+slice.+state.+changed )|(ment ac)|(multiple cpu faults)|(system.+state.+changed )|(\[timeout)|(PRM\|1\|D)|(kpr)|(kdp)|(train st.+moving)|(\|lc)|(penalty))"</v>
      </c>
      <c r="AG123" s="1" t="str">
        <f t="shared" si="47"/>
        <v>EC</v>
      </c>
      <c r="AH123" s="81" t="str">
        <f t="shared" si="30"/>
        <v>"%USERPROFILE%\Documents\GitHub\eaglep3\Utilities\RefineRTDCRunTimes.py" --tripid 210-10 --locoid 4039 --swversion DE.1.0.9.0 --startMP 204:233094 --initTime 2017-05-10T18:01:15 --startdatetime 2017-05-10T18:11:37 --delay 1 --endMP 204:169 --enddatetime 2017-05-10T18:52:51 --enforcementcount 0 &gt;&gt;C:\Users\stu\Documents\GitHub\eaglep3-reporting\EC\2017-05-10-refined-times.txt</v>
      </c>
      <c r="AI123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{"issue":{"subject":"","project_id":79,"tracker_id":40,"status_id":1,"priority_id":2,"assigned_to_id":23,"start_date":"2017-05-10","description":"","custom_fields":[{"id":1,"name":"Subdivision","value":"EC"},{"id":4,"name":"Milepost","value":"0.0169"},{"id":17,"name":"Train ID","value":"210-10"},{"id":16,"name":"Locomotive ID","value":"4039"},{"id":130,"name":"Impact","value":""},{"id":150,"name":"Time of Event (Mountain Time)","value":"18:52:51"},{"id":151,"name":"Denver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32"/>
        <v>start /low /b %USERPROFILE%\Documents\GitHub\eaglep3\Utilities\DownloadLogsFromS3.py --loco 4039 --day 2017-05-10</v>
      </c>
      <c r="AN123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747</v>
      </c>
      <c r="B124" s="7">
        <v>4006</v>
      </c>
      <c r="C124" s="21" t="s">
        <v>206</v>
      </c>
      <c r="D124" s="21" t="s">
        <v>826</v>
      </c>
      <c r="E124" s="13">
        <v>42865.727361111109</v>
      </c>
      <c r="F124" s="13">
        <v>42865.72934027778</v>
      </c>
      <c r="G124" s="7">
        <v>1</v>
      </c>
      <c r="H124" s="21" t="s">
        <v>880</v>
      </c>
      <c r="I124" s="13">
        <v>42865.754062499997</v>
      </c>
      <c r="J124" s="7">
        <v>0</v>
      </c>
      <c r="K124" s="92" t="str">
        <f t="shared" si="34"/>
        <v>4005/4006</v>
      </c>
      <c r="L124" s="21" t="str">
        <f>VLOOKUP(A124,'Trips&amp;Operators'!$C$1:$G$99999,5,FALSE)</f>
        <v>BIRENBAUM THOMAS</v>
      </c>
      <c r="M124" s="6">
        <f t="shared" si="35"/>
        <v>2.4722222216951195E-2</v>
      </c>
      <c r="N124" s="7">
        <f t="shared" si="61"/>
        <v>35.599999992409721</v>
      </c>
      <c r="O124" s="7"/>
      <c r="P124" s="7"/>
      <c r="Q124" s="22"/>
      <c r="R124" s="190"/>
      <c r="S124" s="196">
        <f t="shared" si="62"/>
        <v>1</v>
      </c>
      <c r="T124" s="190" t="str">
        <f t="shared" si="38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9"/>
        <v>https://d0f6bd738d7f1b3e5a7ca70fe4ff75f0.us-east-1.aws.found.io/app/kibana#/discover/Steve-Slow-Train-Analysis-(2080s-and-2083s)?_g=(refreshInterval:(display:Off,pause:!f,section:0,value:0),time:(from:'2017-05-10T16:27:24-0600',mode:absolute,to:'2017-05-10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192" t="str">
        <f t="shared" si="40"/>
        <v>N</v>
      </c>
      <c r="X124" s="192">
        <f t="shared" si="54"/>
        <v>1</v>
      </c>
      <c r="Y124" s="192">
        <f t="shared" si="59"/>
        <v>4.24E-2</v>
      </c>
      <c r="Z124" s="192">
        <f t="shared" si="60"/>
        <v>23.334099999999999</v>
      </c>
      <c r="AA124" s="192">
        <f t="shared" si="43"/>
        <v>23.291699999999999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44"/>
        <v>0211-10</v>
      </c>
      <c r="AE124" s="80" t="str">
        <f t="shared" si="45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124" s="77" t="str">
        <f t="shared" si="46"/>
        <v>"C:\Program Files (x86)\AstroGrep\AstroGrep.exe" /e /r /s /spath="%USERPROFILE%\AppData\Local\Temp\OnboardLogs" /stypes="app*4006*20170511*" /stext=" 00:.+((SYSTEM_STATE.+slice.+state.+changed )|(ment ac)|(multiple cpu faults)|(system.+state.+changed )|(\[timeout)|(PRM\|1\|D)|(kpr)|(kdp)|(train st.+moving)|(\|lc)|(penalty))"</v>
      </c>
      <c r="AG124" s="1" t="str">
        <f t="shared" si="47"/>
        <v>EC</v>
      </c>
      <c r="AH124" s="81" t="str">
        <f t="shared" si="30"/>
        <v>"%USERPROFILE%\Documents\GitHub\eaglep3\Utilities\RefineRTDCRunTimes.py" --tripid 211-10 --locoid 4006 --swversion DE.1.0.9.0 --startMP 204:424 --initTime 2017-05-10T17:27:24 --startdatetime 2017-05-10T17:30:15 --delay 1 --endMP 204:233341 --enddatetime 2017-05-10T18:05:51 --enforcementcount 0 &gt;&gt;C:\Users\stu\Documents\GitHub\eaglep3-reporting\EC\2017-05-10-refined-times.txt</v>
      </c>
      <c r="AI124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{"issue":{"subject":"","project_id":79,"tracker_id":40,"status_id":1,"priority_id":2,"assigned_to_id":23,"start_date":"2017-05-10","description":"","custom_fields":[{"id":1,"name":"Subdivision","value":"EC"},{"id":4,"name":"Milepost","value":"23.3341"},{"id":17,"name":"Train ID","value":"211-10"},{"id":16,"name":"Locomotive ID","value":"4006"},{"id":130,"name":"Impact","value":""},{"id":150,"name":"Time of Event (Mountain Time)","value":"18:05:51"},{"id":151,"name":"Denver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32"/>
        <v>start /low /b %USERPROFILE%\Documents\GitHub\eaglep3\Utilities\DownloadLogsFromS3.py --loco 4006 --day 2017-05-10</v>
      </c>
      <c r="AN124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759</v>
      </c>
      <c r="B125" s="7">
        <v>4005</v>
      </c>
      <c r="C125" s="21" t="s">
        <v>206</v>
      </c>
      <c r="D125" s="21" t="s">
        <v>881</v>
      </c>
      <c r="E125" s="13">
        <v>42865.758125</v>
      </c>
      <c r="F125" s="13">
        <v>42865.769733796296</v>
      </c>
      <c r="G125" s="7">
        <v>1</v>
      </c>
      <c r="H125" s="21" t="s">
        <v>368</v>
      </c>
      <c r="I125" s="13">
        <v>42865.79724537037</v>
      </c>
      <c r="J125" s="7">
        <v>0</v>
      </c>
      <c r="K125" s="92" t="str">
        <f t="shared" si="34"/>
        <v>4005/4006</v>
      </c>
      <c r="L125" s="21" t="str">
        <f>VLOOKUP(A125,'Trips&amp;Operators'!$C$1:$G$99999,5,FALSE)</f>
        <v>BIRENBAUM THOMAS</v>
      </c>
      <c r="M125" s="6">
        <f t="shared" si="35"/>
        <v>2.7511574073287193E-2</v>
      </c>
      <c r="N125" s="7">
        <f t="shared" si="61"/>
        <v>39.616666665533558</v>
      </c>
      <c r="O125" s="7"/>
      <c r="P125" s="7"/>
      <c r="Q125" s="22"/>
      <c r="R125" s="190"/>
      <c r="S125" s="196">
        <f t="shared" si="62"/>
        <v>1</v>
      </c>
      <c r="T125" s="190" t="str">
        <f t="shared" si="38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9"/>
        <v>https://d0f6bd738d7f1b3e5a7ca70fe4ff75f0.us-east-1.aws.found.io/app/kibana#/discover/Steve-Slow-Train-Analysis-(2080s-and-2083s)?_g=(refreshInterval:(display:Off,pause:!f,section:0,value:0),time:(from:'2017-05-10T17:11:42-0600',mode:absolute,to:'2017-05-10T20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192" t="str">
        <f t="shared" si="40"/>
        <v>N</v>
      </c>
      <c r="X125" s="192">
        <f t="shared" si="54"/>
        <v>1</v>
      </c>
      <c r="Y125" s="192">
        <f t="shared" si="59"/>
        <v>23.303799999999999</v>
      </c>
      <c r="Z125" s="192">
        <f t="shared" si="60"/>
        <v>1.5599999999999999E-2</v>
      </c>
      <c r="AA125" s="192">
        <f t="shared" si="43"/>
        <v>23.2882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4"/>
        <v>0212-10</v>
      </c>
      <c r="AE125" s="80" t="str">
        <f t="shared" si="45"/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125" s="77" t="str">
        <f t="shared" si="46"/>
        <v>"C:\Program Files (x86)\AstroGrep\AstroGrep.exe" /e /r /s /spath="%USERPROFILE%\AppData\Local\Temp\OnboardLogs" /stypes="app*4005*20170511*" /stext=" 01:.+((SYSTEM_STATE.+slice.+state.+changed )|(ment ac)|(multiple cpu faults)|(system.+state.+changed )|(\[timeout)|(PRM\|1\|D)|(kpr)|(kdp)|(train st.+moving)|(\|lc)|(penalty))"</v>
      </c>
      <c r="AG125" s="1" t="str">
        <f t="shared" si="47"/>
        <v>EC</v>
      </c>
      <c r="AH125" s="81" t="str">
        <f t="shared" si="30"/>
        <v>"%USERPROFILE%\Documents\GitHub\eaglep3\Utilities\RefineRTDCRunTimes.py" --tripid 212-10 --locoid 4005 --swversion DE.1.0.9.0 --startMP 204:233038 --initTime 2017-05-10T18:11:42 --startdatetime 2017-05-10T18:28:25 --delay 1 --endMP 204:156 --enddatetime 2017-05-10T19:08:02 --enforcementcount 0 &gt;&gt;C:\Users\stu\Documents\GitHub\eaglep3-reporting\EC\2017-05-10-refined-times.txt</v>
      </c>
      <c r="AI125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{"issue":{"subject":"","project_id":79,"tracker_id":40,"status_id":1,"priority_id":2,"assigned_to_id":23,"start_date":"2017-05-10","description":"","custom_fields":[{"id":1,"name":"Subdivision","value":"EC"},{"id":4,"name":"Milepost","value":"0.0156"},{"id":17,"name":"Train ID","value":"212-10"},{"id":16,"name":"Locomotive ID","value":"4005"},{"id":130,"name":"Impact","value":""},{"id":150,"name":"Time of Event (Mountain Time)","value":"19:08:02"},{"id":151,"name":"Denver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32"/>
        <v>start /low /b %USERPROFILE%\Documents\GitHub\eaglep3\Utilities\DownloadLogsFromS3.py --loco 4005 --day 2017-05-10</v>
      </c>
      <c r="AN125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753</v>
      </c>
      <c r="B126" s="7">
        <v>4032</v>
      </c>
      <c r="C126" s="21" t="s">
        <v>206</v>
      </c>
      <c r="D126" s="21" t="s">
        <v>882</v>
      </c>
      <c r="E126" s="13">
        <v>42865.73641203704</v>
      </c>
      <c r="F126" s="13">
        <v>42865.739768518521</v>
      </c>
      <c r="G126" s="7">
        <v>2</v>
      </c>
      <c r="H126" s="21" t="s">
        <v>883</v>
      </c>
      <c r="I126" s="13">
        <v>42865.765405092592</v>
      </c>
      <c r="J126" s="7">
        <v>0</v>
      </c>
      <c r="K126" s="92" t="str">
        <f t="shared" si="34"/>
        <v>4031/4032</v>
      </c>
      <c r="L126" s="21" t="str">
        <f>VLOOKUP(A126,'Trips&amp;Operators'!$C$1:$G$99999,5,FALSE)</f>
        <v>ZEWDU DEREJE</v>
      </c>
      <c r="M126" s="6">
        <f t="shared" si="35"/>
        <v>2.5636574071540963E-2</v>
      </c>
      <c r="N126" s="7">
        <f t="shared" si="61"/>
        <v>36.916666663018987</v>
      </c>
      <c r="O126" s="7"/>
      <c r="P126" s="7"/>
      <c r="Q126" s="22"/>
      <c r="R126" s="190"/>
      <c r="S126" s="196">
        <f t="shared" si="62"/>
        <v>1</v>
      </c>
      <c r="T126" s="190" t="str">
        <f t="shared" si="38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9"/>
        <v>https://d0f6bd738d7f1b3e5a7ca70fe4ff75f0.us-east-1.aws.found.io/app/kibana#/discover/Steve-Slow-Train-Analysis-(2080s-and-2083s)?_g=(refreshInterval:(display:Off,pause:!f,section:0,value:0),time:(from:'2017-05-10T16:40:26-0600',mode:absolute,to:'2017-05-10T19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192" t="str">
        <f t="shared" si="40"/>
        <v>N</v>
      </c>
      <c r="X126" s="192">
        <f t="shared" si="54"/>
        <v>1</v>
      </c>
      <c r="Y126" s="192">
        <f t="shared" si="59"/>
        <v>5.1999999999999998E-2</v>
      </c>
      <c r="Z126" s="192">
        <f t="shared" si="60"/>
        <v>23.335899999999999</v>
      </c>
      <c r="AA126" s="192">
        <f t="shared" si="43"/>
        <v>23.283899999999999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4"/>
        <v>0213-10</v>
      </c>
      <c r="AE126" s="80" t="str">
        <f t="shared" si="45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126" s="77" t="str">
        <f t="shared" si="46"/>
        <v>"C:\Program Files (x86)\AstroGrep\AstroGrep.exe" /e /r /s /spath="%USERPROFILE%\AppData\Local\Temp\OnboardLogs" /stypes="app*4032*20170511*" /stext=" 00:.+((SYSTEM_STATE.+slice.+state.+changed )|(ment ac)|(multiple cpu faults)|(system.+state.+changed )|(\[timeout)|(PRM\|1\|D)|(kpr)|(kdp)|(train st.+moving)|(\|lc)|(penalty))"</v>
      </c>
      <c r="AG126" s="1" t="str">
        <f t="shared" si="47"/>
        <v>EC</v>
      </c>
      <c r="AH126" s="81" t="str">
        <f t="shared" si="30"/>
        <v>"%USERPROFILE%\Documents\GitHub\eaglep3\Utilities\RefineRTDCRunTimes.py" --tripid 213-10 --locoid 4032 --swversion DE.1.0.9.0 --startMP 204:520 --initTime 2017-05-10T17:40:26 --startdatetime 2017-05-10T17:45:16 --delay 2 --endMP 204:233359 --enddatetime 2017-05-10T18:22:11 --enforcementcount 0 &gt;&gt;C:\Users\stu\Documents\GitHub\eaglep3-reporting\EC\2017-05-10-refined-times.txt</v>
      </c>
      <c r="AI126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{"issue":{"subject":"","project_id":79,"tracker_id":40,"status_id":1,"priority_id":2,"assigned_to_id":23,"start_date":"2017-05-10","description":"","custom_fields":[{"id":1,"name":"Subdivision","value":"EC"},{"id":4,"name":"Milepost","value":"23.3359"},{"id":17,"name":"Train ID","value":"213-10"},{"id":16,"name":"Locomotive ID","value":"4032"},{"id":130,"name":"Impact","value":""},{"id":150,"name":"Time of Event (Mountain Time)","value":"18:22:11"},{"id":151,"name":"Denver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32"/>
        <v>start /low /b %USERPROFILE%\Documents\GitHub\eaglep3\Utilities\DownloadLogsFromS3.py --loco 4032 --day 2017-05-10</v>
      </c>
      <c r="AN126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762</v>
      </c>
      <c r="B127" s="7">
        <v>4031</v>
      </c>
      <c r="C127" s="21" t="s">
        <v>206</v>
      </c>
      <c r="D127" s="21" t="s">
        <v>884</v>
      </c>
      <c r="E127" s="13">
        <v>42865.773958333331</v>
      </c>
      <c r="F127" s="13">
        <v>42865.778657407405</v>
      </c>
      <c r="G127" s="7">
        <v>2</v>
      </c>
      <c r="H127" s="21" t="s">
        <v>374</v>
      </c>
      <c r="I127" s="13">
        <v>42865.80740740741</v>
      </c>
      <c r="J127" s="7">
        <v>0</v>
      </c>
      <c r="K127" s="92" t="str">
        <f t="shared" si="34"/>
        <v>4031/4032</v>
      </c>
      <c r="L127" s="21" t="str">
        <f>VLOOKUP(A127,'Trips&amp;Operators'!$C$1:$G$99999,5,FALSE)</f>
        <v>ZEWDU DEREJE</v>
      </c>
      <c r="M127" s="6">
        <f t="shared" si="35"/>
        <v>2.8750000004947651E-2</v>
      </c>
      <c r="N127" s="7">
        <f t="shared" si="61"/>
        <v>41.400000007124618</v>
      </c>
      <c r="O127" s="7"/>
      <c r="P127" s="7"/>
      <c r="Q127" s="22"/>
      <c r="R127" s="190"/>
      <c r="S127" s="196">
        <f t="shared" si="62"/>
        <v>1</v>
      </c>
      <c r="T127" s="190" t="str">
        <f t="shared" si="38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9"/>
        <v>https://d0f6bd738d7f1b3e5a7ca70fe4ff75f0.us-east-1.aws.found.io/app/kibana#/discover/Steve-Slow-Train-Analysis-(2080s-and-2083s)?_g=(refreshInterval:(display:Off,pause:!f,section:0,value:0),time:(from:'2017-05-10T17:34:30-0600',mode:absolute,to:'2017-05-10T20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192" t="str">
        <f t="shared" si="40"/>
        <v>N</v>
      </c>
      <c r="X127" s="192">
        <f t="shared" si="54"/>
        <v>1</v>
      </c>
      <c r="Y127" s="192">
        <f t="shared" si="59"/>
        <v>23.303000000000001</v>
      </c>
      <c r="Z127" s="192">
        <f t="shared" si="60"/>
        <v>1.3899999999999999E-2</v>
      </c>
      <c r="AA127" s="192">
        <f t="shared" si="43"/>
        <v>23.289100000000001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4"/>
        <v>0214-10</v>
      </c>
      <c r="AE127" s="80" t="str">
        <f t="shared" si="45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127" s="77" t="str">
        <f t="shared" si="46"/>
        <v>"C:\Program Files (x86)\AstroGrep\AstroGrep.exe" /e /r /s /spath="%USERPROFILE%\AppData\Local\Temp\OnboardLogs" /stypes="app*4031*20170511*" /stext=" 01:.+((SYSTEM_STATE.+slice.+state.+changed )|(ment ac)|(multiple cpu faults)|(system.+state.+changed )|(\[timeout)|(PRM\|1\|D)|(kpr)|(kdp)|(train st.+moving)|(\|lc)|(penalty))"</v>
      </c>
      <c r="AG127" s="1" t="str">
        <f t="shared" si="47"/>
        <v>EC</v>
      </c>
      <c r="AH127" s="81" t="str">
        <f t="shared" si="30"/>
        <v>"%USERPROFILE%\Documents\GitHub\eaglep3\Utilities\RefineRTDCRunTimes.py" --tripid 214-10 --locoid 4031 --swversion DE.1.0.9.0 --startMP 204:233030 --initTime 2017-05-10T18:34:30 --startdatetime 2017-05-10T18:41:16 --delay 2 --endMP 204:139 --enddatetime 2017-05-10T19:22:40 --enforcementcount 0 &gt;&gt;C:\Users\stu\Documents\GitHub\eaglep3-reporting\EC\2017-05-10-refined-times.txt</v>
      </c>
      <c r="AI127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{"issue":{"subject":"","project_id":79,"tracker_id":40,"status_id":1,"priority_id":2,"assigned_to_id":23,"start_date":"2017-05-10","description":"","custom_fields":[{"id":1,"name":"Subdivision","value":"EC"},{"id":4,"name":"Milepost","value":"0.0139"},{"id":17,"name":"Train ID","value":"214-10"},{"id":16,"name":"Locomotive ID","value":"4031"},{"id":130,"name":"Impact","value":""},{"id":150,"name":"Time of Event (Mountain Time)","value":"19:22:40"},{"id":151,"name":"Denver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32"/>
        <v>start /low /b %USERPROFILE%\Documents\GitHub\eaglep3\Utilities\DownloadLogsFromS3.py --loco 4031 --day 2017-05-10</v>
      </c>
      <c r="AN127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755</v>
      </c>
      <c r="B128" s="7">
        <v>4028</v>
      </c>
      <c r="C128" s="21" t="s">
        <v>206</v>
      </c>
      <c r="D128" s="21" t="s">
        <v>885</v>
      </c>
      <c r="E128" s="13">
        <v>42865.750532407408</v>
      </c>
      <c r="F128" s="13">
        <v>42865.752002314817</v>
      </c>
      <c r="G128" s="7">
        <v>1</v>
      </c>
      <c r="H128" s="21" t="s">
        <v>525</v>
      </c>
      <c r="I128" s="13">
        <v>42865.780173611114</v>
      </c>
      <c r="J128" s="7">
        <v>0</v>
      </c>
      <c r="K128" s="92" t="str">
        <f t="shared" si="34"/>
        <v>4027/4028</v>
      </c>
      <c r="L128" s="21" t="str">
        <f>VLOOKUP(A128,'Trips&amp;Operators'!$C$1:$G$99999,5,FALSE)</f>
        <v>THOMPSON LESTER</v>
      </c>
      <c r="M128" s="6">
        <f t="shared" si="35"/>
        <v>2.8171296296932269E-2</v>
      </c>
      <c r="N128" s="7">
        <f t="shared" si="61"/>
        <v>40.566666667582467</v>
      </c>
      <c r="O128" s="7"/>
      <c r="P128" s="7"/>
      <c r="Q128" s="22"/>
      <c r="R128" s="190"/>
      <c r="S128" s="196">
        <f t="shared" si="62"/>
        <v>1</v>
      </c>
      <c r="T128" s="190" t="str">
        <f t="shared" si="38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9"/>
        <v>https://d0f6bd738d7f1b3e5a7ca70fe4ff75f0.us-east-1.aws.found.io/app/kibana#/discover/Steve-Slow-Train-Analysis-(2080s-and-2083s)?_g=(refreshInterval:(display:Off,pause:!f,section:0,value:0),time:(from:'2017-05-10T17:00:46-0600',mode:absolute,to:'2017-05-10T19:43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8" s="192" t="str">
        <f t="shared" si="40"/>
        <v>N</v>
      </c>
      <c r="X128" s="192">
        <f t="shared" si="54"/>
        <v>1</v>
      </c>
      <c r="Y128" s="192">
        <f t="shared" si="59"/>
        <v>0.05</v>
      </c>
      <c r="Z128" s="192">
        <f t="shared" si="60"/>
        <v>23.332000000000001</v>
      </c>
      <c r="AA128" s="192">
        <f t="shared" si="43"/>
        <v>23.282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4"/>
        <v>0215-10</v>
      </c>
      <c r="AE128" s="80" t="str">
        <f t="shared" si="45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128" s="77" t="str">
        <f t="shared" si="46"/>
        <v>"C:\Program Files (x86)\AstroGrep\AstroGrep.exe" /e /r /s /spath="%USERPROFILE%\AppData\Local\Temp\OnboardLogs" /stypes="app*4028*20170511*" /stext=" 00:.+((SYSTEM_STATE.+slice.+state.+changed )|(ment ac)|(multiple cpu faults)|(system.+state.+changed )|(\[timeout)|(PRM\|1\|D)|(kpr)|(kdp)|(train st.+moving)|(\|lc)|(penalty))"</v>
      </c>
      <c r="AG128" s="1" t="str">
        <f t="shared" si="47"/>
        <v>EC</v>
      </c>
      <c r="AH128" s="81" t="str">
        <f t="shared" si="30"/>
        <v>"%USERPROFILE%\Documents\GitHub\eaglep3\Utilities\RefineRTDCRunTimes.py" --tripid 215-10 --locoid 4028 --swversion DE.1.0.9.0 --startMP 204:500 --initTime 2017-05-10T18:00:46 --startdatetime 2017-05-10T18:02:53 --delay 1 --endMP 204:233320 --enddatetime 2017-05-10T18:43:27 --enforcementcount 0 &gt;&gt;C:\Users\stu\Documents\GitHub\eaglep3-reporting\EC\2017-05-10-refined-times.txt</v>
      </c>
      <c r="AI128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{"issue":{"subject":"","project_id":79,"tracker_id":40,"status_id":1,"priority_id":2,"assigned_to_id":23,"start_date":"2017-05-10","description":"","custom_fields":[{"id":1,"name":"Subdivision","value":"EC"},{"id":4,"name":"Milepost","value":"23.332"},{"id":17,"name":"Train ID","value":"215-10"},{"id":16,"name":"Locomotive ID","value":"4028"},{"id":130,"name":"Impact","value":""},{"id":150,"name":"Time of Event (Mountain Time)","value":"18:43:27"},{"id":151,"name":"Denver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32"/>
        <v>start /low /b %USERPROFILE%\Documents\GitHub\eaglep3\Utilities\DownloadLogsFromS3.py --loco 4028 --day 2017-05-10</v>
      </c>
      <c r="AN128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00:43:27"},{"id":29,"name":"Sharepoint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766</v>
      </c>
      <c r="B129" s="7">
        <v>4027</v>
      </c>
      <c r="C129" s="21" t="s">
        <v>206</v>
      </c>
      <c r="D129" s="21" t="s">
        <v>835</v>
      </c>
      <c r="E129" s="13">
        <v>42865.787361111114</v>
      </c>
      <c r="F129" s="13">
        <v>42865.789849537039</v>
      </c>
      <c r="G129" s="7">
        <v>2</v>
      </c>
      <c r="H129" s="21" t="s">
        <v>368</v>
      </c>
      <c r="I129" s="13">
        <v>42865.818692129629</v>
      </c>
      <c r="J129" s="7">
        <v>0</v>
      </c>
      <c r="K129" s="92" t="str">
        <f t="shared" si="34"/>
        <v>4027/4028</v>
      </c>
      <c r="L129" s="21" t="str">
        <f>VLOOKUP(A129,'Trips&amp;Operators'!$C$1:$G$99999,5,FALSE)</f>
        <v>THOMPSON LESTER</v>
      </c>
      <c r="M129" s="6">
        <f t="shared" si="35"/>
        <v>2.884259259008104E-2</v>
      </c>
      <c r="N129" s="7">
        <f t="shared" si="61"/>
        <v>41.533333329716697</v>
      </c>
      <c r="O129" s="7"/>
      <c r="P129" s="7"/>
      <c r="Q129" s="22"/>
      <c r="R129" s="190"/>
      <c r="S129" s="196">
        <f t="shared" si="62"/>
        <v>1</v>
      </c>
      <c r="T129" s="190" t="str">
        <f t="shared" si="38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9"/>
        <v>https://d0f6bd738d7f1b3e5a7ca70fe4ff75f0.us-east-1.aws.found.io/app/kibana#/discover/Steve-Slow-Train-Analysis-(2080s-and-2083s)?_g=(refreshInterval:(display:Off,pause:!f,section:0,value:0),time:(from:'2017-05-10T17:53:48-0600',mode:absolute,to:'2017-05-10T20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9" s="192" t="str">
        <f t="shared" si="40"/>
        <v>N</v>
      </c>
      <c r="X129" s="192">
        <f t="shared" si="54"/>
        <v>1</v>
      </c>
      <c r="Y129" s="192">
        <f t="shared" si="59"/>
        <v>23.3003</v>
      </c>
      <c r="Z129" s="192">
        <f t="shared" si="60"/>
        <v>1.5599999999999999E-2</v>
      </c>
      <c r="AA129" s="192">
        <f t="shared" si="43"/>
        <v>23.284700000000001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4"/>
        <v>0216-10</v>
      </c>
      <c r="AE129" s="80" t="str">
        <f t="shared" si="45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129" s="77" t="str">
        <f t="shared" si="46"/>
        <v>"C:\Program Files (x86)\AstroGrep\AstroGrep.exe" /e /r /s /spath="%USERPROFILE%\AppData\Local\Temp\OnboardLogs" /stypes="app*4027*20170511*" /stext=" 01:.+((SYSTEM_STATE.+slice.+state.+changed )|(ment ac)|(multiple cpu faults)|(system.+state.+changed )|(\[timeout)|(PRM\|1\|D)|(kpr)|(kdp)|(train st.+moving)|(\|lc)|(penalty))"</v>
      </c>
      <c r="AG129" s="1" t="str">
        <f t="shared" si="47"/>
        <v>EC</v>
      </c>
      <c r="AH129" s="81" t="str">
        <f t="shared" si="30"/>
        <v>"%USERPROFILE%\Documents\GitHub\eaglep3\Utilities\RefineRTDCRunTimes.py" --tripid 216-10 --locoid 4027 --swversion DE.1.0.9.0 --startMP 204:233003 --initTime 2017-05-10T18:53:48 --startdatetime 2017-05-10T18:57:23 --delay 2 --endMP 204:156 --enddatetime 2017-05-10T19:38:55 --enforcementcount 0 &gt;&gt;C:\Users\stu\Documents\GitHub\eaglep3-reporting\EC\2017-05-10-refined-times.txt</v>
      </c>
      <c r="AI129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{"issue":{"subject":"","project_id":79,"tracker_id":40,"status_id":1,"priority_id":2,"assigned_to_id":23,"start_date":"2017-05-10","description":"","custom_fields":[{"id":1,"name":"Subdivision","value":"EC"},{"id":4,"name":"Milepost","value":"0.0156"},{"id":17,"name":"Train ID","value":"216-10"},{"id":16,"name":"Locomotive ID","value":"4027"},{"id":130,"name":"Impact","value":""},{"id":150,"name":"Time of Event (Mountain Time)","value":"19:38:55"},{"id":151,"name":"Denver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32"/>
        <v>start /low /b %USERPROFILE%\Documents\GitHub\eaglep3\Utilities\DownloadLogsFromS3.py --loco 4027 --day 2017-05-10</v>
      </c>
      <c r="AN129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760</v>
      </c>
      <c r="B130" s="7">
        <v>4012</v>
      </c>
      <c r="C130" s="21" t="s">
        <v>206</v>
      </c>
      <c r="D130" s="21" t="s">
        <v>355</v>
      </c>
      <c r="E130" s="13">
        <v>42865.759074074071</v>
      </c>
      <c r="F130" s="13">
        <v>42865.760706018518</v>
      </c>
      <c r="G130" s="7">
        <v>1</v>
      </c>
      <c r="H130" s="21" t="s">
        <v>886</v>
      </c>
      <c r="I130" s="13">
        <v>42865.786793981482</v>
      </c>
      <c r="J130" s="7">
        <v>0</v>
      </c>
      <c r="K130" s="92" t="str">
        <f t="shared" si="34"/>
        <v>4011/4012</v>
      </c>
      <c r="L130" s="21" t="str">
        <f>VLOOKUP(A130,'Trips&amp;Operators'!$C$1:$G$99999,5,FALSE)</f>
        <v>BROWN JACOB</v>
      </c>
      <c r="M130" s="6">
        <f t="shared" si="35"/>
        <v>2.6087962964083999E-2</v>
      </c>
      <c r="N130" s="7">
        <f t="shared" si="61"/>
        <v>37.566666668280959</v>
      </c>
      <c r="O130" s="7"/>
      <c r="P130" s="7"/>
      <c r="Q130" s="22"/>
      <c r="R130" s="190" t="s">
        <v>1033</v>
      </c>
      <c r="S130" s="196">
        <f t="shared" si="62"/>
        <v>1</v>
      </c>
      <c r="T130" s="190" t="str">
        <f t="shared" si="38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9"/>
        <v>https://d0f6bd738d7f1b3e5a7ca70fe4ff75f0.us-east-1.aws.found.io/app/kibana#/discover/Steve-Slow-Train-Analysis-(2080s-and-2083s)?_g=(refreshInterval:(display:Off,pause:!f,section:0,value:0),time:(from:'2017-05-10T17:13:04-0600',mode:absolute,to:'2017-05-10T19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192" t="str">
        <f t="shared" si="40"/>
        <v>Y</v>
      </c>
      <c r="X130" s="192">
        <f t="shared" si="54"/>
        <v>1</v>
      </c>
      <c r="Y130" s="192">
        <f t="shared" si="59"/>
        <v>4.58E-2</v>
      </c>
      <c r="Z130" s="192">
        <f t="shared" si="60"/>
        <v>22.810099999999998</v>
      </c>
      <c r="AA130" s="192">
        <f t="shared" si="43"/>
        <v>22.764299999999999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4"/>
        <v>0217-10</v>
      </c>
      <c r="AE130" s="80" t="str">
        <f t="shared" si="45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130" s="77" t="str">
        <f t="shared" si="46"/>
        <v>"C:\Program Files (x86)\AstroGrep\AstroGrep.exe" /e /r /s /spath="%USERPROFILE%\AppData\Local\Temp\OnboardLogs" /stypes="app*4012*20170511*" /stext=" 00:.+((SYSTEM_STATE.+slice.+state.+changed )|(ment ac)|(multiple cpu faults)|(system.+state.+changed )|(\[timeout)|(PRM\|1\|D)|(kpr)|(kdp)|(train st.+moving)|(\|lc)|(penalty))"</v>
      </c>
      <c r="AG130" s="1" t="str">
        <f t="shared" si="47"/>
        <v>EC</v>
      </c>
      <c r="AH130" s="81" t="str">
        <f t="shared" si="30"/>
        <v>"%USERPROFILE%\Documents\GitHub\eaglep3\Utilities\RefineRTDCRunTimes.py" --tripid 217-10 --locoid 4012 --swversion DE.1.0.9.0 --startMP 204:458 --initTime 2017-05-10T18:13:04 --startdatetime 2017-05-10T18:15:25 --delay 1 --endMP 204:228101 --enddatetime 2017-05-10T18:52:59 --enforcementcount 0 &gt;&gt;C:\Users\stu\Documents\GitHub\eaglep3-reporting\EC\2017-05-10-refined-times.txt</v>
      </c>
      <c r="AI130" s="99" t="str">
        <f t="shared" si="31"/>
        <v>echo {"issue":{"subject":"DTO barricade test","project_id":79,"tracker_id":40,"status_id":1,"priority_id":2,"assigned_to_id":23,"start_date":"2017-05-10","description":"","custom_fields":[{"id":1,"name":"Subdivision","value":"EC"},{"id":4,"name":"Milepost","value":"22.8101"},{"id":17,"name":"Train ID","value":"217-10"},{"id":16,"name":"Locomotive ID","value":"4012"},{"id":130,"name":"Impact","value":""},{"id":150,"name":"Time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32"/>
        <v>start /low /b %USERPROFILE%\Documents\GitHub\eaglep3\Utilities\DownloadLogsFromS3.py --loco 4012 --day 2017-05-10</v>
      </c>
      <c r="AN130" s="154" t="str">
        <f t="shared" si="33"/>
        <v>echo {"issue":{"subject":"DTO barricade test","project_id":30,"tracker_id":4,"status_id":1,"priority_id":1,"assigned_to_id":10,"start_date":"2017-05-11","description":"","custom_fields":[{"id":30,"name":"Category","value":"Issue"},{"id":3,"name":"Functional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773</v>
      </c>
      <c r="B131" s="7">
        <v>4011</v>
      </c>
      <c r="C131" s="21" t="s">
        <v>206</v>
      </c>
      <c r="D131" s="21" t="s">
        <v>533</v>
      </c>
      <c r="E131" s="13">
        <v>42865.796365740738</v>
      </c>
      <c r="F131" s="13">
        <v>42865.799479166664</v>
      </c>
      <c r="G131" s="7">
        <v>1</v>
      </c>
      <c r="H131" s="21" t="s">
        <v>377</v>
      </c>
      <c r="I131" s="13">
        <v>42865.826145833336</v>
      </c>
      <c r="J131" s="7">
        <v>0</v>
      </c>
      <c r="K131" s="92" t="str">
        <f t="shared" si="34"/>
        <v>4011/4012</v>
      </c>
      <c r="L131" s="21" t="str">
        <f>VLOOKUP(A131,'Trips&amp;Operators'!$C$1:$G$99999,5,FALSE)</f>
        <v>BROWN JACOB</v>
      </c>
      <c r="M131" s="6">
        <f t="shared" si="35"/>
        <v>2.6666666672099382E-2</v>
      </c>
      <c r="N131" s="7">
        <f t="shared" si="61"/>
        <v>38.40000000782311</v>
      </c>
      <c r="O131" s="7"/>
      <c r="P131" s="7"/>
      <c r="Q131" s="22"/>
      <c r="R131" s="190"/>
      <c r="S131" s="196">
        <f t="shared" si="62"/>
        <v>1</v>
      </c>
      <c r="T131" s="190" t="str">
        <f t="shared" si="38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9"/>
        <v>https://d0f6bd738d7f1b3e5a7ca70fe4ff75f0.us-east-1.aws.found.io/app/kibana#/discover/Steve-Slow-Train-Analysis-(2080s-and-2083s)?_g=(refreshInterval:(display:Off,pause:!f,section:0,value:0),time:(from:'2017-05-10T18:06:46-0600',mode:absolute,to:'2017-05-10T20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192" t="str">
        <f t="shared" si="40"/>
        <v>N</v>
      </c>
      <c r="X131" s="192">
        <f t="shared" si="54"/>
        <v>1</v>
      </c>
      <c r="Y131" s="192">
        <f t="shared" si="59"/>
        <v>23.301500000000001</v>
      </c>
      <c r="Z131" s="192">
        <f t="shared" si="60"/>
        <v>1.47E-2</v>
      </c>
      <c r="AA131" s="192">
        <f t="shared" si="43"/>
        <v>23.286799999999999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4"/>
        <v>0218-10</v>
      </c>
      <c r="AE131" s="80" t="str">
        <f t="shared" si="45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131" s="77" t="str">
        <f t="shared" si="46"/>
        <v>"C:\Program Files (x86)\AstroGrep\AstroGrep.exe" /e /r /s /spath="%USERPROFILE%\AppData\Local\Temp\OnboardLogs" /stypes="app*4011*20170511*" /stext=" 01:.+((SYSTEM_STATE.+slice.+state.+changed )|(ment ac)|(multiple cpu faults)|(system.+state.+changed )|(\[timeout)|(PRM\|1\|D)|(kpr)|(kdp)|(train st.+moving)|(\|lc)|(penalty))"</v>
      </c>
      <c r="AG131" s="1" t="str">
        <f t="shared" si="47"/>
        <v>EC</v>
      </c>
      <c r="AH131" s="81" t="str">
        <f t="shared" si="30"/>
        <v>"%USERPROFILE%\Documents\GitHub\eaglep3\Utilities\RefineRTDCRunTimes.py" --tripid 218-10 --locoid 4011 --swversion DE.1.0.9.0 --startMP 204:233015 --initTime 2017-05-10T19:06:46 --startdatetime 2017-05-10T19:11:15 --delay 1 --endMP 204:147 --enddatetime 2017-05-10T19:49:39 --enforcementcount 0 &gt;&gt;C:\Users\stu\Documents\GitHub\eaglep3-reporting\EC\2017-05-10-refined-times.txt</v>
      </c>
      <c r="AI131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{"issue":{"subject":"","project_id":79,"tracker_id":40,"status_id":1,"priority_id":2,"assigned_to_id":23,"start_date":"2017-05-10","description":"","custom_fields":[{"id":1,"name":"Subdivision","value":"EC"},{"id":4,"name":"Milepost","value":"0.0147"},{"id":17,"name":"Train ID","value":"218-10"},{"id":16,"name":"Locomotive ID","value":"4011"},{"id":130,"name":"Impact","value":""},{"id":150,"name":"Time of Event (Mountain Time)","value":"19:49:39"},{"id":151,"name":"Denver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32"/>
        <v>start /low /b %USERPROFILE%\Documents\GitHub\eaglep3\Utilities\DownloadLogsFromS3.py --loco 4011 --day 2017-05-10</v>
      </c>
      <c r="AN131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761</v>
      </c>
      <c r="B132" s="7">
        <v>4018</v>
      </c>
      <c r="C132" s="21" t="s">
        <v>206</v>
      </c>
      <c r="D132" s="21" t="s">
        <v>203</v>
      </c>
      <c r="E132" s="13">
        <v>42865.767164351855</v>
      </c>
      <c r="F132" s="13">
        <v>42865.770983796298</v>
      </c>
      <c r="G132" s="7">
        <v>1</v>
      </c>
      <c r="H132" s="21" t="s">
        <v>387</v>
      </c>
      <c r="I132" s="13">
        <v>42865.795486111114</v>
      </c>
      <c r="J132" s="7">
        <v>0</v>
      </c>
      <c r="K132" s="92" t="str">
        <f t="shared" si="34"/>
        <v>4017/4018</v>
      </c>
      <c r="L132" s="21" t="str">
        <f>VLOOKUP(A132,'Trips&amp;Operators'!$C$1:$G$99999,5,FALSE)</f>
        <v>NEWELL JAMES</v>
      </c>
      <c r="M132" s="6">
        <f t="shared" si="35"/>
        <v>2.4502314816345461E-2</v>
      </c>
      <c r="N132" s="7">
        <f t="shared" si="61"/>
        <v>35.283333335537463</v>
      </c>
      <c r="O132" s="7"/>
      <c r="P132" s="7"/>
      <c r="Q132" s="22"/>
      <c r="R132" s="190"/>
      <c r="S132" s="196">
        <f t="shared" si="62"/>
        <v>1</v>
      </c>
      <c r="T132" s="190" t="str">
        <f t="shared" si="38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9"/>
        <v>https://d0f6bd738d7f1b3e5a7ca70fe4ff75f0.us-east-1.aws.found.io/app/kibana#/discover/Steve-Slow-Train-Analysis-(2080s-and-2083s)?_g=(refreshInterval:(display:Off,pause:!f,section:0,value:0),time:(from:'2017-05-10T17:24:43-0600',mode:absolute,to:'2017-05-10T20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192" t="str">
        <f t="shared" si="40"/>
        <v>N</v>
      </c>
      <c r="X132" s="192">
        <f t="shared" si="54"/>
        <v>1</v>
      </c>
      <c r="Y132" s="192">
        <f t="shared" ref="Y132:Y163" si="63">RIGHT(D132,LEN(D132)-4)/10000</f>
        <v>4.5999999999999999E-2</v>
      </c>
      <c r="Z132" s="192">
        <f t="shared" ref="Z132:Z163" si="64">RIGHT(H132,LEN(H132)-4)/10000</f>
        <v>23.329699999999999</v>
      </c>
      <c r="AA132" s="192">
        <f t="shared" si="43"/>
        <v>23.2837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4"/>
        <v>0219-10</v>
      </c>
      <c r="AE132" s="80" t="str">
        <f t="shared" si="45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132" s="77" t="str">
        <f t="shared" si="46"/>
        <v>"C:\Program Files (x86)\AstroGrep\AstroGrep.exe" /e /r /s /spath="%USERPROFILE%\AppData\Local\Temp\OnboardLogs" /stypes="app*4018*20170511*" /stext=" 01:.+((SYSTEM_STATE.+slice.+state.+changed )|(ment ac)|(multiple cpu faults)|(system.+state.+changed )|(\[timeout)|(PRM\|1\|D)|(kpr)|(kdp)|(train st.+moving)|(\|lc)|(penalty))"</v>
      </c>
      <c r="AG132" s="1" t="str">
        <f t="shared" si="47"/>
        <v>EC</v>
      </c>
      <c r="AH132" s="81" t="str">
        <f t="shared" si="30"/>
        <v>"%USERPROFILE%\Documents\GitHub\eaglep3\Utilities\RefineRTDCRunTimes.py" --tripid 219-10 --locoid 4018 --swversion DE.1.0.9.0 --startMP 204:460 --initTime 2017-05-10T18:24:43 --startdatetime 2017-05-10T18:30:13 --delay 1 --endMP 204:233297 --enddatetime 2017-05-10T19:05:30 --enforcementcount 0 &gt;&gt;C:\Users\stu\Documents\GitHub\eaglep3-reporting\EC\2017-05-10-refined-times.txt</v>
      </c>
      <c r="AI132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{"issue":{"subject":"","project_id":79,"tracker_id":40,"status_id":1,"priority_id":2,"assigned_to_id":23,"start_date":"2017-05-10","description":"","custom_fields":[{"id":1,"name":"Subdivision","value":"EC"},{"id":4,"name":"Milepost","value":"23.3297"},{"id":17,"name":"Train ID","value":"219-10"},{"id":16,"name":"Locomotive ID","value":"4018"},{"id":130,"name":"Impact","value":""},{"id":150,"name":"Time of Event (Mountain Time)","value":"19:05:30"},{"id":151,"name":"Denver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32"/>
        <v>start /low /b %USERPROFILE%\Documents\GitHub\eaglep3\Utilities\DownloadLogsFromS3.py --loco 4018 --day 2017-05-10</v>
      </c>
      <c r="AN132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776</v>
      </c>
      <c r="B133" s="7">
        <v>4017</v>
      </c>
      <c r="C133" s="21" t="s">
        <v>206</v>
      </c>
      <c r="D133" s="21" t="s">
        <v>822</v>
      </c>
      <c r="E133" s="13">
        <v>42865.801041666666</v>
      </c>
      <c r="F133" s="13">
        <v>42865.809884259259</v>
      </c>
      <c r="G133" s="7">
        <v>1</v>
      </c>
      <c r="H133" s="21" t="s">
        <v>354</v>
      </c>
      <c r="I133" s="13">
        <v>42865.836261574077</v>
      </c>
      <c r="J133" s="7">
        <v>0</v>
      </c>
      <c r="K133" s="92" t="str">
        <f t="shared" si="34"/>
        <v>4017/4018</v>
      </c>
      <c r="L133" s="21" t="str">
        <f>VLOOKUP(A133,'Trips&amp;Operators'!$C$1:$G$99999,5,FALSE)</f>
        <v>NEWELL JAMES</v>
      </c>
      <c r="M133" s="6">
        <f t="shared" si="35"/>
        <v>2.6377314818091691E-2</v>
      </c>
      <c r="N133" s="7">
        <f t="shared" si="61"/>
        <v>37.983333338052034</v>
      </c>
      <c r="O133" s="7"/>
      <c r="P133" s="7"/>
      <c r="Q133" s="22"/>
      <c r="R133" s="190"/>
      <c r="S133" s="196">
        <f t="shared" si="62"/>
        <v>1</v>
      </c>
      <c r="T133" s="190" t="str">
        <f t="shared" si="38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9"/>
        <v>https://d0f6bd738d7f1b3e5a7ca70fe4ff75f0.us-east-1.aws.found.io/app/kibana#/discover/Steve-Slow-Train-Analysis-(2080s-and-2083s)?_g=(refreshInterval:(display:Off,pause:!f,section:0,value:0),time:(from:'2017-05-10T18:13:30-0600',mode:absolute,to:'2017-05-10T21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192" t="str">
        <f t="shared" si="40"/>
        <v>N</v>
      </c>
      <c r="X133" s="192">
        <f t="shared" si="54"/>
        <v>1</v>
      </c>
      <c r="Y133" s="192">
        <f t="shared" si="63"/>
        <v>23.296900000000001</v>
      </c>
      <c r="Z133" s="192">
        <f t="shared" si="64"/>
        <v>1.6E-2</v>
      </c>
      <c r="AA133" s="192">
        <f t="shared" si="43"/>
        <v>23.280900000000003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4"/>
        <v>0220-10</v>
      </c>
      <c r="AE133" s="80" t="str">
        <f t="shared" si="45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133" s="77" t="str">
        <f t="shared" si="46"/>
        <v>"C:\Program Files (x86)\AstroGrep\AstroGrep.exe" /e /r /s /spath="%USERPROFILE%\AppData\Local\Temp\OnboardLogs" /stypes="app*4017*20170511*" /stext=" 02:.+((SYSTEM_STATE.+slice.+state.+changed )|(ment ac)|(multiple cpu faults)|(system.+state.+changed )|(\[timeout)|(PRM\|1\|D)|(kpr)|(kdp)|(train st.+moving)|(\|lc)|(penalty))"</v>
      </c>
      <c r="AG133" s="1" t="str">
        <f t="shared" si="47"/>
        <v>EC</v>
      </c>
      <c r="AH133" s="81" t="str">
        <f t="shared" si="30"/>
        <v>"%USERPROFILE%\Documents\GitHub\eaglep3\Utilities\RefineRTDCRunTimes.py" --tripid 220-10 --locoid 4017 --swversion DE.1.0.9.0 --startMP 204:232969 --initTime 2017-05-10T19:13:30 --startdatetime 2017-05-10T19:26:14 --delay 1 --endMP 204:160 --enddatetime 2017-05-10T20:04:13 --enforcementcount 0 &gt;&gt;C:\Users\stu\Documents\GitHub\eaglep3-reporting\EC\2017-05-10-refined-times.txt</v>
      </c>
      <c r="AI133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{"issue":{"subject":"","project_id":79,"tracker_id":40,"status_id":1,"priority_id":2,"assigned_to_id":23,"start_date":"2017-05-10","description":"","custom_fields":[{"id":1,"name":"Subdivision","value":"EC"},{"id":4,"name":"Milepost","value":"0.016"},{"id":17,"name":"Train ID","value":"220-10"},{"id":16,"name":"Locomotive ID","value":"4017"},{"id":130,"name":"Impact","value":""},{"id":150,"name":"Time of Event (Mountain Time)","value":"20:04:13"},{"id":151,"name":"Denver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32"/>
        <v>start /low /b %USERPROFILE%\Documents\GitHub\eaglep3\Utilities\DownloadLogsFromS3.py --loco 4017 --day 2017-05-10</v>
      </c>
      <c r="AN133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767</v>
      </c>
      <c r="B134" s="7">
        <v>4040</v>
      </c>
      <c r="C134" s="21" t="s">
        <v>206</v>
      </c>
      <c r="D134" s="21" t="s">
        <v>477</v>
      </c>
      <c r="E134" s="13">
        <v>42865.788148148145</v>
      </c>
      <c r="F134" s="13">
        <v>42865.791967592595</v>
      </c>
      <c r="G134" s="7">
        <v>2</v>
      </c>
      <c r="H134" s="21" t="s">
        <v>522</v>
      </c>
      <c r="I134" s="13">
        <v>42865.817939814813</v>
      </c>
      <c r="J134" s="7">
        <v>0</v>
      </c>
      <c r="K134" s="92" t="str">
        <f t="shared" si="34"/>
        <v>4039/4040</v>
      </c>
      <c r="L134" s="21" t="str">
        <f>VLOOKUP(A134,'Trips&amp;Operators'!$C$1:$G$99999,5,FALSE)</f>
        <v>JACKSON WILLIAM</v>
      </c>
      <c r="M134" s="6">
        <f t="shared" si="35"/>
        <v>2.5972222218115348E-2</v>
      </c>
      <c r="N134" s="7">
        <f t="shared" si="61"/>
        <v>37.399999994086102</v>
      </c>
      <c r="O134" s="7"/>
      <c r="P134" s="7"/>
      <c r="Q134" s="22"/>
      <c r="R134" s="190"/>
      <c r="S134" s="196">
        <f t="shared" si="62"/>
        <v>1</v>
      </c>
      <c r="T134" s="190" t="str">
        <f t="shared" si="38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9"/>
        <v>https://d0f6bd738d7f1b3e5a7ca70fe4ff75f0.us-east-1.aws.found.io/app/kibana#/discover/Steve-Slow-Train-Analysis-(2080s-and-2083s)?_g=(refreshInterval:(display:Off,pause:!f,section:0,value:0),time:(from:'2017-05-10T17:54:56-0600',mode:absolute,to:'2017-05-10T20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4" s="192" t="str">
        <f t="shared" si="40"/>
        <v>N</v>
      </c>
      <c r="X134" s="192">
        <f t="shared" si="54"/>
        <v>1</v>
      </c>
      <c r="Y134" s="192">
        <f t="shared" si="63"/>
        <v>4.7699999999999999E-2</v>
      </c>
      <c r="Z134" s="192">
        <f t="shared" si="64"/>
        <v>23.334399999999999</v>
      </c>
      <c r="AA134" s="192">
        <f t="shared" si="43"/>
        <v>23.2867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4"/>
        <v>0221-10</v>
      </c>
      <c r="AE134" s="80" t="str">
        <f t="shared" si="45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134" s="77" t="str">
        <f t="shared" si="46"/>
        <v>"C:\Program Files (x86)\AstroGrep\AstroGrep.exe" /e /r /s /spath="%USERPROFILE%\AppData\Local\Temp\OnboardLogs" /stypes="app*4040*20170511*" /stext=" 01:.+((SYSTEM_STATE.+slice.+state.+changed )|(ment ac)|(multiple cpu faults)|(system.+state.+changed )|(\[timeout)|(PRM\|1\|D)|(kpr)|(kdp)|(train st.+moving)|(\|lc)|(penalty))"</v>
      </c>
      <c r="AG134" s="1" t="str">
        <f t="shared" si="47"/>
        <v>EC</v>
      </c>
      <c r="AH134" s="81" t="str">
        <f t="shared" si="30"/>
        <v>"%USERPROFILE%\Documents\GitHub\eaglep3\Utilities\RefineRTDCRunTimes.py" --tripid 221-10 --locoid 4040 --swversion DE.1.0.9.0 --startMP 204:477 --initTime 2017-05-10T18:54:56 --startdatetime 2017-05-10T19:00:26 --delay 2 --endMP 204:233344 --enddatetime 2017-05-10T19:37:50 --enforcementcount 0 &gt;&gt;C:\Users\stu\Documents\GitHub\eaglep3-reporting\EC\2017-05-10-refined-times.txt</v>
      </c>
      <c r="AI134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{"issue":{"subject":"","project_id":79,"tracker_id":40,"status_id":1,"priority_id":2,"assigned_to_id":23,"start_date":"2017-05-10","description":"","custom_fields":[{"id":1,"name":"Subdivision","value":"EC"},{"id":4,"name":"Milepost","value":"23.3344"},{"id":17,"name":"Train ID","value":"221-10"},{"id":16,"name":"Locomotive ID","value":"4040"},{"id":130,"name":"Impact","value":""},{"id":150,"name":"Time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32"/>
        <v>start /low /b %USERPROFILE%\Documents\GitHub\eaglep3\Utilities\DownloadLogsFromS3.py --loco 4040 --day 2017-05-10</v>
      </c>
      <c r="AN134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780</v>
      </c>
      <c r="B135" s="7">
        <v>4039</v>
      </c>
      <c r="C135" s="21" t="s">
        <v>206</v>
      </c>
      <c r="D135" s="21" t="s">
        <v>834</v>
      </c>
      <c r="E135" s="13">
        <v>42865.824155092596</v>
      </c>
      <c r="F135" s="13">
        <v>42865.830914351849</v>
      </c>
      <c r="G135" s="7">
        <v>1</v>
      </c>
      <c r="H135" s="21" t="s">
        <v>530</v>
      </c>
      <c r="I135" s="13">
        <v>42865.859583333331</v>
      </c>
      <c r="J135" s="7">
        <v>0</v>
      </c>
      <c r="K135" s="92" t="str">
        <f t="shared" si="34"/>
        <v>4039/4040</v>
      </c>
      <c r="L135" s="21" t="str">
        <f>VLOOKUP(A135,'Trips&amp;Operators'!$C$1:$G$99999,5,FALSE)</f>
        <v>JACKSON WILLIAM</v>
      </c>
      <c r="M135" s="6">
        <f t="shared" si="35"/>
        <v>2.8668981482042E-2</v>
      </c>
      <c r="N135" s="7">
        <f t="shared" si="61"/>
        <v>41.28333333414048</v>
      </c>
      <c r="O135" s="7"/>
      <c r="P135" s="7"/>
      <c r="Q135" s="22"/>
      <c r="R135" s="190"/>
      <c r="S135" s="196">
        <f t="shared" si="62"/>
        <v>1</v>
      </c>
      <c r="T135" s="190" t="str">
        <f t="shared" si="38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9"/>
        <v>https://d0f6bd738d7f1b3e5a7ca70fe4ff75f0.us-east-1.aws.found.io/app/kibana#/discover/Steve-Slow-Train-Analysis-(2080s-and-2083s)?_g=(refreshInterval:(display:Off,pause:!f,section:0,value:0),time:(from:'2017-05-10T18:46:47-0600',mode:absolute,to:'2017-05-10T21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5" s="192" t="str">
        <f t="shared" si="40"/>
        <v>N</v>
      </c>
      <c r="X135" s="192">
        <f t="shared" si="54"/>
        <v>1</v>
      </c>
      <c r="Y135" s="192">
        <f t="shared" si="63"/>
        <v>23.302499999999998</v>
      </c>
      <c r="Z135" s="192">
        <f t="shared" si="64"/>
        <v>1.6899999999999998E-2</v>
      </c>
      <c r="AA135" s="192">
        <f t="shared" si="43"/>
        <v>23.285599999999999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4"/>
        <v>0222-10</v>
      </c>
      <c r="AE135" s="80" t="str">
        <f t="shared" si="45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135" s="77" t="str">
        <f t="shared" si="46"/>
        <v>"C:\Program Files (x86)\AstroGrep\AstroGrep.exe" /e /r /s /spath="%USERPROFILE%\AppData\Local\Temp\OnboardLogs" /stypes="app*4039*20170511*" /stext=" 02:.+((SYSTEM_STATE.+slice.+state.+changed )|(ment ac)|(multiple cpu faults)|(system.+state.+changed )|(\[timeout)|(PRM\|1\|D)|(kpr)|(kdp)|(train st.+moving)|(\|lc)|(penalty))"</v>
      </c>
      <c r="AG135" s="1" t="str">
        <f t="shared" si="47"/>
        <v>EC</v>
      </c>
      <c r="AH135" s="81" t="str">
        <f t="shared" si="30"/>
        <v>"%USERPROFILE%\Documents\GitHub\eaglep3\Utilities\RefineRTDCRunTimes.py" --tripid 222-10 --locoid 4039 --swversion DE.1.0.9.0 --startMP 204:233025 --initTime 2017-05-10T19:46:47 --startdatetime 2017-05-10T19:56:31 --delay 1 --endMP 204:169 --enddatetime 2017-05-10T20:37:48 --enforcementcount 0 &gt;&gt;C:\Users\stu\Documents\GitHub\eaglep3-reporting\EC\2017-05-10-refined-times.txt</v>
      </c>
      <c r="AI135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{"issue":{"subject":"","project_id":79,"tracker_id":40,"status_id":1,"priority_id":2,"assigned_to_id":23,"start_date":"2017-05-10","description":"","custom_fields":[{"id":1,"name":"Subdivision","value":"EC"},{"id":4,"name":"Milepost","value":"0.0169"},{"id":17,"name":"Train ID","value":"222-10"},{"id":16,"name":"Locomotive ID","value":"4039"},{"id":130,"name":"Impact","value":""},{"id":150,"name":"Time of Event (Mountain Time)","value":"20:37:48"},{"id":151,"name":"Denver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32"/>
        <v>start /low /b %USERPROFILE%\Documents\GitHub\eaglep3\Utilities\DownloadLogsFromS3.py --loco 4039 --day 2017-05-10</v>
      </c>
      <c r="AN135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777</v>
      </c>
      <c r="B136" s="7">
        <v>4032</v>
      </c>
      <c r="C136" s="21" t="s">
        <v>206</v>
      </c>
      <c r="D136" s="21" t="s">
        <v>468</v>
      </c>
      <c r="E136" s="13">
        <v>42865.809016203704</v>
      </c>
      <c r="F136" s="13">
        <v>42865.812881944446</v>
      </c>
      <c r="G136" s="7">
        <v>2</v>
      </c>
      <c r="H136" s="21" t="s">
        <v>525</v>
      </c>
      <c r="I136" s="13">
        <v>42865.83865740741</v>
      </c>
      <c r="J136" s="7">
        <v>0</v>
      </c>
      <c r="K136" s="92" t="str">
        <f t="shared" si="34"/>
        <v>4031/4032</v>
      </c>
      <c r="L136" s="21" t="str">
        <f>VLOOKUP(A136,'Trips&amp;Operators'!$C$1:$G$99999,5,FALSE)</f>
        <v>ZEWDU DEREJE</v>
      </c>
      <c r="M136" s="6">
        <f t="shared" si="35"/>
        <v>2.5775462963792961E-2</v>
      </c>
      <c r="N136" s="7">
        <f t="shared" si="61"/>
        <v>37.116666667861864</v>
      </c>
      <c r="O136" s="7"/>
      <c r="P136" s="7"/>
      <c r="Q136" s="22"/>
      <c r="R136" s="190"/>
      <c r="S136" s="196">
        <f t="shared" si="62"/>
        <v>1</v>
      </c>
      <c r="T136" s="190" t="str">
        <f t="shared" si="38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9"/>
        <v>https://d0f6bd738d7f1b3e5a7ca70fe4ff75f0.us-east-1.aws.found.io/app/kibana#/discover/Steve-Slow-Train-Analysis-(2080s-and-2083s)?_g=(refreshInterval:(display:Off,pause:!f,section:0,value:0),time:(from:'2017-05-10T18:24:59-0600',mode:absolute,to:'2017-05-10T21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192" t="str">
        <f t="shared" si="40"/>
        <v>N</v>
      </c>
      <c r="X136" s="192">
        <f t="shared" ref="X136:X142" si="65">VALUE(LEFT(AD136,4))-VALUE(LEFT(AD135,4))</f>
        <v>1</v>
      </c>
      <c r="Y136" s="192">
        <f t="shared" si="63"/>
        <v>4.3299999999999998E-2</v>
      </c>
      <c r="Z136" s="192">
        <f t="shared" si="64"/>
        <v>23.332000000000001</v>
      </c>
      <c r="AA136" s="192">
        <f t="shared" si="43"/>
        <v>23.288700000000002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4"/>
        <v>0223-10</v>
      </c>
      <c r="AE136" s="80" t="str">
        <f t="shared" si="45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136" s="77" t="str">
        <f t="shared" si="46"/>
        <v>"C:\Program Files (x86)\AstroGrep\AstroGrep.exe" /e /r /s /spath="%USERPROFILE%\AppData\Local\Temp\OnboardLogs" /stypes="app*4032*20170511*" /stext=" 02:.+((SYSTEM_STATE.+slice.+state.+changed )|(ment ac)|(multiple cpu faults)|(system.+state.+changed )|(\[timeout)|(PRM\|1\|D)|(kpr)|(kdp)|(train st.+moving)|(\|lc)|(penalty))"</v>
      </c>
      <c r="AG136" s="1" t="str">
        <f t="shared" si="47"/>
        <v>EC</v>
      </c>
      <c r="AH136" s="81" t="str">
        <f t="shared" si="30"/>
        <v>"%USERPROFILE%\Documents\GitHub\eaglep3\Utilities\RefineRTDCRunTimes.py" --tripid 223-10 --locoid 4032 --swversion DE.1.0.9.0 --startMP 204:433 --initTime 2017-05-10T19:24:59 --startdatetime 2017-05-10T19:30:33 --delay 2 --endMP 204:233320 --enddatetime 2017-05-10T20:07:40 --enforcementcount 0 &gt;&gt;C:\Users\stu\Documents\GitHub\eaglep3-reporting\EC\2017-05-10-refined-times.txt</v>
      </c>
      <c r="AI136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{"issue":{"subject":"","project_id":79,"tracker_id":40,"status_id":1,"priority_id":2,"assigned_to_id":23,"start_date":"2017-05-10","description":"","custom_fields":[{"id":1,"name":"Subdivision","value":"EC"},{"id":4,"name":"Milepost","value":"23.332"},{"id":17,"name":"Train ID","value":"223-10"},{"id":16,"name":"Locomotive ID","value":"4032"},{"id":130,"name":"Impact","value":""},{"id":150,"name":"Time of Event (Mountain Time)","value":"20:07:40"},{"id":151,"name":"Denver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32"/>
        <v>start /low /b %USERPROFILE%\Documents\GitHub\eaglep3\Utilities\DownloadLogsFromS3.py --loco 4032 --day 2017-05-10</v>
      </c>
      <c r="AN136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786</v>
      </c>
      <c r="B137" s="7">
        <v>4031</v>
      </c>
      <c r="C137" s="21" t="s">
        <v>206</v>
      </c>
      <c r="D137" s="21" t="s">
        <v>517</v>
      </c>
      <c r="E137" s="13">
        <v>42865.844282407408</v>
      </c>
      <c r="F137" s="13">
        <v>42865.851631944446</v>
      </c>
      <c r="G137" s="7">
        <v>9</v>
      </c>
      <c r="H137" s="21" t="s">
        <v>887</v>
      </c>
      <c r="I137" s="13">
        <v>42865.879895833335</v>
      </c>
      <c r="J137" s="7">
        <v>0</v>
      </c>
      <c r="K137" s="92" t="str">
        <f t="shared" si="34"/>
        <v>4031/4032</v>
      </c>
      <c r="L137" s="21" t="str">
        <f>VLOOKUP(A137,'Trips&amp;Operators'!$C$1:$G$99999,5,FALSE)</f>
        <v>ZEWDU DEREJE</v>
      </c>
      <c r="M137" s="6">
        <f t="shared" si="35"/>
        <v>2.8263888889341615E-2</v>
      </c>
      <c r="N137" s="7">
        <f t="shared" si="61"/>
        <v>40.700000000651926</v>
      </c>
      <c r="O137" s="7"/>
      <c r="P137" s="7"/>
      <c r="Q137" s="22"/>
      <c r="R137" s="190"/>
      <c r="S137" s="196">
        <f t="shared" si="62"/>
        <v>1</v>
      </c>
      <c r="T137" s="190" t="str">
        <f t="shared" si="38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9"/>
        <v>https://d0f6bd738d7f1b3e5a7ca70fe4ff75f0.us-east-1.aws.found.io/app/kibana#/discover/Steve-Slow-Train-Analysis-(2080s-and-2083s)?_g=(refreshInterval:(display:Off,pause:!f,section:0,value:0),time:(from:'2017-05-10T19:15:46-0600',mode:absolute,to:'2017-05-10T22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7" s="192" t="str">
        <f t="shared" si="40"/>
        <v>N</v>
      </c>
      <c r="X137" s="192">
        <f t="shared" si="65"/>
        <v>1</v>
      </c>
      <c r="Y137" s="192">
        <f t="shared" si="63"/>
        <v>23.2988</v>
      </c>
      <c r="Z137" s="192">
        <f t="shared" si="64"/>
        <v>1.1900000000000001E-2</v>
      </c>
      <c r="AA137" s="192">
        <f t="shared" si="43"/>
        <v>23.286899999999999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4"/>
        <v>0224-10</v>
      </c>
      <c r="AE137" s="80" t="str">
        <f t="shared" si="45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137" s="77" t="str">
        <f t="shared" si="46"/>
        <v>"C:\Program Files (x86)\AstroGrep\AstroGrep.exe" /e /r /s /spath="%USERPROFILE%\AppData\Local\Temp\OnboardLogs" /stypes="app*4031*20170511*" /stext=" 03:.+((SYSTEM_STATE.+slice.+state.+changed )|(ment ac)|(multiple cpu faults)|(system.+state.+changed )|(\[timeout)|(PRM\|1\|D)|(kpr)|(kdp)|(train st.+moving)|(\|lc)|(penalty))"</v>
      </c>
      <c r="AG137" s="1" t="str">
        <f t="shared" si="47"/>
        <v>EC</v>
      </c>
      <c r="AH137" s="81" t="str">
        <f t="shared" si="30"/>
        <v>"%USERPROFILE%\Documents\GitHub\eaglep3\Utilities\RefineRTDCRunTimes.py" --tripid 224-10 --locoid 4031 --swversion DE.1.0.9.0 --startMP 204:232988 --initTime 2017-05-10T20:15:46 --startdatetime 2017-05-10T20:26:21 --delay 9 --endMP 204:119 --enddatetime 2017-05-10T21:07:03 --enforcementcount 0 &gt;&gt;C:\Users\stu\Documents\GitHub\eaglep3-reporting\EC\2017-05-10-refined-times.txt</v>
      </c>
      <c r="AI137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{"issue":{"subject":"","project_id":79,"tracker_id":40,"status_id":1,"priority_id":2,"assigned_to_id":23,"start_date":"2017-05-10","description":"","custom_fields":[{"id":1,"name":"Subdivision","value":"EC"},{"id":4,"name":"Milepost","value":"0.0119"},{"id":17,"name":"Train ID","value":"224-10"},{"id":16,"name":"Locomotive ID","value":"4031"},{"id":130,"name":"Impact","value":""},{"id":150,"name":"Time of Event (Mountain Time)","value":"21:07:03"},{"id":151,"name":"Denver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32"/>
        <v>start /low /b %USERPROFILE%\Documents\GitHub\eaglep3\Utilities\DownloadLogsFromS3.py --loco 4031 --day 2017-05-10</v>
      </c>
      <c r="AN137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781</v>
      </c>
      <c r="B138" s="7">
        <v>4012</v>
      </c>
      <c r="C138" s="21" t="s">
        <v>206</v>
      </c>
      <c r="D138" s="21" t="s">
        <v>367</v>
      </c>
      <c r="E138" s="13">
        <v>42865.829016203701</v>
      </c>
      <c r="F138" s="13">
        <v>42865.833564814813</v>
      </c>
      <c r="G138" s="7">
        <v>1</v>
      </c>
      <c r="H138" s="21" t="s">
        <v>888</v>
      </c>
      <c r="I138" s="13">
        <v>42865.859386574077</v>
      </c>
      <c r="J138" s="7">
        <v>0</v>
      </c>
      <c r="K138" s="92" t="str">
        <f t="shared" si="34"/>
        <v>4011/4012</v>
      </c>
      <c r="L138" s="21" t="str">
        <f>VLOOKUP(A138,'Trips&amp;Operators'!$C$1:$G$99999,5,FALSE)</f>
        <v>BROWN JACOB</v>
      </c>
      <c r="M138" s="6">
        <f t="shared" si="35"/>
        <v>2.5821759263635613E-2</v>
      </c>
      <c r="N138" s="7">
        <f t="shared" si="61"/>
        <v>37.183333339635283</v>
      </c>
      <c r="O138" s="7"/>
      <c r="P138" s="7"/>
      <c r="Q138" s="22"/>
      <c r="R138" s="190"/>
      <c r="S138" s="196">
        <f t="shared" si="62"/>
        <v>1</v>
      </c>
      <c r="T138" s="190" t="str">
        <f t="shared" si="38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9"/>
        <v>https://d0f6bd738d7f1b3e5a7ca70fe4ff75f0.us-east-1.aws.found.io/app/kibana#/discover/Steve-Slow-Train-Analysis-(2080s-and-2083s)?_g=(refreshInterval:(display:Off,pause:!f,section:0,value:0),time:(from:'2017-05-10T18:53:47-0600',mode:absolute,to:'2017-05-10T21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192" t="str">
        <f t="shared" si="40"/>
        <v>N</v>
      </c>
      <c r="X138" s="192">
        <f t="shared" si="65"/>
        <v>1</v>
      </c>
      <c r="Y138" s="192">
        <f t="shared" si="63"/>
        <v>4.6399999999999997E-2</v>
      </c>
      <c r="Z138" s="192">
        <f t="shared" si="64"/>
        <v>23.332999999999998</v>
      </c>
      <c r="AA138" s="192">
        <f t="shared" si="43"/>
        <v>23.2866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4"/>
        <v>0225-10</v>
      </c>
      <c r="AE138" s="80" t="str">
        <f t="shared" si="45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138" s="77" t="str">
        <f t="shared" si="46"/>
        <v>"C:\Program Files (x86)\AstroGrep\AstroGrep.exe" /e /r /s /spath="%USERPROFILE%\AppData\Local\Temp\OnboardLogs" /stypes="app*4012*20170511*" /stext=" 02:.+((SYSTEM_STATE.+slice.+state.+changed )|(ment ac)|(multiple cpu faults)|(system.+state.+changed )|(\[timeout)|(PRM\|1\|D)|(kpr)|(kdp)|(train st.+moving)|(\|lc)|(penalty))"</v>
      </c>
      <c r="AG138" s="1" t="str">
        <f t="shared" si="47"/>
        <v>EC</v>
      </c>
      <c r="AH138" s="81" t="str">
        <f t="shared" si="30"/>
        <v>"%USERPROFILE%\Documents\GitHub\eaglep3\Utilities\RefineRTDCRunTimes.py" --tripid 225-10 --locoid 4012 --swversion DE.1.0.9.0 --startMP 204:464 --initTime 2017-05-10T19:53:47 --startdatetime 2017-05-10T20:00:20 --delay 1 --endMP 204:233330 --enddatetime 2017-05-10T20:37:31 --enforcementcount 0 &gt;&gt;C:\Users\stu\Documents\GitHub\eaglep3-reporting\EC\2017-05-10-refined-times.txt</v>
      </c>
      <c r="AI138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{"issue":{"subject":"","project_id":79,"tracker_id":40,"status_id":1,"priority_id":2,"assigned_to_id":23,"start_date":"2017-05-10","description":"","custom_fields":[{"id":1,"name":"Subdivision","value":"EC"},{"id":4,"name":"Milepost","value":"23.333"},{"id":17,"name":"Train ID","value":"225-10"},{"id":16,"name":"Locomotive ID","value":"4012"},{"id":130,"name":"Impact","value":""},{"id":150,"name":"Time of Event (Mountain Time)","value":"20:37:31"},{"id":151,"name":"Denver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32"/>
        <v>start /low /b %USERPROFILE%\Documents\GitHub\eaglep3\Utilities\DownloadLogsFromS3.py --loco 4012 --day 2017-05-10</v>
      </c>
      <c r="AN138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789</v>
      </c>
      <c r="B139" s="7">
        <v>4011</v>
      </c>
      <c r="C139" s="21" t="s">
        <v>206</v>
      </c>
      <c r="D139" s="21" t="s">
        <v>467</v>
      </c>
      <c r="E139" s="13">
        <v>42865.868344907409</v>
      </c>
      <c r="F139" s="13">
        <v>42865.872418981482</v>
      </c>
      <c r="G139" s="7">
        <v>1</v>
      </c>
      <c r="H139" s="21" t="s">
        <v>353</v>
      </c>
      <c r="I139" s="13">
        <v>42865.899756944447</v>
      </c>
      <c r="J139" s="7">
        <v>0</v>
      </c>
      <c r="K139" s="92" t="str">
        <f t="shared" si="34"/>
        <v>4011/4012</v>
      </c>
      <c r="L139" s="21" t="str">
        <f>VLOOKUP(A139,'Trips&amp;Operators'!$C$1:$G$99999,5,FALSE)</f>
        <v>BROWN JACOB</v>
      </c>
      <c r="M139" s="6">
        <f t="shared" si="35"/>
        <v>2.7337962965248153E-2</v>
      </c>
      <c r="N139" s="7">
        <f t="shared" si="61"/>
        <v>39.36666666995734</v>
      </c>
      <c r="O139" s="7"/>
      <c r="P139" s="7"/>
      <c r="Q139" s="22"/>
      <c r="R139" s="190"/>
      <c r="S139" s="196">
        <f t="shared" si="62"/>
        <v>1</v>
      </c>
      <c r="T139" s="190" t="str">
        <f t="shared" si="38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9"/>
        <v>https://d0f6bd738d7f1b3e5a7ca70fe4ff75f0.us-east-1.aws.found.io/app/kibana#/discover/Steve-Slow-Train-Analysis-(2080s-and-2083s)?_g=(refreshInterval:(display:Off,pause:!f,section:0,value:0),time:(from:'2017-05-10T19:50:25-0600',mode:absolute,to:'2017-05-10T22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192" t="str">
        <f t="shared" si="40"/>
        <v>N</v>
      </c>
      <c r="X139" s="192">
        <f t="shared" si="65"/>
        <v>1</v>
      </c>
      <c r="Y139" s="192">
        <f t="shared" si="63"/>
        <v>23.299399999999999</v>
      </c>
      <c r="Z139" s="192">
        <f t="shared" si="64"/>
        <v>1.4500000000000001E-2</v>
      </c>
      <c r="AA139" s="192">
        <f t="shared" si="43"/>
        <v>23.284899999999997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4"/>
        <v>0226-10</v>
      </c>
      <c r="AE139" s="80" t="str">
        <f t="shared" si="45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139" s="77" t="str">
        <f t="shared" si="46"/>
        <v>"C:\Program Files (x86)\AstroGrep\AstroGrep.exe" /e /r /s /spath="%USERPROFILE%\AppData\Local\Temp\OnboardLogs" /stypes="app*4011*20170511*" /stext=" 03:.+((SYSTEM_STATE.+slice.+state.+changed )|(ment ac)|(multiple cpu faults)|(system.+state.+changed )|(\[timeout)|(PRM\|1\|D)|(kpr)|(kdp)|(train st.+moving)|(\|lc)|(penalty))"</v>
      </c>
      <c r="AG139" s="1" t="str">
        <f t="shared" si="47"/>
        <v>EC</v>
      </c>
      <c r="AH139" s="81" t="str">
        <f t="shared" si="30"/>
        <v>"%USERPROFILE%\Documents\GitHub\eaglep3\Utilities\RefineRTDCRunTimes.py" --tripid 226-10 --locoid 4011 --swversion DE.1.0.9.0 --startMP 204:232994 --initTime 2017-05-10T20:50:25 --startdatetime 2017-05-10T20:56:17 --delay 1 --endMP 204:145 --enddatetime 2017-05-10T21:35:39 --enforcementcount 0 &gt;&gt;C:\Users\stu\Documents\GitHub\eaglep3-reporting\EC\2017-05-10-refined-times.txt</v>
      </c>
      <c r="AI139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{"issue":{"subject":"","project_id":79,"tracker_id":40,"status_id":1,"priority_id":2,"assigned_to_id":23,"start_date":"2017-05-10","description":"","custom_fields":[{"id":1,"name":"Subdivision","value":"EC"},{"id":4,"name":"Milepost","value":"0.0145"},{"id":17,"name":"Train ID","value":"226-10"},{"id":16,"name":"Locomotive ID","value":"4011"},{"id":130,"name":"Impact","value":""},{"id":150,"name":"Time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32"/>
        <v>start /low /b %USERPROFILE%\Documents\GitHub\eaglep3\Utilities\DownloadLogsFromS3.py --loco 4011 --day 2017-05-10</v>
      </c>
      <c r="AN139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2" t="s">
        <v>783</v>
      </c>
      <c r="B140" s="7">
        <v>4018</v>
      </c>
      <c r="C140" s="21" t="s">
        <v>206</v>
      </c>
      <c r="D140" s="21" t="s">
        <v>531</v>
      </c>
      <c r="E140" s="13">
        <v>42865.843171296299</v>
      </c>
      <c r="F140" s="13">
        <v>42865.854444444441</v>
      </c>
      <c r="G140" s="7">
        <v>1</v>
      </c>
      <c r="H140" s="21" t="s">
        <v>514</v>
      </c>
      <c r="I140" s="13">
        <v>42865.880694444444</v>
      </c>
      <c r="J140" s="7">
        <v>0</v>
      </c>
      <c r="K140" s="92" t="str">
        <f t="shared" si="34"/>
        <v>4017/4018</v>
      </c>
      <c r="L140" s="21" t="str">
        <f>VLOOKUP(A140,'Trips&amp;Operators'!$C$1:$G$99999,5,FALSE)</f>
        <v>YANG JAN</v>
      </c>
      <c r="M140" s="6">
        <f t="shared" si="35"/>
        <v>2.6250000002619345E-2</v>
      </c>
      <c r="N140" s="7">
        <f t="shared" si="61"/>
        <v>37.800000003771856</v>
      </c>
      <c r="O140" s="7"/>
      <c r="P140" s="7"/>
      <c r="Q140" s="22"/>
      <c r="R140" s="190"/>
      <c r="S140" s="196">
        <f t="shared" si="62"/>
        <v>1</v>
      </c>
      <c r="T140" s="190" t="str">
        <f t="shared" si="38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9"/>
        <v>https://d0f6bd738d7f1b3e5a7ca70fe4ff75f0.us-east-1.aws.found.io/app/kibana#/discover/Steve-Slow-Train-Analysis-(2080s-and-2083s)?_g=(refreshInterval:(display:Off,pause:!f,section:0,value:0),time:(from:'2017-05-10T19:14:10-0600',mode:absolute,to:'2017-05-10T22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0" s="192" t="str">
        <f t="shared" si="40"/>
        <v>N</v>
      </c>
      <c r="X140" s="192">
        <f t="shared" si="65"/>
        <v>1</v>
      </c>
      <c r="Y140" s="192">
        <f t="shared" si="63"/>
        <v>4.7100000000000003E-2</v>
      </c>
      <c r="Z140" s="192">
        <f t="shared" si="64"/>
        <v>23.329899999999999</v>
      </c>
      <c r="AA140" s="192">
        <f t="shared" si="43"/>
        <v>23.282799999999998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4"/>
        <v>0227-10</v>
      </c>
      <c r="AE140" s="80" t="str">
        <f t="shared" si="45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140" s="77" t="str">
        <f t="shared" si="46"/>
        <v>"C:\Program Files (x86)\AstroGrep\AstroGrep.exe" /e /r /s /spath="%USERPROFILE%\AppData\Local\Temp\OnboardLogs" /stypes="app*4018*20170511*" /stext=" 03:.+((SYSTEM_STATE.+slice.+state.+changed )|(ment ac)|(multiple cpu faults)|(system.+state.+changed )|(\[timeout)|(PRM\|1\|D)|(kpr)|(kdp)|(train st.+moving)|(\|lc)|(penalty))"</v>
      </c>
      <c r="AG140" s="1" t="str">
        <f t="shared" si="47"/>
        <v>EC</v>
      </c>
      <c r="AH140" s="81" t="str">
        <f t="shared" si="30"/>
        <v>"%USERPROFILE%\Documents\GitHub\eaglep3\Utilities\RefineRTDCRunTimes.py" --tripid 227-10 --locoid 4018 --swversion DE.1.0.9.0 --startMP 204:471 --initTime 2017-05-10T20:14:10 --startdatetime 2017-05-10T20:30:24 --delay 1 --endMP 204:233299 --enddatetime 2017-05-10T21:08:12 --enforcementcount 0 &gt;&gt;C:\Users\stu\Documents\GitHub\eaglep3-reporting\EC\2017-05-10-refined-times.txt</v>
      </c>
      <c r="AI140" s="99" t="str">
        <f t="shared" si="31"/>
        <v>echo {"issue":{"subject":"","project_id":79,"tracker_id":40,"status_id":1,"priority_id":2,"assigned_to_id":23,"start_date":"2017-05-10","description":"","custom_fields":[{"id":1,"name":"Subdivision","value":"EC"},{"id":4,"name":"Milepost","value":"23.3299"},{"id":17,"name":"Train ID","value":"227-10"},{"id":16,"name":"Locomotive ID","value":"4018"},{"id":130,"name":"Impact","value":""},{"id":150,"name":"Time of Event (Mountain Time)","value":"21:08:12"},{"id":151,"name":"Denver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20"/>
      <c r="AK140" s="47"/>
      <c r="AL140" s="47"/>
      <c r="AM140" s="145" t="str">
        <f t="shared" si="32"/>
        <v>start /low /b %USERPROFILE%\Documents\GitHub\eaglep3\Utilities\DownloadLogsFromS3.py --loco 4018 --day 2017-05-10</v>
      </c>
      <c r="AN140" s="154" t="str">
        <f t="shared" si="3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1" spans="1:91" s="20" customFormat="1" x14ac:dyDescent="0.25">
      <c r="A141" s="32" t="s">
        <v>791</v>
      </c>
      <c r="B141" s="7">
        <v>4017</v>
      </c>
      <c r="C141" s="21" t="s">
        <v>206</v>
      </c>
      <c r="D141" s="21" t="s">
        <v>529</v>
      </c>
      <c r="E141" s="13">
        <v>42865.889537037037</v>
      </c>
      <c r="F141" s="13">
        <v>42865.89335648148</v>
      </c>
      <c r="G141" s="7">
        <v>1</v>
      </c>
      <c r="H141" s="21" t="s">
        <v>358</v>
      </c>
      <c r="I141" s="13">
        <v>42865.922094907408</v>
      </c>
      <c r="J141" s="7">
        <v>0</v>
      </c>
      <c r="K141" s="92" t="str">
        <f t="shared" ref="K141:K204" si="66">IF(ISEVEN(B141),(B141-1)&amp;"/"&amp;B141,B141&amp;"/"&amp;(B141+1))</f>
        <v>4017/4018</v>
      </c>
      <c r="L141" s="21" t="str">
        <f>VLOOKUP(A141,'Trips&amp;Operators'!$C$1:$G$99999,5,FALSE)</f>
        <v>YANG JAN</v>
      </c>
      <c r="M141" s="6">
        <f t="shared" ref="M141:M204" si="67">I141-F141</f>
        <v>2.8738425928167999E-2</v>
      </c>
      <c r="N141" s="7">
        <f t="shared" si="61"/>
        <v>41.383333336561918</v>
      </c>
      <c r="O141" s="7"/>
      <c r="P141" s="7"/>
      <c r="Q141" s="22"/>
      <c r="R141" s="190"/>
      <c r="S141" s="196">
        <f t="shared" si="62"/>
        <v>1</v>
      </c>
      <c r="T141" s="190" t="str">
        <f t="shared" ref="T141:T204" si="68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6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-10T20:20:56-0600',mode:absolute,to:'2017-05-10T23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192" t="str">
        <f t="shared" ref="W141:W204" si="70">IF(AA141&lt;IF(AG141="EC",23,5.65),"Y","N")</f>
        <v>N</v>
      </c>
      <c r="X141" s="192">
        <f t="shared" si="65"/>
        <v>1</v>
      </c>
      <c r="Y141" s="192">
        <f t="shared" si="63"/>
        <v>23.298200000000001</v>
      </c>
      <c r="Z141" s="192">
        <f t="shared" si="64"/>
        <v>1.4999999999999999E-2</v>
      </c>
      <c r="AA141" s="192">
        <f t="shared" ref="AA141:AA204" si="71">ABS(Z141-Y141)</f>
        <v>23.283200000000001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72">IF(LEN(A141)=6,"0"&amp;A141,A141)</f>
        <v>0228-10</v>
      </c>
      <c r="AE141" s="80" t="str">
        <f t="shared" ref="AE141:AE204" si="7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141" s="77" t="str">
        <f t="shared" ref="AF141:AF204" si="7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/stypes="app*4017*20170511*" /stext=" 04:.+((SYSTEM_STATE.+slice.+state.+changed )|(ment ac)|(multiple cpu faults)|(system.+state.+changed )|(\[timeout)|(PRM\|1\|D)|(kpr)|(kdp)|(train st.+moving)|(\|lc)|(penalty))"</v>
      </c>
      <c r="AG141" s="1" t="str">
        <f t="shared" ref="AG141:AG204" si="75">IFERROR(IF(VALUE(LEFT(AD141,2))&lt;=2,"EC",IF(OR(VALUE(LEFT(AD141,2))=8,VALUE(LEFT(AD141,2))=18),"NW","Other")),"Other")</f>
        <v>EC</v>
      </c>
      <c r="AH141" s="81" t="str">
        <f t="shared" ref="AH141:AH204" si="7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228-10 --locoid 4017 --swversion DE.1.0.9.0 --startMP 204:232982 --initTime 2017-05-10T21:20:56 --startdatetime 2017-05-10T21:26:26 --delay 1 --endMP 204:150 --enddatetime 2017-05-10T22:07:49 --enforcementcount 0 &gt;&gt;C:\Users\stu\Documents\GitHub\eaglep3-reporting\EC\2017-05-10-refined-times.txt</v>
      </c>
      <c r="AI141" s="99" t="str">
        <f t="shared" ref="AI141:AI204" si="7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{"issue":{"subject":"","project_id":79,"tracker_id":40,"status_id":1,"priority_id":2,"assigned_to_id":23,"start_date":"2017-05-10","description":"","custom_fields":[{"id":1,"name":"Subdivision","value":"EC"},{"id":4,"name":"Milepost","value":"0.015"},{"id":17,"name":"Train ID","value":"228-10"},{"id":16,"name":"Locomotive ID","value":"4017"},{"id":130,"name":"Impact","value":""},{"id":150,"name":"Time of Event (Mountain Time)","value":"22:07:49"},{"id":151,"name":"Denver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4" si="78">"start /low /b "&amp;dls3logs&amp;" --loco "&amp;B141&amp;" --day "&amp;TEXT(F141,"YYYY-MM-DD")</f>
        <v>start /low /b %USERPROFILE%\Documents\GitHub\eaglep3\Utilities\DownloadLogsFromS3.py --loco 4017 --day 2017-05-10</v>
      </c>
      <c r="AN141" s="154" t="str">
        <f t="shared" ref="AN141:AN204" si="79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04:07:49"},{"id":29,"name":"Sharepoint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788</v>
      </c>
      <c r="B142" s="7">
        <v>4040</v>
      </c>
      <c r="C142" s="21" t="s">
        <v>206</v>
      </c>
      <c r="D142" s="21" t="s">
        <v>889</v>
      </c>
      <c r="E142" s="13">
        <v>42865.863275462965</v>
      </c>
      <c r="F142" s="13">
        <v>42865.875543981485</v>
      </c>
      <c r="G142" s="7">
        <v>1</v>
      </c>
      <c r="H142" s="21" t="s">
        <v>510</v>
      </c>
      <c r="I142" s="13">
        <v>42865.903078703705</v>
      </c>
      <c r="J142" s="7">
        <v>0</v>
      </c>
      <c r="K142" s="92" t="str">
        <f t="shared" si="66"/>
        <v>4039/4040</v>
      </c>
      <c r="L142" s="21" t="str">
        <f>VLOOKUP(A142,'Trips&amp;Operators'!$C$1:$G$99999,5,FALSE)</f>
        <v>JACKSON WILLIAM</v>
      </c>
      <c r="M142" s="6">
        <f t="shared" si="67"/>
        <v>2.753472221957054E-2</v>
      </c>
      <c r="N142" s="7">
        <f t="shared" si="61"/>
        <v>39.649999996181577</v>
      </c>
      <c r="O142" s="7"/>
      <c r="P142" s="7"/>
      <c r="Q142" s="22"/>
      <c r="R142" s="190"/>
      <c r="S142" s="196">
        <f t="shared" si="62"/>
        <v>1</v>
      </c>
      <c r="T142" s="190" t="str">
        <f t="shared" si="68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69"/>
        <v>https://d0f6bd738d7f1b3e5a7ca70fe4ff75f0.us-east-1.aws.found.io/app/kibana#/discover/Steve-Slow-Train-Analysis-(2080s-and-2083s)?_g=(refreshInterval:(display:Off,pause:!f,section:0,value:0),time:(from:'2017-05-10T19:43:07-0600',mode:absolute,to:'2017-05-10T22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2" s="192" t="str">
        <f t="shared" si="70"/>
        <v>N</v>
      </c>
      <c r="X142" s="192">
        <f t="shared" si="65"/>
        <v>1</v>
      </c>
      <c r="Y142" s="192">
        <f t="shared" si="63"/>
        <v>4.8000000000000001E-2</v>
      </c>
      <c r="Z142" s="192">
        <f t="shared" si="64"/>
        <v>23.330300000000001</v>
      </c>
      <c r="AA142" s="192">
        <f t="shared" si="71"/>
        <v>23.282300000000003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72"/>
        <v>0229-10</v>
      </c>
      <c r="AE142" s="80" t="str">
        <f t="shared" si="73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142" s="77" t="str">
        <f t="shared" si="74"/>
        <v>"C:\Program Files (x86)\AstroGrep\AstroGrep.exe" /e /r /s /spath="%USERPROFILE%\AppData\Local\Temp\OnboardLogs" /stypes="app*4040*20170511*" /stext=" 03:.+((SYSTEM_STATE.+slice.+state.+changed )|(ment ac)|(multiple cpu faults)|(system.+state.+changed )|(\[timeout)|(PRM\|1\|D)|(kpr)|(kdp)|(train st.+moving)|(\|lc)|(penalty))"</v>
      </c>
      <c r="AG142" s="1" t="str">
        <f t="shared" si="75"/>
        <v>EC</v>
      </c>
      <c r="AH142" s="81" t="str">
        <f t="shared" si="76"/>
        <v>"%USERPROFILE%\Documents\GitHub\eaglep3\Utilities\RefineRTDCRunTimes.py" --tripid 229-10 --locoid 4040 --swversion DE.1.0.9.0 --startMP 204:480 --initTime 2017-05-10T20:43:07 --startdatetime 2017-05-10T21:00:47 --delay 1 --endMP 204:233303 --enddatetime 2017-05-10T21:40:26 --enforcementcount 0 &gt;&gt;C:\Users\stu\Documents\GitHub\eaglep3-reporting\EC\2017-05-10-refined-times.txt</v>
      </c>
      <c r="AI142" s="99" t="str">
        <f t="shared" si="77"/>
        <v>echo {"issue":{"subject":"","project_id":79,"tracker_id":40,"status_id":1,"priority_id":2,"assigned_to_id":23,"start_date":"2017-05-10","description":"","custom_fields":[{"id":1,"name":"Subdivision","value":"EC"},{"id":4,"name":"Milepost","value":"23.3303"},{"id":17,"name":"Train ID","value":"229-10"},{"id":16,"name":"Locomotive ID","value":"4040"},{"id":130,"name":"Impact","value":""},{"id":150,"name":"Time of Event (Mountain Time)","value":"21:40:26"},{"id":151,"name":"Denver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78"/>
        <v>start /low /b %USERPROFILE%\Documents\GitHub\eaglep3\Utilities\DownloadLogsFromS3.py --loco 4040 --day 2017-05-10</v>
      </c>
      <c r="AN142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794</v>
      </c>
      <c r="B143" s="7">
        <v>4039</v>
      </c>
      <c r="C143" s="21" t="s">
        <v>206</v>
      </c>
      <c r="D143" s="21" t="s">
        <v>472</v>
      </c>
      <c r="E143" s="13">
        <v>42865.911874999998</v>
      </c>
      <c r="F143" s="13">
        <v>42865.914282407408</v>
      </c>
      <c r="G143" s="7">
        <v>1</v>
      </c>
      <c r="H143" s="21" t="s">
        <v>348</v>
      </c>
      <c r="I143" s="13">
        <v>42865.944351851853</v>
      </c>
      <c r="J143" s="7">
        <v>0</v>
      </c>
      <c r="K143" s="92" t="str">
        <f t="shared" si="66"/>
        <v>4039/4040</v>
      </c>
      <c r="L143" s="21" t="str">
        <f>VLOOKUP(A143,'Trips&amp;Operators'!$C$1:$G$99999,5,FALSE)</f>
        <v>JACKSON WILLIAM</v>
      </c>
      <c r="M143" s="6">
        <f t="shared" si="67"/>
        <v>3.0069444444961846E-2</v>
      </c>
      <c r="N143" s="7">
        <f t="shared" si="61"/>
        <v>43.300000000745058</v>
      </c>
      <c r="O143" s="7"/>
      <c r="P143" s="7"/>
      <c r="Q143" s="22"/>
      <c r="R143" s="190"/>
      <c r="S143" s="196">
        <f t="shared" si="62"/>
        <v>1</v>
      </c>
      <c r="T143" s="190" t="str">
        <f t="shared" si="68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69"/>
        <v>https://d0f6bd738d7f1b3e5a7ca70fe4ff75f0.us-east-1.aws.found.io/app/kibana#/discover/Steve-Slow-Train-Analysis-(2080s-and-2083s)?_g=(refreshInterval:(display:Off,pause:!f,section:0,value:0),time:(from:'2017-05-10T20:53:06-0600',mode:absolute,to:'2017-05-10T23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3" s="192" t="str">
        <f t="shared" si="70"/>
        <v>N</v>
      </c>
      <c r="X143" s="192">
        <f t="shared" ref="X143:X174" si="80">VALUE(LEFT(AD143,4))-VALUE(LEFT(AD142,4))</f>
        <v>1</v>
      </c>
      <c r="Y143" s="192">
        <f t="shared" si="63"/>
        <v>23.2986</v>
      </c>
      <c r="Z143" s="192">
        <f t="shared" si="64"/>
        <v>1.38E-2</v>
      </c>
      <c r="AA143" s="192">
        <f t="shared" si="71"/>
        <v>23.284800000000001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2"/>
        <v>0230-10</v>
      </c>
      <c r="AE143" s="80" t="str">
        <f t="shared" si="73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143" s="77" t="str">
        <f t="shared" si="74"/>
        <v>"C:\Program Files (x86)\AstroGrep\AstroGrep.exe" /e /r /s /spath="%USERPROFILE%\AppData\Local\Temp\OnboardLogs" /stypes="app*4039*20170511*" /stext=" 04:.+((SYSTEM_STATE.+slice.+state.+changed )|(ment ac)|(multiple cpu faults)|(system.+state.+changed )|(\[timeout)|(PRM\|1\|D)|(kpr)|(kdp)|(train st.+moving)|(\|lc)|(penalty))"</v>
      </c>
      <c r="AG143" s="1" t="str">
        <f t="shared" si="75"/>
        <v>EC</v>
      </c>
      <c r="AH143" s="81" t="str">
        <f t="shared" si="76"/>
        <v>"%USERPROFILE%\Documents\GitHub\eaglep3\Utilities\RefineRTDCRunTimes.py" --tripid 230-10 --locoid 4039 --swversion DE.1.0.9.0 --startMP 204:232986 --initTime 2017-05-10T21:53:06 --startdatetime 2017-05-10T21:56:34 --delay 1 --endMP 204:138 --enddatetime 2017-05-10T22:39:52 --enforcementcount 0 &gt;&gt;C:\Users\stu\Documents\GitHub\eaglep3-reporting\EC\2017-05-10-refined-times.txt</v>
      </c>
      <c r="AI143" s="99" t="str">
        <f t="shared" si="77"/>
        <v>echo {"issue":{"subject":"","project_id":79,"tracker_id":40,"status_id":1,"priority_id":2,"assigned_to_id":23,"start_date":"2017-05-10","description":"","custom_fields":[{"id":1,"name":"Subdivision","value":"EC"},{"id":4,"name":"Milepost","value":"0.0138"},{"id":17,"name":"Train ID","value":"230-10"},{"id":16,"name":"Locomotive ID","value":"4039"},{"id":130,"name":"Impact","value":""},{"id":150,"name":"Time of Event (Mountain Time)","value":"22:39:52"},{"id":151,"name":"Denver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78"/>
        <v>start /low /b %USERPROFILE%\Documents\GitHub\eaglep3\Utilities\DownloadLogsFromS3.py --loco 4039 --day 2017-05-10</v>
      </c>
      <c r="AN143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04:39:52"},{"id":29,"name":"Sharepoint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792</v>
      </c>
      <c r="B144" s="7">
        <v>4032</v>
      </c>
      <c r="C144" s="21" t="s">
        <v>206</v>
      </c>
      <c r="D144" s="21" t="s">
        <v>363</v>
      </c>
      <c r="E144" s="13">
        <v>42865.893043981479</v>
      </c>
      <c r="F144" s="13">
        <v>42865.895995370367</v>
      </c>
      <c r="G144" s="7">
        <v>2</v>
      </c>
      <c r="H144" s="21" t="s">
        <v>890</v>
      </c>
      <c r="I144" s="13">
        <v>42865.923252314817</v>
      </c>
      <c r="J144" s="7">
        <v>0</v>
      </c>
      <c r="K144" s="92" t="str">
        <f t="shared" si="66"/>
        <v>4031/4032</v>
      </c>
      <c r="L144" s="21" t="str">
        <f>VLOOKUP(A144,'Trips&amp;Operators'!$C$1:$G$99999,5,FALSE)</f>
        <v>ZEWDU DEREJE</v>
      </c>
      <c r="M144" s="6">
        <f t="shared" si="67"/>
        <v>2.7256944449618459E-2</v>
      </c>
      <c r="N144" s="7">
        <f t="shared" si="61"/>
        <v>39.250000007450581</v>
      </c>
      <c r="O144" s="7"/>
      <c r="P144" s="7"/>
      <c r="Q144" s="22"/>
      <c r="R144" s="190"/>
      <c r="S144" s="196">
        <f t="shared" si="62"/>
        <v>1</v>
      </c>
      <c r="T144" s="190" t="str">
        <f t="shared" si="68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69"/>
        <v>https://d0f6bd738d7f1b3e5a7ca70fe4ff75f0.us-east-1.aws.found.io/app/kibana#/discover/Steve-Slow-Train-Analysis-(2080s-and-2083s)?_g=(refreshInterval:(display:Off,pause:!f,section:0,value:0),time:(from:'2017-05-10T20:25:59-0600',mode:absolute,to:'2017-05-10T23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192" t="str">
        <f t="shared" si="70"/>
        <v>N</v>
      </c>
      <c r="X144" s="192">
        <f t="shared" si="80"/>
        <v>1</v>
      </c>
      <c r="Y144" s="192">
        <f t="shared" si="63"/>
        <v>4.5100000000000001E-2</v>
      </c>
      <c r="Z144" s="192">
        <f t="shared" si="64"/>
        <v>23.327200000000001</v>
      </c>
      <c r="AA144" s="192">
        <f t="shared" si="71"/>
        <v>23.2821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2"/>
        <v>0231-10</v>
      </c>
      <c r="AE144" s="80" t="str">
        <f t="shared" si="73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144" s="77" t="str">
        <f t="shared" si="74"/>
        <v>"C:\Program Files (x86)\AstroGrep\AstroGrep.exe" /e /r /s /spath="%USERPROFILE%\AppData\Local\Temp\OnboardLogs" /stypes="app*4032*20170511*" /stext=" 04:.+((SYSTEM_STATE.+slice.+state.+changed )|(ment ac)|(multiple cpu faults)|(system.+state.+changed )|(\[timeout)|(PRM\|1\|D)|(kpr)|(kdp)|(train st.+moving)|(\|lc)|(penalty))"</v>
      </c>
      <c r="AG144" s="1" t="str">
        <f t="shared" si="75"/>
        <v>EC</v>
      </c>
      <c r="AH144" s="81" t="str">
        <f t="shared" si="76"/>
        <v>"%USERPROFILE%\Documents\GitHub\eaglep3\Utilities\RefineRTDCRunTimes.py" --tripid 231-10 --locoid 4032 --swversion DE.1.0.9.0 --startMP 204:451 --initTime 2017-05-10T21:25:59 --startdatetime 2017-05-10T21:30:14 --delay 2 --endMP 204:233272 --enddatetime 2017-05-10T22:09:29 --enforcementcount 0 &gt;&gt;C:\Users\stu\Documents\GitHub\eaglep3-reporting\EC\2017-05-10-refined-times.txt</v>
      </c>
      <c r="AI144" s="99" t="str">
        <f t="shared" si="77"/>
        <v>echo {"issue":{"subject":"","project_id":79,"tracker_id":40,"status_id":1,"priority_id":2,"assigned_to_id":23,"start_date":"2017-05-10","description":"","custom_fields":[{"id":1,"name":"Subdivision","value":"EC"},{"id":4,"name":"Milepost","value":"23.3272"},{"id":17,"name":"Train ID","value":"231-10"},{"id":16,"name":"Locomotive ID","value":"4032"},{"id":130,"name":"Impact","value":""},{"id":150,"name":"Time of Event (Mountain Time)","value":"22:09:29"},{"id":151,"name":"Denver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8"/>
        <v>start /low /b %USERPROFILE%\Documents\GitHub\eaglep3\Utilities\DownloadLogsFromS3.py --loco 4032 --day 2017-05-10</v>
      </c>
      <c r="AN144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04:09:29"},{"id":29,"name":"Sharepoint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798</v>
      </c>
      <c r="B145" s="7">
        <v>4031</v>
      </c>
      <c r="C145" s="21" t="s">
        <v>206</v>
      </c>
      <c r="D145" s="21" t="s">
        <v>833</v>
      </c>
      <c r="E145" s="13">
        <v>42865.93167824074</v>
      </c>
      <c r="F145" s="13">
        <v>42865.935243055559</v>
      </c>
      <c r="G145" s="7">
        <v>3</v>
      </c>
      <c r="H145" s="21" t="s">
        <v>354</v>
      </c>
      <c r="I145" s="13">
        <v>42865.963807870372</v>
      </c>
      <c r="J145" s="7">
        <v>0</v>
      </c>
      <c r="K145" s="92" t="str">
        <f t="shared" si="66"/>
        <v>4031/4032</v>
      </c>
      <c r="L145" s="21" t="str">
        <f>VLOOKUP(A145,'Trips&amp;Operators'!$C$1:$G$99999,5,FALSE)</f>
        <v>ZEWDU DEREJE</v>
      </c>
      <c r="M145" s="6">
        <f t="shared" si="67"/>
        <v>2.8564814812853001E-2</v>
      </c>
      <c r="N145" s="7">
        <f t="shared" si="61"/>
        <v>41.133333330508322</v>
      </c>
      <c r="O145" s="7"/>
      <c r="P145" s="7"/>
      <c r="Q145" s="22"/>
      <c r="R145" s="190"/>
      <c r="S145" s="196">
        <f t="shared" si="62"/>
        <v>1</v>
      </c>
      <c r="T145" s="190" t="str">
        <f t="shared" si="68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69"/>
        <v>https://d0f6bd738d7f1b3e5a7ca70fe4ff75f0.us-east-1.aws.found.io/app/kibana#/discover/Steve-Slow-Train-Analysis-(2080s-and-2083s)?_g=(refreshInterval:(display:Off,pause:!f,section:0,value:0),time:(from:'2017-05-10T21:21:37-0600',mode:absolute,to:'2017-05-11T00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5" s="192" t="str">
        <f t="shared" si="70"/>
        <v>N</v>
      </c>
      <c r="X145" s="192">
        <f t="shared" si="80"/>
        <v>1</v>
      </c>
      <c r="Y145" s="192">
        <f t="shared" si="63"/>
        <v>23.296500000000002</v>
      </c>
      <c r="Z145" s="192">
        <f t="shared" si="64"/>
        <v>1.6E-2</v>
      </c>
      <c r="AA145" s="192">
        <f t="shared" si="71"/>
        <v>23.280500000000004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2"/>
        <v>0232-10</v>
      </c>
      <c r="AE145" s="80" t="str">
        <f t="shared" si="73"/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AF145" s="77" t="str">
        <f t="shared" si="74"/>
        <v>"C:\Program Files (x86)\AstroGrep\AstroGrep.exe" /e /r /s /spath="%USERPROFILE%\AppData\Local\Temp\OnboardLogs" /stypes="app*4031*20170511*" /stext=" 05:.+((SYSTEM_STATE.+slice.+state.+changed )|(ment ac)|(multiple cpu faults)|(system.+state.+changed )|(\[timeout)|(PRM\|1\|D)|(kpr)|(kdp)|(train st.+moving)|(\|lc)|(penalty))"</v>
      </c>
      <c r="AG145" s="1" t="str">
        <f t="shared" si="75"/>
        <v>EC</v>
      </c>
      <c r="AH145" s="81" t="str">
        <f t="shared" si="76"/>
        <v>"%USERPROFILE%\Documents\GitHub\eaglep3\Utilities\RefineRTDCRunTimes.py" --tripid 232-10 --locoid 4031 --swversion DE.1.0.9.0 --startMP 204:232965 --initTime 2017-05-10T22:21:37 --startdatetime 2017-05-10T22:26:45 --delay 3 --endMP 204:160 --enddatetime 2017-05-10T23:07:53 --enforcementcount 0 &gt;&gt;C:\Users\stu\Documents\GitHub\eaglep3-reporting\EC\2017-05-10-refined-times.txt</v>
      </c>
      <c r="AI145" s="99" t="str">
        <f t="shared" si="77"/>
        <v>echo {"issue":{"subject":"","project_id":79,"tracker_id":40,"status_id":1,"priority_id":2,"assigned_to_id":23,"start_date":"2017-05-10","description":"","custom_fields":[{"id":1,"name":"Subdivision","value":"EC"},{"id":4,"name":"Milepost","value":"0.016"},{"id":17,"name":"Train ID","value":"232-10"},{"id":16,"name":"Locomotive ID","value":"4031"},{"id":130,"name":"Impact","value":""},{"id":150,"name":"Time of Event (Mountain Time)","value":"23:07:53"},{"id":151,"name":"Denver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8"/>
        <v>start /low /b %USERPROFILE%\Documents\GitHub\eaglep3\Utilities\DownloadLogsFromS3.py --loco 4031 --day 2017-05-10</v>
      </c>
      <c r="AN145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795</v>
      </c>
      <c r="B146" s="7">
        <v>4012</v>
      </c>
      <c r="C146" s="21" t="s">
        <v>206</v>
      </c>
      <c r="D146" s="21" t="s">
        <v>355</v>
      </c>
      <c r="E146" s="13">
        <v>42865.912708333337</v>
      </c>
      <c r="F146" s="13">
        <v>42865.916886574072</v>
      </c>
      <c r="G146" s="7">
        <v>1</v>
      </c>
      <c r="H146" s="21" t="s">
        <v>828</v>
      </c>
      <c r="I146" s="13">
        <v>42865.941759259258</v>
      </c>
      <c r="J146" s="7">
        <v>0</v>
      </c>
      <c r="K146" s="92" t="str">
        <f t="shared" si="66"/>
        <v>4011/4012</v>
      </c>
      <c r="L146" s="21" t="str">
        <f>VLOOKUP(A146,'Trips&amp;Operators'!$C$1:$G$99999,5,FALSE)</f>
        <v>BROWN JACOB</v>
      </c>
      <c r="M146" s="6">
        <f t="shared" si="67"/>
        <v>2.4872685185982846E-2</v>
      </c>
      <c r="N146" s="7">
        <f t="shared" si="61"/>
        <v>35.816666667815298</v>
      </c>
      <c r="O146" s="7"/>
      <c r="P146" s="7"/>
      <c r="Q146" s="22"/>
      <c r="R146" s="190"/>
      <c r="S146" s="196">
        <f t="shared" si="62"/>
        <v>1</v>
      </c>
      <c r="T146" s="190" t="str">
        <f t="shared" si="68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69"/>
        <v>https://d0f6bd738d7f1b3e5a7ca70fe4ff75f0.us-east-1.aws.found.io/app/kibana#/discover/Steve-Slow-Train-Analysis-(2080s-and-2083s)?_g=(refreshInterval:(display:Off,pause:!f,section:0,value:0),time:(from:'2017-05-10T20:54:18-0600',mode:absolute,to:'2017-05-10T23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192" t="str">
        <f t="shared" si="70"/>
        <v>N</v>
      </c>
      <c r="X146" s="192">
        <f t="shared" si="80"/>
        <v>1</v>
      </c>
      <c r="Y146" s="192">
        <f t="shared" si="63"/>
        <v>4.58E-2</v>
      </c>
      <c r="Z146" s="192">
        <f t="shared" si="64"/>
        <v>23.332799999999999</v>
      </c>
      <c r="AA146" s="192">
        <f t="shared" si="71"/>
        <v>23.286999999999999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72"/>
        <v>0233-10</v>
      </c>
      <c r="AE146" s="80" t="str">
        <f t="shared" si="73"/>
        <v>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 &amp; 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</v>
      </c>
      <c r="AF146" s="77" t="str">
        <f t="shared" si="74"/>
        <v>"C:\Program Files (x86)\AstroGrep\AstroGrep.exe" /e /r /s /spath="%USERPROFILE%\AppData\Local\Temp\OnboardLogs" /stypes="app*4012*20170511*" /stext=" 04:.+((SYSTEM_STATE.+slice.+state.+changed )|(ment ac)|(multiple cpu faults)|(system.+state.+changed )|(\[timeout)|(PRM\|1\|D)|(kpr)|(kdp)|(train st.+moving)|(\|lc)|(penalty))"</v>
      </c>
      <c r="AG146" s="1" t="str">
        <f t="shared" si="75"/>
        <v>EC</v>
      </c>
      <c r="AH146" s="81" t="str">
        <f t="shared" si="76"/>
        <v>"%USERPROFILE%\Documents\GitHub\eaglep3\Utilities\RefineRTDCRunTimes.py" --tripid 233-10 --locoid 4012 --swversion DE.1.0.9.0 --startMP 204:458 --initTime 2017-05-10T21:54:18 --startdatetime 2017-05-10T22:00:19 --delay 1 --endMP 204:233328 --enddatetime 2017-05-10T22:36:08 --enforcementcount 0 &gt;&gt;C:\Users\stu\Documents\GitHub\eaglep3-reporting\EC\2017-05-10-refined-times.txt</v>
      </c>
      <c r="AI146" s="99" t="str">
        <f t="shared" si="77"/>
        <v>echo {"issue":{"subject":"","project_id":79,"tracker_id":40,"status_id":1,"priority_id":2,"assigned_to_id":23,"start_date":"2017-05-10","description":"","custom_fields":[{"id":1,"name":"Subdivision","value":"EC"},{"id":4,"name":"Milepost","value":"23.3328"},{"id":17,"name":"Train ID","value":"233-10"},{"id":16,"name":"Locomotive ID","value":"4012"},{"id":130,"name":"Impact","value":""},{"id":150,"name":"Time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8"/>
        <v>start /low /b %USERPROFILE%\Documents\GitHub\eaglep3\Utilities\DownloadLogsFromS3.py --loco 4012 --day 2017-05-10</v>
      </c>
      <c r="AN146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2" t="s">
        <v>800</v>
      </c>
      <c r="B147" s="7">
        <v>4011</v>
      </c>
      <c r="C147" s="21" t="s">
        <v>206</v>
      </c>
      <c r="D147" s="21" t="s">
        <v>467</v>
      </c>
      <c r="E147" s="13">
        <v>42865.947245370371</v>
      </c>
      <c r="F147" s="13">
        <v>42865.955787037034</v>
      </c>
      <c r="G147" s="7">
        <v>4</v>
      </c>
      <c r="H147" s="21" t="s">
        <v>348</v>
      </c>
      <c r="I147" s="13">
        <v>42865.982997685183</v>
      </c>
      <c r="J147" s="7">
        <v>0</v>
      </c>
      <c r="K147" s="92" t="str">
        <f t="shared" si="66"/>
        <v>4011/4012</v>
      </c>
      <c r="L147" s="21" t="str">
        <f>VLOOKUP(A147,'Trips&amp;Operators'!$C$1:$G$99999,5,FALSE)</f>
        <v>BROWN JACOB</v>
      </c>
      <c r="M147" s="6">
        <f t="shared" si="67"/>
        <v>2.7210648149775807E-2</v>
      </c>
      <c r="N147" s="7">
        <f t="shared" ref="N147:N178" si="81">24*60*SUM($M147:$M147)</f>
        <v>39.183333335677162</v>
      </c>
      <c r="O147" s="7"/>
      <c r="P147" s="7"/>
      <c r="Q147" s="22"/>
      <c r="R147" s="190"/>
      <c r="S147" s="196">
        <f t="shared" ref="S147:S178" si="82">SUM(U147:U147)/IF(AG147="EC",12,1)</f>
        <v>1</v>
      </c>
      <c r="T147" s="190" t="str">
        <f t="shared" si="68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69"/>
        <v>https://d0f6bd738d7f1b3e5a7ca70fe4ff75f0.us-east-1.aws.found.io/app/kibana#/discover/Steve-Slow-Train-Analysis-(2080s-and-2083s)?_g=(refreshInterval:(display:Off,pause:!f,section:0,value:0),time:(from:'2017-05-10T21:44:02-0600',mode:absolute,to:'2017-05-11T00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92" t="str">
        <f t="shared" si="70"/>
        <v>N</v>
      </c>
      <c r="X147" s="192">
        <f t="shared" si="80"/>
        <v>1</v>
      </c>
      <c r="Y147" s="192">
        <f t="shared" si="63"/>
        <v>23.299399999999999</v>
      </c>
      <c r="Z147" s="192">
        <f t="shared" si="64"/>
        <v>1.38E-2</v>
      </c>
      <c r="AA147" s="192">
        <f t="shared" si="71"/>
        <v>23.285599999999999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2"/>
        <v>0234-10</v>
      </c>
      <c r="AE147" s="80" t="str">
        <f t="shared" si="73"/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AF147" s="77" t="str">
        <f t="shared" si="74"/>
        <v>"C:\Program Files (x86)\AstroGrep\AstroGrep.exe" /e /r /s /spath="%USERPROFILE%\AppData\Local\Temp\OnboardLogs" /stypes="app*4011*20170511*" /stext=" 05:.+((SYSTEM_STATE.+slice.+state.+changed )|(ment ac)|(multiple cpu faults)|(system.+state.+changed )|(\[timeout)|(PRM\|1\|D)|(kpr)|(kdp)|(train st.+moving)|(\|lc)|(penalty))"</v>
      </c>
      <c r="AG147" s="1" t="str">
        <f t="shared" si="75"/>
        <v>EC</v>
      </c>
      <c r="AH147" s="81" t="str">
        <f t="shared" si="76"/>
        <v>"%USERPROFILE%\Documents\GitHub\eaglep3\Utilities\RefineRTDCRunTimes.py" --tripid 234-10 --locoid 4011 --swversion DE.1.0.9.0 --startMP 204:232994 --initTime 2017-05-10T22:44:02 --startdatetime 2017-05-10T22:56:20 --delay 4 --endMP 204:138 --enddatetime 2017-05-10T23:35:31 --enforcementcount 0 &gt;&gt;C:\Users\stu\Documents\GitHub\eaglep3-reporting\EC\2017-05-10-refined-times.txt</v>
      </c>
      <c r="AI147" s="99" t="str">
        <f t="shared" si="77"/>
        <v>echo {"issue":{"subject":"","project_id":79,"tracker_id":40,"status_id":1,"priority_id":2,"assigned_to_id":23,"start_date":"2017-05-10","description":"","custom_fields":[{"id":1,"name":"Subdivision","value":"EC"},{"id":4,"name":"Milepost","value":"0.0138"},{"id":17,"name":"Train ID","value":"234-10"},{"id":16,"name":"Locomotive ID","value":"4011"},{"id":130,"name":"Impact","value":""},{"id":150,"name":"Time of Event (Mountain Time)","value":"23:35:31"},{"id":151,"name":"Denver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78"/>
        <v>start /low /b %USERPROFILE%\Documents\GitHub\eaglep3\Utilities\DownloadLogsFromS3.py --loco 4011 --day 2017-05-10</v>
      </c>
      <c r="AN147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x14ac:dyDescent="0.25">
      <c r="A148" s="32" t="s">
        <v>796</v>
      </c>
      <c r="B148" s="7">
        <v>4018</v>
      </c>
      <c r="C148" s="21" t="s">
        <v>206</v>
      </c>
      <c r="D148" s="21" t="s">
        <v>355</v>
      </c>
      <c r="E148" s="13">
        <v>42865.922233796293</v>
      </c>
      <c r="F148" s="13">
        <v>42865.937638888892</v>
      </c>
      <c r="G148" s="7">
        <v>1</v>
      </c>
      <c r="H148" s="21" t="s">
        <v>469</v>
      </c>
      <c r="I148" s="13">
        <v>42865.961805555555</v>
      </c>
      <c r="J148" s="7">
        <v>0</v>
      </c>
      <c r="K148" s="92" t="str">
        <f t="shared" si="66"/>
        <v>4017/4018</v>
      </c>
      <c r="L148" s="21" t="str">
        <f>VLOOKUP(A148,'Trips&amp;Operators'!$C$1:$G$99999,5,FALSE)</f>
        <v>NEWELL JAMES</v>
      </c>
      <c r="M148" s="6">
        <f t="shared" si="67"/>
        <v>2.4166666662495118E-2</v>
      </c>
      <c r="N148" s="7">
        <f t="shared" si="81"/>
        <v>34.799999993992969</v>
      </c>
      <c r="O148" s="7"/>
      <c r="P148" s="7"/>
      <c r="Q148" s="22"/>
      <c r="R148" s="190"/>
      <c r="S148" s="196">
        <f t="shared" si="82"/>
        <v>1</v>
      </c>
      <c r="T148" s="190" t="str">
        <f t="shared" si="68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69"/>
        <v>https://d0f6bd738d7f1b3e5a7ca70fe4ff75f0.us-east-1.aws.found.io/app/kibana#/discover/Steve-Slow-Train-Analysis-(2080s-and-2083s)?_g=(refreshInterval:(display:Off,pause:!f,section:0,value:0),time:(from:'2017-05-10T21:08:01-0600',mode:absolute,to:'2017-05-11T00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192" t="str">
        <f t="shared" si="70"/>
        <v>N</v>
      </c>
      <c r="X148" s="192">
        <f t="shared" si="80"/>
        <v>1</v>
      </c>
      <c r="Y148" s="192">
        <f t="shared" si="63"/>
        <v>4.58E-2</v>
      </c>
      <c r="Z148" s="192">
        <f t="shared" si="64"/>
        <v>23.3293</v>
      </c>
      <c r="AA148" s="192">
        <f t="shared" si="71"/>
        <v>23.2835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2"/>
        <v>0235-10</v>
      </c>
      <c r="AE148" s="80" t="str">
        <f t="shared" si="73"/>
        <v>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 &amp; 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</v>
      </c>
      <c r="AF148" s="77" t="str">
        <f t="shared" si="74"/>
        <v>"C:\Program Files (x86)\AstroGrep\AstroGrep.exe" /e /r /s /spath="%USERPROFILE%\AppData\Local\Temp\OnboardLogs" /stypes="app*4018*20170511*" /stext=" 05:.+((SYSTEM_STATE.+slice.+state.+changed )|(ment ac)|(multiple cpu faults)|(system.+state.+changed )|(\[timeout)|(PRM\|1\|D)|(kpr)|(kdp)|(train st.+moving)|(\|lc)|(penalty))"</v>
      </c>
      <c r="AG148" s="1" t="str">
        <f t="shared" si="75"/>
        <v>EC</v>
      </c>
      <c r="AH148" s="81" t="str">
        <f t="shared" si="76"/>
        <v>"%USERPROFILE%\Documents\GitHub\eaglep3\Utilities\RefineRTDCRunTimes.py" --tripid 235-10 --locoid 4018 --swversion DE.1.0.9.0 --startMP 204:458 --initTime 2017-05-10T22:08:01 --startdatetime 2017-05-10T22:30:12 --delay 1 --endMP 204:233293 --enddatetime 2017-05-10T23:05:00 --enforcementcount 0 &gt;&gt;C:\Users\stu\Documents\GitHub\eaglep3-reporting\EC\2017-05-10-refined-times.txt</v>
      </c>
      <c r="AI148" s="99" t="str">
        <f t="shared" si="77"/>
        <v>echo {"issue":{"subject":"","project_id":79,"tracker_id":40,"status_id":1,"priority_id":2,"assigned_to_id":23,"start_date":"2017-05-10","description":"","custom_fields":[{"id":1,"name":"Subdivision","value":"EC"},{"id":4,"name":"Milepost","value":"23.3293"},{"id":17,"name":"Train ID","value":"235-10"},{"id":16,"name":"Locomotive ID","value":"4018"},{"id":130,"name":"Impact","value":""},{"id":150,"name":"Time of Event (Mountain Time)","value":"23:05:00"},{"id":151,"name":"Denver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78"/>
        <v>start /low /b %USERPROFILE%\Documents\GitHub\eaglep3\Utilities\DownloadLogsFromS3.py --loco 4018 --day 2017-05-10</v>
      </c>
      <c r="AN148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803</v>
      </c>
      <c r="B149" s="7">
        <v>4017</v>
      </c>
      <c r="C149" s="21" t="s">
        <v>206</v>
      </c>
      <c r="D149" s="21" t="s">
        <v>466</v>
      </c>
      <c r="E149" s="13">
        <v>42865.973587962966</v>
      </c>
      <c r="F149" s="13">
        <v>42865.976550925923</v>
      </c>
      <c r="G149" s="7">
        <v>1</v>
      </c>
      <c r="H149" s="21" t="s">
        <v>197</v>
      </c>
      <c r="I149" s="13">
        <v>42866.00240740741</v>
      </c>
      <c r="J149" s="7">
        <v>0</v>
      </c>
      <c r="K149" s="92" t="str">
        <f t="shared" si="66"/>
        <v>4017/4018</v>
      </c>
      <c r="L149" s="21" t="str">
        <f>VLOOKUP(A149,'Trips&amp;Operators'!$C$1:$G$99999,5,FALSE)</f>
        <v>NEWELL JAMES</v>
      </c>
      <c r="M149" s="6">
        <f t="shared" si="67"/>
        <v>2.5856481486698613E-2</v>
      </c>
      <c r="N149" s="7">
        <f t="shared" si="81"/>
        <v>37.233333340846002</v>
      </c>
      <c r="O149" s="7"/>
      <c r="P149" s="7"/>
      <c r="Q149" s="22"/>
      <c r="R149" s="190"/>
      <c r="S149" s="196">
        <f t="shared" si="82"/>
        <v>1</v>
      </c>
      <c r="T149" s="190" t="str">
        <f t="shared" si="68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69"/>
        <v>https://d0f6bd738d7f1b3e5a7ca70fe4ff75f0.us-east-1.aws.found.io/app/kibana#/discover/Steve-Slow-Train-Analysis-(2080s-and-2083s)?_g=(refreshInterval:(display:Off,pause:!f,section:0,value:0),time:(from:'2017-05-10T22:21:58-0600',mode:absolute,to:'2017-05-11T01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192" t="str">
        <f t="shared" si="70"/>
        <v>N</v>
      </c>
      <c r="X149" s="192">
        <f t="shared" si="80"/>
        <v>1</v>
      </c>
      <c r="Y149" s="192">
        <f t="shared" si="63"/>
        <v>23.297799999999999</v>
      </c>
      <c r="Z149" s="192">
        <f t="shared" si="64"/>
        <v>1.52E-2</v>
      </c>
      <c r="AA149" s="192">
        <f t="shared" si="71"/>
        <v>23.282599999999999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2"/>
        <v>0236-10</v>
      </c>
      <c r="AE149" s="80" t="str">
        <f t="shared" si="73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149" s="77" t="str">
        <f t="shared" si="74"/>
        <v>"C:\Program Files (x86)\AstroGrep\AstroGrep.exe" /e /r /s /spath="%USERPROFILE%\AppData\Local\Temp\OnboardLogs" /stypes="app*4017*20170511*" /stext=" 06:.+((SYSTEM_STATE.+slice.+state.+changed )|(ment ac)|(multiple cpu faults)|(system.+state.+changed )|(\[timeout)|(PRM\|1\|D)|(kpr)|(kdp)|(train st.+moving)|(\|lc)|(penalty))"</v>
      </c>
      <c r="AG149" s="1" t="str">
        <f t="shared" si="75"/>
        <v>EC</v>
      </c>
      <c r="AH149" s="81" t="str">
        <f t="shared" si="76"/>
        <v>"%USERPROFILE%\Documents\GitHub\eaglep3\Utilities\RefineRTDCRunTimes.py" --tripid 236-10 --locoid 4017 --swversion DE.1.0.9.0 --startMP 204:232978 --initTime 2017-05-10T23:21:58 --startdatetime 2017-05-10T23:26:14 --delay 1 --endMP 204:152 --enddatetime 2017-05-11T00:03:28 --enforcementcount 0 &gt;&gt;C:\Users\stu\Documents\GitHub\eaglep3-reporting\EC\2017-05-10-refined-times.txt</v>
      </c>
      <c r="AI149" s="99" t="str">
        <f t="shared" si="77"/>
        <v>echo {"issue":{"subject":"","project_id":79,"tracker_id":40,"status_id":1,"priority_id":2,"assigned_to_id":23,"start_date":"2017-05-11","description":"","custom_fields":[{"id":1,"name":"Subdivision","value":"EC"},{"id":4,"name":"Milepost","value":"0.0152"},{"id":17,"name":"Train ID","value":"236-10"},{"id":16,"name":"Locomotive ID","value":"4017"},{"id":130,"name":"Impact","value":""},{"id":150,"name":"Time of Event (Mountain Time)","value":"00:03:28"},{"id":151,"name":"Denver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8"/>
        <v>start /low /b %USERPROFILE%\Documents\GitHub\eaglep3\Utilities\DownloadLogsFromS3.py --loco 4017 --day 2017-05-10</v>
      </c>
      <c r="AN149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06:03:28"},{"id":29,"name":"Sharepoint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801</v>
      </c>
      <c r="B150" s="7">
        <v>4040</v>
      </c>
      <c r="C150" s="21" t="s">
        <v>206</v>
      </c>
      <c r="D150" s="21" t="s">
        <v>202</v>
      </c>
      <c r="E150" s="13">
        <v>42865.954409722224</v>
      </c>
      <c r="F150" s="13">
        <v>42865.958645833336</v>
      </c>
      <c r="G150" s="7">
        <v>2</v>
      </c>
      <c r="H150" s="21" t="s">
        <v>891</v>
      </c>
      <c r="I150" s="13">
        <v>42865.984178240738</v>
      </c>
      <c r="J150" s="7">
        <v>0</v>
      </c>
      <c r="K150" s="92" t="str">
        <f t="shared" si="66"/>
        <v>4039/4040</v>
      </c>
      <c r="L150" s="21" t="str">
        <f>VLOOKUP(A150,'Trips&amp;Operators'!$C$1:$G$99999,5,FALSE)</f>
        <v>SWANSON BRYCE</v>
      </c>
      <c r="M150" s="6">
        <f t="shared" si="67"/>
        <v>2.5532407402351964E-2</v>
      </c>
      <c r="N150" s="7">
        <f t="shared" si="81"/>
        <v>36.766666659386829</v>
      </c>
      <c r="O150" s="7"/>
      <c r="P150" s="7"/>
      <c r="Q150" s="22"/>
      <c r="R150" s="190"/>
      <c r="S150" s="196">
        <f t="shared" si="82"/>
        <v>1</v>
      </c>
      <c r="T150" s="190" t="str">
        <f t="shared" si="68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69"/>
        <v>https://d0f6bd738d7f1b3e5a7ca70fe4ff75f0.us-east-1.aws.found.io/app/kibana#/discover/Steve-Slow-Train-Analysis-(2080s-and-2083s)?_g=(refreshInterval:(display:Off,pause:!f,section:0,value:0),time:(from:'2017-05-10T21:54:21-0600',mode:absolute,to:'2017-05-11T00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0" s="192" t="str">
        <f t="shared" si="70"/>
        <v>N</v>
      </c>
      <c r="X150" s="192">
        <f t="shared" si="80"/>
        <v>1</v>
      </c>
      <c r="Y150" s="192">
        <f t="shared" si="63"/>
        <v>4.5699999999999998E-2</v>
      </c>
      <c r="Z150" s="192">
        <f t="shared" si="64"/>
        <v>23.340699999999998</v>
      </c>
      <c r="AA150" s="192">
        <f t="shared" si="71"/>
        <v>23.294999999999998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2"/>
        <v>0237-10</v>
      </c>
      <c r="AE150" s="80" t="str">
        <f t="shared" si="73"/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AF150" s="77" t="str">
        <f t="shared" si="74"/>
        <v>"C:\Program Files (x86)\AstroGrep\AstroGrep.exe" /e /r /s /spath="%USERPROFILE%\AppData\Local\Temp\OnboardLogs" /stypes="app*4040*20170511*" /stext=" 05:.+((SYSTEM_STATE.+slice.+state.+changed )|(ment ac)|(multiple cpu faults)|(system.+state.+changed )|(\[timeout)|(PRM\|1\|D)|(kpr)|(kdp)|(train st.+moving)|(\|lc)|(penalty))"</v>
      </c>
      <c r="AG150" s="1" t="str">
        <f t="shared" si="75"/>
        <v>EC</v>
      </c>
      <c r="AH150" s="81" t="str">
        <f t="shared" si="76"/>
        <v>"%USERPROFILE%\Documents\GitHub\eaglep3\Utilities\RefineRTDCRunTimes.py" --tripid 237-10 --locoid 4040 --swversion DE.1.0.9.0 --startMP 204:457 --initTime 2017-05-10T22:54:21 --startdatetime 2017-05-10T23:00:27 --delay 2 --endMP 204:233407 --enddatetime 2017-05-10T23:37:13 --enforcementcount 0 &gt;&gt;C:\Users\stu\Documents\GitHub\eaglep3-reporting\EC\2017-05-10-refined-times.txt</v>
      </c>
      <c r="AI150" s="99" t="str">
        <f t="shared" si="77"/>
        <v>echo {"issue":{"subject":"","project_id":79,"tracker_id":40,"status_id":1,"priority_id":2,"assigned_to_id":23,"start_date":"2017-05-10","description":"","custom_fields":[{"id":1,"name":"Subdivision","value":"EC"},{"id":4,"name":"Milepost","value":"23.3407"},{"id":17,"name":"Train ID","value":"237-10"},{"id":16,"name":"Locomotive ID","value":"4040"},{"id":130,"name":"Impact","value":""},{"id":150,"name":"Time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78"/>
        <v>start /low /b %USERPROFILE%\Documents\GitHub\eaglep3\Utilities\DownloadLogsFromS3.py --loco 4040 --day 2017-05-10</v>
      </c>
      <c r="AN150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2" t="s">
        <v>805</v>
      </c>
      <c r="B151" s="7">
        <v>4039</v>
      </c>
      <c r="C151" s="21" t="s">
        <v>206</v>
      </c>
      <c r="D151" s="21" t="s">
        <v>892</v>
      </c>
      <c r="E151" s="13">
        <v>42865.994085648148</v>
      </c>
      <c r="F151" s="13">
        <v>42865.997523148151</v>
      </c>
      <c r="G151" s="7">
        <v>1</v>
      </c>
      <c r="H151" s="21" t="s">
        <v>368</v>
      </c>
      <c r="I151" s="13">
        <v>42866.025300925925</v>
      </c>
      <c r="J151" s="7">
        <v>0</v>
      </c>
      <c r="K151" s="92" t="str">
        <f t="shared" si="66"/>
        <v>4039/4040</v>
      </c>
      <c r="L151" s="21" t="str">
        <f>VLOOKUP(A151,'Trips&amp;Operators'!$C$1:$G$99999,5,FALSE)</f>
        <v>SWANSON BRYCE</v>
      </c>
      <c r="M151" s="6">
        <f t="shared" si="67"/>
        <v>2.7777777773735579E-2</v>
      </c>
      <c r="N151" s="7">
        <f t="shared" si="81"/>
        <v>39.999999994179234</v>
      </c>
      <c r="O151" s="7"/>
      <c r="P151" s="7"/>
      <c r="Q151" s="22"/>
      <c r="R151" s="190"/>
      <c r="S151" s="196">
        <f t="shared" si="82"/>
        <v>1</v>
      </c>
      <c r="T151" s="190" t="str">
        <f t="shared" si="68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69"/>
        <v>https://d0f6bd738d7f1b3e5a7ca70fe4ff75f0.us-east-1.aws.found.io/app/kibana#/discover/Steve-Slow-Train-Analysis-(2080s-and-2083s)?_g=(refreshInterval:(display:Off,pause:!f,section:0,value:0),time:(from:'2017-05-10T22:51:29-0600',mode:absolute,to:'2017-05-11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1" s="192" t="str">
        <f t="shared" si="70"/>
        <v>N</v>
      </c>
      <c r="X151" s="192">
        <f t="shared" si="80"/>
        <v>1</v>
      </c>
      <c r="Y151" s="192">
        <f t="shared" si="63"/>
        <v>23.309699999999999</v>
      </c>
      <c r="Z151" s="192">
        <f t="shared" si="64"/>
        <v>1.5599999999999999E-2</v>
      </c>
      <c r="AA151" s="192">
        <f t="shared" si="71"/>
        <v>23.2941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2"/>
        <v>0238-10</v>
      </c>
      <c r="AE151" s="80" t="str">
        <f t="shared" si="73"/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AF151" s="77" t="str">
        <f t="shared" si="74"/>
        <v>"C:\Program Files (x86)\AstroGrep\AstroGrep.exe" /e /r /s /spath="%USERPROFILE%\AppData\Local\Temp\OnboardLogs" /stypes="app*4039*20170511*" /stext=" 06:.+((SYSTEM_STATE.+slice.+state.+changed )|(ment ac)|(multiple cpu faults)|(system.+state.+changed )|(\[timeout)|(PRM\|1\|D)|(kpr)|(kdp)|(train st.+moving)|(\|lc)|(penalty))"</v>
      </c>
      <c r="AG151" s="1" t="str">
        <f t="shared" si="75"/>
        <v>EC</v>
      </c>
      <c r="AH151" s="81" t="str">
        <f t="shared" si="76"/>
        <v>"%USERPROFILE%\Documents\GitHub\eaglep3\Utilities\RefineRTDCRunTimes.py" --tripid 238-10 --locoid 4039 --swversion DE.1.0.9.0 --startMP 204:233097 --initTime 2017-05-10T23:51:29 --startdatetime 2017-05-10T23:56:26 --delay 1 --endMP 204:156 --enddatetime 2017-05-11T00:36:26 --enforcementcount 0 &gt;&gt;C:\Users\stu\Documents\GitHub\eaglep3-reporting\EC\2017-05-10-refined-times.txt</v>
      </c>
      <c r="AI151" s="99" t="str">
        <f t="shared" si="77"/>
        <v>echo {"issue":{"subject":"","project_id":79,"tracker_id":40,"status_id":1,"priority_id":2,"assigned_to_id":23,"start_date":"2017-05-11","description":"","custom_fields":[{"id":1,"name":"Subdivision","value":"EC"},{"id":4,"name":"Milepost","value":"0.0156"},{"id":17,"name":"Train ID","value":"238-10"},{"id":16,"name":"Locomotive ID","value":"4039"},{"id":130,"name":"Impact","value":""},{"id":150,"name":"Time of Event (Mountain Time)","value":"00:36:26"},{"id":151,"name":"Denver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78"/>
        <v>start /low /b %USERPROFILE%\Documents\GitHub\eaglep3\Utilities\DownloadLogsFromS3.py --loco 4039 --day 2017-05-10</v>
      </c>
      <c r="AN151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804</v>
      </c>
      <c r="B152" s="7">
        <v>4032</v>
      </c>
      <c r="C152" s="21" t="s">
        <v>206</v>
      </c>
      <c r="D152" s="21" t="s">
        <v>202</v>
      </c>
      <c r="E152" s="13">
        <v>42865.974374999998</v>
      </c>
      <c r="F152" s="13">
        <v>42865.979317129626</v>
      </c>
      <c r="G152" s="7">
        <v>1</v>
      </c>
      <c r="H152" s="21" t="s">
        <v>409</v>
      </c>
      <c r="I152" s="13">
        <v>42866.00476851852</v>
      </c>
      <c r="J152" s="7">
        <v>0</v>
      </c>
      <c r="K152" s="92" t="str">
        <f t="shared" si="66"/>
        <v>4031/4032</v>
      </c>
      <c r="L152" s="21" t="str">
        <f>VLOOKUP(A152,'Trips&amp;Operators'!$C$1:$G$99999,5,FALSE)</f>
        <v>ZEWDU DEREJE</v>
      </c>
      <c r="M152" s="6">
        <f t="shared" si="67"/>
        <v>2.5451388893998228E-2</v>
      </c>
      <c r="N152" s="7">
        <f t="shared" si="81"/>
        <v>36.650000007357448</v>
      </c>
      <c r="O152" s="7"/>
      <c r="P152" s="7"/>
      <c r="Q152" s="22"/>
      <c r="R152" s="190"/>
      <c r="S152" s="196">
        <f t="shared" si="82"/>
        <v>1</v>
      </c>
      <c r="T152" s="190" t="str">
        <f t="shared" si="68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69"/>
        <v>https://d0f6bd738d7f1b3e5a7ca70fe4ff75f0.us-east-1.aws.found.io/app/kibana#/discover/Steve-Slow-Train-Analysis-(2080s-and-2083s)?_g=(refreshInterval:(display:Off,pause:!f,section:0,value:0),time:(from:'2017-05-10T22:23:06-0600',mode:absolute,to:'2017-05-11T01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92" t="str">
        <f t="shared" si="70"/>
        <v>N</v>
      </c>
      <c r="X152" s="192">
        <f t="shared" si="80"/>
        <v>1</v>
      </c>
      <c r="Y152" s="192">
        <f t="shared" si="63"/>
        <v>4.5699999999999998E-2</v>
      </c>
      <c r="Z152" s="192">
        <f t="shared" si="64"/>
        <v>23.331199999999999</v>
      </c>
      <c r="AA152" s="192">
        <f t="shared" si="71"/>
        <v>23.285499999999999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72"/>
        <v>0239-10</v>
      </c>
      <c r="AE152" s="80" t="str">
        <f t="shared" si="73"/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AF152" s="77" t="str">
        <f t="shared" si="74"/>
        <v>"C:\Program Files (x86)\AstroGrep\AstroGrep.exe" /e /r /s /spath="%USERPROFILE%\AppData\Local\Temp\OnboardLogs" /stypes="app*4032*20170511*" /stext=" 06:.+((SYSTEM_STATE.+slice.+state.+changed )|(ment ac)|(multiple cpu faults)|(system.+state.+changed )|(\[timeout)|(PRM\|1\|D)|(kpr)|(kdp)|(train st.+moving)|(\|lc)|(penalty))"</v>
      </c>
      <c r="AG152" s="1" t="str">
        <f t="shared" si="75"/>
        <v>EC</v>
      </c>
      <c r="AH152" s="81" t="str">
        <f t="shared" si="76"/>
        <v>"%USERPROFILE%\Documents\GitHub\eaglep3\Utilities\RefineRTDCRunTimes.py" --tripid 239-10 --locoid 4032 --swversion DE.1.0.9.0 --startMP 204:457 --initTime 2017-05-10T23:23:06 --startdatetime 2017-05-10T23:30:13 --delay 1 --endMP 204:233312 --enddatetime 2017-05-11T00:06:52 --enforcementcount 0 &gt;&gt;C:\Users\stu\Documents\GitHub\eaglep3-reporting\EC\2017-05-10-refined-times.txt</v>
      </c>
      <c r="AI152" s="99" t="str">
        <f t="shared" si="77"/>
        <v>echo {"issue":{"subject":"","project_id":79,"tracker_id":40,"status_id":1,"priority_id":2,"assigned_to_id":23,"start_date":"2017-05-11","description":"","custom_fields":[{"id":1,"name":"Subdivision","value":"EC"},{"id":4,"name":"Milepost","value":"23.3312"},{"id":17,"name":"Train ID","value":"239-10"},{"id":16,"name":"Locomotive ID","value":"4032"},{"id":130,"name":"Impact","value":""},{"id":150,"name":"Time of Event (Mountain Time)","value":"00:06:52"},{"id":151,"name":"Denver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8"/>
        <v>start /low /b %USERPROFILE%\Documents\GitHub\eaglep3\Utilities\DownloadLogsFromS3.py --loco 4032 --day 2017-05-10</v>
      </c>
      <c r="AN152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807</v>
      </c>
      <c r="B153" s="7">
        <v>4031</v>
      </c>
      <c r="C153" s="21" t="s">
        <v>206</v>
      </c>
      <c r="D153" s="21" t="s">
        <v>893</v>
      </c>
      <c r="E153" s="13">
        <v>42866.01494212963</v>
      </c>
      <c r="F153" s="13">
        <v>42866.018275462964</v>
      </c>
      <c r="G153" s="7">
        <v>1</v>
      </c>
      <c r="H153" s="21" t="s">
        <v>358</v>
      </c>
      <c r="I153" s="13">
        <v>42866.045949074076</v>
      </c>
      <c r="J153" s="7">
        <v>0</v>
      </c>
      <c r="K153" s="92" t="str">
        <f t="shared" si="66"/>
        <v>4031/4032</v>
      </c>
      <c r="L153" s="21" t="str">
        <f>VLOOKUP(A153,'Trips&amp;Operators'!$C$1:$G$99999,5,FALSE)</f>
        <v>ZEWDU DEREJE</v>
      </c>
      <c r="M153" s="6">
        <f t="shared" si="67"/>
        <v>2.7673611111822538E-2</v>
      </c>
      <c r="N153" s="7">
        <f t="shared" si="81"/>
        <v>39.850000001024455</v>
      </c>
      <c r="O153" s="7"/>
      <c r="P153" s="7"/>
      <c r="Q153" s="22"/>
      <c r="R153" s="190"/>
      <c r="S153" s="196">
        <f t="shared" si="82"/>
        <v>1</v>
      </c>
      <c r="T153" s="190" t="str">
        <f t="shared" si="68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69"/>
        <v>https://d0f6bd738d7f1b3e5a7ca70fe4ff75f0.us-east-1.aws.found.io/app/kibana#/discover/Steve-Slow-Train-Analysis-(2080s-and-2083s)?_g=(refreshInterval:(display:Off,pause:!f,section:0,value:0),time:(from:'2017-05-10T23:21:31-0600',mode:absolute,to:'2017-05-11T02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3" s="192" t="str">
        <f t="shared" si="70"/>
        <v>N</v>
      </c>
      <c r="X153" s="192">
        <f t="shared" si="80"/>
        <v>1</v>
      </c>
      <c r="Y153" s="192">
        <f t="shared" si="63"/>
        <v>23.298400000000001</v>
      </c>
      <c r="Z153" s="192">
        <f t="shared" si="64"/>
        <v>1.4999999999999999E-2</v>
      </c>
      <c r="AA153" s="192">
        <f t="shared" si="71"/>
        <v>23.2834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2"/>
        <v>0240-10</v>
      </c>
      <c r="AE153" s="80" t="str">
        <f t="shared" si="73"/>
        <v>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 &amp; 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</v>
      </c>
      <c r="AF153" s="77" t="str">
        <f t="shared" si="74"/>
        <v>"C:\Program Files (x86)\AstroGrep\AstroGrep.exe" /e /r /s /spath="%USERPROFILE%\AppData\Local\Temp\OnboardLogs" /stypes="app*4031*20170511*" /stext=" 07:.+((SYSTEM_STATE.+slice.+state.+changed )|(ment ac)|(multiple cpu faults)|(system.+state.+changed )|(\[timeout)|(PRM\|1\|D)|(kpr)|(kdp)|(train st.+moving)|(\|lc)|(penalty))"</v>
      </c>
      <c r="AG153" s="1" t="str">
        <f t="shared" si="75"/>
        <v>EC</v>
      </c>
      <c r="AH153" s="81" t="str">
        <f t="shared" si="76"/>
        <v>"%USERPROFILE%\Documents\GitHub\eaglep3\Utilities\RefineRTDCRunTimes.py" --tripid 240-10 --locoid 4031 --swversion DE.1.0.9.0 --startMP 204:232984 --initTime 2017-05-11T00:21:31 --startdatetime 2017-05-11T00:26:19 --delay 1 --endMP 204:150 --enddatetime 2017-05-11T01:06:10 --enforcementcount 0 &gt;&gt;C:\Users\stu\Documents\GitHub\eaglep3-reporting\EC\2017-05-10-refined-times.txt</v>
      </c>
      <c r="AI153" s="99" t="str">
        <f t="shared" si="77"/>
        <v>echo {"issue":{"subject":"","project_id":79,"tracker_id":40,"status_id":1,"priority_id":2,"assigned_to_id":23,"start_date":"2017-05-11","description":"","custom_fields":[{"id":1,"name":"Subdivision","value":"EC"},{"id":4,"name":"Milepost","value":"0.015"},{"id":17,"name":"Train ID","value":"240-10"},{"id":16,"name":"Locomotive ID","value":"4031"},{"id":130,"name":"Impact","value":""},{"id":150,"name":"Time of Event (Mountain Time)","value":"01:06:10"},{"id":151,"name":"Denver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78"/>
        <v>start /low /b %USERPROFILE%\Documents\GitHub\eaglep3\Utilities\DownloadLogsFromS3.py --loco 4031 --day 2017-05-11</v>
      </c>
      <c r="AN153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806</v>
      </c>
      <c r="B154" s="7">
        <v>4012</v>
      </c>
      <c r="C154" s="21" t="s">
        <v>206</v>
      </c>
      <c r="D154" s="21" t="s">
        <v>395</v>
      </c>
      <c r="E154" s="13">
        <v>42865.995856481481</v>
      </c>
      <c r="F154" s="13">
        <v>42866.000196759262</v>
      </c>
      <c r="G154" s="7">
        <v>2</v>
      </c>
      <c r="H154" s="21" t="s">
        <v>841</v>
      </c>
      <c r="I154" s="13">
        <v>42866.025891203702</v>
      </c>
      <c r="J154" s="7">
        <v>0</v>
      </c>
      <c r="K154" s="92" t="str">
        <f t="shared" si="66"/>
        <v>4011/4012</v>
      </c>
      <c r="L154" s="21" t="str">
        <f>VLOOKUP(A154,'Trips&amp;Operators'!$C$1:$G$99999,5,FALSE)</f>
        <v>BROWN JACOB</v>
      </c>
      <c r="M154" s="6">
        <f t="shared" si="67"/>
        <v>2.569444444088731E-2</v>
      </c>
      <c r="N154" s="7">
        <f t="shared" si="81"/>
        <v>36.999999994877726</v>
      </c>
      <c r="O154" s="7"/>
      <c r="P154" s="7"/>
      <c r="Q154" s="22"/>
      <c r="R154" s="190"/>
      <c r="S154" s="196">
        <f t="shared" si="82"/>
        <v>1</v>
      </c>
      <c r="T154" s="190" t="str">
        <f t="shared" si="68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69"/>
        <v>https://d0f6bd738d7f1b3e5a7ca70fe4ff75f0.us-east-1.aws.found.io/app/kibana#/discover/Steve-Slow-Train-Analysis-(2080s-and-2083s)?_g=(refreshInterval:(display:Off,pause:!f,section:0,value:0),time:(from:'2017-05-10T22:54:02-0600',mode:absolute,to:'2017-05-11T01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192" t="str">
        <f t="shared" si="70"/>
        <v>N</v>
      </c>
      <c r="X154" s="192">
        <f t="shared" si="80"/>
        <v>1</v>
      </c>
      <c r="Y154" s="192">
        <f t="shared" si="63"/>
        <v>4.5499999999999999E-2</v>
      </c>
      <c r="Z154" s="192">
        <f t="shared" si="64"/>
        <v>23.330500000000001</v>
      </c>
      <c r="AA154" s="192">
        <f t="shared" si="71"/>
        <v>23.285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2"/>
        <v>0241-10</v>
      </c>
      <c r="AE154" s="80" t="str">
        <f t="shared" si="73"/>
        <v>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 &amp; 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</v>
      </c>
      <c r="AF154" s="77" t="str">
        <f t="shared" si="74"/>
        <v>"C:\Program Files (x86)\AstroGrep\AstroGrep.exe" /e /r /s /spath="%USERPROFILE%\AppData\Local\Temp\OnboardLogs" /stypes="app*4012*20170511*" /stext=" 06:.+((SYSTEM_STATE.+slice.+state.+changed )|(ment ac)|(multiple cpu faults)|(system.+state.+changed )|(\[timeout)|(PRM\|1\|D)|(kpr)|(kdp)|(train st.+moving)|(\|lc)|(penalty))"</v>
      </c>
      <c r="AG154" s="1" t="str">
        <f t="shared" si="75"/>
        <v>EC</v>
      </c>
      <c r="AH154" s="81" t="str">
        <f t="shared" si="76"/>
        <v>"%USERPROFILE%\Documents\GitHub\eaglep3\Utilities\RefineRTDCRunTimes.py" --tripid 241-10 --locoid 4012 --swversion DE.1.0.9.0 --startMP 204:455 --initTime 2017-05-10T23:54:02 --startdatetime 2017-05-11T00:00:17 --delay 2 --endMP 204:233305 --enddatetime 2017-05-11T00:37:17 --enforcementcount 0 &gt;&gt;C:\Users\stu\Documents\GitHub\eaglep3-reporting\EC\2017-05-10-refined-times.txt</v>
      </c>
      <c r="AI154" s="99" t="str">
        <f t="shared" si="77"/>
        <v>echo {"issue":{"subject":"","project_id":79,"tracker_id":40,"status_id":1,"priority_id":2,"assigned_to_id":23,"start_date":"2017-05-11","description":"","custom_fields":[{"id":1,"name":"Subdivision","value":"EC"},{"id":4,"name":"Milepost","value":"23.3305"},{"id":17,"name":"Train ID","value":"241-10"},{"id":16,"name":"Locomotive ID","value":"4012"},{"id":130,"name":"Impact","value":""},{"id":150,"name":"Time of Event (Mountain Time)","value":"00:37:17"},{"id":151,"name":"Denver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8"/>
        <v>start /low /b %USERPROFILE%\Documents\GitHub\eaglep3\Utilities\DownloadLogsFromS3.py --loco 4012 --day 2017-05-11</v>
      </c>
      <c r="AN154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06:37:17"},{"id":29,"name":"Sharepoint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810</v>
      </c>
      <c r="B155" s="7">
        <v>4011</v>
      </c>
      <c r="C155" s="21" t="s">
        <v>206</v>
      </c>
      <c r="D155" s="21" t="s">
        <v>472</v>
      </c>
      <c r="E155" s="13">
        <v>42866.032557870371</v>
      </c>
      <c r="F155" s="13">
        <v>42866.039027777777</v>
      </c>
      <c r="G155" s="7">
        <v>1</v>
      </c>
      <c r="H155" s="21" t="s">
        <v>353</v>
      </c>
      <c r="I155" s="13">
        <v>42866.066446759258</v>
      </c>
      <c r="J155" s="7">
        <v>0</v>
      </c>
      <c r="K155" s="92" t="str">
        <f t="shared" si="66"/>
        <v>4011/4012</v>
      </c>
      <c r="L155" s="21" t="str">
        <f>VLOOKUP(A155,'Trips&amp;Operators'!$C$1:$G$99999,5,FALSE)</f>
        <v>BROWN JACOB</v>
      </c>
      <c r="M155" s="6">
        <f t="shared" si="67"/>
        <v>2.7418981480877846E-2</v>
      </c>
      <c r="N155" s="7">
        <f t="shared" si="81"/>
        <v>39.483333332464099</v>
      </c>
      <c r="O155" s="7"/>
      <c r="P155" s="7"/>
      <c r="Q155" s="22"/>
      <c r="R155" s="190"/>
      <c r="S155" s="196">
        <f t="shared" si="82"/>
        <v>1</v>
      </c>
      <c r="T155" s="190" t="str">
        <f t="shared" si="68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69"/>
        <v>https://d0f6bd738d7f1b3e5a7ca70fe4ff75f0.us-east-1.aws.found.io/app/kibana#/discover/Steve-Slow-Train-Analysis-(2080s-and-2083s)?_g=(refreshInterval:(display:Off,pause:!f,section:0,value:0),time:(from:'2017-05-10T23:46:53-0600',mode:absolute,to:'2017-05-11T02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192" t="str">
        <f t="shared" si="70"/>
        <v>N</v>
      </c>
      <c r="X155" s="192">
        <f t="shared" si="80"/>
        <v>1</v>
      </c>
      <c r="Y155" s="192">
        <f t="shared" si="63"/>
        <v>23.2986</v>
      </c>
      <c r="Z155" s="192">
        <f t="shared" si="64"/>
        <v>1.4500000000000001E-2</v>
      </c>
      <c r="AA155" s="192">
        <f t="shared" si="71"/>
        <v>23.284099999999999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72"/>
        <v>0242-10</v>
      </c>
      <c r="AE155" s="80" t="str">
        <f t="shared" si="73"/>
        <v>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 &amp; 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</v>
      </c>
      <c r="AF155" s="77" t="str">
        <f t="shared" si="74"/>
        <v>"C:\Program Files (x86)\AstroGrep\AstroGrep.exe" /e /r /s /spath="%USERPROFILE%\AppData\Local\Temp\OnboardLogs" /stypes="app*4011*20170511*" /stext=" 07:.+((SYSTEM_STATE.+slice.+state.+changed )|(ment ac)|(multiple cpu faults)|(system.+state.+changed )|(\[timeout)|(PRM\|1\|D)|(kpr)|(kdp)|(train st.+moving)|(\|lc)|(penalty))"</v>
      </c>
      <c r="AG155" s="1" t="str">
        <f t="shared" si="75"/>
        <v>EC</v>
      </c>
      <c r="AH155" s="81" t="str">
        <f t="shared" si="76"/>
        <v>"%USERPROFILE%\Documents\GitHub\eaglep3\Utilities\RefineRTDCRunTimes.py" --tripid 242-10 --locoid 4011 --swversion DE.1.0.9.0 --startMP 204:232986 --initTime 2017-05-11T00:46:53 --startdatetime 2017-05-11T00:56:12 --delay 1 --endMP 204:145 --enddatetime 2017-05-11T01:35:41 --enforcementcount 0 &gt;&gt;C:\Users\stu\Documents\GitHub\eaglep3-reporting\EC\2017-05-10-refined-times.txt</v>
      </c>
      <c r="AI155" s="99" t="str">
        <f t="shared" si="77"/>
        <v>echo {"issue":{"subject":"","project_id":79,"tracker_id":40,"status_id":1,"priority_id":2,"assigned_to_id":23,"start_date":"2017-05-11","description":"","custom_fields":[{"id":1,"name":"Subdivision","value":"EC"},{"id":4,"name":"Milepost","value":"0.0145"},{"id":17,"name":"Train ID","value":"242-10"},{"id":16,"name":"Locomotive ID","value":"4011"},{"id":130,"name":"Impact","value":""},{"id":150,"name":"Time of Event (Mountain Time)","value":"01:35:41"},{"id":151,"name":"Denver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78"/>
        <v>start /low /b %USERPROFILE%\Documents\GitHub\eaglep3\Utilities\DownloadLogsFromS3.py --loco 4011 --day 2017-05-11</v>
      </c>
      <c r="AN155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808</v>
      </c>
      <c r="B156" s="7">
        <v>4018</v>
      </c>
      <c r="C156" s="21" t="s">
        <v>206</v>
      </c>
      <c r="D156" s="21" t="s">
        <v>371</v>
      </c>
      <c r="E156" s="13">
        <v>42866.016886574071</v>
      </c>
      <c r="F156" s="13">
        <v>42866.020972222221</v>
      </c>
      <c r="G156" s="7">
        <v>1</v>
      </c>
      <c r="H156" s="21" t="s">
        <v>469</v>
      </c>
      <c r="I156" s="13">
        <v>42866.045185185183</v>
      </c>
      <c r="J156" s="7">
        <v>0</v>
      </c>
      <c r="K156" s="92" t="str">
        <f t="shared" si="66"/>
        <v>4017/4018</v>
      </c>
      <c r="L156" s="21" t="str">
        <f>VLOOKUP(A156,'Trips&amp;Operators'!$C$1:$G$99999,5,FALSE)</f>
        <v>NEWELL JAMES</v>
      </c>
      <c r="M156" s="6">
        <f t="shared" si="67"/>
        <v>2.421296296233777E-2</v>
      </c>
      <c r="N156" s="7">
        <f t="shared" si="81"/>
        <v>34.866666665766388</v>
      </c>
      <c r="O156" s="7"/>
      <c r="P156" s="7"/>
      <c r="Q156" s="22"/>
      <c r="R156" s="190"/>
      <c r="S156" s="196">
        <f t="shared" si="82"/>
        <v>1</v>
      </c>
      <c r="T156" s="190" t="str">
        <f t="shared" si="68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69"/>
        <v>https://d0f6bd738d7f1b3e5a7ca70fe4ff75f0.us-east-1.aws.found.io/app/kibana#/discover/Steve-Slow-Train-Analysis-(2080s-and-2083s)?_g=(refreshInterval:(display:Off,pause:!f,section:0,value:0),time:(from:'2017-05-10T23:24:19-0600',mode:absolute,to:'2017-05-11T02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92" t="str">
        <f t="shared" si="70"/>
        <v>N</v>
      </c>
      <c r="X156" s="192">
        <f t="shared" si="80"/>
        <v>1</v>
      </c>
      <c r="Y156" s="192">
        <f t="shared" si="63"/>
        <v>4.3999999999999997E-2</v>
      </c>
      <c r="Z156" s="192">
        <f t="shared" si="64"/>
        <v>23.3293</v>
      </c>
      <c r="AA156" s="192">
        <f t="shared" si="71"/>
        <v>23.285299999999999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72"/>
        <v>0243-10</v>
      </c>
      <c r="AE156" s="80" t="str">
        <f t="shared" si="73"/>
        <v>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 &amp; aws s3 cp s3://rtdc.mdm.uploadarchive.raw/RTDC4018/ "%USERPROFILE%\AppData\Local\Temp\OnboardLogs"\RTDC4018\2017-05-12 --exclude "*" --recursive --include "*20170512*" &amp; "%USERPROFILE%\Documents\GitHub\mrs-test-scripts\Headless Mode &amp; Sideloading\WalkAndUnGZ.bat" "%USERPROFILE%\AppData\Local\Temp\OnboardLogs"\RTDC4018\2017-05-12</v>
      </c>
      <c r="AF156" s="77" t="str">
        <f t="shared" si="74"/>
        <v>"C:\Program Files (x86)\AstroGrep\AstroGrep.exe" /e /r /s /spath="%USERPROFILE%\AppData\Local\Temp\OnboardLogs" /stypes="app*4018*20170511*" /stext=" 07:.+((SYSTEM_STATE.+slice.+state.+changed )|(ment ac)|(multiple cpu faults)|(system.+state.+changed )|(\[timeout)|(PRM\|1\|D)|(kpr)|(kdp)|(train st.+moving)|(\|lc)|(penalty))"</v>
      </c>
      <c r="AG156" s="1" t="str">
        <f t="shared" si="75"/>
        <v>EC</v>
      </c>
      <c r="AH156" s="81" t="str">
        <f t="shared" si="76"/>
        <v>"%USERPROFILE%\Documents\GitHub\eaglep3\Utilities\RefineRTDCRunTimes.py" --tripid 243-10 --locoid 4018 --swversion DE.1.0.9.0 --startMP 204:440 --initTime 2017-05-11T00:24:19 --startdatetime 2017-05-11T00:30:12 --delay 1 --endMP 204:233293 --enddatetime 2017-05-11T01:05:04 --enforcementcount 0 &gt;&gt;C:\Users\stu\Documents\GitHub\eaglep3-reporting\EC\2017-05-10-refined-times.txt</v>
      </c>
      <c r="AI156" s="99" t="str">
        <f t="shared" si="77"/>
        <v>echo {"issue":{"subject":"","project_id":79,"tracker_id":40,"status_id":1,"priority_id":2,"assigned_to_id":23,"start_date":"2017-05-11","description":"","custom_fields":[{"id":1,"name":"Subdivision","value":"EC"},{"id":4,"name":"Milepost","value":"23.3293"},{"id":17,"name":"Train ID","value":"243-10"},{"id":16,"name":"Locomotive ID","value":"4018"},{"id":130,"name":"Impact","value":""},{"id":150,"name":"Time of Event (Mountain Time)","value":"01:05:04"},{"id":151,"name":"Denver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78"/>
        <v>start /low /b %USERPROFILE%\Documents\GitHub\eaglep3\Utilities\DownloadLogsFromS3.py --loco 4018 --day 2017-05-11</v>
      </c>
      <c r="AN156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812</v>
      </c>
      <c r="B157" s="7">
        <v>4017</v>
      </c>
      <c r="C157" s="21" t="s">
        <v>206</v>
      </c>
      <c r="D157" s="21" t="s">
        <v>520</v>
      </c>
      <c r="E157" s="13">
        <v>42866.056377314817</v>
      </c>
      <c r="F157" s="13">
        <v>42866.059884259259</v>
      </c>
      <c r="G157" s="7">
        <v>0</v>
      </c>
      <c r="H157" s="21" t="s">
        <v>354</v>
      </c>
      <c r="I157" s="13">
        <v>42866.086319444446</v>
      </c>
      <c r="J157" s="7">
        <v>0</v>
      </c>
      <c r="K157" s="92" t="str">
        <f t="shared" si="66"/>
        <v>4017/4018</v>
      </c>
      <c r="L157" s="21" t="str">
        <f>VLOOKUP(A157,'Trips&amp;Operators'!$C$1:$G$99999,5,FALSE)</f>
        <v>NEWELL JAMES</v>
      </c>
      <c r="M157" s="6">
        <f t="shared" si="67"/>
        <v>2.6435185187438037E-2</v>
      </c>
      <c r="N157" s="7">
        <f t="shared" si="81"/>
        <v>38.066666669910774</v>
      </c>
      <c r="O157" s="7"/>
      <c r="P157" s="7"/>
      <c r="Q157" s="22"/>
      <c r="R157" s="190"/>
      <c r="S157" s="196">
        <f t="shared" si="82"/>
        <v>1</v>
      </c>
      <c r="T157" s="190" t="str">
        <f t="shared" si="68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69"/>
        <v>https://d0f6bd738d7f1b3e5a7ca70fe4ff75f0.us-east-1.aws.found.io/app/kibana#/discover/Steve-Slow-Train-Analysis-(2080s-and-2083s)?_g=(refreshInterval:(display:Off,pause:!f,section:0,value:0),time:(from:'2017-05-11T00:21:11-0600',mode:absolute,to:'2017-05-11T03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2" t="str">
        <f t="shared" si="70"/>
        <v>N</v>
      </c>
      <c r="X157" s="192">
        <f t="shared" si="80"/>
        <v>1</v>
      </c>
      <c r="Y157" s="192">
        <f t="shared" si="63"/>
        <v>23.297999999999998</v>
      </c>
      <c r="Z157" s="192">
        <f t="shared" si="64"/>
        <v>1.6E-2</v>
      </c>
      <c r="AA157" s="192">
        <f t="shared" si="71"/>
        <v>23.282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72"/>
        <v>0244-10</v>
      </c>
      <c r="AE157" s="80" t="str">
        <f t="shared" si="73"/>
        <v>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 &amp; aws s3 cp s3://rtdc.mdm.uploadarchive.raw/RTDC4017/ "%USERPROFILE%\AppData\Local\Temp\OnboardLogs"\RTDC4017\2017-05-12 --exclude "*" --recursive --include "*20170512*" &amp; "%USERPROFILE%\Documents\GitHub\mrs-test-scripts\Headless Mode &amp; Sideloading\WalkAndUnGZ.bat" "%USERPROFILE%\AppData\Local\Temp\OnboardLogs"\RTDC4017\2017-05-12</v>
      </c>
      <c r="AF157" s="77" t="str">
        <f t="shared" si="74"/>
        <v>"C:\Program Files (x86)\AstroGrep\AstroGrep.exe" /e /r /s /spath="%USERPROFILE%\AppData\Local\Temp\OnboardLogs" /stypes="app*4017*20170511*" /stext=" 08:.+((SYSTEM_STATE.+slice.+state.+changed )|(ment ac)|(multiple cpu faults)|(system.+state.+changed )|(\[timeout)|(PRM\|1\|D)|(kpr)|(kdp)|(train st.+moving)|(\|lc)|(penalty))"</v>
      </c>
      <c r="AG157" s="1" t="str">
        <f t="shared" si="75"/>
        <v>EC</v>
      </c>
      <c r="AH157" s="81" t="str">
        <f t="shared" si="76"/>
        <v>"%USERPROFILE%\Documents\GitHub\eaglep3\Utilities\RefineRTDCRunTimes.py" --tripid 244-10 --locoid 4017 --swversion DE.1.0.9.0 --startMP 204:232980 --initTime 2017-05-11T01:21:11 --startdatetime 2017-05-11T01:26:14 --delay 0 --endMP 204:160 --enddatetime 2017-05-11T02:04:18 --enforcementcount 0 &gt;&gt;C:\Users\stu\Documents\GitHub\eaglep3-reporting\EC\2017-05-10-refined-times.txt</v>
      </c>
      <c r="AI157" s="99" t="str">
        <f t="shared" si="77"/>
        <v>echo {"issue":{"subject":"","project_id":79,"tracker_id":40,"status_id":1,"priority_id":2,"assigned_to_id":23,"start_date":"2017-05-11","description":"","custom_fields":[{"id":1,"name":"Subdivision","value":"EC"},{"id":4,"name":"Milepost","value":"0.016"},{"id":17,"name":"Train ID","value":"244-10"},{"id":16,"name":"Locomotive ID","value":"4017"},{"id":130,"name":"Impact","value":""},{"id":150,"name":"Time of Event (Mountain Time)","value":"02:04:18"},{"id":151,"name":"Denver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78"/>
        <v>start /low /b %USERPROFILE%\Documents\GitHub\eaglep3\Utilities\DownloadLogsFromS3.py --loco 4017 --day 2017-05-11</v>
      </c>
      <c r="AN157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08:04:18"},{"id":29,"name":"Sharepoint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620</v>
      </c>
      <c r="B158" s="7">
        <v>4025</v>
      </c>
      <c r="C158" s="21" t="s">
        <v>206</v>
      </c>
      <c r="D158" s="21" t="s">
        <v>958</v>
      </c>
      <c r="E158" s="13">
        <v>42865.214629629627</v>
      </c>
      <c r="F158" s="13">
        <v>42865.217326388891</v>
      </c>
      <c r="G158" s="7">
        <v>1</v>
      </c>
      <c r="H158" s="21" t="s">
        <v>959</v>
      </c>
      <c r="I158" s="13">
        <v>42865.225844907407</v>
      </c>
      <c r="J158" s="7">
        <v>0</v>
      </c>
      <c r="K158" s="92" t="str">
        <f t="shared" si="66"/>
        <v>4025/4026</v>
      </c>
      <c r="L158" s="21" t="str">
        <f>VLOOKUP(A158,'Trips&amp;Operators'!$C$1:$G$99999,5,FALSE)</f>
        <v>YORK EDGAR</v>
      </c>
      <c r="M158" s="6">
        <f t="shared" si="67"/>
        <v>8.5185185162117705E-3</v>
      </c>
      <c r="N158" s="7">
        <f t="shared" si="81"/>
        <v>12.266666663344949</v>
      </c>
      <c r="O158" s="7"/>
      <c r="P158" s="7"/>
      <c r="Q158" s="22"/>
      <c r="R158" s="190"/>
      <c r="S158" s="196">
        <f t="shared" si="82"/>
        <v>1</v>
      </c>
      <c r="T158" s="190" t="str">
        <f t="shared" si="68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69"/>
        <v>https://d0f6bd738d7f1b3e5a7ca70fe4ff75f0.us-east-1.aws.found.io/app/kibana#/discover/Steve-Slow-Train-Analysis-(2080s-and-2083s)?_g=(refreshInterval:(display:Off,pause:!f,section:0,value:0),time:(from:'2017-05-10T04:09:04-0600',mode:absolute,to:'2017-05-10T06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192" t="str">
        <f t="shared" si="70"/>
        <v>N</v>
      </c>
      <c r="X158" s="192">
        <f t="shared" si="80"/>
        <v>556</v>
      </c>
      <c r="Y158" s="192">
        <f t="shared" si="63"/>
        <v>5.8647</v>
      </c>
      <c r="Z158" s="192">
        <f t="shared" si="64"/>
        <v>7.6600000000000001E-2</v>
      </c>
      <c r="AA158" s="192">
        <f t="shared" si="71"/>
        <v>5.7881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72"/>
        <v>0800-10</v>
      </c>
      <c r="AE158" s="80" t="str">
        <f t="shared" si="73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158" s="77" t="str">
        <f t="shared" si="74"/>
        <v>"C:\Program Files (x86)\AstroGrep\AstroGrep.exe" /e /r /s /spath="%USERPROFILE%\AppData\Local\Temp\OnboardLogs" /stypes="app*4025*20170510*" /stext=" 11:.+((SYSTEM_STATE.+slice.+state.+changed )|(ment ac)|(multiple cpu faults)|(system.+state.+changed )|(\[timeout)|(PRM\|1\|D)|(kpr)|(kdp)|(train st.+moving)|(\|lc)|(penalty))"</v>
      </c>
      <c r="AG158" s="1" t="str">
        <f t="shared" si="75"/>
        <v>NW</v>
      </c>
      <c r="AH158" s="81" t="str">
        <f t="shared" si="76"/>
        <v>"%USERPROFILE%\Documents\GitHub\eaglep3\Utilities\RefineRTDCRunTimes.py" --tripid 800-10 --locoid 4025 --swversion DE.1.0.9.0 --startMP 300:58647 --initTime 2017-05-10T05:09:04 --startdatetime 2017-05-10T05:12:57 --delay 1 --endMP 204:766 --enddatetime 2017-05-10T05:25:13 --enforcementcount 0 &gt;&gt;C:\Users\stu\Documents\GitHub\eaglep3-reporting\EC\2017-05-10-refined-times.txt</v>
      </c>
      <c r="AI158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{"issue":{"subject":"","project_id":79,"tracker_id":40,"status_id":1,"priority_id":2,"assigned_to_id":23,"start_date":"2017-05-10","description":"","custom_fields":[{"id":1,"name":"Subdivision","value":"NW"},{"id":4,"name":"Milepost","value":"0.0766"},{"id":17,"name":"Train ID","value":"800-10"},{"id":16,"name":"Locomotive ID","value":"4025"},{"id":130,"name":"Impact","value":""},{"id":150,"name":"Time of Event (Mountain Time)","value":"05:25:13"},{"id":151,"name":"Denver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78"/>
        <v>start /low /b %USERPROFILE%\Documents\GitHub\eaglep3\Utilities\DownloadLogsFromS3.py --loco 4025 --day 2017-05-10</v>
      </c>
      <c r="AN158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11:25:13"},{"id":29,"name":"Sharepoint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625</v>
      </c>
      <c r="B159" s="7">
        <v>4026</v>
      </c>
      <c r="C159" s="21" t="s">
        <v>206</v>
      </c>
      <c r="D159" s="21" t="s">
        <v>960</v>
      </c>
      <c r="E159" s="13">
        <v>42865.226909722223</v>
      </c>
      <c r="F159" s="13">
        <v>42865.244328703702</v>
      </c>
      <c r="G159" s="7">
        <v>1</v>
      </c>
      <c r="H159" s="21" t="s">
        <v>961</v>
      </c>
      <c r="I159" s="13">
        <v>42865.25371527778</v>
      </c>
      <c r="J159" s="7">
        <v>0</v>
      </c>
      <c r="K159" s="92" t="str">
        <f t="shared" si="66"/>
        <v>4025/4026</v>
      </c>
      <c r="L159" s="21" t="str">
        <f>VLOOKUP(A159,'Trips&amp;Operators'!$C$1:$G$99999,5,FALSE)</f>
        <v>YORK EDGAR</v>
      </c>
      <c r="M159" s="6">
        <f t="shared" si="67"/>
        <v>9.3865740782348439E-3</v>
      </c>
      <c r="N159" s="7">
        <f t="shared" si="81"/>
        <v>13.516666672658175</v>
      </c>
      <c r="O159" s="7"/>
      <c r="P159" s="7"/>
      <c r="Q159" s="22"/>
      <c r="R159" s="190"/>
      <c r="S159" s="196">
        <f t="shared" si="82"/>
        <v>1</v>
      </c>
      <c r="T159" s="190" t="str">
        <f t="shared" si="68"/>
        <v>NorthBound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69"/>
        <v>https://d0f6bd738d7f1b3e5a7ca70fe4ff75f0.us-east-1.aws.found.io/app/kibana#/discover/Steve-Slow-Train-Analysis-(2080s-and-2083s)?_g=(refreshInterval:(display:Off,pause:!f,section:0,value:0),time:(from:'2017-05-10T04:26:45-0600',mode:absolute,to:'2017-05-10T07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9" s="192" t="str">
        <f t="shared" si="70"/>
        <v>N</v>
      </c>
      <c r="X159" s="192">
        <f t="shared" si="80"/>
        <v>1</v>
      </c>
      <c r="Y159" s="192">
        <f t="shared" si="63"/>
        <v>0.10299999999999999</v>
      </c>
      <c r="Z159" s="192">
        <f t="shared" si="64"/>
        <v>5.8929</v>
      </c>
      <c r="AA159" s="192">
        <f t="shared" si="71"/>
        <v>5.7899000000000003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72"/>
        <v>0801-10</v>
      </c>
      <c r="AE159" s="80" t="str">
        <f t="shared" si="73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159" s="77" t="str">
        <f t="shared" si="74"/>
        <v>"C:\Program Files (x86)\AstroGrep\AstroGrep.exe" /e /r /s /spath="%USERPROFILE%\AppData\Local\Temp\OnboardLogs" /stypes="app*4026*20170510*" /stext=" 12:.+((SYSTEM_STATE.+slice.+state.+changed )|(ment ac)|(multiple cpu faults)|(system.+state.+changed )|(\[timeout)|(PRM\|1\|D)|(kpr)|(kdp)|(train st.+moving)|(\|lc)|(penalty))"</v>
      </c>
      <c r="AG159" s="1" t="str">
        <f t="shared" si="75"/>
        <v>NW</v>
      </c>
      <c r="AH159" s="81" t="str">
        <f t="shared" si="76"/>
        <v>"%USERPROFILE%\Documents\GitHub\eaglep3\Utilities\RefineRTDCRunTimes.py" --tripid 801-10 --locoid 4026 --swversion DE.1.0.9.0 --startMP 204:1030 --initTime 2017-05-10T05:26:45 --startdatetime 2017-05-10T05:51:50 --delay 1 --endMP 300:58929 --enddatetime 2017-05-10T06:05:21 --enforcementcount 0 &gt;&gt;C:\Users\stu\Documents\GitHub\eaglep3-reporting\EC\2017-05-10-refined-times.txt</v>
      </c>
      <c r="AI159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{"issue":{"subject":"","project_id":79,"tracker_id":40,"status_id":1,"priority_id":2,"assigned_to_id":23,"start_date":"2017-05-10","description":"","custom_fields":[{"id":1,"name":"Subdivision","value":"NW"},{"id":4,"name":"Milepost","value":"5.8929"},{"id":17,"name":"Train ID","value":"801-10"},{"id":16,"name":"Locomotive ID","value":"4026"},{"id":130,"name":"Impact","value":""},{"id":150,"name":"Time of Event (Mountain Time)","value":"06:05:21"},{"id":151,"name":"Denver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78"/>
        <v>start /low /b %USERPROFILE%\Documents\GitHub\eaglep3\Utilities\DownloadLogsFromS3.py --loco 4026 --day 2017-05-10</v>
      </c>
      <c r="AN159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565</v>
      </c>
      <c r="B160" s="7">
        <v>4025</v>
      </c>
      <c r="C160" s="21" t="s">
        <v>206</v>
      </c>
      <c r="D160" s="21" t="s">
        <v>480</v>
      </c>
      <c r="E160" s="13">
        <v>42865.256053240744</v>
      </c>
      <c r="F160" s="13">
        <v>42865.258263888885</v>
      </c>
      <c r="G160" s="7">
        <v>1</v>
      </c>
      <c r="H160" s="21" t="s">
        <v>962</v>
      </c>
      <c r="I160" s="13">
        <v>42865.267766203702</v>
      </c>
      <c r="J160" s="7">
        <v>0</v>
      </c>
      <c r="K160" s="92" t="str">
        <f t="shared" si="66"/>
        <v>4025/4026</v>
      </c>
      <c r="L160" s="21" t="str">
        <f>VLOOKUP(A160,'Trips&amp;Operators'!$C$1:$G$99999,5,FALSE)</f>
        <v>YORK EDGAR</v>
      </c>
      <c r="M160" s="6">
        <f t="shared" si="67"/>
        <v>9.5023148169275373E-3</v>
      </c>
      <c r="N160" s="7">
        <f t="shared" si="81"/>
        <v>13.683333336375654</v>
      </c>
      <c r="O160" s="7"/>
      <c r="P160" s="7"/>
      <c r="Q160" s="22"/>
      <c r="R160" s="190"/>
      <c r="S160" s="196">
        <f t="shared" si="82"/>
        <v>1</v>
      </c>
      <c r="T160" s="190" t="str">
        <f t="shared" si="68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69"/>
        <v>https://d0f6bd738d7f1b3e5a7ca70fe4ff75f0.us-east-1.aws.found.io/app/kibana#/discover/Steve-Slow-Train-Analysis-(2080s-and-2083s)?_g=(refreshInterval:(display:Off,pause:!f,section:0,value:0),time:(from:'2017-05-10T05:08:43-0600',mode:absolute,to:'2017-05-10T07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0" s="192" t="str">
        <f t="shared" si="70"/>
        <v>N</v>
      </c>
      <c r="X160" s="192">
        <f t="shared" si="80"/>
        <v>1</v>
      </c>
      <c r="Y160" s="192">
        <f t="shared" si="63"/>
        <v>5.8616999999999999</v>
      </c>
      <c r="Z160" s="192">
        <f t="shared" si="64"/>
        <v>7.3400000000000007E-2</v>
      </c>
      <c r="AA160" s="192">
        <f t="shared" si="71"/>
        <v>5.7882999999999996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72"/>
        <v>0802-10</v>
      </c>
      <c r="AE160" s="80" t="str">
        <f t="shared" si="73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160" s="77" t="str">
        <f t="shared" si="74"/>
        <v>"C:\Program Files (x86)\AstroGrep\AstroGrep.exe" /e /r /s /spath="%USERPROFILE%\AppData\Local\Temp\OnboardLogs" /stypes="app*4025*20170510*" /stext=" 12:.+((SYSTEM_STATE.+slice.+state.+changed )|(ment ac)|(multiple cpu faults)|(system.+state.+changed )|(\[timeout)|(PRM\|1\|D)|(kpr)|(kdp)|(train st.+moving)|(\|lc)|(penalty))"</v>
      </c>
      <c r="AG160" s="1" t="str">
        <f t="shared" si="75"/>
        <v>NW</v>
      </c>
      <c r="AH160" s="81" t="str">
        <f t="shared" si="76"/>
        <v>"%USERPROFILE%\Documents\GitHub\eaglep3\Utilities\RefineRTDCRunTimes.py" --tripid 802-10 --locoid 4025 --swversion DE.1.0.9.0 --startMP 300:58617 --initTime 2017-05-10T06:08:43 --startdatetime 2017-05-10T06:11:54 --delay 1 --endMP 204:734 --enddatetime 2017-05-10T06:25:35 --enforcementcount 0 &gt;&gt;C:\Users\stu\Documents\GitHub\eaglep3-reporting\EC\2017-05-10-refined-times.txt</v>
      </c>
      <c r="AI160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{"issue":{"subject":"","project_id":79,"tracker_id":40,"status_id":1,"priority_id":2,"assigned_to_id":23,"start_date":"2017-05-10","description":"","custom_fields":[{"id":1,"name":"Subdivision","value":"NW"},{"id":4,"name":"Milepost","value":"0.0734"},{"id":17,"name":"Train ID","value":"802-10"},{"id":16,"name":"Locomotive ID","value":"4025"},{"id":130,"name":"Impact","value":""},{"id":150,"name":"Time of Event (Mountain Time)","value":"06:25:35"},{"id":151,"name":"Denver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78"/>
        <v>start /low /b %USERPROFILE%\Documents\GitHub\eaglep3\Utilities\DownloadLogsFromS3.py --loco 4025 --day 2017-05-10</v>
      </c>
      <c r="AN160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632</v>
      </c>
      <c r="B161" s="7">
        <v>4030</v>
      </c>
      <c r="C161" s="21" t="s">
        <v>206</v>
      </c>
      <c r="D161" s="21" t="s">
        <v>963</v>
      </c>
      <c r="E161" s="13">
        <v>42865.262511574074</v>
      </c>
      <c r="F161" s="13">
        <v>42865.264803240738</v>
      </c>
      <c r="G161" s="7">
        <v>1</v>
      </c>
      <c r="H161" s="21" t="s">
        <v>553</v>
      </c>
      <c r="I161" s="13">
        <v>42865.273611111108</v>
      </c>
      <c r="J161" s="7">
        <v>0</v>
      </c>
      <c r="K161" s="92" t="str">
        <f t="shared" si="66"/>
        <v>4029/4030</v>
      </c>
      <c r="L161" s="21" t="str">
        <f>VLOOKUP(A161,'Trips&amp;Operators'!$C$1:$G$99999,5,FALSE)</f>
        <v>LOZA FIDEL</v>
      </c>
      <c r="M161" s="6">
        <f t="shared" si="67"/>
        <v>8.8078703702194616E-3</v>
      </c>
      <c r="N161" s="7">
        <f t="shared" si="81"/>
        <v>12.683333333116025</v>
      </c>
      <c r="O161" s="7"/>
      <c r="P161" s="7"/>
      <c r="Q161" s="22"/>
      <c r="R161" s="190"/>
      <c r="S161" s="196">
        <f t="shared" si="82"/>
        <v>1</v>
      </c>
      <c r="T161" s="190" t="str">
        <f t="shared" si="68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69"/>
        <v>https://d0f6bd738d7f1b3e5a7ca70fe4ff75f0.us-east-1.aws.found.io/app/kibana#/discover/Steve-Slow-Train-Analysis-(2080s-and-2083s)?_g=(refreshInterval:(display:Off,pause:!f,section:0,value:0),time:(from:'2017-05-10T05:18:01-0600',mode:absolute,to:'2017-05-10T07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1" s="192" t="str">
        <f t="shared" si="70"/>
        <v>N</v>
      </c>
      <c r="X161" s="192">
        <f t="shared" si="80"/>
        <v>1</v>
      </c>
      <c r="Y161" s="192">
        <f t="shared" si="63"/>
        <v>9.7199999999999995E-2</v>
      </c>
      <c r="Z161" s="192">
        <f t="shared" si="64"/>
        <v>5.8956</v>
      </c>
      <c r="AA161" s="192">
        <f t="shared" si="71"/>
        <v>5.7984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72"/>
        <v>0803-10</v>
      </c>
      <c r="AE161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61" s="77" t="str">
        <f t="shared" si="74"/>
        <v>"C:\Program Files (x86)\AstroGrep\AstroGrep.exe" /e /r /s /spath="%USERPROFILE%\AppData\Local\Temp\OnboardLogs" /stypes="app*4030*20170510*" /stext=" 12:.+((SYSTEM_STATE.+slice.+state.+changed )|(ment ac)|(multiple cpu faults)|(system.+state.+changed )|(\[timeout)|(PRM\|1\|D)|(kpr)|(kdp)|(train st.+moving)|(\|lc)|(penalty))"</v>
      </c>
      <c r="AG161" s="1" t="str">
        <f t="shared" si="75"/>
        <v>NW</v>
      </c>
      <c r="AH161" s="81" t="str">
        <f t="shared" si="76"/>
        <v>"%USERPROFILE%\Documents\GitHub\eaglep3\Utilities\RefineRTDCRunTimes.py" --tripid 803-10 --locoid 4030 --swversion DE.1.0.9.0 --startMP 204:972 --initTime 2017-05-10T06:18:01 --startdatetime 2017-05-10T06:21:19 --delay 1 --endMP 300:58956 --enddatetime 2017-05-10T06:34:00 --enforcementcount 0 &gt;&gt;C:\Users\stu\Documents\GitHub\eaglep3-reporting\EC\2017-05-10-refined-times.txt</v>
      </c>
      <c r="AI161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{"issue":{"subject":"","project_id":79,"tracker_id":40,"status_id":1,"priority_id":2,"assigned_to_id":23,"start_date":"2017-05-10","description":"","custom_fields":[{"id":1,"name":"Subdivision","value":"NW"},{"id":4,"name":"Milepost","value":"5.8956"},{"id":17,"name":"Train ID","value":"803-10"},{"id":16,"name":"Locomotive ID","value":"4030"},{"id":130,"name":"Impact","value":""},{"id":150,"name":"Time of Event (Mountain Time)","value":"06:34:00"},{"id":151,"name":"Denver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78"/>
        <v>start /low /b %USERPROFILE%\Documents\GitHub\eaglep3\Utilities\DownloadLogsFromS3.py --loco 4030 --day 2017-05-10</v>
      </c>
      <c r="AN161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636</v>
      </c>
      <c r="B162" s="7">
        <v>4029</v>
      </c>
      <c r="C162" s="21" t="s">
        <v>206</v>
      </c>
      <c r="D162" s="21" t="s">
        <v>964</v>
      </c>
      <c r="E162" s="13">
        <v>42865.27621527778</v>
      </c>
      <c r="F162" s="13">
        <v>42865.277708333335</v>
      </c>
      <c r="G162" s="7">
        <v>1</v>
      </c>
      <c r="H162" s="21" t="s">
        <v>965</v>
      </c>
      <c r="I162" s="13">
        <v>42865.288055555553</v>
      </c>
      <c r="J162" s="7">
        <v>0</v>
      </c>
      <c r="K162" s="92" t="str">
        <f t="shared" si="66"/>
        <v>4029/4030</v>
      </c>
      <c r="L162" s="21" t="str">
        <f>VLOOKUP(A162,'Trips&amp;Operators'!$C$1:$G$99999,5,FALSE)</f>
        <v>LOZA FIDEL</v>
      </c>
      <c r="M162" s="6">
        <f t="shared" si="67"/>
        <v>1.0347222218115348E-2</v>
      </c>
      <c r="N162" s="7">
        <f t="shared" si="81"/>
        <v>14.899999994086102</v>
      </c>
      <c r="O162" s="7"/>
      <c r="P162" s="7"/>
      <c r="Q162" s="22"/>
      <c r="R162" s="190"/>
      <c r="S162" s="196">
        <f t="shared" si="82"/>
        <v>1</v>
      </c>
      <c r="T162" s="190" t="str">
        <f t="shared" si="68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69"/>
        <v>https://d0f6bd738d7f1b3e5a7ca70fe4ff75f0.us-east-1.aws.found.io/app/kibana#/discover/Steve-Slow-Train-Analysis-(2080s-and-2083s)?_g=(refreshInterval:(display:Off,pause:!f,section:0,value:0),time:(from:'2017-05-10T05:37:45-0600',mode:absolute,to:'2017-05-10T07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2" s="192" t="str">
        <f t="shared" si="70"/>
        <v>N</v>
      </c>
      <c r="X162" s="192">
        <f t="shared" si="80"/>
        <v>1</v>
      </c>
      <c r="Y162" s="192">
        <f t="shared" si="63"/>
        <v>5.8648999999999996</v>
      </c>
      <c r="Z162" s="192">
        <f t="shared" si="64"/>
        <v>6.8199999999999997E-2</v>
      </c>
      <c r="AA162" s="192">
        <f t="shared" si="71"/>
        <v>5.7966999999999995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72"/>
        <v>0804-10</v>
      </c>
      <c r="AE162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62" s="77" t="str">
        <f t="shared" si="74"/>
        <v>"C:\Program Files (x86)\AstroGrep\AstroGrep.exe" /e /r /s /spath="%USERPROFILE%\AppData\Local\Temp\OnboardLogs" /stypes="app*4029*20170510*" /stext=" 12:.+((SYSTEM_STATE.+slice.+state.+changed )|(ment ac)|(multiple cpu faults)|(system.+state.+changed )|(\[timeout)|(PRM\|1\|D)|(kpr)|(kdp)|(train st.+moving)|(\|lc)|(penalty))"</v>
      </c>
      <c r="AG162" s="1" t="str">
        <f t="shared" si="75"/>
        <v>NW</v>
      </c>
      <c r="AH162" s="81" t="str">
        <f t="shared" si="76"/>
        <v>"%USERPROFILE%\Documents\GitHub\eaglep3\Utilities\RefineRTDCRunTimes.py" --tripid 804-10 --locoid 4029 --swversion DE.1.0.9.0 --startMP 300:58649 --initTime 2017-05-10T06:37:45 --startdatetime 2017-05-10T06:39:54 --delay 1 --endMP 204:682 --enddatetime 2017-05-10T06:54:48 --enforcementcount 0 &gt;&gt;C:\Users\stu\Documents\GitHub\eaglep3-reporting\EC\2017-05-10-refined-times.txt</v>
      </c>
      <c r="AI162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{"issue":{"subject":"","project_id":79,"tracker_id":40,"status_id":1,"priority_id":2,"assigned_to_id":23,"start_date":"2017-05-10","description":"","custom_fields":[{"id":1,"name":"Subdivision","value":"NW"},{"id":4,"name":"Milepost","value":"0.0682"},{"id":17,"name":"Train ID","value":"804-10"},{"id":16,"name":"Locomotive ID","value":"4029"},{"id":130,"name":"Impact","value":""},{"id":150,"name":"Time of Event (Mountain Time)","value":"06:54:48"},{"id":151,"name":"Denver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78"/>
        <v>start /low /b %USERPROFILE%\Documents\GitHub\eaglep3\Utilities\DownloadLogsFromS3.py --loco 4029 --day 2017-05-10</v>
      </c>
      <c r="AN162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634</v>
      </c>
      <c r="B163" s="7">
        <v>4026</v>
      </c>
      <c r="C163" s="21" t="s">
        <v>206</v>
      </c>
      <c r="D163" s="21" t="s">
        <v>966</v>
      </c>
      <c r="E163" s="13">
        <v>42865.268564814818</v>
      </c>
      <c r="F163" s="13">
        <v>42865.285590277781</v>
      </c>
      <c r="G163" s="7">
        <v>0</v>
      </c>
      <c r="H163" s="21" t="s">
        <v>550</v>
      </c>
      <c r="I163" s="13">
        <v>42865.293958333335</v>
      </c>
      <c r="J163" s="7">
        <v>0</v>
      </c>
      <c r="K163" s="92" t="str">
        <f t="shared" si="66"/>
        <v>4025/4026</v>
      </c>
      <c r="L163" s="21" t="str">
        <f>VLOOKUP(A163,'Trips&amp;Operators'!$C$1:$G$99999,5,FALSE)</f>
        <v>YORK EDGAR</v>
      </c>
      <c r="M163" s="6">
        <f t="shared" si="67"/>
        <v>8.3680555544560775E-3</v>
      </c>
      <c r="N163" s="7">
        <f t="shared" si="81"/>
        <v>12.049999998416752</v>
      </c>
      <c r="O163" s="7"/>
      <c r="P163" s="7"/>
      <c r="Q163" s="22"/>
      <c r="R163" s="190"/>
      <c r="S163" s="196">
        <f t="shared" si="82"/>
        <v>1</v>
      </c>
      <c r="T163" s="190" t="str">
        <f t="shared" si="68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69"/>
        <v>https://d0f6bd738d7f1b3e5a7ca70fe4ff75f0.us-east-1.aws.found.io/app/kibana#/discover/Steve-Slow-Train-Analysis-(2080s-and-2083s)?_g=(refreshInterval:(display:Off,pause:!f,section:0,value:0),time:(from:'2017-05-10T05:26:44-0600',mode:absolute,to:'2017-05-10T08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3" s="192" t="str">
        <f t="shared" si="70"/>
        <v>N</v>
      </c>
      <c r="X163" s="192">
        <f t="shared" si="80"/>
        <v>1</v>
      </c>
      <c r="Y163" s="192">
        <f t="shared" si="63"/>
        <v>0.10199999999999999</v>
      </c>
      <c r="Z163" s="192">
        <f t="shared" si="64"/>
        <v>5.8936999999999999</v>
      </c>
      <c r="AA163" s="192">
        <f t="shared" si="71"/>
        <v>5.7916999999999996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72"/>
        <v>0805-10</v>
      </c>
      <c r="AE163" s="80" t="str">
        <f t="shared" si="73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163" s="77" t="str">
        <f t="shared" si="74"/>
        <v>"C:\Program Files (x86)\AstroGrep\AstroGrep.exe" /e /r /s /spath="%USERPROFILE%\AppData\Local\Temp\OnboardLogs" /stypes="app*4026*20170510*" /stext=" 13:.+((SYSTEM_STATE.+slice.+state.+changed )|(ment ac)|(multiple cpu faults)|(system.+state.+changed )|(\[timeout)|(PRM\|1\|D)|(kpr)|(kdp)|(train st.+moving)|(\|lc)|(penalty))"</v>
      </c>
      <c r="AG163" s="1" t="str">
        <f t="shared" si="75"/>
        <v>NW</v>
      </c>
      <c r="AH163" s="81" t="str">
        <f t="shared" si="76"/>
        <v>"%USERPROFILE%\Documents\GitHub\eaglep3\Utilities\RefineRTDCRunTimes.py" --tripid 805-10 --locoid 4026 --swversion DE.1.0.9.0 --startMP 204:1020 --initTime 2017-05-10T06:26:44 --startdatetime 2017-05-10T06:51:15 --delay 0 --endMP 300:58937 --enddatetime 2017-05-10T07:03:18 --enforcementcount 0 &gt;&gt;C:\Users\stu\Documents\GitHub\eaglep3-reporting\EC\2017-05-10-refined-times.txt</v>
      </c>
      <c r="AI163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{"issue":{"subject":"","project_id":79,"tracker_id":40,"status_id":1,"priority_id":2,"assigned_to_id":23,"start_date":"2017-05-10","description":"","custom_fields":[{"id":1,"name":"Subdivision","value":"NW"},{"id":4,"name":"Milepost","value":"5.8937"},{"id":17,"name":"Train ID","value":"805-10"},{"id":16,"name":"Locomotive ID","value":"4026"},{"id":130,"name":"Impact","value":""},{"id":150,"name":"Time of Event (Mountain Time)","value":"07:03:18"},{"id":151,"name":"Denver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8"/>
        <v>start /low /b %USERPROFILE%\Documents\GitHub\eaglep3\Utilities\DownloadLogsFromS3.py --loco 4026 --day 2017-05-10</v>
      </c>
      <c r="AN163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639</v>
      </c>
      <c r="B164" s="7">
        <v>4025</v>
      </c>
      <c r="C164" s="21" t="s">
        <v>206</v>
      </c>
      <c r="D164" s="21" t="s">
        <v>559</v>
      </c>
      <c r="E164" s="13">
        <v>42865.295300925929</v>
      </c>
      <c r="F164" s="13">
        <v>42865.300115740742</v>
      </c>
      <c r="G164" s="7">
        <v>3</v>
      </c>
      <c r="H164" s="21" t="s">
        <v>967</v>
      </c>
      <c r="I164" s="13">
        <v>42865.308923611112</v>
      </c>
      <c r="J164" s="7">
        <v>0</v>
      </c>
      <c r="K164" s="92" t="str">
        <f t="shared" si="66"/>
        <v>4025/4026</v>
      </c>
      <c r="L164" s="21" t="str">
        <f>VLOOKUP(A164,'Trips&amp;Operators'!$C$1:$G$99999,5,FALSE)</f>
        <v>YORK EDGAR</v>
      </c>
      <c r="M164" s="6">
        <f t="shared" si="67"/>
        <v>8.8078703702194616E-3</v>
      </c>
      <c r="N164" s="7">
        <f t="shared" si="81"/>
        <v>12.683333333116025</v>
      </c>
      <c r="O164" s="7"/>
      <c r="P164" s="7"/>
      <c r="Q164" s="22"/>
      <c r="R164" s="190"/>
      <c r="S164" s="196">
        <f t="shared" si="82"/>
        <v>1</v>
      </c>
      <c r="T164" s="190" t="str">
        <f t="shared" si="68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69"/>
        <v>https://d0f6bd738d7f1b3e5a7ca70fe4ff75f0.us-east-1.aws.found.io/app/kibana#/discover/Steve-Slow-Train-Analysis-(2080s-and-2083s)?_g=(refreshInterval:(display:Off,pause:!f,section:0,value:0),time:(from:'2017-05-10T06:05:14-0600',mode:absolute,to:'2017-05-10T08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4" s="192" t="str">
        <f t="shared" si="70"/>
        <v>N</v>
      </c>
      <c r="X164" s="192">
        <f t="shared" si="80"/>
        <v>1</v>
      </c>
      <c r="Y164" s="192">
        <f t="shared" ref="Y164:Y195" si="83">RIGHT(D164,LEN(D164)-4)/10000</f>
        <v>5.8634000000000004</v>
      </c>
      <c r="Z164" s="192">
        <f t="shared" ref="Z164:Z195" si="84">RIGHT(H164,LEN(H164)-4)/10000</f>
        <v>7.3599999999999999E-2</v>
      </c>
      <c r="AA164" s="192">
        <f t="shared" si="71"/>
        <v>5.7898000000000005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72"/>
        <v>0806-10</v>
      </c>
      <c r="AE164" s="80" t="str">
        <f t="shared" si="73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164" s="77" t="str">
        <f t="shared" si="74"/>
        <v>"C:\Program Files (x86)\AstroGrep\AstroGrep.exe" /e /r /s /spath="%USERPROFILE%\AppData\Local\Temp\OnboardLogs" /stypes="app*4025*20170510*" /stext=" 13:.+((SYSTEM_STATE.+slice.+state.+changed )|(ment ac)|(multiple cpu faults)|(system.+state.+changed )|(\[timeout)|(PRM\|1\|D)|(kpr)|(kdp)|(train st.+moving)|(\|lc)|(penalty))"</v>
      </c>
      <c r="AG164" s="1" t="str">
        <f t="shared" si="75"/>
        <v>NW</v>
      </c>
      <c r="AH164" s="81" t="str">
        <f t="shared" si="76"/>
        <v>"%USERPROFILE%\Documents\GitHub\eaglep3\Utilities\RefineRTDCRunTimes.py" --tripid 806-10 --locoid 4025 --swversion DE.1.0.9.0 --startMP 300:58634 --initTime 2017-05-10T07:05:14 --startdatetime 2017-05-10T07:12:10 --delay 3 --endMP 204:736 --enddatetime 2017-05-10T07:24:51 --enforcementcount 0 &gt;&gt;C:\Users\stu\Documents\GitHub\eaglep3-reporting\EC\2017-05-10-refined-times.txt</v>
      </c>
      <c r="AI164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{"issue":{"subject":"","project_id":79,"tracker_id":40,"status_id":1,"priority_id":2,"assigned_to_id":23,"start_date":"2017-05-10","description":"","custom_fields":[{"id":1,"name":"Subdivision","value":"NW"},{"id":4,"name":"Milepost","value":"0.0736"},{"id":17,"name":"Train ID","value":"806-10"},{"id":16,"name":"Locomotive ID","value":"4025"},{"id":130,"name":"Impact","value":""},{"id":150,"name":"Time of Event (Mountain Time)","value":"07:24:51"},{"id":151,"name":"Denver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8"/>
        <v>start /low /b %USERPROFILE%\Documents\GitHub\eaglep3\Utilities\DownloadLogsFromS3.py --loco 4025 --day 2017-05-10</v>
      </c>
      <c r="AN164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642</v>
      </c>
      <c r="B165" s="7">
        <v>4030</v>
      </c>
      <c r="C165" s="21" t="s">
        <v>206</v>
      </c>
      <c r="D165" s="21" t="s">
        <v>956</v>
      </c>
      <c r="E165" s="13">
        <v>42865.304502314815</v>
      </c>
      <c r="F165" s="13">
        <v>42865.306469907409</v>
      </c>
      <c r="G165" s="7">
        <v>1</v>
      </c>
      <c r="H165" s="21" t="s">
        <v>424</v>
      </c>
      <c r="I165" s="13">
        <v>42865.315358796295</v>
      </c>
      <c r="J165" s="7">
        <v>0</v>
      </c>
      <c r="K165" s="92" t="str">
        <f t="shared" si="66"/>
        <v>4029/4030</v>
      </c>
      <c r="L165" s="21" t="str">
        <f>VLOOKUP(A165,'Trips&amp;Operators'!$C$1:$G$99999,5,FALSE)</f>
        <v>LOZA FIDEL</v>
      </c>
      <c r="M165" s="6">
        <f t="shared" si="67"/>
        <v>8.8888888858491555E-3</v>
      </c>
      <c r="N165" s="7">
        <f t="shared" si="81"/>
        <v>12.799999995622784</v>
      </c>
      <c r="O165" s="7"/>
      <c r="P165" s="7"/>
      <c r="Q165" s="22"/>
      <c r="R165" s="190"/>
      <c r="S165" s="196">
        <f t="shared" si="82"/>
        <v>1</v>
      </c>
      <c r="T165" s="190" t="str">
        <f t="shared" si="68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69"/>
        <v>https://d0f6bd738d7f1b3e5a7ca70fe4ff75f0.us-east-1.aws.found.io/app/kibana#/discover/Steve-Slow-Train-Analysis-(2080s-and-2083s)?_g=(refreshInterval:(display:Off,pause:!f,section:0,value:0),time:(from:'2017-05-10T06:18:29-0600',mode:absolute,to:'2017-05-10T08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192" t="str">
        <f t="shared" si="70"/>
        <v>N</v>
      </c>
      <c r="X165" s="192">
        <f t="shared" si="80"/>
        <v>1</v>
      </c>
      <c r="Y165" s="192">
        <f t="shared" si="83"/>
        <v>9.6699999999999994E-2</v>
      </c>
      <c r="Z165" s="192">
        <f t="shared" si="84"/>
        <v>5.8949999999999996</v>
      </c>
      <c r="AA165" s="192">
        <f t="shared" si="71"/>
        <v>5.7982999999999993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72"/>
        <v>0807-10</v>
      </c>
      <c r="AE165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65" s="77" t="str">
        <f t="shared" si="74"/>
        <v>"C:\Program Files (x86)\AstroGrep\AstroGrep.exe" /e /r /s /spath="%USERPROFILE%\AppData\Local\Temp\OnboardLogs" /stypes="app*4030*20170510*" /stext=" 13:.+((SYSTEM_STATE.+slice.+state.+changed )|(ment ac)|(multiple cpu faults)|(system.+state.+changed )|(\[timeout)|(PRM\|1\|D)|(kpr)|(kdp)|(train st.+moving)|(\|lc)|(penalty))"</v>
      </c>
      <c r="AG165" s="1" t="str">
        <f t="shared" si="75"/>
        <v>NW</v>
      </c>
      <c r="AH165" s="81" t="str">
        <f t="shared" si="76"/>
        <v>"%USERPROFILE%\Documents\GitHub\eaglep3\Utilities\RefineRTDCRunTimes.py" --tripid 807-10 --locoid 4030 --swversion DE.1.0.9.0 --startMP 204:967 --initTime 2017-05-10T07:18:29 --startdatetime 2017-05-10T07:21:19 --delay 1 --endMP 300:58950 --enddatetime 2017-05-10T07:34:07 --enforcementcount 0 &gt;&gt;C:\Users\stu\Documents\GitHub\eaglep3-reporting\EC\2017-05-10-refined-times.txt</v>
      </c>
      <c r="AI165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{"issue":{"subject":"","project_id":79,"tracker_id":40,"status_id":1,"priority_id":2,"assigned_to_id":23,"start_date":"2017-05-10","description":"","custom_fields":[{"id":1,"name":"Subdivision","value":"NW"},{"id":4,"name":"Milepost","value":"5.895"},{"id":17,"name":"Train ID","value":"807-10"},{"id":16,"name":"Locomotive ID","value":"4030"},{"id":130,"name":"Impact","value":""},{"id":150,"name":"Time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8"/>
        <v>start /low /b %USERPROFILE%\Documents\GitHub\eaglep3\Utilities\DownloadLogsFromS3.py --loco 4030 --day 2017-05-10</v>
      </c>
      <c r="AN165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645</v>
      </c>
      <c r="B166" s="7">
        <v>4029</v>
      </c>
      <c r="C166" s="21" t="s">
        <v>206</v>
      </c>
      <c r="D166" s="21" t="s">
        <v>556</v>
      </c>
      <c r="E166" s="13">
        <v>42865.318356481483</v>
      </c>
      <c r="F166" s="13">
        <v>42865.319907407407</v>
      </c>
      <c r="G166" s="7">
        <v>1</v>
      </c>
      <c r="H166" s="21" t="s">
        <v>562</v>
      </c>
      <c r="I166" s="13">
        <v>42865.329768518517</v>
      </c>
      <c r="J166" s="7">
        <v>0</v>
      </c>
      <c r="K166" s="92" t="str">
        <f t="shared" si="66"/>
        <v>4029/4030</v>
      </c>
      <c r="L166" s="21" t="str">
        <f>VLOOKUP(A166,'Trips&amp;Operators'!$C$1:$G$99999,5,FALSE)</f>
        <v>LOZA FIDEL</v>
      </c>
      <c r="M166" s="6">
        <f t="shared" si="67"/>
        <v>9.8611111097852699E-3</v>
      </c>
      <c r="N166" s="7">
        <f t="shared" si="81"/>
        <v>14.199999998090789</v>
      </c>
      <c r="O166" s="7"/>
      <c r="P166" s="7"/>
      <c r="Q166" s="22"/>
      <c r="R166" s="190"/>
      <c r="S166" s="196">
        <f t="shared" si="82"/>
        <v>1</v>
      </c>
      <c r="T166" s="190" t="str">
        <f t="shared" si="68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69"/>
        <v>https://d0f6bd738d7f1b3e5a7ca70fe4ff75f0.us-east-1.aws.found.io/app/kibana#/discover/Steve-Slow-Train-Analysis-(2080s-and-2083s)?_g=(refreshInterval:(display:Off,pause:!f,section:0,value:0),time:(from:'2017-05-10T06:38:26-0600',mode:absolute,to:'2017-05-10T08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192" t="str">
        <f t="shared" si="70"/>
        <v>N</v>
      </c>
      <c r="X166" s="192">
        <f t="shared" si="80"/>
        <v>1</v>
      </c>
      <c r="Y166" s="192">
        <f t="shared" si="83"/>
        <v>5.8624000000000001</v>
      </c>
      <c r="Z166" s="192">
        <f t="shared" si="84"/>
        <v>6.8000000000000005E-2</v>
      </c>
      <c r="AA166" s="192">
        <f t="shared" si="71"/>
        <v>5.7944000000000004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72"/>
        <v>0808-10</v>
      </c>
      <c r="AE166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66" s="77" t="str">
        <f t="shared" si="74"/>
        <v>"C:\Program Files (x86)\AstroGrep\AstroGrep.exe" /e /r /s /spath="%USERPROFILE%\AppData\Local\Temp\OnboardLogs" /stypes="app*4029*20170510*" /stext=" 13:.+((SYSTEM_STATE.+slice.+state.+changed )|(ment ac)|(multiple cpu faults)|(system.+state.+changed )|(\[timeout)|(PRM\|1\|D)|(kpr)|(kdp)|(train st.+moving)|(\|lc)|(penalty))"</v>
      </c>
      <c r="AG166" s="1" t="str">
        <f t="shared" si="75"/>
        <v>NW</v>
      </c>
      <c r="AH166" s="81" t="str">
        <f t="shared" si="76"/>
        <v>"%USERPROFILE%\Documents\GitHub\eaglep3\Utilities\RefineRTDCRunTimes.py" --tripid 808-10 --locoid 4029 --swversion DE.1.0.9.0 --startMP 300:58624 --initTime 2017-05-10T07:38:26 --startdatetime 2017-05-10T07:40:40 --delay 1 --endMP 204:680 --enddatetime 2017-05-10T07:54:52 --enforcementcount 0 &gt;&gt;C:\Users\stu\Documents\GitHub\eaglep3-reporting\EC\2017-05-10-refined-times.txt</v>
      </c>
      <c r="AI166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{"issue":{"subject":"","project_id":79,"tracker_id":40,"status_id":1,"priority_id":2,"assigned_to_id":23,"start_date":"2017-05-10","description":"","custom_fields":[{"id":1,"name":"Subdivision","value":"NW"},{"id":4,"name":"Milepost","value":"0.068"},{"id":17,"name":"Train ID","value":"808-10"},{"id":16,"name":"Locomotive ID","value":"4029"},{"id":130,"name":"Impact","value":""},{"id":150,"name":"Time of Event (Mountain Time)","value":"07:54:52"},{"id":151,"name":"Denver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78"/>
        <v>start /low /b %USERPROFILE%\Documents\GitHub\eaglep3\Utilities\DownloadLogsFromS3.py --loco 4029 --day 2017-05-10</v>
      </c>
      <c r="AN166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570</v>
      </c>
      <c r="B167" s="7">
        <v>4026</v>
      </c>
      <c r="C167" s="21" t="s">
        <v>206</v>
      </c>
      <c r="D167" s="21" t="s">
        <v>968</v>
      </c>
      <c r="E167" s="13">
        <v>42865.31</v>
      </c>
      <c r="F167" s="13">
        <v>42865.327268518522</v>
      </c>
      <c r="G167" s="7">
        <v>0</v>
      </c>
      <c r="H167" s="21" t="s">
        <v>424</v>
      </c>
      <c r="I167" s="13">
        <v>42865.336018518516</v>
      </c>
      <c r="J167" s="7">
        <v>0</v>
      </c>
      <c r="K167" s="92" t="str">
        <f t="shared" si="66"/>
        <v>4025/4026</v>
      </c>
      <c r="L167" s="21" t="str">
        <f>VLOOKUP(A167,'Trips&amp;Operators'!$C$1:$G$99999,5,FALSE)</f>
        <v>YORK EDGAR</v>
      </c>
      <c r="M167" s="6">
        <f t="shared" si="67"/>
        <v>8.7499999935971573E-3</v>
      </c>
      <c r="N167" s="7">
        <f t="shared" si="81"/>
        <v>12.599999990779907</v>
      </c>
      <c r="O167" s="7"/>
      <c r="P167" s="7"/>
      <c r="Q167" s="22"/>
      <c r="R167" s="190"/>
      <c r="S167" s="196">
        <f t="shared" si="82"/>
        <v>1</v>
      </c>
      <c r="T167" s="190" t="str">
        <f t="shared" si="68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69"/>
        <v>https://d0f6bd738d7f1b3e5a7ca70fe4ff75f0.us-east-1.aws.found.io/app/kibana#/discover/Steve-Slow-Train-Analysis-(2080s-and-2083s)?_g=(refreshInterval:(display:Off,pause:!f,section:0,value:0),time:(from:'2017-05-10T06:26:24-0600',mode:absolute,to:'2017-05-10T09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7" s="192" t="str">
        <f t="shared" si="70"/>
        <v>N</v>
      </c>
      <c r="X167" s="192">
        <f t="shared" si="80"/>
        <v>1</v>
      </c>
      <c r="Y167" s="192">
        <f t="shared" si="83"/>
        <v>0.10340000000000001</v>
      </c>
      <c r="Z167" s="192">
        <f t="shared" si="84"/>
        <v>5.8949999999999996</v>
      </c>
      <c r="AA167" s="192">
        <f t="shared" si="71"/>
        <v>5.7915999999999999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72"/>
        <v>0809-10</v>
      </c>
      <c r="AE167" s="80" t="str">
        <f t="shared" si="73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167" s="77" t="str">
        <f t="shared" si="74"/>
        <v>"C:\Program Files (x86)\AstroGrep\AstroGrep.exe" /e /r /s /spath="%USERPROFILE%\AppData\Local\Temp\OnboardLogs" /stypes="app*4026*20170510*" /stext=" 14:.+((SYSTEM_STATE.+slice.+state.+changed )|(ment ac)|(multiple cpu faults)|(system.+state.+changed )|(\[timeout)|(PRM\|1\|D)|(kpr)|(kdp)|(train st.+moving)|(\|lc)|(penalty))"</v>
      </c>
      <c r="AG167" s="1" t="str">
        <f t="shared" si="75"/>
        <v>NW</v>
      </c>
      <c r="AH167" s="81" t="str">
        <f t="shared" si="76"/>
        <v>"%USERPROFILE%\Documents\GitHub\eaglep3\Utilities\RefineRTDCRunTimes.py" --tripid 809-10 --locoid 4026 --swversion DE.1.0.9.0 --startMP 204:1034 --initTime 2017-05-10T07:26:24 --startdatetime 2017-05-10T07:51:16 --delay 0 --endMP 300:58950 --enddatetime 2017-05-10T08:03:52 --enforcementcount 0 &gt;&gt;C:\Users\stu\Documents\GitHub\eaglep3-reporting\EC\2017-05-10-refined-times.txt</v>
      </c>
      <c r="AI167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{"issue":{"subject":"","project_id":79,"tracker_id":40,"status_id":1,"priority_id":2,"assigned_to_id":23,"start_date":"2017-05-10","description":"","custom_fields":[{"id":1,"name":"Subdivision","value":"NW"},{"id":4,"name":"Milepost","value":"5.895"},{"id":17,"name":"Train ID","value":"809-10"},{"id":16,"name":"Locomotive ID","value":"4026"},{"id":130,"name":"Impact","value":""},{"id":150,"name":"Time of Event (Mountain Time)","value":"08:03:52"},{"id":151,"name":"Denver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78"/>
        <v>start /low /b %USERPROFILE%\Documents\GitHub\eaglep3\Utilities\DownloadLogsFromS3.py --loco 4026 --day 2017-05-10</v>
      </c>
      <c r="AN167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650</v>
      </c>
      <c r="B168" s="7">
        <v>4025</v>
      </c>
      <c r="C168" s="21" t="s">
        <v>206</v>
      </c>
      <c r="D168" s="21" t="s">
        <v>969</v>
      </c>
      <c r="E168" s="13">
        <v>42865.34002314815</v>
      </c>
      <c r="F168" s="13">
        <v>42865.342106481483</v>
      </c>
      <c r="G168" s="7">
        <v>1</v>
      </c>
      <c r="H168" s="21" t="s">
        <v>970</v>
      </c>
      <c r="I168" s="13">
        <v>42865.350543981483</v>
      </c>
      <c r="J168" s="7">
        <v>0</v>
      </c>
      <c r="K168" s="92" t="str">
        <f t="shared" si="66"/>
        <v>4025/4026</v>
      </c>
      <c r="L168" s="21" t="str">
        <f>VLOOKUP(A168,'Trips&amp;Operators'!$C$1:$G$99999,5,FALSE)</f>
        <v>YORK EDGAR</v>
      </c>
      <c r="M168" s="6">
        <f t="shared" si="67"/>
        <v>8.4375000005820766E-3</v>
      </c>
      <c r="N168" s="7">
        <f t="shared" si="81"/>
        <v>12.15000000083819</v>
      </c>
      <c r="O168" s="7"/>
      <c r="P168" s="7"/>
      <c r="Q168" s="22"/>
      <c r="R168" s="190"/>
      <c r="S168" s="196">
        <f t="shared" si="82"/>
        <v>1</v>
      </c>
      <c r="T168" s="190" t="str">
        <f t="shared" si="68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69"/>
        <v>https://d0f6bd738d7f1b3e5a7ca70fe4ff75f0.us-east-1.aws.found.io/app/kibana#/discover/Steve-Slow-Train-Analysis-(2080s-and-2083s)?_g=(refreshInterval:(display:Off,pause:!f,section:0,value:0),time:(from:'2017-05-10T07:09:38-0600',mode:absolute,to:'2017-05-10T09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8" s="192" t="str">
        <f t="shared" si="70"/>
        <v>N</v>
      </c>
      <c r="X168" s="192">
        <f t="shared" si="80"/>
        <v>1</v>
      </c>
      <c r="Y168" s="192">
        <f t="shared" si="83"/>
        <v>5.8619000000000003</v>
      </c>
      <c r="Z168" s="192">
        <f t="shared" si="84"/>
        <v>8.48E-2</v>
      </c>
      <c r="AA168" s="192">
        <f t="shared" si="71"/>
        <v>5.7770999999999999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72"/>
        <v>0810-10</v>
      </c>
      <c r="AE168" s="80" t="str">
        <f t="shared" si="73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168" s="77" t="str">
        <f t="shared" si="74"/>
        <v>"C:\Program Files (x86)\AstroGrep\AstroGrep.exe" /e /r /s /spath="%USERPROFILE%\AppData\Local\Temp\OnboardLogs" /stypes="app*4025*20170510*" /stext=" 14:.+((SYSTEM_STATE.+slice.+state.+changed )|(ment ac)|(multiple cpu faults)|(system.+state.+changed )|(\[timeout)|(PRM\|1\|D)|(kpr)|(kdp)|(train st.+moving)|(\|lc)|(penalty))"</v>
      </c>
      <c r="AG168" s="1" t="str">
        <f t="shared" si="75"/>
        <v>NW</v>
      </c>
      <c r="AH168" s="81" t="str">
        <f t="shared" si="76"/>
        <v>"%USERPROFILE%\Documents\GitHub\eaglep3\Utilities\RefineRTDCRunTimes.py" --tripid 810-10 --locoid 4025 --swversion DE.1.0.9.0 --startMP 300:58619 --initTime 2017-05-10T08:09:38 --startdatetime 2017-05-10T08:12:38 --delay 1 --endMP 204:848 --enddatetime 2017-05-10T08:24:47 --enforcementcount 0 &gt;&gt;C:\Users\stu\Documents\GitHub\eaglep3-reporting\EC\2017-05-10-refined-times.txt</v>
      </c>
      <c r="AI168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{"issue":{"subject":"","project_id":79,"tracker_id":40,"status_id":1,"priority_id":2,"assigned_to_id":23,"start_date":"2017-05-10","description":"","custom_fields":[{"id":1,"name":"Subdivision","value":"NW"},{"id":4,"name":"Milepost","value":"0.0848"},{"id":17,"name":"Train ID","value":"810-10"},{"id":16,"name":"Locomotive ID","value":"4025"},{"id":130,"name":"Impact","value":""},{"id":150,"name":"Time of Event (Mountain Time)","value":"08:24:47"},{"id":151,"name":"Denver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8"/>
        <v>start /low /b %USERPROFILE%\Documents\GitHub\eaglep3\Utilities\DownloadLogsFromS3.py --loco 4025 --day 2017-05-10</v>
      </c>
      <c r="AN168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571</v>
      </c>
      <c r="B169" s="7">
        <v>4030</v>
      </c>
      <c r="C169" s="21" t="s">
        <v>206</v>
      </c>
      <c r="D169" s="21" t="s">
        <v>971</v>
      </c>
      <c r="E169" s="13">
        <v>42865.340752314813</v>
      </c>
      <c r="F169" s="13">
        <v>42865.348136574074</v>
      </c>
      <c r="G169" s="7">
        <v>1</v>
      </c>
      <c r="H169" s="21" t="s">
        <v>546</v>
      </c>
      <c r="I169" s="13">
        <v>42865.357812499999</v>
      </c>
      <c r="J169" s="7">
        <v>0</v>
      </c>
      <c r="K169" s="92" t="str">
        <f t="shared" si="66"/>
        <v>4029/4030</v>
      </c>
      <c r="L169" s="21" t="str">
        <f>VLOOKUP(A169,'Trips&amp;Operators'!$C$1:$G$99999,5,FALSE)</f>
        <v>LOZA FIDEL</v>
      </c>
      <c r="M169" s="6">
        <f t="shared" si="67"/>
        <v>9.6759259249665774E-3</v>
      </c>
      <c r="N169" s="7">
        <f t="shared" si="81"/>
        <v>13.933333331951872</v>
      </c>
      <c r="O169" s="7"/>
      <c r="P169" s="7"/>
      <c r="Q169" s="22"/>
      <c r="R169" s="190"/>
      <c r="S169" s="196">
        <f t="shared" si="82"/>
        <v>1</v>
      </c>
      <c r="T169" s="190" t="str">
        <f t="shared" si="68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69"/>
        <v>https://d0f6bd738d7f1b3e5a7ca70fe4ff75f0.us-east-1.aws.found.io/app/kibana#/discover/Steve-Slow-Train-Analysis-(2080s-and-2083s)?_g=(refreshInterval:(display:Off,pause:!f,section:0,value:0),time:(from:'2017-05-10T07:10:41-0600',mode:absolute,to:'2017-05-10T09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192" t="str">
        <f t="shared" si="70"/>
        <v>N</v>
      </c>
      <c r="X169" s="192">
        <f t="shared" si="80"/>
        <v>1</v>
      </c>
      <c r="Y169" s="192">
        <f t="shared" si="83"/>
        <v>9.6500000000000002E-2</v>
      </c>
      <c r="Z169" s="192">
        <f t="shared" si="84"/>
        <v>5.8960999999999997</v>
      </c>
      <c r="AA169" s="192">
        <f t="shared" si="71"/>
        <v>5.7995999999999999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72"/>
        <v>0811-10</v>
      </c>
      <c r="AE169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69" s="77" t="str">
        <f t="shared" si="74"/>
        <v>"C:\Program Files (x86)\AstroGrep\AstroGrep.exe" /e /r /s /spath="%USERPROFILE%\AppData\Local\Temp\OnboardLogs" /stypes="app*4030*20170510*" /stext=" 14:.+((SYSTEM_STATE.+slice.+state.+changed )|(ment ac)|(multiple cpu faults)|(system.+state.+changed )|(\[timeout)|(PRM\|1\|D)|(kpr)|(kdp)|(train st.+moving)|(\|lc)|(penalty))"</v>
      </c>
      <c r="AG169" s="1" t="str">
        <f t="shared" si="75"/>
        <v>NW</v>
      </c>
      <c r="AH169" s="81" t="str">
        <f t="shared" si="76"/>
        <v>"%USERPROFILE%\Documents\GitHub\eaglep3\Utilities\RefineRTDCRunTimes.py" --tripid 811-10 --locoid 4030 --swversion DE.1.0.9.0 --startMP 204:965 --initTime 2017-05-10T08:10:41 --startdatetime 2017-05-10T08:21:19 --delay 1 --endMP 300:58961 --enddatetime 2017-05-10T08:35:15 --enforcementcount 0 &gt;&gt;C:\Users\stu\Documents\GitHub\eaglep3-reporting\EC\2017-05-10-refined-times.txt</v>
      </c>
      <c r="AI169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{"issue":{"subject":"","project_id":79,"tracker_id":40,"status_id":1,"priority_id":2,"assigned_to_id":23,"start_date":"2017-05-10","description":"","custom_fields":[{"id":1,"name":"Subdivision","value":"NW"},{"id":4,"name":"Milepost","value":"5.8961"},{"id":17,"name":"Train ID","value":"811-10"},{"id":16,"name":"Locomotive ID","value":"4030"},{"id":130,"name":"Impact","value":""},{"id":150,"name":"Time of Event (Mountain Time)","value":"08:35:15"},{"id":151,"name":"Denver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8"/>
        <v>start /low /b %USERPROFILE%\Documents\GitHub\eaglep3\Utilities\DownloadLogsFromS3.py --loco 4030 --day 2017-05-10</v>
      </c>
      <c r="AN169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654</v>
      </c>
      <c r="B170" s="7">
        <v>4029</v>
      </c>
      <c r="C170" s="21" t="s">
        <v>206</v>
      </c>
      <c r="D170" s="21" t="s">
        <v>958</v>
      </c>
      <c r="E170" s="13">
        <v>42865.359259259261</v>
      </c>
      <c r="F170" s="13">
        <v>42865.361018518517</v>
      </c>
      <c r="G170" s="7">
        <v>1</v>
      </c>
      <c r="H170" s="21" t="s">
        <v>972</v>
      </c>
      <c r="I170" s="13">
        <v>42865.371388888889</v>
      </c>
      <c r="J170" s="7">
        <v>0</v>
      </c>
      <c r="K170" s="92" t="str">
        <f t="shared" si="66"/>
        <v>4029/4030</v>
      </c>
      <c r="L170" s="21" t="str">
        <f>VLOOKUP(A170,'Trips&amp;Operators'!$C$1:$G$99999,5,FALSE)</f>
        <v>LOZA FIDEL</v>
      </c>
      <c r="M170" s="6">
        <f t="shared" si="67"/>
        <v>1.0370370371674653E-2</v>
      </c>
      <c r="N170" s="7">
        <f t="shared" si="81"/>
        <v>14.933333335211501</v>
      </c>
      <c r="O170" s="7"/>
      <c r="P170" s="7"/>
      <c r="Q170" s="22"/>
      <c r="R170" s="190"/>
      <c r="S170" s="196">
        <f t="shared" si="82"/>
        <v>1</v>
      </c>
      <c r="T170" s="190" t="str">
        <f t="shared" si="68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69"/>
        <v>https://d0f6bd738d7f1b3e5a7ca70fe4ff75f0.us-east-1.aws.found.io/app/kibana#/discover/Steve-Slow-Train-Analysis-(2080s-and-2083s)?_g=(refreshInterval:(display:Off,pause:!f,section:0,value:0),time:(from:'2017-05-10T07:37:20-0600',mode:absolute,to:'2017-05-10T09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192" t="str">
        <f t="shared" si="70"/>
        <v>N</v>
      </c>
      <c r="X170" s="192">
        <f t="shared" si="80"/>
        <v>1</v>
      </c>
      <c r="Y170" s="192">
        <f t="shared" si="83"/>
        <v>5.8647</v>
      </c>
      <c r="Z170" s="192">
        <f t="shared" si="84"/>
        <v>6.7299999999999999E-2</v>
      </c>
      <c r="AA170" s="192">
        <f t="shared" si="71"/>
        <v>5.7973999999999997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72"/>
        <v>0812-10</v>
      </c>
      <c r="AE170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70" s="77" t="str">
        <f t="shared" si="74"/>
        <v>"C:\Program Files (x86)\AstroGrep\AstroGrep.exe" /e /r /s /spath="%USERPROFILE%\AppData\Local\Temp\OnboardLogs" /stypes="app*4029*20170510*" /stext=" 14:.+((SYSTEM_STATE.+slice.+state.+changed )|(ment ac)|(multiple cpu faults)|(system.+state.+changed )|(\[timeout)|(PRM\|1\|D)|(kpr)|(kdp)|(train st.+moving)|(\|lc)|(penalty))"</v>
      </c>
      <c r="AG170" s="1" t="str">
        <f t="shared" si="75"/>
        <v>NW</v>
      </c>
      <c r="AH170" s="81" t="str">
        <f t="shared" si="76"/>
        <v>"%USERPROFILE%\Documents\GitHub\eaglep3\Utilities\RefineRTDCRunTimes.py" --tripid 812-10 --locoid 4029 --swversion DE.1.0.9.0 --startMP 300:58647 --initTime 2017-05-10T08:37:20 --startdatetime 2017-05-10T08:39:52 --delay 1 --endMP 204:673 --enddatetime 2017-05-10T08:54:48 --enforcementcount 0 &gt;&gt;C:\Users\stu\Documents\GitHub\eaglep3-reporting\EC\2017-05-10-refined-times.txt</v>
      </c>
      <c r="AI170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{"issue":{"subject":"","project_id":79,"tracker_id":40,"status_id":1,"priority_id":2,"assigned_to_id":23,"start_date":"2017-05-10","description":"","custom_fields":[{"id":1,"name":"Subdivision","value":"NW"},{"id":4,"name":"Milepost","value":"0.0673"},{"id":17,"name":"Train ID","value":"812-10"},{"id":16,"name":"Locomotive ID","value":"4029"},{"id":130,"name":"Impact","value":""},{"id":150,"name":"Time of Event (Mountain Time)","value":"08:54:48"},{"id":151,"name":"Denver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8"/>
        <v>start /low /b %USERPROFILE%\Documents\GitHub\eaglep3\Utilities\DownloadLogsFromS3.py --loco 4029 --day 2017-05-10</v>
      </c>
      <c r="AN170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660</v>
      </c>
      <c r="B171" s="7">
        <v>4030</v>
      </c>
      <c r="C171" s="21" t="s">
        <v>206</v>
      </c>
      <c r="D171" s="21" t="s">
        <v>973</v>
      </c>
      <c r="E171" s="13">
        <v>42865.383159722223</v>
      </c>
      <c r="F171" s="13">
        <v>42865.389814814815</v>
      </c>
      <c r="G171" s="7">
        <v>1</v>
      </c>
      <c r="H171" s="21" t="s">
        <v>974</v>
      </c>
      <c r="I171" s="13">
        <v>42865.399027777778</v>
      </c>
      <c r="J171" s="7">
        <v>0</v>
      </c>
      <c r="K171" s="92" t="str">
        <f t="shared" si="66"/>
        <v>4029/4030</v>
      </c>
      <c r="L171" s="21" t="str">
        <f>VLOOKUP(A171,'Trips&amp;Operators'!$C$1:$G$99999,5,FALSE)</f>
        <v>LOZA FIDEL</v>
      </c>
      <c r="M171" s="6">
        <f t="shared" si="67"/>
        <v>9.2129629629198462E-3</v>
      </c>
      <c r="N171" s="7">
        <f t="shared" si="81"/>
        <v>13.266666666604578</v>
      </c>
      <c r="O171" s="7"/>
      <c r="P171" s="7"/>
      <c r="Q171" s="22"/>
      <c r="R171" s="190"/>
      <c r="S171" s="196">
        <f t="shared" si="82"/>
        <v>1</v>
      </c>
      <c r="T171" s="190" t="str">
        <f t="shared" si="68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69"/>
        <v>https://d0f6bd738d7f1b3e5a7ca70fe4ff75f0.us-east-1.aws.found.io/app/kibana#/discover/Steve-Slow-Train-Analysis-(2080s-and-2083s)?_g=(refreshInterval:(display:Off,pause:!f,section:0,value:0),time:(from:'2017-05-10T08:11:45-0600',mode:absolute,to:'2017-05-10T10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192" t="str">
        <f t="shared" si="70"/>
        <v>N</v>
      </c>
      <c r="X171" s="192">
        <f t="shared" si="80"/>
        <v>1</v>
      </c>
      <c r="Y171" s="192">
        <f t="shared" si="83"/>
        <v>9.5000000000000001E-2</v>
      </c>
      <c r="Z171" s="192">
        <f t="shared" si="84"/>
        <v>5.8964999999999996</v>
      </c>
      <c r="AA171" s="192">
        <f t="shared" si="71"/>
        <v>5.8014999999999999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72"/>
        <v>0813-10</v>
      </c>
      <c r="AE171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71" s="77" t="str">
        <f t="shared" si="74"/>
        <v>"C:\Program Files (x86)\AstroGrep\AstroGrep.exe" /e /r /s /spath="%USERPROFILE%\AppData\Local\Temp\OnboardLogs" /stypes="app*4030*20170510*" /stext=" 15:.+((SYSTEM_STATE.+slice.+state.+changed )|(ment ac)|(multiple cpu faults)|(system.+state.+changed )|(\[timeout)|(PRM\|1\|D)|(kpr)|(kdp)|(train st.+moving)|(\|lc)|(penalty))"</v>
      </c>
      <c r="AG171" s="1" t="str">
        <f t="shared" si="75"/>
        <v>NW</v>
      </c>
      <c r="AH171" s="81" t="str">
        <f t="shared" si="76"/>
        <v>"%USERPROFILE%\Documents\GitHub\eaglep3\Utilities\RefineRTDCRunTimes.py" --tripid 813-10 --locoid 4030 --swversion DE.1.0.9.0 --startMP 204:950 --initTime 2017-05-10T09:11:45 --startdatetime 2017-05-10T09:21:20 --delay 1 --endMP 300:58965 --enddatetime 2017-05-10T09:34:36 --enforcementcount 0 &gt;&gt;C:\Users\stu\Documents\GitHub\eaglep3-reporting\EC\2017-05-10-refined-times.txt</v>
      </c>
      <c r="AI171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{"issue":{"subject":"","project_id":79,"tracker_id":40,"status_id":1,"priority_id":2,"assigned_to_id":23,"start_date":"2017-05-10","description":"","custom_fields":[{"id":1,"name":"Subdivision","value":"NW"},{"id":4,"name":"Milepost","value":"5.8965"},{"id":17,"name":"Train ID","value":"813-10"},{"id":16,"name":"Locomotive ID","value":"4030"},{"id":130,"name":"Impact","value":""},{"id":150,"name":"Time of Event (Mountain Time)","value":"09:34:36"},{"id":151,"name":"Denver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8"/>
        <v>start /low /b %USERPROFILE%\Documents\GitHub\eaglep3\Utilities\DownloadLogsFromS3.py --loco 4030 --day 2017-05-10</v>
      </c>
      <c r="AN171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664</v>
      </c>
      <c r="B172" s="7">
        <v>4029</v>
      </c>
      <c r="C172" s="21" t="s">
        <v>206</v>
      </c>
      <c r="D172" s="21" t="s">
        <v>964</v>
      </c>
      <c r="E172" s="13">
        <v>42865.400150462963</v>
      </c>
      <c r="F172" s="13">
        <v>42865.40185185185</v>
      </c>
      <c r="G172" s="7">
        <v>1</v>
      </c>
      <c r="H172" s="21" t="s">
        <v>551</v>
      </c>
      <c r="I172" s="13">
        <v>42865.413541666669</v>
      </c>
      <c r="J172" s="7">
        <v>0</v>
      </c>
      <c r="K172" s="92" t="str">
        <f t="shared" si="66"/>
        <v>4029/4030</v>
      </c>
      <c r="L172" s="21" t="str">
        <f>VLOOKUP(A172,'Trips&amp;Operators'!$C$1:$G$99999,5,FALSE)</f>
        <v>LOZA FIDEL</v>
      </c>
      <c r="M172" s="6">
        <f t="shared" si="67"/>
        <v>1.1689814818964805E-2</v>
      </c>
      <c r="N172" s="7">
        <f t="shared" si="81"/>
        <v>16.83333333930932</v>
      </c>
      <c r="O172" s="7"/>
      <c r="P172" s="7"/>
      <c r="Q172" s="22"/>
      <c r="R172" s="190"/>
      <c r="S172" s="196">
        <f t="shared" si="82"/>
        <v>1</v>
      </c>
      <c r="T172" s="190" t="str">
        <f t="shared" si="68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69"/>
        <v>https://d0f6bd738d7f1b3e5a7ca70fe4ff75f0.us-east-1.aws.found.io/app/kibana#/discover/Steve-Slow-Train-Analysis-(2080s-and-2083s)?_g=(refreshInterval:(display:Off,pause:!f,section:0,value:0),time:(from:'2017-05-10T08:36:13-0600',mode:absolute,to:'2017-05-10T10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192" t="str">
        <f t="shared" si="70"/>
        <v>N</v>
      </c>
      <c r="X172" s="192">
        <f t="shared" si="80"/>
        <v>1</v>
      </c>
      <c r="Y172" s="192">
        <f t="shared" si="83"/>
        <v>5.8648999999999996</v>
      </c>
      <c r="Z172" s="192">
        <f t="shared" si="84"/>
        <v>6.9199999999999998E-2</v>
      </c>
      <c r="AA172" s="192">
        <f t="shared" si="71"/>
        <v>5.7956999999999992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72"/>
        <v>0814-10</v>
      </c>
      <c r="AE172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72" s="77" t="str">
        <f t="shared" si="74"/>
        <v>"C:\Program Files (x86)\AstroGrep\AstroGrep.exe" /e /r /s /spath="%USERPROFILE%\AppData\Local\Temp\OnboardLogs" /stypes="app*4029*20170510*" /stext=" 15:.+((SYSTEM_STATE.+slice.+state.+changed )|(ment ac)|(multiple cpu faults)|(system.+state.+changed )|(\[timeout)|(PRM\|1\|D)|(kpr)|(kdp)|(train st.+moving)|(\|lc)|(penalty))"</v>
      </c>
      <c r="AG172" s="1" t="str">
        <f t="shared" si="75"/>
        <v>NW</v>
      </c>
      <c r="AH172" s="81" t="str">
        <f t="shared" si="76"/>
        <v>"%USERPROFILE%\Documents\GitHub\eaglep3\Utilities\RefineRTDCRunTimes.py" --tripid 814-10 --locoid 4029 --swversion DE.1.0.9.0 --startMP 300:58649 --initTime 2017-05-10T09:36:13 --startdatetime 2017-05-10T09:38:40 --delay 1 --endMP 204:692 --enddatetime 2017-05-10T09:55:30 --enforcementcount 0 &gt;&gt;C:\Users\stu\Documents\GitHub\eaglep3-reporting\EC\2017-05-10-refined-times.txt</v>
      </c>
      <c r="AI172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{"issue":{"subject":"","project_id":79,"tracker_id":40,"status_id":1,"priority_id":2,"assigned_to_id":23,"start_date":"2017-05-10","description":"","custom_fields":[{"id":1,"name":"Subdivision","value":"NW"},{"id":4,"name":"Milepost","value":"0.0692"},{"id":17,"name":"Train ID","value":"814-10"},{"id":16,"name":"Locomotive ID","value":"4029"},{"id":130,"name":"Impact","value":""},{"id":150,"name":"Time of Event (Mountain Time)","value":"09:55:30"},{"id":151,"name":"Denver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78"/>
        <v>start /low /b %USERPROFILE%\Documents\GitHub\eaglep3\Utilities\DownloadLogsFromS3.py --loco 4029 --day 2017-05-10</v>
      </c>
      <c r="AN172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15:55:30"},{"id":29,"name":"Sharepoint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668</v>
      </c>
      <c r="B173" s="7">
        <v>4030</v>
      </c>
      <c r="C173" s="21" t="s">
        <v>206</v>
      </c>
      <c r="D173" s="21" t="s">
        <v>975</v>
      </c>
      <c r="E173" s="13">
        <v>42865.419131944444</v>
      </c>
      <c r="F173" s="13">
        <v>42865.431435185186</v>
      </c>
      <c r="G173" s="7">
        <v>1</v>
      </c>
      <c r="H173" s="21" t="s">
        <v>974</v>
      </c>
      <c r="I173" s="13">
        <v>42865.441354166665</v>
      </c>
      <c r="J173" s="7">
        <v>0</v>
      </c>
      <c r="K173" s="92" t="str">
        <f t="shared" si="66"/>
        <v>4029/4030</v>
      </c>
      <c r="L173" s="21" t="str">
        <f>VLOOKUP(A173,'Trips&amp;Operators'!$C$1:$G$99999,5,FALSE)</f>
        <v>LOZA FIDEL</v>
      </c>
      <c r="M173" s="6">
        <f t="shared" si="67"/>
        <v>9.9189814791316167E-3</v>
      </c>
      <c r="N173" s="7">
        <f t="shared" si="81"/>
        <v>14.283333329949528</v>
      </c>
      <c r="O173" s="7"/>
      <c r="P173" s="7"/>
      <c r="Q173" s="22"/>
      <c r="R173" s="190"/>
      <c r="S173" s="196">
        <f t="shared" si="82"/>
        <v>1</v>
      </c>
      <c r="T173" s="190" t="str">
        <f t="shared" si="68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69"/>
        <v>https://d0f6bd738d7f1b3e5a7ca70fe4ff75f0.us-east-1.aws.found.io/app/kibana#/discover/Steve-Slow-Train-Analysis-(2080s-and-2083s)?_g=(refreshInterval:(display:Off,pause:!f,section:0,value:0),time:(from:'2017-05-10T09:03:33-0600',mode:absolute,to:'2017-05-10T11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192" t="str">
        <f t="shared" si="70"/>
        <v>N</v>
      </c>
      <c r="X173" s="192">
        <f t="shared" si="80"/>
        <v>1</v>
      </c>
      <c r="Y173" s="192">
        <f t="shared" si="83"/>
        <v>9.9199999999999997E-2</v>
      </c>
      <c r="Z173" s="192">
        <f t="shared" si="84"/>
        <v>5.8964999999999996</v>
      </c>
      <c r="AA173" s="192">
        <f t="shared" si="71"/>
        <v>5.7972999999999999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72"/>
        <v>0815-10</v>
      </c>
      <c r="AE173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73" s="77" t="str">
        <f t="shared" si="74"/>
        <v>"C:\Program Files (x86)\AstroGrep\AstroGrep.exe" /e /r /s /spath="%USERPROFILE%\AppData\Local\Temp\OnboardLogs" /stypes="app*4030*20170510*" /stext=" 16:.+((SYSTEM_STATE.+slice.+state.+changed )|(ment ac)|(multiple cpu faults)|(system.+state.+changed )|(\[timeout)|(PRM\|1\|D)|(kpr)|(kdp)|(train st.+moving)|(\|lc)|(penalty))"</v>
      </c>
      <c r="AG173" s="1" t="str">
        <f t="shared" si="75"/>
        <v>NW</v>
      </c>
      <c r="AH173" s="81" t="str">
        <f t="shared" si="76"/>
        <v>"%USERPROFILE%\Documents\GitHub\eaglep3\Utilities\RefineRTDCRunTimes.py" --tripid 815-10 --locoid 4030 --swversion DE.1.0.9.0 --startMP 204:992 --initTime 2017-05-10T10:03:33 --startdatetime 2017-05-10T10:21:16 --delay 1 --endMP 300:58965 --enddatetime 2017-05-10T10:35:33 --enforcementcount 0 &gt;&gt;C:\Users\stu\Documents\GitHub\eaglep3-reporting\EC\2017-05-10-refined-times.txt</v>
      </c>
      <c r="AI173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{"issue":{"subject":"","project_id":79,"tracker_id":40,"status_id":1,"priority_id":2,"assigned_to_id":23,"start_date":"2017-05-10","description":"","custom_fields":[{"id":1,"name":"Subdivision","value":"NW"},{"id":4,"name":"Milepost","value":"5.8965"},{"id":17,"name":"Train ID","value":"815-10"},{"id":16,"name":"Locomotive ID","value":"4030"},{"id":130,"name":"Impact","value":""},{"id":150,"name":"Time of Event (Mountain Time)","value":"10:35:33"},{"id":151,"name":"Denver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78"/>
        <v>start /low /b %USERPROFILE%\Documents\GitHub\eaglep3\Utilities\DownloadLogsFromS3.py --loco 4030 --day 2017-05-10</v>
      </c>
      <c r="AN173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675</v>
      </c>
      <c r="B174" s="7">
        <v>4029</v>
      </c>
      <c r="C174" s="21" t="s">
        <v>206</v>
      </c>
      <c r="D174" s="21" t="s">
        <v>976</v>
      </c>
      <c r="E174" s="13">
        <v>42865.442789351851</v>
      </c>
      <c r="F174" s="13">
        <v>42865.444293981483</v>
      </c>
      <c r="G174" s="7">
        <v>1</v>
      </c>
      <c r="H174" s="21" t="s">
        <v>977</v>
      </c>
      <c r="I174" s="13">
        <v>42865.454328703701</v>
      </c>
      <c r="J174" s="7">
        <v>0</v>
      </c>
      <c r="K174" s="92" t="str">
        <f t="shared" si="66"/>
        <v>4029/4030</v>
      </c>
      <c r="L174" s="21" t="str">
        <f>VLOOKUP(A174,'Trips&amp;Operators'!$C$1:$G$99999,5,FALSE)</f>
        <v>LOZA FIDEL</v>
      </c>
      <c r="M174" s="6">
        <f t="shared" si="67"/>
        <v>1.003472221782431E-2</v>
      </c>
      <c r="N174" s="7">
        <f t="shared" si="81"/>
        <v>14.449999993667006</v>
      </c>
      <c r="O174" s="7"/>
      <c r="P174" s="7"/>
      <c r="Q174" s="22"/>
      <c r="R174" s="190"/>
      <c r="S174" s="196">
        <f t="shared" si="82"/>
        <v>1</v>
      </c>
      <c r="T174" s="190" t="str">
        <f t="shared" si="68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69"/>
        <v>https://d0f6bd738d7f1b3e5a7ca70fe4ff75f0.us-east-1.aws.found.io/app/kibana#/discover/Steve-Slow-Train-Analysis-(2080s-and-2083s)?_g=(refreshInterval:(display:Off,pause:!f,section:0,value:0),time:(from:'2017-05-10T09:37:37-0600',mode:absolute,to:'2017-05-10T11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192" t="str">
        <f t="shared" si="70"/>
        <v>N</v>
      </c>
      <c r="X174" s="192">
        <f t="shared" si="80"/>
        <v>1</v>
      </c>
      <c r="Y174" s="192">
        <f t="shared" si="83"/>
        <v>5.8643000000000001</v>
      </c>
      <c r="Z174" s="192">
        <f t="shared" si="84"/>
        <v>6.8699999999999997E-2</v>
      </c>
      <c r="AA174" s="192">
        <f t="shared" si="71"/>
        <v>5.7956000000000003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72"/>
        <v>0816-10</v>
      </c>
      <c r="AE174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74" s="77" t="str">
        <f t="shared" si="74"/>
        <v>"C:\Program Files (x86)\AstroGrep\AstroGrep.exe" /e /r /s /spath="%USERPROFILE%\AppData\Local\Temp\OnboardLogs" /stypes="app*4029*20170510*" /stext=" 16:.+((SYSTEM_STATE.+slice.+state.+changed )|(ment ac)|(multiple cpu faults)|(system.+state.+changed )|(\[timeout)|(PRM\|1\|D)|(kpr)|(kdp)|(train st.+moving)|(\|lc)|(penalty))"</v>
      </c>
      <c r="AG174" s="1" t="str">
        <f t="shared" si="75"/>
        <v>NW</v>
      </c>
      <c r="AH174" s="81" t="str">
        <f t="shared" si="76"/>
        <v>"%USERPROFILE%\Documents\GitHub\eaglep3\Utilities\RefineRTDCRunTimes.py" --tripid 816-10 --locoid 4029 --swversion DE.1.0.9.0 --startMP 300:58643 --initTime 2017-05-10T10:37:37 --startdatetime 2017-05-10T10:39:47 --delay 1 --endMP 204:687 --enddatetime 2017-05-10T10:54:14 --enforcementcount 0 &gt;&gt;C:\Users\stu\Documents\GitHub\eaglep3-reporting\EC\2017-05-10-refined-times.txt</v>
      </c>
      <c r="AI174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{"issue":{"subject":"","project_id":79,"tracker_id":40,"status_id":1,"priority_id":2,"assigned_to_id":23,"start_date":"2017-05-10","description":"","custom_fields":[{"id":1,"name":"Subdivision","value":"NW"},{"id":4,"name":"Milepost","value":"0.0687"},{"id":17,"name":"Train ID","value":"816-10"},{"id":16,"name":"Locomotive ID","value":"4029"},{"id":130,"name":"Impact","value":""},{"id":150,"name":"Time of Event (Mountain Time)","value":"10:54:14"},{"id":151,"name":"Denver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78"/>
        <v>start /low /b %USERPROFILE%\Documents\GitHub\eaglep3\Utilities\DownloadLogsFromS3.py --loco 4029 --day 2017-05-10</v>
      </c>
      <c r="AN174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681</v>
      </c>
      <c r="B175" s="7">
        <v>4030</v>
      </c>
      <c r="C175" s="21" t="s">
        <v>206</v>
      </c>
      <c r="D175" s="21" t="s">
        <v>978</v>
      </c>
      <c r="E175" s="13">
        <v>42865.4687962963</v>
      </c>
      <c r="F175" s="13">
        <v>42865.473101851851</v>
      </c>
      <c r="G175" s="7">
        <v>1</v>
      </c>
      <c r="H175" s="21" t="s">
        <v>546</v>
      </c>
      <c r="I175" s="13">
        <v>42865.482314814813</v>
      </c>
      <c r="J175" s="7">
        <v>0</v>
      </c>
      <c r="K175" s="92" t="str">
        <f t="shared" si="66"/>
        <v>4029/4030</v>
      </c>
      <c r="L175" s="21" t="str">
        <f>VLOOKUP(A175,'Trips&amp;Operators'!$C$1:$G$99999,5,FALSE)</f>
        <v>LOZA FIDEL</v>
      </c>
      <c r="M175" s="6">
        <f t="shared" si="67"/>
        <v>9.2129629629198462E-3</v>
      </c>
      <c r="N175" s="7">
        <f t="shared" si="81"/>
        <v>13.266666666604578</v>
      </c>
      <c r="O175" s="7"/>
      <c r="P175" s="7"/>
      <c r="Q175" s="22"/>
      <c r="R175" s="190"/>
      <c r="S175" s="196">
        <f t="shared" si="82"/>
        <v>1</v>
      </c>
      <c r="T175" s="190" t="str">
        <f t="shared" si="68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69"/>
        <v>https://d0f6bd738d7f1b3e5a7ca70fe4ff75f0.us-east-1.aws.found.io/app/kibana#/discover/Steve-Slow-Train-Analysis-(2080s-and-2083s)?_g=(refreshInterval:(display:Off,pause:!f,section:0,value:0),time:(from:'2017-05-10T10:15:04-0600',mode:absolute,to:'2017-05-10T12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192" t="str">
        <f t="shared" si="70"/>
        <v>N</v>
      </c>
      <c r="X175" s="192">
        <f t="shared" ref="X175:X206" si="85">VALUE(LEFT(AD175,4))-VALUE(LEFT(AD174,4))</f>
        <v>1</v>
      </c>
      <c r="Y175" s="192">
        <f t="shared" si="83"/>
        <v>9.69E-2</v>
      </c>
      <c r="Z175" s="192">
        <f t="shared" si="84"/>
        <v>5.8960999999999997</v>
      </c>
      <c r="AA175" s="192">
        <f t="shared" si="71"/>
        <v>5.7991999999999999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72"/>
        <v>0817-10</v>
      </c>
      <c r="AE175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75" s="77" t="str">
        <f t="shared" si="74"/>
        <v>"C:\Program Files (x86)\AstroGrep\AstroGrep.exe" /e /r /s /spath="%USERPROFILE%\AppData\Local\Temp\OnboardLogs" /stypes="app*4030*20170510*" /stext=" 17:.+((SYSTEM_STATE.+slice.+state.+changed )|(ment ac)|(multiple cpu faults)|(system.+state.+changed )|(\[timeout)|(PRM\|1\|D)|(kpr)|(kdp)|(train st.+moving)|(\|lc)|(penalty))"</v>
      </c>
      <c r="AG175" s="1" t="str">
        <f t="shared" si="75"/>
        <v>NW</v>
      </c>
      <c r="AH175" s="81" t="str">
        <f t="shared" si="76"/>
        <v>"%USERPROFILE%\Documents\GitHub\eaglep3\Utilities\RefineRTDCRunTimes.py" --tripid 817-10 --locoid 4030 --swversion DE.1.0.9.0 --startMP 204:969 --initTime 2017-05-10T11:15:04 --startdatetime 2017-05-10T11:21:16 --delay 1 --endMP 300:58961 --enddatetime 2017-05-10T11:34:32 --enforcementcount 0 &gt;&gt;C:\Users\stu\Documents\GitHub\eaglep3-reporting\EC\2017-05-10-refined-times.txt</v>
      </c>
      <c r="AI175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{"issue":{"subject":"","project_id":79,"tracker_id":40,"status_id":1,"priority_id":2,"assigned_to_id":23,"start_date":"2017-05-10","description":"","custom_fields":[{"id":1,"name":"Subdivision","value":"NW"},{"id":4,"name":"Milepost","value":"5.8961"},{"id":17,"name":"Train ID","value":"817-10"},{"id":16,"name":"Locomotive ID","value":"4030"},{"id":130,"name":"Impact","value":""},{"id":150,"name":"Time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78"/>
        <v>start /low /b %USERPROFILE%\Documents\GitHub\eaglep3\Utilities\DownloadLogsFromS3.py --loco 4030 --day 2017-05-10</v>
      </c>
      <c r="AN175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683</v>
      </c>
      <c r="B176" s="7">
        <v>4029</v>
      </c>
      <c r="C176" s="21" t="s">
        <v>206</v>
      </c>
      <c r="D176" s="21" t="s">
        <v>976</v>
      </c>
      <c r="E176" s="13">
        <v>42865.483819444446</v>
      </c>
      <c r="F176" s="13">
        <v>42865.485231481478</v>
      </c>
      <c r="G176" s="7">
        <v>1</v>
      </c>
      <c r="H176" s="21" t="s">
        <v>979</v>
      </c>
      <c r="I176" s="13">
        <v>42865.49658564815</v>
      </c>
      <c r="J176" s="7">
        <v>0</v>
      </c>
      <c r="K176" s="92" t="str">
        <f t="shared" si="66"/>
        <v>4029/4030</v>
      </c>
      <c r="L176" s="21" t="str">
        <f>VLOOKUP(A176,'Trips&amp;Operators'!$C$1:$G$99999,5,FALSE)</f>
        <v>LOZA FIDEL</v>
      </c>
      <c r="M176" s="6">
        <f t="shared" si="67"/>
        <v>1.135416667239042E-2</v>
      </c>
      <c r="N176" s="7">
        <f t="shared" si="81"/>
        <v>16.350000008242205</v>
      </c>
      <c r="O176" s="7"/>
      <c r="P176" s="7"/>
      <c r="Q176" s="22"/>
      <c r="R176" s="190"/>
      <c r="S176" s="196">
        <f t="shared" si="82"/>
        <v>1</v>
      </c>
      <c r="T176" s="190" t="str">
        <f t="shared" si="68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69"/>
        <v>https://d0f6bd738d7f1b3e5a7ca70fe4ff75f0.us-east-1.aws.found.io/app/kibana#/discover/Steve-Slow-Train-Analysis-(2080s-and-2083s)?_g=(refreshInterval:(display:Off,pause:!f,section:0,value:0),time:(from:'2017-05-10T10:36:42-0600',mode:absolute,to:'2017-05-10T12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192" t="str">
        <f t="shared" si="70"/>
        <v>N</v>
      </c>
      <c r="X176" s="192">
        <f t="shared" si="85"/>
        <v>1</v>
      </c>
      <c r="Y176" s="192">
        <f t="shared" si="83"/>
        <v>5.8643000000000001</v>
      </c>
      <c r="Z176" s="192">
        <f t="shared" si="84"/>
        <v>1.15E-2</v>
      </c>
      <c r="AA176" s="192">
        <f t="shared" si="71"/>
        <v>5.8528000000000002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72"/>
        <v>0818-10</v>
      </c>
      <c r="AE176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76" s="77" t="str">
        <f t="shared" si="74"/>
        <v>"C:\Program Files (x86)\AstroGrep\AstroGrep.exe" /e /r /s /spath="%USERPROFILE%\AppData\Local\Temp\OnboardLogs" /stypes="app*4029*20170510*" /stext=" 17:.+((SYSTEM_STATE.+slice.+state.+changed )|(ment ac)|(multiple cpu faults)|(system.+state.+changed )|(\[timeout)|(PRM\|1\|D)|(kpr)|(kdp)|(train st.+moving)|(\|lc)|(penalty))"</v>
      </c>
      <c r="AG176" s="1" t="str">
        <f t="shared" si="75"/>
        <v>NW</v>
      </c>
      <c r="AH176" s="81" t="str">
        <f t="shared" si="76"/>
        <v>"%USERPROFILE%\Documents\GitHub\eaglep3\Utilities\RefineRTDCRunTimes.py" --tripid 818-10 --locoid 4029 --swversion DE.1.0.9.0 --startMP 300:58643 --initTime 2017-05-10T11:36:42 --startdatetime 2017-05-10T11:38:44 --delay 1 --endMP 204:115 --enddatetime 2017-05-10T11:55:05 --enforcementcount 0 &gt;&gt;C:\Users\stu\Documents\GitHub\eaglep3-reporting\EC\2017-05-10-refined-times.txt</v>
      </c>
      <c r="AI176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{"issue":{"subject":"","project_id":79,"tracker_id":40,"status_id":1,"priority_id":2,"assigned_to_id":23,"start_date":"2017-05-10","description":"","custom_fields":[{"id":1,"name":"Subdivision","value":"NW"},{"id":4,"name":"Milepost","value":"0.0115"},{"id":17,"name":"Train ID","value":"818-10"},{"id":16,"name":"Locomotive ID","value":"4029"},{"id":130,"name":"Impact","value":""},{"id":150,"name":"Time of Event (Mountain Time)","value":"11:55:05"},{"id":151,"name":"Denver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78"/>
        <v>start /low /b %USERPROFILE%\Documents\GitHub\eaglep3\Utilities\DownloadLogsFromS3.py --loco 4029 --day 2017-05-10</v>
      </c>
      <c r="AN176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689</v>
      </c>
      <c r="B177" s="7">
        <v>4030</v>
      </c>
      <c r="C177" s="21" t="s">
        <v>206</v>
      </c>
      <c r="D177" s="21" t="s">
        <v>980</v>
      </c>
      <c r="E177" s="13">
        <v>42865.50341435185</v>
      </c>
      <c r="F177" s="13">
        <v>42865.514791666668</v>
      </c>
      <c r="G177" s="7">
        <v>1</v>
      </c>
      <c r="H177" s="21" t="s">
        <v>546</v>
      </c>
      <c r="I177" s="13">
        <v>42865.523935185185</v>
      </c>
      <c r="J177" s="7">
        <v>0</v>
      </c>
      <c r="K177" s="92" t="str">
        <f t="shared" si="66"/>
        <v>4029/4030</v>
      </c>
      <c r="L177" s="21" t="str">
        <f>VLOOKUP(A177,'Trips&amp;Operators'!$C$1:$G$99999,5,FALSE)</f>
        <v>LOZA FIDEL</v>
      </c>
      <c r="M177" s="6">
        <f t="shared" si="67"/>
        <v>9.1435185167938471E-3</v>
      </c>
      <c r="N177" s="7">
        <f t="shared" si="81"/>
        <v>13.16666666418314</v>
      </c>
      <c r="O177" s="7"/>
      <c r="P177" s="7"/>
      <c r="Q177" s="22"/>
      <c r="R177" s="190"/>
      <c r="S177" s="196">
        <f t="shared" si="82"/>
        <v>1</v>
      </c>
      <c r="T177" s="190" t="str">
        <f t="shared" si="68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69"/>
        <v>https://d0f6bd738d7f1b3e5a7ca70fe4ff75f0.us-east-1.aws.found.io/app/kibana#/discover/Steve-Slow-Train-Analysis-(2080s-and-2083s)?_g=(refreshInterval:(display:Off,pause:!f,section:0,value:0),time:(from:'2017-05-10T11:04:55-0600',mode:absolute,to:'2017-05-10T13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192" t="str">
        <f t="shared" si="70"/>
        <v>N</v>
      </c>
      <c r="X177" s="192">
        <f t="shared" si="85"/>
        <v>1</v>
      </c>
      <c r="Y177" s="192">
        <f t="shared" si="83"/>
        <v>4.0099999999999997E-2</v>
      </c>
      <c r="Z177" s="192">
        <f t="shared" si="84"/>
        <v>5.8960999999999997</v>
      </c>
      <c r="AA177" s="192">
        <f t="shared" si="71"/>
        <v>5.8559999999999999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72"/>
        <v>0819-10</v>
      </c>
      <c r="AE177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77" s="77" t="str">
        <f t="shared" si="74"/>
        <v>"C:\Program Files (x86)\AstroGrep\AstroGrep.exe" /e /r /s /spath="%USERPROFILE%\AppData\Local\Temp\OnboardLogs" /stypes="app*4030*20170510*" /stext=" 18:.+((SYSTEM_STATE.+slice.+state.+changed )|(ment ac)|(multiple cpu faults)|(system.+state.+changed )|(\[timeout)|(PRM\|1\|D)|(kpr)|(kdp)|(train st.+moving)|(\|lc)|(penalty))"</v>
      </c>
      <c r="AG177" s="1" t="str">
        <f t="shared" si="75"/>
        <v>NW</v>
      </c>
      <c r="AH177" s="81" t="str">
        <f t="shared" si="76"/>
        <v>"%USERPROFILE%\Documents\GitHub\eaglep3\Utilities\RefineRTDCRunTimes.py" --tripid 819-10 --locoid 4030 --swversion DE.1.0.9.0 --startMP 204:401 --initTime 2017-05-10T12:04:55 --startdatetime 2017-05-10T12:21:18 --delay 1 --endMP 300:58961 --enddatetime 2017-05-10T12:34:28 --enforcementcount 0 &gt;&gt;C:\Users\stu\Documents\GitHub\eaglep3-reporting\EC\2017-05-10-refined-times.txt</v>
      </c>
      <c r="AI177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{"issue":{"subject":"","project_id":79,"tracker_id":40,"status_id":1,"priority_id":2,"assigned_to_id":23,"start_date":"2017-05-10","description":"","custom_fields":[{"id":1,"name":"Subdivision","value":"NW"},{"id":4,"name":"Milepost","value":"5.8961"},{"id":17,"name":"Train ID","value":"819-10"},{"id":16,"name":"Locomotive ID","value":"4030"},{"id":130,"name":"Impact","value":""},{"id":150,"name":"Time of Event (Mountain Time)","value":"12:34:28"},{"id":151,"name":"Denver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78"/>
        <v>start /low /b %USERPROFILE%\Documents\GitHub\eaglep3\Utilities\DownloadLogsFromS3.py --loco 4030 --day 2017-05-10</v>
      </c>
      <c r="AN177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692</v>
      </c>
      <c r="B178" s="7">
        <v>4029</v>
      </c>
      <c r="C178" s="21" t="s">
        <v>206</v>
      </c>
      <c r="D178" s="21" t="s">
        <v>478</v>
      </c>
      <c r="E178" s="13">
        <v>42865.525185185186</v>
      </c>
      <c r="F178" s="13">
        <v>42865.526990740742</v>
      </c>
      <c r="G178" s="7">
        <v>1</v>
      </c>
      <c r="H178" s="21" t="s">
        <v>981</v>
      </c>
      <c r="I178" s="13">
        <v>42865.539004629631</v>
      </c>
      <c r="J178" s="7">
        <v>0</v>
      </c>
      <c r="K178" s="92" t="str">
        <f t="shared" si="66"/>
        <v>4029/4030</v>
      </c>
      <c r="L178" s="21" t="str">
        <f>VLOOKUP(A178,'Trips&amp;Operators'!$C$1:$G$99999,5,FALSE)</f>
        <v>LOZA FIDEL</v>
      </c>
      <c r="M178" s="6">
        <f t="shared" si="67"/>
        <v>1.2013888888759539E-2</v>
      </c>
      <c r="N178" s="7">
        <f t="shared" si="81"/>
        <v>17.299999999813735</v>
      </c>
      <c r="O178" s="7"/>
      <c r="P178" s="7"/>
      <c r="Q178" s="22"/>
      <c r="R178" s="190"/>
      <c r="S178" s="196">
        <f t="shared" si="82"/>
        <v>1</v>
      </c>
      <c r="T178" s="190" t="str">
        <f t="shared" si="68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69"/>
        <v>https://d0f6bd738d7f1b3e5a7ca70fe4ff75f0.us-east-1.aws.found.io/app/kibana#/discover/Steve-Slow-Train-Analysis-(2080s-and-2083s)?_g=(refreshInterval:(display:Off,pause:!f,section:0,value:0),time:(from:'2017-05-10T11:36:16-0600',mode:absolute,to:'2017-05-10T13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192" t="str">
        <f t="shared" si="70"/>
        <v>N</v>
      </c>
      <c r="X178" s="192">
        <f t="shared" si="85"/>
        <v>1</v>
      </c>
      <c r="Y178" s="192">
        <f t="shared" si="83"/>
        <v>5.8644999999999996</v>
      </c>
      <c r="Z178" s="192">
        <f t="shared" si="84"/>
        <v>1.2800000000000001E-2</v>
      </c>
      <c r="AA178" s="192">
        <f t="shared" si="71"/>
        <v>5.8516999999999992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72"/>
        <v>0820-10</v>
      </c>
      <c r="AE178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78" s="77" t="str">
        <f t="shared" si="74"/>
        <v>"C:\Program Files (x86)\AstroGrep\AstroGrep.exe" /e /r /s /spath="%USERPROFILE%\AppData\Local\Temp\OnboardLogs" /stypes="app*4029*20170510*" /stext=" 18:.+((SYSTEM_STATE.+slice.+state.+changed )|(ment ac)|(multiple cpu faults)|(system.+state.+changed )|(\[timeout)|(PRM\|1\|D)|(kpr)|(kdp)|(train st.+moving)|(\|lc)|(penalty))"</v>
      </c>
      <c r="AG178" s="1" t="str">
        <f t="shared" si="75"/>
        <v>NW</v>
      </c>
      <c r="AH178" s="81" t="str">
        <f t="shared" si="76"/>
        <v>"%USERPROFILE%\Documents\GitHub\eaglep3\Utilities\RefineRTDCRunTimes.py" --tripid 820-10 --locoid 4029 --swversion DE.1.0.9.0 --startMP 300:58645 --initTime 2017-05-10T12:36:16 --startdatetime 2017-05-10T12:38:52 --delay 1 --endMP 204:128 --enddatetime 2017-05-10T12:56:10 --enforcementcount 0 &gt;&gt;C:\Users\stu\Documents\GitHub\eaglep3-reporting\EC\2017-05-10-refined-times.txt</v>
      </c>
      <c r="AI178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{"issue":{"subject":"","project_id":79,"tracker_id":40,"status_id":1,"priority_id":2,"assigned_to_id":23,"start_date":"2017-05-10","description":"","custom_fields":[{"id":1,"name":"Subdivision","value":"NW"},{"id":4,"name":"Milepost","value":"0.0128"},{"id":17,"name":"Train ID","value":"820-10"},{"id":16,"name":"Locomotive ID","value":"4029"},{"id":130,"name":"Impact","value":""},{"id":150,"name":"Time of Event (Mountain Time)","value":"12:56:10"},{"id":151,"name":"Denver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78"/>
        <v>start /low /b %USERPROFILE%\Documents\GitHub\eaglep3\Utilities\DownloadLogsFromS3.py --loco 4029 --day 2017-05-10</v>
      </c>
      <c r="AN178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2" t="s">
        <v>699</v>
      </c>
      <c r="B179" s="7">
        <v>4030</v>
      </c>
      <c r="C179" s="21" t="s">
        <v>206</v>
      </c>
      <c r="D179" s="21" t="s">
        <v>982</v>
      </c>
      <c r="E179" s="13">
        <v>42865.549201388887</v>
      </c>
      <c r="F179" s="13">
        <v>42865.557083333333</v>
      </c>
      <c r="G179" s="7">
        <v>1</v>
      </c>
      <c r="H179" s="21" t="s">
        <v>961</v>
      </c>
      <c r="I179" s="13">
        <v>42865.567465277774</v>
      </c>
      <c r="J179" s="7">
        <v>0</v>
      </c>
      <c r="K179" s="92" t="str">
        <f t="shared" si="66"/>
        <v>4029/4030</v>
      </c>
      <c r="L179" s="21" t="str">
        <f>VLOOKUP(A179,'Trips&amp;Operators'!$C$1:$G$99999,5,FALSE)</f>
        <v>MCREYNOLDS KYLE</v>
      </c>
      <c r="M179" s="6">
        <f t="shared" si="67"/>
        <v>1.0381944441178348E-2</v>
      </c>
      <c r="N179" s="7">
        <f t="shared" ref="N179:N210" si="86">24*60*SUM($M179:$M179)</f>
        <v>14.949999995296821</v>
      </c>
      <c r="O179" s="7"/>
      <c r="P179" s="7"/>
      <c r="Q179" s="22"/>
      <c r="R179" s="190"/>
      <c r="S179" s="196">
        <f t="shared" ref="S179:S210" si="87">SUM(U179:U179)/IF(AG179="EC",12,1)</f>
        <v>1</v>
      </c>
      <c r="T179" s="190" t="str">
        <f t="shared" si="68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69"/>
        <v>https://d0f6bd738d7f1b3e5a7ca70fe4ff75f0.us-east-1.aws.found.io/app/kibana#/discover/Steve-Slow-Train-Analysis-(2080s-and-2083s)?_g=(refreshInterval:(display:Off,pause:!f,section:0,value:0),time:(from:'2017-05-10T12:10:51-0600',mode:absolute,to:'2017-05-10T14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192" t="str">
        <f t="shared" si="70"/>
        <v>N</v>
      </c>
      <c r="X179" s="192">
        <f t="shared" si="85"/>
        <v>1</v>
      </c>
      <c r="Y179" s="192">
        <f t="shared" si="83"/>
        <v>4.2799999999999998E-2</v>
      </c>
      <c r="Z179" s="192">
        <f t="shared" si="84"/>
        <v>5.8929</v>
      </c>
      <c r="AA179" s="192">
        <f t="shared" si="71"/>
        <v>5.8501000000000003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72"/>
        <v>0821-10</v>
      </c>
      <c r="AE179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79" s="77" t="str">
        <f t="shared" si="74"/>
        <v>"C:\Program Files (x86)\AstroGrep\AstroGrep.exe" /e /r /s /spath="%USERPROFILE%\AppData\Local\Temp\OnboardLogs" /stypes="app*4030*20170510*" /stext=" 19:.+((SYSTEM_STATE.+slice.+state.+changed )|(ment ac)|(multiple cpu faults)|(system.+state.+changed )|(\[timeout)|(PRM\|1\|D)|(kpr)|(kdp)|(train st.+moving)|(\|lc)|(penalty))"</v>
      </c>
      <c r="AG179" s="1" t="str">
        <f t="shared" si="75"/>
        <v>NW</v>
      </c>
      <c r="AH179" s="81" t="str">
        <f t="shared" si="76"/>
        <v>"%USERPROFILE%\Documents\GitHub\eaglep3\Utilities\RefineRTDCRunTimes.py" --tripid 821-10 --locoid 4030 --swversion DE.1.0.9.0 --startMP 204:428 --initTime 2017-05-10T13:10:51 --startdatetime 2017-05-10T13:22:12 --delay 1 --endMP 300:58929 --enddatetime 2017-05-10T13:37:09 --enforcementcount 0 &gt;&gt;C:\Users\stu\Documents\GitHub\eaglep3-reporting\EC\2017-05-10-refined-times.txt</v>
      </c>
      <c r="AI179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{"issue":{"subject":"","project_id":79,"tracker_id":40,"status_id":1,"priority_id":2,"assigned_to_id":23,"start_date":"2017-05-10","description":"","custom_fields":[{"id":1,"name":"Subdivision","value":"NW"},{"id":4,"name":"Milepost","value":"5.8929"},{"id":17,"name":"Train ID","value":"821-10"},{"id":16,"name":"Locomotive ID","value":"4030"},{"id":130,"name":"Impact","value":""},{"id":150,"name":"Time of Event (Mountain Time)","value":"13:37:09"},{"id":151,"name":"Denver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78"/>
        <v>start /low /b %USERPROFILE%\Documents\GitHub\eaglep3\Utilities\DownloadLogsFromS3.py --loco 4030 --day 2017-05-10</v>
      </c>
      <c r="AN179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706</v>
      </c>
      <c r="B180" s="7">
        <v>4029</v>
      </c>
      <c r="C180" s="21" t="s">
        <v>206</v>
      </c>
      <c r="D180" s="21" t="s">
        <v>983</v>
      </c>
      <c r="E180" s="13">
        <v>42865.568738425929</v>
      </c>
      <c r="F180" s="13">
        <v>42865.570185185185</v>
      </c>
      <c r="G180" s="7">
        <v>2</v>
      </c>
      <c r="H180" s="21" t="s">
        <v>984</v>
      </c>
      <c r="I180" s="13">
        <v>42865.580057870371</v>
      </c>
      <c r="J180" s="7">
        <v>0</v>
      </c>
      <c r="K180" s="92" t="str">
        <f t="shared" si="66"/>
        <v>4029/4030</v>
      </c>
      <c r="L180" s="21" t="str">
        <f>VLOOKUP(A180,'Trips&amp;Operators'!$C$1:$G$99999,5,FALSE)</f>
        <v>MCREYNOLDS KYLE</v>
      </c>
      <c r="M180" s="6">
        <f t="shared" si="67"/>
        <v>9.8726851865649223E-3</v>
      </c>
      <c r="N180" s="7">
        <f t="shared" si="86"/>
        <v>14.216666668653488</v>
      </c>
      <c r="O180" s="7"/>
      <c r="P180" s="7"/>
      <c r="Q180" s="22"/>
      <c r="R180" s="190"/>
      <c r="S180" s="196">
        <f t="shared" si="87"/>
        <v>1</v>
      </c>
      <c r="T180" s="190" t="str">
        <f t="shared" si="68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69"/>
        <v>https://d0f6bd738d7f1b3e5a7ca70fe4ff75f0.us-east-1.aws.found.io/app/kibana#/discover/Steve-Slow-Train-Analysis-(2080s-and-2083s)?_g=(refreshInterval:(display:Off,pause:!f,section:0,value:0),time:(from:'2017-05-10T12:38:59-0600',mode:absolute,to:'2017-05-10T14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192" t="str">
        <f t="shared" si="70"/>
        <v>N</v>
      </c>
      <c r="X180" s="192">
        <f t="shared" si="85"/>
        <v>1</v>
      </c>
      <c r="Y180" s="192">
        <f t="shared" si="83"/>
        <v>5.7339000000000002</v>
      </c>
      <c r="Z180" s="192">
        <f t="shared" si="84"/>
        <v>1.17E-2</v>
      </c>
      <c r="AA180" s="192">
        <f t="shared" si="71"/>
        <v>5.7222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72"/>
        <v>0822-10</v>
      </c>
      <c r="AE180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80" s="77" t="str">
        <f t="shared" si="74"/>
        <v>"C:\Program Files (x86)\AstroGrep\AstroGrep.exe" /e /r /s /spath="%USERPROFILE%\AppData\Local\Temp\OnboardLogs" /stypes="app*4029*20170510*" /stext=" 19:.+((SYSTEM_STATE.+slice.+state.+changed )|(ment ac)|(multiple cpu faults)|(system.+state.+changed )|(\[timeout)|(PRM\|1\|D)|(kpr)|(kdp)|(train st.+moving)|(\|lc)|(penalty))"</v>
      </c>
      <c r="AG180" s="1" t="str">
        <f t="shared" si="75"/>
        <v>NW</v>
      </c>
      <c r="AH180" s="81" t="str">
        <f t="shared" si="76"/>
        <v>"%USERPROFILE%\Documents\GitHub\eaglep3\Utilities\RefineRTDCRunTimes.py" --tripid 822-10 --locoid 4029 --swversion DE.1.0.9.0 --startMP 300:57339 --initTime 2017-05-10T13:38:59 --startdatetime 2017-05-10T13:41:04 --delay 2 --endMP 204:117 --enddatetime 2017-05-10T13:55:17 --enforcementcount 0 &gt;&gt;C:\Users\stu\Documents\GitHub\eaglep3-reporting\EC\2017-05-10-refined-times.txt</v>
      </c>
      <c r="AI180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{"issue":{"subject":"","project_id":79,"tracker_id":40,"status_id":1,"priority_id":2,"assigned_to_id":23,"start_date":"2017-05-10","description":"","custom_fields":[{"id":1,"name":"Subdivision","value":"NW"},{"id":4,"name":"Milepost","value":"0.0117"},{"id":17,"name":"Train ID","value":"822-10"},{"id":16,"name":"Locomotive ID","value":"4029"},{"id":130,"name":"Impact","value":""},{"id":150,"name":"Time of Event (Mountain Time)","value":"13:55:17"},{"id":151,"name":"Denver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78"/>
        <v>start /low /b %USERPROFILE%\Documents\GitHub\eaglep3\Utilities\DownloadLogsFromS3.py --loco 4029 --day 2017-05-10</v>
      </c>
      <c r="AN180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19:55:17"},{"id":29,"name":"Sharepoint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585</v>
      </c>
      <c r="B181" s="7">
        <v>4030</v>
      </c>
      <c r="C181" s="21" t="s">
        <v>206</v>
      </c>
      <c r="D181" s="21" t="s">
        <v>379</v>
      </c>
      <c r="E181" s="13">
        <v>42865.581724537034</v>
      </c>
      <c r="F181" s="13">
        <v>42865.598252314812</v>
      </c>
      <c r="G181" s="7">
        <v>1</v>
      </c>
      <c r="H181" s="21" t="s">
        <v>558</v>
      </c>
      <c r="I181" s="13">
        <v>42865.608252314814</v>
      </c>
      <c r="J181" s="7">
        <v>0</v>
      </c>
      <c r="K181" s="92" t="str">
        <f t="shared" si="66"/>
        <v>4029/4030</v>
      </c>
      <c r="L181" s="21" t="str">
        <f>VLOOKUP(A181,'Trips&amp;Operators'!$C$1:$G$99999,5,FALSE)</f>
        <v>MCREYNOLDS KYLE</v>
      </c>
      <c r="M181" s="6">
        <f t="shared" si="67"/>
        <v>1.0000000002037268E-2</v>
      </c>
      <c r="N181" s="7">
        <f t="shared" si="86"/>
        <v>14.400000002933666</v>
      </c>
      <c r="O181" s="7"/>
      <c r="P181" s="7"/>
      <c r="Q181" s="22"/>
      <c r="R181" s="190"/>
      <c r="S181" s="196">
        <f t="shared" si="87"/>
        <v>1</v>
      </c>
      <c r="T181" s="190" t="str">
        <f t="shared" si="68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69"/>
        <v>https://d0f6bd738d7f1b3e5a7ca70fe4ff75f0.us-east-1.aws.found.io/app/kibana#/discover/Steve-Slow-Train-Analysis-(2080s-and-2083s)?_g=(refreshInterval:(display:Off,pause:!f,section:0,value:0),time:(from:'2017-05-10T12:57:41-0600',mode:absolute,to:'2017-05-10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192" t="str">
        <f t="shared" si="70"/>
        <v>N</v>
      </c>
      <c r="X181" s="192">
        <f t="shared" si="85"/>
        <v>1</v>
      </c>
      <c r="Y181" s="192">
        <f t="shared" si="83"/>
        <v>4.4200000000000003E-2</v>
      </c>
      <c r="Z181" s="192">
        <f t="shared" si="84"/>
        <v>5.8920000000000003</v>
      </c>
      <c r="AA181" s="192">
        <f t="shared" si="71"/>
        <v>5.8478000000000003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72"/>
        <v>0823-10</v>
      </c>
      <c r="AE181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81" s="77" t="str">
        <f t="shared" si="74"/>
        <v>"C:\Program Files (x86)\AstroGrep\AstroGrep.exe" /e /r /s /spath="%USERPROFILE%\AppData\Local\Temp\OnboardLogs" /stypes="app*4030*20170510*" /stext=" 20:.+((SYSTEM_STATE.+slice.+state.+changed )|(ment ac)|(multiple cpu faults)|(system.+state.+changed )|(\[timeout)|(PRM\|1\|D)|(kpr)|(kdp)|(train st.+moving)|(\|lc)|(penalty))"</v>
      </c>
      <c r="AG181" s="1" t="str">
        <f t="shared" si="75"/>
        <v>NW</v>
      </c>
      <c r="AH181" s="81" t="str">
        <f t="shared" si="76"/>
        <v>"%USERPROFILE%\Documents\GitHub\eaglep3\Utilities\RefineRTDCRunTimes.py" --tripid 823-10 --locoid 4030 --swversion DE.1.0.9.0 --startMP 204:442 --initTime 2017-05-10T13:57:41 --startdatetime 2017-05-10T14:21:29 --delay 1 --endMP 300:58920 --enddatetime 2017-05-10T14:35:53 --enforcementcount 0 &gt;&gt;C:\Users\stu\Documents\GitHub\eaglep3-reporting\EC\2017-05-10-refined-times.txt</v>
      </c>
      <c r="AI181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{"issue":{"subject":"","project_id":79,"tracker_id":40,"status_id":1,"priority_id":2,"assigned_to_id":23,"start_date":"2017-05-10","description":"","custom_fields":[{"id":1,"name":"Subdivision","value":"NW"},{"id":4,"name":"Milepost","value":"5.892"},{"id":17,"name":"Train ID","value":"823-10"},{"id":16,"name":"Locomotive ID","value":"4030"},{"id":130,"name":"Impact","value":""},{"id":150,"name":"Time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78"/>
        <v>start /low /b %USERPROFILE%\Documents\GitHub\eaglep3\Utilities\DownloadLogsFromS3.py --loco 4030 --day 2017-05-10</v>
      </c>
      <c r="AN181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713</v>
      </c>
      <c r="B182" s="7">
        <v>4029</v>
      </c>
      <c r="C182" s="21" t="s">
        <v>206</v>
      </c>
      <c r="D182" s="21" t="s">
        <v>985</v>
      </c>
      <c r="E182" s="13">
        <v>42865.609884259262</v>
      </c>
      <c r="F182" s="13">
        <v>42865.611157407409</v>
      </c>
      <c r="G182" s="7">
        <v>2</v>
      </c>
      <c r="H182" s="21" t="s">
        <v>545</v>
      </c>
      <c r="I182" s="13">
        <v>42865.62159722222</v>
      </c>
      <c r="J182" s="7">
        <v>0</v>
      </c>
      <c r="K182" s="92" t="str">
        <f t="shared" si="66"/>
        <v>4029/4030</v>
      </c>
      <c r="L182" s="21" t="str">
        <f>VLOOKUP(A182,'Trips&amp;Operators'!$C$1:$G$99999,5,FALSE)</f>
        <v>MCREYNOLDS KYLE</v>
      </c>
      <c r="M182" s="6">
        <f t="shared" si="67"/>
        <v>1.0439814810524695E-2</v>
      </c>
      <c r="N182" s="7">
        <f t="shared" si="86"/>
        <v>15.03333332715556</v>
      </c>
      <c r="O182" s="7"/>
      <c r="P182" s="7"/>
      <c r="Q182" s="22"/>
      <c r="R182" s="190"/>
      <c r="S182" s="196">
        <f t="shared" si="87"/>
        <v>1</v>
      </c>
      <c r="T182" s="190" t="str">
        <f t="shared" si="68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69"/>
        <v>https://d0f6bd738d7f1b3e5a7ca70fe4ff75f0.us-east-1.aws.found.io/app/kibana#/discover/Steve-Slow-Train-Analysis-(2080s-and-2083s)?_g=(refreshInterval:(display:Off,pause:!f,section:0,value:0),time:(from:'2017-05-10T13:38:14-0600',mode:absolute,to:'2017-05-10T15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192" t="str">
        <f t="shared" si="70"/>
        <v>N</v>
      </c>
      <c r="X182" s="192">
        <f t="shared" si="85"/>
        <v>1</v>
      </c>
      <c r="Y182" s="192">
        <f t="shared" si="83"/>
        <v>5.7351999999999999</v>
      </c>
      <c r="Z182" s="192">
        <f t="shared" si="84"/>
        <v>1.4200000000000001E-2</v>
      </c>
      <c r="AA182" s="192">
        <f t="shared" si="71"/>
        <v>5.7210000000000001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72"/>
        <v>0824-10</v>
      </c>
      <c r="AE182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82" s="77" t="str">
        <f t="shared" si="74"/>
        <v>"C:\Program Files (x86)\AstroGrep\AstroGrep.exe" /e /r /s /spath="%USERPROFILE%\AppData\Local\Temp\OnboardLogs" /stypes="app*4029*20170510*" /stext=" 20:.+((SYSTEM_STATE.+slice.+state.+changed )|(ment ac)|(multiple cpu faults)|(system.+state.+changed )|(\[timeout)|(PRM\|1\|D)|(kpr)|(kdp)|(train st.+moving)|(\|lc)|(penalty))"</v>
      </c>
      <c r="AG182" s="1" t="str">
        <f t="shared" si="75"/>
        <v>NW</v>
      </c>
      <c r="AH182" s="81" t="str">
        <f t="shared" si="76"/>
        <v>"%USERPROFILE%\Documents\GitHub\eaglep3\Utilities\RefineRTDCRunTimes.py" --tripid 824-10 --locoid 4029 --swversion DE.1.0.9.0 --startMP 300:57352 --initTime 2017-05-10T14:38:14 --startdatetime 2017-05-10T14:40:04 --delay 2 --endMP 204:142 --enddatetime 2017-05-10T14:55:06 --enforcementcount 0 &gt;&gt;C:\Users\stu\Documents\GitHub\eaglep3-reporting\EC\2017-05-10-refined-times.txt</v>
      </c>
      <c r="AI182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{"issue":{"subject":"","project_id":79,"tracker_id":40,"status_id":1,"priority_id":2,"assigned_to_id":23,"start_date":"2017-05-10","description":"","custom_fields":[{"id":1,"name":"Subdivision","value":"NW"},{"id":4,"name":"Milepost","value":"0.0142"},{"id":17,"name":"Train ID","value":"824-10"},{"id":16,"name":"Locomotive ID","value":"4029"},{"id":130,"name":"Impact","value":""},{"id":150,"name":"Time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8"/>
        <v>start /low /b %USERPROFILE%\Documents\GitHub\eaglep3\Utilities\DownloadLogsFromS3.py --loco 4029 --day 2017-05-10</v>
      </c>
      <c r="AN182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20:55:06"},{"id":29,"name":"Sharepoint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717</v>
      </c>
      <c r="B183" s="7">
        <v>4030</v>
      </c>
      <c r="C183" s="21" t="s">
        <v>206</v>
      </c>
      <c r="D183" s="21" t="s">
        <v>352</v>
      </c>
      <c r="E183" s="13">
        <v>42865.623333333337</v>
      </c>
      <c r="F183" s="13">
        <v>42865.639756944445</v>
      </c>
      <c r="G183" s="7">
        <v>1</v>
      </c>
      <c r="H183" s="21" t="s">
        <v>986</v>
      </c>
      <c r="I183" s="13">
        <v>42865.649317129632</v>
      </c>
      <c r="J183" s="7">
        <v>0</v>
      </c>
      <c r="K183" s="92" t="str">
        <f t="shared" si="66"/>
        <v>4029/4030</v>
      </c>
      <c r="L183" s="21" t="str">
        <f>VLOOKUP(A183,'Trips&amp;Operators'!$C$1:$G$99999,5,FALSE)</f>
        <v>MCREYNOLDS KYLE</v>
      </c>
      <c r="M183" s="6">
        <f t="shared" si="67"/>
        <v>9.560185186273884E-3</v>
      </c>
      <c r="N183" s="7">
        <f t="shared" si="86"/>
        <v>13.766666668234393</v>
      </c>
      <c r="O183" s="7"/>
      <c r="P183" s="7"/>
      <c r="Q183" s="22"/>
      <c r="R183" s="190"/>
      <c r="S183" s="196">
        <f t="shared" si="87"/>
        <v>1</v>
      </c>
      <c r="T183" s="190" t="str">
        <f t="shared" si="68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69"/>
        <v>https://d0f6bd738d7f1b3e5a7ca70fe4ff75f0.us-east-1.aws.found.io/app/kibana#/discover/Steve-Slow-Train-Analysis-(2080s-and-2083s)?_g=(refreshInterval:(display:Off,pause:!f,section:0,value:0),time:(from:'2017-05-10T13:57:36-0600',mode:absolute,to:'2017-05-10T16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192" t="str">
        <f t="shared" si="70"/>
        <v>N</v>
      </c>
      <c r="X183" s="192">
        <f t="shared" si="85"/>
        <v>1</v>
      </c>
      <c r="Y183" s="192">
        <f t="shared" si="83"/>
        <v>4.4600000000000001E-2</v>
      </c>
      <c r="Z183" s="192">
        <f t="shared" si="84"/>
        <v>5.8924000000000003</v>
      </c>
      <c r="AA183" s="192">
        <f t="shared" si="71"/>
        <v>5.8478000000000003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72"/>
        <v>0825-10</v>
      </c>
      <c r="AE183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83" s="77" t="str">
        <f t="shared" si="74"/>
        <v>"C:\Program Files (x86)\AstroGrep\AstroGrep.exe" /e /r /s /spath="%USERPROFILE%\AppData\Local\Temp\OnboardLogs" /stypes="app*4030*20170510*" /stext=" 21:.+((SYSTEM_STATE.+slice.+state.+changed )|(ment ac)|(multiple cpu faults)|(system.+state.+changed )|(\[timeout)|(PRM\|1\|D)|(kpr)|(kdp)|(train st.+moving)|(\|lc)|(penalty))"</v>
      </c>
      <c r="AG183" s="1" t="str">
        <f t="shared" si="75"/>
        <v>NW</v>
      </c>
      <c r="AH183" s="81" t="str">
        <f t="shared" si="76"/>
        <v>"%USERPROFILE%\Documents\GitHub\eaglep3\Utilities\RefineRTDCRunTimes.py" --tripid 825-10 --locoid 4030 --swversion DE.1.0.9.0 --startMP 204:446 --initTime 2017-05-10T14:57:36 --startdatetime 2017-05-10T15:21:15 --delay 1 --endMP 300:58924 --enddatetime 2017-05-10T15:35:01 --enforcementcount 0 &gt;&gt;C:\Users\stu\Documents\GitHub\eaglep3-reporting\EC\2017-05-10-refined-times.txt</v>
      </c>
      <c r="AI183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{"issue":{"subject":"","project_id":79,"tracker_id":40,"status_id":1,"priority_id":2,"assigned_to_id":23,"start_date":"2017-05-10","description":"","custom_fields":[{"id":1,"name":"Subdivision","value":"NW"},{"id":4,"name":"Milepost","value":"5.8924"},{"id":17,"name":"Train ID","value":"825-10"},{"id":16,"name":"Locomotive ID","value":"4030"},{"id":130,"name":"Impact","value":""},{"id":150,"name":"Time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8"/>
        <v>start /low /b %USERPROFILE%\Documents\GitHub\eaglep3\Utilities\DownloadLogsFromS3.py --loco 4030 --day 2017-05-10</v>
      </c>
      <c r="AN183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721</v>
      </c>
      <c r="B184" s="7">
        <v>4029</v>
      </c>
      <c r="C184" s="21" t="s">
        <v>206</v>
      </c>
      <c r="D184" s="21" t="s">
        <v>480</v>
      </c>
      <c r="E184" s="13">
        <v>42865.650497685187</v>
      </c>
      <c r="F184" s="13">
        <v>42865.652013888888</v>
      </c>
      <c r="G184" s="7">
        <v>1</v>
      </c>
      <c r="H184" s="21" t="s">
        <v>557</v>
      </c>
      <c r="I184" s="13">
        <v>42865.663425925923</v>
      </c>
      <c r="J184" s="7">
        <v>0</v>
      </c>
      <c r="K184" s="92" t="str">
        <f t="shared" si="66"/>
        <v>4029/4030</v>
      </c>
      <c r="L184" s="21" t="str">
        <f>VLOOKUP(A184,'Trips&amp;Operators'!$C$1:$G$99999,5,FALSE)</f>
        <v>MCREYNOLDS KYLE</v>
      </c>
      <c r="M184" s="6">
        <f t="shared" si="67"/>
        <v>1.1412037034460809E-2</v>
      </c>
      <c r="N184" s="7">
        <f t="shared" si="86"/>
        <v>16.433333329623565</v>
      </c>
      <c r="O184" s="7"/>
      <c r="P184" s="7"/>
      <c r="Q184" s="22"/>
      <c r="R184" s="190"/>
      <c r="S184" s="196">
        <f t="shared" si="87"/>
        <v>1</v>
      </c>
      <c r="T184" s="190" t="str">
        <f t="shared" si="68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69"/>
        <v>https://d0f6bd738d7f1b3e5a7ca70fe4ff75f0.us-east-1.aws.found.io/app/kibana#/discover/Steve-Slow-Train-Analysis-(2080s-and-2083s)?_g=(refreshInterval:(display:Off,pause:!f,section:0,value:0),time:(from:'2017-05-10T14:36:43-0600',mode:absolute,to:'2017-05-10T16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192" t="str">
        <f t="shared" si="70"/>
        <v>N</v>
      </c>
      <c r="X184" s="192">
        <f t="shared" si="85"/>
        <v>1</v>
      </c>
      <c r="Y184" s="192">
        <f t="shared" si="83"/>
        <v>5.8616999999999999</v>
      </c>
      <c r="Z184" s="192">
        <f t="shared" si="84"/>
        <v>6.7799999999999999E-2</v>
      </c>
      <c r="AA184" s="192">
        <f t="shared" si="71"/>
        <v>5.7938999999999998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72"/>
        <v>0826-10</v>
      </c>
      <c r="AE184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84" s="77" t="str">
        <f t="shared" si="74"/>
        <v>"C:\Program Files (x86)\AstroGrep\AstroGrep.exe" /e /r /s /spath="%USERPROFILE%\AppData\Local\Temp\OnboardLogs" /stypes="app*4029*20170510*" /stext=" 21:.+((SYSTEM_STATE.+slice.+state.+changed )|(ment ac)|(multiple cpu faults)|(system.+state.+changed )|(\[timeout)|(PRM\|1\|D)|(kpr)|(kdp)|(train st.+moving)|(\|lc)|(penalty))"</v>
      </c>
      <c r="AG184" s="1" t="str">
        <f t="shared" si="75"/>
        <v>NW</v>
      </c>
      <c r="AH184" s="81" t="str">
        <f t="shared" si="76"/>
        <v>"%USERPROFILE%\Documents\GitHub\eaglep3\Utilities\RefineRTDCRunTimes.py" --tripid 826-10 --locoid 4029 --swversion DE.1.0.9.0 --startMP 300:58617 --initTime 2017-05-10T15:36:43 --startdatetime 2017-05-10T15:38:54 --delay 1 --endMP 204:678 --enddatetime 2017-05-10T15:55:20 --enforcementcount 0 &gt;&gt;C:\Users\stu\Documents\GitHub\eaglep3-reporting\EC\2017-05-10-refined-times.txt</v>
      </c>
      <c r="AI184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{"issue":{"subject":"","project_id":79,"tracker_id":40,"status_id":1,"priority_id":2,"assigned_to_id":23,"start_date":"2017-05-10","description":"","custom_fields":[{"id":1,"name":"Subdivision","value":"NW"},{"id":4,"name":"Milepost","value":"0.0678"},{"id":17,"name":"Train ID","value":"826-10"},{"id":16,"name":"Locomotive ID","value":"4029"},{"id":130,"name":"Impact","value":""},{"id":150,"name":"Time of Event (Mountain Time)","value":"15:55:20"},{"id":151,"name":"Denver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8"/>
        <v>start /low /b %USERPROFILE%\Documents\GitHub\eaglep3\Utilities\DownloadLogsFromS3.py --loco 4029 --day 2017-05-10</v>
      </c>
      <c r="AN184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725</v>
      </c>
      <c r="B185" s="7">
        <v>4026</v>
      </c>
      <c r="C185" s="21" t="s">
        <v>206</v>
      </c>
      <c r="D185" s="21" t="s">
        <v>987</v>
      </c>
      <c r="E185" s="13">
        <v>42865.659745370373</v>
      </c>
      <c r="F185" s="13">
        <v>42865.660787037035</v>
      </c>
      <c r="G185" s="7">
        <v>1</v>
      </c>
      <c r="H185" s="21" t="s">
        <v>561</v>
      </c>
      <c r="I185" s="13">
        <v>42865.671238425923</v>
      </c>
      <c r="J185" s="7">
        <v>0</v>
      </c>
      <c r="K185" s="92" t="str">
        <f t="shared" si="66"/>
        <v>4025/4026</v>
      </c>
      <c r="L185" s="21" t="str">
        <f>VLOOKUP(A185,'Trips&amp;Operators'!$C$1:$G$99999,5,FALSE)</f>
        <v>CHANDLER KELVIN</v>
      </c>
      <c r="M185" s="6">
        <f t="shared" si="67"/>
        <v>1.0451388887304347E-2</v>
      </c>
      <c r="N185" s="7">
        <f t="shared" si="86"/>
        <v>15.04999999771826</v>
      </c>
      <c r="O185" s="7"/>
      <c r="P185" s="7"/>
      <c r="Q185" s="22"/>
      <c r="R185" s="190"/>
      <c r="S185" s="196">
        <f t="shared" si="87"/>
        <v>1</v>
      </c>
      <c r="T185" s="190" t="str">
        <f t="shared" si="68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69"/>
        <v>https://d0f6bd738d7f1b3e5a7ca70fe4ff75f0.us-east-1.aws.found.io/app/kibana#/discover/Steve-Slow-Train-Analysis-(2080s-and-2083s)?_g=(refreshInterval:(display:Off,pause:!f,section:0,value:0),time:(from:'2017-05-10T14:50:02-0600',mode:absolute,to:'2017-05-10T17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5" s="192" t="str">
        <f t="shared" si="70"/>
        <v>N</v>
      </c>
      <c r="X185" s="192">
        <f t="shared" si="85"/>
        <v>1</v>
      </c>
      <c r="Y185" s="192">
        <f t="shared" si="83"/>
        <v>9.6000000000000002E-2</v>
      </c>
      <c r="Z185" s="192">
        <f t="shared" si="84"/>
        <v>5.8997000000000002</v>
      </c>
      <c r="AA185" s="192">
        <f t="shared" si="71"/>
        <v>5.8037000000000001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72"/>
        <v>0827-10</v>
      </c>
      <c r="AE185" s="80" t="str">
        <f t="shared" si="73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185" s="77" t="str">
        <f t="shared" si="74"/>
        <v>"C:\Program Files (x86)\AstroGrep\AstroGrep.exe" /e /r /s /spath="%USERPROFILE%\AppData\Local\Temp\OnboardLogs" /stypes="app*4026*20170510*" /stext=" 22:.+((SYSTEM_STATE.+slice.+state.+changed )|(ment ac)|(multiple cpu faults)|(system.+state.+changed )|(\[timeout)|(PRM\|1\|D)|(kpr)|(kdp)|(train st.+moving)|(\|lc)|(penalty))"</v>
      </c>
      <c r="AG185" s="1" t="str">
        <f t="shared" si="75"/>
        <v>NW</v>
      </c>
      <c r="AH185" s="81" t="str">
        <f t="shared" si="76"/>
        <v>"%USERPROFILE%\Documents\GitHub\eaglep3\Utilities\RefineRTDCRunTimes.py" --tripid 827-10 --locoid 4026 --swversion DE.1.0.9.0 --startMP 204:960 --initTime 2017-05-10T15:50:02 --startdatetime 2017-05-10T15:51:32 --delay 1 --endMP 300:58997 --enddatetime 2017-05-10T16:06:35 --enforcementcount 0 &gt;&gt;C:\Users\stu\Documents\GitHub\eaglep3-reporting\EC\2017-05-10-refined-times.txt</v>
      </c>
      <c r="AI185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{"issue":{"subject":"","project_id":79,"tracker_id":40,"status_id":1,"priority_id":2,"assigned_to_id":23,"start_date":"2017-05-10","description":"","custom_fields":[{"id":1,"name":"Subdivision","value":"NW"},{"id":4,"name":"Milepost","value":"5.8997"},{"id":17,"name":"Train ID","value":"827-10"},{"id":16,"name":"Locomotive ID","value":"4026"},{"id":130,"name":"Impact","value":""},{"id":150,"name":"Time of Event (Mountain Time)","value":"16:06:35"},{"id":151,"name":"Denver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8"/>
        <v>start /low /b %USERPROFILE%\Documents\GitHub\eaglep3\Utilities\DownloadLogsFromS3.py --loco 4026 --day 2017-05-10</v>
      </c>
      <c r="AN185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589</v>
      </c>
      <c r="B186" s="7">
        <v>4025</v>
      </c>
      <c r="C186" s="21" t="s">
        <v>206</v>
      </c>
      <c r="D186" s="21" t="s">
        <v>988</v>
      </c>
      <c r="E186" s="13">
        <v>42865.673090277778</v>
      </c>
      <c r="F186" s="13">
        <v>42865.674143518518</v>
      </c>
      <c r="G186" s="7">
        <v>1</v>
      </c>
      <c r="H186" s="21" t="s">
        <v>989</v>
      </c>
      <c r="I186" s="13">
        <v>42865.685717592591</v>
      </c>
      <c r="J186" s="7">
        <v>0</v>
      </c>
      <c r="K186" s="92" t="str">
        <f t="shared" si="66"/>
        <v>4025/4026</v>
      </c>
      <c r="L186" s="21" t="str">
        <f>VLOOKUP(A186,'Trips&amp;Operators'!$C$1:$G$99999,5,FALSE)</f>
        <v>CHANDLER KELVIN</v>
      </c>
      <c r="M186" s="6">
        <f t="shared" si="67"/>
        <v>1.1574074072996154E-2</v>
      </c>
      <c r="N186" s="7">
        <f t="shared" si="86"/>
        <v>16.666666665114462</v>
      </c>
      <c r="O186" s="7"/>
      <c r="P186" s="7"/>
      <c r="Q186" s="22"/>
      <c r="R186" s="190"/>
      <c r="S186" s="196">
        <f t="shared" si="87"/>
        <v>1</v>
      </c>
      <c r="T186" s="190" t="str">
        <f t="shared" si="68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69"/>
        <v>https://d0f6bd738d7f1b3e5a7ca70fe4ff75f0.us-east-1.aws.found.io/app/kibana#/discover/Steve-Slow-Train-Analysis-(2080s-and-2083s)?_g=(refreshInterval:(display:Off,pause:!f,section:0,value:0),time:(from:'2017-05-10T15:09:15-0600',mode:absolute,to:'2017-05-10T17:27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6" s="192" t="str">
        <f t="shared" si="70"/>
        <v>N</v>
      </c>
      <c r="X186" s="192">
        <f t="shared" si="85"/>
        <v>1</v>
      </c>
      <c r="Y186" s="192">
        <f t="shared" si="83"/>
        <v>5.8677000000000001</v>
      </c>
      <c r="Z186" s="192">
        <f t="shared" si="84"/>
        <v>6.5199999999999994E-2</v>
      </c>
      <c r="AA186" s="192">
        <f t="shared" si="71"/>
        <v>5.8025000000000002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72"/>
        <v>0828-10</v>
      </c>
      <c r="AE186" s="80" t="str">
        <f t="shared" si="73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186" s="77" t="str">
        <f t="shared" si="74"/>
        <v>"C:\Program Files (x86)\AstroGrep\AstroGrep.exe" /e /r /s /spath="%USERPROFILE%\AppData\Local\Temp\OnboardLogs" /stypes="app*4025*20170510*" /stext=" 22:.+((SYSTEM_STATE.+slice.+state.+changed )|(ment ac)|(multiple cpu faults)|(system.+state.+changed )|(\[timeout)|(PRM\|1\|D)|(kpr)|(kdp)|(train st.+moving)|(\|lc)|(penalty))"</v>
      </c>
      <c r="AG186" s="1" t="str">
        <f t="shared" si="75"/>
        <v>NW</v>
      </c>
      <c r="AH186" s="81" t="str">
        <f t="shared" si="76"/>
        <v>"%USERPROFILE%\Documents\GitHub\eaglep3\Utilities\RefineRTDCRunTimes.py" --tripid 828-10 --locoid 4025 --swversion DE.1.0.9.0 --startMP 300:58677 --initTime 2017-05-10T16:09:15 --startdatetime 2017-05-10T16:10:46 --delay 1 --endMP 204:652 --enddatetime 2017-05-10T16:27:26 --enforcementcount 0 &gt;&gt;C:\Users\stu\Documents\GitHub\eaglep3-reporting\EC\2017-05-10-refined-times.txt</v>
      </c>
      <c r="AI186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{"issue":{"subject":"","project_id":79,"tracker_id":40,"status_id":1,"priority_id":2,"assigned_to_id":23,"start_date":"2017-05-10","description":"","custom_fields":[{"id":1,"name":"Subdivision","value":"NW"},{"id":4,"name":"Milepost","value":"0.0652"},{"id":17,"name":"Train ID","value":"828-10"},{"id":16,"name":"Locomotive ID","value":"4025"},{"id":130,"name":"Impact","value":""},{"id":150,"name":"Time of Event (Mountain Time)","value":"16:27:26"},{"id":151,"name":"Denver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8"/>
        <v>start /low /b %USERPROFILE%\Documents\GitHub\eaglep3\Utilities\DownloadLogsFromS3.py --loco 4025 --day 2017-05-10</v>
      </c>
      <c r="AN186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22:27:26"},{"id":29,"name":"Sharepoint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727</v>
      </c>
      <c r="B187" s="7">
        <v>4030</v>
      </c>
      <c r="C187" s="21" t="s">
        <v>206</v>
      </c>
      <c r="D187" s="21" t="s">
        <v>549</v>
      </c>
      <c r="E187" s="13">
        <v>42865.665798611109</v>
      </c>
      <c r="F187" s="13">
        <v>42865.681423611109</v>
      </c>
      <c r="G187" s="7">
        <v>1</v>
      </c>
      <c r="H187" s="21" t="s">
        <v>990</v>
      </c>
      <c r="I187" s="13">
        <v>42865.691562499997</v>
      </c>
      <c r="J187" s="7">
        <v>0</v>
      </c>
      <c r="K187" s="92" t="str">
        <f t="shared" si="66"/>
        <v>4029/4030</v>
      </c>
      <c r="L187" s="21" t="str">
        <f>VLOOKUP(A187,'Trips&amp;Operators'!$C$1:$G$99999,5,FALSE)</f>
        <v>LOPES KIMBERLY</v>
      </c>
      <c r="M187" s="6">
        <f t="shared" si="67"/>
        <v>1.0138888887013309E-2</v>
      </c>
      <c r="N187" s="7">
        <f t="shared" si="86"/>
        <v>14.599999997299165</v>
      </c>
      <c r="O187" s="7"/>
      <c r="P187" s="7"/>
      <c r="Q187" s="22"/>
      <c r="R187" s="190"/>
      <c r="S187" s="196">
        <f t="shared" si="87"/>
        <v>1</v>
      </c>
      <c r="T187" s="190" t="str">
        <f t="shared" si="68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69"/>
        <v>https://d0f6bd738d7f1b3e5a7ca70fe4ff75f0.us-east-1.aws.found.io/app/kibana#/discover/Steve-Slow-Train-Analysis-(2080s-and-2083s)?_g=(refreshInterval:(display:Off,pause:!f,section:0,value:0),time:(from:'2017-05-10T14:58:45-0600',mode:absolute,to:'2017-05-10T17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192" t="str">
        <f t="shared" si="70"/>
        <v>N</v>
      </c>
      <c r="X187" s="192">
        <f t="shared" si="85"/>
        <v>1</v>
      </c>
      <c r="Y187" s="192">
        <f t="shared" si="83"/>
        <v>9.8100000000000007E-2</v>
      </c>
      <c r="Z187" s="192">
        <f t="shared" si="84"/>
        <v>5.8933</v>
      </c>
      <c r="AA187" s="192">
        <f t="shared" si="71"/>
        <v>5.7952000000000004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72"/>
        <v>0829-10</v>
      </c>
      <c r="AE187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87" s="77" t="str">
        <f t="shared" si="74"/>
        <v>"C:\Program Files (x86)\AstroGrep\AstroGrep.exe" /e /r /s /spath="%USERPROFILE%\AppData\Local\Temp\OnboardLogs" /stypes="app*4030*20170510*" /stext=" 22:.+((SYSTEM_STATE.+slice.+state.+changed )|(ment ac)|(multiple cpu faults)|(system.+state.+changed )|(\[timeout)|(PRM\|1\|D)|(kpr)|(kdp)|(train st.+moving)|(\|lc)|(penalty))"</v>
      </c>
      <c r="AG187" s="1" t="str">
        <f t="shared" si="75"/>
        <v>NW</v>
      </c>
      <c r="AH187" s="81" t="str">
        <f t="shared" si="76"/>
        <v>"%USERPROFILE%\Documents\GitHub\eaglep3\Utilities\RefineRTDCRunTimes.py" --tripid 829-10 --locoid 4030 --swversion DE.1.0.9.0 --startMP 204:981 --initTime 2017-05-10T15:58:45 --startdatetime 2017-05-10T16:21:15 --delay 1 --endMP 300:58933 --enddatetime 2017-05-10T16:35:51 --enforcementcount 0 &gt;&gt;C:\Users\stu\Documents\GitHub\eaglep3-reporting\EC\2017-05-10-refined-times.txt</v>
      </c>
      <c r="AI187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{"issue":{"subject":"","project_id":79,"tracker_id":40,"status_id":1,"priority_id":2,"assigned_to_id":23,"start_date":"2017-05-10","description":"","custom_fields":[{"id":1,"name":"Subdivision","value":"NW"},{"id":4,"name":"Milepost","value":"5.8933"},{"id":17,"name":"Train ID","value":"829-10"},{"id":16,"name":"Locomotive ID","value":"4030"},{"id":130,"name":"Impact","value":""},{"id":150,"name":"Time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8"/>
        <v>start /low /b %USERPROFILE%\Documents\GitHub\eaglep3\Utilities\DownloadLogsFromS3.py --loco 4030 --day 2017-05-10</v>
      </c>
      <c r="AN187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734</v>
      </c>
      <c r="B188" s="7">
        <v>4029</v>
      </c>
      <c r="C188" s="21" t="s">
        <v>206</v>
      </c>
      <c r="D188" s="21" t="s">
        <v>413</v>
      </c>
      <c r="E188" s="13">
        <v>42865.692465277774</v>
      </c>
      <c r="F188" s="13">
        <v>42865.694143518522</v>
      </c>
      <c r="G188" s="7">
        <v>1</v>
      </c>
      <c r="H188" s="21" t="s">
        <v>552</v>
      </c>
      <c r="I188" s="13">
        <v>42865.705150462964</v>
      </c>
      <c r="J188" s="7">
        <v>0</v>
      </c>
      <c r="K188" s="92" t="str">
        <f t="shared" si="66"/>
        <v>4029/4030</v>
      </c>
      <c r="L188" s="21" t="str">
        <f>VLOOKUP(A188,'Trips&amp;Operators'!$C$1:$G$99999,5,FALSE)</f>
        <v>LOPES KIMBERLY</v>
      </c>
      <c r="M188" s="6">
        <f t="shared" si="67"/>
        <v>1.1006944441760425E-2</v>
      </c>
      <c r="N188" s="7">
        <f t="shared" si="86"/>
        <v>15.849999996135011</v>
      </c>
      <c r="O188" s="7"/>
      <c r="P188" s="7"/>
      <c r="Q188" s="22"/>
      <c r="R188" s="190"/>
      <c r="S188" s="196">
        <f t="shared" si="87"/>
        <v>1</v>
      </c>
      <c r="T188" s="190" t="str">
        <f t="shared" si="68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69"/>
        <v>https://d0f6bd738d7f1b3e5a7ca70fe4ff75f0.us-east-1.aws.found.io/app/kibana#/discover/Steve-Slow-Train-Analysis-(2080s-and-2083s)?_g=(refreshInterval:(display:Off,pause:!f,section:0,value:0),time:(from:'2017-05-10T15:37:09-0600',mode:absolute,to:'2017-05-10T17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192" t="str">
        <f t="shared" si="70"/>
        <v>N</v>
      </c>
      <c r="X188" s="192">
        <f t="shared" si="85"/>
        <v>1</v>
      </c>
      <c r="Y188" s="192">
        <f t="shared" si="83"/>
        <v>5.8620999999999999</v>
      </c>
      <c r="Z188" s="192">
        <f t="shared" si="84"/>
        <v>7.1499999999999994E-2</v>
      </c>
      <c r="AA188" s="192">
        <f t="shared" si="71"/>
        <v>5.7905999999999995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72"/>
        <v>0830-10</v>
      </c>
      <c r="AE188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88" s="77" t="str">
        <f t="shared" si="74"/>
        <v>"C:\Program Files (x86)\AstroGrep\AstroGrep.exe" /e /r /s /spath="%USERPROFILE%\AppData\Local\Temp\OnboardLogs" /stypes="app*4029*20170510*" /stext=" 22:.+((SYSTEM_STATE.+slice.+state.+changed )|(ment ac)|(multiple cpu faults)|(system.+state.+changed )|(\[timeout)|(PRM\|1\|D)|(kpr)|(kdp)|(train st.+moving)|(\|lc)|(penalty))"</v>
      </c>
      <c r="AG188" s="1" t="str">
        <f t="shared" si="75"/>
        <v>NW</v>
      </c>
      <c r="AH188" s="81" t="str">
        <f t="shared" si="76"/>
        <v>"%USERPROFILE%\Documents\GitHub\eaglep3\Utilities\RefineRTDCRunTimes.py" --tripid 830-10 --locoid 4029 --swversion DE.1.0.9.0 --startMP 300:58621 --initTime 2017-05-10T16:37:09 --startdatetime 2017-05-10T16:39:34 --delay 1 --endMP 204:715 --enddatetime 2017-05-10T16:55:25 --enforcementcount 0 &gt;&gt;C:\Users\stu\Documents\GitHub\eaglep3-reporting\EC\2017-05-10-refined-times.txt</v>
      </c>
      <c r="AI188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{"issue":{"subject":"","project_id":79,"tracker_id":40,"status_id":1,"priority_id":2,"assigned_to_id":23,"start_date":"2017-05-10","description":"","custom_fields":[{"id":1,"name":"Subdivision","value":"NW"},{"id":4,"name":"Milepost","value":"0.0715"},{"id":17,"name":"Train ID","value":"830-10"},{"id":16,"name":"Locomotive ID","value":"4029"},{"id":130,"name":"Impact","value":""},{"id":150,"name":"Time of Event (Mountain Time)","value":"16:55:25"},{"id":151,"name":"Denver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8"/>
        <v>start /low /b %USERPROFILE%\Documents\GitHub\eaglep3\Utilities\DownloadLogsFromS3.py --loco 4029 --day 2017-05-10</v>
      </c>
      <c r="AN188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736</v>
      </c>
      <c r="B189" s="7">
        <v>4026</v>
      </c>
      <c r="C189" s="21" t="s">
        <v>206</v>
      </c>
      <c r="D189" s="21" t="s">
        <v>479</v>
      </c>
      <c r="E189" s="13">
        <v>42865.698692129627</v>
      </c>
      <c r="F189" s="13">
        <v>42865.702349537038</v>
      </c>
      <c r="G189" s="7">
        <v>1</v>
      </c>
      <c r="H189" s="21" t="s">
        <v>548</v>
      </c>
      <c r="I189" s="13">
        <v>42865.712546296294</v>
      </c>
      <c r="J189" s="7">
        <v>0</v>
      </c>
      <c r="K189" s="92" t="str">
        <f t="shared" si="66"/>
        <v>4025/4026</v>
      </c>
      <c r="L189" s="21" t="str">
        <f>VLOOKUP(A189,'Trips&amp;Operators'!$C$1:$G$99999,5,FALSE)</f>
        <v>CHANDLER KELVIN</v>
      </c>
      <c r="M189" s="6">
        <f t="shared" si="67"/>
        <v>1.0196759256359655E-2</v>
      </c>
      <c r="N189" s="7">
        <f t="shared" si="86"/>
        <v>14.683333329157904</v>
      </c>
      <c r="O189" s="7"/>
      <c r="P189" s="7"/>
      <c r="Q189" s="22"/>
      <c r="R189" s="190"/>
      <c r="S189" s="196">
        <f t="shared" si="87"/>
        <v>1</v>
      </c>
      <c r="T189" s="190" t="str">
        <f t="shared" si="68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69"/>
        <v>https://d0f6bd738d7f1b3e5a7ca70fe4ff75f0.us-east-1.aws.found.io/app/kibana#/discover/Steve-Slow-Train-Analysis-(2080s-and-2083s)?_g=(refreshInterval:(display:Off,pause:!f,section:0,value:0),time:(from:'2017-05-10T15:46:07-0600',mode:absolute,to:'2017-05-10T18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9" s="192" t="str">
        <f t="shared" si="70"/>
        <v>N</v>
      </c>
      <c r="X189" s="192">
        <f t="shared" si="85"/>
        <v>1</v>
      </c>
      <c r="Y189" s="192">
        <f t="shared" si="83"/>
        <v>9.4799999999999995E-2</v>
      </c>
      <c r="Z189" s="192">
        <f t="shared" si="84"/>
        <v>5.8992000000000004</v>
      </c>
      <c r="AA189" s="192">
        <f t="shared" si="71"/>
        <v>5.8044000000000002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72"/>
        <v>0831-10</v>
      </c>
      <c r="AE189" s="80" t="str">
        <f t="shared" si="73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189" s="77" t="str">
        <f t="shared" si="74"/>
        <v>"C:\Program Files (x86)\AstroGrep\AstroGrep.exe" /e /r /s /spath="%USERPROFILE%\AppData\Local\Temp\OnboardLogs" /stypes="app*4026*20170510*" /stext=" 23:.+((SYSTEM_STATE.+slice.+state.+changed )|(ment ac)|(multiple cpu faults)|(system.+state.+changed )|(\[timeout)|(PRM\|1\|D)|(kpr)|(kdp)|(train st.+moving)|(\|lc)|(penalty))"</v>
      </c>
      <c r="AG189" s="1" t="str">
        <f t="shared" si="75"/>
        <v>NW</v>
      </c>
      <c r="AH189" s="81" t="str">
        <f t="shared" si="76"/>
        <v>"%USERPROFILE%\Documents\GitHub\eaglep3\Utilities\RefineRTDCRunTimes.py" --tripid 831-10 --locoid 4026 --swversion DE.1.0.9.0 --startMP 204:948 --initTime 2017-05-10T16:46:07 --startdatetime 2017-05-10T16:51:23 --delay 1 --endMP 300:58992 --enddatetime 2017-05-10T17:06:04 --enforcementcount 0 &gt;&gt;C:\Users\stu\Documents\GitHub\eaglep3-reporting\EC\2017-05-10-refined-times.txt</v>
      </c>
      <c r="AI189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{"issue":{"subject":"","project_id":79,"tracker_id":40,"status_id":1,"priority_id":2,"assigned_to_id":23,"start_date":"2017-05-10","description":"","custom_fields":[{"id":1,"name":"Subdivision","value":"NW"},{"id":4,"name":"Milepost","value":"5.8992"},{"id":17,"name":"Train ID","value":"831-10"},{"id":16,"name":"Locomotive ID","value":"4026"},{"id":130,"name":"Impact","value":""},{"id":150,"name":"Time of Event (Mountain Time)","value":"17:06:04"},{"id":151,"name":"Denver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8"/>
        <v>start /low /b %USERPROFILE%\Documents\GitHub\eaglep3\Utilities\DownloadLogsFromS3.py --loco 4026 --day 2017-05-10</v>
      </c>
      <c r="AN189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740</v>
      </c>
      <c r="B190" s="7">
        <v>4025</v>
      </c>
      <c r="C190" s="21" t="s">
        <v>206</v>
      </c>
      <c r="D190" s="21" t="s">
        <v>991</v>
      </c>
      <c r="E190" s="13">
        <v>42865.714212962965</v>
      </c>
      <c r="F190" s="13">
        <v>42865.715613425928</v>
      </c>
      <c r="G190" s="7">
        <v>1</v>
      </c>
      <c r="H190" s="21" t="s">
        <v>560</v>
      </c>
      <c r="I190" s="13">
        <v>42865.727037037039</v>
      </c>
      <c r="J190" s="7">
        <v>0</v>
      </c>
      <c r="K190" s="92" t="str">
        <f t="shared" si="66"/>
        <v>4025/4026</v>
      </c>
      <c r="L190" s="21" t="str">
        <f>VLOOKUP(A190,'Trips&amp;Operators'!$C$1:$G$99999,5,FALSE)</f>
        <v>CHANDLER KELVIN</v>
      </c>
      <c r="M190" s="6">
        <f t="shared" si="67"/>
        <v>1.1423611111240461E-2</v>
      </c>
      <c r="N190" s="7">
        <f t="shared" si="86"/>
        <v>16.450000000186265</v>
      </c>
      <c r="O190" s="7"/>
      <c r="P190" s="7"/>
      <c r="Q190" s="22"/>
      <c r="R190" s="190"/>
      <c r="S190" s="196">
        <f t="shared" si="87"/>
        <v>1</v>
      </c>
      <c r="T190" s="190" t="str">
        <f t="shared" si="68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69"/>
        <v>https://d0f6bd738d7f1b3e5a7ca70fe4ff75f0.us-east-1.aws.found.io/app/kibana#/discover/Steve-Slow-Train-Analysis-(2080s-and-2083s)?_g=(refreshInterval:(display:Off,pause:!f,section:0,value:0),time:(from:'2017-05-10T16:08:28-0600',mode:absolute,to:'2017-05-10T18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0" s="192" t="str">
        <f t="shared" si="70"/>
        <v>N</v>
      </c>
      <c r="X190" s="192">
        <f t="shared" si="85"/>
        <v>1</v>
      </c>
      <c r="Y190" s="192">
        <f t="shared" si="83"/>
        <v>5.8678999999999997</v>
      </c>
      <c r="Z190" s="192">
        <f t="shared" si="84"/>
        <v>6.6100000000000006E-2</v>
      </c>
      <c r="AA190" s="192">
        <f t="shared" si="71"/>
        <v>5.8018000000000001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72"/>
        <v>0832-10</v>
      </c>
      <c r="AE190" s="80" t="str">
        <f t="shared" si="73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190" s="77" t="str">
        <f t="shared" si="74"/>
        <v>"C:\Program Files (x86)\AstroGrep\AstroGrep.exe" /e /r /s /spath="%USERPROFILE%\AppData\Local\Temp\OnboardLogs" /stypes="app*4025*20170510*" /stext=" 23:.+((SYSTEM_STATE.+slice.+state.+changed )|(ment ac)|(multiple cpu faults)|(system.+state.+changed )|(\[timeout)|(PRM\|1\|D)|(kpr)|(kdp)|(train st.+moving)|(\|lc)|(penalty))"</v>
      </c>
      <c r="AG190" s="1" t="str">
        <f t="shared" si="75"/>
        <v>NW</v>
      </c>
      <c r="AH190" s="81" t="str">
        <f t="shared" si="76"/>
        <v>"%USERPROFILE%\Documents\GitHub\eaglep3\Utilities\RefineRTDCRunTimes.py" --tripid 832-10 --locoid 4025 --swversion DE.1.0.9.0 --startMP 300:58679 --initTime 2017-05-10T17:08:28 --startdatetime 2017-05-10T17:10:29 --delay 1 --endMP 204:661 --enddatetime 2017-05-10T17:26:56 --enforcementcount 0 &gt;&gt;C:\Users\stu\Documents\GitHub\eaglep3-reporting\EC\2017-05-10-refined-times.txt</v>
      </c>
      <c r="AI190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{"issue":{"subject":"","project_id":79,"tracker_id":40,"status_id":1,"priority_id":2,"assigned_to_id":23,"start_date":"2017-05-10","description":"","custom_fields":[{"id":1,"name":"Subdivision","value":"NW"},{"id":4,"name":"Milepost","value":"0.0661"},{"id":17,"name":"Train ID","value":"832-10"},{"id":16,"name":"Locomotive ID","value":"4025"},{"id":130,"name":"Impact","value":""},{"id":150,"name":"Time of Event (Mountain Time)","value":"17:26:56"},{"id":151,"name":"Denver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8"/>
        <v>start /low /b %USERPROFILE%\Documents\GitHub\eaglep3\Utilities\DownloadLogsFromS3.py --loco 4025 --day 2017-05-10</v>
      </c>
      <c r="AN190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s="20" customFormat="1" x14ac:dyDescent="0.25">
      <c r="A191" s="32" t="s">
        <v>739</v>
      </c>
      <c r="B191" s="7">
        <v>4030</v>
      </c>
      <c r="C191" s="21" t="s">
        <v>206</v>
      </c>
      <c r="D191" s="21" t="s">
        <v>975</v>
      </c>
      <c r="E191" s="13">
        <v>42865.706990740742</v>
      </c>
      <c r="F191" s="13">
        <v>42865.723229166666</v>
      </c>
      <c r="G191" s="7">
        <v>2</v>
      </c>
      <c r="H191" s="21" t="s">
        <v>992</v>
      </c>
      <c r="I191" s="13">
        <v>42865.7340625</v>
      </c>
      <c r="J191" s="7">
        <v>0</v>
      </c>
      <c r="K191" s="92" t="str">
        <f t="shared" si="66"/>
        <v>4029/4030</v>
      </c>
      <c r="L191" s="21" t="str">
        <f>VLOOKUP(A191,'Trips&amp;Operators'!$C$1:$G$99999,5,FALSE)</f>
        <v>MCREYNOLDS KYLE</v>
      </c>
      <c r="M191" s="6">
        <f t="shared" si="67"/>
        <v>1.0833333333721384E-2</v>
      </c>
      <c r="N191" s="7">
        <f t="shared" si="86"/>
        <v>15.600000000558794</v>
      </c>
      <c r="O191" s="7"/>
      <c r="P191" s="7"/>
      <c r="Q191" s="22"/>
      <c r="R191" s="190"/>
      <c r="S191" s="196">
        <f t="shared" si="87"/>
        <v>1</v>
      </c>
      <c r="T191" s="190" t="str">
        <f t="shared" si="68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69"/>
        <v>https://d0f6bd738d7f1b3e5a7ca70fe4ff75f0.us-east-1.aws.found.io/app/kibana#/discover/Steve-Slow-Train-Analysis-(2080s-and-2083s)?_g=(refreshInterval:(display:Off,pause:!f,section:0,value:0),time:(from:'2017-05-10T15:58:04-0600',mode:absolute,to:'2017-05-10T18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192" t="str">
        <f t="shared" si="70"/>
        <v>N</v>
      </c>
      <c r="X191" s="192">
        <f t="shared" si="85"/>
        <v>1</v>
      </c>
      <c r="Y191" s="192">
        <f t="shared" si="83"/>
        <v>9.9199999999999997E-2</v>
      </c>
      <c r="Z191" s="192">
        <f t="shared" si="84"/>
        <v>5.8928000000000003</v>
      </c>
      <c r="AA191" s="192">
        <f t="shared" si="71"/>
        <v>5.7936000000000005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72"/>
        <v>0833-10</v>
      </c>
      <c r="AE191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91" s="77" t="str">
        <f t="shared" si="74"/>
        <v>"C:\Program Files (x86)\AstroGrep\AstroGrep.exe" /e /r /s /spath="%USERPROFILE%\AppData\Local\Temp\OnboardLogs" /stypes="app*4030*20170510*" /stext=" 23:.+((SYSTEM_STATE.+slice.+state.+changed )|(ment ac)|(multiple cpu faults)|(system.+state.+changed )|(\[timeout)|(PRM\|1\|D)|(kpr)|(kdp)|(train st.+moving)|(\|lc)|(penalty))"</v>
      </c>
      <c r="AG191" s="1" t="str">
        <f t="shared" si="75"/>
        <v>NW</v>
      </c>
      <c r="AH191" s="81" t="str">
        <f t="shared" si="76"/>
        <v>"%USERPROFILE%\Documents\GitHub\eaglep3\Utilities\RefineRTDCRunTimes.py" --tripid 833-10 --locoid 4030 --swversion DE.1.0.9.0 --startMP 204:992 --initTime 2017-05-10T16:58:04 --startdatetime 2017-05-10T17:21:27 --delay 2 --endMP 300:58928 --enddatetime 2017-05-10T17:37:03 --enforcementcount 0 &gt;&gt;C:\Users\stu\Documents\GitHub\eaglep3-reporting\EC\2017-05-10-refined-times.txt</v>
      </c>
      <c r="AI191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{"issue":{"subject":"","project_id":79,"tracker_id":40,"status_id":1,"priority_id":2,"assigned_to_id":23,"start_date":"2017-05-10","description":"","custom_fields":[{"id":1,"name":"Subdivision","value":"NW"},{"id":4,"name":"Milepost","value":"5.8928"},{"id":17,"name":"Train ID","value":"833-10"},{"id":16,"name":"Locomotive ID","value":"4030"},{"id":130,"name":"Impact","value":""},{"id":150,"name":"Time of Event (Mountain Time)","value":"17:37:03"},{"id":151,"name":"Denver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5" t="str">
        <f t="shared" si="78"/>
        <v>start /low /b %USERPROFILE%\Documents\GitHub\eaglep3\Utilities\DownloadLogsFromS3.py --loco 4030 --day 2017-05-10</v>
      </c>
      <c r="AN191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752</v>
      </c>
      <c r="B192" s="7">
        <v>4029</v>
      </c>
      <c r="C192" s="21" t="s">
        <v>206</v>
      </c>
      <c r="D192" s="21" t="s">
        <v>993</v>
      </c>
      <c r="E192" s="13">
        <v>42865.735636574071</v>
      </c>
      <c r="F192" s="13">
        <v>42865.737222222226</v>
      </c>
      <c r="G192" s="7">
        <v>1</v>
      </c>
      <c r="H192" s="21" t="s">
        <v>547</v>
      </c>
      <c r="I192" s="13">
        <v>42865.747141203705</v>
      </c>
      <c r="J192" s="7">
        <v>0</v>
      </c>
      <c r="K192" s="92" t="str">
        <f t="shared" si="66"/>
        <v>4029/4030</v>
      </c>
      <c r="L192" s="21" t="str">
        <f>VLOOKUP(A192,'Trips&amp;Operators'!$C$1:$G$99999,5,FALSE)</f>
        <v>MCREYNOLDS KYLE</v>
      </c>
      <c r="M192" s="6">
        <f t="shared" si="67"/>
        <v>9.9189814791316167E-3</v>
      </c>
      <c r="N192" s="7">
        <f t="shared" si="86"/>
        <v>14.283333329949528</v>
      </c>
      <c r="O192" s="7"/>
      <c r="P192" s="7"/>
      <c r="Q192" s="22"/>
      <c r="R192" s="190"/>
      <c r="S192" s="196">
        <f t="shared" si="87"/>
        <v>1</v>
      </c>
      <c r="T192" s="190" t="str">
        <f t="shared" si="68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69"/>
        <v>https://d0f6bd738d7f1b3e5a7ca70fe4ff75f0.us-east-1.aws.found.io/app/kibana#/discover/Steve-Slow-Train-Analysis-(2080s-and-2083s)?_g=(refreshInterval:(display:Off,pause:!f,section:0,value:0),time:(from:'2017-05-10T16:39:19-0600',mode:absolute,to:'2017-05-10T18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192" t="str">
        <f t="shared" si="70"/>
        <v>N</v>
      </c>
      <c r="X192" s="192">
        <f t="shared" si="85"/>
        <v>1</v>
      </c>
      <c r="Y192" s="192">
        <f t="shared" si="83"/>
        <v>5.8601999999999999</v>
      </c>
      <c r="Z192" s="192">
        <f t="shared" si="84"/>
        <v>6.9599999999999995E-2</v>
      </c>
      <c r="AA192" s="192">
        <f t="shared" si="71"/>
        <v>5.7905999999999995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72"/>
        <v>0834-10</v>
      </c>
      <c r="AE192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92" s="77" t="str">
        <f t="shared" si="74"/>
        <v>"C:\Program Files (x86)\AstroGrep\AstroGrep.exe" /e /r /s /spath="%USERPROFILE%\AppData\Local\Temp\OnboardLogs" /stypes="app*4029*20170510*" /stext=" 23:.+((SYSTEM_STATE.+slice.+state.+changed )|(ment ac)|(multiple cpu faults)|(system.+state.+changed )|(\[timeout)|(PRM\|1\|D)|(kpr)|(kdp)|(train st.+moving)|(\|lc)|(penalty))"</v>
      </c>
      <c r="AG192" s="1" t="str">
        <f t="shared" si="75"/>
        <v>NW</v>
      </c>
      <c r="AH192" s="81" t="str">
        <f t="shared" si="76"/>
        <v>"%USERPROFILE%\Documents\GitHub\eaglep3\Utilities\RefineRTDCRunTimes.py" --tripid 834-10 --locoid 4029 --swversion DE.1.0.9.0 --startMP 300:58602 --initTime 2017-05-10T17:39:19 --startdatetime 2017-05-10T17:41:36 --delay 1 --endMP 204:696 --enddatetime 2017-05-10T17:55:53 --enforcementcount 0 &gt;&gt;C:\Users\stu\Documents\GitHub\eaglep3-reporting\EC\2017-05-10-refined-times.txt</v>
      </c>
      <c r="AI192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{"issue":{"subject":"","project_id":79,"tracker_id":40,"status_id":1,"priority_id":2,"assigned_to_id":23,"start_date":"2017-05-10","description":"","custom_fields":[{"id":1,"name":"Subdivision","value":"NW"},{"id":4,"name":"Milepost","value":"0.0696"},{"id":17,"name":"Train ID","value":"834-10"},{"id":16,"name":"Locomotive ID","value":"4029"},{"id":130,"name":"Impact","value":""},{"id":150,"name":"Time of Event (Mountain Time)","value":"17:55:53"},{"id":151,"name":"Denver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8"/>
        <v>start /low /b %USERPROFILE%\Documents\GitHub\eaglep3\Utilities\DownloadLogsFromS3.py --loco 4029 --day 2017-05-10</v>
      </c>
      <c r="AN192" s="154" t="str">
        <f t="shared" si="79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593</v>
      </c>
      <c r="B193" s="7">
        <v>4026</v>
      </c>
      <c r="C193" s="21" t="s">
        <v>206</v>
      </c>
      <c r="D193" s="21" t="s">
        <v>994</v>
      </c>
      <c r="E193" s="13">
        <v>42865.741527777776</v>
      </c>
      <c r="F193" s="13">
        <v>42865.744085648148</v>
      </c>
      <c r="G193" s="7">
        <v>1</v>
      </c>
      <c r="H193" s="21" t="s">
        <v>995</v>
      </c>
      <c r="I193" s="13">
        <v>42865.755046296297</v>
      </c>
      <c r="J193" s="7">
        <v>0</v>
      </c>
      <c r="K193" s="92" t="str">
        <f t="shared" si="66"/>
        <v>4025/4026</v>
      </c>
      <c r="L193" s="21" t="str">
        <f>VLOOKUP(A193,'Trips&amp;Operators'!$C$1:$G$99999,5,FALSE)</f>
        <v>CHANDLER KELVIN</v>
      </c>
      <c r="M193" s="6">
        <f t="shared" si="67"/>
        <v>1.096064814919373E-2</v>
      </c>
      <c r="N193" s="7">
        <f t="shared" si="86"/>
        <v>15.783333334838971</v>
      </c>
      <c r="O193" s="7"/>
      <c r="P193" s="7"/>
      <c r="Q193" s="22"/>
      <c r="R193" s="190"/>
      <c r="S193" s="196">
        <f t="shared" si="87"/>
        <v>1</v>
      </c>
      <c r="T193" s="190" t="str">
        <f t="shared" si="68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69"/>
        <v>https://d0f6bd738d7f1b3e5a7ca70fe4ff75f0.us-east-1.aws.found.io/app/kibana#/discover/Steve-Slow-Train-Analysis-(2080s-and-2083s)?_g=(refreshInterval:(display:Off,pause:!f,section:0,value:0),time:(from:'2017-05-10T16:47:48-0600',mode:absolute,to:'2017-05-10T19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92" t="str">
        <f t="shared" si="70"/>
        <v>N</v>
      </c>
      <c r="X193" s="192">
        <f t="shared" si="85"/>
        <v>1</v>
      </c>
      <c r="Y193" s="192">
        <f t="shared" si="83"/>
        <v>9.5799999999999996E-2</v>
      </c>
      <c r="Z193" s="192">
        <f t="shared" si="84"/>
        <v>5.8987999999999996</v>
      </c>
      <c r="AA193" s="192">
        <f t="shared" si="71"/>
        <v>5.8029999999999999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72"/>
        <v>0835-10</v>
      </c>
      <c r="AE193" s="80" t="str">
        <f t="shared" si="73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193" s="77" t="str">
        <f t="shared" si="74"/>
        <v>"C:\Program Files (x86)\AstroGrep\AstroGrep.exe" /e /r /s /spath="%USERPROFILE%\AppData\Local\Temp\OnboardLogs" /stypes="app*4026*20170511*" /stext=" 00:.+((SYSTEM_STATE.+slice.+state.+changed )|(ment ac)|(multiple cpu faults)|(system.+state.+changed )|(\[timeout)|(PRM\|1\|D)|(kpr)|(kdp)|(train st.+moving)|(\|lc)|(penalty))"</v>
      </c>
      <c r="AG193" s="1" t="str">
        <f t="shared" si="75"/>
        <v>NW</v>
      </c>
      <c r="AH193" s="81" t="str">
        <f t="shared" si="76"/>
        <v>"%USERPROFILE%\Documents\GitHub\eaglep3\Utilities\RefineRTDCRunTimes.py" --tripid 835-10 --locoid 4026 --swversion DE.1.0.9.0 --startMP 204:958 --initTime 2017-05-10T17:47:48 --startdatetime 2017-05-10T17:51:29 --delay 1 --endMP 300:58988 --enddatetime 2017-05-10T18:07:16 --enforcementcount 0 &gt;&gt;C:\Users\stu\Documents\GitHub\eaglep3-reporting\EC\2017-05-10-refined-times.txt</v>
      </c>
      <c r="AI193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{"issue":{"subject":"","project_id":79,"tracker_id":40,"status_id":1,"priority_id":2,"assigned_to_id":23,"start_date":"2017-05-10","description":"","custom_fields":[{"id":1,"name":"Subdivision","value":"NW"},{"id":4,"name":"Milepost","value":"5.8988"},{"id":17,"name":"Train ID","value":"835-10"},{"id":16,"name":"Locomotive ID","value":"4026"},{"id":130,"name":"Impact","value":""},{"id":150,"name":"Time of Event (Mountain Time)","value":"18:07:16"},{"id":151,"name":"Denver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8"/>
        <v>start /low /b %USERPROFILE%\Documents\GitHub\eaglep3\Utilities\DownloadLogsFromS3.py --loco 4026 --day 2017-05-10</v>
      </c>
      <c r="AN193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596</v>
      </c>
      <c r="B194" s="7">
        <v>4025</v>
      </c>
      <c r="C194" s="21" t="s">
        <v>206</v>
      </c>
      <c r="D194" s="21" t="s">
        <v>996</v>
      </c>
      <c r="E194" s="13">
        <v>42865.75708333333</v>
      </c>
      <c r="F194" s="13">
        <v>42865.758020833331</v>
      </c>
      <c r="G194" s="7">
        <v>0</v>
      </c>
      <c r="H194" s="21" t="s">
        <v>547</v>
      </c>
      <c r="I194" s="13">
        <v>42865.769074074073</v>
      </c>
      <c r="J194" s="7">
        <v>0</v>
      </c>
      <c r="K194" s="92" t="str">
        <f t="shared" si="66"/>
        <v>4025/4026</v>
      </c>
      <c r="L194" s="21" t="str">
        <f>VLOOKUP(A194,'Trips&amp;Operators'!$C$1:$G$99999,5,FALSE)</f>
        <v>CHANDLER KELVIN</v>
      </c>
      <c r="M194" s="6">
        <f t="shared" si="67"/>
        <v>1.1053240741603076E-2</v>
      </c>
      <c r="N194" s="7">
        <f t="shared" si="86"/>
        <v>15.91666666790843</v>
      </c>
      <c r="O194" s="7"/>
      <c r="P194" s="7"/>
      <c r="Q194" s="22"/>
      <c r="R194" s="190"/>
      <c r="S194" s="196">
        <f t="shared" si="87"/>
        <v>1</v>
      </c>
      <c r="T194" s="190" t="str">
        <f t="shared" si="68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69"/>
        <v>https://d0f6bd738d7f1b3e5a7ca70fe4ff75f0.us-east-1.aws.found.io/app/kibana#/discover/Steve-Slow-Train-Analysis-(2080s-and-2083s)?_g=(refreshInterval:(display:Off,pause:!f,section:0,value:0),time:(from:'2017-05-10T17:10:12-0600',mode:absolute,to:'2017-05-10T19:27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192" t="str">
        <f t="shared" si="70"/>
        <v>N</v>
      </c>
      <c r="X194" s="192">
        <f t="shared" si="85"/>
        <v>1</v>
      </c>
      <c r="Y194" s="192">
        <f t="shared" si="83"/>
        <v>5.867</v>
      </c>
      <c r="Z194" s="192">
        <f t="shared" si="84"/>
        <v>6.9599999999999995E-2</v>
      </c>
      <c r="AA194" s="192">
        <f t="shared" si="71"/>
        <v>5.7973999999999997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72"/>
        <v>0836-10</v>
      </c>
      <c r="AE194" s="80" t="str">
        <f t="shared" si="73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194" s="77" t="str">
        <f t="shared" si="74"/>
        <v>"C:\Program Files (x86)\AstroGrep\AstroGrep.exe" /e /r /s /spath="%USERPROFILE%\AppData\Local\Temp\OnboardLogs" /stypes="app*4025*20170511*" /stext=" 00:.+((SYSTEM_STATE.+slice.+state.+changed )|(ment ac)|(multiple cpu faults)|(system.+state.+changed )|(\[timeout)|(PRM\|1\|D)|(kpr)|(kdp)|(train st.+moving)|(\|lc)|(penalty))"</v>
      </c>
      <c r="AG194" s="1" t="str">
        <f t="shared" si="75"/>
        <v>NW</v>
      </c>
      <c r="AH194" s="81" t="str">
        <f t="shared" si="76"/>
        <v>"%USERPROFILE%\Documents\GitHub\eaglep3\Utilities\RefineRTDCRunTimes.py" --tripid 836-10 --locoid 4025 --swversion DE.1.0.9.0 --startMP 300:58670 --initTime 2017-05-10T18:10:12 --startdatetime 2017-05-10T18:11:33 --delay 0 --endMP 204:696 --enddatetime 2017-05-10T18:27:28 --enforcementcount 0 &gt;&gt;C:\Users\stu\Documents\GitHub\eaglep3-reporting\EC\2017-05-10-refined-times.txt</v>
      </c>
      <c r="AI194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{"issue":{"subject":"","project_id":79,"tracker_id":40,"status_id":1,"priority_id":2,"assigned_to_id":23,"start_date":"2017-05-10","description":"","custom_fields":[{"id":1,"name":"Subdivision","value":"NW"},{"id":4,"name":"Milepost","value":"0.0696"},{"id":17,"name":"Train ID","value":"836-10"},{"id":16,"name":"Locomotive ID","value":"4025"},{"id":130,"name":"Impact","value":""},{"id":150,"name":"Time of Event (Mountain Time)","value":"18:27:28"},{"id":151,"name":"Denver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78"/>
        <v>start /low /b %USERPROFILE%\Documents\GitHub\eaglep3\Utilities\DownloadLogsFromS3.py --loco 4025 --day 2017-05-10</v>
      </c>
      <c r="AN194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00:27:28"},{"id":29,"name":"Sharepoint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757</v>
      </c>
      <c r="B195" s="7">
        <v>4030</v>
      </c>
      <c r="C195" s="21" t="s">
        <v>206</v>
      </c>
      <c r="D195" s="21" t="s">
        <v>549</v>
      </c>
      <c r="E195" s="13">
        <v>42865.751331018517</v>
      </c>
      <c r="F195" s="13">
        <v>42865.764849537038</v>
      </c>
      <c r="G195" s="7">
        <v>1</v>
      </c>
      <c r="H195" s="21" t="s">
        <v>997</v>
      </c>
      <c r="I195" s="13">
        <v>42865.774722222224</v>
      </c>
      <c r="J195" s="7">
        <v>0</v>
      </c>
      <c r="K195" s="92" t="str">
        <f t="shared" si="66"/>
        <v>4029/4030</v>
      </c>
      <c r="L195" s="21" t="str">
        <f>VLOOKUP(A195,'Trips&amp;Operators'!$C$1:$G$99999,5,FALSE)</f>
        <v>MCREYNOLDS KYLE</v>
      </c>
      <c r="M195" s="6">
        <f t="shared" si="67"/>
        <v>9.8726851865649223E-3</v>
      </c>
      <c r="N195" s="7">
        <f t="shared" si="86"/>
        <v>14.216666668653488</v>
      </c>
      <c r="O195" s="7"/>
      <c r="P195" s="7"/>
      <c r="Q195" s="22"/>
      <c r="R195" s="190"/>
      <c r="S195" s="196">
        <f t="shared" si="87"/>
        <v>1</v>
      </c>
      <c r="T195" s="190" t="str">
        <f t="shared" si="68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69"/>
        <v>https://d0f6bd738d7f1b3e5a7ca70fe4ff75f0.us-east-1.aws.found.io/app/kibana#/discover/Steve-Slow-Train-Analysis-(2080s-and-2083s)?_g=(refreshInterval:(display:Off,pause:!f,section:0,value:0),time:(from:'2017-05-10T17:01:55-0600',mode:absolute,to:'2017-05-10T19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192" t="str">
        <f t="shared" si="70"/>
        <v>N</v>
      </c>
      <c r="X195" s="192">
        <f t="shared" si="85"/>
        <v>1</v>
      </c>
      <c r="Y195" s="192">
        <f t="shared" si="83"/>
        <v>9.8100000000000007E-2</v>
      </c>
      <c r="Z195" s="192">
        <f t="shared" si="84"/>
        <v>5.8916000000000004</v>
      </c>
      <c r="AA195" s="192">
        <f t="shared" si="71"/>
        <v>5.7935000000000008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72"/>
        <v>0837-10</v>
      </c>
      <c r="AE195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95" s="77" t="str">
        <f t="shared" si="74"/>
        <v>"C:\Program Files (x86)\AstroGrep\AstroGrep.exe" /e /r /s /spath="%USERPROFILE%\AppData\Local\Temp\OnboardLogs" /stypes="app*4030*20170511*" /stext=" 00:.+((SYSTEM_STATE.+slice.+state.+changed )|(ment ac)|(multiple cpu faults)|(system.+state.+changed )|(\[timeout)|(PRM\|1\|D)|(kpr)|(kdp)|(train st.+moving)|(\|lc)|(penalty))"</v>
      </c>
      <c r="AG195" s="1" t="str">
        <f t="shared" si="75"/>
        <v>NW</v>
      </c>
      <c r="AH195" s="81" t="str">
        <f t="shared" si="76"/>
        <v>"%USERPROFILE%\Documents\GitHub\eaglep3\Utilities\RefineRTDCRunTimes.py" --tripid 837-10 --locoid 4030 --swversion DE.1.0.9.0 --startMP 204:981 --initTime 2017-05-10T18:01:55 --startdatetime 2017-05-10T18:21:23 --delay 1 --endMP 300:58916 --enddatetime 2017-05-10T18:35:36 --enforcementcount 0 &gt;&gt;C:\Users\stu\Documents\GitHub\eaglep3-reporting\EC\2017-05-10-refined-times.txt</v>
      </c>
      <c r="AI195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{"issue":{"subject":"","project_id":79,"tracker_id":40,"status_id":1,"priority_id":2,"assigned_to_id":23,"start_date":"2017-05-10","description":"","custom_fields":[{"id":1,"name":"Subdivision","value":"NW"},{"id":4,"name":"Milepost","value":"5.8916"},{"id":17,"name":"Train ID","value":"837-10"},{"id":16,"name":"Locomotive ID","value":"4030"},{"id":130,"name":"Impact","value":""},{"id":150,"name":"Time of Event (Mountain Time)","value":"18:35:36"},{"id":151,"name":"Denver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8"/>
        <v>start /low /b %USERPROFILE%\Documents\GitHub\eaglep3\Utilities\DownloadLogsFromS3.py --loco 4030 --day 2017-05-10</v>
      </c>
      <c r="AN195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764</v>
      </c>
      <c r="B196" s="7">
        <v>4029</v>
      </c>
      <c r="C196" s="21" t="s">
        <v>206</v>
      </c>
      <c r="D196" s="21" t="s">
        <v>998</v>
      </c>
      <c r="E196" s="13">
        <v>42865.77616898148</v>
      </c>
      <c r="F196" s="13">
        <v>42865.777708333335</v>
      </c>
      <c r="G196" s="7">
        <v>1</v>
      </c>
      <c r="H196" s="21" t="s">
        <v>999</v>
      </c>
      <c r="I196" s="13">
        <v>42865.788483796299</v>
      </c>
      <c r="J196" s="7">
        <v>0</v>
      </c>
      <c r="K196" s="92" t="str">
        <f t="shared" si="66"/>
        <v>4029/4030</v>
      </c>
      <c r="L196" s="21" t="str">
        <f>VLOOKUP(A196,'Trips&amp;Operators'!$C$1:$G$99999,5,FALSE)</f>
        <v>MCREYNOLDS KYLE</v>
      </c>
      <c r="M196" s="6">
        <f t="shared" si="67"/>
        <v>1.0775462964375038E-2</v>
      </c>
      <c r="N196" s="7">
        <f t="shared" si="86"/>
        <v>15.516666668700054</v>
      </c>
      <c r="O196" s="7"/>
      <c r="P196" s="7"/>
      <c r="Q196" s="22"/>
      <c r="R196" s="190"/>
      <c r="S196" s="196">
        <f t="shared" si="87"/>
        <v>1</v>
      </c>
      <c r="T196" s="190" t="str">
        <f t="shared" si="68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69"/>
        <v>https://d0f6bd738d7f1b3e5a7ca70fe4ff75f0.us-east-1.aws.found.io/app/kibana#/discover/Steve-Slow-Train-Analysis-(2080s-and-2083s)?_g=(refreshInterval:(display:Off,pause:!f,section:0,value:0),time:(from:'2017-05-10T17:37:41-0600',mode:absolute,to:'2017-05-10T19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192" t="str">
        <f t="shared" si="70"/>
        <v>N</v>
      </c>
      <c r="X196" s="192">
        <f t="shared" si="85"/>
        <v>1</v>
      </c>
      <c r="Y196" s="192">
        <f t="shared" ref="Y196:Y227" si="88">RIGHT(D196,LEN(D196)-4)/10000</f>
        <v>5.8605999999999998</v>
      </c>
      <c r="Z196" s="192">
        <f t="shared" ref="Z196:Z227" si="89">RIGHT(H196,LEN(H196)-4)/10000</f>
        <v>1.24E-2</v>
      </c>
      <c r="AA196" s="192">
        <f t="shared" si="71"/>
        <v>5.8481999999999994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72"/>
        <v>0838-10</v>
      </c>
      <c r="AE196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96" s="77" t="str">
        <f t="shared" si="74"/>
        <v>"C:\Program Files (x86)\AstroGrep\AstroGrep.exe" /e /r /s /spath="%USERPROFILE%\AppData\Local\Temp\OnboardLogs" /stypes="app*4029*20170511*" /stext=" 00:.+((SYSTEM_STATE.+slice.+state.+changed )|(ment ac)|(multiple cpu faults)|(system.+state.+changed )|(\[timeout)|(PRM\|1\|D)|(kpr)|(kdp)|(train st.+moving)|(\|lc)|(penalty))"</v>
      </c>
      <c r="AG196" s="1" t="str">
        <f t="shared" si="75"/>
        <v>NW</v>
      </c>
      <c r="AH196" s="81" t="str">
        <f t="shared" si="76"/>
        <v>"%USERPROFILE%\Documents\GitHub\eaglep3\Utilities\RefineRTDCRunTimes.py" --tripid 838-10 --locoid 4029 --swversion DE.1.0.9.0 --startMP 300:58606 --initTime 2017-05-10T18:37:41 --startdatetime 2017-05-10T18:39:54 --delay 1 --endMP 204:124 --enddatetime 2017-05-10T18:55:25 --enforcementcount 0 &gt;&gt;C:\Users\stu\Documents\GitHub\eaglep3-reporting\EC\2017-05-10-refined-times.txt</v>
      </c>
      <c r="AI196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{"issue":{"subject":"","project_id":79,"tracker_id":40,"status_id":1,"priority_id":2,"assigned_to_id":23,"start_date":"2017-05-10","description":"","custom_fields":[{"id":1,"name":"Subdivision","value":"NW"},{"id":4,"name":"Milepost","value":"0.0124"},{"id":17,"name":"Train ID","value":"838-10"},{"id":16,"name":"Locomotive ID","value":"4029"},{"id":130,"name":"Impact","value":""},{"id":150,"name":"Time of Event (Mountain Time)","value":"18:55:25"},{"id":151,"name":"Denver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8"/>
        <v>start /low /b %USERPROFILE%\Documents\GitHub\eaglep3\Utilities\DownloadLogsFromS3.py --loco 4029 --day 2017-05-10</v>
      </c>
      <c r="AN196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765</v>
      </c>
      <c r="B197" s="7">
        <v>4026</v>
      </c>
      <c r="C197" s="21" t="s">
        <v>206</v>
      </c>
      <c r="D197" s="21" t="s">
        <v>481</v>
      </c>
      <c r="E197" s="13">
        <v>42865.781377314815</v>
      </c>
      <c r="F197" s="13">
        <v>42865.786041666666</v>
      </c>
      <c r="G197" s="7">
        <v>1</v>
      </c>
      <c r="H197" s="21" t="s">
        <v>548</v>
      </c>
      <c r="I197" s="13">
        <v>42865.796249999999</v>
      </c>
      <c r="J197" s="7">
        <v>0</v>
      </c>
      <c r="K197" s="92" t="str">
        <f t="shared" si="66"/>
        <v>4025/4026</v>
      </c>
      <c r="L197" s="21" t="str">
        <f>VLOOKUP(A197,'Trips&amp;Operators'!$C$1:$G$99999,5,FALSE)</f>
        <v>CHANDLER KELVIN</v>
      </c>
      <c r="M197" s="6">
        <f t="shared" si="67"/>
        <v>1.0208333333139308E-2</v>
      </c>
      <c r="N197" s="7">
        <f t="shared" si="86"/>
        <v>14.699999999720603</v>
      </c>
      <c r="O197" s="7"/>
      <c r="P197" s="7"/>
      <c r="Q197" s="22"/>
      <c r="R197" s="190"/>
      <c r="S197" s="196">
        <f t="shared" si="87"/>
        <v>1</v>
      </c>
      <c r="T197" s="190" t="str">
        <f t="shared" si="68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69"/>
        <v>https://d0f6bd738d7f1b3e5a7ca70fe4ff75f0.us-east-1.aws.found.io/app/kibana#/discover/Steve-Slow-Train-Analysis-(2080s-and-2083s)?_g=(refreshInterval:(display:Off,pause:!f,section:0,value:0),time:(from:'2017-05-10T17:45:11-0600',mode:absolute,to:'2017-05-10T20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7" s="192" t="str">
        <f t="shared" si="70"/>
        <v>N</v>
      </c>
      <c r="X197" s="192">
        <f t="shared" si="85"/>
        <v>1</v>
      </c>
      <c r="Y197" s="192">
        <f t="shared" si="88"/>
        <v>9.7900000000000001E-2</v>
      </c>
      <c r="Z197" s="192">
        <f t="shared" si="89"/>
        <v>5.8992000000000004</v>
      </c>
      <c r="AA197" s="192">
        <f t="shared" si="71"/>
        <v>5.8013000000000003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72"/>
        <v>0839-10</v>
      </c>
      <c r="AE197" s="80" t="str">
        <f t="shared" si="73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197" s="77" t="str">
        <f t="shared" si="74"/>
        <v>"C:\Program Files (x86)\AstroGrep\AstroGrep.exe" /e /r /s /spath="%USERPROFILE%\AppData\Local\Temp\OnboardLogs" /stypes="app*4026*20170511*" /stext=" 01:.+((SYSTEM_STATE.+slice.+state.+changed )|(ment ac)|(multiple cpu faults)|(system.+state.+changed )|(\[timeout)|(PRM\|1\|D)|(kpr)|(kdp)|(train st.+moving)|(\|lc)|(penalty))"</v>
      </c>
      <c r="AG197" s="1" t="str">
        <f t="shared" si="75"/>
        <v>NW</v>
      </c>
      <c r="AH197" s="81" t="str">
        <f t="shared" si="76"/>
        <v>"%USERPROFILE%\Documents\GitHub\eaglep3\Utilities\RefineRTDCRunTimes.py" --tripid 839-10 --locoid 4026 --swversion DE.1.0.9.0 --startMP 204:979 --initTime 2017-05-10T18:45:11 --startdatetime 2017-05-10T18:51:54 --delay 1 --endMP 300:58992 --enddatetime 2017-05-10T19:06:36 --enforcementcount 0 &gt;&gt;C:\Users\stu\Documents\GitHub\eaglep3-reporting\EC\2017-05-10-refined-times.txt</v>
      </c>
      <c r="AI197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{"issue":{"subject":"","project_id":79,"tracker_id":40,"status_id":1,"priority_id":2,"assigned_to_id":23,"start_date":"2017-05-10","description":"","custom_fields":[{"id":1,"name":"Subdivision","value":"NW"},{"id":4,"name":"Milepost","value":"5.8992"},{"id":17,"name":"Train ID","value":"839-10"},{"id":16,"name":"Locomotive ID","value":"4026"},{"id":130,"name":"Impact","value":""},{"id":150,"name":"Time of Event (Mountain Time)","value":"19:06:36"},{"id":151,"name":"Denver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8"/>
        <v>start /low /b %USERPROFILE%\Documents\GitHub\eaglep3\Utilities\DownloadLogsFromS3.py --loco 4026 --day 2017-05-10</v>
      </c>
      <c r="AN197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s="20" customFormat="1" x14ac:dyDescent="0.25">
      <c r="A198" s="32" t="s">
        <v>778</v>
      </c>
      <c r="B198" s="7">
        <v>4029</v>
      </c>
      <c r="C198" s="21" t="s">
        <v>206</v>
      </c>
      <c r="D198" s="21" t="s">
        <v>1000</v>
      </c>
      <c r="E198" s="13">
        <v>42865.817557870374</v>
      </c>
      <c r="F198" s="13">
        <v>42865.81890046296</v>
      </c>
      <c r="G198" s="7">
        <v>1</v>
      </c>
      <c r="H198" s="21" t="s">
        <v>551</v>
      </c>
      <c r="I198" s="13">
        <v>42865.833807870367</v>
      </c>
      <c r="J198" s="7">
        <v>0</v>
      </c>
      <c r="K198" s="92" t="str">
        <f t="shared" si="66"/>
        <v>4029/4030</v>
      </c>
      <c r="L198" s="21" t="str">
        <f>VLOOKUP(A198,'Trips&amp;Operators'!$C$1:$G$99999,5,FALSE)</f>
        <v>MCREYNOLDS KYLE</v>
      </c>
      <c r="M198" s="6">
        <f t="shared" si="67"/>
        <v>1.4907407407008577E-2</v>
      </c>
      <c r="N198" s="7">
        <f t="shared" si="86"/>
        <v>21.466666666092351</v>
      </c>
      <c r="O198" s="7"/>
      <c r="P198" s="7"/>
      <c r="Q198" s="22"/>
      <c r="R198" s="190" t="s">
        <v>1038</v>
      </c>
      <c r="S198" s="196">
        <f t="shared" si="87"/>
        <v>1</v>
      </c>
      <c r="T198" s="190" t="str">
        <f t="shared" si="68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69"/>
        <v>https://d0f6bd738d7f1b3e5a7ca70fe4ff75f0.us-east-1.aws.found.io/app/kibana#/discover/Steve-Slow-Train-Analysis-(2080s-and-2083s)?_g=(refreshInterval:(display:Off,pause:!f,section:0,value:0),time:(from:'2017-05-10T18:37:17-0600',mode:absolute,to:'2017-05-10T21:00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92" t="str">
        <f t="shared" si="70"/>
        <v>N</v>
      </c>
      <c r="X198" s="192">
        <f t="shared" si="85"/>
        <v>1</v>
      </c>
      <c r="Y198" s="192">
        <f t="shared" si="88"/>
        <v>5.8609</v>
      </c>
      <c r="Z198" s="192">
        <f t="shared" si="89"/>
        <v>6.9199999999999998E-2</v>
      </c>
      <c r="AA198" s="192">
        <f t="shared" si="71"/>
        <v>5.7916999999999996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72"/>
        <v>0840-10</v>
      </c>
      <c r="AE198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198" s="77" t="str">
        <f t="shared" si="74"/>
        <v>"C:\Program Files (x86)\AstroGrep\AstroGrep.exe" /e /r /s /spath="%USERPROFILE%\AppData\Local\Temp\OnboardLogs" /stypes="app*4029*20170511*" /stext=" 02:.+((SYSTEM_STATE.+slice.+state.+changed )|(ment ac)|(multiple cpu faults)|(system.+state.+changed )|(\[timeout)|(PRM\|1\|D)|(kpr)|(kdp)|(train st.+moving)|(\|lc)|(penalty))"</v>
      </c>
      <c r="AG198" s="1" t="str">
        <f t="shared" si="75"/>
        <v>NW</v>
      </c>
      <c r="AH198" s="81" t="str">
        <f t="shared" si="76"/>
        <v>"%USERPROFILE%\Documents\GitHub\eaglep3\Utilities\RefineRTDCRunTimes.py" --tripid 840-10 --locoid 4029 --swversion DE.1.0.9.0 --startMP 300:58609 --initTime 2017-05-10T19:37:17 --startdatetime 2017-05-10T19:39:13 --delay 1 --endMP 204:692 --enddatetime 2017-05-10T20:00:41 --enforcementcount 0 &gt;&gt;C:\Users\stu\Documents\GitHub\eaglep3-reporting\EC\2017-05-10-refined-times.txt</v>
      </c>
      <c r="AI198" s="99" t="str">
        <f t="shared" si="77"/>
        <v>echo {"issue":{"subject":"CRMFS 2S - stuck at STOP?","project_id":79,"tracker_id":40,"status_id":1,"priority_id":2,"assigned_to_id":23,"start_date":"2017-05-10","description":"At 19:43:08, CRMFS 2S went to STOP (I think a STOP request came from dispatch?). It seems like it stayed that way longer than intended (until 19:51:00), do logs show anything unusual at this time?","custom_fields":[{"id":1,"name":"Subdivision","value":"NW"},{"id":4,"name":"Milepost","value":"0.0692"},{"id":17,"name":"Train ID","value":"840-10"},{"id":16,"name":"Locomotive ID","value":"4029"},{"id":130,"name":"Impact","value":"Others"},{"id":150,"name":"Time of Event (Mountain Time)","value":"20:00:41"},{"id":151,"name":"Denver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8" s="20" t="s">
        <v>1039</v>
      </c>
      <c r="AK198" s="47" t="s">
        <v>136</v>
      </c>
      <c r="AL198" s="47" t="s">
        <v>129</v>
      </c>
      <c r="AM198" s="145" t="str">
        <f t="shared" si="78"/>
        <v>start /low /b %USERPROFILE%\Documents\GitHub\eaglep3\Utilities\DownloadLogsFromS3.py --loco 4029 --day 2017-05-10</v>
      </c>
      <c r="AN198" s="154" t="str">
        <f t="shared" si="79"/>
        <v>echo {"issue":{"subject":"CRMFS 2S - stuck at STOP?","project_id":30,"tracker_id":4,"status_id":1,"priority_id":1,"assigned_to_id":10,"start_date":"2017-05-11","description":"At 19:43:08, CRMFS 2S went to STOP (I think a STOP request came from dispatch?). It seems like it stayed that way longer than intended (until 19:51:00), do logs show anything unusual at this time?","custom_fields":[{"id":30,"name":"Category","value":"Issue"},{"id":3,"name":"Functional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02:00:41"},{"id":29,"name":"Sharepoint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772</v>
      </c>
      <c r="B199" s="7">
        <v>4030</v>
      </c>
      <c r="C199" s="21" t="s">
        <v>206</v>
      </c>
      <c r="D199" s="21" t="s">
        <v>1001</v>
      </c>
      <c r="E199" s="13">
        <v>42865.795300925929</v>
      </c>
      <c r="F199" s="13">
        <v>42865.806458333333</v>
      </c>
      <c r="G199" s="7">
        <v>1</v>
      </c>
      <c r="H199" s="21" t="s">
        <v>482</v>
      </c>
      <c r="I199" s="13">
        <v>42865.816087962965</v>
      </c>
      <c r="J199" s="7">
        <v>0</v>
      </c>
      <c r="K199" s="92" t="str">
        <f t="shared" si="66"/>
        <v>4029/4030</v>
      </c>
      <c r="L199" s="21" t="str">
        <f>VLOOKUP(A199,'Trips&amp;Operators'!$C$1:$G$99999,5,FALSE)</f>
        <v>MCREYNOLDS KYLE</v>
      </c>
      <c r="M199" s="6">
        <f t="shared" si="67"/>
        <v>9.6296296323998831E-3</v>
      </c>
      <c r="N199" s="7">
        <f t="shared" si="86"/>
        <v>13.866666670655832</v>
      </c>
      <c r="O199" s="7"/>
      <c r="P199" s="7"/>
      <c r="Q199" s="22"/>
      <c r="R199" s="190"/>
      <c r="S199" s="196">
        <f t="shared" si="87"/>
        <v>1</v>
      </c>
      <c r="T199" s="190" t="str">
        <f t="shared" si="68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69"/>
        <v>https://d0f6bd738d7f1b3e5a7ca70fe4ff75f0.us-east-1.aws.found.io/app/kibana#/discover/Steve-Slow-Train-Analysis-(2080s-and-2083s)?_g=(refreshInterval:(display:Off,pause:!f,section:0,value:0),time:(from:'2017-05-10T18:05:14-0600',mode:absolute,to:'2017-05-10T20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192" t="str">
        <f t="shared" si="70"/>
        <v>N</v>
      </c>
      <c r="X199" s="192">
        <f t="shared" si="85"/>
        <v>1</v>
      </c>
      <c r="Y199" s="192">
        <f t="shared" si="88"/>
        <v>4.1700000000000001E-2</v>
      </c>
      <c r="Z199" s="192">
        <f t="shared" si="89"/>
        <v>5.8925999999999998</v>
      </c>
      <c r="AA199" s="192">
        <f t="shared" si="71"/>
        <v>5.8509000000000002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72"/>
        <v>0841-10</v>
      </c>
      <c r="AE199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199" s="77" t="str">
        <f t="shared" si="74"/>
        <v>"C:\Program Files (x86)\AstroGrep\AstroGrep.exe" /e /r /s /spath="%USERPROFILE%\AppData\Local\Temp\OnboardLogs" /stypes="app*4030*20170511*" /stext=" 01:.+((SYSTEM_STATE.+slice.+state.+changed )|(ment ac)|(multiple cpu faults)|(system.+state.+changed )|(\[timeout)|(PRM\|1\|D)|(kpr)|(kdp)|(train st.+moving)|(\|lc)|(penalty))"</v>
      </c>
      <c r="AG199" s="1" t="str">
        <f t="shared" si="75"/>
        <v>NW</v>
      </c>
      <c r="AH199" s="81" t="str">
        <f t="shared" si="76"/>
        <v>"%USERPROFILE%\Documents\GitHub\eaglep3\Utilities\RefineRTDCRunTimes.py" --tripid 841-10 --locoid 4030 --swversion DE.1.0.9.0 --startMP 204:417 --initTime 2017-05-10T19:05:14 --startdatetime 2017-05-10T19:21:18 --delay 1 --endMP 300:58926 --enddatetime 2017-05-10T19:35:10 --enforcementcount 0 &gt;&gt;C:\Users\stu\Documents\GitHub\eaglep3-reporting\EC\2017-05-10-refined-times.txt</v>
      </c>
      <c r="AI199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{"issue":{"subject":"","project_id":79,"tracker_id":40,"status_id":1,"priority_id":2,"assigned_to_id":23,"start_date":"2017-05-10","description":"","custom_fields":[{"id":1,"name":"Subdivision","value":"NW"},{"id":4,"name":"Milepost","value":"5.8926"},{"id":17,"name":"Train ID","value":"841-10"},{"id":16,"name":"Locomotive ID","value":"4030"},{"id":130,"name":"Impact","value":""},{"id":150,"name":"Time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8"/>
        <v>start /low /b %USERPROFILE%\Documents\GitHub\eaglep3\Utilities\DownloadLogsFromS3.py --loco 4030 --day 2017-05-10</v>
      </c>
      <c r="AN199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787</v>
      </c>
      <c r="B200" s="7">
        <v>4029</v>
      </c>
      <c r="C200" s="21" t="s">
        <v>206</v>
      </c>
      <c r="D200" s="21" t="s">
        <v>559</v>
      </c>
      <c r="E200" s="13">
        <v>42865.859710648147</v>
      </c>
      <c r="F200" s="13">
        <v>42865.861863425926</v>
      </c>
      <c r="G200" s="7">
        <v>1</v>
      </c>
      <c r="H200" s="21" t="s">
        <v>965</v>
      </c>
      <c r="I200" s="13">
        <v>42865.871550925927</v>
      </c>
      <c r="J200" s="7">
        <v>0</v>
      </c>
      <c r="K200" s="92" t="str">
        <f t="shared" si="66"/>
        <v>4029/4030</v>
      </c>
      <c r="L200" s="21" t="str">
        <f>VLOOKUP(A200,'Trips&amp;Operators'!$C$1:$G$99999,5,FALSE)</f>
        <v>MCREYNOLDS KYLE</v>
      </c>
      <c r="M200" s="6">
        <f t="shared" si="67"/>
        <v>9.6875000017462298E-3</v>
      </c>
      <c r="N200" s="7">
        <f t="shared" si="86"/>
        <v>13.950000002514571</v>
      </c>
      <c r="O200" s="7"/>
      <c r="P200" s="7"/>
      <c r="Q200" s="22"/>
      <c r="R200" s="190"/>
      <c r="S200" s="196">
        <f t="shared" si="87"/>
        <v>1</v>
      </c>
      <c r="T200" s="190" t="str">
        <f t="shared" si="68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69"/>
        <v>https://d0f6bd738d7f1b3e5a7ca70fe4ff75f0.us-east-1.aws.found.io/app/kibana#/discover/Steve-Slow-Train-Analysis-(2080s-and-2083s)?_g=(refreshInterval:(display:Off,pause:!f,section:0,value:0),time:(from:'2017-05-10T19:37:59-0600',mode:absolute,to:'2017-05-10T21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192" t="str">
        <f t="shared" si="70"/>
        <v>N</v>
      </c>
      <c r="X200" s="192">
        <f t="shared" si="85"/>
        <v>1</v>
      </c>
      <c r="Y200" s="192">
        <f t="shared" si="88"/>
        <v>5.8634000000000004</v>
      </c>
      <c r="Z200" s="192">
        <f t="shared" si="89"/>
        <v>6.8199999999999997E-2</v>
      </c>
      <c r="AA200" s="192">
        <f t="shared" si="71"/>
        <v>5.7952000000000004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72"/>
        <v>0842-10</v>
      </c>
      <c r="AE200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200" s="77" t="str">
        <f t="shared" si="74"/>
        <v>"C:\Program Files (x86)\AstroGrep\AstroGrep.exe" /e /r /s /spath="%USERPROFILE%\AppData\Local\Temp\OnboardLogs" /stypes="app*4029*20170511*" /stext=" 02:.+((SYSTEM_STATE.+slice.+state.+changed )|(ment ac)|(multiple cpu faults)|(system.+state.+changed )|(\[timeout)|(PRM\|1\|D)|(kpr)|(kdp)|(train st.+moving)|(\|lc)|(penalty))"</v>
      </c>
      <c r="AG200" s="1" t="str">
        <f t="shared" si="75"/>
        <v>NW</v>
      </c>
      <c r="AH200" s="81" t="str">
        <f t="shared" si="76"/>
        <v>"%USERPROFILE%\Documents\GitHub\eaglep3\Utilities\RefineRTDCRunTimes.py" --tripid 842-10 --locoid 4029 --swversion DE.1.0.9.0 --startMP 300:58634 --initTime 2017-05-10T20:37:59 --startdatetime 2017-05-10T20:41:05 --delay 1 --endMP 204:682 --enddatetime 2017-05-10T20:55:02 --enforcementcount 0 &gt;&gt;C:\Users\stu\Documents\GitHub\eaglep3-reporting\EC\2017-05-10-refined-times.txt</v>
      </c>
      <c r="AI200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{"issue":{"subject":"","project_id":79,"tracker_id":40,"status_id":1,"priority_id":2,"assigned_to_id":23,"start_date":"2017-05-10","description":"","custom_fields":[{"id":1,"name":"Subdivision","value":"NW"},{"id":4,"name":"Milepost","value":"0.0682"},{"id":17,"name":"Train ID","value":"842-10"},{"id":16,"name":"Locomotive ID","value":"4029"},{"id":130,"name":"Impact","value":""},{"id":150,"name":"Time of Event (Mountain Time)","value":"20:55:02"},{"id":151,"name":"Denver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8"/>
        <v>start /low /b %USERPROFILE%\Documents\GitHub\eaglep3\Utilities\DownloadLogsFromS3.py --loco 4029 --day 2017-05-10</v>
      </c>
      <c r="AN200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782</v>
      </c>
      <c r="B201" s="7">
        <v>4030</v>
      </c>
      <c r="C201" s="21" t="s">
        <v>206</v>
      </c>
      <c r="D201" s="21" t="s">
        <v>549</v>
      </c>
      <c r="E201" s="13">
        <v>42865.835682870369</v>
      </c>
      <c r="F201" s="13">
        <v>42865.848182870373</v>
      </c>
      <c r="G201" s="7">
        <v>1</v>
      </c>
      <c r="H201" s="21" t="s">
        <v>555</v>
      </c>
      <c r="I201" s="13">
        <v>42865.858287037037</v>
      </c>
      <c r="J201" s="7">
        <v>0</v>
      </c>
      <c r="K201" s="92" t="str">
        <f t="shared" si="66"/>
        <v>4029/4030</v>
      </c>
      <c r="L201" s="21" t="str">
        <f>VLOOKUP(A201,'Trips&amp;Operators'!$C$1:$G$99999,5,FALSE)</f>
        <v>MCREYNOLDS KYLE</v>
      </c>
      <c r="M201" s="6">
        <f t="shared" si="67"/>
        <v>1.0104166663950309E-2</v>
      </c>
      <c r="N201" s="7">
        <f t="shared" si="86"/>
        <v>14.549999996088445</v>
      </c>
      <c r="O201" s="7"/>
      <c r="P201" s="7"/>
      <c r="Q201" s="22"/>
      <c r="R201" s="190"/>
      <c r="S201" s="196">
        <f t="shared" si="87"/>
        <v>1</v>
      </c>
      <c r="T201" s="190" t="str">
        <f t="shared" si="68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69"/>
        <v>https://d0f6bd738d7f1b3e5a7ca70fe4ff75f0.us-east-1.aws.found.io/app/kibana#/discover/Steve-Slow-Train-Analysis-(2080s-and-2083s)?_g=(refreshInterval:(display:Off,pause:!f,section:0,value:0),time:(from:'2017-05-10T19:03:23-0600',mode:absolute,to:'2017-05-10T21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192" t="str">
        <f t="shared" si="70"/>
        <v>N</v>
      </c>
      <c r="X201" s="192">
        <f t="shared" si="85"/>
        <v>1</v>
      </c>
      <c r="Y201" s="192">
        <f t="shared" si="88"/>
        <v>9.8100000000000007E-2</v>
      </c>
      <c r="Z201" s="192">
        <f t="shared" si="89"/>
        <v>5.8940999999999999</v>
      </c>
      <c r="AA201" s="192">
        <f t="shared" si="71"/>
        <v>5.7960000000000003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72"/>
        <v>0843-10</v>
      </c>
      <c r="AE201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201" s="77" t="str">
        <f t="shared" si="74"/>
        <v>"C:\Program Files (x86)\AstroGrep\AstroGrep.exe" /e /r /s /spath="%USERPROFILE%\AppData\Local\Temp\OnboardLogs" /stypes="app*4030*20170511*" /stext=" 02:.+((SYSTEM_STATE.+slice.+state.+changed )|(ment ac)|(multiple cpu faults)|(system.+state.+changed )|(\[timeout)|(PRM\|1\|D)|(kpr)|(kdp)|(train st.+moving)|(\|lc)|(penalty))"</v>
      </c>
      <c r="AG201" s="1" t="str">
        <f t="shared" si="75"/>
        <v>NW</v>
      </c>
      <c r="AH201" s="81" t="str">
        <f t="shared" si="76"/>
        <v>"%USERPROFILE%\Documents\GitHub\eaglep3\Utilities\RefineRTDCRunTimes.py" --tripid 843-10 --locoid 4030 --swversion DE.1.0.9.0 --startMP 204:981 --initTime 2017-05-10T20:03:23 --startdatetime 2017-05-10T20:21:23 --delay 1 --endMP 300:58941 --enddatetime 2017-05-10T20:35:56 --enforcementcount 0 &gt;&gt;C:\Users\stu\Documents\GitHub\eaglep3-reporting\EC\2017-05-10-refined-times.txt</v>
      </c>
      <c r="AI201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{"issue":{"subject":"","project_id":79,"tracker_id":40,"status_id":1,"priority_id":2,"assigned_to_id":23,"start_date":"2017-05-10","description":"","custom_fields":[{"id":1,"name":"Subdivision","value":"NW"},{"id":4,"name":"Milepost","value":"5.8941"},{"id":17,"name":"Train ID","value":"843-10"},{"id":16,"name":"Locomotive ID","value":"4030"},{"id":130,"name":"Impact","value":""},{"id":150,"name":"Time of Event (Mountain Time)","value":"20:35:56"},{"id":151,"name":"Denver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8"/>
        <v>start /low /b %USERPROFILE%\Documents\GitHub\eaglep3\Utilities\DownloadLogsFromS3.py --loco 4030 --day 2017-05-10</v>
      </c>
      <c r="AN201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793</v>
      </c>
      <c r="B202" s="7">
        <v>4029</v>
      </c>
      <c r="C202" s="21" t="s">
        <v>206</v>
      </c>
      <c r="D202" s="21" t="s">
        <v>1002</v>
      </c>
      <c r="E202" s="13">
        <v>42865.903564814813</v>
      </c>
      <c r="F202" s="13">
        <v>42865.904618055552</v>
      </c>
      <c r="G202" s="7">
        <v>1</v>
      </c>
      <c r="H202" s="21" t="s">
        <v>1003</v>
      </c>
      <c r="I202" s="13">
        <v>42865.914467592593</v>
      </c>
      <c r="J202" s="7">
        <v>0</v>
      </c>
      <c r="K202" s="92" t="str">
        <f t="shared" si="66"/>
        <v>4029/4030</v>
      </c>
      <c r="L202" s="21" t="str">
        <f>VLOOKUP(A202,'Trips&amp;Operators'!$C$1:$G$99999,5,FALSE)</f>
        <v>CHANDLER KELVIN</v>
      </c>
      <c r="M202" s="6">
        <f t="shared" si="67"/>
        <v>9.8495370402815752E-3</v>
      </c>
      <c r="N202" s="7">
        <f t="shared" si="86"/>
        <v>14.183333338005468</v>
      </c>
      <c r="O202" s="7"/>
      <c r="P202" s="7"/>
      <c r="Q202" s="22"/>
      <c r="R202" s="190"/>
      <c r="S202" s="196">
        <f t="shared" si="87"/>
        <v>1</v>
      </c>
      <c r="T202" s="190" t="str">
        <f t="shared" si="68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69"/>
        <v>https://d0f6bd738d7f1b3e5a7ca70fe4ff75f0.us-east-1.aws.found.io/app/kibana#/discover/Steve-Slow-Train-Analysis-(2080s-and-2083s)?_g=(refreshInterval:(display:Off,pause:!f,section:0,value:0),time:(from:'2017-05-10T20:41:08-0600',mode:absolute,to:'2017-05-10T22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192" t="str">
        <f t="shared" si="70"/>
        <v>N</v>
      </c>
      <c r="X202" s="192">
        <f t="shared" si="85"/>
        <v>1</v>
      </c>
      <c r="Y202" s="192">
        <f t="shared" si="88"/>
        <v>5.8672000000000004</v>
      </c>
      <c r="Z202" s="192">
        <f t="shared" si="89"/>
        <v>6.7100000000000007E-2</v>
      </c>
      <c r="AA202" s="192">
        <f t="shared" si="71"/>
        <v>5.8001000000000005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72"/>
        <v>0844-10</v>
      </c>
      <c r="AE202" s="80" t="str">
        <f t="shared" si="73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202" s="77" t="str">
        <f t="shared" si="74"/>
        <v>"C:\Program Files (x86)\AstroGrep\AstroGrep.exe" /e /r /s /spath="%USERPROFILE%\AppData\Local\Temp\OnboardLogs" /stypes="app*4029*20170511*" /stext=" 03:.+((SYSTEM_STATE.+slice.+state.+changed )|(ment ac)|(multiple cpu faults)|(system.+state.+changed )|(\[timeout)|(PRM\|1\|D)|(kpr)|(kdp)|(train st.+moving)|(\|lc)|(penalty))"</v>
      </c>
      <c r="AG202" s="1" t="str">
        <f t="shared" si="75"/>
        <v>NW</v>
      </c>
      <c r="AH202" s="81" t="str">
        <f t="shared" si="76"/>
        <v>"%USERPROFILE%\Documents\GitHub\eaglep3\Utilities\RefineRTDCRunTimes.py" --tripid 844-10 --locoid 4029 --swversion DE.1.0.9.0 --startMP 300:58672 --initTime 2017-05-10T21:41:08 --startdatetime 2017-05-10T21:42:39 --delay 1 --endMP 204:671 --enddatetime 2017-05-10T21:56:50 --enforcementcount 0 &gt;&gt;C:\Users\stu\Documents\GitHub\eaglep3-reporting\EC\2017-05-10-refined-times.txt</v>
      </c>
      <c r="AI202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{"issue":{"subject":"","project_id":79,"tracker_id":40,"status_id":1,"priority_id":2,"assigned_to_id":23,"start_date":"2017-05-10","description":"","custom_fields":[{"id":1,"name":"Subdivision","value":"NW"},{"id":4,"name":"Milepost","value":"0.0671"},{"id":17,"name":"Train ID","value":"844-10"},{"id":16,"name":"Locomotive ID","value":"4029"},{"id":130,"name":"Impact","value":""},{"id":150,"name":"Time of Event (Mountain Time)","value":"21:56:50"},{"id":151,"name":"Denver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8"/>
        <v>start /low /b %USERPROFILE%\Documents\GitHub\eaglep3\Utilities\DownloadLogsFromS3.py --loco 4029 --day 2017-05-10</v>
      </c>
      <c r="AN202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790</v>
      </c>
      <c r="B203" s="7">
        <v>4030</v>
      </c>
      <c r="C203" s="21" t="s">
        <v>206</v>
      </c>
      <c r="D203" s="21" t="s">
        <v>549</v>
      </c>
      <c r="E203" s="13">
        <v>42865.889363425929</v>
      </c>
      <c r="F203" s="13">
        <v>42865.890381944446</v>
      </c>
      <c r="G203" s="7">
        <v>1</v>
      </c>
      <c r="H203" s="21" t="s">
        <v>1004</v>
      </c>
      <c r="I203" s="13">
        <v>42865.901180555556</v>
      </c>
      <c r="J203" s="7">
        <v>0</v>
      </c>
      <c r="K203" s="92" t="str">
        <f t="shared" si="66"/>
        <v>4029/4030</v>
      </c>
      <c r="L203" s="21" t="str">
        <f>VLOOKUP(A203,'Trips&amp;Operators'!$C$1:$G$99999,5,FALSE)</f>
        <v>CHANDLER KELVIN</v>
      </c>
      <c r="M203" s="6">
        <f t="shared" si="67"/>
        <v>1.0798611110658385E-2</v>
      </c>
      <c r="N203" s="7">
        <f t="shared" si="86"/>
        <v>15.549999999348074</v>
      </c>
      <c r="O203" s="7"/>
      <c r="P203" s="7"/>
      <c r="Q203" s="22"/>
      <c r="R203" s="190"/>
      <c r="S203" s="196">
        <f t="shared" si="87"/>
        <v>1</v>
      </c>
      <c r="T203" s="190" t="str">
        <f t="shared" si="68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69"/>
        <v>https://d0f6bd738d7f1b3e5a7ca70fe4ff75f0.us-east-1.aws.found.io/app/kibana#/discover/Steve-Slow-Train-Analysis-(2080s-and-2083s)?_g=(refreshInterval:(display:Off,pause:!f,section:0,value:0),time:(from:'2017-05-10T20:20:41-0600',mode:absolute,to:'2017-05-10T22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192" t="str">
        <f t="shared" si="70"/>
        <v>N</v>
      </c>
      <c r="X203" s="192">
        <f t="shared" si="85"/>
        <v>1</v>
      </c>
      <c r="Y203" s="192">
        <f t="shared" si="88"/>
        <v>9.8100000000000007E-2</v>
      </c>
      <c r="Z203" s="192">
        <f t="shared" si="89"/>
        <v>5.8986000000000001</v>
      </c>
      <c r="AA203" s="192">
        <f t="shared" si="71"/>
        <v>5.8005000000000004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72"/>
        <v>0845-10</v>
      </c>
      <c r="AE203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203" s="77" t="str">
        <f t="shared" si="74"/>
        <v>"C:\Program Files (x86)\AstroGrep\AstroGrep.exe" /e /r /s /spath="%USERPROFILE%\AppData\Local\Temp\OnboardLogs" /stypes="app*4030*20170511*" /stext=" 03:.+((SYSTEM_STATE.+slice.+state.+changed )|(ment ac)|(multiple cpu faults)|(system.+state.+changed )|(\[timeout)|(PRM\|1\|D)|(kpr)|(kdp)|(train st.+moving)|(\|lc)|(penalty))"</v>
      </c>
      <c r="AG203" s="1" t="str">
        <f t="shared" si="75"/>
        <v>NW</v>
      </c>
      <c r="AH203" s="81" t="str">
        <f t="shared" si="76"/>
        <v>"%USERPROFILE%\Documents\GitHub\eaglep3\Utilities\RefineRTDCRunTimes.py" --tripid 845-10 --locoid 4030 --swversion DE.1.0.9.0 --startMP 204:981 --initTime 2017-05-10T21:20:41 --startdatetime 2017-05-10T21:22:09 --delay 1 --endMP 300:58986 --enddatetime 2017-05-10T21:37:42 --enforcementcount 0 &gt;&gt;C:\Users\stu\Documents\GitHub\eaglep3-reporting\EC\2017-05-10-refined-times.txt</v>
      </c>
      <c r="AI203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{"issue":{"subject":"","project_id":79,"tracker_id":40,"status_id":1,"priority_id":2,"assigned_to_id":23,"start_date":"2017-05-10","description":"","custom_fields":[{"id":1,"name":"Subdivision","value":"NW"},{"id":4,"name":"Milepost","value":"5.8986"},{"id":17,"name":"Train ID","value":"845-10"},{"id":16,"name":"Locomotive ID","value":"4030"},{"id":130,"name":"Impact","value":""},{"id":150,"name":"Time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8"/>
        <v>start /low /b %USERPROFILE%\Documents\GitHub\eaglep3\Utilities\DownloadLogsFromS3.py --loco 4030 --day 2017-05-10</v>
      </c>
      <c r="AN203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797</v>
      </c>
      <c r="B204" s="7">
        <v>4030</v>
      </c>
      <c r="C204" s="21" t="s">
        <v>206</v>
      </c>
      <c r="D204" s="21" t="s">
        <v>1005</v>
      </c>
      <c r="E204" s="13">
        <v>42865.927268518521</v>
      </c>
      <c r="F204" s="13">
        <v>42865.931493055556</v>
      </c>
      <c r="G204" s="7">
        <v>1</v>
      </c>
      <c r="H204" s="21" t="s">
        <v>1006</v>
      </c>
      <c r="I204" s="13">
        <v>42865.941828703704</v>
      </c>
      <c r="J204" s="7">
        <v>0</v>
      </c>
      <c r="K204" s="92" t="str">
        <f t="shared" si="66"/>
        <v>4029/4030</v>
      </c>
      <c r="L204" s="21" t="str">
        <f>VLOOKUP(A204,'Trips&amp;Operators'!$C$1:$G$99999,5,FALSE)</f>
        <v>CHANDLER KELVIN</v>
      </c>
      <c r="M204" s="6">
        <f t="shared" si="67"/>
        <v>1.0335648148611654E-2</v>
      </c>
      <c r="N204" s="7">
        <f t="shared" si="86"/>
        <v>14.883333334000781</v>
      </c>
      <c r="O204" s="7"/>
      <c r="P204" s="7"/>
      <c r="Q204" s="22"/>
      <c r="R204" s="190"/>
      <c r="S204" s="196">
        <f t="shared" si="87"/>
        <v>1</v>
      </c>
      <c r="T204" s="190" t="str">
        <f t="shared" si="68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69"/>
        <v>https://d0f6bd738d7f1b3e5a7ca70fe4ff75f0.us-east-1.aws.found.io/app/kibana#/discover/Steve-Slow-Train-Analysis-(2080s-and-2083s)?_g=(refreshInterval:(display:Off,pause:!f,section:0,value:0),time:(from:'2017-05-10T21:15:16-0600',mode:absolute,to:'2017-05-10T23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4" s="192" t="str">
        <f t="shared" si="70"/>
        <v>N</v>
      </c>
      <c r="X204" s="192">
        <f t="shared" si="85"/>
        <v>2</v>
      </c>
      <c r="Y204" s="192">
        <f t="shared" si="88"/>
        <v>9.6199999999999994E-2</v>
      </c>
      <c r="Z204" s="192">
        <f t="shared" si="89"/>
        <v>5.8979999999999997</v>
      </c>
      <c r="AA204" s="192">
        <f t="shared" si="71"/>
        <v>5.8018000000000001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72"/>
        <v>0847-10</v>
      </c>
      <c r="AE204" s="80" t="str">
        <f t="shared" si="73"/>
        <v>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 &amp; 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</v>
      </c>
      <c r="AF204" s="77" t="str">
        <f t="shared" si="74"/>
        <v>"C:\Program Files (x86)\AstroGrep\AstroGrep.exe" /e /r /s /spath="%USERPROFILE%\AppData\Local\Temp\OnboardLogs" /stypes="app*4030*20170511*" /stext=" 04:.+((SYSTEM_STATE.+slice.+state.+changed )|(ment ac)|(multiple cpu faults)|(system.+state.+changed )|(\[timeout)|(PRM\|1\|D)|(kpr)|(kdp)|(train st.+moving)|(\|lc)|(penalty))"</v>
      </c>
      <c r="AG204" s="1" t="str">
        <f t="shared" si="75"/>
        <v>NW</v>
      </c>
      <c r="AH204" s="81" t="str">
        <f t="shared" si="76"/>
        <v>"%USERPROFILE%\Documents\GitHub\eaglep3\Utilities\RefineRTDCRunTimes.py" --tripid 847-10 --locoid 4030 --swversion DE.1.0.9.0 --startMP 204:962 --initTime 2017-05-10T22:15:16 --startdatetime 2017-05-10T22:21:21 --delay 1 --endMP 300:58980 --enddatetime 2017-05-10T22:36:14 --enforcementcount 0 &gt;&gt;C:\Users\stu\Documents\GitHub\eaglep3-reporting\EC\2017-05-10-refined-times.txt</v>
      </c>
      <c r="AI204" s="99" t="str">
        <f t="shared" si="77"/>
        <v>echo {"issue":{"subject":"","project_id":79,"tracker_id":40,"status_id":1,"priority_id":2,"assigned_to_id":23,"start_date":"2017-05-10","description":"","custom_fields":[{"id":1,"name":"Subdivision","value":"NW"},{"id":4,"name":"Milepost","value":"5.898"},{"id":17,"name":"Train ID","value":"847-10"},{"id":16,"name":"Locomotive ID","value":"4030"},{"id":130,"name":"Impact","value":""},{"id":150,"name":"Time of Event (Mountain Time)","value":"22:36:14"},{"id":151,"name":"Denver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8"/>
        <v>start /low /b %USERPROFILE%\Documents\GitHub\eaglep3\Utilities\DownloadLogsFromS3.py --loco 4030 --day 2017-05-10</v>
      </c>
      <c r="AN204" s="154" t="str">
        <f t="shared" si="7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598</v>
      </c>
      <c r="B205" s="7">
        <v>4005</v>
      </c>
      <c r="C205" s="21" t="s">
        <v>206</v>
      </c>
      <c r="D205" s="21" t="s">
        <v>894</v>
      </c>
      <c r="E205" s="13">
        <v>42865.117407407408</v>
      </c>
      <c r="F205" s="13">
        <v>42865.121678240743</v>
      </c>
      <c r="G205" s="7">
        <v>5</v>
      </c>
      <c r="H205" s="21" t="s">
        <v>860</v>
      </c>
      <c r="I205" s="13">
        <v>42865.129178240742</v>
      </c>
      <c r="J205" s="7">
        <v>0</v>
      </c>
      <c r="K205" s="92" t="str">
        <f t="shared" ref="K205:K260" si="90">IF(ISEVEN(B205),(B205-1)&amp;"/"&amp;B205,B205&amp;"/"&amp;(B205+1))</f>
        <v>4005/4006</v>
      </c>
      <c r="L205" s="21" t="str">
        <f>VLOOKUP(A205,'Trips&amp;Operators'!$C$1:$G$99999,5,FALSE)</f>
        <v>BADERTSCHER DIANE</v>
      </c>
      <c r="M205" s="6">
        <f t="shared" ref="M205:M260" si="91">I205-F205</f>
        <v>7.4999999997089617E-3</v>
      </c>
      <c r="N205" s="7">
        <f t="shared" si="86"/>
        <v>10.799999999580905</v>
      </c>
      <c r="O205" s="7"/>
      <c r="P205" s="7"/>
      <c r="Q205" s="22"/>
      <c r="R205" s="190"/>
      <c r="S205" s="196">
        <f t="shared" si="87"/>
        <v>1</v>
      </c>
      <c r="T205" s="190" t="str">
        <f t="shared" ref="T205:T260" si="92"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0" si="9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-10T01:49:04-0600',mode:absolute,to:'2017-05-10T04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5" s="192" t="str">
        <f t="shared" ref="W205:W260" si="94">IF(AA205&lt;IF(AG205="EC",23,5.65),"Y","N")</f>
        <v>Y</v>
      </c>
      <c r="X205" s="192">
        <f t="shared" si="85"/>
        <v>-545</v>
      </c>
      <c r="Y205" s="192">
        <f t="shared" si="88"/>
        <v>2.3027000000000002</v>
      </c>
      <c r="Z205" s="192">
        <f t="shared" si="89"/>
        <v>1.21E-2</v>
      </c>
      <c r="AA205" s="192">
        <f t="shared" ref="AA205:AA268" si="95">ABS(Z205-Y205)</f>
        <v>2.2906000000000004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0" si="96">IF(LEN(A205)=6,"0"&amp;A205,A205)</f>
        <v>0302-10</v>
      </c>
      <c r="AE205" s="80" t="str">
        <f t="shared" ref="AE205:AE260" si="9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AF205" s="77" t="str">
        <f t="shared" ref="AF205:AF260" si="9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/stypes="app*4005*20170510*" /stext=" 09:.+((SYSTEM_STATE.+slice.+state.+changed )|(ment ac)|(multiple cpu faults)|(system.+state.+changed )|(\[timeout)|(PRM\|1\|D)|(kpr)|(kdp)|(train st.+moving)|(\|lc)|(penalty))"</v>
      </c>
      <c r="AG205" s="1" t="str">
        <f t="shared" ref="AG205:AG260" si="99">IFERROR(IF(VALUE(LEFT(AD205,2))&lt;=2,"EC",IF(OR(VALUE(LEFT(AD205,2))=8,VALUE(LEFT(AD205,2))=18),"NW","Other")),"Other")</f>
        <v>Other</v>
      </c>
      <c r="AH205" s="81" t="str">
        <f t="shared" ref="AH205:AH260" si="10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302-10 --locoid 4005 --swversion DE.1.0.9.0 --startMP 300:23027 --initTime 2017-05-10T02:49:04 --startdatetime 2017-05-10T02:55:13 --delay 5 --endMP 204:121 --enddatetime 2017-05-10T03:06:01 --enforcementcount 0 &gt;&gt;C:\Users\stu\Documents\GitHub\eaglep3-reporting\EC\2017-05-10-refined-times.txt</v>
      </c>
      <c r="AI205" s="99" t="str">
        <f t="shared" ref="AI205:AI260" si="10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{"issue":{"subject":"","project_id":79,"tracker_id":40,"status_id":1,"priority_id":2,"assigned_to_id":23,"start_date":"2017-05-10","description":"","custom_fields":[{"id":1,"name":"Subdivision","value":"Other"},{"id":4,"name":"Milepost","value":"0.0121"},{"id":17,"name":"Train ID","value":"302-10"},{"id":16,"name":"Locomotive ID","value":"4005"},{"id":130,"name":"Impact","value":""},{"id":150,"name":"Time of Event (Mountain Time)","value":"03:06:01"},{"id":151,"name":"Denver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60" si="102">"start /low /b "&amp;dls3logs&amp;" --loco "&amp;B205&amp;" --day "&amp;TEXT(F205,"YYYY-MM-DD")</f>
        <v>start /low /b %USERPROFILE%\Documents\GitHub\eaglep3\Utilities\DownloadLogsFromS3.py --loco 4005 --day 2017-05-10</v>
      </c>
      <c r="AN205" s="154" t="str">
        <f t="shared" ref="AN205:AN260" si="103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09:06:01"},{"id":29,"name":"Sharepoint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602</v>
      </c>
      <c r="B206" s="7">
        <v>4027</v>
      </c>
      <c r="C206" s="21" t="s">
        <v>206</v>
      </c>
      <c r="D206" s="21" t="s">
        <v>895</v>
      </c>
      <c r="E206" s="13">
        <v>42865.139953703707</v>
      </c>
      <c r="F206" s="13">
        <v>42865.143993055557</v>
      </c>
      <c r="G206" s="7">
        <v>5</v>
      </c>
      <c r="H206" s="21" t="s">
        <v>360</v>
      </c>
      <c r="I206" s="13">
        <v>42865.149687500001</v>
      </c>
      <c r="J206" s="7">
        <v>0</v>
      </c>
      <c r="K206" s="92" t="str">
        <f t="shared" si="90"/>
        <v>4027/4028</v>
      </c>
      <c r="L206" s="21" t="str">
        <f>VLOOKUP(A206,'Trips&amp;Operators'!$C$1:$G$99999,5,FALSE)</f>
        <v>MAELZER KURT</v>
      </c>
      <c r="M206" s="6">
        <f t="shared" si="91"/>
        <v>5.694444444088731E-3</v>
      </c>
      <c r="N206" s="7">
        <f t="shared" si="86"/>
        <v>8.1999999994877726</v>
      </c>
      <c r="O206" s="7"/>
      <c r="P206" s="7"/>
      <c r="Q206" s="22"/>
      <c r="R206" s="190"/>
      <c r="S206" s="196">
        <f t="shared" si="87"/>
        <v>1</v>
      </c>
      <c r="T206" s="190" t="str">
        <f t="shared" si="92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93"/>
        <v>https://d0f6bd738d7f1b3e5a7ca70fe4ff75f0.us-east-1.aws.found.io/app/kibana#/discover/Steve-Slow-Train-Analysis-(2080s-and-2083s)?_g=(refreshInterval:(display:Off,pause:!f,section:0,value:0),time:(from:'2017-05-10T02:21:32-0600',mode:absolute,to:'2017-05-10T04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6" s="192" t="str">
        <f t="shared" si="94"/>
        <v>Y</v>
      </c>
      <c r="X206" s="192">
        <f t="shared" si="85"/>
        <v>2</v>
      </c>
      <c r="Y206" s="192">
        <f t="shared" si="88"/>
        <v>2.33</v>
      </c>
      <c r="Z206" s="192">
        <f t="shared" si="89"/>
        <v>1.43E-2</v>
      </c>
      <c r="AA206" s="192">
        <f t="shared" si="95"/>
        <v>2.3157000000000001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6"/>
        <v>0304-10</v>
      </c>
      <c r="AE206" s="80" t="str">
        <f t="shared" si="97"/>
        <v>aws s3 cp s3://rtdc.mdm.uploadarchive.raw/RTDC4027/ "%USERPROFILE%\AppData\Local\Temp\OnboardLogs"\RTDC4027\2017-05-10 --exclude "*" --recursive --include "*20170510*" &amp; "%USERPROFILE%\Documents\GitHub\mrs-test-scripts\Headless Mode &amp; Sideloading\WalkAndUnGZ.bat" "%USERPROFILE%\AppData\Local\Temp\OnboardLogs"\RTDC4027\2017-05-10 &amp; 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</v>
      </c>
      <c r="AF206" s="77" t="str">
        <f t="shared" si="98"/>
        <v>"C:\Program Files (x86)\AstroGrep\AstroGrep.exe" /e /r /s /spath="%USERPROFILE%\AppData\Local\Temp\OnboardLogs" /stypes="app*4027*20170510*" /stext=" 09:.+((SYSTEM_STATE.+slice.+state.+changed )|(ment ac)|(multiple cpu faults)|(system.+state.+changed )|(\[timeout)|(PRM\|1\|D)|(kpr)|(kdp)|(train st.+moving)|(\|lc)|(penalty))"</v>
      </c>
      <c r="AG206" s="1" t="str">
        <f t="shared" si="99"/>
        <v>Other</v>
      </c>
      <c r="AH206" s="81" t="str">
        <f t="shared" si="100"/>
        <v>"%USERPROFILE%\Documents\GitHub\eaglep3\Utilities\RefineRTDCRunTimes.py" --tripid 304-10 --locoid 4027 --swversion DE.1.0.9.0 --startMP 300:23300 --initTime 2017-05-10T03:21:32 --startdatetime 2017-05-10T03:27:21 --delay 5 --endMP 204:143 --enddatetime 2017-05-10T03:35:33 --enforcementcount 0 &gt;&gt;C:\Users\stu\Documents\GitHub\eaglep3-reporting\EC\2017-05-10-refined-times.txt</v>
      </c>
      <c r="AI206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{"issue":{"subject":"","project_id":79,"tracker_id":40,"status_id":1,"priority_id":2,"assigned_to_id":23,"start_date":"2017-05-10","description":"","custom_fields":[{"id":1,"name":"Subdivision","value":"Other"},{"id":4,"name":"Milepost","value":"0.0143"},{"id":17,"name":"Train ID","value":"304-10"},{"id":16,"name":"Locomotive ID","value":"4027"},{"id":130,"name":"Impact","value":""},{"id":150,"name":"Time of Event (Mountain Time)","value":"03:35:33"},{"id":151,"name":"Denver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02"/>
        <v>start /low /b %USERPROFILE%\Documents\GitHub\eaglep3\Utilities\DownloadLogsFromS3.py --loco 4027 --day 2017-05-10</v>
      </c>
      <c r="AN206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09:35:33"},{"id":29,"name":"Sharepoint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774</v>
      </c>
      <c r="B207" s="7">
        <v>4006</v>
      </c>
      <c r="C207" s="21" t="s">
        <v>206</v>
      </c>
      <c r="D207" s="21" t="s">
        <v>352</v>
      </c>
      <c r="E207" s="13">
        <v>42865.79923611111</v>
      </c>
      <c r="F207" s="13">
        <v>42865.803611111114</v>
      </c>
      <c r="G207" s="7">
        <v>1</v>
      </c>
      <c r="H207" s="21" t="s">
        <v>541</v>
      </c>
      <c r="I207" s="13">
        <v>42865.816608796296</v>
      </c>
      <c r="J207" s="7">
        <v>0</v>
      </c>
      <c r="K207" s="92" t="str">
        <f t="shared" si="90"/>
        <v>4005/4006</v>
      </c>
      <c r="L207" s="21" t="str">
        <f>VLOOKUP(A207,'Trips&amp;Operators'!$C$1:$G$99999,5,FALSE)</f>
        <v>BIRENBAUM THOMAS</v>
      </c>
      <c r="M207" s="6">
        <f t="shared" si="91"/>
        <v>1.2997685182199348E-2</v>
      </c>
      <c r="N207" s="7">
        <f t="shared" si="86"/>
        <v>18.716666662367061</v>
      </c>
      <c r="O207" s="7"/>
      <c r="P207" s="7"/>
      <c r="Q207" s="22"/>
      <c r="R207" s="190"/>
      <c r="S207" s="196">
        <f t="shared" si="87"/>
        <v>1</v>
      </c>
      <c r="T207" s="190" t="str">
        <f t="shared" si="92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93"/>
        <v>https://d0f6bd738d7f1b3e5a7ca70fe4ff75f0.us-east-1.aws.found.io/app/kibana#/discover/Steve-Slow-Train-Analysis-(2080s-and-2083s)?_g=(refreshInterval:(display:Off,pause:!f,section:0,value:0),time:(from:'2017-05-10T18:10:54-0600',mode:absolute,to:'2017-05-10T20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7" s="192" t="str">
        <f t="shared" si="94"/>
        <v>Y</v>
      </c>
      <c r="X207" s="192">
        <f t="shared" ref="X207:X238" si="104">VALUE(LEFT(AD207,4))-VALUE(LEFT(AD206,4))</f>
        <v>1</v>
      </c>
      <c r="Y207" s="192">
        <f t="shared" si="88"/>
        <v>4.4600000000000001E-2</v>
      </c>
      <c r="Z207" s="192">
        <f t="shared" si="89"/>
        <v>2.3306</v>
      </c>
      <c r="AA207" s="192">
        <f t="shared" si="95"/>
        <v>2.286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6"/>
        <v>0305-10</v>
      </c>
      <c r="AE207" s="80" t="str">
        <f t="shared" si="97"/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AF207" s="77" t="str">
        <f t="shared" si="98"/>
        <v>"C:\Program Files (x86)\AstroGrep\AstroGrep.exe" /e /r /s /spath="%USERPROFILE%\AppData\Local\Temp\OnboardLogs" /stypes="app*4006*20170511*" /stext=" 01:.+((SYSTEM_STATE.+slice.+state.+changed )|(ment ac)|(multiple cpu faults)|(system.+state.+changed )|(\[timeout)|(PRM\|1\|D)|(kpr)|(kdp)|(train st.+moving)|(\|lc)|(penalty))"</v>
      </c>
      <c r="AG207" s="1" t="str">
        <f t="shared" si="99"/>
        <v>Other</v>
      </c>
      <c r="AH207" s="81" t="str">
        <f t="shared" si="100"/>
        <v>"%USERPROFILE%\Documents\GitHub\eaglep3\Utilities\RefineRTDCRunTimes.py" --tripid 305-10 --locoid 4006 --swversion DE.1.0.9.0 --startMP 204:446 --initTime 2017-05-10T19:10:54 --startdatetime 2017-05-10T19:17:12 --delay 1 --endMP 300:23306 --enddatetime 2017-05-10T19:35:55 --enforcementcount 0 &gt;&gt;C:\Users\stu\Documents\GitHub\eaglep3-reporting\EC\2017-05-10-refined-times.txt</v>
      </c>
      <c r="AI207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{"issue":{"subject":"","project_id":79,"tracker_id":40,"status_id":1,"priority_id":2,"assigned_to_id":23,"start_date":"2017-05-10","description":"","custom_fields":[{"id":1,"name":"Subdivision","value":"Other"},{"id":4,"name":"Milepost","value":"2.3306"},{"id":17,"name":"Train ID","value":"305-10"},{"id":16,"name":"Locomotive ID","value":"4006"},{"id":130,"name":"Impact","value":""},{"id":150,"name":"Time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02"/>
        <v>start /low /b %USERPROFILE%\Documents\GitHub\eaglep3\Utilities\DownloadLogsFromS3.py --loco 4006 --day 2017-05-10</v>
      </c>
      <c r="AN207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604</v>
      </c>
      <c r="B208" s="7">
        <v>4003</v>
      </c>
      <c r="C208" s="21" t="s">
        <v>206</v>
      </c>
      <c r="D208" s="21" t="s">
        <v>896</v>
      </c>
      <c r="E208" s="13">
        <v>42865.156747685185</v>
      </c>
      <c r="F208" s="13">
        <v>42865.162627314814</v>
      </c>
      <c r="G208" s="7">
        <v>8</v>
      </c>
      <c r="H208" s="21" t="s">
        <v>360</v>
      </c>
      <c r="I208" s="13">
        <v>42865.167893518519</v>
      </c>
      <c r="J208" s="7">
        <v>0</v>
      </c>
      <c r="K208" s="92" t="str">
        <f t="shared" si="90"/>
        <v>4003/4004</v>
      </c>
      <c r="L208" s="21" t="str">
        <f>VLOOKUP(A208,'Trips&amp;Operators'!$C$1:$G$99999,5,FALSE)</f>
        <v>GEBRETEKLE DAGNEW</v>
      </c>
      <c r="M208" s="6">
        <f t="shared" si="91"/>
        <v>5.2662037051049992E-3</v>
      </c>
      <c r="N208" s="7">
        <f t="shared" si="86"/>
        <v>7.5833333353511989</v>
      </c>
      <c r="O208" s="7"/>
      <c r="P208" s="7"/>
      <c r="Q208" s="22"/>
      <c r="R208" s="190"/>
      <c r="S208" s="196">
        <f t="shared" si="87"/>
        <v>1</v>
      </c>
      <c r="T208" s="190" t="str">
        <f t="shared" si="92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93"/>
        <v>https://d0f6bd738d7f1b3e5a7ca70fe4ff75f0.us-east-1.aws.found.io/app/kibana#/discover/Steve-Slow-Train-Analysis-(2080s-and-2083s)?_g=(refreshInterval:(display:Off,pause:!f,section:0,value:0),time:(from:'2017-05-10T02:45:43-0600',mode:absolute,to:'2017-05-10T05:01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8" s="192" t="str">
        <f t="shared" si="94"/>
        <v>Y</v>
      </c>
      <c r="X208" s="192">
        <f t="shared" si="104"/>
        <v>1</v>
      </c>
      <c r="Y208" s="192">
        <f t="shared" si="88"/>
        <v>2.3572000000000002</v>
      </c>
      <c r="Z208" s="192">
        <f t="shared" si="89"/>
        <v>1.43E-2</v>
      </c>
      <c r="AA208" s="192">
        <f t="shared" si="95"/>
        <v>2.3429000000000002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6"/>
        <v>0306-10</v>
      </c>
      <c r="AE208" s="80" t="str">
        <f t="shared" si="97"/>
        <v>aws s3 cp s3://rtdc.mdm.uploadarchive.raw/RTDC4003/ "%USERPROFILE%\AppData\Local\Temp\OnboardLogs"\RTDC4003\2017-05-10 --exclude "*" --recursive --include "*20170510*" &amp; "%USERPROFILE%\Documents\GitHub\mrs-test-scripts\Headless Mode &amp; Sideloading\WalkAndUnGZ.bat" "%USERPROFILE%\AppData\Local\Temp\OnboardLogs"\RTDC4003\2017-05-10 &amp; 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</v>
      </c>
      <c r="AF208" s="77" t="str">
        <f t="shared" si="98"/>
        <v>"C:\Program Files (x86)\AstroGrep\AstroGrep.exe" /e /r /s /spath="%USERPROFILE%\AppData\Local\Temp\OnboardLogs" /stypes="app*4003*20170510*" /stext=" 10:.+((SYSTEM_STATE.+slice.+state.+changed )|(ment ac)|(multiple cpu faults)|(system.+state.+changed )|(\[timeout)|(PRM\|1\|D)|(kpr)|(kdp)|(train st.+moving)|(\|lc)|(penalty))"</v>
      </c>
      <c r="AG208" s="1" t="str">
        <f t="shared" si="99"/>
        <v>Other</v>
      </c>
      <c r="AH208" s="81" t="str">
        <f t="shared" si="100"/>
        <v>"%USERPROFILE%\Documents\GitHub\eaglep3\Utilities\RefineRTDCRunTimes.py" --tripid 306-10 --locoid 4003 --swversion DE.1.0.9.0 --startMP 300:23572 --initTime 2017-05-10T03:45:43 --startdatetime 2017-05-10T03:54:11 --delay 8 --endMP 204:143 --enddatetime 2017-05-10T04:01:46 --enforcementcount 0 &gt;&gt;C:\Users\stu\Documents\GitHub\eaglep3-reporting\EC\2017-05-10-refined-times.txt</v>
      </c>
      <c r="AI208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{"issue":{"subject":"","project_id":79,"tracker_id":40,"status_id":1,"priority_id":2,"assigned_to_id":23,"start_date":"2017-05-10","description":"","custom_fields":[{"id":1,"name":"Subdivision","value":"Other"},{"id":4,"name":"Milepost","value":"0.0143"},{"id":17,"name":"Train ID","value":"306-10"},{"id":16,"name":"Locomotive ID","value":"4003"},{"id":130,"name":"Impact","value":""},{"id":150,"name":"Time of Event (Mountain Time)","value":"04:01:46"},{"id":151,"name":"Denver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2"/>
        <v>start /low /b %USERPROFILE%\Documents\GitHub\eaglep3\Utilities\DownloadLogsFromS3.py --loco 4003 --day 2017-05-10</v>
      </c>
      <c r="AN208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10:01:46"},{"id":29,"name":"Sharepoint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779</v>
      </c>
      <c r="B209" s="7">
        <v>4028</v>
      </c>
      <c r="C209" s="21" t="s">
        <v>206</v>
      </c>
      <c r="D209" s="21" t="s">
        <v>361</v>
      </c>
      <c r="E209" s="13">
        <v>42865.820671296293</v>
      </c>
      <c r="F209" s="13">
        <v>42865.822916666664</v>
      </c>
      <c r="G209" s="7">
        <v>1</v>
      </c>
      <c r="H209" s="21" t="s">
        <v>897</v>
      </c>
      <c r="I209" s="13">
        <v>42865.833541666667</v>
      </c>
      <c r="J209" s="7">
        <v>0</v>
      </c>
      <c r="K209" s="92" t="str">
        <f t="shared" si="90"/>
        <v>4027/4028</v>
      </c>
      <c r="L209" s="21" t="str">
        <f>VLOOKUP(A209,'Trips&amp;Operators'!$C$1:$G$99999,5,FALSE)</f>
        <v>THOMPSON LESTER</v>
      </c>
      <c r="M209" s="6">
        <f t="shared" si="91"/>
        <v>1.0625000002619345E-2</v>
      </c>
      <c r="N209" s="7">
        <f t="shared" si="86"/>
        <v>15.300000003771856</v>
      </c>
      <c r="O209" s="7"/>
      <c r="P209" s="7"/>
      <c r="Q209" s="22"/>
      <c r="R209" s="190"/>
      <c r="S209" s="196">
        <f t="shared" si="87"/>
        <v>1</v>
      </c>
      <c r="T209" s="190" t="str">
        <f t="shared" si="92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93"/>
        <v>https://d0f6bd738d7f1b3e5a7ca70fe4ff75f0.us-east-1.aws.found.io/app/kibana#/discover/Steve-Slow-Train-Analysis-(2080s-and-2083s)?_g=(refreshInterval:(display:Off,pause:!f,section:0,value:0),time:(from:'2017-05-10T18:41:46-0600',mode:absolute,to:'2017-05-10T21:00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9" s="192" t="str">
        <f t="shared" si="94"/>
        <v>Y</v>
      </c>
      <c r="X209" s="192">
        <f t="shared" si="104"/>
        <v>1</v>
      </c>
      <c r="Y209" s="192">
        <f t="shared" si="88"/>
        <v>4.6600000000000003E-2</v>
      </c>
      <c r="Z209" s="192">
        <f t="shared" si="89"/>
        <v>2.3304</v>
      </c>
      <c r="AA209" s="192">
        <f t="shared" si="95"/>
        <v>2.2837999999999998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6"/>
        <v>0307-10</v>
      </c>
      <c r="AE209" s="80" t="str">
        <f t="shared" si="97"/>
        <v>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 &amp; 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</v>
      </c>
      <c r="AF209" s="77" t="str">
        <f t="shared" si="98"/>
        <v>"C:\Program Files (x86)\AstroGrep\AstroGrep.exe" /e /r /s /spath="%USERPROFILE%\AppData\Local\Temp\OnboardLogs" /stypes="app*4028*20170511*" /stext=" 02:.+((SYSTEM_STATE.+slice.+state.+changed )|(ment ac)|(multiple cpu faults)|(system.+state.+changed )|(\[timeout)|(PRM\|1\|D)|(kpr)|(kdp)|(train st.+moving)|(\|lc)|(penalty))"</v>
      </c>
      <c r="AG209" s="1" t="str">
        <f t="shared" si="99"/>
        <v>Other</v>
      </c>
      <c r="AH209" s="81" t="str">
        <f t="shared" si="100"/>
        <v>"%USERPROFILE%\Documents\GitHub\eaglep3\Utilities\RefineRTDCRunTimes.py" --tripid 307-10 --locoid 4028 --swversion DE.1.0.9.0 --startMP 204:466 --initTime 2017-05-10T19:41:46 --startdatetime 2017-05-10T19:45:00 --delay 1 --endMP 300:23304 --enddatetime 2017-05-10T20:00:18 --enforcementcount 0 &gt;&gt;C:\Users\stu\Documents\GitHub\eaglep3-reporting\EC\2017-05-10-refined-times.txt</v>
      </c>
      <c r="AI209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{"issue":{"subject":"","project_id":79,"tracker_id":40,"status_id":1,"priority_id":2,"assigned_to_id":23,"start_date":"2017-05-10","description":"","custom_fields":[{"id":1,"name":"Subdivision","value":"Other"},{"id":4,"name":"Milepost","value":"2.3304"},{"id":17,"name":"Train ID","value":"307-10"},{"id":16,"name":"Locomotive ID","value":"4028"},{"id":130,"name":"Impact","value":""},{"id":150,"name":"Time of Event (Mountain Time)","value":"20:00:18"},{"id":151,"name":"Denver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2"/>
        <v>start /low /b %USERPROFILE%\Documents\GitHub\eaglep3\Utilities\DownloadLogsFromS3.py --loco 4028 --day 2017-05-10</v>
      </c>
      <c r="AN209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609</v>
      </c>
      <c r="B210" s="7">
        <v>4017</v>
      </c>
      <c r="C210" s="21" t="s">
        <v>206</v>
      </c>
      <c r="D210" s="21" t="s">
        <v>898</v>
      </c>
      <c r="E210" s="13">
        <v>42865.171354166669</v>
      </c>
      <c r="F210" s="13">
        <v>42865.175486111111</v>
      </c>
      <c r="G210" s="7">
        <v>5</v>
      </c>
      <c r="H210" s="21" t="s">
        <v>197</v>
      </c>
      <c r="I210" s="13">
        <v>42865.180879629632</v>
      </c>
      <c r="J210" s="7">
        <v>0</v>
      </c>
      <c r="K210" s="92" t="str">
        <f t="shared" si="90"/>
        <v>4017/4018</v>
      </c>
      <c r="L210" s="21" t="str">
        <f>VLOOKUP(A210,'Trips&amp;Operators'!$C$1:$G$99999,5,FALSE)</f>
        <v>BONDS REYNALDO</v>
      </c>
      <c r="M210" s="6">
        <f t="shared" si="91"/>
        <v>5.393518520577345E-3</v>
      </c>
      <c r="N210" s="7">
        <f t="shared" si="86"/>
        <v>7.7666666696313769</v>
      </c>
      <c r="O210" s="7"/>
      <c r="P210" s="7"/>
      <c r="Q210" s="22"/>
      <c r="R210" s="190"/>
      <c r="S210" s="196">
        <f t="shared" si="87"/>
        <v>1</v>
      </c>
      <c r="T210" s="190" t="str">
        <f t="shared" si="92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93"/>
        <v>https://d0f6bd738d7f1b3e5a7ca70fe4ff75f0.us-east-1.aws.found.io/app/kibana#/discover/Steve-Slow-Train-Analysis-(2080s-and-2083s)?_g=(refreshInterval:(display:Off,pause:!f,section:0,value:0),time:(from:'2017-05-10T03:06:45-0600',mode:absolute,to:'2017-05-10T05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92" t="str">
        <f t="shared" si="94"/>
        <v>Y</v>
      </c>
      <c r="X210" s="192">
        <f t="shared" si="104"/>
        <v>1</v>
      </c>
      <c r="Y210" s="192">
        <f t="shared" si="88"/>
        <v>2.2947000000000002</v>
      </c>
      <c r="Z210" s="192">
        <f t="shared" si="89"/>
        <v>1.52E-2</v>
      </c>
      <c r="AA210" s="192">
        <f t="shared" si="95"/>
        <v>2.2795000000000001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6"/>
        <v>0308-10</v>
      </c>
      <c r="AE210" s="80" t="str">
        <f t="shared" si="97"/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AF210" s="77" t="str">
        <f t="shared" si="98"/>
        <v>"C:\Program Files (x86)\AstroGrep\AstroGrep.exe" /e /r /s /spath="%USERPROFILE%\AppData\Local\Temp\OnboardLogs" /stypes="app*4017*20170510*" /stext=" 10:.+((SYSTEM_STATE.+slice.+state.+changed )|(ment ac)|(multiple cpu faults)|(system.+state.+changed )|(\[timeout)|(PRM\|1\|D)|(kpr)|(kdp)|(train st.+moving)|(\|lc)|(penalty))"</v>
      </c>
      <c r="AG210" s="1" t="str">
        <f t="shared" si="99"/>
        <v>Other</v>
      </c>
      <c r="AH210" s="81" t="str">
        <f t="shared" si="100"/>
        <v>"%USERPROFILE%\Documents\GitHub\eaglep3\Utilities\RefineRTDCRunTimes.py" --tripid 308-10 --locoid 4017 --swversion DE.1.0.9.0 --startMP 300:22947 --initTime 2017-05-10T04:06:45 --startdatetime 2017-05-10T04:12:42 --delay 5 --endMP 204:152 --enddatetime 2017-05-10T04:20:28 --enforcementcount 0 &gt;&gt;C:\Users\stu\Documents\GitHub\eaglep3-reporting\EC\2017-05-10-refined-times.txt</v>
      </c>
      <c r="AI210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{"issue":{"subject":"","project_id":79,"tracker_id":40,"status_id":1,"priority_id":2,"assigned_to_id":23,"start_date":"2017-05-10","description":"","custom_fields":[{"id":1,"name":"Subdivision","value":"Other"},{"id":4,"name":"Milepost","value":"0.0152"},{"id":17,"name":"Train ID","value":"308-10"},{"id":16,"name":"Locomotive ID","value":"4017"},{"id":130,"name":"Impact","value":""},{"id":150,"name":"Time of Event (Mountain Time)","value":"04:20:28"},{"id":151,"name":"Denver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2"/>
        <v>start /low /b %USERPROFILE%\Documents\GitHub\eaglep3\Utilities\DownloadLogsFromS3.py --loco 4017 --day 2017-05-10</v>
      </c>
      <c r="AN210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10:20:28"},{"id":29,"name":"Sharepoint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811</v>
      </c>
      <c r="B211" s="7">
        <v>4032</v>
      </c>
      <c r="C211" s="21" t="s">
        <v>206</v>
      </c>
      <c r="D211" s="21" t="s">
        <v>371</v>
      </c>
      <c r="E211" s="13">
        <v>42866.046863425923</v>
      </c>
      <c r="F211" s="13">
        <v>42866.052071759259</v>
      </c>
      <c r="G211" s="7">
        <v>1</v>
      </c>
      <c r="H211" s="21" t="s">
        <v>476</v>
      </c>
      <c r="I211" s="13">
        <v>42866.060694444444</v>
      </c>
      <c r="J211" s="7">
        <v>0</v>
      </c>
      <c r="K211" s="92" t="str">
        <f t="shared" si="90"/>
        <v>4031/4032</v>
      </c>
      <c r="L211" s="21" t="str">
        <f>VLOOKUP(A211,'Trips&amp;Operators'!$C$1:$G$99999,5,FALSE)</f>
        <v>ZEWDU DEREJE</v>
      </c>
      <c r="M211" s="6">
        <f t="shared" si="91"/>
        <v>8.6226851854007691E-3</v>
      </c>
      <c r="N211" s="7">
        <f t="shared" ref="N211:N242" si="105">24*60*SUM($M211:$M211)</f>
        <v>12.416666666977108</v>
      </c>
      <c r="O211" s="7"/>
      <c r="P211" s="7"/>
      <c r="Q211" s="22"/>
      <c r="R211" s="190"/>
      <c r="S211" s="196">
        <f t="shared" ref="S211:S242" si="106">SUM(U211:U211)/IF(AG211="EC",12,1)</f>
        <v>1</v>
      </c>
      <c r="T211" s="190" t="str">
        <f t="shared" si="92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93"/>
        <v>https://d0f6bd738d7f1b3e5a7ca70fe4ff75f0.us-east-1.aws.found.io/app/kibana#/discover/Steve-Slow-Train-Analysis-(2080s-and-2083s)?_g=(refreshInterval:(display:Off,pause:!f,section:0,value:0),time:(from:'2017-05-11T00:07:29-0600',mode:absolute,to:'2017-05-11T02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192" t="str">
        <f t="shared" si="94"/>
        <v>Y</v>
      </c>
      <c r="X211" s="192">
        <f t="shared" si="104"/>
        <v>1</v>
      </c>
      <c r="Y211" s="192">
        <f t="shared" si="88"/>
        <v>4.3999999999999997E-2</v>
      </c>
      <c r="Z211" s="192">
        <f t="shared" si="89"/>
        <v>2.331</v>
      </c>
      <c r="AA211" s="192">
        <f t="shared" si="95"/>
        <v>2.2869999999999999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6"/>
        <v>0309-10</v>
      </c>
      <c r="AE211" s="80" t="str">
        <f t="shared" si="97"/>
        <v>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 &amp; 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</v>
      </c>
      <c r="AF211" s="77" t="str">
        <f t="shared" si="98"/>
        <v>"C:\Program Files (x86)\AstroGrep\AstroGrep.exe" /e /r /s /spath="%USERPROFILE%\AppData\Local\Temp\OnboardLogs" /stypes="app*4032*20170511*" /stext=" 07:.+((SYSTEM_STATE.+slice.+state.+changed )|(ment ac)|(multiple cpu faults)|(system.+state.+changed )|(\[timeout)|(PRM\|1\|D)|(kpr)|(kdp)|(train st.+moving)|(\|lc)|(penalty))"</v>
      </c>
      <c r="AG211" s="1" t="str">
        <f t="shared" si="99"/>
        <v>Other</v>
      </c>
      <c r="AH211" s="81" t="str">
        <f t="shared" si="100"/>
        <v>"%USERPROFILE%\Documents\GitHub\eaglep3\Utilities\RefineRTDCRunTimes.py" --tripid 309-10 --locoid 4032 --swversion DE.1.0.9.0 --startMP 204:440 --initTime 2017-05-11T01:07:29 --startdatetime 2017-05-11T01:14:59 --delay 1 --endMP 300:23310 --enddatetime 2017-05-11T01:27:24 --enforcementcount 0 &gt;&gt;C:\Users\stu\Documents\GitHub\eaglep3-reporting\EC\2017-05-10-refined-times.txt</v>
      </c>
      <c r="AI211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{"issue":{"subject":"","project_id":79,"tracker_id":40,"status_id":1,"priority_id":2,"assigned_to_id":23,"start_date":"2017-05-11","description":"","custom_fields":[{"id":1,"name":"Subdivision","value":"Other"},{"id":4,"name":"Milepost","value":"2.331"},{"id":17,"name":"Train ID","value":"309-10"},{"id":16,"name":"Locomotive ID","value":"4032"},{"id":130,"name":"Impact","value":""},{"id":150,"name":"Time of Event (Mountain Time)","value":"01:27:24"},{"id":151,"name":"Denver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2"/>
        <v>start /low /b %USERPROFILE%\Documents\GitHub\eaglep3\Utilities\DownloadLogsFromS3.py --loco 4032 --day 2017-05-11</v>
      </c>
      <c r="AN211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07:27:24"},{"id":29,"name":"Sharepoint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811</v>
      </c>
      <c r="B212" s="7">
        <v>4032</v>
      </c>
      <c r="C212" s="21" t="s">
        <v>206</v>
      </c>
      <c r="D212" s="21" t="s">
        <v>465</v>
      </c>
      <c r="E212" s="13">
        <v>42866.049178240741</v>
      </c>
      <c r="F212" s="13">
        <v>42866.052071759259</v>
      </c>
      <c r="G212" s="7">
        <v>1</v>
      </c>
      <c r="H212" s="21" t="s">
        <v>476</v>
      </c>
      <c r="I212" s="13">
        <v>42866.060694444444</v>
      </c>
      <c r="J212" s="7">
        <v>0</v>
      </c>
      <c r="K212" s="92" t="str">
        <f t="shared" si="90"/>
        <v>4031/4032</v>
      </c>
      <c r="L212" s="21" t="str">
        <f>VLOOKUP(A212,'Trips&amp;Operators'!$C$1:$G$99999,5,FALSE)</f>
        <v>ZEWDU DEREJE</v>
      </c>
      <c r="M212" s="6">
        <f t="shared" si="91"/>
        <v>8.6226851854007691E-3</v>
      </c>
      <c r="N212" s="7">
        <f t="shared" si="105"/>
        <v>12.416666666977108</v>
      </c>
      <c r="O212" s="7"/>
      <c r="P212" s="7"/>
      <c r="Q212" s="22"/>
      <c r="R212" s="190"/>
      <c r="S212" s="196">
        <f t="shared" si="106"/>
        <v>1</v>
      </c>
      <c r="T212" s="190" t="str">
        <f t="shared" si="92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93"/>
        <v>https://d0f6bd738d7f1b3e5a7ca70fe4ff75f0.us-east-1.aws.found.io/app/kibana#/discover/Steve-Slow-Train-Analysis-(2080s-and-2083s)?_g=(refreshInterval:(display:Off,pause:!f,section:0,value:0),time:(from:'2017-05-11T00:10:49-0600',mode:absolute,to:'2017-05-11T02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2" s="192" t="str">
        <f t="shared" si="94"/>
        <v>Y</v>
      </c>
      <c r="X212" s="192">
        <f t="shared" si="104"/>
        <v>0</v>
      </c>
      <c r="Y212" s="192">
        <f t="shared" si="88"/>
        <v>4.6199999999999998E-2</v>
      </c>
      <c r="Z212" s="192">
        <f t="shared" si="89"/>
        <v>2.331</v>
      </c>
      <c r="AA212" s="192">
        <f t="shared" si="95"/>
        <v>2.2848000000000002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6"/>
        <v>0309-10</v>
      </c>
      <c r="AE212" s="80" t="str">
        <f t="shared" si="97"/>
        <v>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 &amp; 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</v>
      </c>
      <c r="AF212" s="77" t="str">
        <f t="shared" si="98"/>
        <v>"C:\Program Files (x86)\AstroGrep\AstroGrep.exe" /e /r /s /spath="%USERPROFILE%\AppData\Local\Temp\OnboardLogs" /stypes="app*4032*20170511*" /stext=" 07:.+((SYSTEM_STATE.+slice.+state.+changed )|(ment ac)|(multiple cpu faults)|(system.+state.+changed )|(\[timeout)|(PRM\|1\|D)|(kpr)|(kdp)|(train st.+moving)|(\|lc)|(penalty))"</v>
      </c>
      <c r="AG212" s="1" t="str">
        <f t="shared" si="99"/>
        <v>Other</v>
      </c>
      <c r="AH212" s="81" t="str">
        <f t="shared" si="100"/>
        <v>"%USERPROFILE%\Documents\GitHub\eaglep3\Utilities\RefineRTDCRunTimes.py" --tripid 309-10 --locoid 4032 --swversion DE.1.0.9.0 --startMP 204:462 --initTime 2017-05-11T01:10:49 --startdatetime 2017-05-11T01:14:59 --delay 1 --endMP 300:23310 --enddatetime 2017-05-11T01:27:24 --enforcementcount 0 &gt;&gt;C:\Users\stu\Documents\GitHub\eaglep3-reporting\EC\2017-05-10-refined-times.txt</v>
      </c>
      <c r="AI212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{"issue":{"subject":"","project_id":79,"tracker_id":40,"status_id":1,"priority_id":2,"assigned_to_id":23,"start_date":"2017-05-11","description":"","custom_fields":[{"id":1,"name":"Subdivision","value":"Other"},{"id":4,"name":"Milepost","value":"2.331"},{"id":17,"name":"Train ID","value":"309-10"},{"id":16,"name":"Locomotive ID","value":"4032"},{"id":130,"name":"Impact","value":""},{"id":150,"name":"Time of Event (Mountain Time)","value":"01:27:24"},{"id":151,"name":"Denver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02"/>
        <v>start /low /b %USERPROFILE%\Documents\GitHub\eaglep3\Utilities\DownloadLogsFromS3.py --loco 4032 --day 2017-05-11</v>
      </c>
      <c r="AN212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07:27:24"},{"id":29,"name":"Sharepoint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610</v>
      </c>
      <c r="B213" s="7">
        <v>4007</v>
      </c>
      <c r="C213" s="21" t="s">
        <v>206</v>
      </c>
      <c r="D213" s="21" t="s">
        <v>899</v>
      </c>
      <c r="E213" s="13">
        <v>42865.181562500002</v>
      </c>
      <c r="F213" s="13">
        <v>42865.187164351853</v>
      </c>
      <c r="G213" s="7">
        <v>7</v>
      </c>
      <c r="H213" s="21" t="s">
        <v>368</v>
      </c>
      <c r="I213" s="13">
        <v>42865.191435185188</v>
      </c>
      <c r="J213" s="7">
        <v>0</v>
      </c>
      <c r="K213" s="92" t="str">
        <f t="shared" si="90"/>
        <v>4007/4008</v>
      </c>
      <c r="L213" s="21" t="str">
        <f>VLOOKUP(A213,'Trips&amp;Operators'!$C$1:$G$99999,5,FALSE)</f>
        <v>SANTIZO D. EDY</v>
      </c>
      <c r="M213" s="6">
        <f t="shared" si="91"/>
        <v>4.2708333348855376E-3</v>
      </c>
      <c r="N213" s="7">
        <f t="shared" si="105"/>
        <v>6.1500000022351742</v>
      </c>
      <c r="O213" s="7"/>
      <c r="P213" s="7"/>
      <c r="Q213" s="22"/>
      <c r="R213" s="190"/>
      <c r="S213" s="196">
        <f t="shared" si="106"/>
        <v>1</v>
      </c>
      <c r="T213" s="190" t="str">
        <f t="shared" si="92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93"/>
        <v>https://d0f6bd738d7f1b3e5a7ca70fe4ff75f0.us-east-1.aws.found.io/app/kibana#/discover/Steve-Slow-Train-Analysis-(2080s-and-2083s)?_g=(refreshInterval:(display:Off,pause:!f,section:0,value:0),time:(from:'2017-05-10T03:21:27-0600',mode:absolute,to:'2017-05-10T05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92" t="str">
        <f t="shared" si="94"/>
        <v>Y</v>
      </c>
      <c r="X213" s="192">
        <f t="shared" si="104"/>
        <v>1</v>
      </c>
      <c r="Y213" s="192">
        <f t="shared" si="88"/>
        <v>1.9536</v>
      </c>
      <c r="Z213" s="192">
        <f t="shared" si="89"/>
        <v>1.5599999999999999E-2</v>
      </c>
      <c r="AA213" s="192">
        <f t="shared" si="95"/>
        <v>1.9379999999999999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6"/>
        <v>0310-10</v>
      </c>
      <c r="AE213" s="80" t="str">
        <f t="shared" si="97"/>
        <v>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 &amp; 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</v>
      </c>
      <c r="AF213" s="77" t="str">
        <f t="shared" si="98"/>
        <v>"C:\Program Files (x86)\AstroGrep\AstroGrep.exe" /e /r /s /spath="%USERPROFILE%\AppData\Local\Temp\OnboardLogs" /stypes="app*4007*20170510*" /stext=" 10:.+((SYSTEM_STATE.+slice.+state.+changed )|(ment ac)|(multiple cpu faults)|(system.+state.+changed )|(\[timeout)|(PRM\|1\|D)|(kpr)|(kdp)|(train st.+moving)|(\|lc)|(penalty))"</v>
      </c>
      <c r="AG213" s="1" t="str">
        <f t="shared" si="99"/>
        <v>Other</v>
      </c>
      <c r="AH213" s="81" t="str">
        <f t="shared" si="100"/>
        <v>"%USERPROFILE%\Documents\GitHub\eaglep3\Utilities\RefineRTDCRunTimes.py" --tripid 310-10 --locoid 4007 --swversion DE.1.0.9.0 --startMP 300:19536 --initTime 2017-05-10T04:21:27 --startdatetime 2017-05-10T04:29:31 --delay 7 --endMP 204:156 --enddatetime 2017-05-10T04:35:40 --enforcementcount 0 &gt;&gt;C:\Users\stu\Documents\GitHub\eaglep3-reporting\EC\2017-05-10-refined-times.txt</v>
      </c>
      <c r="AI213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{"issue":{"subject":"","project_id":79,"tracker_id":40,"status_id":1,"priority_id":2,"assigned_to_id":23,"start_date":"2017-05-10","description":"","custom_fields":[{"id":1,"name":"Subdivision","value":"Other"},{"id":4,"name":"Milepost","value":"0.0156"},{"id":17,"name":"Train ID","value":"310-10"},{"id":16,"name":"Locomotive ID","value":"4007"},{"id":130,"name":"Impact","value":""},{"id":150,"name":"Time of Event (Mountain Time)","value":"04:35:40"},{"id":151,"name":"Denver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02"/>
        <v>start /low /b %USERPROFILE%\Documents\GitHub\eaglep3\Utilities\DownloadLogsFromS3.py --loco 4007 --day 2017-05-10</v>
      </c>
      <c r="AN213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813</v>
      </c>
      <c r="B214" s="7">
        <v>4012</v>
      </c>
      <c r="C214" s="21" t="s">
        <v>206</v>
      </c>
      <c r="D214" s="21" t="s">
        <v>513</v>
      </c>
      <c r="E214" s="13">
        <v>42866.068009259259</v>
      </c>
      <c r="F214" s="13">
        <v>42866.070752314816</v>
      </c>
      <c r="G214" s="7">
        <v>3</v>
      </c>
      <c r="H214" s="21" t="s">
        <v>364</v>
      </c>
      <c r="I214" s="13">
        <v>42866.079965277779</v>
      </c>
      <c r="J214" s="7">
        <v>0</v>
      </c>
      <c r="K214" s="92" t="str">
        <f t="shared" si="90"/>
        <v>4011/4012</v>
      </c>
      <c r="L214" s="21" t="str">
        <f>VLOOKUP(A214,'Trips&amp;Operators'!$C$1:$G$99999,5,FALSE)</f>
        <v>BROWN JACOB</v>
      </c>
      <c r="M214" s="6">
        <f t="shared" si="91"/>
        <v>9.2129629629198462E-3</v>
      </c>
      <c r="N214" s="7">
        <f t="shared" si="105"/>
        <v>13.266666666604578</v>
      </c>
      <c r="O214" s="7"/>
      <c r="P214" s="7"/>
      <c r="Q214" s="22"/>
      <c r="R214" s="190"/>
      <c r="S214" s="196">
        <f t="shared" si="106"/>
        <v>1</v>
      </c>
      <c r="T214" s="190" t="str">
        <f t="shared" si="92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93"/>
        <v>https://d0f6bd738d7f1b3e5a7ca70fe4ff75f0.us-east-1.aws.found.io/app/kibana#/discover/Steve-Slow-Train-Analysis-(2080s-and-2083s)?_g=(refreshInterval:(display:Off,pause:!f,section:0,value:0),time:(from:'2017-05-11T00:37:56-0600',mode:absolute,to:'2017-05-11T02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92" t="str">
        <f t="shared" si="94"/>
        <v>Y</v>
      </c>
      <c r="X214" s="192">
        <f t="shared" si="104"/>
        <v>1</v>
      </c>
      <c r="Y214" s="192">
        <f t="shared" si="88"/>
        <v>4.3799999999999999E-2</v>
      </c>
      <c r="Z214" s="192">
        <f t="shared" si="89"/>
        <v>2.3346</v>
      </c>
      <c r="AA214" s="192">
        <f t="shared" si="95"/>
        <v>2.2907999999999999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6"/>
        <v>0311-10</v>
      </c>
      <c r="AE214" s="80" t="str">
        <f t="shared" si="97"/>
        <v>aws s3 cp s3://rtdc.mdm.uploadarchive.raw/RTDC4012/ "%USERPROFILE%\AppData\Local\Temp\OnboardLogs"\RTDC4012\2017-05-11 --exclude "*" --recursive --include "*20170511*" &amp; "%USERPROFILE%\Documents\GitHub\mrs-test-scripts\Headless Mode &amp; Sideloading\WalkAndUnGZ.bat" "%USERPROFILE%\AppData\Local\Temp\OnboardLogs"\RTDC4012\2017-05-11 &amp; 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</v>
      </c>
      <c r="AF214" s="77" t="str">
        <f t="shared" si="98"/>
        <v>"C:\Program Files (x86)\AstroGrep\AstroGrep.exe" /e /r /s /spath="%USERPROFILE%\AppData\Local\Temp\OnboardLogs" /stypes="app*4012*20170511*" /stext=" 07:.+((SYSTEM_STATE.+slice.+state.+changed )|(ment ac)|(multiple cpu faults)|(system.+state.+changed )|(\[timeout)|(PRM\|1\|D)|(kpr)|(kdp)|(train st.+moving)|(\|lc)|(penalty))"</v>
      </c>
      <c r="AG214" s="1" t="str">
        <f t="shared" si="99"/>
        <v>Other</v>
      </c>
      <c r="AH214" s="81" t="str">
        <f t="shared" si="100"/>
        <v>"%USERPROFILE%\Documents\GitHub\eaglep3\Utilities\RefineRTDCRunTimes.py" --tripid 311-10 --locoid 4012 --swversion DE.1.0.9.0 --startMP 204:438 --initTime 2017-05-11T01:37:56 --startdatetime 2017-05-11T01:41:53 --delay 3 --endMP 300:23346 --enddatetime 2017-05-11T01:55:09 --enforcementcount 0 &gt;&gt;C:\Users\stu\Documents\GitHub\eaglep3-reporting\EC\2017-05-10-refined-times.txt</v>
      </c>
      <c r="AI214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{"issue":{"subject":"","project_id":79,"tracker_id":40,"status_id":1,"priority_id":2,"assigned_to_id":23,"start_date":"2017-05-11","description":"","custom_fields":[{"id":1,"name":"Subdivision","value":"Other"},{"id":4,"name":"Milepost","value":"2.3346"},{"id":17,"name":"Train ID","value":"311-10"},{"id":16,"name":"Locomotive ID","value":"4012"},{"id":130,"name":"Impact","value":""},{"id":150,"name":"Time of Event (Mountain Time)","value":"01:55:09"},{"id":151,"name":"Denver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2"/>
        <v>start /low /b %USERPROFILE%\Documents\GitHub\eaglep3\Utilities\DownloadLogsFromS3.py --loco 4012 --day 2017-05-11</v>
      </c>
      <c r="AN214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507</v>
      </c>
      <c r="B215" s="7">
        <v>4020</v>
      </c>
      <c r="C215" s="21" t="s">
        <v>206</v>
      </c>
      <c r="D215" s="21" t="s">
        <v>202</v>
      </c>
      <c r="E215" s="13">
        <v>42865.087592592594</v>
      </c>
      <c r="F215" s="13">
        <v>42865.088842592595</v>
      </c>
      <c r="G215" s="7">
        <v>1</v>
      </c>
      <c r="H215" s="21" t="s">
        <v>364</v>
      </c>
      <c r="I215" s="13">
        <v>42865.099710648145</v>
      </c>
      <c r="J215" s="7">
        <v>0</v>
      </c>
      <c r="K215" s="92" t="str">
        <f t="shared" si="90"/>
        <v>4019/4020</v>
      </c>
      <c r="L215" s="21" t="str">
        <f>VLOOKUP(A215,'Trips&amp;Operators'!$C$1:$G$99999,5,FALSE)</f>
        <v>BIRENBAUM THOMAS</v>
      </c>
      <c r="M215" s="6">
        <f t="shared" si="91"/>
        <v>1.0868055549508426E-2</v>
      </c>
      <c r="N215" s="7">
        <f t="shared" si="105"/>
        <v>15.649999991292134</v>
      </c>
      <c r="O215" s="7"/>
      <c r="P215" s="7"/>
      <c r="Q215" s="22"/>
      <c r="R215" s="190"/>
      <c r="S215" s="196">
        <f t="shared" si="106"/>
        <v>1</v>
      </c>
      <c r="T215" s="190" t="str">
        <f t="shared" si="92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93"/>
        <v>https://d0f6bd738d7f1b3e5a7ca70fe4ff75f0.us-east-1.aws.found.io/app/kibana#/discover/Steve-Slow-Train-Analysis-(2080s-and-2083s)?_g=(refreshInterval:(display:Off,pause:!f,section:0,value:0),time:(from:'2017-05-10T01:06:08-0600',mode:absolute,to:'2017-05-10T03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92" t="str">
        <f t="shared" si="94"/>
        <v>Y</v>
      </c>
      <c r="X215" s="192">
        <f t="shared" si="104"/>
        <v>2</v>
      </c>
      <c r="Y215" s="192">
        <f t="shared" si="88"/>
        <v>4.5699999999999998E-2</v>
      </c>
      <c r="Z215" s="192">
        <f t="shared" si="89"/>
        <v>2.3346</v>
      </c>
      <c r="AA215" s="192">
        <f t="shared" si="95"/>
        <v>2.2888999999999999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6"/>
        <v>0313-09</v>
      </c>
      <c r="AE215" s="80" t="str">
        <f t="shared" si="97"/>
        <v>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 &amp; aws s3 cp s3://rtdc.mdm.uploadarchive.raw/RTDC4020/ "%USERPROFILE%\AppData\Local\Temp\OnboardLogs"\RTDC4020\2017-05-11 --exclude "*" --recursive --include "*20170511*" &amp; "%USERPROFILE%\Documents\GitHub\mrs-test-scripts\Headless Mode &amp; Sideloading\WalkAndUnGZ.bat" "%USERPROFILE%\AppData\Local\Temp\OnboardLogs"\RTDC4020\2017-05-11</v>
      </c>
      <c r="AF215" s="77" t="str">
        <f t="shared" si="98"/>
        <v>"C:\Program Files (x86)\AstroGrep\AstroGrep.exe" /e /r /s /spath="%USERPROFILE%\AppData\Local\Temp\OnboardLogs" /stypes="app*4020*20170510*" /stext=" 08:.+((SYSTEM_STATE.+slice.+state.+changed )|(ment ac)|(multiple cpu faults)|(system.+state.+changed )|(\[timeout)|(PRM\|1\|D)|(kpr)|(kdp)|(train st.+moving)|(\|lc)|(penalty))"</v>
      </c>
      <c r="AG215" s="1" t="str">
        <f t="shared" si="99"/>
        <v>Other</v>
      </c>
      <c r="AH215" s="81" t="str">
        <f t="shared" si="100"/>
        <v>"%USERPROFILE%\Documents\GitHub\eaglep3\Utilities\RefineRTDCRunTimes.py" --tripid 313-09 --locoid 4020 --swversion DE.1.0.9.0 --startMP 204:457 --initTime 2017-05-10T02:06:08 --startdatetime 2017-05-10T02:07:56 --delay 1 --endMP 300:23346 --enddatetime 2017-05-10T02:23:35 --enforcementcount 0 &gt;&gt;C:\Users\stu\Documents\GitHub\eaglep3-reporting\EC\2017-05-10-refined-times.txt</v>
      </c>
      <c r="AI215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{"issue":{"subject":"","project_id":79,"tracker_id":40,"status_id":1,"priority_id":2,"assigned_to_id":23,"start_date":"2017-05-10","description":"","custom_fields":[{"id":1,"name":"Subdivision","value":"Other"},{"id":4,"name":"Milepost","value":"2.3346"},{"id":17,"name":"Train ID","value":"313-09"},{"id":16,"name":"Locomotive ID","value":"4020"},{"id":130,"name":"Impact","value":""},{"id":150,"name":"Time of Event (Mountain Time)","value":"02:23:35"},{"id":151,"name":"Denver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2"/>
        <v>start /low /b %USERPROFILE%\Documents\GitHub\eaglep3\Utilities\DownloadLogsFromS3.py --loco 4020 --day 2017-05-10</v>
      </c>
      <c r="AN215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08:23:35"},{"id":29,"name":"Sharepoint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815</v>
      </c>
      <c r="B216" s="7">
        <v>4018</v>
      </c>
      <c r="C216" s="21" t="s">
        <v>206</v>
      </c>
      <c r="D216" s="21" t="s">
        <v>203</v>
      </c>
      <c r="E216" s="13">
        <v>42866.089398148149</v>
      </c>
      <c r="F216" s="13">
        <v>42866.090879629628</v>
      </c>
      <c r="G216" s="7">
        <v>1</v>
      </c>
      <c r="H216" s="21" t="s">
        <v>900</v>
      </c>
      <c r="I216" s="13">
        <v>42866.09820601852</v>
      </c>
      <c r="J216" s="7">
        <v>0</v>
      </c>
      <c r="K216" s="92" t="str">
        <f t="shared" si="90"/>
        <v>4017/4018</v>
      </c>
      <c r="L216" s="21" t="str">
        <f>VLOOKUP(A216,'Trips&amp;Operators'!$C$1:$G$99999,5,FALSE)</f>
        <v>NEWELL JAMES</v>
      </c>
      <c r="M216" s="6">
        <f t="shared" si="91"/>
        <v>7.3263888916699216E-3</v>
      </c>
      <c r="N216" s="7">
        <f t="shared" si="105"/>
        <v>10.550000004004687</v>
      </c>
      <c r="O216" s="7"/>
      <c r="P216" s="7"/>
      <c r="Q216" s="22"/>
      <c r="R216" s="190"/>
      <c r="S216" s="196">
        <f t="shared" si="106"/>
        <v>1</v>
      </c>
      <c r="T216" s="190" t="str">
        <f t="shared" si="92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93"/>
        <v>https://d0f6bd738d7f1b3e5a7ca70fe4ff75f0.us-east-1.aws.found.io/app/kibana#/discover/Steve-Slow-Train-Analysis-(2080s-and-2083s)?_g=(refreshInterval:(display:Off,pause:!f,section:0,value:0),time:(from:'2017-05-11T01:08:44-0600',mode:absolute,to:'2017-05-11T03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92" t="str">
        <f t="shared" si="94"/>
        <v>Y</v>
      </c>
      <c r="X216" s="192">
        <f t="shared" si="104"/>
        <v>0</v>
      </c>
      <c r="Y216" s="192">
        <f t="shared" si="88"/>
        <v>4.5999999999999999E-2</v>
      </c>
      <c r="Z216" s="192">
        <f t="shared" si="89"/>
        <v>2.3308</v>
      </c>
      <c r="AA216" s="192">
        <f t="shared" si="95"/>
        <v>2.2848000000000002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6"/>
        <v>0313-10</v>
      </c>
      <c r="AE216" s="80" t="str">
        <f t="shared" si="97"/>
        <v>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 &amp; aws s3 cp s3://rtdc.mdm.uploadarchive.raw/RTDC4018/ "%USERPROFILE%\AppData\Local\Temp\OnboardLogs"\RTDC4018\2017-05-12 --exclude "*" --recursive --include "*20170512*" &amp; "%USERPROFILE%\Documents\GitHub\mrs-test-scripts\Headless Mode &amp; Sideloading\WalkAndUnGZ.bat" "%USERPROFILE%\AppData\Local\Temp\OnboardLogs"\RTDC4018\2017-05-12</v>
      </c>
      <c r="AF216" s="77" t="str">
        <f t="shared" si="98"/>
        <v>"C:\Program Files (x86)\AstroGrep\AstroGrep.exe" /e /r /s /spath="%USERPROFILE%\AppData\Local\Temp\OnboardLogs" /stypes="app*4018*20170511*" /stext=" 08:.+((SYSTEM_STATE.+slice.+state.+changed )|(ment ac)|(multiple cpu faults)|(system.+state.+changed )|(\[timeout)|(PRM\|1\|D)|(kpr)|(kdp)|(train st.+moving)|(\|lc)|(penalty))"</v>
      </c>
      <c r="AG216" s="1" t="str">
        <f t="shared" si="99"/>
        <v>Other</v>
      </c>
      <c r="AH216" s="81" t="str">
        <f t="shared" si="100"/>
        <v>"%USERPROFILE%\Documents\GitHub\eaglep3\Utilities\RefineRTDCRunTimes.py" --tripid 313-10 --locoid 4018 --swversion DE.1.0.9.0 --startMP 204:460 --initTime 2017-05-11T02:08:44 --startdatetime 2017-05-11T02:10:52 --delay 1 --endMP 300:23308 --enddatetime 2017-05-11T02:21:25 --enforcementcount 0 &gt;&gt;C:\Users\stu\Documents\GitHub\eaglep3-reporting\EC\2017-05-10-refined-times.txt</v>
      </c>
      <c r="AI216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{"issue":{"subject":"","project_id":79,"tracker_id":40,"status_id":1,"priority_id":2,"assigned_to_id":23,"start_date":"2017-05-11","description":"","custom_fields":[{"id":1,"name":"Subdivision","value":"Other"},{"id":4,"name":"Milepost","value":"2.3308"},{"id":17,"name":"Train ID","value":"313-10"},{"id":16,"name":"Locomotive ID","value":"4018"},{"id":130,"name":"Impact","value":""},{"id":150,"name":"Time of Event (Mountain Time)","value":"02:21:25"},{"id":151,"name":"Denver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2"/>
        <v>start /low /b %USERPROFILE%\Documents\GitHub\eaglep3\Utilities\DownloadLogsFromS3.py --loco 4018 --day 2017-05-11</v>
      </c>
      <c r="AN216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08:21:25"},{"id":29,"name":"Sharepoint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809</v>
      </c>
      <c r="B217" s="7">
        <v>4040</v>
      </c>
      <c r="C217" s="21" t="s">
        <v>206</v>
      </c>
      <c r="D217" s="21" t="s">
        <v>367</v>
      </c>
      <c r="E217" s="13">
        <v>42866.030752314815</v>
      </c>
      <c r="F217" s="13">
        <v>42866.034537037034</v>
      </c>
      <c r="G217" s="7">
        <v>1</v>
      </c>
      <c r="H217" s="21" t="s">
        <v>364</v>
      </c>
      <c r="I217" s="13">
        <v>42866.041979166665</v>
      </c>
      <c r="J217" s="7">
        <v>0</v>
      </c>
      <c r="K217" s="92" t="str">
        <f t="shared" si="90"/>
        <v>4039/4040</v>
      </c>
      <c r="L217" s="21" t="str">
        <f>VLOOKUP(A217,'Trips&amp;Operators'!$C$1:$G$99999,5,FALSE)</f>
        <v>SWANSON BRYCE</v>
      </c>
      <c r="M217" s="6">
        <f t="shared" si="91"/>
        <v>7.442129630362615E-3</v>
      </c>
      <c r="N217" s="7">
        <f t="shared" si="105"/>
        <v>10.716666667722166</v>
      </c>
      <c r="O217" s="7"/>
      <c r="P217" s="7"/>
      <c r="Q217" s="22"/>
      <c r="R217" s="190"/>
      <c r="S217" s="196">
        <f t="shared" si="106"/>
        <v>1</v>
      </c>
      <c r="T217" s="190" t="str">
        <f t="shared" si="92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93"/>
        <v>https://d0f6bd738d7f1b3e5a7ca70fe4ff75f0.us-east-1.aws.found.io/app/kibana#/discover/Steve-Slow-Train-Analysis-(2080s-and-2083s)?_g=(refreshInterval:(display:Off,pause:!f,section:0,value:0),time:(from:'2017-05-10T23:44:17-0600',mode:absolute,to:'2017-05-11T02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192" t="str">
        <f t="shared" si="94"/>
        <v>Y</v>
      </c>
      <c r="X217" s="192">
        <f t="shared" si="104"/>
        <v>2</v>
      </c>
      <c r="Y217" s="192">
        <f t="shared" si="88"/>
        <v>4.6399999999999997E-2</v>
      </c>
      <c r="Z217" s="192">
        <f t="shared" si="89"/>
        <v>2.3346</v>
      </c>
      <c r="AA217" s="192">
        <f t="shared" si="95"/>
        <v>2.2881999999999998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6"/>
        <v>0315-10</v>
      </c>
      <c r="AE217" s="80" t="str">
        <f t="shared" si="97"/>
        <v>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 &amp; aws s3 cp s3://rtdc.mdm.uploadarchive.raw/RTDC4040/ "%USERPROFILE%\AppData\Local\Temp\OnboardLogs"\RTDC4040\2017-05-12 --exclude "*" --recursive --include "*20170512*" &amp; "%USERPROFILE%\Documents\GitHub\mrs-test-scripts\Headless Mode &amp; Sideloading\WalkAndUnGZ.bat" "%USERPROFILE%\AppData\Local\Temp\OnboardLogs"\RTDC4040\2017-05-12</v>
      </c>
      <c r="AF217" s="77" t="str">
        <f t="shared" si="98"/>
        <v>"C:\Program Files (x86)\AstroGrep\AstroGrep.exe" /e /r /s /spath="%USERPROFILE%\AppData\Local\Temp\OnboardLogs" /stypes="app*4040*20170511*" /stext=" 07:.+((SYSTEM_STATE.+slice.+state.+changed )|(ment ac)|(multiple cpu faults)|(system.+state.+changed )|(\[timeout)|(PRM\|1\|D)|(kpr)|(kdp)|(train st.+moving)|(\|lc)|(penalty))"</v>
      </c>
      <c r="AG217" s="1" t="str">
        <f t="shared" si="99"/>
        <v>Other</v>
      </c>
      <c r="AH217" s="81" t="str">
        <f t="shared" si="100"/>
        <v>"%USERPROFILE%\Documents\GitHub\eaglep3\Utilities\RefineRTDCRunTimes.py" --tripid 315-10 --locoid 4040 --swversion DE.1.0.9.0 --startMP 204:464 --initTime 2017-05-11T00:44:17 --startdatetime 2017-05-11T00:49:44 --delay 1 --endMP 300:23346 --enddatetime 2017-05-11T01:00:27 --enforcementcount 0 &gt;&gt;C:\Users\stu\Documents\GitHub\eaglep3-reporting\EC\2017-05-10-refined-times.txt</v>
      </c>
      <c r="AI217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{"issue":{"subject":"","project_id":79,"tracker_id":40,"status_id":1,"priority_id":2,"assigned_to_id":23,"start_date":"2017-05-11","description":"","custom_fields":[{"id":1,"name":"Subdivision","value":"Other"},{"id":4,"name":"Milepost","value":"2.3346"},{"id":17,"name":"Train ID","value":"315-10"},{"id":16,"name":"Locomotive ID","value":"4040"},{"id":130,"name":"Impact","value":""},{"id":150,"name":"Time of Event (Mountain Time)","value":"01:00:27"},{"id":151,"name":"Denver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2"/>
        <v>start /low /b %USERPROFILE%\Documents\GitHub\eaglep3\Utilities\DownloadLogsFromS3.py --loco 4040 --day 2017-05-11</v>
      </c>
      <c r="AN217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07:00:27"},{"id":29,"name":"Sharepoint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614</v>
      </c>
      <c r="B218" s="7">
        <v>4026</v>
      </c>
      <c r="C218" s="21" t="s">
        <v>206</v>
      </c>
      <c r="D218" s="21" t="s">
        <v>1008</v>
      </c>
      <c r="E218" s="13">
        <v>42865.200381944444</v>
      </c>
      <c r="F218" s="13">
        <v>42865.20753472222</v>
      </c>
      <c r="G218" s="7">
        <v>10</v>
      </c>
      <c r="H218" s="21" t="s">
        <v>1009</v>
      </c>
      <c r="I218" s="13">
        <v>42865.212743055556</v>
      </c>
      <c r="J218" s="7">
        <v>0</v>
      </c>
      <c r="K218" s="92" t="str">
        <f t="shared" si="90"/>
        <v>4025/4026</v>
      </c>
      <c r="L218" s="21" t="str">
        <f>VLOOKUP(A218,'Trips&amp;Operators'!$C$1:$G$99999,5,FALSE)</f>
        <v>YORK EDGAR</v>
      </c>
      <c r="M218" s="6">
        <f t="shared" si="91"/>
        <v>5.2083333357586525E-3</v>
      </c>
      <c r="N218" s="7">
        <f t="shared" si="105"/>
        <v>7.5000000034924597</v>
      </c>
      <c r="O218" s="7"/>
      <c r="P218" s="7"/>
      <c r="Q218" s="22"/>
      <c r="R218" s="190"/>
      <c r="S218" s="196">
        <f t="shared" si="106"/>
        <v>0</v>
      </c>
      <c r="T218" s="190" t="str">
        <f t="shared" si="92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93"/>
        <v>https://d0f6bd738d7f1b3e5a7ca70fe4ff75f0.us-east-1.aws.found.io/app/kibana#/discover/Steve-Slow-Train-Analysis-(2080s-and-2083s)?_g=(refreshInterval:(display:Off,pause:!f,section:0,value:0),time:(from:'2017-05-10T03:48:33-0600',mode:absolute,to:'2017-05-10T06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192" t="str">
        <f t="shared" si="94"/>
        <v>Y</v>
      </c>
      <c r="X218" s="192">
        <f t="shared" si="104"/>
        <v>586</v>
      </c>
      <c r="Y218" s="192">
        <f t="shared" si="88"/>
        <v>3.0205000000000002</v>
      </c>
      <c r="Z218" s="192">
        <f t="shared" si="89"/>
        <v>5.8963000000000001</v>
      </c>
      <c r="AA218" s="192">
        <f t="shared" si="95"/>
        <v>2.8757999999999999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6"/>
        <v>0901-10</v>
      </c>
      <c r="AE218" s="80" t="str">
        <f t="shared" si="97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218" s="77" t="str">
        <f t="shared" si="98"/>
        <v>"C:\Program Files (x86)\AstroGrep\AstroGrep.exe" /e /r /s /spath="%USERPROFILE%\AppData\Local\Temp\OnboardLogs" /stypes="app*4026*20170510*" /stext=" 11:.+((SYSTEM_STATE.+slice.+state.+changed )|(ment ac)|(multiple cpu faults)|(system.+state.+changed )|(\[timeout)|(PRM\|1\|D)|(kpr)|(kdp)|(train st.+moving)|(\|lc)|(penalty))"</v>
      </c>
      <c r="AG218" s="1" t="str">
        <f t="shared" si="99"/>
        <v>Other</v>
      </c>
      <c r="AH218" s="81" t="str">
        <f t="shared" si="100"/>
        <v>"%USERPROFILE%\Documents\GitHub\eaglep3\Utilities\RefineRTDCRunTimes.py" --tripid 901-10 --locoid 4026 --swversion DE.1.0.9.0 --startMP 300:30205 --initTime 2017-05-10T04:48:33 --startdatetime 2017-05-10T04:58:51 --delay 10 --endMP 300:58963 --enddatetime 2017-05-10T05:06:21 --enforcementcount 0 &gt;&gt;C:\Users\stu\Documents\GitHub\eaglep3-reporting\EC\2017-05-10-refined-times.txt</v>
      </c>
      <c r="AI218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{"issue":{"subject":"","project_id":79,"tracker_id":40,"status_id":1,"priority_id":2,"assigned_to_id":23,"start_date":"2017-05-10","description":"","custom_fields":[{"id":1,"name":"Subdivision","value":"Other"},{"id":4,"name":"Milepost","value":"5.8963"},{"id":17,"name":"Train ID","value":"901-10"},{"id":16,"name":"Locomotive ID","value":"4026"},{"id":130,"name":"Impact","value":""},{"id":150,"name":"Time of Event (Mountain Time)","value":"05:06:21"},{"id":151,"name":"Denver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2"/>
        <v>start /low /b %USERPROFILE%\Documents\GitHub\eaglep3\Utilities\DownloadLogsFromS3.py --loco 4026 --day 2017-05-10</v>
      </c>
      <c r="AN218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11:06:21"},{"id":29,"name":"Sharepoint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s="20" customFormat="1" x14ac:dyDescent="0.25">
      <c r="A219" s="32" t="s">
        <v>629</v>
      </c>
      <c r="B219" s="7">
        <v>4029</v>
      </c>
      <c r="C219" s="21" t="s">
        <v>206</v>
      </c>
      <c r="D219" s="21" t="s">
        <v>1010</v>
      </c>
      <c r="E219" s="13">
        <v>42865.249861111108</v>
      </c>
      <c r="F219" s="13">
        <v>42865.252187500002</v>
      </c>
      <c r="G219" s="7">
        <v>3</v>
      </c>
      <c r="H219" s="21" t="s">
        <v>551</v>
      </c>
      <c r="I219" s="13">
        <v>42865.257199074076</v>
      </c>
      <c r="J219" s="7">
        <v>0</v>
      </c>
      <c r="K219" s="92" t="str">
        <f t="shared" si="90"/>
        <v>4029/4030</v>
      </c>
      <c r="L219" s="21" t="str">
        <f>VLOOKUP(A219,'Trips&amp;Operators'!$C$1:$G$99999,5,FALSE)</f>
        <v>LOZA FIDEL</v>
      </c>
      <c r="M219" s="6">
        <f t="shared" si="91"/>
        <v>5.0115740741603076E-3</v>
      </c>
      <c r="N219" s="7">
        <f t="shared" si="105"/>
        <v>7.216666666790843</v>
      </c>
      <c r="O219" s="7"/>
      <c r="P219" s="7"/>
      <c r="Q219" s="22"/>
      <c r="R219" s="190"/>
      <c r="S219" s="196">
        <f t="shared" si="106"/>
        <v>1</v>
      </c>
      <c r="T219" s="190" t="str">
        <f t="shared" si="92"/>
        <v>Southbound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93"/>
        <v>https://d0f6bd738d7f1b3e5a7ca70fe4ff75f0.us-east-1.aws.found.io/app/kibana#/discover/Steve-Slow-Train-Analysis-(2080s-and-2083s)?_g=(refreshInterval:(display:Off,pause:!f,section:0,value:0),time:(from:'2017-05-10T04:59:48-0600',mode:absolute,to:'2017-05-10T07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192" t="str">
        <f t="shared" si="94"/>
        <v>Y</v>
      </c>
      <c r="X219" s="192">
        <f t="shared" si="104"/>
        <v>1</v>
      </c>
      <c r="Y219" s="192">
        <f t="shared" si="88"/>
        <v>2.3374000000000001</v>
      </c>
      <c r="Z219" s="192">
        <f t="shared" si="89"/>
        <v>6.9199999999999998E-2</v>
      </c>
      <c r="AA219" s="192">
        <f t="shared" si="95"/>
        <v>2.2682000000000002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6"/>
        <v>0902-10</v>
      </c>
      <c r="AE219" s="80" t="str">
        <f t="shared" si="97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219" s="77" t="str">
        <f t="shared" si="98"/>
        <v>"C:\Program Files (x86)\AstroGrep\AstroGrep.exe" /e /r /s /spath="%USERPROFILE%\AppData\Local\Temp\OnboardLogs" /stypes="app*4029*20170510*" /stext=" 12:.+((SYSTEM_STATE.+slice.+state.+changed )|(ment ac)|(multiple cpu faults)|(system.+state.+changed )|(\[timeout)|(PRM\|1\|D)|(kpr)|(kdp)|(train st.+moving)|(\|lc)|(penalty))"</v>
      </c>
      <c r="AG219" s="1" t="str">
        <f t="shared" si="99"/>
        <v>Other</v>
      </c>
      <c r="AH219" s="81" t="str">
        <f t="shared" si="100"/>
        <v>"%USERPROFILE%\Documents\GitHub\eaglep3\Utilities\RefineRTDCRunTimes.py" --tripid 902-10 --locoid 4029 --swversion DE.1.0.9.0 --startMP 300:23374 --initTime 2017-05-10T05:59:48 --startdatetime 2017-05-10T06:03:09 --delay 3 --endMP 204:692 --enddatetime 2017-05-10T06:10:22 --enforcementcount 0 &gt;&gt;C:\Users\stu\Documents\GitHub\eaglep3-reporting\EC\2017-05-10-refined-times.txt</v>
      </c>
      <c r="AI219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{"issue":{"subject":"","project_id":79,"tracker_id":40,"status_id":1,"priority_id":2,"assigned_to_id":23,"start_date":"2017-05-10","description":"","custom_fields":[{"id":1,"name":"Subdivision","value":"Other"},{"id":4,"name":"Milepost","value":"0.0692"},{"id":17,"name":"Train ID","value":"902-10"},{"id":16,"name":"Locomotive ID","value":"4029"},{"id":130,"name":"Impact","value":""},{"id":150,"name":"Time of Event (Mountain Time)","value":"06:10:22"},{"id":151,"name":"Denver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5" t="str">
        <f t="shared" si="102"/>
        <v>start /low /b %USERPROFILE%\Documents\GitHub\eaglep3\Utilities\DownloadLogsFromS3.py --loco 4029 --day 2017-05-10</v>
      </c>
      <c r="AN219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572</v>
      </c>
      <c r="B220" s="7">
        <v>4026</v>
      </c>
      <c r="C220" s="21" t="s">
        <v>206</v>
      </c>
      <c r="D220" s="21" t="s">
        <v>1011</v>
      </c>
      <c r="E220" s="13">
        <v>42865.351377314815</v>
      </c>
      <c r="F220" s="13">
        <v>42865.352418981478</v>
      </c>
      <c r="G220" s="7">
        <v>0</v>
      </c>
      <c r="H220" s="21" t="s">
        <v>544</v>
      </c>
      <c r="I220" s="13">
        <v>42865.35832175926</v>
      </c>
      <c r="J220" s="7">
        <v>0</v>
      </c>
      <c r="K220" s="92" t="str">
        <f t="shared" si="90"/>
        <v>4025/4026</v>
      </c>
      <c r="L220" s="21" t="str">
        <f>VLOOKUP(A220,'Trips&amp;Operators'!$C$1:$G$99999,5,FALSE)</f>
        <v>YORK EDGAR</v>
      </c>
      <c r="M220" s="6">
        <f t="shared" si="91"/>
        <v>5.9027777824667282E-3</v>
      </c>
      <c r="N220" s="7">
        <f t="shared" si="105"/>
        <v>8.5000000067520887</v>
      </c>
      <c r="O220" s="7"/>
      <c r="P220" s="7"/>
      <c r="Q220" s="22"/>
      <c r="R220" s="190"/>
      <c r="S220" s="196">
        <f t="shared" si="106"/>
        <v>1</v>
      </c>
      <c r="T220" s="190" t="str">
        <f t="shared" si="92"/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93"/>
        <v>https://d0f6bd738d7f1b3e5a7ca70fe4ff75f0.us-east-1.aws.found.io/app/kibana#/discover/Steve-Slow-Train-Analysis-(2080s-and-2083s)?_g=(refreshInterval:(display:Off,pause:!f,section:0,value:0),time:(from:'2017-05-10T07:25:59-0600',mode:absolute,to:'2017-05-10T09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192" t="str">
        <f t="shared" si="94"/>
        <v>Y</v>
      </c>
      <c r="X220" s="192">
        <f t="shared" si="104"/>
        <v>1</v>
      </c>
      <c r="Y220" s="192">
        <f t="shared" si="88"/>
        <v>0.1149</v>
      </c>
      <c r="Z220" s="192">
        <f t="shared" si="89"/>
        <v>2.4260000000000002</v>
      </c>
      <c r="AA220" s="192">
        <f t="shared" si="95"/>
        <v>2.3111000000000002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6"/>
        <v>0903-10</v>
      </c>
      <c r="AE220" s="80" t="str">
        <f t="shared" si="97"/>
        <v>aws s3 cp s3://rtdc.mdm.uploadarchive.raw/RTDC4026/ "%USERPROFILE%\AppData\Local\Temp\OnboardLogs"\RTDC4026\2017-05-10 --exclude "*" --recursive --include "*20170510*" &amp; "%USERPROFILE%\Documents\GitHub\mrs-test-scripts\Headless Mode &amp; Sideloading\WalkAndUnGZ.bat" "%USERPROFILE%\AppData\Local\Temp\OnboardLogs"\RTDC4026\2017-05-10 &amp; 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</v>
      </c>
      <c r="AF220" s="77" t="str">
        <f t="shared" si="98"/>
        <v>"C:\Program Files (x86)\AstroGrep\AstroGrep.exe" /e /r /s /spath="%USERPROFILE%\AppData\Local\Temp\OnboardLogs" /stypes="app*4026*20170510*" /stext=" 14:.+((SYSTEM_STATE.+slice.+state.+changed )|(ment ac)|(multiple cpu faults)|(system.+state.+changed )|(\[timeout)|(PRM\|1\|D)|(kpr)|(kdp)|(train st.+moving)|(\|lc)|(penalty))"</v>
      </c>
      <c r="AG220" s="1" t="str">
        <f t="shared" si="99"/>
        <v>Other</v>
      </c>
      <c r="AH220" s="81" t="str">
        <f t="shared" si="100"/>
        <v>"%USERPROFILE%\Documents\GitHub\eaglep3\Utilities\RefineRTDCRunTimes.py" --tripid 903-10 --locoid 4026 --swversion DE.1.0.9.0 --startMP 204:1149 --initTime 2017-05-10T08:25:59 --startdatetime 2017-05-10T08:27:29 --delay 0 --endMP 300:24260 --enddatetime 2017-05-10T08:35:59 --enforcementcount 0 &gt;&gt;C:\Users\stu\Documents\GitHub\eaglep3-reporting\EC\2017-05-10-refined-times.txt</v>
      </c>
      <c r="AI220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{"issue":{"subject":"","project_id":79,"tracker_id":40,"status_id":1,"priority_id":2,"assigned_to_id":23,"start_date":"2017-05-10","description":"","custom_fields":[{"id":1,"name":"Subdivision","value":"Other"},{"id":4,"name":"Milepost","value":"2.426"},{"id":17,"name":"Train ID","value":"903-10"},{"id":16,"name":"Locomotive ID","value":"4026"},{"id":130,"name":"Impact","value":""},{"id":150,"name":"Time of Event (Mountain Time)","value":"08:35:59"},{"id":151,"name":"Denver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02"/>
        <v>start /low /b %USERPROFILE%\Documents\GitHub\eaglep3\Utilities\DownloadLogsFromS3.py --loco 4026 --day 2017-05-10</v>
      </c>
      <c r="AN220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14:35:59"},{"id":29,"name":"Sharepoint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720</v>
      </c>
      <c r="B221" s="7">
        <v>4025</v>
      </c>
      <c r="C221" s="21" t="s">
        <v>206</v>
      </c>
      <c r="D221" s="21" t="s">
        <v>1012</v>
      </c>
      <c r="E221" s="13">
        <v>42865.642314814817</v>
      </c>
      <c r="F221" s="13">
        <v>42865.644386574073</v>
      </c>
      <c r="G221" s="7">
        <v>2</v>
      </c>
      <c r="H221" s="21" t="s">
        <v>1013</v>
      </c>
      <c r="I221" s="13">
        <v>42865.651539351849</v>
      </c>
      <c r="J221" s="7">
        <v>0</v>
      </c>
      <c r="K221" s="92" t="str">
        <f t="shared" si="90"/>
        <v>4025/4026</v>
      </c>
      <c r="L221" s="21" t="str">
        <f>VLOOKUP(A221,'Trips&amp;Operators'!$C$1:$G$99999,5,FALSE)</f>
        <v>CHANDLER KELVIN</v>
      </c>
      <c r="M221" s="6">
        <f t="shared" si="91"/>
        <v>7.1527777763549238E-3</v>
      </c>
      <c r="N221" s="7">
        <f t="shared" si="105"/>
        <v>10.29999999795109</v>
      </c>
      <c r="O221" s="7"/>
      <c r="P221" s="7"/>
      <c r="Q221" s="22"/>
      <c r="R221" s="190"/>
      <c r="S221" s="196">
        <f t="shared" si="106"/>
        <v>1</v>
      </c>
      <c r="T221" s="190" t="str">
        <f t="shared" si="92"/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93"/>
        <v>https://d0f6bd738d7f1b3e5a7ca70fe4ff75f0.us-east-1.aws.found.io/app/kibana#/discover/Steve-Slow-Train-Analysis-(2080s-and-2083s)?_g=(refreshInterval:(display:Off,pause:!f,section:0,value:0),time:(from:'2017-05-10T14:24:56-0600',mode:absolute,to:'2017-05-10T16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192" t="str">
        <f t="shared" si="94"/>
        <v>Y</v>
      </c>
      <c r="X221" s="192">
        <f t="shared" si="104"/>
        <v>1</v>
      </c>
      <c r="Y221" s="192">
        <f t="shared" si="88"/>
        <v>2.3380999999999998</v>
      </c>
      <c r="Z221" s="192">
        <f t="shared" si="89"/>
        <v>6.6799999999999998E-2</v>
      </c>
      <c r="AA221" s="192">
        <f t="shared" si="95"/>
        <v>2.2712999999999997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6"/>
        <v>0904-10</v>
      </c>
      <c r="AE221" s="80" t="str">
        <f t="shared" si="97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221" s="77" t="str">
        <f t="shared" si="98"/>
        <v>"C:\Program Files (x86)\AstroGrep\AstroGrep.exe" /e /r /s /spath="%USERPROFILE%\AppData\Local\Temp\OnboardLogs" /stypes="app*4025*20170510*" /stext=" 21:.+((SYSTEM_STATE.+slice.+state.+changed )|(ment ac)|(multiple cpu faults)|(system.+state.+changed )|(\[timeout)|(PRM\|1\|D)|(kpr)|(kdp)|(train st.+moving)|(\|lc)|(penalty))"</v>
      </c>
      <c r="AG221" s="1" t="str">
        <f t="shared" si="99"/>
        <v>Other</v>
      </c>
      <c r="AH221" s="81" t="str">
        <f t="shared" si="100"/>
        <v>"%USERPROFILE%\Documents\GitHub\eaglep3\Utilities\RefineRTDCRunTimes.py" --tripid 904-10 --locoid 4025 --swversion DE.1.0.9.0 --startMP 300:23381 --initTime 2017-05-10T15:24:56 --startdatetime 2017-05-10T15:27:55 --delay 2 --endMP 204:668 --enddatetime 2017-05-10T15:38:13 --enforcementcount 0 &gt;&gt;C:\Users\stu\Documents\GitHub\eaglep3-reporting\EC\2017-05-10-refined-times.txt</v>
      </c>
      <c r="AI221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{"issue":{"subject":"","project_id":79,"tracker_id":40,"status_id":1,"priority_id":2,"assigned_to_id":23,"start_date":"2017-05-10","description":"","custom_fields":[{"id":1,"name":"Subdivision","value":"Other"},{"id":4,"name":"Milepost","value":"0.0668"},{"id":17,"name":"Train ID","value":"904-10"},{"id":16,"name":"Locomotive ID","value":"4025"},{"id":130,"name":"Impact","value":""},{"id":150,"name":"Time of Event (Mountain Time)","value":"15:38:13"},{"id":151,"name":"Denver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02"/>
        <v>start /low /b %USERPROFILE%\Documents\GitHub\eaglep3\Utilities\DownloadLogsFromS3.py --loco 4025 --day 2017-05-10</v>
      </c>
      <c r="AN221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21:38:13"},{"id":29,"name":"Sharepoint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775</v>
      </c>
      <c r="B222" s="7">
        <v>4025</v>
      </c>
      <c r="C222" s="21" t="s">
        <v>206</v>
      </c>
      <c r="D222" s="21" t="s">
        <v>1014</v>
      </c>
      <c r="E222" s="13">
        <v>42865.799293981479</v>
      </c>
      <c r="F222" s="13">
        <v>42865.800405092596</v>
      </c>
      <c r="G222" s="7">
        <v>1</v>
      </c>
      <c r="H222" s="21" t="s">
        <v>1015</v>
      </c>
      <c r="I222" s="13">
        <v>42865.805925925924</v>
      </c>
      <c r="J222" s="7">
        <v>0</v>
      </c>
      <c r="K222" s="92" t="str">
        <f t="shared" si="90"/>
        <v>4025/4026</v>
      </c>
      <c r="L222" s="21" t="str">
        <f>VLOOKUP(A222,'Trips&amp;Operators'!$C$1:$G$99999,5,FALSE)</f>
        <v>CHANDLER KELVIN</v>
      </c>
      <c r="M222" s="6">
        <f t="shared" si="91"/>
        <v>5.5208333287737332E-3</v>
      </c>
      <c r="N222" s="7">
        <f t="shared" si="105"/>
        <v>7.9499999934341758</v>
      </c>
      <c r="O222" s="7"/>
      <c r="P222" s="7"/>
      <c r="Q222" s="22"/>
      <c r="R222" s="190"/>
      <c r="S222" s="196">
        <f t="shared" si="106"/>
        <v>0</v>
      </c>
      <c r="T222" s="190" t="str">
        <f t="shared" si="92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93"/>
        <v>https://d0f6bd738d7f1b3e5a7ca70fe4ff75f0.us-east-1.aws.found.io/app/kibana#/discover/Steve-Slow-Train-Analysis-(2080s-and-2083s)?_g=(refreshInterval:(display:Off,pause:!f,section:0,value:0),time:(from:'2017-05-10T18:10:59-0600',mode:absolute,to:'2017-05-10T20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2" s="192" t="str">
        <f t="shared" si="94"/>
        <v>Y</v>
      </c>
      <c r="X222" s="192">
        <f t="shared" si="104"/>
        <v>2</v>
      </c>
      <c r="Y222" s="192">
        <f t="shared" si="88"/>
        <v>5.8674999999999997</v>
      </c>
      <c r="Z222" s="192">
        <f t="shared" si="89"/>
        <v>2.1368999999999998</v>
      </c>
      <c r="AA222" s="192">
        <f t="shared" si="95"/>
        <v>3.7305999999999999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6"/>
        <v>0906-10</v>
      </c>
      <c r="AE222" s="80" t="str">
        <f t="shared" si="97"/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AF222" s="77" t="str">
        <f t="shared" si="98"/>
        <v>"C:\Program Files (x86)\AstroGrep\AstroGrep.exe" /e /r /s /spath="%USERPROFILE%\AppData\Local\Temp\OnboardLogs" /stypes="app*4025*20170511*" /stext=" 01:.+((SYSTEM_STATE.+slice.+state.+changed )|(ment ac)|(multiple cpu faults)|(system.+state.+changed )|(\[timeout)|(PRM\|1\|D)|(kpr)|(kdp)|(train st.+moving)|(\|lc)|(penalty))"</v>
      </c>
      <c r="AG222" s="1" t="str">
        <f t="shared" si="99"/>
        <v>Other</v>
      </c>
      <c r="AH222" s="81" t="str">
        <f t="shared" si="100"/>
        <v>"%USERPROFILE%\Documents\GitHub\eaglep3\Utilities\RefineRTDCRunTimes.py" --tripid 906-10 --locoid 4025 --swversion DE.1.0.9.0 --startMP 300:58675 --initTime 2017-05-10T19:10:59 --startdatetime 2017-05-10T19:12:35 --delay 1 --endMP 300:21369 --enddatetime 2017-05-10T19:20:32 --enforcementcount 0 &gt;&gt;C:\Users\stu\Documents\GitHub\eaglep3-reporting\EC\2017-05-10-refined-times.txt</v>
      </c>
      <c r="AI222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{"issue":{"subject":"","project_id":79,"tracker_id":40,"status_id":1,"priority_id":2,"assigned_to_id":23,"start_date":"2017-05-10","description":"","custom_fields":[{"id":1,"name":"Subdivision","value":"Other"},{"id":4,"name":"Milepost","value":"2.1369"},{"id":17,"name":"Train ID","value":"906-10"},{"id":16,"name":"Locomotive ID","value":"4025"},{"id":130,"name":"Impact","value":""},{"id":150,"name":"Time of Event (Mountain Time)","value":"19:20:32"},{"id":151,"name":"Denver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02"/>
        <v>start /low /b %USERPROFILE%\Documents\GitHub\eaglep3\Utilities\DownloadLogsFromS3.py --loco 4025 --day 2017-05-10</v>
      </c>
      <c r="AN222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799</v>
      </c>
      <c r="B223" s="7">
        <v>4029</v>
      </c>
      <c r="C223" s="21" t="s">
        <v>206</v>
      </c>
      <c r="D223" s="21" t="s">
        <v>1016</v>
      </c>
      <c r="E223" s="13">
        <v>42865.943877314814</v>
      </c>
      <c r="F223" s="13">
        <v>42865.944849537038</v>
      </c>
      <c r="G223" s="7">
        <v>1</v>
      </c>
      <c r="H223" s="21" t="s">
        <v>1017</v>
      </c>
      <c r="I223" s="13">
        <v>42865.949965277781</v>
      </c>
      <c r="J223" s="7">
        <v>0</v>
      </c>
      <c r="K223" s="92" t="str">
        <f t="shared" si="90"/>
        <v>4029/4030</v>
      </c>
      <c r="L223" s="21" t="str">
        <f>VLOOKUP(A223,'Trips&amp;Operators'!$C$1:$G$99999,5,FALSE)</f>
        <v>CHANDLER KELVIN</v>
      </c>
      <c r="M223" s="6">
        <f t="shared" si="91"/>
        <v>5.1157407433493063E-3</v>
      </c>
      <c r="N223" s="7">
        <f t="shared" si="105"/>
        <v>7.3666666704230011</v>
      </c>
      <c r="O223" s="7"/>
      <c r="P223" s="7"/>
      <c r="Q223" s="22"/>
      <c r="R223" s="190"/>
      <c r="S223" s="196">
        <f t="shared" si="106"/>
        <v>0</v>
      </c>
      <c r="T223" s="190" t="str">
        <f t="shared" si="92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93"/>
        <v>https://d0f6bd738d7f1b3e5a7ca70fe4ff75f0.us-east-1.aws.found.io/app/kibana#/discover/Steve-Slow-Train-Analysis-(2080s-and-2083s)?_g=(refreshInterval:(display:Off,pause:!f,section:0,value:0),time:(from:'2017-05-10T21:39:11-0600',mode:absolute,to:'2017-05-10T23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192" t="str">
        <f t="shared" si="94"/>
        <v>Y</v>
      </c>
      <c r="X223" s="192">
        <f t="shared" si="104"/>
        <v>2</v>
      </c>
      <c r="Y223" s="192">
        <f t="shared" si="88"/>
        <v>5.8663999999999996</v>
      </c>
      <c r="Z223" s="192">
        <f t="shared" si="89"/>
        <v>2.1526000000000001</v>
      </c>
      <c r="AA223" s="192">
        <f t="shared" si="95"/>
        <v>3.7137999999999995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6"/>
        <v>0908-10</v>
      </c>
      <c r="AE223" s="80" t="str">
        <f t="shared" si="97"/>
        <v>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 &amp; 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</v>
      </c>
      <c r="AF223" s="77" t="str">
        <f t="shared" si="98"/>
        <v>"C:\Program Files (x86)\AstroGrep\AstroGrep.exe" /e /r /s /spath="%USERPROFILE%\AppData\Local\Temp\OnboardLogs" /stypes="app*4029*20170511*" /stext=" 04:.+((SYSTEM_STATE.+slice.+state.+changed )|(ment ac)|(multiple cpu faults)|(system.+state.+changed )|(\[timeout)|(PRM\|1\|D)|(kpr)|(kdp)|(train st.+moving)|(\|lc)|(penalty))"</v>
      </c>
      <c r="AG223" s="1" t="str">
        <f t="shared" si="99"/>
        <v>Other</v>
      </c>
      <c r="AH223" s="81" t="str">
        <f t="shared" si="100"/>
        <v>"%USERPROFILE%\Documents\GitHub\eaglep3\Utilities\RefineRTDCRunTimes.py" --tripid 908-10 --locoid 4029 --swversion DE.1.0.9.0 --startMP 300:58664 --initTime 2017-05-10T22:39:11 --startdatetime 2017-05-10T22:40:35 --delay 1 --endMP 300:21526 --enddatetime 2017-05-10T22:47:57 --enforcementcount 0 &gt;&gt;C:\Users\stu\Documents\GitHub\eaglep3-reporting\EC\2017-05-10-refined-times.txt</v>
      </c>
      <c r="AI223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{"issue":{"subject":"","project_id":79,"tracker_id":40,"status_id":1,"priority_id":2,"assigned_to_id":23,"start_date":"2017-05-10","description":"","custom_fields":[{"id":1,"name":"Subdivision","value":"Other"},{"id":4,"name":"Milepost","value":"2.1526"},{"id":17,"name":"Train ID","value":"908-10"},{"id":16,"name":"Locomotive ID","value":"4029"},{"id":130,"name":"Impact","value":""},{"id":150,"name":"Time of Event (Mountain Time)","value":"22:47:57"},{"id":151,"name":"Denver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02"/>
        <v>start /low /b %USERPROFILE%\Documents\GitHub\eaglep3\Utilities\DownloadLogsFromS3.py --loco 4029 --day 2017-05-10</v>
      </c>
      <c r="AN223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04:47:57"},{"id":29,"name":"Sharepoint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630</v>
      </c>
      <c r="B224" s="7">
        <v>4003</v>
      </c>
      <c r="C224" s="21" t="s">
        <v>206</v>
      </c>
      <c r="D224" s="21" t="s">
        <v>901</v>
      </c>
      <c r="E224" s="13">
        <v>42865.256550925929</v>
      </c>
      <c r="F224" s="13">
        <v>42865.2577662037</v>
      </c>
      <c r="G224" s="7">
        <v>1</v>
      </c>
      <c r="H224" s="21" t="s">
        <v>902</v>
      </c>
      <c r="I224" s="13">
        <v>42865.258819444447</v>
      </c>
      <c r="J224" s="7">
        <v>0</v>
      </c>
      <c r="K224" s="92" t="str">
        <f t="shared" si="90"/>
        <v>4003/4004</v>
      </c>
      <c r="L224" s="21" t="str">
        <f>VLOOKUP(A224,'Trips&amp;Operators'!$C$1:$G$99999,5,FALSE)</f>
        <v>SPECTOR MICHAEL</v>
      </c>
      <c r="M224" s="6">
        <f t="shared" si="91"/>
        <v>1.0532407468417659E-3</v>
      </c>
      <c r="N224" s="7">
        <f t="shared" si="105"/>
        <v>1.516666675452143</v>
      </c>
      <c r="O224" s="7"/>
      <c r="P224" s="7"/>
      <c r="Q224" s="22"/>
      <c r="R224" s="190"/>
      <c r="S224" s="196">
        <f t="shared" si="106"/>
        <v>0</v>
      </c>
      <c r="T224" s="190" t="e">
        <f t="shared" si="92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93"/>
        <v>https://d0f6bd738d7f1b3e5a7ca70fe4ff75f0.us-east-1.aws.found.io/app/kibana#/discover/Steve-Slow-Train-Analysis-(2080s-and-2083s)?_g=(refreshInterval:(display:Off,pause:!f,section:0,value:0),time:(from:'2017-05-10T05:09:26-0600',mode:absolute,to:'2017-05-10T07:12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4" s="192" t="str">
        <f t="shared" si="94"/>
        <v>Y</v>
      </c>
      <c r="X224" s="192" t="e">
        <f t="shared" si="104"/>
        <v>#VALUE!</v>
      </c>
      <c r="Y224" s="192">
        <f t="shared" si="88"/>
        <v>0.32529999999999998</v>
      </c>
      <c r="Z224" s="192">
        <f t="shared" si="89"/>
        <v>0.1179</v>
      </c>
      <c r="AA224" s="192">
        <f t="shared" si="95"/>
        <v>0.20739999999999997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6"/>
        <v>50-10</v>
      </c>
      <c r="AE224" s="80" t="str">
        <f t="shared" si="97"/>
        <v>aws s3 cp s3://rtdc.mdm.uploadarchive.raw/RTDC4003/ "%USERPROFILE%\AppData\Local\Temp\OnboardLogs"\RTDC4003\2017-05-10 --exclude "*" --recursive --include "*20170510*" &amp; "%USERPROFILE%\Documents\GitHub\mrs-test-scripts\Headless Mode &amp; Sideloading\WalkAndUnGZ.bat" "%USERPROFILE%\AppData\Local\Temp\OnboardLogs"\RTDC4003\2017-05-10 &amp; 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</v>
      </c>
      <c r="AF224" s="77" t="str">
        <f t="shared" si="98"/>
        <v>"C:\Program Files (x86)\AstroGrep\AstroGrep.exe" /e /r /s /spath="%USERPROFILE%\AppData\Local\Temp\OnboardLogs" /stypes="app*4003*20170510*" /stext=" 12:.+((SYSTEM_STATE.+slice.+state.+changed )|(ment ac)|(multiple cpu faults)|(system.+state.+changed )|(\[timeout)|(PRM\|1\|D)|(kpr)|(kdp)|(train st.+moving)|(\|lc)|(penalty))"</v>
      </c>
      <c r="AG224" s="1" t="str">
        <f t="shared" si="99"/>
        <v>Other</v>
      </c>
      <c r="AH224" s="81" t="str">
        <f t="shared" si="100"/>
        <v>"%USERPROFILE%\Documents\GitHub\eaglep3\Utilities\RefineRTDCRunTimes.py" --tripid 50-10 --locoid 4003 --swversion DE.1.0.9.0 --startMP 204:3253 --initTime 2017-05-10T06:09:26 --startdatetime 2017-05-10T06:11:11 --delay 1 --endMP 204:1179 --enddatetime 2017-05-10T06:12:42 --enforcementcount 0 &gt;&gt;C:\Users\stu\Documents\GitHub\eaglep3-reporting\EC\2017-05-10-refined-times.txt</v>
      </c>
      <c r="AI224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{"issue":{"subject":"","project_id":79,"tracker_id":40,"status_id":1,"priority_id":2,"assigned_to_id":23,"start_date":"2017-05-10","description":"","custom_fields":[{"id":1,"name":"Subdivision","value":"Other"},{"id":4,"name":"Milepost","value":"0.1179"},{"id":17,"name":"Train ID","value":"50-10"},{"id":16,"name":"Locomotive ID","value":"4003"},{"id":130,"name":"Impact","value":""},{"id":150,"name":"Time of Event (Mountain Time)","value":"06:12:42"},{"id":151,"name":"Denver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02"/>
        <v>start /low /b %USERPROFILE%\Documents\GitHub\eaglep3\Utilities\DownloadLogsFromS3.py --loco 4003 --day 2017-05-10</v>
      </c>
      <c r="AN224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12:12:42"},{"id":29,"name":"Sharepoint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630</v>
      </c>
      <c r="B225" s="7">
        <v>4004</v>
      </c>
      <c r="C225" s="21" t="s">
        <v>206</v>
      </c>
      <c r="D225" s="21" t="s">
        <v>373</v>
      </c>
      <c r="E225" s="13">
        <v>42865.250335648147</v>
      </c>
      <c r="F225" s="13">
        <v>42865.2577662037</v>
      </c>
      <c r="G225" s="7">
        <v>1</v>
      </c>
      <c r="H225" s="21" t="s">
        <v>903</v>
      </c>
      <c r="I225" s="13">
        <v>42865.258819444447</v>
      </c>
      <c r="J225" s="7">
        <v>0</v>
      </c>
      <c r="K225" s="92" t="str">
        <f t="shared" si="90"/>
        <v>4003/4004</v>
      </c>
      <c r="L225" s="21" t="str">
        <f>VLOOKUP(A225,'Trips&amp;Operators'!$C$1:$G$99999,5,FALSE)</f>
        <v>SPECTOR MICHAEL</v>
      </c>
      <c r="M225" s="6">
        <f t="shared" si="91"/>
        <v>1.0532407468417659E-3</v>
      </c>
      <c r="N225" s="7">
        <f t="shared" si="105"/>
        <v>1.516666675452143</v>
      </c>
      <c r="O225" s="7"/>
      <c r="P225" s="7"/>
      <c r="Q225" s="22"/>
      <c r="R225" s="190"/>
      <c r="S225" s="196">
        <f t="shared" si="106"/>
        <v>0</v>
      </c>
      <c r="T225" s="190" t="e">
        <f t="shared" si="92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93"/>
        <v>https://d0f6bd738d7f1b3e5a7ca70fe4ff75f0.us-east-1.aws.found.io/app/kibana#/discover/Steve-Slow-Train-Analysis-(2080s-and-2083s)?_g=(refreshInterval:(display:Off,pause:!f,section:0,value:0),time:(from:'2017-05-10T05:00:29-0600',mode:absolute,to:'2017-05-10T07:12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5" s="192" t="str">
        <f t="shared" si="94"/>
        <v>Y</v>
      </c>
      <c r="X225" s="192" t="e">
        <f t="shared" si="104"/>
        <v>#VALUE!</v>
      </c>
      <c r="Y225" s="192">
        <f t="shared" si="88"/>
        <v>4.4699999999999997E-2</v>
      </c>
      <c r="Z225" s="192">
        <f t="shared" si="89"/>
        <v>0.35720000000000002</v>
      </c>
      <c r="AA225" s="192">
        <f t="shared" si="95"/>
        <v>0.3125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6"/>
        <v>50-10</v>
      </c>
      <c r="AE225" s="80" t="str">
        <f t="shared" si="97"/>
        <v>aws s3 cp s3://rtdc.mdm.uploadarchive.raw/RTDC4004/ "%USERPROFILE%\AppData\Local\Temp\OnboardLogs"\RTDC4004\2017-05-10 --exclude "*" --recursive --include "*20170510*" &amp; "%USERPROFILE%\Documents\GitHub\mrs-test-scripts\Headless Mode &amp; Sideloading\WalkAndUnGZ.bat" "%USERPROFILE%\AppData\Local\Temp\OnboardLogs"\RTDC4004\2017-05-10 &amp; 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</v>
      </c>
      <c r="AF225" s="77" t="str">
        <f t="shared" si="98"/>
        <v>"C:\Program Files (x86)\AstroGrep\AstroGrep.exe" /e /r /s /spath="%USERPROFILE%\AppData\Local\Temp\OnboardLogs" /stypes="app*4004*20170510*" /stext=" 12:.+((SYSTEM_STATE.+slice.+state.+changed )|(ment ac)|(multiple cpu faults)|(system.+state.+changed )|(\[timeout)|(PRM\|1\|D)|(kpr)|(kdp)|(train st.+moving)|(\|lc)|(penalty))"</v>
      </c>
      <c r="AG225" s="1" t="str">
        <f t="shared" si="99"/>
        <v>Other</v>
      </c>
      <c r="AH225" s="81" t="str">
        <f t="shared" si="100"/>
        <v>"%USERPROFILE%\Documents\GitHub\eaglep3\Utilities\RefineRTDCRunTimes.py" --tripid 50-10 --locoid 4004 --swversion DE.1.0.9.0 --startMP 204:447 --initTime 2017-05-10T06:00:29 --startdatetime 2017-05-10T06:11:11 --delay 1 --endMP 204:3572 --enddatetime 2017-05-10T06:12:42 --enforcementcount 0 &gt;&gt;C:\Users\stu\Documents\GitHub\eaglep3-reporting\EC\2017-05-10-refined-times.txt</v>
      </c>
      <c r="AI225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{"issue":{"subject":"","project_id":79,"tracker_id":40,"status_id":1,"priority_id":2,"assigned_to_id":23,"start_date":"2017-05-10","description":"","custom_fields":[{"id":1,"name":"Subdivision","value":"Other"},{"id":4,"name":"Milepost","value":"0.3572"},{"id":17,"name":"Train ID","value":"50-10"},{"id":16,"name":"Locomotive ID","value":"4004"},{"id":130,"name":"Impact","value":""},{"id":150,"name":"Time of Event (Mountain Time)","value":"06:12:42"},{"id":151,"name":"Denver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02"/>
        <v>start /low /b %USERPROFILE%\Documents\GitHub\eaglep3\Utilities\DownloadLogsFromS3.py --loco 4004 --day 2017-05-10</v>
      </c>
      <c r="AN225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12:12:42"},{"id":29,"name":"Sharepoint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576</v>
      </c>
      <c r="B226" s="7">
        <v>4015</v>
      </c>
      <c r="C226" s="21" t="s">
        <v>206</v>
      </c>
      <c r="D226" s="21" t="s">
        <v>904</v>
      </c>
      <c r="E226" s="13">
        <v>42865.425381944442</v>
      </c>
      <c r="F226" s="13">
        <v>42865.436493055553</v>
      </c>
      <c r="G226" s="7">
        <v>15</v>
      </c>
      <c r="H226" s="21" t="s">
        <v>905</v>
      </c>
      <c r="I226" s="13">
        <v>42865.44153935185</v>
      </c>
      <c r="J226" s="7">
        <v>0</v>
      </c>
      <c r="K226" s="92" t="str">
        <f t="shared" si="90"/>
        <v>4015/4016</v>
      </c>
      <c r="L226" s="21" t="str">
        <f>VLOOKUP(A226,'Trips&amp;Operators'!$C$1:$G$99999,5,FALSE)</f>
        <v>DELGADO DIANAH</v>
      </c>
      <c r="M226" s="6">
        <f t="shared" si="91"/>
        <v>5.0462962972233072E-3</v>
      </c>
      <c r="N226" s="7">
        <f t="shared" si="105"/>
        <v>7.2666666680015624</v>
      </c>
      <c r="O226" s="7"/>
      <c r="P226" s="7"/>
      <c r="Q226" s="22"/>
      <c r="R226" s="190"/>
      <c r="S226" s="196">
        <f t="shared" si="106"/>
        <v>0</v>
      </c>
      <c r="T226" s="190" t="e">
        <f t="shared" si="92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93"/>
        <v>https://d0f6bd738d7f1b3e5a7ca70fe4ff75f0.us-east-1.aws.found.io/app/kibana#/discover/Steve-Slow-Train-Analysis-(2080s-and-2083s)?_g=(refreshInterval:(display:Off,pause:!f,section:0,value:0),time:(from:'2017-05-10T09:12:33-0600',mode:absolute,to:'2017-05-10T11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192" t="str">
        <f t="shared" si="94"/>
        <v>Y</v>
      </c>
      <c r="X226" s="192" t="e">
        <f t="shared" si="104"/>
        <v>#VALUE!</v>
      </c>
      <c r="Y226" s="192">
        <f t="shared" si="88"/>
        <v>2.2450000000000001</v>
      </c>
      <c r="Z226" s="192">
        <f t="shared" si="89"/>
        <v>1.06E-2</v>
      </c>
      <c r="AA226" s="192">
        <f t="shared" si="95"/>
        <v>2.2343999999999999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6"/>
        <v>54-10</v>
      </c>
      <c r="AE226" s="80" t="str">
        <f t="shared" si="97"/>
        <v>aws s3 cp s3://rtdc.mdm.uploadarchive.raw/RTDC4015/ "%USERPROFILE%\AppData\Local\Temp\OnboardLogs"\RTDC4015\2017-05-10 --exclude "*" --recursive --include "*20170510*" &amp; "%USERPROFILE%\Documents\GitHub\mrs-test-scripts\Headless Mode &amp; Sideloading\WalkAndUnGZ.bat" "%USERPROFILE%\AppData\Local\Temp\OnboardLogs"\RTDC4015\2017-05-10 &amp; 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</v>
      </c>
      <c r="AF226" s="77" t="str">
        <f t="shared" si="98"/>
        <v>"C:\Program Files (x86)\AstroGrep\AstroGrep.exe" /e /r /s /spath="%USERPROFILE%\AppData\Local\Temp\OnboardLogs" /stypes="app*4015*20170510*" /stext=" 16:.+((SYSTEM_STATE.+slice.+state.+changed )|(ment ac)|(multiple cpu faults)|(system.+state.+changed )|(\[timeout)|(PRM\|1\|D)|(kpr)|(kdp)|(train st.+moving)|(\|lc)|(penalty))"</v>
      </c>
      <c r="AG226" s="1" t="str">
        <f t="shared" si="99"/>
        <v>Other</v>
      </c>
      <c r="AH226" s="81" t="str">
        <f t="shared" si="100"/>
        <v>"%USERPROFILE%\Documents\GitHub\eaglep3\Utilities\RefineRTDCRunTimes.py" --tripid 54-10 --locoid 4015 --swversion DE.1.0.9.0 --startMP 300:22450 --initTime 2017-05-10T10:12:33 --startdatetime 2017-05-10T10:28:33 --delay 15 --endMP 204:106 --enddatetime 2017-05-10T10:35:49 --enforcementcount 0 &gt;&gt;C:\Users\stu\Documents\GitHub\eaglep3-reporting\EC\2017-05-10-refined-times.txt</v>
      </c>
      <c r="AI226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{"issue":{"subject":"","project_id":79,"tracker_id":40,"status_id":1,"priority_id":2,"assigned_to_id":23,"start_date":"2017-05-10","description":"","custom_fields":[{"id":1,"name":"Subdivision","value":"Other"},{"id":4,"name":"Milepost","value":"0.0106"},{"id":17,"name":"Train ID","value":"54-10"},{"id":16,"name":"Locomotive ID","value":"4015"},{"id":130,"name":"Impact","value":""},{"id":150,"name":"Time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02"/>
        <v>start /low /b %USERPROFILE%\Documents\GitHub\eaglep3\Utilities\DownloadLogsFromS3.py --loco 4015 --day 2017-05-10</v>
      </c>
      <c r="AN226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679</v>
      </c>
      <c r="B227" s="7">
        <v>4016</v>
      </c>
      <c r="C227" s="21" t="s">
        <v>206</v>
      </c>
      <c r="D227" s="21" t="s">
        <v>906</v>
      </c>
      <c r="E227" s="13">
        <v>42865.4608912037</v>
      </c>
      <c r="F227" s="13">
        <v>42865.467175925929</v>
      </c>
      <c r="G227" s="7">
        <v>1</v>
      </c>
      <c r="H227" s="21" t="s">
        <v>907</v>
      </c>
      <c r="I227" s="13">
        <v>42865.474872685183</v>
      </c>
      <c r="J227" s="7">
        <v>0</v>
      </c>
      <c r="K227" s="92" t="str">
        <f t="shared" si="90"/>
        <v>4015/4016</v>
      </c>
      <c r="L227" s="21" t="str">
        <f>VLOOKUP(A227,'Trips&amp;Operators'!$C$1:$G$99999,5,FALSE)</f>
        <v>MAELZER KURT</v>
      </c>
      <c r="M227" s="6">
        <f t="shared" si="91"/>
        <v>7.696759254031349E-3</v>
      </c>
      <c r="N227" s="7">
        <f t="shared" si="105"/>
        <v>11.083333325805143</v>
      </c>
      <c r="O227" s="7"/>
      <c r="P227" s="7"/>
      <c r="Q227" s="22"/>
      <c r="R227" s="190"/>
      <c r="S227" s="196">
        <f t="shared" si="106"/>
        <v>0</v>
      </c>
      <c r="T227" s="190" t="e">
        <f t="shared" si="92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93"/>
        <v>https://d0f6bd738d7f1b3e5a7ca70fe4ff75f0.us-east-1.aws.found.io/app/kibana#/discover/Steve-Slow-Train-Analysis-(2080s-and-2083s)?_g=(refreshInterval:(display:Off,pause:!f,section:0,value:0),time:(from:'2017-05-10T10:03:41-0600',mode:absolute,to:'2017-05-10T12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7" s="192" t="str">
        <f t="shared" si="94"/>
        <v>Y</v>
      </c>
      <c r="X227" s="192" t="e">
        <f t="shared" si="104"/>
        <v>#VALUE!</v>
      </c>
      <c r="Y227" s="192">
        <f t="shared" si="88"/>
        <v>4.1500000000000002E-2</v>
      </c>
      <c r="Z227" s="192">
        <f t="shared" si="89"/>
        <v>2.4226999999999999</v>
      </c>
      <c r="AA227" s="192">
        <f t="shared" si="95"/>
        <v>2.3811999999999998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6"/>
        <v>55-10</v>
      </c>
      <c r="AE227" s="80" t="str">
        <f t="shared" si="97"/>
        <v>aws s3 cp s3://rtdc.mdm.uploadarchive.raw/RTDC4016/ "%USERPROFILE%\AppData\Local\Temp\OnboardLogs"\RTDC4016\2017-05-10 --exclude "*" --recursive --include "*20170510*" &amp; "%USERPROFILE%\Documents\GitHub\mrs-test-scripts\Headless Mode &amp; Sideloading\WalkAndUnGZ.bat" "%USERPROFILE%\AppData\Local\Temp\OnboardLogs"\RTDC4016\2017-05-10 &amp; 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</v>
      </c>
      <c r="AF227" s="77" t="str">
        <f t="shared" si="98"/>
        <v>"C:\Program Files (x86)\AstroGrep\AstroGrep.exe" /e /r /s /spath="%USERPROFILE%\AppData\Local\Temp\OnboardLogs" /stypes="app*4016*20170510*" /stext=" 17:.+((SYSTEM_STATE.+slice.+state.+changed )|(ment ac)|(multiple cpu faults)|(system.+state.+changed )|(\[timeout)|(PRM\|1\|D)|(kpr)|(kdp)|(train st.+moving)|(\|lc)|(penalty))"</v>
      </c>
      <c r="AG227" s="1" t="str">
        <f t="shared" si="99"/>
        <v>Other</v>
      </c>
      <c r="AH227" s="81" t="str">
        <f t="shared" si="100"/>
        <v>"%USERPROFILE%\Documents\GitHub\eaglep3\Utilities\RefineRTDCRunTimes.py" --tripid 55-10 --locoid 4016 --swversion DE.1.0.9.0 --startMP 204:415 --initTime 2017-05-10T11:03:41 --startdatetime 2017-05-10T11:12:44 --delay 1 --endMP 300:24227 --enddatetime 2017-05-10T11:23:49 --enforcementcount 0 &gt;&gt;C:\Users\stu\Documents\GitHub\eaglep3-reporting\EC\2017-05-10-refined-times.txt</v>
      </c>
      <c r="AI227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{"issue":{"subject":"","project_id":79,"tracker_id":40,"status_id":1,"priority_id":2,"assigned_to_id":23,"start_date":"2017-05-10","description":"","custom_fields":[{"id":1,"name":"Subdivision","value":"Other"},{"id":4,"name":"Milepost","value":"2.4227"},{"id":17,"name":"Train ID","value":"55-10"},{"id":16,"name":"Locomotive ID","value":"4016"},{"id":130,"name":"Impact","value":""},{"id":150,"name":"Time of Event (Mountain Time)","value":"11:23:49"},{"id":151,"name":"Denver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02"/>
        <v>start /low /b %USERPROFILE%\Documents\GitHub\eaglep3\Utilities\DownloadLogsFromS3.py --loco 4016 --day 2017-05-10</v>
      </c>
      <c r="AN227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579</v>
      </c>
      <c r="B228" s="7">
        <v>4015</v>
      </c>
      <c r="C228" s="21" t="s">
        <v>206</v>
      </c>
      <c r="D228" s="21" t="s">
        <v>908</v>
      </c>
      <c r="E228" s="13">
        <v>42865.481006944443</v>
      </c>
      <c r="F228" s="13">
        <v>42865.483414351853</v>
      </c>
      <c r="G228" s="7">
        <v>3</v>
      </c>
      <c r="H228" s="21" t="s">
        <v>909</v>
      </c>
      <c r="I228" s="13">
        <v>42865.488506944443</v>
      </c>
      <c r="J228" s="7">
        <v>0</v>
      </c>
      <c r="K228" s="92" t="str">
        <f t="shared" si="90"/>
        <v>4015/4016</v>
      </c>
      <c r="L228" s="21" t="str">
        <f>VLOOKUP(A228,'Trips&amp;Operators'!$C$1:$G$99999,5,FALSE)</f>
        <v>BIRENBAUM THOMAS</v>
      </c>
      <c r="M228" s="6">
        <f t="shared" si="91"/>
        <v>5.0925925897900015E-3</v>
      </c>
      <c r="N228" s="7">
        <f t="shared" si="105"/>
        <v>7.3333333292976022</v>
      </c>
      <c r="O228" s="7"/>
      <c r="P228" s="7"/>
      <c r="Q228" s="22"/>
      <c r="R228" s="190"/>
      <c r="S228" s="196">
        <f t="shared" si="106"/>
        <v>0</v>
      </c>
      <c r="T228" s="190" t="e">
        <f t="shared" si="92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93"/>
        <v>https://d0f6bd738d7f1b3e5a7ca70fe4ff75f0.us-east-1.aws.found.io/app/kibana#/discover/Steve-Slow-Train-Analysis-(2080s-and-2083s)?_g=(refreshInterval:(display:Off,pause:!f,section:0,value:0),time:(from:'2017-05-10T10:32:39-0600',mode:absolute,to:'2017-05-10T12:43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8" s="192" t="str">
        <f t="shared" si="94"/>
        <v>Y</v>
      </c>
      <c r="X228" s="192" t="e">
        <f t="shared" si="104"/>
        <v>#VALUE!</v>
      </c>
      <c r="Y228" s="192">
        <f t="shared" ref="Y228:Y260" si="107">RIGHT(D228,LEN(D228)-4)/10000</f>
        <v>2.3483000000000001</v>
      </c>
      <c r="Z228" s="192">
        <f t="shared" ref="Z228:Z260" si="108">RIGHT(H228,LEN(H228)-4)/10000</f>
        <v>8.7599999999999997E-2</v>
      </c>
      <c r="AA228" s="192">
        <f t="shared" si="95"/>
        <v>2.2606999999999999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6"/>
        <v>58-10</v>
      </c>
      <c r="AE228" s="80" t="str">
        <f t="shared" si="97"/>
        <v>aws s3 cp s3://rtdc.mdm.uploadarchive.raw/RTDC4015/ "%USERPROFILE%\AppData\Local\Temp\OnboardLogs"\RTDC4015\2017-05-10 --exclude "*" --recursive --include "*20170510*" &amp; "%USERPROFILE%\Documents\GitHub\mrs-test-scripts\Headless Mode &amp; Sideloading\WalkAndUnGZ.bat" "%USERPROFILE%\AppData\Local\Temp\OnboardLogs"\RTDC4015\2017-05-10 &amp; 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</v>
      </c>
      <c r="AF228" s="77" t="str">
        <f t="shared" si="98"/>
        <v>"C:\Program Files (x86)\AstroGrep\AstroGrep.exe" /e /r /s /spath="%USERPROFILE%\AppData\Local\Temp\OnboardLogs" /stypes="app*4015*20170510*" /stext=" 17:.+((SYSTEM_STATE.+slice.+state.+changed )|(ment ac)|(multiple cpu faults)|(system.+state.+changed )|(\[timeout)|(PRM\|1\|D)|(kpr)|(kdp)|(train st.+moving)|(\|lc)|(penalty))"</v>
      </c>
      <c r="AG228" s="1" t="str">
        <f t="shared" si="99"/>
        <v>Other</v>
      </c>
      <c r="AH228" s="81" t="str">
        <f t="shared" si="100"/>
        <v>"%USERPROFILE%\Documents\GitHub\eaglep3\Utilities\RefineRTDCRunTimes.py" --tripid 58-10 --locoid 4015 --swversion DE.1.0.9.0 --startMP 300:23483 --initTime 2017-05-10T11:32:39 --startdatetime 2017-05-10T11:36:07 --delay 3 --endMP 204:876 --enddatetime 2017-05-10T11:43:27 --enforcementcount 0 &gt;&gt;C:\Users\stu\Documents\GitHub\eaglep3-reporting\EC\2017-05-10-refined-times.txt</v>
      </c>
      <c r="AI228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{"issue":{"subject":"","project_id":79,"tracker_id":40,"status_id":1,"priority_id":2,"assigned_to_id":23,"start_date":"2017-05-10","description":"","custom_fields":[{"id":1,"name":"Subdivision","value":"Other"},{"id":4,"name":"Milepost","value":"0.0876"},{"id":17,"name":"Train ID","value":"58-10"},{"id":16,"name":"Locomotive ID","value":"4015"},{"id":130,"name":"Impact","value":""},{"id":150,"name":"Time of Event (Mountain Time)","value":"11:43:27"},{"id":151,"name":"Denver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02"/>
        <v>start /low /b %USERPROFILE%\Documents\GitHub\eaglep3\Utilities\DownloadLogsFromS3.py --loco 4015 --day 2017-05-10</v>
      </c>
      <c r="AN228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17:43:27"},{"id":29,"name":"Sharepoint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688</v>
      </c>
      <c r="B229" s="7">
        <v>4016</v>
      </c>
      <c r="C229" s="21" t="s">
        <v>206</v>
      </c>
      <c r="D229" s="21" t="s">
        <v>910</v>
      </c>
      <c r="E229" s="13">
        <v>42865.498749999999</v>
      </c>
      <c r="F229" s="13">
        <v>42865.509363425925</v>
      </c>
      <c r="G229" s="7">
        <v>1</v>
      </c>
      <c r="H229" s="21" t="s">
        <v>911</v>
      </c>
      <c r="I229" s="13">
        <v>42865.514525462961</v>
      </c>
      <c r="J229" s="7">
        <v>0</v>
      </c>
      <c r="K229" s="92" t="str">
        <f t="shared" si="90"/>
        <v>4015/4016</v>
      </c>
      <c r="L229" s="21" t="str">
        <f>VLOOKUP(A229,'Trips&amp;Operators'!$C$1:$G$99999,5,FALSE)</f>
        <v>ROCHA YAOTL</v>
      </c>
      <c r="M229" s="6">
        <f t="shared" si="91"/>
        <v>5.1620370359160006E-3</v>
      </c>
      <c r="N229" s="7">
        <f t="shared" si="105"/>
        <v>7.4333333317190409</v>
      </c>
      <c r="O229" s="7"/>
      <c r="P229" s="7"/>
      <c r="Q229" s="22"/>
      <c r="R229" s="190"/>
      <c r="S229" s="196">
        <f t="shared" si="106"/>
        <v>0</v>
      </c>
      <c r="T229" s="190" t="e">
        <f t="shared" si="92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93"/>
        <v>https://d0f6bd738d7f1b3e5a7ca70fe4ff75f0.us-east-1.aws.found.io/app/kibana#/discover/Steve-Slow-Train-Analysis-(2080s-and-2083s)?_g=(refreshInterval:(display:Off,pause:!f,section:0,value:0),time:(from:'2017-05-10T10:58:12-0600',mode:absolute,to:'2017-05-10T13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192" t="str">
        <f t="shared" si="94"/>
        <v>Y</v>
      </c>
      <c r="X229" s="192" t="e">
        <f t="shared" si="104"/>
        <v>#VALUE!</v>
      </c>
      <c r="Y229" s="192">
        <f t="shared" si="107"/>
        <v>0.1188</v>
      </c>
      <c r="Z229" s="192">
        <f t="shared" si="108"/>
        <v>2.4207999999999998</v>
      </c>
      <c r="AA229" s="192">
        <f t="shared" si="95"/>
        <v>2.302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6"/>
        <v>59-10</v>
      </c>
      <c r="AE229" s="80" t="str">
        <f t="shared" si="97"/>
        <v>aws s3 cp s3://rtdc.mdm.uploadarchive.raw/RTDC4016/ "%USERPROFILE%\AppData\Local\Temp\OnboardLogs"\RTDC4016\2017-05-10 --exclude "*" --recursive --include "*20170510*" &amp; "%USERPROFILE%\Documents\GitHub\mrs-test-scripts\Headless Mode &amp; Sideloading\WalkAndUnGZ.bat" "%USERPROFILE%\AppData\Local\Temp\OnboardLogs"\RTDC4016\2017-05-10 &amp; 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</v>
      </c>
      <c r="AF229" s="77" t="str">
        <f t="shared" si="98"/>
        <v>"C:\Program Files (x86)\AstroGrep\AstroGrep.exe" /e /r /s /spath="%USERPROFILE%\AppData\Local\Temp\OnboardLogs" /stypes="app*4016*20170510*" /stext=" 18:.+((SYSTEM_STATE.+slice.+state.+changed )|(ment ac)|(multiple cpu faults)|(system.+state.+changed )|(\[timeout)|(PRM\|1\|D)|(kpr)|(kdp)|(train st.+moving)|(\|lc)|(penalty))"</v>
      </c>
      <c r="AG229" s="1" t="str">
        <f t="shared" si="99"/>
        <v>Other</v>
      </c>
      <c r="AH229" s="81" t="str">
        <f t="shared" si="100"/>
        <v>"%USERPROFILE%\Documents\GitHub\eaglep3\Utilities\RefineRTDCRunTimes.py" --tripid 59-10 --locoid 4016 --swversion DE.1.0.9.0 --startMP 204:1188 --initTime 2017-05-10T11:58:12 --startdatetime 2017-05-10T12:13:29 --delay 1 --endMP 300:24208 --enddatetime 2017-05-10T12:20:55 --enforcementcount 0 &gt;&gt;C:\Users\stu\Documents\GitHub\eaglep3-reporting\EC\2017-05-10-refined-times.txt</v>
      </c>
      <c r="AI229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{"issue":{"subject":"","project_id":79,"tracker_id":40,"status_id":1,"priority_id":2,"assigned_to_id":23,"start_date":"2017-05-10","description":"","custom_fields":[{"id":1,"name":"Subdivision","value":"Other"},{"id":4,"name":"Milepost","value":"2.4208"},{"id":17,"name":"Train ID","value":"59-10"},{"id":16,"name":"Locomotive ID","value":"4016"},{"id":130,"name":"Impact","value":""},{"id":150,"name":"Time of Event (Mountain Time)","value":"12:20:55"},{"id":151,"name":"Denver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02"/>
        <v>start /low /b %USERPROFILE%\Documents\GitHub\eaglep3\Utilities\DownloadLogsFromS3.py --loco 4016 --day 2017-05-10</v>
      </c>
      <c r="AN229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18:20:55"},{"id":29,"name":"Sharepoint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816</v>
      </c>
      <c r="B230" s="7">
        <v>4013</v>
      </c>
      <c r="C230" s="21" t="s">
        <v>206</v>
      </c>
      <c r="D230" s="21" t="s">
        <v>912</v>
      </c>
      <c r="E230" s="13">
        <v>42866.111944444441</v>
      </c>
      <c r="F230" s="13">
        <v>42866.132511574076</v>
      </c>
      <c r="G230" s="7">
        <v>0</v>
      </c>
      <c r="H230" s="21" t="s">
        <v>913</v>
      </c>
      <c r="I230" s="13">
        <v>42866.139733796299</v>
      </c>
      <c r="J230" s="7">
        <v>0</v>
      </c>
      <c r="K230" s="92" t="str">
        <f t="shared" si="90"/>
        <v>4013/4014</v>
      </c>
      <c r="L230" s="21" t="str">
        <f>VLOOKUP(A230,'Trips&amp;Operators'!$C$1:$G$99999,5,FALSE)</f>
        <v>GUZMAN DANNY</v>
      </c>
      <c r="M230" s="6">
        <f t="shared" si="91"/>
        <v>7.2222222224809229E-3</v>
      </c>
      <c r="N230" s="7">
        <f t="shared" si="105"/>
        <v>10.400000000372529</v>
      </c>
      <c r="O230" s="7"/>
      <c r="P230" s="7"/>
      <c r="Q230" s="22"/>
      <c r="R230" s="190"/>
      <c r="S230" s="196">
        <f t="shared" si="106"/>
        <v>0</v>
      </c>
      <c r="T230" s="190" t="e">
        <f t="shared" si="92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93"/>
        <v>https://d0f6bd738d7f1b3e5a7ca70fe4ff75f0.us-east-1.aws.found.io/app/kibana#/discover/Steve-Slow-Train-Analysis-(2080s-and-2083s)?_g=(refreshInterval:(display:Off,pause:!f,section:0,value:0),time:(from:'2017-05-11T01:41:12-0600',mode:absolute,to:'2017-05-11T04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0" s="192" t="str">
        <f t="shared" si="94"/>
        <v>Y</v>
      </c>
      <c r="X230" s="192" t="e">
        <f t="shared" si="104"/>
        <v>#VALUE!</v>
      </c>
      <c r="Y230" s="192">
        <f t="shared" si="107"/>
        <v>3.0895999999999999</v>
      </c>
      <c r="Z230" s="192">
        <f t="shared" si="108"/>
        <v>3.6600000000000001E-2</v>
      </c>
      <c r="AA230" s="192">
        <f t="shared" si="95"/>
        <v>3.0529999999999999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6"/>
        <v>60-11</v>
      </c>
      <c r="AE230" s="80" t="str">
        <f t="shared" si="97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30" s="77" t="str">
        <f t="shared" si="98"/>
        <v>"C:\Program Files (x86)\AstroGrep\AstroGrep.exe" /e /r /s /spath="%USERPROFILE%\AppData\Local\Temp\OnboardLogs" /stypes="app*4013*20170511*" /stext=" 09:.+((SYSTEM_STATE.+slice.+state.+changed )|(ment ac)|(multiple cpu faults)|(system.+state.+changed )|(\[timeout)|(PRM\|1\|D)|(kpr)|(kdp)|(train st.+moving)|(\|lc)|(penalty))"</v>
      </c>
      <c r="AG230" s="1" t="str">
        <f t="shared" si="99"/>
        <v>Other</v>
      </c>
      <c r="AH230" s="81" t="str">
        <f t="shared" si="100"/>
        <v>"%USERPROFILE%\Documents\GitHub\eaglep3\Utilities\RefineRTDCRunTimes.py" --tripid 60-11 --locoid 4013 --swversion DE.1.0.9.0 --startMP 300:30896 --initTime 2017-05-11T02:41:12 --startdatetime 2017-05-11T03:10:49 --delay 0 --endMP 204:366 --enddatetime 2017-05-11T03:21:13 --enforcementcount 0 &gt;&gt;C:\Users\stu\Documents\GitHub\eaglep3-reporting\EC\2017-05-10-refined-times.txt</v>
      </c>
      <c r="AI230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{"issue":{"subject":"","project_id":79,"tracker_id":40,"status_id":1,"priority_id":2,"assigned_to_id":23,"start_date":"2017-05-11","description":"","custom_fields":[{"id":1,"name":"Subdivision","value":"Other"},{"id":4,"name":"Milepost","value":"0.0366"},{"id":17,"name":"Train ID","value":"60-11"},{"id":16,"name":"Locomotive ID","value":"4013"},{"id":130,"name":"Impact","value":""},{"id":150,"name":"Time of Event (Mountain Time)","value":"03:21:13"},{"id":151,"name":"Denver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02"/>
        <v>start /low /b %USERPROFILE%\Documents\GitHub\eaglep3\Utilities\DownloadLogsFromS3.py --loco 4013 --day 2017-05-11</v>
      </c>
      <c r="AN230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816</v>
      </c>
      <c r="B231" s="7">
        <v>4013</v>
      </c>
      <c r="C231" s="21" t="s">
        <v>206</v>
      </c>
      <c r="D231" s="21" t="s">
        <v>914</v>
      </c>
      <c r="E231" s="13">
        <v>42866.093692129631</v>
      </c>
      <c r="F231" s="13">
        <v>42866.113344907404</v>
      </c>
      <c r="G231" s="7">
        <v>1</v>
      </c>
      <c r="H231" s="21" t="s">
        <v>915</v>
      </c>
      <c r="I231" s="13">
        <v>42866.120833333334</v>
      </c>
      <c r="J231" s="7">
        <v>0</v>
      </c>
      <c r="K231" s="92" t="str">
        <f t="shared" si="90"/>
        <v>4013/4014</v>
      </c>
      <c r="L231" s="21" t="str">
        <f>VLOOKUP(A231,'Trips&amp;Operators'!$C$1:$G$99999,5,FALSE)</f>
        <v>GUZMAN DANNY</v>
      </c>
      <c r="M231" s="6">
        <f t="shared" si="91"/>
        <v>7.4884259302052669E-3</v>
      </c>
      <c r="N231" s="7">
        <f t="shared" si="105"/>
        <v>10.783333339495584</v>
      </c>
      <c r="O231" s="7"/>
      <c r="P231" s="7"/>
      <c r="Q231" s="22"/>
      <c r="R231" s="190"/>
      <c r="S231" s="196">
        <f t="shared" si="106"/>
        <v>0</v>
      </c>
      <c r="T231" s="190" t="e">
        <f t="shared" si="92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93"/>
        <v>https://d0f6bd738d7f1b3e5a7ca70fe4ff75f0.us-east-1.aws.found.io/app/kibana#/discover/Steve-Slow-Train-Analysis-(2080s-and-2083s)?_g=(refreshInterval:(display:Off,pause:!f,section:0,value:0),time:(from:'2017-05-11T01:14:55-0600',mode:absolute,to:'2017-05-11T03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1" s="192" t="str">
        <f t="shared" si="94"/>
        <v>Y</v>
      </c>
      <c r="X231" s="192" t="e">
        <f t="shared" si="104"/>
        <v>#VALUE!</v>
      </c>
      <c r="Y231" s="192">
        <f t="shared" si="107"/>
        <v>3.1067999999999998</v>
      </c>
      <c r="Z231" s="192">
        <f t="shared" si="108"/>
        <v>2.5600000000000001E-2</v>
      </c>
      <c r="AA231" s="192">
        <f t="shared" si="95"/>
        <v>3.0811999999999999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6"/>
        <v>60-11</v>
      </c>
      <c r="AE231" s="80" t="str">
        <f t="shared" si="97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31" s="77" t="str">
        <f t="shared" si="98"/>
        <v>"C:\Program Files (x86)\AstroGrep\AstroGrep.exe" /e /r /s /spath="%USERPROFILE%\AppData\Local\Temp\OnboardLogs" /stypes="app*4013*20170511*" /stext=" 08:.+((SYSTEM_STATE.+slice.+state.+changed )|(ment ac)|(multiple cpu faults)|(system.+state.+changed )|(\[timeout)|(PRM\|1\|D)|(kpr)|(kdp)|(train st.+moving)|(\|lc)|(penalty))"</v>
      </c>
      <c r="AG231" s="1" t="str">
        <f t="shared" si="99"/>
        <v>Other</v>
      </c>
      <c r="AH231" s="81" t="str">
        <f t="shared" si="100"/>
        <v>"%USERPROFILE%\Documents\GitHub\eaglep3\Utilities\RefineRTDCRunTimes.py" --tripid 60-11 --locoid 4013 --swversion DE.1.0.9.0 --startMP 300:31068 --initTime 2017-05-11T02:14:55 --startdatetime 2017-05-11T02:43:13 --delay 1 --endMP 204:256 --enddatetime 2017-05-11T02:54:00 --enforcementcount 0 &gt;&gt;C:\Users\stu\Documents\GitHub\eaglep3-reporting\EC\2017-05-10-refined-times.txt</v>
      </c>
      <c r="AI231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{"issue":{"subject":"","project_id":79,"tracker_id":40,"status_id":1,"priority_id":2,"assigned_to_id":23,"start_date":"2017-05-11","description":"","custom_fields":[{"id":1,"name":"Subdivision","value":"Other"},{"id":4,"name":"Milepost","value":"0.0256"},{"id":17,"name":"Train ID","value":"60-11"},{"id":16,"name":"Locomotive ID","value":"4013"},{"id":130,"name":"Impact","value":""},{"id":150,"name":"Time of Event (Mountain Time)","value":"02:54:00"},{"id":151,"name":"Denver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02"/>
        <v>start /low /b %USERPROFILE%\Documents\GitHub\eaglep3\Utilities\DownloadLogsFromS3.py --loco 4013 --day 2017-05-11</v>
      </c>
      <c r="AN231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08:54:00"},{"id":29,"name":"Sharepoint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814</v>
      </c>
      <c r="B232" s="7">
        <v>4014</v>
      </c>
      <c r="C232" s="21" t="s">
        <v>206</v>
      </c>
      <c r="D232" s="21" t="s">
        <v>381</v>
      </c>
      <c r="E232" s="13">
        <v>42866.084166666667</v>
      </c>
      <c r="F232" s="13">
        <v>42866.105150462965</v>
      </c>
      <c r="G232" s="7">
        <v>3</v>
      </c>
      <c r="H232" s="21" t="s">
        <v>916</v>
      </c>
      <c r="I232" s="13">
        <v>42866.110856481479</v>
      </c>
      <c r="J232" s="7">
        <v>0</v>
      </c>
      <c r="K232" s="92" t="str">
        <f t="shared" si="90"/>
        <v>4013/4014</v>
      </c>
      <c r="L232" s="21" t="str">
        <f>VLOOKUP(A232,'Trips&amp;Operators'!$C$1:$G$99999,5,FALSE)</f>
        <v>GUZMAN DANNY</v>
      </c>
      <c r="M232" s="6">
        <f t="shared" si="91"/>
        <v>5.7060185135924257E-3</v>
      </c>
      <c r="N232" s="7">
        <f t="shared" si="105"/>
        <v>8.2166666595730931</v>
      </c>
      <c r="O232" s="7"/>
      <c r="P232" s="7"/>
      <c r="Q232" s="22"/>
      <c r="R232" s="190"/>
      <c r="S232" s="196">
        <f t="shared" si="106"/>
        <v>0</v>
      </c>
      <c r="T232" s="190" t="e">
        <f t="shared" si="92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93"/>
        <v>https://d0f6bd738d7f1b3e5a7ca70fe4ff75f0.us-east-1.aws.found.io/app/kibana#/discover/Steve-Slow-Train-Analysis-(2080s-and-2083s)?_g=(refreshInterval:(display:Off,pause:!f,section:0,value:0),time:(from:'2017-05-11T01:01:12-0600',mode:absolute,to:'2017-05-11T03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2" s="192" t="str">
        <f t="shared" si="94"/>
        <v>Y</v>
      </c>
      <c r="X232" s="192" t="e">
        <f t="shared" si="104"/>
        <v>#VALUE!</v>
      </c>
      <c r="Y232" s="192">
        <f t="shared" si="107"/>
        <v>4.3700000000000003E-2</v>
      </c>
      <c r="Z232" s="192">
        <f t="shared" si="108"/>
        <v>3.1381999999999999</v>
      </c>
      <c r="AA232" s="192">
        <f t="shared" si="95"/>
        <v>3.0945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6"/>
        <v>61-11</v>
      </c>
      <c r="AE232" s="80" t="str">
        <f t="shared" si="97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32" s="77" t="str">
        <f t="shared" si="98"/>
        <v>"C:\Program Files (x86)\AstroGrep\AstroGrep.exe" /e /r /s /spath="%USERPROFILE%\AppData\Local\Temp\OnboardLogs" /stypes="app*4014*20170511*" /stext=" 08:.+((SYSTEM_STATE.+slice.+state.+changed )|(ment ac)|(multiple cpu faults)|(system.+state.+changed )|(\[timeout)|(PRM\|1\|D)|(kpr)|(kdp)|(train st.+moving)|(\|lc)|(penalty))"</v>
      </c>
      <c r="AG232" s="1" t="str">
        <f t="shared" si="99"/>
        <v>Other</v>
      </c>
      <c r="AH232" s="81" t="str">
        <f t="shared" si="100"/>
        <v>"%USERPROFILE%\Documents\GitHub\eaglep3\Utilities\RefineRTDCRunTimes.py" --tripid 61-11 --locoid 4014 --swversion DE.1.0.9.0 --startMP 204:437 --initTime 2017-05-11T02:01:12 --startdatetime 2017-05-11T02:31:25 --delay 3 --endMP 300:31382 --enddatetime 2017-05-11T02:39:38 --enforcementcount 0 &gt;&gt;C:\Users\stu\Documents\GitHub\eaglep3-reporting\EC\2017-05-10-refined-times.txt</v>
      </c>
      <c r="AI232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{"issue":{"subject":"","project_id":79,"tracker_id":40,"status_id":1,"priority_id":2,"assigned_to_id":23,"start_date":"2017-05-11","description":"","custom_fields":[{"id":1,"name":"Subdivision","value":"Other"},{"id":4,"name":"Milepost","value":"3.1382"},{"id":17,"name":"Train ID","value":"61-11"},{"id":16,"name":"Locomotive ID","value":"4014"},{"id":130,"name":"Impact","value":""},{"id":150,"name":"Time of Event (Mountain Time)","value":"02:39:38"},{"id":151,"name":"Denver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02"/>
        <v>start /low /b %USERPROFILE%\Documents\GitHub\eaglep3\Utilities\DownloadLogsFromS3.py --loco 4014 --day 2017-05-11</v>
      </c>
      <c r="AN232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08:39:38"},{"id":29,"name":"Sharepoint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814</v>
      </c>
      <c r="B233" s="7">
        <v>4014</v>
      </c>
      <c r="C233" s="21" t="s">
        <v>206</v>
      </c>
      <c r="D233" s="21" t="s">
        <v>917</v>
      </c>
      <c r="E233" s="13">
        <v>42866.103819444441</v>
      </c>
      <c r="F233" s="13">
        <v>42866.124247685184</v>
      </c>
      <c r="G233" s="7">
        <v>0</v>
      </c>
      <c r="H233" s="21" t="s">
        <v>918</v>
      </c>
      <c r="I233" s="13">
        <v>42866.129189814812</v>
      </c>
      <c r="J233" s="7">
        <v>0</v>
      </c>
      <c r="K233" s="92" t="str">
        <f t="shared" si="90"/>
        <v>4013/4014</v>
      </c>
      <c r="L233" s="21" t="str">
        <f>VLOOKUP(A233,'Trips&amp;Operators'!$C$1:$G$99999,5,FALSE)</f>
        <v>GUZMAN DANNY</v>
      </c>
      <c r="M233" s="6">
        <f t="shared" si="91"/>
        <v>4.9421296280343086E-3</v>
      </c>
      <c r="N233" s="7">
        <f t="shared" si="105"/>
        <v>7.1166666643694043</v>
      </c>
      <c r="O233" s="7"/>
      <c r="P233" s="7"/>
      <c r="Q233" s="22"/>
      <c r="R233" s="190"/>
      <c r="S233" s="196">
        <f t="shared" si="106"/>
        <v>0</v>
      </c>
      <c r="T233" s="190" t="e">
        <f t="shared" si="92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93"/>
        <v>https://d0f6bd738d7f1b3e5a7ca70fe4ff75f0.us-east-1.aws.found.io/app/kibana#/discover/Steve-Slow-Train-Analysis-(2080s-and-2083s)?_g=(refreshInterval:(display:Off,pause:!f,section:0,value:0),time:(from:'2017-05-11T01:29:30-0600',mode:absolute,to:'2017-05-11T04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3" s="192" t="str">
        <f t="shared" si="94"/>
        <v>Y</v>
      </c>
      <c r="X233" s="192" t="e">
        <f t="shared" si="104"/>
        <v>#VALUE!</v>
      </c>
      <c r="Y233" s="192">
        <f t="shared" si="107"/>
        <v>5.6500000000000002E-2</v>
      </c>
      <c r="Z233" s="192">
        <f t="shared" si="108"/>
        <v>3.121</v>
      </c>
      <c r="AA233" s="192">
        <f t="shared" si="95"/>
        <v>3.0644999999999998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96"/>
        <v>61-11</v>
      </c>
      <c r="AE233" s="80" t="str">
        <f t="shared" si="97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33" s="77" t="str">
        <f t="shared" si="98"/>
        <v>"C:\Program Files (x86)\AstroGrep\AstroGrep.exe" /e /r /s /spath="%USERPROFILE%\AppData\Local\Temp\OnboardLogs" /stypes="app*4014*20170511*" /stext=" 09:.+((SYSTEM_STATE.+slice.+state.+changed )|(ment ac)|(multiple cpu faults)|(system.+state.+changed )|(\[timeout)|(PRM\|1\|D)|(kpr)|(kdp)|(train st.+moving)|(\|lc)|(penalty))"</v>
      </c>
      <c r="AG233" s="1" t="str">
        <f t="shared" si="99"/>
        <v>Other</v>
      </c>
      <c r="AH233" s="81" t="str">
        <f t="shared" si="100"/>
        <v>"%USERPROFILE%\Documents\GitHub\eaglep3\Utilities\RefineRTDCRunTimes.py" --tripid 61-11 --locoid 4014 --swversion DE.1.0.9.0 --startMP 204:565 --initTime 2017-05-11T02:29:30 --startdatetime 2017-05-11T02:58:55 --delay 0 --endMP 300:31210 --enddatetime 2017-05-11T03:06:02 --enforcementcount 0 &gt;&gt;C:\Users\stu\Documents\GitHub\eaglep3-reporting\EC\2017-05-10-refined-times.txt</v>
      </c>
      <c r="AI233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{"issue":{"subject":"","project_id":79,"tracker_id":40,"status_id":1,"priority_id":2,"assigned_to_id":23,"start_date":"2017-05-11","description":"","custom_fields":[{"id":1,"name":"Subdivision","value":"Other"},{"id":4,"name":"Milepost","value":"3.121"},{"id":17,"name":"Train ID","value":"61-11"},{"id":16,"name":"Locomotive ID","value":"4014"},{"id":130,"name":"Impact","value":""},{"id":150,"name":"Time of Event (Mountain Time)","value":"03:06:02"},{"id":151,"name":"Denver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02"/>
        <v>start /low /b %USERPROFILE%\Documents\GitHub\eaglep3\Utilities\DownloadLogsFromS3.py --loco 4014 --day 2017-05-11</v>
      </c>
      <c r="AN233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591</v>
      </c>
      <c r="B234" s="7">
        <v>4015</v>
      </c>
      <c r="C234" s="21" t="s">
        <v>206</v>
      </c>
      <c r="D234" s="21" t="s">
        <v>919</v>
      </c>
      <c r="E234" s="13">
        <v>42865.717881944445</v>
      </c>
      <c r="F234" s="13">
        <v>42865.723483796297</v>
      </c>
      <c r="G234" s="7">
        <v>8</v>
      </c>
      <c r="H234" s="21">
        <v>8.5361111111111114</v>
      </c>
      <c r="I234" s="13">
        <v>42865.730138888888</v>
      </c>
      <c r="J234" s="7">
        <v>0</v>
      </c>
      <c r="K234" s="92" t="str">
        <f t="shared" si="90"/>
        <v>4015/4016</v>
      </c>
      <c r="L234" s="21" t="str">
        <f>VLOOKUP(A234,'Trips&amp;Operators'!$C$1:$G$99999,5,FALSE)</f>
        <v>STORY SAMANTHA</v>
      </c>
      <c r="M234" s="6">
        <f t="shared" si="91"/>
        <v>6.655092591245193E-3</v>
      </c>
      <c r="N234" s="7">
        <f t="shared" si="105"/>
        <v>9.583333331393078</v>
      </c>
      <c r="O234" s="7"/>
      <c r="P234" s="7"/>
      <c r="Q234" s="22"/>
      <c r="R234" s="190"/>
      <c r="S234" s="196">
        <f t="shared" si="106"/>
        <v>0</v>
      </c>
      <c r="T234" s="190" t="e">
        <f t="shared" si="92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93"/>
        <v>https://d0f6bd738d7f1b3e5a7ca70fe4ff75f0.us-east-1.aws.found.io/app/kibana#/discover/Steve-Slow-Train-Analysis-(2080s-and-2083s)?_g=(refreshInterval:(display:Off,pause:!f,section:0,value:0),time:(from:'2017-05-10T16:13:45-0600',mode:absolute,to:'2017-05-10T18:31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4" s="192" t="str">
        <f t="shared" si="94"/>
        <v>N</v>
      </c>
      <c r="X234" s="192" t="e">
        <f t="shared" si="104"/>
        <v>#VALUE!</v>
      </c>
      <c r="Y234" s="192">
        <f t="shared" si="107"/>
        <v>2.3662999999999998</v>
      </c>
      <c r="Z234" s="192">
        <f t="shared" si="108"/>
        <v>61111111.111100003</v>
      </c>
      <c r="AA234" s="192">
        <f t="shared" si="95"/>
        <v>61111108.744800001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96"/>
        <v>66-10</v>
      </c>
      <c r="AE234" s="80" t="str">
        <f t="shared" si="97"/>
        <v>aws s3 cp s3://rtdc.mdm.uploadarchive.raw/RTDC4015/ "%USERPROFILE%\AppData\Local\Temp\OnboardLogs"\RTDC4015\2017-05-10 --exclude "*" --recursive --include "*20170510*" &amp; "%USERPROFILE%\Documents\GitHub\mrs-test-scripts\Headless Mode &amp; Sideloading\WalkAndUnGZ.bat" "%USERPROFILE%\AppData\Local\Temp\OnboardLogs"\RTDC4015\2017-05-10 &amp; 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</v>
      </c>
      <c r="AF234" s="77" t="str">
        <f t="shared" si="98"/>
        <v>"C:\Program Files (x86)\AstroGrep\AstroGrep.exe" /e /r /s /spath="%USERPROFILE%\AppData\Local\Temp\OnboardLogs" /stypes="app*4015*20170510*" /stext=" 23:.+((SYSTEM_STATE.+slice.+state.+changed )|(ment ac)|(multiple cpu faults)|(system.+state.+changed )|(\[timeout)|(PRM\|1\|D)|(kpr)|(kdp)|(train st.+moving)|(\|lc)|(penalty))"</v>
      </c>
      <c r="AG234" s="1" t="str">
        <f t="shared" si="99"/>
        <v>Other</v>
      </c>
      <c r="AH234" s="81" t="str">
        <f t="shared" si="100"/>
        <v>"%USERPROFILE%\Documents\GitHub\eaglep3\Utilities\RefineRTDCRunTimes.py" --tripid 66-10 --locoid 4015 --swversion DE.1.0.9.0 --startMP 300:23663 --initTime 2017-05-10T17:13:45 --startdatetime 2017-05-10T17:21:49 --delay 8 --endMP 8.53611111111111 --enddatetime 2017-05-10T17:31:24 --enforcementcount 0 &gt;&gt;C:\Users\stu\Documents\GitHub\eaglep3-reporting\EC\2017-05-10-refined-times.txt</v>
      </c>
      <c r="AI234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61111111.1111"},{"id":17,"name":"Train ID","value":"66-10"},{"id":16,"name":"Locomotive ID","value":"4015"},{"id":130,"name":"Impact","value":""},{"id":150,"name":"Time of Event (Mountain Time)","value":"17:31:24"},{"id":151,"name":"Denver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02"/>
        <v>start /low /b %USERPROFILE%\Documents\GitHub\eaglep3\Utilities\DownloadLogsFromS3.py --loco 4015 --day 2017-05-10</v>
      </c>
      <c r="AN234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23:31:24"},{"id":29,"name":"Sharepoint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758</v>
      </c>
      <c r="B235" s="7">
        <v>4016</v>
      </c>
      <c r="C235" s="21" t="s">
        <v>206</v>
      </c>
      <c r="D235" s="21" t="s">
        <v>920</v>
      </c>
      <c r="E235" s="13">
        <v>42865.751655092594</v>
      </c>
      <c r="F235" s="13">
        <v>42865.769143518519</v>
      </c>
      <c r="G235" s="7">
        <v>1</v>
      </c>
      <c r="H235" s="21" t="s">
        <v>543</v>
      </c>
      <c r="I235" s="13">
        <v>42865.778483796297</v>
      </c>
      <c r="J235" s="7">
        <v>0</v>
      </c>
      <c r="K235" s="92" t="str">
        <f t="shared" si="90"/>
        <v>4015/4016</v>
      </c>
      <c r="L235" s="21" t="str">
        <f>VLOOKUP(A235,'Trips&amp;Operators'!$C$1:$G$99999,5,FALSE)</f>
        <v>CLARK KATHLEEN</v>
      </c>
      <c r="M235" s="6">
        <f t="shared" si="91"/>
        <v>9.340277778392192E-3</v>
      </c>
      <c r="N235" s="7">
        <f t="shared" si="105"/>
        <v>13.450000000884756</v>
      </c>
      <c r="O235" s="7"/>
      <c r="P235" s="7"/>
      <c r="Q235" s="22"/>
      <c r="R235" s="190"/>
      <c r="S235" s="196">
        <f t="shared" si="106"/>
        <v>0</v>
      </c>
      <c r="T235" s="190" t="e">
        <f t="shared" si="92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93"/>
        <v>https://d0f6bd738d7f1b3e5a7ca70fe4ff75f0.us-east-1.aws.found.io/app/kibana#/discover/Steve-Slow-Train-Analysis-(2080s-and-2083s)?_g=(refreshInterval:(display:Off,pause:!f,section:0,value:0),time:(from:'2017-05-10T17:02:23-0600',mode:absolute,to:'2017-05-10T19:41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5" s="192" t="str">
        <f t="shared" si="94"/>
        <v>Y</v>
      </c>
      <c r="X235" s="192" t="e">
        <f t="shared" si="104"/>
        <v>#VALUE!</v>
      </c>
      <c r="Y235" s="192">
        <f t="shared" si="107"/>
        <v>3.6499999999999998E-2</v>
      </c>
      <c r="Z235" s="192">
        <f t="shared" si="108"/>
        <v>2.3302</v>
      </c>
      <c r="AA235" s="192">
        <f t="shared" si="95"/>
        <v>2.2936999999999999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96"/>
        <v>69-10</v>
      </c>
      <c r="AE235" s="80" t="str">
        <f t="shared" si="97"/>
        <v>aws s3 cp s3://rtdc.mdm.uploadarchive.raw/RTDC4016/ "%USERPROFILE%\AppData\Local\Temp\OnboardLogs"\RTDC4016\2017-05-10 --exclude "*" --recursive --include "*20170510*" &amp; "%USERPROFILE%\Documents\GitHub\mrs-test-scripts\Headless Mode &amp; Sideloading\WalkAndUnGZ.bat" "%USERPROFILE%\AppData\Local\Temp\OnboardLogs"\RTDC4016\2017-05-10 &amp; 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</v>
      </c>
      <c r="AF235" s="77" t="str">
        <f t="shared" si="98"/>
        <v>"C:\Program Files (x86)\AstroGrep\AstroGrep.exe" /e /r /s /spath="%USERPROFILE%\AppData\Local\Temp\OnboardLogs" /stypes="app*4016*20170511*" /stext=" 00:.+((SYSTEM_STATE.+slice.+state.+changed )|(ment ac)|(multiple cpu faults)|(system.+state.+changed )|(\[timeout)|(PRM\|1\|D)|(kpr)|(kdp)|(train st.+moving)|(\|lc)|(penalty))"</v>
      </c>
      <c r="AG235" s="1" t="str">
        <f t="shared" si="99"/>
        <v>Other</v>
      </c>
      <c r="AH235" s="81" t="str">
        <f t="shared" si="100"/>
        <v>"%USERPROFILE%\Documents\GitHub\eaglep3\Utilities\RefineRTDCRunTimes.py" --tripid 69-10 --locoid 4016 --swversion DE.1.0.9.0 --startMP 204:365 --initTime 2017-05-10T18:02:23 --startdatetime 2017-05-10T18:27:34 --delay 1 --endMP 300:23302 --enddatetime 2017-05-10T18:41:01 --enforcementcount 0 &gt;&gt;C:\Users\stu\Documents\GitHub\eaglep3-reporting\EC\2017-05-10-refined-times.txt</v>
      </c>
      <c r="AI235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{"issue":{"subject":"","project_id":79,"tracker_id":40,"status_id":1,"priority_id":2,"assigned_to_id":23,"start_date":"2017-05-10","description":"","custom_fields":[{"id":1,"name":"Subdivision","value":"Other"},{"id":4,"name":"Milepost","value":"2.3302"},{"id":17,"name":"Train ID","value":"69-10"},{"id":16,"name":"Locomotive ID","value":"4016"},{"id":130,"name":"Impact","value":""},{"id":150,"name":"Time of Event (Mountain Time)","value":"18:41:01"},{"id":151,"name":"Denver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02"/>
        <v>start /low /b %USERPROFILE%\Documents\GitHub\eaglep3\Utilities\DownloadLogsFromS3.py --loco 4016 --day 2017-05-10</v>
      </c>
      <c r="AN235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00:41:01"},{"id":29,"name":"Sharepoint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592</v>
      </c>
      <c r="B236" s="7">
        <v>4051</v>
      </c>
      <c r="C236" s="21" t="s">
        <v>206</v>
      </c>
      <c r="D236" s="21" t="s">
        <v>921</v>
      </c>
      <c r="E236" s="13">
        <v>42865.735069444447</v>
      </c>
      <c r="F236" s="13">
        <v>42865.744328703702</v>
      </c>
      <c r="G236" s="7">
        <v>13</v>
      </c>
      <c r="H236" s="21" t="s">
        <v>922</v>
      </c>
      <c r="I236" s="13">
        <v>42865.749247685184</v>
      </c>
      <c r="J236" s="7">
        <v>0</v>
      </c>
      <c r="K236" s="92" t="str">
        <f t="shared" si="90"/>
        <v>4051/4052</v>
      </c>
      <c r="L236" s="21" t="str">
        <f>VLOOKUP(A236,'Trips&amp;Operators'!$C$1:$G$99999,5,FALSE)</f>
        <v>BROWN JACOB</v>
      </c>
      <c r="M236" s="6">
        <f t="shared" si="91"/>
        <v>4.9189814817509614E-3</v>
      </c>
      <c r="N236" s="7">
        <f t="shared" si="105"/>
        <v>7.0833333337213844</v>
      </c>
      <c r="O236" s="7"/>
      <c r="P236" s="7"/>
      <c r="Q236" s="22"/>
      <c r="R236" s="190"/>
      <c r="S236" s="196">
        <f t="shared" si="106"/>
        <v>0</v>
      </c>
      <c r="T236" s="190" t="e">
        <f t="shared" si="92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93"/>
        <v>https://d0f6bd738d7f1b3e5a7ca70fe4ff75f0.us-east-1.aws.found.io/app/kibana#/discover/Steve-Slow-Train-Analysis-(2080s-and-2083s)?_g=(refreshInterval:(display:Off,pause:!f,section:0,value:0),time:(from:'2017-05-10T16:38:30-0600',mode:absolute,to:'2017-05-10T18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6" s="192" t="str">
        <f t="shared" si="94"/>
        <v>Y</v>
      </c>
      <c r="X236" s="192" t="e">
        <f t="shared" si="104"/>
        <v>#VALUE!</v>
      </c>
      <c r="Y236" s="192">
        <f t="shared" si="107"/>
        <v>2.3193999999999999</v>
      </c>
      <c r="Z236" s="192">
        <f t="shared" si="108"/>
        <v>9.9099999999999994E-2</v>
      </c>
      <c r="AA236" s="192">
        <f t="shared" si="95"/>
        <v>2.2202999999999999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96"/>
        <v>70-10</v>
      </c>
      <c r="AE236" s="80" t="str">
        <f t="shared" si="97"/>
        <v>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 &amp; aws s3 cp s3://rtdc.mdm.uploadarchive.raw/RTDC4051/ "%USERPROFILE%\AppData\Local\Temp\OnboardLogs"\RTDC4051\2017-05-11 --exclude "*" --recursive --include "*20170511*" &amp; "%USERPROFILE%\Documents\GitHub\mrs-test-scripts\Headless Mode &amp; Sideloading\WalkAndUnGZ.bat" "%USERPROFILE%\AppData\Local\Temp\OnboardLogs"\RTDC4051\2017-05-11</v>
      </c>
      <c r="AF236" s="77" t="str">
        <f t="shared" si="98"/>
        <v>"C:\Program Files (x86)\AstroGrep\AstroGrep.exe" /e /r /s /spath="%USERPROFILE%\AppData\Local\Temp\OnboardLogs" /stypes="app*4051*20170510*" /stext=" 23:.+((SYSTEM_STATE.+slice.+state.+changed )|(ment ac)|(multiple cpu faults)|(system.+state.+changed )|(\[timeout)|(PRM\|1\|D)|(kpr)|(kdp)|(train st.+moving)|(\|lc)|(penalty))"</v>
      </c>
      <c r="AG236" s="1" t="str">
        <f t="shared" si="99"/>
        <v>Other</v>
      </c>
      <c r="AH236" s="81" t="str">
        <f t="shared" si="100"/>
        <v>"%USERPROFILE%\Documents\GitHub\eaglep3\Utilities\RefineRTDCRunTimes.py" --tripid 70-10 --locoid 4051 --swversion DE.1.0.9.0 --startMP 300:23194 --initTime 2017-05-10T17:38:30 --startdatetime 2017-05-10T17:51:50 --delay 13 --endMP 204:991 --enddatetime 2017-05-10T17:58:55 --enforcementcount 0 &gt;&gt;C:\Users\stu\Documents\GitHub\eaglep3-reporting\EC\2017-05-10-refined-times.txt</v>
      </c>
      <c r="AI236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{"issue":{"subject":"","project_id":79,"tracker_id":40,"status_id":1,"priority_id":2,"assigned_to_id":23,"start_date":"2017-05-10","description":"","custom_fields":[{"id":1,"name":"Subdivision","value":"Other"},{"id":4,"name":"Milepost","value":"0.0991"},{"id":17,"name":"Train ID","value":"70-10"},{"id":16,"name":"Locomotive ID","value":"4051"},{"id":130,"name":"Impact","value":""},{"id":150,"name":"Time of Event (Mountain Time)","value":"17:58:55"},{"id":151,"name":"Denver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02"/>
        <v>start /low /b %USERPROFILE%\Documents\GitHub\eaglep3\Utilities\DownloadLogsFromS3.py --loco 4051 --day 2017-05-10</v>
      </c>
      <c r="AN236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595</v>
      </c>
      <c r="B237" s="7">
        <v>4001</v>
      </c>
      <c r="C237" s="21" t="s">
        <v>206</v>
      </c>
      <c r="D237" s="21" t="s">
        <v>923</v>
      </c>
      <c r="E237" s="13">
        <v>42865.735821759263</v>
      </c>
      <c r="F237" s="13">
        <v>42865.746967592589</v>
      </c>
      <c r="G237" s="7">
        <v>15</v>
      </c>
      <c r="H237" s="21" t="s">
        <v>924</v>
      </c>
      <c r="I237" s="13">
        <v>42865.758877314816</v>
      </c>
      <c r="J237" s="7">
        <v>0</v>
      </c>
      <c r="K237" s="92" t="str">
        <f t="shared" si="90"/>
        <v>4001/4002</v>
      </c>
      <c r="L237" s="21" t="str">
        <f>VLOOKUP(A237,'Trips&amp;Operators'!$C$1:$G$99999,5,FALSE)</f>
        <v>FORTUNATO FRANK</v>
      </c>
      <c r="M237" s="6">
        <f t="shared" si="91"/>
        <v>1.1909722226846498E-2</v>
      </c>
      <c r="N237" s="7">
        <f t="shared" si="105"/>
        <v>17.150000006658956</v>
      </c>
      <c r="O237" s="7"/>
      <c r="P237" s="7"/>
      <c r="Q237" s="22"/>
      <c r="R237" s="190"/>
      <c r="S237" s="196">
        <f t="shared" si="106"/>
        <v>0</v>
      </c>
      <c r="T237" s="190" t="e">
        <f t="shared" si="92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93"/>
        <v>https://d0f6bd738d7f1b3e5a7ca70fe4ff75f0.us-east-1.aws.found.io/app/kibana#/discover/Steve-Slow-Train-Analysis-(2080s-and-2083s)?_g=(refreshInterval:(display:Off,pause:!f,section:0,value:0),time:(from:'2017-05-10T16:39:35-0600',mode:absolute,to:'2017-05-10T19:12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7" s="192" t="str">
        <f t="shared" si="94"/>
        <v>Y</v>
      </c>
      <c r="X237" s="192" t="e">
        <f t="shared" si="104"/>
        <v>#VALUE!</v>
      </c>
      <c r="Y237" s="192">
        <f t="shared" si="107"/>
        <v>2.2075</v>
      </c>
      <c r="Z237" s="192">
        <f t="shared" si="108"/>
        <v>8.77E-2</v>
      </c>
      <c r="AA237" s="192">
        <f t="shared" si="95"/>
        <v>2.1198000000000001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96"/>
        <v>72-10</v>
      </c>
      <c r="AE237" s="80" t="str">
        <f t="shared" si="97"/>
        <v>aws s3 cp s3://rtdc.mdm.uploadarchive.raw/RTDC4001/ "%USERPROFILE%\AppData\Local\Temp\OnboardLogs"\RTDC4001\2017-05-10 --exclude "*" --recursive --include "*20170510*" &amp; "%USERPROFILE%\Documents\GitHub\mrs-test-scripts\Headless Mode &amp; Sideloading\WalkAndUnGZ.bat" "%USERPROFILE%\AppData\Local\Temp\OnboardLogs"\RTDC4001\2017-05-10 &amp; aws s3 cp s3://rtdc.mdm.uploadarchive.raw/RTDC4001/ "%USERPROFILE%\AppData\Local\Temp\OnboardLogs"\RTDC4001\2017-05-11 --exclude "*" --recursive --include "*20170511*" &amp; "%USERPROFILE%\Documents\GitHub\mrs-test-scripts\Headless Mode &amp; Sideloading\WalkAndUnGZ.bat" "%USERPROFILE%\AppData\Local\Temp\OnboardLogs"\RTDC4001\2017-05-11</v>
      </c>
      <c r="AF237" s="77" t="str">
        <f t="shared" si="98"/>
        <v>"C:\Program Files (x86)\AstroGrep\AstroGrep.exe" /e /r /s /spath="%USERPROFILE%\AppData\Local\Temp\OnboardLogs" /stypes="app*4001*20170511*" /stext=" 00:.+((SYSTEM_STATE.+slice.+state.+changed )|(ment ac)|(multiple cpu faults)|(system.+state.+changed )|(\[timeout)|(PRM\|1\|D)|(kpr)|(kdp)|(train st.+moving)|(\|lc)|(penalty))"</v>
      </c>
      <c r="AG237" s="1" t="str">
        <f t="shared" si="99"/>
        <v>Other</v>
      </c>
      <c r="AH237" s="81" t="str">
        <f t="shared" si="100"/>
        <v>"%USERPROFILE%\Documents\GitHub\eaglep3\Utilities\RefineRTDCRunTimes.py" --tripid 72-10 --locoid 4001 --swversion DE.1.0.9.0 --startMP 300:22075 --initTime 2017-05-10T17:39:35 --startdatetime 2017-05-10T17:55:38 --delay 15 --endMP 204:877 --enddatetime 2017-05-10T18:12:47 --enforcementcount 0 &gt;&gt;C:\Users\stu\Documents\GitHub\eaglep3-reporting\EC\2017-05-10-refined-times.txt</v>
      </c>
      <c r="AI237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{"issue":{"subject":"","project_id":79,"tracker_id":40,"status_id":1,"priority_id":2,"assigned_to_id":23,"start_date":"2017-05-10","description":"","custom_fields":[{"id":1,"name":"Subdivision","value":"Other"},{"id":4,"name":"Milepost","value":"0.0877"},{"id":17,"name":"Train ID","value":"72-10"},{"id":16,"name":"Locomotive ID","value":"4001"},{"id":130,"name":"Impact","value":""},{"id":150,"name":"Time of Event (Mountain Time)","value":"18:12:47"},{"id":151,"name":"Denver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02"/>
        <v>start /low /b %USERPROFILE%\Documents\GitHub\eaglep3\Utilities\DownloadLogsFromS3.py --loco 4001 --day 2017-05-10</v>
      </c>
      <c r="AN237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00:12:47"},{"id":29,"name":"Sharepoint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745</v>
      </c>
      <c r="B238" s="7">
        <v>4004</v>
      </c>
      <c r="C238" s="21" t="s">
        <v>206</v>
      </c>
      <c r="D238" s="21" t="s">
        <v>925</v>
      </c>
      <c r="E238" s="13">
        <v>42865.719861111109</v>
      </c>
      <c r="F238" s="13">
        <v>42865.734710648147</v>
      </c>
      <c r="G238" s="7">
        <v>2</v>
      </c>
      <c r="H238" s="21" t="s">
        <v>542</v>
      </c>
      <c r="I238" s="13">
        <v>42865.743217592593</v>
      </c>
      <c r="J238" s="7">
        <v>0</v>
      </c>
      <c r="K238" s="92" t="str">
        <f t="shared" si="90"/>
        <v>4003/4004</v>
      </c>
      <c r="L238" s="21" t="str">
        <f>VLOOKUP(A238,'Trips&amp;Operators'!$C$1:$G$99999,5,FALSE)</f>
        <v>DELGADO DIANAH</v>
      </c>
      <c r="M238" s="6">
        <f t="shared" si="91"/>
        <v>8.5069444467080757E-3</v>
      </c>
      <c r="N238" s="7">
        <f t="shared" si="105"/>
        <v>12.250000003259629</v>
      </c>
      <c r="O238" s="7"/>
      <c r="P238" s="7"/>
      <c r="Q238" s="22"/>
      <c r="R238" s="190"/>
      <c r="S238" s="196">
        <f t="shared" si="106"/>
        <v>0</v>
      </c>
      <c r="T238" s="190" t="e">
        <f t="shared" si="92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93"/>
        <v>https://d0f6bd738d7f1b3e5a7ca70fe4ff75f0.us-east-1.aws.found.io/app/kibana#/discover/Steve-Slow-Train-Analysis-(2080s-and-2083s)?_g=(refreshInterval:(display:Off,pause:!f,section:0,value:0),time:(from:'2017-05-10T16:16:36-0600',mode:absolute,to:'2017-05-10T18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8" s="192" t="str">
        <f t="shared" si="94"/>
        <v>Y</v>
      </c>
      <c r="X238" s="192" t="e">
        <f t="shared" si="104"/>
        <v>#VALUE!</v>
      </c>
      <c r="Y238" s="192">
        <f t="shared" si="107"/>
        <v>0.14960000000000001</v>
      </c>
      <c r="Z238" s="192">
        <f t="shared" si="108"/>
        <v>2.3290999999999999</v>
      </c>
      <c r="AA238" s="192">
        <f t="shared" si="95"/>
        <v>2.1795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96"/>
        <v>73-10</v>
      </c>
      <c r="AE238" s="80" t="str">
        <f t="shared" si="97"/>
        <v>aws s3 cp s3://rtdc.mdm.uploadarchive.raw/RTDC4004/ "%USERPROFILE%\AppData\Local\Temp\OnboardLogs"\RTDC4004\2017-05-10 --exclude "*" --recursive --include "*20170510*" &amp; "%USERPROFILE%\Documents\GitHub\mrs-test-scripts\Headless Mode &amp; Sideloading\WalkAndUnGZ.bat" "%USERPROFILE%\AppData\Local\Temp\OnboardLogs"\RTDC4004\2017-05-10 &amp; 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</v>
      </c>
      <c r="AF238" s="77" t="str">
        <f t="shared" si="98"/>
        <v>"C:\Program Files (x86)\AstroGrep\AstroGrep.exe" /e /r /s /spath="%USERPROFILE%\AppData\Local\Temp\OnboardLogs" /stypes="app*4004*20170510*" /stext=" 23:.+((SYSTEM_STATE.+slice.+state.+changed )|(ment ac)|(multiple cpu faults)|(system.+state.+changed )|(\[timeout)|(PRM\|1\|D)|(kpr)|(kdp)|(train st.+moving)|(\|lc)|(penalty))"</v>
      </c>
      <c r="AG238" s="1" t="str">
        <f t="shared" si="99"/>
        <v>Other</v>
      </c>
      <c r="AH238" s="81" t="str">
        <f t="shared" si="100"/>
        <v>"%USERPROFILE%\Documents\GitHub\eaglep3\Utilities\RefineRTDCRunTimes.py" --tripid 73-10 --locoid 4004 --swversion DE.1.0.9.0 --startMP 204:1496 --initTime 2017-05-10T17:16:36 --startdatetime 2017-05-10T17:37:59 --delay 2 --endMP 300:23291 --enddatetime 2017-05-10T17:50:14 --enforcementcount 0 &gt;&gt;C:\Users\stu\Documents\GitHub\eaglep3-reporting\EC\2017-05-10-refined-times.txt</v>
      </c>
      <c r="AI238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{"issue":{"subject":"","project_id":79,"tracker_id":40,"status_id":1,"priority_id":2,"assigned_to_id":23,"start_date":"2017-05-10","description":"","custom_fields":[{"id":1,"name":"Subdivision","value":"Other"},{"id":4,"name":"Milepost","value":"2.3291"},{"id":17,"name":"Train ID","value":"73-10"},{"id":16,"name":"Locomotive ID","value":"4004"},{"id":130,"name":"Impact","value":""},{"id":150,"name":"Time of Event (Mountain Time)","value":"17:50:14"},{"id":151,"name":"Denver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02"/>
        <v>start /low /b %USERPROFILE%\Documents\GitHub\eaglep3\Utilities\DownloadLogsFromS3.py --loco 4004 --day 2017-05-10</v>
      </c>
      <c r="AN238" s="154" t="str">
        <f t="shared" si="10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23:50:14"},{"id":29,"name":"Sharepoint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597</v>
      </c>
      <c r="B239" s="7">
        <v>4013</v>
      </c>
      <c r="C239" s="21" t="s">
        <v>206</v>
      </c>
      <c r="D239" s="21" t="s">
        <v>926</v>
      </c>
      <c r="E239" s="13">
        <v>42865.79378472222</v>
      </c>
      <c r="F239" s="13">
        <v>42865.822708333333</v>
      </c>
      <c r="G239" s="7">
        <v>5</v>
      </c>
      <c r="H239" s="21" t="s">
        <v>554</v>
      </c>
      <c r="I239" s="13">
        <v>42865.830266203702</v>
      </c>
      <c r="J239" s="7">
        <v>0</v>
      </c>
      <c r="K239" s="92" t="str">
        <f t="shared" si="90"/>
        <v>4013/4014</v>
      </c>
      <c r="L239" s="21" t="str">
        <f>VLOOKUP(A239,'Trips&amp;Operators'!$C$1:$G$99999,5,FALSE)</f>
        <v>SULLIVAN BRANDON</v>
      </c>
      <c r="M239" s="6">
        <f t="shared" si="91"/>
        <v>7.5578703690553084E-3</v>
      </c>
      <c r="N239" s="7">
        <f t="shared" si="105"/>
        <v>10.883333331439644</v>
      </c>
      <c r="O239" s="7"/>
      <c r="P239" s="7"/>
      <c r="Q239" s="22"/>
      <c r="R239" s="190"/>
      <c r="S239" s="196">
        <f t="shared" si="106"/>
        <v>0</v>
      </c>
      <c r="T239" s="190" t="e">
        <f t="shared" si="92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93"/>
        <v>https://d0f6bd738d7f1b3e5a7ca70fe4ff75f0.us-east-1.aws.found.io/app/kibana#/discover/Steve-Slow-Train-Analysis-(2080s-and-2083s)?_g=(refreshInterval:(display:Off,pause:!f,section:0,value:0),time:(from:'2017-05-10T18:03:03-0600',mode:absolute,to:'2017-05-10T20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9" s="192" t="str">
        <f t="shared" si="94"/>
        <v>Y</v>
      </c>
      <c r="X239" s="192" t="e">
        <f t="shared" ref="X239:X260" si="109">VALUE(LEFT(AD239,4))-VALUE(LEFT(AD238,4))</f>
        <v>#VALUE!</v>
      </c>
      <c r="Y239" s="192">
        <f t="shared" si="107"/>
        <v>2.3532999999999999</v>
      </c>
      <c r="Z239" s="192">
        <f t="shared" si="108"/>
        <v>6.8400000000000002E-2</v>
      </c>
      <c r="AA239" s="192">
        <f t="shared" si="95"/>
        <v>2.2848999999999999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96"/>
        <v>76-10</v>
      </c>
      <c r="AE239" s="80" t="str">
        <f t="shared" si="97"/>
        <v>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 &amp; 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</v>
      </c>
      <c r="AF239" s="77" t="str">
        <f t="shared" si="98"/>
        <v>"C:\Program Files (x86)\AstroGrep\AstroGrep.exe" /e /r /s /spath="%USERPROFILE%\AppData\Local\Temp\OnboardLogs" /stypes="app*4013*20170511*" /stext=" 01:.+((SYSTEM_STATE.+slice.+state.+changed )|(ment ac)|(multiple cpu faults)|(system.+state.+changed )|(\[timeout)|(PRM\|1\|D)|(kpr)|(kdp)|(train st.+moving)|(\|lc)|(penalty))"</v>
      </c>
      <c r="AG239" s="1" t="str">
        <f t="shared" si="99"/>
        <v>Other</v>
      </c>
      <c r="AH239" s="81" t="str">
        <f t="shared" si="100"/>
        <v>"%USERPROFILE%\Documents\GitHub\eaglep3\Utilities\RefineRTDCRunTimes.py" --tripid 76-10 --locoid 4013 --swversion DE.1.0.9.0 --startMP 300:23533 --initTime 2017-05-10T19:03:03 --startdatetime 2017-05-10T19:44:42 --delay 5 --endMP 204:684 --enddatetime 2017-05-10T19:55:35 --enforcementcount 0 &gt;&gt;C:\Users\stu\Documents\GitHub\eaglep3-reporting\EC\2017-05-10-refined-times.txt</v>
      </c>
      <c r="AI239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{"issue":{"subject":"","project_id":79,"tracker_id":40,"status_id":1,"priority_id":2,"assigned_to_id":23,"start_date":"2017-05-10","description":"","custom_fields":[{"id":1,"name":"Subdivision","value":"Other"},{"id":4,"name":"Milepost","value":"0.0684"},{"id":17,"name":"Train ID","value":"76-10"},{"id":16,"name":"Locomotive ID","value":"4013"},{"id":130,"name":"Impact","value":""},{"id":150,"name":"Time of Event (Mountain Time)","value":"19:55:35"},{"id":151,"name":"Denver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02"/>
        <v>start /low /b %USERPROFILE%\Documents\GitHub\eaglep3\Utilities\DownloadLogsFromS3.py --loco 4013 --day 2017-05-10</v>
      </c>
      <c r="AN239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597</v>
      </c>
      <c r="B240" s="7">
        <v>4013</v>
      </c>
      <c r="C240" s="21" t="s">
        <v>206</v>
      </c>
      <c r="D240" s="21" t="s">
        <v>927</v>
      </c>
      <c r="E240" s="13">
        <v>42865.97</v>
      </c>
      <c r="F240" s="13">
        <v>42865.995023148149</v>
      </c>
      <c r="G240" s="7">
        <v>1</v>
      </c>
      <c r="H240" s="21" t="s">
        <v>928</v>
      </c>
      <c r="I240" s="13">
        <v>42866.000196759262</v>
      </c>
      <c r="J240" s="7">
        <v>0</v>
      </c>
      <c r="K240" s="92" t="str">
        <f t="shared" si="90"/>
        <v>4013/4014</v>
      </c>
      <c r="L240" s="21" t="str">
        <f>VLOOKUP(A240,'Trips&amp;Operators'!$C$1:$G$99999,5,FALSE)</f>
        <v>SULLIVAN BRANDON</v>
      </c>
      <c r="M240" s="6">
        <f t="shared" si="91"/>
        <v>5.173611112695653E-3</v>
      </c>
      <c r="N240" s="7">
        <f t="shared" si="105"/>
        <v>7.4500000022817403</v>
      </c>
      <c r="O240" s="7"/>
      <c r="P240" s="7"/>
      <c r="Q240" s="22"/>
      <c r="R240" s="190"/>
      <c r="S240" s="196">
        <f t="shared" si="106"/>
        <v>0</v>
      </c>
      <c r="T240" s="190" t="e">
        <f t="shared" si="92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93"/>
        <v>https://d0f6bd738d7f1b3e5a7ca70fe4ff75f0.us-east-1.aws.found.io/app/kibana#/discover/Steve-Slow-Train-Analysis-(2080s-and-2083s)?_g=(refreshInterval:(display:Off,pause:!f,section:0,value:0),time:(from:'2017-05-10T22:16:48-0600',mode:absolute,to:'2017-05-11T01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0" s="192" t="str">
        <f t="shared" si="94"/>
        <v>Y</v>
      </c>
      <c r="X240" s="192" t="e">
        <f t="shared" si="109"/>
        <v>#VALUE!</v>
      </c>
      <c r="Y240" s="192">
        <f t="shared" si="107"/>
        <v>3.1402999999999999</v>
      </c>
      <c r="Z240" s="192">
        <f t="shared" si="108"/>
        <v>1.4800000000000001E-2</v>
      </c>
      <c r="AA240" s="192">
        <f t="shared" si="95"/>
        <v>3.1254999999999997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96"/>
        <v>76-10</v>
      </c>
      <c r="AE240" s="80" t="str">
        <f t="shared" si="97"/>
        <v>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 &amp; 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</v>
      </c>
      <c r="AF240" s="77" t="str">
        <f t="shared" si="98"/>
        <v>"C:\Program Files (x86)\AstroGrep\AstroGrep.exe" /e /r /s /spath="%USERPROFILE%\AppData\Local\Temp\OnboardLogs" /stypes="app*4013*20170511*" /stext=" 06:.+((SYSTEM_STATE.+slice.+state.+changed )|(ment ac)|(multiple cpu faults)|(system.+state.+changed )|(\[timeout)|(PRM\|1\|D)|(kpr)|(kdp)|(train st.+moving)|(\|lc)|(penalty))"</v>
      </c>
      <c r="AG240" s="1" t="str">
        <f t="shared" si="99"/>
        <v>Other</v>
      </c>
      <c r="AH240" s="81" t="str">
        <f t="shared" si="100"/>
        <v>"%USERPROFILE%\Documents\GitHub\eaglep3\Utilities\RefineRTDCRunTimes.py" --tripid 76-10 --locoid 4013 --swversion DE.1.0.9.0 --startMP 300:31403 --initTime 2017-05-10T23:16:48 --startdatetime 2017-05-10T23:52:50 --delay 1 --endMP 204:148 --enddatetime 2017-05-11T00:00:17 --enforcementcount 0 &gt;&gt;C:\Users\stu\Documents\GitHub\eaglep3-reporting\EC\2017-05-10-refined-times.txt</v>
      </c>
      <c r="AI240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{"issue":{"subject":"","project_id":79,"tracker_id":40,"status_id":1,"priority_id":2,"assigned_to_id":23,"start_date":"2017-05-11","description":"","custom_fields":[{"id":1,"name":"Subdivision","value":"Other"},{"id":4,"name":"Milepost","value":"0.0148"},{"id":17,"name":"Train ID","value":"76-10"},{"id":16,"name":"Locomotive ID","value":"4013"},{"id":130,"name":"Impact","value":""},{"id":150,"name":"Time of Event (Mountain Time)","value":"00:00:17"},{"id":151,"name":"Denver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02"/>
        <v>start /low /b %USERPROFILE%\Documents\GitHub\eaglep3\Utilities\DownloadLogsFromS3.py --loco 4013 --day 2017-05-10</v>
      </c>
      <c r="AN240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06:00:17"},{"id":29,"name":"Sharepoint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597</v>
      </c>
      <c r="B241" s="7">
        <v>4013</v>
      </c>
      <c r="C241" s="21" t="s">
        <v>206</v>
      </c>
      <c r="D241" s="21" t="s">
        <v>929</v>
      </c>
      <c r="E241" s="13">
        <v>42865.929351851853</v>
      </c>
      <c r="F241" s="13">
        <v>42865.950983796298</v>
      </c>
      <c r="G241" s="7">
        <v>1</v>
      </c>
      <c r="H241" s="21" t="s">
        <v>930</v>
      </c>
      <c r="I241" s="13">
        <v>42865.958379629628</v>
      </c>
      <c r="J241" s="7">
        <v>0</v>
      </c>
      <c r="K241" s="92" t="str">
        <f t="shared" si="90"/>
        <v>4013/4014</v>
      </c>
      <c r="L241" s="21" t="str">
        <f>VLOOKUP(A241,'Trips&amp;Operators'!$C$1:$G$99999,5,FALSE)</f>
        <v>SULLIVAN BRANDON</v>
      </c>
      <c r="M241" s="6">
        <f t="shared" si="91"/>
        <v>7.3958333305199631E-3</v>
      </c>
      <c r="N241" s="7">
        <f t="shared" si="105"/>
        <v>10.649999995948747</v>
      </c>
      <c r="O241" s="7"/>
      <c r="P241" s="7"/>
      <c r="Q241" s="22"/>
      <c r="R241" s="190"/>
      <c r="S241" s="196">
        <f t="shared" si="106"/>
        <v>0</v>
      </c>
      <c r="T241" s="190" t="e">
        <f t="shared" si="92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93"/>
        <v>https://d0f6bd738d7f1b3e5a7ca70fe4ff75f0.us-east-1.aws.found.io/app/kibana#/discover/Steve-Slow-Train-Analysis-(2080s-and-2083s)?_g=(refreshInterval:(display:Off,pause:!f,section:0,value:0),time:(from:'2017-05-10T21:18:16-0600',mode:absolute,to:'2017-05-11T00:00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1" s="192" t="str">
        <f t="shared" si="94"/>
        <v>Y</v>
      </c>
      <c r="X241" s="192" t="e">
        <f t="shared" si="109"/>
        <v>#VALUE!</v>
      </c>
      <c r="Y241" s="192">
        <f t="shared" si="107"/>
        <v>3.1446999999999998</v>
      </c>
      <c r="Z241" s="192">
        <f t="shared" si="108"/>
        <v>1.35E-2</v>
      </c>
      <c r="AA241" s="192">
        <f t="shared" si="95"/>
        <v>3.1311999999999998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96"/>
        <v>76-10</v>
      </c>
      <c r="AE241" s="80" t="str">
        <f t="shared" si="97"/>
        <v>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 &amp; 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</v>
      </c>
      <c r="AF241" s="77" t="str">
        <f t="shared" si="98"/>
        <v>"C:\Program Files (x86)\AstroGrep\AstroGrep.exe" /e /r /s /spath="%USERPROFILE%\AppData\Local\Temp\OnboardLogs" /stypes="app*4013*20170511*" /stext=" 05:.+((SYSTEM_STATE.+slice.+state.+changed )|(ment ac)|(multiple cpu faults)|(system.+state.+changed )|(\[timeout)|(PRM\|1\|D)|(kpr)|(kdp)|(train st.+moving)|(\|lc)|(penalty))"</v>
      </c>
      <c r="AG241" s="1" t="str">
        <f t="shared" si="99"/>
        <v>Other</v>
      </c>
      <c r="AH241" s="81" t="str">
        <f t="shared" si="100"/>
        <v>"%USERPROFILE%\Documents\GitHub\eaglep3\Utilities\RefineRTDCRunTimes.py" --tripid 76-10 --locoid 4013 --swversion DE.1.0.9.0 --startMP 300:31447 --initTime 2017-05-10T22:18:16 --startdatetime 2017-05-10T22:49:25 --delay 1 --endMP 204:135 --enddatetime 2017-05-10T23:00:04 --enforcementcount 0 &gt;&gt;C:\Users\stu\Documents\GitHub\eaglep3-reporting\EC\2017-05-10-refined-times.txt</v>
      </c>
      <c r="AI241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{"issue":{"subject":"","project_id":79,"tracker_id":40,"status_id":1,"priority_id":2,"assigned_to_id":23,"start_date":"2017-05-10","description":"","custom_fields":[{"id":1,"name":"Subdivision","value":"Other"},{"id":4,"name":"Milepost","value":"0.0135"},{"id":17,"name":"Train ID","value":"76-10"},{"id":16,"name":"Locomotive ID","value":"4013"},{"id":130,"name":"Impact","value":""},{"id":150,"name":"Time of Event (Mountain Time)","value":"23:00:04"},{"id":151,"name":"Denver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02"/>
        <v>start /low /b %USERPROFILE%\Documents\GitHub\eaglep3\Utilities\DownloadLogsFromS3.py --loco 4013 --day 2017-05-10</v>
      </c>
      <c r="AN241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05:00:04"},{"id":29,"name":"Sharepoint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597</v>
      </c>
      <c r="B242" s="7">
        <v>4013</v>
      </c>
      <c r="C242" s="21" t="s">
        <v>206</v>
      </c>
      <c r="D242" s="21" t="s">
        <v>931</v>
      </c>
      <c r="E242" s="13">
        <v>42865.948101851849</v>
      </c>
      <c r="F242" s="13">
        <v>42865.972175925926</v>
      </c>
      <c r="G242" s="7">
        <v>1</v>
      </c>
      <c r="H242" s="21" t="s">
        <v>864</v>
      </c>
      <c r="I242" s="13">
        <v>42865.978159722225</v>
      </c>
      <c r="J242" s="7">
        <v>0</v>
      </c>
      <c r="K242" s="92" t="str">
        <f t="shared" si="90"/>
        <v>4013/4014</v>
      </c>
      <c r="L242" s="21" t="str">
        <f>VLOOKUP(A242,'Trips&amp;Operators'!$C$1:$G$99999,5,FALSE)</f>
        <v>SULLIVAN BRANDON</v>
      </c>
      <c r="M242" s="6">
        <f t="shared" si="91"/>
        <v>5.9837962980964221E-3</v>
      </c>
      <c r="N242" s="7">
        <f t="shared" si="105"/>
        <v>8.6166666692588478</v>
      </c>
      <c r="O242" s="7"/>
      <c r="P242" s="7"/>
      <c r="Q242" s="22"/>
      <c r="R242" s="190"/>
      <c r="S242" s="196">
        <f t="shared" si="106"/>
        <v>0</v>
      </c>
      <c r="T242" s="190" t="e">
        <f t="shared" si="92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93"/>
        <v>https://d0f6bd738d7f1b3e5a7ca70fe4ff75f0.us-east-1.aws.found.io/app/kibana#/discover/Steve-Slow-Train-Analysis-(2080s-and-2083s)?_g=(refreshInterval:(display:Off,pause:!f,section:0,value:0),time:(from:'2017-05-10T21:45:16-0600',mode:absolute,to:'2017-05-11T00:28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2" s="192" t="str">
        <f t="shared" si="94"/>
        <v>Y</v>
      </c>
      <c r="X242" s="192" t="e">
        <f t="shared" si="109"/>
        <v>#VALUE!</v>
      </c>
      <c r="Y242" s="192">
        <f t="shared" si="107"/>
        <v>3.1543000000000001</v>
      </c>
      <c r="Z242" s="192">
        <f t="shared" si="108"/>
        <v>1.29E-2</v>
      </c>
      <c r="AA242" s="192">
        <f t="shared" si="95"/>
        <v>3.1414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96"/>
        <v>76-10</v>
      </c>
      <c r="AE242" s="80" t="str">
        <f t="shared" si="97"/>
        <v>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 &amp; 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</v>
      </c>
      <c r="AF242" s="77" t="str">
        <f t="shared" si="98"/>
        <v>"C:\Program Files (x86)\AstroGrep\AstroGrep.exe" /e /r /s /spath="%USERPROFILE%\AppData\Local\Temp\OnboardLogs" /stypes="app*4013*20170511*" /stext=" 05:.+((SYSTEM_STATE.+slice.+state.+changed )|(ment ac)|(multiple cpu faults)|(system.+state.+changed )|(\[timeout)|(PRM\|1\|D)|(kpr)|(kdp)|(train st.+moving)|(\|lc)|(penalty))"</v>
      </c>
      <c r="AG242" s="1" t="str">
        <f t="shared" si="99"/>
        <v>Other</v>
      </c>
      <c r="AH242" s="81" t="str">
        <f t="shared" si="100"/>
        <v>"%USERPROFILE%\Documents\GitHub\eaglep3\Utilities\RefineRTDCRunTimes.py" --tripid 76-10 --locoid 4013 --swversion DE.1.0.9.0 --startMP 300:31543 --initTime 2017-05-10T22:45:16 --startdatetime 2017-05-10T23:19:56 --delay 1 --endMP 204:129 --enddatetime 2017-05-10T23:28:33 --enforcementcount 0 &gt;&gt;C:\Users\stu\Documents\GitHub\eaglep3-reporting\EC\2017-05-10-refined-times.txt</v>
      </c>
      <c r="AI242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{"issue":{"subject":"","project_id":79,"tracker_id":40,"status_id":1,"priority_id":2,"assigned_to_id":23,"start_date":"2017-05-10","description":"","custom_fields":[{"id":1,"name":"Subdivision","value":"Other"},{"id":4,"name":"Milepost","value":"0.0129"},{"id":17,"name":"Train ID","value":"76-10"},{"id":16,"name":"Locomotive ID","value":"4013"},{"id":130,"name":"Impact","value":""},{"id":150,"name":"Time of Event (Mountain Time)","value":"23:28:33"},{"id":151,"name":"Denver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02"/>
        <v>start /low /b %USERPROFILE%\Documents\GitHub\eaglep3\Utilities\DownloadLogsFromS3.py --loco 4013 --day 2017-05-10</v>
      </c>
      <c r="AN242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05:28:33"},{"id":29,"name":"Sharepoint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597</v>
      </c>
      <c r="B243" s="7">
        <v>4013</v>
      </c>
      <c r="C243" s="21" t="s">
        <v>206</v>
      </c>
      <c r="D243" s="21" t="s">
        <v>932</v>
      </c>
      <c r="E243" s="13">
        <v>42866.023495370369</v>
      </c>
      <c r="F243" s="13">
        <v>42866.050173611111</v>
      </c>
      <c r="G243" s="7">
        <v>0</v>
      </c>
      <c r="H243" s="21" t="s">
        <v>933</v>
      </c>
      <c r="I243" s="13">
        <v>42866.060196759259</v>
      </c>
      <c r="J243" s="7">
        <v>0</v>
      </c>
      <c r="K243" s="92" t="str">
        <f t="shared" si="90"/>
        <v>4013/4014</v>
      </c>
      <c r="L243" s="21" t="str">
        <f>VLOOKUP(A243,'Trips&amp;Operators'!$C$1:$G$99999,5,FALSE)</f>
        <v>SULLIVAN BRANDON</v>
      </c>
      <c r="M243" s="6">
        <f t="shared" si="91"/>
        <v>1.0023148148320615E-2</v>
      </c>
      <c r="N243" s="7">
        <f t="shared" ref="N243:N260" si="110">24*60*SUM($M243:$M243)</f>
        <v>14.433333333581686</v>
      </c>
      <c r="O243" s="7"/>
      <c r="P243" s="7"/>
      <c r="Q243" s="22"/>
      <c r="R243" s="190"/>
      <c r="S243" s="196">
        <f t="shared" ref="S243:S260" si="111">SUM(U243:U243)/IF(AG243="EC",12,1)</f>
        <v>0</v>
      </c>
      <c r="T243" s="190" t="e">
        <f t="shared" si="92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93"/>
        <v>https://d0f6bd738d7f1b3e5a7ca70fe4ff75f0.us-east-1.aws.found.io/app/kibana#/discover/Steve-Slow-Train-Analysis-(2080s-and-2083s)?_g=(refreshInterval:(display:Off,pause:!f,section:0,value:0),time:(from:'2017-05-10T23:33:50-0600',mode:absolute,to:'2017-05-11T02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3" s="192" t="str">
        <f t="shared" si="94"/>
        <v>Y</v>
      </c>
      <c r="X243" s="192" t="e">
        <f t="shared" si="109"/>
        <v>#VALUE!</v>
      </c>
      <c r="Y243" s="192">
        <f t="shared" si="107"/>
        <v>3.1743999999999999</v>
      </c>
      <c r="Z243" s="192">
        <f t="shared" si="108"/>
        <v>1.2200000000000001E-2</v>
      </c>
      <c r="AA243" s="192">
        <f t="shared" si="95"/>
        <v>3.1621999999999999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96"/>
        <v>76-10</v>
      </c>
      <c r="AE243" s="80" t="str">
        <f t="shared" si="97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43" s="77" t="str">
        <f t="shared" si="98"/>
        <v>"C:\Program Files (x86)\AstroGrep\AstroGrep.exe" /e /r /s /spath="%USERPROFILE%\AppData\Local\Temp\OnboardLogs" /stypes="app*4013*20170511*" /stext=" 07:.+((SYSTEM_STATE.+slice.+state.+changed )|(ment ac)|(multiple cpu faults)|(system.+state.+changed )|(\[timeout)|(PRM\|1\|D)|(kpr)|(kdp)|(train st.+moving)|(\|lc)|(penalty))"</v>
      </c>
      <c r="AG243" s="1" t="str">
        <f t="shared" si="99"/>
        <v>Other</v>
      </c>
      <c r="AH243" s="81" t="str">
        <f t="shared" si="100"/>
        <v>"%USERPROFILE%\Documents\GitHub\eaglep3\Utilities\RefineRTDCRunTimes.py" --tripid 76-10 --locoid 4013 --swversion DE.1.0.9.0 --startMP 300:31744 --initTime 2017-05-11T00:33:50 --startdatetime 2017-05-11T01:12:15 --delay 0 --endMP 204:122 --enddatetime 2017-05-11T01:26:41 --enforcementcount 0 &gt;&gt;C:\Users\stu\Documents\GitHub\eaglep3-reporting\EC\2017-05-10-refined-times.txt</v>
      </c>
      <c r="AI243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{"issue":{"subject":"","project_id":79,"tracker_id":40,"status_id":1,"priority_id":2,"assigned_to_id":23,"start_date":"2017-05-11","description":"","custom_fields":[{"id":1,"name":"Subdivision","value":"Other"},{"id":4,"name":"Milepost","value":"0.0122"},{"id":17,"name":"Train ID","value":"76-10"},{"id":16,"name":"Locomotive ID","value":"4013"},{"id":130,"name":"Impact","value":""},{"id":150,"name":"Time of Event (Mountain Time)","value":"01:26:41"},{"id":151,"name":"Denver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02"/>
        <v>start /low /b %USERPROFILE%\Documents\GitHub\eaglep3\Utilities\DownloadLogsFromS3.py --loco 4013 --day 2017-05-11</v>
      </c>
      <c r="AN243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597</v>
      </c>
      <c r="B244" s="7">
        <v>4013</v>
      </c>
      <c r="C244" s="21" t="s">
        <v>206</v>
      </c>
      <c r="D244" s="21" t="s">
        <v>934</v>
      </c>
      <c r="E244" s="13">
        <v>42866.070856481485</v>
      </c>
      <c r="F244" s="13">
        <v>42866.072430555556</v>
      </c>
      <c r="G244" s="7">
        <v>1</v>
      </c>
      <c r="H244" s="21" t="s">
        <v>359</v>
      </c>
      <c r="I244" s="13">
        <v>42866.080543981479</v>
      </c>
      <c r="J244" s="7">
        <v>0</v>
      </c>
      <c r="K244" s="92" t="str">
        <f t="shared" si="90"/>
        <v>4013/4014</v>
      </c>
      <c r="L244" s="21" t="str">
        <f>VLOOKUP(A244,'Trips&amp;Operators'!$C$1:$G$99999,5,FALSE)</f>
        <v>SULLIVAN BRANDON</v>
      </c>
      <c r="M244" s="6">
        <f t="shared" si="91"/>
        <v>8.1134259235113859E-3</v>
      </c>
      <c r="N244" s="7">
        <f t="shared" si="110"/>
        <v>11.683333329856396</v>
      </c>
      <c r="O244" s="7"/>
      <c r="P244" s="7"/>
      <c r="Q244" s="22"/>
      <c r="R244" s="190"/>
      <c r="S244" s="196">
        <f t="shared" si="111"/>
        <v>0</v>
      </c>
      <c r="T244" s="190" t="e">
        <f t="shared" si="92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93"/>
        <v>https://d0f6bd738d7f1b3e5a7ca70fe4ff75f0.us-east-1.aws.found.io/app/kibana#/discover/Steve-Slow-Train-Analysis-(2080s-and-2083s)?_g=(refreshInterval:(display:Off,pause:!f,section:0,value:0),time:(from:'2017-05-11T00:42:02-0600',mode:absolute,to:'2017-05-11T02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4" s="192" t="str">
        <f t="shared" si="94"/>
        <v>Y</v>
      </c>
      <c r="X244" s="192" t="e">
        <f t="shared" si="109"/>
        <v>#VALUE!</v>
      </c>
      <c r="Y244" s="192">
        <f t="shared" si="107"/>
        <v>3.1774</v>
      </c>
      <c r="Z244" s="192">
        <f t="shared" si="108"/>
        <v>1.49E-2</v>
      </c>
      <c r="AA244" s="192">
        <f t="shared" si="95"/>
        <v>3.1625000000000001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96"/>
        <v>76-10</v>
      </c>
      <c r="AE244" s="80" t="str">
        <f t="shared" si="97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44" s="77" t="str">
        <f t="shared" si="98"/>
        <v>"C:\Program Files (x86)\AstroGrep\AstroGrep.exe" /e /r /s /spath="%USERPROFILE%\AppData\Local\Temp\OnboardLogs" /stypes="app*4013*20170511*" /stext=" 07:.+((SYSTEM_STATE.+slice.+state.+changed )|(ment ac)|(multiple cpu faults)|(system.+state.+changed )|(\[timeout)|(PRM\|1\|D)|(kpr)|(kdp)|(train st.+moving)|(\|lc)|(penalty))"</v>
      </c>
      <c r="AG244" s="1" t="str">
        <f t="shared" si="99"/>
        <v>Other</v>
      </c>
      <c r="AH244" s="81" t="str">
        <f t="shared" si="100"/>
        <v>"%USERPROFILE%\Documents\GitHub\eaglep3\Utilities\RefineRTDCRunTimes.py" --tripid 76-10 --locoid 4013 --swversion DE.1.0.9.0 --startMP 300:31774 --initTime 2017-05-11T01:42:02 --startdatetime 2017-05-11T01:44:18 --delay 1 --endMP 204:149 --enddatetime 2017-05-11T01:55:59 --enforcementcount 0 &gt;&gt;C:\Users\stu\Documents\GitHub\eaglep3-reporting\EC\2017-05-10-refined-times.txt</v>
      </c>
      <c r="AI244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{"issue":{"subject":"","project_id":79,"tracker_id":40,"status_id":1,"priority_id":2,"assigned_to_id":23,"start_date":"2017-05-11","description":"","custom_fields":[{"id":1,"name":"Subdivision","value":"Other"},{"id":4,"name":"Milepost","value":"0.0149"},{"id":17,"name":"Train ID","value":"76-10"},{"id":16,"name":"Locomotive ID","value":"4013"},{"id":130,"name":"Impact","value":""},{"id":150,"name":"Time of Event (Mountain Time)","value":"01:55:59"},{"id":151,"name":"Denver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02"/>
        <v>start /low /b %USERPROFILE%\Documents\GitHub\eaglep3\Utilities\DownloadLogsFromS3.py --loco 4013 --day 2017-05-11</v>
      </c>
      <c r="AN244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597</v>
      </c>
      <c r="B245" s="7">
        <v>4013</v>
      </c>
      <c r="C245" s="21" t="s">
        <v>206</v>
      </c>
      <c r="D245" s="21" t="s">
        <v>935</v>
      </c>
      <c r="E245" s="13">
        <v>42866.04787037037</v>
      </c>
      <c r="F245" s="13">
        <v>42866.072430555556</v>
      </c>
      <c r="G245" s="7">
        <v>1</v>
      </c>
      <c r="H245" s="21" t="s">
        <v>936</v>
      </c>
      <c r="I245" s="13">
        <v>42866.080543981479</v>
      </c>
      <c r="J245" s="7">
        <v>0</v>
      </c>
      <c r="K245" s="92" t="str">
        <f t="shared" si="90"/>
        <v>4013/4014</v>
      </c>
      <c r="L245" s="21" t="str">
        <f>VLOOKUP(A245,'Trips&amp;Operators'!$C$1:$G$99999,5,FALSE)</f>
        <v>SULLIVAN BRANDON</v>
      </c>
      <c r="M245" s="6">
        <f t="shared" si="91"/>
        <v>8.1134259235113859E-3</v>
      </c>
      <c r="N245" s="7">
        <f t="shared" si="110"/>
        <v>11.683333329856396</v>
      </c>
      <c r="O245" s="7"/>
      <c r="P245" s="7"/>
      <c r="Q245" s="22"/>
      <c r="R245" s="190"/>
      <c r="S245" s="196">
        <f t="shared" si="111"/>
        <v>0</v>
      </c>
      <c r="T245" s="190" t="e">
        <f t="shared" si="92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93"/>
        <v>https://d0f6bd738d7f1b3e5a7ca70fe4ff75f0.us-east-1.aws.found.io/app/kibana#/discover/Steve-Slow-Train-Analysis-(2080s-and-2083s)?_g=(refreshInterval:(display:Off,pause:!f,section:0,value:0),time:(from:'2017-05-11T00:08:56-0600',mode:absolute,to:'2017-05-11T02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5" s="192" t="str">
        <f t="shared" si="94"/>
        <v>Y</v>
      </c>
      <c r="X245" s="192" t="e">
        <f t="shared" si="109"/>
        <v>#VALUE!</v>
      </c>
      <c r="Y245" s="192">
        <f t="shared" si="107"/>
        <v>3.1795</v>
      </c>
      <c r="Z245" s="192">
        <f t="shared" si="108"/>
        <v>1.3100000000000001E-2</v>
      </c>
      <c r="AA245" s="192">
        <f t="shared" si="95"/>
        <v>3.1663999999999999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96"/>
        <v>76-10</v>
      </c>
      <c r="AE245" s="80" t="str">
        <f t="shared" si="97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45" s="77" t="str">
        <f t="shared" si="98"/>
        <v>"C:\Program Files (x86)\AstroGrep\AstroGrep.exe" /e /r /s /spath="%USERPROFILE%\AppData\Local\Temp\OnboardLogs" /stypes="app*4013*20170511*" /stext=" 07:.+((SYSTEM_STATE.+slice.+state.+changed )|(ment ac)|(multiple cpu faults)|(system.+state.+changed )|(\[timeout)|(PRM\|1\|D)|(kpr)|(kdp)|(train st.+moving)|(\|lc)|(penalty))"</v>
      </c>
      <c r="AG245" s="1" t="str">
        <f t="shared" si="99"/>
        <v>Other</v>
      </c>
      <c r="AH245" s="81" t="str">
        <f t="shared" si="100"/>
        <v>"%USERPROFILE%\Documents\GitHub\eaglep3\Utilities\RefineRTDCRunTimes.py" --tripid 76-10 --locoid 4013 --swversion DE.1.0.9.0 --startMP 300:31795 --initTime 2017-05-11T01:08:56 --startdatetime 2017-05-11T01:44:18 --delay 1 --endMP 204:131 --enddatetime 2017-05-11T01:55:59 --enforcementcount 0 &gt;&gt;C:\Users\stu\Documents\GitHub\eaglep3-reporting\EC\2017-05-10-refined-times.txt</v>
      </c>
      <c r="AI245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{"issue":{"subject":"","project_id":79,"tracker_id":40,"status_id":1,"priority_id":2,"assigned_to_id":23,"start_date":"2017-05-11","description":"","custom_fields":[{"id":1,"name":"Subdivision","value":"Other"},{"id":4,"name":"Milepost","value":"0.0131"},{"id":17,"name":"Train ID","value":"76-10"},{"id":16,"name":"Locomotive ID","value":"4013"},{"id":130,"name":"Impact","value":""},{"id":150,"name":"Time of Event (Mountain Time)","value":"01:55:59"},{"id":151,"name":"Denver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02"/>
        <v>start /low /b %USERPROFILE%\Documents\GitHub\eaglep3\Utilities\DownloadLogsFromS3.py --loco 4013 --day 2017-05-11</v>
      </c>
      <c r="AN245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597</v>
      </c>
      <c r="B246" s="7">
        <v>4013</v>
      </c>
      <c r="C246" s="21" t="s">
        <v>206</v>
      </c>
      <c r="D246" s="21" t="s">
        <v>937</v>
      </c>
      <c r="E246" s="13">
        <v>42866.001122685186</v>
      </c>
      <c r="F246" s="13">
        <v>42866.025277777779</v>
      </c>
      <c r="G246" s="7">
        <v>0</v>
      </c>
      <c r="H246" s="21" t="s">
        <v>864</v>
      </c>
      <c r="I246" s="13">
        <v>42866.033032407409</v>
      </c>
      <c r="J246" s="7">
        <v>0</v>
      </c>
      <c r="K246" s="92" t="str">
        <f t="shared" si="90"/>
        <v>4013/4014</v>
      </c>
      <c r="L246" s="21" t="str">
        <f>VLOOKUP(A246,'Trips&amp;Operators'!$C$1:$G$99999,5,FALSE)</f>
        <v>SULLIVAN BRANDON</v>
      </c>
      <c r="M246" s="6">
        <f t="shared" si="91"/>
        <v>7.7546296306536533E-3</v>
      </c>
      <c r="N246" s="7">
        <f t="shared" si="110"/>
        <v>11.166666668141261</v>
      </c>
      <c r="O246" s="7"/>
      <c r="P246" s="7"/>
      <c r="Q246" s="22"/>
      <c r="R246" s="190"/>
      <c r="S246" s="196">
        <f t="shared" si="111"/>
        <v>0</v>
      </c>
      <c r="T246" s="190" t="e">
        <f t="shared" si="92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93"/>
        <v>https://d0f6bd738d7f1b3e5a7ca70fe4ff75f0.us-east-1.aws.found.io/app/kibana#/discover/Steve-Slow-Train-Analysis-(2080s-and-2083s)?_g=(refreshInterval:(display:Off,pause:!f,section:0,value:0),time:(from:'2017-05-10T23:01:37-0600',mode:absolute,to:'2017-05-11T01:47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6" s="192" t="str">
        <f t="shared" si="94"/>
        <v>Y</v>
      </c>
      <c r="X246" s="192" t="e">
        <f t="shared" si="109"/>
        <v>#VALUE!</v>
      </c>
      <c r="Y246" s="192">
        <f t="shared" si="107"/>
        <v>3.1871</v>
      </c>
      <c r="Z246" s="192">
        <f t="shared" si="108"/>
        <v>1.29E-2</v>
      </c>
      <c r="AA246" s="192">
        <f t="shared" si="95"/>
        <v>3.1741999999999999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96"/>
        <v>76-10</v>
      </c>
      <c r="AE246" s="80" t="str">
        <f t="shared" si="97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46" s="77" t="str">
        <f t="shared" si="98"/>
        <v>"C:\Program Files (x86)\AstroGrep\AstroGrep.exe" /e /r /s /spath="%USERPROFILE%\AppData\Local\Temp\OnboardLogs" /stypes="app*4013*20170511*" /stext=" 06:.+((SYSTEM_STATE.+slice.+state.+changed )|(ment ac)|(multiple cpu faults)|(system.+state.+changed )|(\[timeout)|(PRM\|1\|D)|(kpr)|(kdp)|(train st.+moving)|(\|lc)|(penalty))"</v>
      </c>
      <c r="AG246" s="1" t="str">
        <f t="shared" si="99"/>
        <v>Other</v>
      </c>
      <c r="AH246" s="81" t="str">
        <f t="shared" si="100"/>
        <v>"%USERPROFILE%\Documents\GitHub\eaglep3\Utilities\RefineRTDCRunTimes.py" --tripid 76-10 --locoid 4013 --swversion DE.1.0.9.0 --startMP 300:31871 --initTime 2017-05-11T00:01:37 --startdatetime 2017-05-11T00:36:24 --delay 0 --endMP 204:129 --enddatetime 2017-05-11T00:47:34 --enforcementcount 0 &gt;&gt;C:\Users\stu\Documents\GitHub\eaglep3-reporting\EC\2017-05-10-refined-times.txt</v>
      </c>
      <c r="AI246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{"issue":{"subject":"","project_id":79,"tracker_id":40,"status_id":1,"priority_id":2,"assigned_to_id":23,"start_date":"2017-05-11","description":"","custom_fields":[{"id":1,"name":"Subdivision","value":"Other"},{"id":4,"name":"Milepost","value":"0.0129"},{"id":17,"name":"Train ID","value":"76-10"},{"id":16,"name":"Locomotive ID","value":"4013"},{"id":130,"name":"Impact","value":""},{"id":150,"name":"Time of Event (Mountain Time)","value":"00:47:34"},{"id":151,"name":"Denver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02"/>
        <v>start /low /b %USERPROFILE%\Documents\GitHub\eaglep3\Utilities\DownloadLogsFromS3.py --loco 4013 --day 2017-05-11</v>
      </c>
      <c r="AN246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06:47:34"},{"id":29,"name":"Sharepoint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597</v>
      </c>
      <c r="B247" s="7">
        <v>4013</v>
      </c>
      <c r="C247" s="21" t="s">
        <v>206</v>
      </c>
      <c r="D247" s="21" t="s">
        <v>938</v>
      </c>
      <c r="E247" s="13">
        <v>42865.832129629627</v>
      </c>
      <c r="F247" s="13">
        <v>42865.864606481482</v>
      </c>
      <c r="G247" s="7">
        <v>1</v>
      </c>
      <c r="H247" s="21" t="s">
        <v>354</v>
      </c>
      <c r="I247" s="13">
        <v>42865.87709490741</v>
      </c>
      <c r="J247" s="7">
        <v>0</v>
      </c>
      <c r="K247" s="92" t="str">
        <f t="shared" si="90"/>
        <v>4013/4014</v>
      </c>
      <c r="L247" s="21" t="str">
        <f>VLOOKUP(A247,'Trips&amp;Operators'!$C$1:$G$99999,5,FALSE)</f>
        <v>SULLIVAN BRANDON</v>
      </c>
      <c r="M247" s="6">
        <f t="shared" si="91"/>
        <v>1.2488425927585922E-2</v>
      </c>
      <c r="N247" s="7">
        <f t="shared" si="110"/>
        <v>17.983333335723728</v>
      </c>
      <c r="O247" s="7"/>
      <c r="P247" s="7"/>
      <c r="Q247" s="22"/>
      <c r="R247" s="190"/>
      <c r="S247" s="196">
        <f t="shared" si="111"/>
        <v>0</v>
      </c>
      <c r="T247" s="190" t="e">
        <f t="shared" si="92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93"/>
        <v>https://d0f6bd738d7f1b3e5a7ca70fe4ff75f0.us-east-1.aws.found.io/app/kibana#/discover/Steve-Slow-Train-Analysis-(2080s-and-2083s)?_g=(refreshInterval:(display:Off,pause:!f,section:0,value:0),time:(from:'2017-05-10T18:58:16-0600',mode:absolute,to:'2017-05-10T22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7" s="192" t="str">
        <f t="shared" si="94"/>
        <v>Y</v>
      </c>
      <c r="X247" s="192" t="e">
        <f t="shared" si="109"/>
        <v>#VALUE!</v>
      </c>
      <c r="Y247" s="192">
        <f t="shared" si="107"/>
        <v>3.9123999999999999</v>
      </c>
      <c r="Z247" s="192">
        <f t="shared" si="108"/>
        <v>1.6E-2</v>
      </c>
      <c r="AA247" s="192">
        <f t="shared" si="95"/>
        <v>3.8963999999999999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96"/>
        <v>76-10</v>
      </c>
      <c r="AE247" s="80" t="str">
        <f t="shared" si="97"/>
        <v>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 &amp; 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</v>
      </c>
      <c r="AF247" s="77" t="str">
        <f t="shared" si="98"/>
        <v>"C:\Program Files (x86)\AstroGrep\AstroGrep.exe" /e /r /s /spath="%USERPROFILE%\AppData\Local\Temp\OnboardLogs" /stypes="app*4013*20170511*" /stext=" 03:.+((SYSTEM_STATE.+slice.+state.+changed )|(ment ac)|(multiple cpu faults)|(system.+state.+changed )|(\[timeout)|(PRM\|1\|D)|(kpr)|(kdp)|(train st.+moving)|(\|lc)|(penalty))"</v>
      </c>
      <c r="AG247" s="1" t="str">
        <f t="shared" si="99"/>
        <v>Other</v>
      </c>
      <c r="AH247" s="81" t="str">
        <f t="shared" si="100"/>
        <v>"%USERPROFILE%\Documents\GitHub\eaglep3\Utilities\RefineRTDCRunTimes.py" --tripid 76-10 --locoid 4013 --swversion DE.1.0.9.0 --startMP 300:39124 --initTime 2017-05-10T19:58:16 --startdatetime 2017-05-10T20:45:02 --delay 1 --endMP 204:160 --enddatetime 2017-05-10T21:03:01 --enforcementcount 0 &gt;&gt;C:\Users\stu\Documents\GitHub\eaglep3-reporting\EC\2017-05-10-refined-times.txt</v>
      </c>
      <c r="AI247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{"issue":{"subject":"","project_id":79,"tracker_id":40,"status_id":1,"priority_id":2,"assigned_to_id":23,"start_date":"2017-05-10","description":"","custom_fields":[{"id":1,"name":"Subdivision","value":"Other"},{"id":4,"name":"Milepost","value":"0.016"},{"id":17,"name":"Train ID","value":"76-10"},{"id":16,"name":"Locomotive ID","value":"4013"},{"id":130,"name":"Impact","value":""},{"id":150,"name":"Time of Event (Mountain Time)","value":"21:03:01"},{"id":151,"name":"Denver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102"/>
        <v>start /low /b %USERPROFILE%\Documents\GitHub\eaglep3\Utilities\DownloadLogsFromS3.py --loco 4013 --day 2017-05-10</v>
      </c>
      <c r="AN247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597</v>
      </c>
      <c r="B248" s="7">
        <v>4013</v>
      </c>
      <c r="C248" s="21" t="s">
        <v>206</v>
      </c>
      <c r="D248" s="21" t="s">
        <v>939</v>
      </c>
      <c r="E248" s="13">
        <v>42865.893437500003</v>
      </c>
      <c r="F248" s="13">
        <v>42865.922731481478</v>
      </c>
      <c r="G248" s="7">
        <v>1</v>
      </c>
      <c r="H248" s="21" t="s">
        <v>940</v>
      </c>
      <c r="I248" s="13">
        <v>42865.928287037037</v>
      </c>
      <c r="J248" s="7">
        <v>0</v>
      </c>
      <c r="K248" s="92" t="str">
        <f t="shared" si="90"/>
        <v>4013/4014</v>
      </c>
      <c r="L248" s="21" t="str">
        <f>VLOOKUP(A248,'Trips&amp;Operators'!$C$1:$G$99999,5,FALSE)</f>
        <v>SULLIVAN BRANDON</v>
      </c>
      <c r="M248" s="6">
        <f t="shared" si="91"/>
        <v>5.5555555591126904E-3</v>
      </c>
      <c r="N248" s="7">
        <f t="shared" si="110"/>
        <v>8.0000000051222742</v>
      </c>
      <c r="O248" s="7"/>
      <c r="P248" s="7"/>
      <c r="Q248" s="22"/>
      <c r="R248" s="190"/>
      <c r="S248" s="196">
        <f t="shared" si="111"/>
        <v>0</v>
      </c>
      <c r="T248" s="190" t="e">
        <f t="shared" si="92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93"/>
        <v>https://d0f6bd738d7f1b3e5a7ca70fe4ff75f0.us-east-1.aws.found.io/app/kibana#/discover/Steve-Slow-Train-Analysis-(2080s-and-2083s)?_g=(refreshInterval:(display:Off,pause:!f,section:0,value:0),time:(from:'2017-05-10T20:26:33-0600',mode:absolute,to:'2017-05-10T23:16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8" s="192" t="str">
        <f t="shared" si="94"/>
        <v>Y</v>
      </c>
      <c r="X248" s="192" t="e">
        <f t="shared" si="109"/>
        <v>#VALUE!</v>
      </c>
      <c r="Y248" s="192">
        <f t="shared" si="107"/>
        <v>3.9150999999999998</v>
      </c>
      <c r="Z248" s="192">
        <f t="shared" si="108"/>
        <v>1.2E-2</v>
      </c>
      <c r="AA248" s="192">
        <f t="shared" si="95"/>
        <v>3.9030999999999998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96"/>
        <v>76-10</v>
      </c>
      <c r="AE248" s="80" t="str">
        <f t="shared" si="97"/>
        <v>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 &amp; 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</v>
      </c>
      <c r="AF248" s="77" t="str">
        <f t="shared" si="98"/>
        <v>"C:\Program Files (x86)\AstroGrep\AstroGrep.exe" /e /r /s /spath="%USERPROFILE%\AppData\Local\Temp\OnboardLogs" /stypes="app*4013*20170511*" /stext=" 04:.+((SYSTEM_STATE.+slice.+state.+changed )|(ment ac)|(multiple cpu faults)|(system.+state.+changed )|(\[timeout)|(PRM\|1\|D)|(kpr)|(kdp)|(train st.+moving)|(\|lc)|(penalty))"</v>
      </c>
      <c r="AG248" s="1" t="str">
        <f t="shared" si="99"/>
        <v>Other</v>
      </c>
      <c r="AH248" s="81" t="str">
        <f t="shared" si="100"/>
        <v>"%USERPROFILE%\Documents\GitHub\eaglep3\Utilities\RefineRTDCRunTimes.py" --tripid 76-10 --locoid 4013 --swversion DE.1.0.9.0 --startMP 300:39151 --initTime 2017-05-10T21:26:33 --startdatetime 2017-05-10T22:08:44 --delay 1 --endMP 204:120 --enddatetime 2017-05-10T22:16:44 --enforcementcount 0 &gt;&gt;C:\Users\stu\Documents\GitHub\eaglep3-reporting\EC\2017-05-10-refined-times.txt</v>
      </c>
      <c r="AI248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{"issue":{"subject":"","project_id":79,"tracker_id":40,"status_id":1,"priority_id":2,"assigned_to_id":23,"start_date":"2017-05-10","description":"","custom_fields":[{"id":1,"name":"Subdivision","value":"Other"},{"id":4,"name":"Milepost","value":"0.012"},{"id":17,"name":"Train ID","value":"76-10"},{"id":16,"name":"Locomotive ID","value":"4013"},{"id":130,"name":"Impact","value":""},{"id":150,"name":"Time of Event (Mountain Time)","value":"22:16:44"},{"id":151,"name":"Denver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102"/>
        <v>start /low /b %USERPROFILE%\Documents\GitHub\eaglep3\Utilities\DownloadLogsFromS3.py --loco 4013 --day 2017-05-10</v>
      </c>
      <c r="AN248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04:16:44"},{"id":29,"name":"Sharepoint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597</v>
      </c>
      <c r="B249" s="7">
        <v>4013</v>
      </c>
      <c r="C249" s="21" t="s">
        <v>206</v>
      </c>
      <c r="D249" s="21" t="s">
        <v>941</v>
      </c>
      <c r="E249" s="13">
        <v>42865.86246527778</v>
      </c>
      <c r="F249" s="13">
        <v>42865.895509259259</v>
      </c>
      <c r="G249" s="7">
        <v>1</v>
      </c>
      <c r="H249" s="21" t="s">
        <v>942</v>
      </c>
      <c r="I249" s="13">
        <v>42865.906388888892</v>
      </c>
      <c r="J249" s="7">
        <v>0</v>
      </c>
      <c r="K249" s="92" t="str">
        <f t="shared" si="90"/>
        <v>4013/4014</v>
      </c>
      <c r="L249" s="21" t="str">
        <f>VLOOKUP(A249,'Trips&amp;Operators'!$C$1:$G$99999,5,FALSE)</f>
        <v>SULLIVAN BRANDON</v>
      </c>
      <c r="M249" s="6">
        <f t="shared" si="91"/>
        <v>1.0879629633564036E-2</v>
      </c>
      <c r="N249" s="7">
        <f t="shared" si="110"/>
        <v>15.666666672332212</v>
      </c>
      <c r="O249" s="7"/>
      <c r="P249" s="7"/>
      <c r="Q249" s="22"/>
      <c r="R249" s="190"/>
      <c r="S249" s="196">
        <f t="shared" si="111"/>
        <v>0</v>
      </c>
      <c r="T249" s="190" t="e">
        <f t="shared" si="92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93"/>
        <v>https://d0f6bd738d7f1b3e5a7ca70fe4ff75f0.us-east-1.aws.found.io/app/kibana#/discover/Steve-Slow-Train-Analysis-(2080s-and-2083s)?_g=(refreshInterval:(display:Off,pause:!f,section:0,value:0),time:(from:'2017-05-10T19:41:57-0600',mode:absolute,to:'2017-05-10T22:45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9" s="192" t="str">
        <f t="shared" si="94"/>
        <v>Y</v>
      </c>
      <c r="X249" s="192" t="e">
        <f t="shared" si="109"/>
        <v>#VALUE!</v>
      </c>
      <c r="Y249" s="192">
        <f t="shared" si="107"/>
        <v>3.9152999999999998</v>
      </c>
      <c r="Z249" s="192">
        <f t="shared" si="108"/>
        <v>1.37E-2</v>
      </c>
      <c r="AA249" s="192">
        <f t="shared" si="95"/>
        <v>3.9015999999999997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96"/>
        <v>76-10</v>
      </c>
      <c r="AE249" s="80" t="str">
        <f t="shared" si="97"/>
        <v>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 &amp; 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</v>
      </c>
      <c r="AF249" s="77" t="str">
        <f t="shared" si="98"/>
        <v>"C:\Program Files (x86)\AstroGrep\AstroGrep.exe" /e /r /s /spath="%USERPROFILE%\AppData\Local\Temp\OnboardLogs" /stypes="app*4013*20170511*" /stext=" 03:.+((SYSTEM_STATE.+slice.+state.+changed )|(ment ac)|(multiple cpu faults)|(system.+state.+changed )|(\[timeout)|(PRM\|1\|D)|(kpr)|(kdp)|(train st.+moving)|(\|lc)|(penalty))"</v>
      </c>
      <c r="AG249" s="1" t="str">
        <f t="shared" si="99"/>
        <v>Other</v>
      </c>
      <c r="AH249" s="81" t="str">
        <f t="shared" si="100"/>
        <v>"%USERPROFILE%\Documents\GitHub\eaglep3\Utilities\RefineRTDCRunTimes.py" --tripid 76-10 --locoid 4013 --swversion DE.1.0.9.0 --startMP 300:39153 --initTime 2017-05-10T20:41:57 --startdatetime 2017-05-10T21:29:32 --delay 1 --endMP 204:137 --enddatetime 2017-05-10T21:45:12 --enforcementcount 0 &gt;&gt;C:\Users\stu\Documents\GitHub\eaglep3-reporting\EC\2017-05-10-refined-times.txt</v>
      </c>
      <c r="AI249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{"issue":{"subject":"","project_id":79,"tracker_id":40,"status_id":1,"priority_id":2,"assigned_to_id":23,"start_date":"2017-05-10","description":"","custom_fields":[{"id":1,"name":"Subdivision","value":"Other"},{"id":4,"name":"Milepost","value":"0.0137"},{"id":17,"name":"Train ID","value":"76-10"},{"id":16,"name":"Locomotive ID","value":"4013"},{"id":130,"name":"Impact","value":""},{"id":150,"name":"Time of Event (Mountain Time)","value":"21:45:12"},{"id":151,"name":"Denver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102"/>
        <v>start /low /b %USERPROFILE%\Documents\GitHub\eaglep3\Utilities\DownloadLogsFromS3.py --loco 4013 --day 2017-05-10</v>
      </c>
      <c r="AN249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03:45:12"},{"id":29,"name":"Sharepoint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597</v>
      </c>
      <c r="B250" s="7">
        <v>4014</v>
      </c>
      <c r="C250" s="21" t="s">
        <v>206</v>
      </c>
      <c r="D250" s="21" t="s">
        <v>943</v>
      </c>
      <c r="E250" s="13">
        <v>42866.014733796299</v>
      </c>
      <c r="F250" s="13">
        <v>42866.041620370372</v>
      </c>
      <c r="G250" s="7">
        <v>0</v>
      </c>
      <c r="H250" s="21" t="s">
        <v>944</v>
      </c>
      <c r="I250" s="13">
        <v>42866.046886574077</v>
      </c>
      <c r="J250" s="7">
        <v>0</v>
      </c>
      <c r="K250" s="92" t="str">
        <f t="shared" si="90"/>
        <v>4013/4014</v>
      </c>
      <c r="L250" s="21" t="str">
        <f>VLOOKUP(A250,'Trips&amp;Operators'!$C$1:$G$99999,5,FALSE)</f>
        <v>SULLIVAN BRANDON</v>
      </c>
      <c r="M250" s="6">
        <f t="shared" si="91"/>
        <v>5.2662037051049992E-3</v>
      </c>
      <c r="N250" s="7">
        <f t="shared" si="110"/>
        <v>7.5833333353511989</v>
      </c>
      <c r="O250" s="7"/>
      <c r="P250" s="7"/>
      <c r="Q250" s="22"/>
      <c r="R250" s="190"/>
      <c r="S250" s="196">
        <f t="shared" si="111"/>
        <v>0</v>
      </c>
      <c r="T250" s="190" t="e">
        <f t="shared" si="92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93"/>
        <v>https://d0f6bd738d7f1b3e5a7ca70fe4ff75f0.us-east-1.aws.found.io/app/kibana#/discover/Steve-Slow-Train-Analysis-(2080s-and-2083s)?_g=(refreshInterval:(display:Off,pause:!f,section:0,value:0),time:(from:'2017-05-10T23:21:13-0600',mode:absolute,to:'2017-05-11T02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0" s="192" t="str">
        <f t="shared" si="94"/>
        <v>Y</v>
      </c>
      <c r="X250" s="192" t="e">
        <f t="shared" si="109"/>
        <v>#VALUE!</v>
      </c>
      <c r="Y250" s="192">
        <f t="shared" si="107"/>
        <v>4.19E-2</v>
      </c>
      <c r="Z250" s="192">
        <f t="shared" si="108"/>
        <v>3.2067999999999999</v>
      </c>
      <c r="AA250" s="192">
        <f t="shared" si="95"/>
        <v>3.1648999999999998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96"/>
        <v>76-10</v>
      </c>
      <c r="AE250" s="80" t="str">
        <f t="shared" si="97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50" s="77" t="str">
        <f t="shared" si="98"/>
        <v>"C:\Program Files (x86)\AstroGrep\AstroGrep.exe" /e /r /s /spath="%USERPROFILE%\AppData\Local\Temp\OnboardLogs" /stypes="app*4014*20170511*" /stext=" 07:.+((SYSTEM_STATE.+slice.+state.+changed )|(ment ac)|(multiple cpu faults)|(system.+state.+changed )|(\[timeout)|(PRM\|1\|D)|(kpr)|(kdp)|(train st.+moving)|(\|lc)|(penalty))"</v>
      </c>
      <c r="AG250" s="1" t="str">
        <f t="shared" si="99"/>
        <v>Other</v>
      </c>
      <c r="AH250" s="81" t="str">
        <f t="shared" si="100"/>
        <v>"%USERPROFILE%\Documents\GitHub\eaglep3\Utilities\RefineRTDCRunTimes.py" --tripid 76-10 --locoid 4014 --swversion DE.1.0.9.0 --startMP 204:419 --initTime 2017-05-11T00:21:13 --startdatetime 2017-05-11T00:59:56 --delay 0 --endMP 300:32068 --enddatetime 2017-05-11T01:07:31 --enforcementcount 0 &gt;&gt;C:\Users\stu\Documents\GitHub\eaglep3-reporting\EC\2017-05-10-refined-times.txt</v>
      </c>
      <c r="AI250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{"issue":{"subject":"","project_id":79,"tracker_id":40,"status_id":1,"priority_id":2,"assigned_to_id":23,"start_date":"2017-05-11","description":"","custom_fields":[{"id":1,"name":"Subdivision","value":"Other"},{"id":4,"name":"Milepost","value":"3.2068"},{"id":17,"name":"Train ID","value":"76-10"},{"id":16,"name":"Locomotive ID","value":"4014"},{"id":130,"name":"Impact","value":""},{"id":150,"name":"Time of Event (Mountain Time)","value":"01:07:31"},{"id":151,"name":"Denver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102"/>
        <v>start /low /b %USERPROFILE%\Documents\GitHub\eaglep3\Utilities\DownloadLogsFromS3.py --loco 4014 --day 2017-05-11</v>
      </c>
      <c r="AN250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597</v>
      </c>
      <c r="B251" s="7">
        <v>4014</v>
      </c>
      <c r="C251" s="21" t="s">
        <v>206</v>
      </c>
      <c r="D251" s="21" t="s">
        <v>468</v>
      </c>
      <c r="E251" s="13">
        <v>42865.961550925924</v>
      </c>
      <c r="F251" s="13">
        <v>42865.972175925926</v>
      </c>
      <c r="G251" s="7">
        <v>1</v>
      </c>
      <c r="H251" s="21" t="s">
        <v>945</v>
      </c>
      <c r="I251" s="13">
        <v>42865.978159722225</v>
      </c>
      <c r="J251" s="7">
        <v>0</v>
      </c>
      <c r="K251" s="92" t="str">
        <f t="shared" si="90"/>
        <v>4013/4014</v>
      </c>
      <c r="L251" s="21" t="str">
        <f>VLOOKUP(A251,'Trips&amp;Operators'!$C$1:$G$99999,5,FALSE)</f>
        <v>SULLIVAN BRANDON</v>
      </c>
      <c r="M251" s="6">
        <f t="shared" si="91"/>
        <v>5.9837962980964221E-3</v>
      </c>
      <c r="N251" s="7">
        <f t="shared" si="110"/>
        <v>8.6166666692588478</v>
      </c>
      <c r="O251" s="7"/>
      <c r="P251" s="7"/>
      <c r="Q251" s="22"/>
      <c r="R251" s="190"/>
      <c r="S251" s="196">
        <f t="shared" si="111"/>
        <v>0</v>
      </c>
      <c r="T251" s="190" t="e">
        <f t="shared" si="92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93"/>
        <v>https://d0f6bd738d7f1b3e5a7ca70fe4ff75f0.us-east-1.aws.found.io/app/kibana#/discover/Steve-Slow-Train-Analysis-(2080s-and-2083s)?_g=(refreshInterval:(display:Off,pause:!f,section:0,value:0),time:(from:'2017-05-10T22:04:38-0600',mode:absolute,to:'2017-05-11T00:28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1" s="192" t="str">
        <f t="shared" si="94"/>
        <v>Y</v>
      </c>
      <c r="X251" s="192" t="e">
        <f t="shared" si="109"/>
        <v>#VALUE!</v>
      </c>
      <c r="Y251" s="192">
        <f t="shared" si="107"/>
        <v>4.3299999999999998E-2</v>
      </c>
      <c r="Z251" s="192">
        <f t="shared" si="108"/>
        <v>3.1722999999999999</v>
      </c>
      <c r="AA251" s="192">
        <f t="shared" si="95"/>
        <v>3.129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96"/>
        <v>76-10</v>
      </c>
      <c r="AE251" s="80" t="str">
        <f t="shared" si="97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51" s="77" t="str">
        <f t="shared" si="98"/>
        <v>"C:\Program Files (x86)\AstroGrep\AstroGrep.exe" /e /r /s /spath="%USERPROFILE%\AppData\Local\Temp\OnboardLogs" /stypes="app*4014*20170511*" /stext=" 05:.+((SYSTEM_STATE.+slice.+state.+changed )|(ment ac)|(multiple cpu faults)|(system.+state.+changed )|(\[timeout)|(PRM\|1\|D)|(kpr)|(kdp)|(train st.+moving)|(\|lc)|(penalty))"</v>
      </c>
      <c r="AG251" s="1" t="str">
        <f t="shared" si="99"/>
        <v>Other</v>
      </c>
      <c r="AH251" s="81" t="str">
        <f t="shared" si="100"/>
        <v>"%USERPROFILE%\Documents\GitHub\eaglep3\Utilities\RefineRTDCRunTimes.py" --tripid 76-10 --locoid 4014 --swversion DE.1.0.9.0 --startMP 204:433 --initTime 2017-05-10T23:04:38 --startdatetime 2017-05-10T23:19:56 --delay 1 --endMP 300:31723 --enddatetime 2017-05-10T23:28:33 --enforcementcount 0 &gt;&gt;C:\Users\stu\Documents\GitHub\eaglep3-reporting\EC\2017-05-10-refined-times.txt</v>
      </c>
      <c r="AI251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{"issue":{"subject":"","project_id":79,"tracker_id":40,"status_id":1,"priority_id":2,"assigned_to_id":23,"start_date":"2017-05-10","description":"","custom_fields":[{"id":1,"name":"Subdivision","value":"Other"},{"id":4,"name":"Milepost","value":"3.1723"},{"id":17,"name":"Train ID","value":"76-10"},{"id":16,"name":"Locomotive ID","value":"4014"},{"id":130,"name":"Impact","value":""},{"id":150,"name":"Time of Event (Mountain Time)","value":"23:28:33"},{"id":151,"name":"Denver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102"/>
        <v>start /low /b %USERPROFILE%\Documents\GitHub\eaglep3\Utilities\DownloadLogsFromS3.py --loco 4014 --day 2017-05-10</v>
      </c>
      <c r="AN251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05:28:33"},{"id":29,"name":"Sharepoint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597</v>
      </c>
      <c r="B252" s="7">
        <v>4014</v>
      </c>
      <c r="C252" s="21" t="s">
        <v>206</v>
      </c>
      <c r="D252" s="21" t="s">
        <v>521</v>
      </c>
      <c r="E252" s="13">
        <v>42865.938622685186</v>
      </c>
      <c r="F252" s="13">
        <v>42865.963912037034</v>
      </c>
      <c r="G252" s="7">
        <v>1</v>
      </c>
      <c r="H252" s="21" t="s">
        <v>946</v>
      </c>
      <c r="I252" s="13">
        <v>42865.968912037039</v>
      </c>
      <c r="J252" s="7">
        <v>0</v>
      </c>
      <c r="K252" s="92" t="str">
        <f t="shared" si="90"/>
        <v>4013/4014</v>
      </c>
      <c r="L252" s="21" t="str">
        <f>VLOOKUP(A252,'Trips&amp;Operators'!$C$1:$G$99999,5,FALSE)</f>
        <v>SULLIVAN BRANDON</v>
      </c>
      <c r="M252" s="6">
        <f t="shared" si="91"/>
        <v>5.0000000046566129E-3</v>
      </c>
      <c r="N252" s="7">
        <f t="shared" si="110"/>
        <v>7.2000000067055225</v>
      </c>
      <c r="O252" s="7"/>
      <c r="P252" s="7"/>
      <c r="Q252" s="22"/>
      <c r="R252" s="190"/>
      <c r="S252" s="196">
        <f t="shared" si="111"/>
        <v>0</v>
      </c>
      <c r="T252" s="190" t="e">
        <f t="shared" si="92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93"/>
        <v>https://d0f6bd738d7f1b3e5a7ca70fe4ff75f0.us-east-1.aws.found.io/app/kibana#/discover/Steve-Slow-Train-Analysis-(2080s-and-2083s)?_g=(refreshInterval:(display:Off,pause:!f,section:0,value:0),time:(from:'2017-05-10T21:31:37-0600',mode:absolute,to:'2017-05-11T00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2" s="192" t="str">
        <f t="shared" si="94"/>
        <v>Y</v>
      </c>
      <c r="X252" s="192" t="e">
        <f t="shared" si="109"/>
        <v>#VALUE!</v>
      </c>
      <c r="Y252" s="192">
        <f t="shared" si="107"/>
        <v>4.3499999999999997E-2</v>
      </c>
      <c r="Z252" s="192">
        <f t="shared" si="108"/>
        <v>3.1863000000000001</v>
      </c>
      <c r="AA252" s="192">
        <f t="shared" si="95"/>
        <v>3.1428000000000003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96"/>
        <v>76-10</v>
      </c>
      <c r="AE252" s="80" t="str">
        <f t="shared" si="97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52" s="77" t="str">
        <f t="shared" si="98"/>
        <v>"C:\Program Files (x86)\AstroGrep\AstroGrep.exe" /e /r /s /spath="%USERPROFILE%\AppData\Local\Temp\OnboardLogs" /stypes="app*4014*20170511*" /stext=" 05:.+((SYSTEM_STATE.+slice.+state.+changed )|(ment ac)|(multiple cpu faults)|(system.+state.+changed )|(\[timeout)|(PRM\|1\|D)|(kpr)|(kdp)|(train st.+moving)|(\|lc)|(penalty))"</v>
      </c>
      <c r="AG252" s="1" t="str">
        <f t="shared" si="99"/>
        <v>Other</v>
      </c>
      <c r="AH252" s="81" t="str">
        <f t="shared" si="100"/>
        <v>"%USERPROFILE%\Documents\GitHub\eaglep3\Utilities\RefineRTDCRunTimes.py" --tripid 76-10 --locoid 4014 --swversion DE.1.0.9.0 --startMP 204:435 --initTime 2017-05-10T22:31:37 --startdatetime 2017-05-10T23:08:02 --delay 1 --endMP 300:31863 --enddatetime 2017-05-10T23:15:14 --enforcementcount 0 &gt;&gt;C:\Users\stu\Documents\GitHub\eaglep3-reporting\EC\2017-05-10-refined-times.txt</v>
      </c>
      <c r="AI252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{"issue":{"subject":"","project_id":79,"tracker_id":40,"status_id":1,"priority_id":2,"assigned_to_id":23,"start_date":"2017-05-10","description":"","custom_fields":[{"id":1,"name":"Subdivision","value":"Other"},{"id":4,"name":"Milepost","value":"3.1863"},{"id":17,"name":"Train ID","value":"76-10"},{"id":16,"name":"Locomotive ID","value":"4014"},{"id":130,"name":"Impact","value":""},{"id":150,"name":"Time of Event (Mountain Time)","value":"23:15:14"},{"id":151,"name":"Denver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102"/>
        <v>start /low /b %USERPROFILE%\Documents\GitHub\eaglep3\Utilities\DownloadLogsFromS3.py --loco 4014 --day 2017-05-10</v>
      </c>
      <c r="AN252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05:15:14"},{"id":29,"name":"Sharepoint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597</v>
      </c>
      <c r="B253" s="7">
        <v>4014</v>
      </c>
      <c r="C253" s="21" t="s">
        <v>206</v>
      </c>
      <c r="D253" s="21" t="s">
        <v>947</v>
      </c>
      <c r="E253" s="13">
        <v>42865.91914351852</v>
      </c>
      <c r="F253" s="13">
        <v>42865.950983796298</v>
      </c>
      <c r="G253" s="7">
        <v>1</v>
      </c>
      <c r="H253" s="21" t="s">
        <v>948</v>
      </c>
      <c r="I253" s="13">
        <v>42865.958379629628</v>
      </c>
      <c r="J253" s="7">
        <v>0</v>
      </c>
      <c r="K253" s="92" t="str">
        <f t="shared" si="90"/>
        <v>4013/4014</v>
      </c>
      <c r="L253" s="21" t="str">
        <f>VLOOKUP(A253,'Trips&amp;Operators'!$C$1:$G$99999,5,FALSE)</f>
        <v>SULLIVAN BRANDON</v>
      </c>
      <c r="M253" s="6">
        <f t="shared" si="91"/>
        <v>7.3958333305199631E-3</v>
      </c>
      <c r="N253" s="7">
        <f t="shared" si="110"/>
        <v>10.649999995948747</v>
      </c>
      <c r="O253" s="7"/>
      <c r="P253" s="7"/>
      <c r="Q253" s="22"/>
      <c r="R253" s="190"/>
      <c r="S253" s="196">
        <f t="shared" si="111"/>
        <v>0</v>
      </c>
      <c r="T253" s="190" t="e">
        <f t="shared" si="92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93"/>
        <v>https://d0f6bd738d7f1b3e5a7ca70fe4ff75f0.us-east-1.aws.found.io/app/kibana#/discover/Steve-Slow-Train-Analysis-(2080s-and-2083s)?_g=(refreshInterval:(display:Off,pause:!f,section:0,value:0),time:(from:'2017-05-10T21:03:34-0600',mode:absolute,to:'2017-05-11T00:00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3" s="192" t="str">
        <f t="shared" si="94"/>
        <v>Y</v>
      </c>
      <c r="X253" s="192" t="e">
        <f t="shared" si="109"/>
        <v>#VALUE!</v>
      </c>
      <c r="Y253" s="192">
        <f t="shared" si="107"/>
        <v>4.3900000000000002E-2</v>
      </c>
      <c r="Z253" s="192">
        <f t="shared" si="108"/>
        <v>3.1764999999999999</v>
      </c>
      <c r="AA253" s="192">
        <f t="shared" si="95"/>
        <v>3.1326000000000001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96"/>
        <v>76-10</v>
      </c>
      <c r="AE253" s="80" t="str">
        <f t="shared" si="97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53" s="77" t="str">
        <f t="shared" si="98"/>
        <v>"C:\Program Files (x86)\AstroGrep\AstroGrep.exe" /e /r /s /spath="%USERPROFILE%\AppData\Local\Temp\OnboardLogs" /stypes="app*4014*20170511*" /stext=" 05:.+((SYSTEM_STATE.+slice.+state.+changed )|(ment ac)|(multiple cpu faults)|(system.+state.+changed )|(\[timeout)|(PRM\|1\|D)|(kpr)|(kdp)|(train st.+moving)|(\|lc)|(penalty))"</v>
      </c>
      <c r="AG253" s="1" t="str">
        <f t="shared" si="99"/>
        <v>Other</v>
      </c>
      <c r="AH253" s="81" t="str">
        <f t="shared" si="100"/>
        <v>"%USERPROFILE%\Documents\GitHub\eaglep3\Utilities\RefineRTDCRunTimes.py" --tripid 76-10 --locoid 4014 --swversion DE.1.0.9.0 --startMP 204:439 --initTime 2017-05-10T22:03:34 --startdatetime 2017-05-10T22:49:25 --delay 1 --endMP 300:31765 --enddatetime 2017-05-10T23:00:04 --enforcementcount 0 &gt;&gt;C:\Users\stu\Documents\GitHub\eaglep3-reporting\EC\2017-05-10-refined-times.txt</v>
      </c>
      <c r="AI253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{"issue":{"subject":"","project_id":79,"tracker_id":40,"status_id":1,"priority_id":2,"assigned_to_id":23,"start_date":"2017-05-10","description":"","custom_fields":[{"id":1,"name":"Subdivision","value":"Other"},{"id":4,"name":"Milepost","value":"3.1765"},{"id":17,"name":"Train ID","value":"76-10"},{"id":16,"name":"Locomotive ID","value":"4014"},{"id":130,"name":"Impact","value":""},{"id":150,"name":"Time of Event (Mountain Time)","value":"23:00:04"},{"id":151,"name":"Denver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102"/>
        <v>start /low /b %USERPROFILE%\Documents\GitHub\eaglep3\Utilities\DownloadLogsFromS3.py --loco 4014 --day 2017-05-10</v>
      </c>
      <c r="AN253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05:00:04"},{"id":29,"name":"Sharepoint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597</v>
      </c>
      <c r="B254" s="7">
        <v>4014</v>
      </c>
      <c r="C254" s="21" t="s">
        <v>206</v>
      </c>
      <c r="D254" s="21" t="s">
        <v>947</v>
      </c>
      <c r="E254" s="13">
        <v>42866.039386574077</v>
      </c>
      <c r="F254" s="13">
        <v>42866.064699074072</v>
      </c>
      <c r="G254" s="7">
        <v>2</v>
      </c>
      <c r="H254" s="21" t="s">
        <v>949</v>
      </c>
      <c r="I254" s="13">
        <v>42866.069872685184</v>
      </c>
      <c r="J254" s="7">
        <v>0</v>
      </c>
      <c r="K254" s="92" t="str">
        <f t="shared" si="90"/>
        <v>4013/4014</v>
      </c>
      <c r="L254" s="21" t="str">
        <f>VLOOKUP(A254,'Trips&amp;Operators'!$C$1:$G$99999,5,FALSE)</f>
        <v>SULLIVAN BRANDON</v>
      </c>
      <c r="M254" s="6">
        <f t="shared" si="91"/>
        <v>5.173611112695653E-3</v>
      </c>
      <c r="N254" s="7">
        <f t="shared" si="110"/>
        <v>7.4500000022817403</v>
      </c>
      <c r="O254" s="7"/>
      <c r="P254" s="7"/>
      <c r="Q254" s="22"/>
      <c r="R254" s="190"/>
      <c r="S254" s="196">
        <f t="shared" si="111"/>
        <v>0</v>
      </c>
      <c r="T254" s="190" t="e">
        <f t="shared" si="92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93"/>
        <v>https://d0f6bd738d7f1b3e5a7ca70fe4ff75f0.us-east-1.aws.found.io/app/kibana#/discover/Steve-Slow-Train-Analysis-(2080s-and-2083s)?_g=(refreshInterval:(display:Off,pause:!f,section:0,value:0),time:(from:'2017-05-10T23:56:43-0600',mode:absolute,to:'2017-05-11T02:40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4" s="192" t="str">
        <f t="shared" si="94"/>
        <v>Y</v>
      </c>
      <c r="X254" s="192" t="e">
        <f t="shared" si="109"/>
        <v>#VALUE!</v>
      </c>
      <c r="Y254" s="192">
        <f t="shared" si="107"/>
        <v>4.3900000000000002E-2</v>
      </c>
      <c r="Z254" s="192">
        <f t="shared" si="108"/>
        <v>3.2119</v>
      </c>
      <c r="AA254" s="192">
        <f t="shared" si="95"/>
        <v>3.1680000000000001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96"/>
        <v>76-10</v>
      </c>
      <c r="AE254" s="80" t="str">
        <f t="shared" si="97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54" s="77" t="str">
        <f t="shared" si="98"/>
        <v>"C:\Program Files (x86)\AstroGrep\AstroGrep.exe" /e /r /s /spath="%USERPROFILE%\AppData\Local\Temp\OnboardLogs" /stypes="app*4014*20170511*" /stext=" 07:.+((SYSTEM_STATE.+slice.+state.+changed )|(ment ac)|(multiple cpu faults)|(system.+state.+changed )|(\[timeout)|(PRM\|1\|D)|(kpr)|(kdp)|(train st.+moving)|(\|lc)|(penalty))"</v>
      </c>
      <c r="AG254" s="1" t="str">
        <f t="shared" si="99"/>
        <v>Other</v>
      </c>
      <c r="AH254" s="81" t="str">
        <f t="shared" si="100"/>
        <v>"%USERPROFILE%\Documents\GitHub\eaglep3\Utilities\RefineRTDCRunTimes.py" --tripid 76-10 --locoid 4014 --swversion DE.1.0.9.0 --startMP 204:439 --initTime 2017-05-11T00:56:43 --startdatetime 2017-05-11T01:33:10 --delay 2 --endMP 300:32119 --enddatetime 2017-05-11T01:40:37 --enforcementcount 0 &gt;&gt;C:\Users\stu\Documents\GitHub\eaglep3-reporting\EC\2017-05-10-refined-times.txt</v>
      </c>
      <c r="AI254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{"issue":{"subject":"","project_id":79,"tracker_id":40,"status_id":1,"priority_id":2,"assigned_to_id":23,"start_date":"2017-05-11","description":"","custom_fields":[{"id":1,"name":"Subdivision","value":"Other"},{"id":4,"name":"Milepost","value":"3.2119"},{"id":17,"name":"Train ID","value":"76-10"},{"id":16,"name":"Locomotive ID","value":"4014"},{"id":130,"name":"Impact","value":""},{"id":150,"name":"Time of Event (Mountain Time)","value":"01:40:37"},{"id":151,"name":"Denver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102"/>
        <v>start /low /b %USERPROFILE%\Documents\GitHub\eaglep3\Utilities\DownloadLogsFromS3.py --loco 4014 --day 2017-05-11</v>
      </c>
      <c r="AN254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07:40:37"},{"id":29,"name":"Sharepoint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597</v>
      </c>
      <c r="B255" s="7">
        <v>4014</v>
      </c>
      <c r="C255" s="21" t="s">
        <v>206</v>
      </c>
      <c r="D255" s="21" t="s">
        <v>379</v>
      </c>
      <c r="E255" s="13">
        <v>42866.063020833331</v>
      </c>
      <c r="F255" s="13">
        <v>42866.072430555556</v>
      </c>
      <c r="G255" s="7">
        <v>1</v>
      </c>
      <c r="H255" s="21" t="s">
        <v>950</v>
      </c>
      <c r="I255" s="13">
        <v>42866.080543981479</v>
      </c>
      <c r="J255" s="7">
        <v>0</v>
      </c>
      <c r="K255" s="92" t="str">
        <f t="shared" si="90"/>
        <v>4013/4014</v>
      </c>
      <c r="L255" s="21" t="str">
        <f>VLOOKUP(A255,'Trips&amp;Operators'!$C$1:$G$99999,5,FALSE)</f>
        <v>SULLIVAN BRANDON</v>
      </c>
      <c r="M255" s="6">
        <f t="shared" si="91"/>
        <v>8.1134259235113859E-3</v>
      </c>
      <c r="N255" s="7">
        <f t="shared" si="110"/>
        <v>11.683333329856396</v>
      </c>
      <c r="O255" s="7"/>
      <c r="P255" s="7"/>
      <c r="Q255" s="22"/>
      <c r="R255" s="190"/>
      <c r="S255" s="196">
        <f t="shared" si="111"/>
        <v>0</v>
      </c>
      <c r="T255" s="190" t="e">
        <f t="shared" si="92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93"/>
        <v>https://d0f6bd738d7f1b3e5a7ca70fe4ff75f0.us-east-1.aws.found.io/app/kibana#/discover/Steve-Slow-Train-Analysis-(2080s-and-2083s)?_g=(refreshInterval:(display:Off,pause:!f,section:0,value:0),time:(from:'2017-05-11T00:30:45-0600',mode:absolute,to:'2017-05-11T02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5" s="192" t="str">
        <f t="shared" si="94"/>
        <v>Y</v>
      </c>
      <c r="X255" s="192" t="e">
        <f t="shared" si="109"/>
        <v>#VALUE!</v>
      </c>
      <c r="Y255" s="192">
        <f t="shared" si="107"/>
        <v>4.4200000000000003E-2</v>
      </c>
      <c r="Z255" s="192">
        <f t="shared" si="108"/>
        <v>3.2088999999999999</v>
      </c>
      <c r="AA255" s="192">
        <f t="shared" si="95"/>
        <v>3.1646999999999998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96"/>
        <v>76-10</v>
      </c>
      <c r="AE255" s="80" t="str">
        <f t="shared" si="97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55" s="77" t="str">
        <f t="shared" si="98"/>
        <v>"C:\Program Files (x86)\AstroGrep\AstroGrep.exe" /e /r /s /spath="%USERPROFILE%\AppData\Local\Temp\OnboardLogs" /stypes="app*4014*20170511*" /stext=" 07:.+((SYSTEM_STATE.+slice.+state.+changed )|(ment ac)|(multiple cpu faults)|(system.+state.+changed )|(\[timeout)|(PRM\|1\|D)|(kpr)|(kdp)|(train st.+moving)|(\|lc)|(penalty))"</v>
      </c>
      <c r="AG255" s="1" t="str">
        <f t="shared" si="99"/>
        <v>Other</v>
      </c>
      <c r="AH255" s="81" t="str">
        <f t="shared" si="100"/>
        <v>"%USERPROFILE%\Documents\GitHub\eaglep3\Utilities\RefineRTDCRunTimes.py" --tripid 76-10 --locoid 4014 --swversion DE.1.0.9.0 --startMP 204:442 --initTime 2017-05-11T01:30:45 --startdatetime 2017-05-11T01:44:18 --delay 1 --endMP 300:32089 --enddatetime 2017-05-11T01:55:59 --enforcementcount 0 &gt;&gt;C:\Users\stu\Documents\GitHub\eaglep3-reporting\EC\2017-05-10-refined-times.txt</v>
      </c>
      <c r="AI255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{"issue":{"subject":"","project_id":79,"tracker_id":40,"status_id":1,"priority_id":2,"assigned_to_id":23,"start_date":"2017-05-11","description":"","custom_fields":[{"id":1,"name":"Subdivision","value":"Other"},{"id":4,"name":"Milepost","value":"3.2089"},{"id":17,"name":"Train ID","value":"76-10"},{"id":16,"name":"Locomotive ID","value":"4014"},{"id":130,"name":"Impact","value":""},{"id":150,"name":"Time of Event (Mountain Time)","value":"01:55:59"},{"id":151,"name":"Denver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102"/>
        <v>start /low /b %USERPROFILE%\Documents\GitHub\eaglep3\Utilities\DownloadLogsFromS3.py --loco 4014 --day 2017-05-11</v>
      </c>
      <c r="AN255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07:55:59"},{"id":29,"name":"Sharepoint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597</v>
      </c>
      <c r="B256" s="7">
        <v>4014</v>
      </c>
      <c r="C256" s="21" t="s">
        <v>206</v>
      </c>
      <c r="D256" s="21" t="s">
        <v>372</v>
      </c>
      <c r="E256" s="13">
        <v>42865.850613425922</v>
      </c>
      <c r="F256" s="13">
        <v>42865.864606481482</v>
      </c>
      <c r="G256" s="7">
        <v>0</v>
      </c>
      <c r="H256" s="21" t="s">
        <v>951</v>
      </c>
      <c r="I256" s="13">
        <v>42865.87709490741</v>
      </c>
      <c r="J256" s="7">
        <v>0</v>
      </c>
      <c r="K256" s="92" t="str">
        <f t="shared" si="90"/>
        <v>4013/4014</v>
      </c>
      <c r="L256" s="21" t="str">
        <f>VLOOKUP(A256,'Trips&amp;Operators'!$C$1:$G$99999,5,FALSE)</f>
        <v>SULLIVAN BRANDON</v>
      </c>
      <c r="M256" s="6">
        <f t="shared" si="91"/>
        <v>1.2488425927585922E-2</v>
      </c>
      <c r="N256" s="7">
        <f t="shared" si="110"/>
        <v>17.983333335723728</v>
      </c>
      <c r="O256" s="7"/>
      <c r="P256" s="7"/>
      <c r="Q256" s="22"/>
      <c r="R256" s="190"/>
      <c r="S256" s="196">
        <f t="shared" si="111"/>
        <v>0</v>
      </c>
      <c r="T256" s="190" t="e">
        <f t="shared" si="92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93"/>
        <v>https://d0f6bd738d7f1b3e5a7ca70fe4ff75f0.us-east-1.aws.found.io/app/kibana#/discover/Steve-Slow-Train-Analysis-(2080s-and-2083s)?_g=(refreshInterval:(display:Off,pause:!f,section:0,value:0),time:(from:'2017-05-10T19:24:53-0600',mode:absolute,to:'2017-05-10T22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6" s="192" t="str">
        <f t="shared" si="94"/>
        <v>Y</v>
      </c>
      <c r="X256" s="192" t="e">
        <f t="shared" si="109"/>
        <v>#VALUE!</v>
      </c>
      <c r="Y256" s="192">
        <f t="shared" si="107"/>
        <v>4.4400000000000002E-2</v>
      </c>
      <c r="Z256" s="192">
        <f t="shared" si="108"/>
        <v>3.9474999999999998</v>
      </c>
      <c r="AA256" s="192">
        <f t="shared" si="95"/>
        <v>3.9030999999999998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96"/>
        <v>76-10</v>
      </c>
      <c r="AE256" s="80" t="str">
        <f t="shared" si="97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56" s="77" t="str">
        <f t="shared" si="98"/>
        <v>"C:\Program Files (x86)\AstroGrep\AstroGrep.exe" /e /r /s /spath="%USERPROFILE%\AppData\Local\Temp\OnboardLogs" /stypes="app*4014*20170511*" /stext=" 03:.+((SYSTEM_STATE.+slice.+state.+changed )|(ment ac)|(multiple cpu faults)|(system.+state.+changed )|(\[timeout)|(PRM\|1\|D)|(kpr)|(kdp)|(train st.+moving)|(\|lc)|(penalty))"</v>
      </c>
      <c r="AG256" s="1" t="str">
        <f t="shared" si="99"/>
        <v>Other</v>
      </c>
      <c r="AH256" s="81" t="str">
        <f t="shared" si="100"/>
        <v>"%USERPROFILE%\Documents\GitHub\eaglep3\Utilities\RefineRTDCRunTimes.py" --tripid 76-10 --locoid 4014 --swversion DE.1.0.9.0 --startMP 204:444 --initTime 2017-05-10T20:24:53 --startdatetime 2017-05-10T20:45:02 --delay 0 --endMP 300:39475 --enddatetime 2017-05-10T21:03:01 --enforcementcount 0 &gt;&gt;C:\Users\stu\Documents\GitHub\eaglep3-reporting\EC\2017-05-10-refined-times.txt</v>
      </c>
      <c r="AI256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{"issue":{"subject":"","project_id":79,"tracker_id":40,"status_id":1,"priority_id":2,"assigned_to_id":23,"start_date":"2017-05-10","description":"","custom_fields":[{"id":1,"name":"Subdivision","value":"Other"},{"id":4,"name":"Milepost","value":"3.9475"},{"id":17,"name":"Train ID","value":"76-10"},{"id":16,"name":"Locomotive ID","value":"4014"},{"id":130,"name":"Impact","value":""},{"id":150,"name":"Time of Event (Mountain Time)","value":"21:03:01"},{"id":151,"name":"Denver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102"/>
        <v>start /low /b %USERPROFILE%\Documents\GitHub\eaglep3\Utilities\DownloadLogsFromS3.py --loco 4014 --day 2017-05-10</v>
      </c>
      <c r="AN256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597</v>
      </c>
      <c r="B257" s="7">
        <v>4014</v>
      </c>
      <c r="C257" s="21" t="s">
        <v>206</v>
      </c>
      <c r="D257" s="21" t="s">
        <v>952</v>
      </c>
      <c r="E257" s="13">
        <v>42865.881412037037</v>
      </c>
      <c r="F257" s="13">
        <v>42865.895509259259</v>
      </c>
      <c r="G257" s="7">
        <v>1</v>
      </c>
      <c r="H257" s="21" t="s">
        <v>953</v>
      </c>
      <c r="I257" s="13">
        <v>42865.906388888892</v>
      </c>
      <c r="J257" s="7">
        <v>0</v>
      </c>
      <c r="K257" s="92" t="str">
        <f t="shared" si="90"/>
        <v>4013/4014</v>
      </c>
      <c r="L257" s="21" t="str">
        <f>VLOOKUP(A257,'Trips&amp;Operators'!$C$1:$G$99999,5,FALSE)</f>
        <v>SULLIVAN BRANDON</v>
      </c>
      <c r="M257" s="6">
        <f t="shared" si="91"/>
        <v>1.0879629633564036E-2</v>
      </c>
      <c r="N257" s="7">
        <f t="shared" si="110"/>
        <v>15.666666672332212</v>
      </c>
      <c r="O257" s="7"/>
      <c r="P257" s="7"/>
      <c r="Q257" s="22"/>
      <c r="R257" s="190"/>
      <c r="S257" s="196">
        <f t="shared" si="111"/>
        <v>0</v>
      </c>
      <c r="T257" s="190" t="e">
        <f t="shared" si="92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93"/>
        <v>https://d0f6bd738d7f1b3e5a7ca70fe4ff75f0.us-east-1.aws.found.io/app/kibana#/discover/Steve-Slow-Train-Analysis-(2080s-and-2083s)?_g=(refreshInterval:(display:Off,pause:!f,section:0,value:0),time:(from:'2017-05-10T20:09:14-0600',mode:absolute,to:'2017-05-10T22:45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7" s="192" t="str">
        <f t="shared" si="94"/>
        <v>Y</v>
      </c>
      <c r="X257" s="192" t="e">
        <f t="shared" si="109"/>
        <v>#VALUE!</v>
      </c>
      <c r="Y257" s="192">
        <f t="shared" si="107"/>
        <v>4.48E-2</v>
      </c>
      <c r="Z257" s="192">
        <f t="shared" si="108"/>
        <v>3.9485000000000001</v>
      </c>
      <c r="AA257" s="192">
        <f t="shared" si="95"/>
        <v>3.9037000000000002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96"/>
        <v>76-10</v>
      </c>
      <c r="AE257" s="80" t="str">
        <f t="shared" si="97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57" s="77" t="str">
        <f t="shared" si="98"/>
        <v>"C:\Program Files (x86)\AstroGrep\AstroGrep.exe" /e /r /s /spath="%USERPROFILE%\AppData\Local\Temp\OnboardLogs" /stypes="app*4014*20170511*" /stext=" 03:.+((SYSTEM_STATE.+slice.+state.+changed )|(ment ac)|(multiple cpu faults)|(system.+state.+changed )|(\[timeout)|(PRM\|1\|D)|(kpr)|(kdp)|(train st.+moving)|(\|lc)|(penalty))"</v>
      </c>
      <c r="AG257" s="1" t="str">
        <f t="shared" si="99"/>
        <v>Other</v>
      </c>
      <c r="AH257" s="81" t="str">
        <f t="shared" si="100"/>
        <v>"%USERPROFILE%\Documents\GitHub\eaglep3\Utilities\RefineRTDCRunTimes.py" --tripid 76-10 --locoid 4014 --swversion DE.1.0.9.0 --startMP 204:448 --initTime 2017-05-10T21:09:14 --startdatetime 2017-05-10T21:29:32 --delay 1 --endMP 300:39485 --enddatetime 2017-05-10T21:45:12 --enforcementcount 0 &gt;&gt;C:\Users\stu\Documents\GitHub\eaglep3-reporting\EC\2017-05-10-refined-times.txt</v>
      </c>
      <c r="AI257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{"issue":{"subject":"","project_id":79,"tracker_id":40,"status_id":1,"priority_id":2,"assigned_to_id":23,"start_date":"2017-05-10","description":"","custom_fields":[{"id":1,"name":"Subdivision","value":"Other"},{"id":4,"name":"Milepost","value":"3.9485"},{"id":17,"name":"Train ID","value":"76-10"},{"id":16,"name":"Locomotive ID","value":"4014"},{"id":130,"name":"Impact","value":""},{"id":150,"name":"Time of Event (Mountain Time)","value":"21:45:12"},{"id":151,"name":"Denver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102"/>
        <v>start /low /b %USERPROFILE%\Documents\GitHub\eaglep3\Utilities\DownloadLogsFromS3.py --loco 4014 --day 2017-05-10</v>
      </c>
      <c r="AN257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03:45:12"},{"id":29,"name":"Sharepoint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597</v>
      </c>
      <c r="B258" s="7">
        <v>4014</v>
      </c>
      <c r="C258" s="21" t="s">
        <v>206</v>
      </c>
      <c r="D258" s="21" t="s">
        <v>954</v>
      </c>
      <c r="E258" s="13">
        <v>42865.993460648147</v>
      </c>
      <c r="F258" s="13">
        <v>42866.016562500001</v>
      </c>
      <c r="G258" s="7">
        <v>1</v>
      </c>
      <c r="H258" s="21" t="s">
        <v>955</v>
      </c>
      <c r="I258" s="13">
        <v>42866.021840277775</v>
      </c>
      <c r="J258" s="7">
        <v>0</v>
      </c>
      <c r="K258" s="92" t="str">
        <f t="shared" si="90"/>
        <v>4013/4014</v>
      </c>
      <c r="L258" s="21" t="str">
        <f>VLOOKUP(A258,'Trips&amp;Operators'!$C$1:$G$99999,5,FALSE)</f>
        <v>SULLIVAN BRANDON</v>
      </c>
      <c r="M258" s="6">
        <f t="shared" si="91"/>
        <v>5.277777774608694E-3</v>
      </c>
      <c r="N258" s="7">
        <f t="shared" si="110"/>
        <v>7.5999999954365194</v>
      </c>
      <c r="O258" s="7"/>
      <c r="P258" s="7"/>
      <c r="Q258" s="22"/>
      <c r="R258" s="190"/>
      <c r="S258" s="196">
        <f t="shared" si="111"/>
        <v>0</v>
      </c>
      <c r="T258" s="190" t="e">
        <f t="shared" si="92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93"/>
        <v>https://d0f6bd738d7f1b3e5a7ca70fe4ff75f0.us-east-1.aws.found.io/app/kibana#/discover/Steve-Slow-Train-Analysis-(2080s-and-2083s)?_g=(refreshInterval:(display:Off,pause:!f,section:0,value:0),time:(from:'2017-05-10T22:50:35-0600',mode:absolute,to:'2017-05-11T01:31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8" s="192" t="str">
        <f t="shared" si="94"/>
        <v>Y</v>
      </c>
      <c r="X258" s="192" t="e">
        <f t="shared" si="109"/>
        <v>#VALUE!</v>
      </c>
      <c r="Y258" s="192">
        <f t="shared" si="107"/>
        <v>4.7500000000000001E-2</v>
      </c>
      <c r="Z258" s="192">
        <f t="shared" si="108"/>
        <v>3.2193000000000001</v>
      </c>
      <c r="AA258" s="192">
        <f t="shared" si="95"/>
        <v>3.1718000000000002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96"/>
        <v>76-10</v>
      </c>
      <c r="AE258" s="80" t="str">
        <f t="shared" si="97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58" s="77" t="str">
        <f t="shared" si="98"/>
        <v>"C:\Program Files (x86)\AstroGrep\AstroGrep.exe" /e /r /s /spath="%USERPROFILE%\AppData\Local\Temp\OnboardLogs" /stypes="app*4014*20170511*" /stext=" 06:.+((SYSTEM_STATE.+slice.+state.+changed )|(ment ac)|(multiple cpu faults)|(system.+state.+changed )|(\[timeout)|(PRM\|1\|D)|(kpr)|(kdp)|(train st.+moving)|(\|lc)|(penalty))"</v>
      </c>
      <c r="AG258" s="1" t="str">
        <f t="shared" si="99"/>
        <v>Other</v>
      </c>
      <c r="AH258" s="81" t="str">
        <f t="shared" si="100"/>
        <v>"%USERPROFILE%\Documents\GitHub\eaglep3\Utilities\RefineRTDCRunTimes.py" --tripid 76-10 --locoid 4014 --swversion DE.1.0.9.0 --startMP 204:475 --initTime 2017-05-10T23:50:35 --startdatetime 2017-05-11T00:23:51 --delay 1 --endMP 300:32193 --enddatetime 2017-05-11T00:31:27 --enforcementcount 0 &gt;&gt;C:\Users\stu\Documents\GitHub\eaglep3-reporting\EC\2017-05-10-refined-times.txt</v>
      </c>
      <c r="AI258" s="99" t="str">
        <f t="shared" si="101"/>
        <v>echo {"issue":{"subject":"","project_id":79,"tracker_id":40,"status_id":1,"priority_id":2,"assigned_to_id":23,"start_date":"2017-05-11","description":"","custom_fields":[{"id":1,"name":"Subdivision","value":"Other"},{"id":4,"name":"Milepost","value":"3.2193"},{"id":17,"name":"Train ID","value":"76-10"},{"id":16,"name":"Locomotive ID","value":"4014"},{"id":130,"name":"Impact","value":""},{"id":150,"name":"Time of Event (Mountain Time)","value":"00:31:27"},{"id":151,"name":"Denver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102"/>
        <v>start /low /b %USERPROFILE%\Documents\GitHub\eaglep3\Utilities\DownloadLogsFromS3.py --loco 4014 --day 2017-05-11</v>
      </c>
      <c r="AN258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06:31:27"},{"id":29,"name":"Sharepoint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597</v>
      </c>
      <c r="B259" s="7">
        <v>4014</v>
      </c>
      <c r="C259" s="21" t="s">
        <v>206</v>
      </c>
      <c r="D259" s="21" t="s">
        <v>956</v>
      </c>
      <c r="E259" s="13">
        <v>42865.806157407409</v>
      </c>
      <c r="F259" s="13">
        <v>42865.852407407408</v>
      </c>
      <c r="G259" s="7">
        <v>1</v>
      </c>
      <c r="H259" s="21" t="s">
        <v>957</v>
      </c>
      <c r="I259" s="13">
        <v>42865.860810185186</v>
      </c>
      <c r="J259" s="7">
        <v>0</v>
      </c>
      <c r="K259" s="92" t="str">
        <f t="shared" si="90"/>
        <v>4013/4014</v>
      </c>
      <c r="L259" s="21" t="str">
        <f>VLOOKUP(A259,'Trips&amp;Operators'!$C$1:$G$99999,5,FALSE)</f>
        <v>SULLIVAN BRANDON</v>
      </c>
      <c r="M259" s="6">
        <f t="shared" si="91"/>
        <v>8.4027777775190771E-3</v>
      </c>
      <c r="N259" s="7">
        <f t="shared" si="110"/>
        <v>12.099999999627471</v>
      </c>
      <c r="O259" s="7"/>
      <c r="P259" s="7"/>
      <c r="Q259" s="22"/>
      <c r="R259" s="190"/>
      <c r="S259" s="196">
        <f t="shared" si="111"/>
        <v>0</v>
      </c>
      <c r="T259" s="190" t="e">
        <f t="shared" si="92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93"/>
        <v>https://d0f6bd738d7f1b3e5a7ca70fe4ff75f0.us-east-1.aws.found.io/app/kibana#/discover/Steve-Slow-Train-Analysis-(2080s-and-2083s)?_g=(refreshInterval:(display:Off,pause:!f,section:0,value:0),time:(from:'2017-05-10T18:20:52-0600',mode:absolute,to:'2017-05-10T21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9" s="192" t="str">
        <f t="shared" si="94"/>
        <v>Y</v>
      </c>
      <c r="X259" s="192" t="e">
        <f t="shared" si="109"/>
        <v>#VALUE!</v>
      </c>
      <c r="Y259" s="192">
        <f t="shared" si="107"/>
        <v>9.6699999999999994E-2</v>
      </c>
      <c r="Z259" s="192">
        <f t="shared" si="108"/>
        <v>3.9451999999999998</v>
      </c>
      <c r="AA259" s="192">
        <f t="shared" si="95"/>
        <v>3.8485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96"/>
        <v>76-10</v>
      </c>
      <c r="AE259" s="80" t="str">
        <f t="shared" si="97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59" s="77" t="str">
        <f t="shared" si="98"/>
        <v>"C:\Program Files (x86)\AstroGrep\AstroGrep.exe" /e /r /s /spath="%USERPROFILE%\AppData\Local\Temp\OnboardLogs" /stypes="app*4014*20170511*" /stext=" 02:.+((SYSTEM_STATE.+slice.+state.+changed )|(ment ac)|(multiple cpu faults)|(system.+state.+changed )|(\[timeout)|(PRM\|1\|D)|(kpr)|(kdp)|(train st.+moving)|(\|lc)|(penalty))"</v>
      </c>
      <c r="AG259" s="1" t="str">
        <f t="shared" si="99"/>
        <v>Other</v>
      </c>
      <c r="AH259" s="81" t="str">
        <f t="shared" si="100"/>
        <v>"%USERPROFILE%\Documents\GitHub\eaglep3\Utilities\RefineRTDCRunTimes.py" --tripid 76-10 --locoid 4014 --swversion DE.1.0.9.0 --startMP 204:967 --initTime 2017-05-10T19:20:52 --startdatetime 2017-05-10T20:27:28 --delay 1 --endMP 300:39452 --enddatetime 2017-05-10T20:39:34 --enforcementcount 0 &gt;&gt;C:\Users\stu\Documents\GitHub\eaglep3-reporting\EC\2017-05-10-refined-times.txt</v>
      </c>
      <c r="AI259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{"issue":{"subject":"","project_id":79,"tracker_id":40,"status_id":1,"priority_id":2,"assigned_to_id":23,"start_date":"2017-05-10","description":"","custom_fields":[{"id":1,"name":"Subdivision","value":"Other"},{"id":4,"name":"Milepost","value":"3.9452"},{"id":17,"name":"Train ID","value":"76-10"},{"id":16,"name":"Locomotive ID","value":"4014"},{"id":130,"name":"Impact","value":""},{"id":150,"name":"Time of Event (Mountain Time)","value":"20:39:34"},{"id":151,"name":"Denver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102"/>
        <v>start /low /b %USERPROFILE%\Documents\GitHub\eaglep3\Utilities\DownloadLogsFromS3.py --loco 4014 --day 2017-05-10</v>
      </c>
      <c r="AN259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02:39:34"},{"id":29,"name":"Sharepoint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802</v>
      </c>
      <c r="B260" s="7">
        <v>4052</v>
      </c>
      <c r="C260" s="21" t="s">
        <v>206</v>
      </c>
      <c r="D260" s="21" t="s">
        <v>1007</v>
      </c>
      <c r="E260" s="13">
        <v>42865.971782407411</v>
      </c>
      <c r="F260" s="13">
        <v>42865.978333333333</v>
      </c>
      <c r="G260" s="7">
        <v>1</v>
      </c>
      <c r="H260" s="21" t="s">
        <v>543</v>
      </c>
      <c r="I260" s="13">
        <v>42865.988402777781</v>
      </c>
      <c r="J260" s="7">
        <v>0</v>
      </c>
      <c r="K260" s="92" t="str">
        <f t="shared" si="90"/>
        <v>4051/4052</v>
      </c>
      <c r="L260" s="21" t="str">
        <f>VLOOKUP(A260,'Trips&amp;Operators'!$C$1:$G$99999,5,FALSE)</f>
        <v>YANG JAN</v>
      </c>
      <c r="M260" s="6">
        <f t="shared" si="91"/>
        <v>1.0069444448163267E-2</v>
      </c>
      <c r="N260" s="7">
        <f t="shared" si="110"/>
        <v>14.500000005355105</v>
      </c>
      <c r="O260" s="7"/>
      <c r="P260" s="7"/>
      <c r="Q260" s="22"/>
      <c r="R260" s="190"/>
      <c r="S260" s="196">
        <f t="shared" si="111"/>
        <v>0</v>
      </c>
      <c r="T260" s="190" t="e">
        <f t="shared" si="92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93"/>
        <v>https://d0f6bd738d7f1b3e5a7ca70fe4ff75f0.us-east-1.aws.found.io/app/kibana#/discover/Steve-Slow-Train-Analysis-(2080s-and-2083s)?_g=(refreshInterval:(display:Off,pause:!f,section:0,value:0),time:(from:'2017-05-10T22:19:22-0600',mode:absolute,to:'2017-05-11T00:43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60" s="192" t="str">
        <f t="shared" si="94"/>
        <v>Y</v>
      </c>
      <c r="X260" s="192" t="e">
        <f t="shared" si="109"/>
        <v>#VALUE!</v>
      </c>
      <c r="Y260" s="192">
        <f t="shared" si="107"/>
        <v>0.13089999999999999</v>
      </c>
      <c r="Z260" s="192">
        <f t="shared" si="108"/>
        <v>2.3302</v>
      </c>
      <c r="AA260" s="192">
        <f t="shared" si="95"/>
        <v>2.1993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96"/>
        <v>88-10</v>
      </c>
      <c r="AE260" s="80" t="str">
        <f t="shared" si="97"/>
        <v>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 &amp; aws s3 cp s3://rtdc.mdm.uploadarchive.raw/RTDC4052/ "%USERPROFILE%\AppData\Local\Temp\OnboardLogs"\RTDC4052\2017-05-11 --exclude "*" --recursive --include "*20170511*" &amp; "%USERPROFILE%\Documents\GitHub\mrs-test-scripts\Headless Mode &amp; Sideloading\WalkAndUnGZ.bat" "%USERPROFILE%\AppData\Local\Temp\OnboardLogs"\RTDC4052\2017-05-11</v>
      </c>
      <c r="AF260" s="77" t="str">
        <f t="shared" si="98"/>
        <v>"C:\Program Files (x86)\AstroGrep\AstroGrep.exe" /e /r /s /spath="%USERPROFILE%\AppData\Local\Temp\OnboardLogs" /stypes="app*4052*20170511*" /stext=" 05:.+((SYSTEM_STATE.+slice.+state.+changed )|(ment ac)|(multiple cpu faults)|(system.+state.+changed )|(\[timeout)|(PRM\|1\|D)|(kpr)|(kdp)|(train st.+moving)|(\|lc)|(penalty))"</v>
      </c>
      <c r="AG260" s="1" t="str">
        <f t="shared" si="99"/>
        <v>Other</v>
      </c>
      <c r="AH260" s="81" t="str">
        <f t="shared" si="100"/>
        <v>"%USERPROFILE%\Documents\GitHub\eaglep3\Utilities\RefineRTDCRunTimes.py" --tripid 88-10 --locoid 4052 --swversion DE.1.0.9.0 --startMP 204:1309 --initTime 2017-05-10T23:19:22 --startdatetime 2017-05-10T23:28:48 --delay 1 --endMP 300:23302 --enddatetime 2017-05-10T23:43:18 --enforcementcount 0 &gt;&gt;C:\Users\stu\Documents\GitHub\eaglep3-reporting\EC\2017-05-10-refined-times.txt</v>
      </c>
      <c r="AI260" s="99" t="str">
        <f t="shared" si="101"/>
        <v>echo {"issue":{"subject":"","project_id":79,"tracker_id":40,"status_id":1,"priority_id":2,"assigned_to_id":23,"start_date":"2017-05-10","description":"","custom_fields":[{"id":1,"name":"Subdivision","value":"Other"},{"id":4,"name":"Milepost","value":"2.3302"},{"id":17,"name":"Train ID","value":"88-10"},{"id":16,"name":"Locomotive ID","value":"4052"},{"id":130,"name":"Impact","value":""},{"id":150,"name":"Time of Event (Mountain Time)","value":"23:43:18"},{"id":151,"name":"Denver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102"/>
        <v>start /low /b %USERPROFILE%\Documents\GitHub\eaglep3\Utilities\DownloadLogsFromS3.py --loco 4052 --day 2017-05-10</v>
      </c>
      <c r="AN260" s="154" t="str">
        <f t="shared" si="103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05:43:18"},{"id":29,"name":"Sharepoint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40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40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71">
    <sortState ref="A13:AG272">
      <sortCondition ref="AG13:AG261"/>
      <sortCondition ref="AD13:AD261"/>
    </sortState>
  </autoFilter>
  <sortState ref="A13:AH200">
    <sortCondition ref="AG13:AG200"/>
    <sortCondition ref="AD13:AD200"/>
  </sortState>
  <mergeCells count="1">
    <mergeCell ref="A11:P11"/>
  </mergeCells>
  <conditionalFormatting sqref="W11:W12 W272:X1048576 W13:X260">
    <cfRule type="cellIs" dxfId="10" priority="401" operator="equal">
      <formula>"Y"</formula>
    </cfRule>
  </conditionalFormatting>
  <conditionalFormatting sqref="X272:X1048576 X13:X260">
    <cfRule type="cellIs" dxfId="9" priority="384" operator="greaterThan">
      <formula>1</formula>
    </cfRule>
  </conditionalFormatting>
  <conditionalFormatting sqref="X272:X1048576 X12:X260">
    <cfRule type="cellIs" dxfId="8" priority="381" operator="equal">
      <formula>0</formula>
    </cfRule>
  </conditionalFormatting>
  <conditionalFormatting sqref="A13:S260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A13:S260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AK13:AK260</xm:sqref>
        </x14:dataValidation>
        <x14:dataValidation type="list" allowBlank="1" showInputMessage="1" showErrorMessage="1">
          <x14:formula1>
            <xm:f>'Redmine List Values'!$C$2:$C$15</xm:f>
          </x14:formula1>
          <xm:sqref>AL13:AL260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opLeftCell="A8" zoomScaleNormal="100" workbookViewId="0">
      <selection activeCell="P27" sqref="P2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COUNTIF($O$7:$O$292,"=Y")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COUNTA($O$7:$O$292)-O2</f>
        <v>32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- 2017-05-10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42865.650324074071</v>
      </c>
      <c r="B7" s="30" t="s">
        <v>431</v>
      </c>
      <c r="C7" s="30" t="s">
        <v>587</v>
      </c>
      <c r="D7" s="30" t="s">
        <v>49</v>
      </c>
      <c r="E7" s="30" t="s">
        <v>191</v>
      </c>
      <c r="F7" s="42">
        <v>170</v>
      </c>
      <c r="G7" s="42">
        <v>226</v>
      </c>
      <c r="H7" s="42">
        <v>26662</v>
      </c>
      <c r="I7" s="42">
        <v>27084</v>
      </c>
      <c r="J7" s="30" t="s">
        <v>192</v>
      </c>
      <c r="K7" s="42">
        <v>27053</v>
      </c>
      <c r="L7" s="134" t="s">
        <v>50</v>
      </c>
      <c r="M7" s="135">
        <f t="shared" ref="M7:M42" si="0">CONVERT((I7-K7)/10000,"mi","ft")*IF(L7="Increasing Mileposts (1)",-1,1)</f>
        <v>-16.367999999999999</v>
      </c>
      <c r="N7" s="136" t="str">
        <f>VLOOKUP(C7,'Trips&amp;Operators'!$C$1:$G$99999,5,FALSE)</f>
        <v>BIRENBAUM THOMAS</v>
      </c>
      <c r="O7" s="207" t="s">
        <v>184</v>
      </c>
      <c r="P7" s="137" t="s">
        <v>483</v>
      </c>
      <c r="Q7" s="30"/>
      <c r="R7" s="84" t="str">
        <f>IF(VLOOKUP(C7,'Train Runs'!$A$13:$AE$9930,1,1)=C7,VLOOKUP(C7,'Train Runs'!$A$13:$AE$9930,31,1),NA())</f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S7" s="87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-05-10T14:24:12-0600',mode:absolute,to:'2017-05-10T17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9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/stypes="*4040*201705102*" /stext=" 21:.+((SYSTEM_STATE.+slice.+state.+changed )|(ment ac)|(multiple cpu faults)|(system.+state.+changed )|(\[timeout)|(PRM\|1\|D)|(kpr)|(kdp)|(train st.+moving)|(\|lc)|(penalty))"</v>
      </c>
      <c r="U7" s="9" t="str">
        <f t="shared" ref="U7:U42" si="2">MID(B7,13,4)</f>
        <v>4040</v>
      </c>
      <c r="V7" s="31">
        <f t="shared" ref="V7:V42" si="3">A7-utc_offset/24</f>
        <v>42865.900324074071</v>
      </c>
      <c r="W7" s="45" t="str">
        <f t="shared" ref="W7:W42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2" si="5">IF(AND(E7="TRACK WARRANT AUTHORITY",G7&lt;10),"OMIT","KEEP")</f>
        <v>KEEP</v>
      </c>
      <c r="Y7" s="99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arrival","project_id":79,"tracker_id":40,"status_id":1,"priority_id":2,"assigned_to_id":23,"start_date":"2017-05-10","description":"","custom_fields":[{"id":1,"name":"Subdivision","value":"EC"},{"id":4,"name":"Milepost","value":"2.7053"},{"id":17,"name":"Train ID","value":"195-10"},{"id":16,"name":"Locomotive ID","value":"4040"},{"id":130,"name":"Impact","value":""},{"id":150,"name":"Time of Event (Mountain Time)","value":"15:36:28"},{"id":151,"name":"Denver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2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/cygdrive/c/Users/stu/AppData/Local/Temp/OnboardLogs/RTDC4040 --include="*4040*201705102*"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"%USERPROFILE%\AppData\Local\Temp\OnboardLogs"\RTDC4040\*4040*201705102* &gt;&gt; 2017-05-10-SliceDisagreementCheck.txt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4040 --day 2017-05-10</v>
      </c>
    </row>
    <row r="8" spans="1:32" s="1" customFormat="1" x14ac:dyDescent="0.25">
      <c r="A8" s="31">
        <v>42865.362800925926</v>
      </c>
      <c r="B8" s="30" t="s">
        <v>486</v>
      </c>
      <c r="C8" s="30" t="s">
        <v>573</v>
      </c>
      <c r="D8" s="30" t="s">
        <v>98</v>
      </c>
      <c r="E8" s="30" t="s">
        <v>191</v>
      </c>
      <c r="F8" s="42">
        <v>0</v>
      </c>
      <c r="G8" s="42">
        <v>115</v>
      </c>
      <c r="H8" s="42">
        <v>27336</v>
      </c>
      <c r="I8" s="42">
        <v>27220</v>
      </c>
      <c r="J8" s="30" t="s">
        <v>192</v>
      </c>
      <c r="K8" s="42">
        <v>27350</v>
      </c>
      <c r="L8" s="134" t="s">
        <v>51</v>
      </c>
      <c r="M8" s="135">
        <f t="shared" si="0"/>
        <v>-68.64</v>
      </c>
      <c r="N8" s="136" t="str">
        <f>VLOOKUP(C8,'Trips&amp;Operators'!$C$1:$G$99999,5,FALSE)</f>
        <v>STARKS ANGELINA</v>
      </c>
      <c r="O8" s="207" t="s">
        <v>184</v>
      </c>
      <c r="P8" s="137" t="s">
        <v>483</v>
      </c>
      <c r="Q8" s="30"/>
      <c r="R8" s="84" t="str">
        <f>IF(VLOOKUP(C8,'Train Runs'!$A$13:$AE$9930,1,1)=C8,VLOOKUP(C8,'Train Runs'!$A$13:$AE$9930,31,1),NA())</f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S8" s="87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-05-10T07:08:38-0600',mode:absolute,to:'2017-05-10T09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9" t="str">
        <f t="shared" si="1"/>
        <v>"C:\Program Files (x86)\AstroGrep\AstroGrep.exe" /e /r /s /spath="%USERPROFILE%\AppData\Local\Temp\OnboardLogs" /stypes="*4031*201705101*"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42865.612800925926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arrival","project_id":79,"tracker_id":40,"status_id":1,"priority_id":2,"assigned_to_id":23,"start_date":"2017-05-10","description":"","custom_fields":[{"id":1,"name":"Subdivision","value":"EC"},{"id":4,"name":"Milepost","value":"2.735"},{"id":17,"name":"Train ID","value":"130-10"},{"id":16,"name":"Locomotive ID","value":"4031"},{"id":130,"name":"Impact","value":""},{"id":150,"name":"Time of Event (Mountain Time)","value":"08:42:26"},{"id":151,"name":"Denver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/cygdrive/c/Users/stu/AppData/Local/Temp/OnboardLogs/RTDC4031 --include="*4031*201705101*"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"%USERPROFILE%\AppData\Local\Temp\OnboardLogs"\RTDC4031\*4031*201705101* &gt;&gt; 2017-05-10-SliceDisagreementCheck.txt</v>
      </c>
      <c r="AE8" s="148" t="str">
        <f t="shared" ref="AE8:AE42" si="9">"start /low /b "&amp;dls3logs&amp;" --loco "&amp;U8&amp;" --day "&amp;TEXT(V8,"YYYY-MM-DD")</f>
        <v>start /low /b %USERPROFILE%\Documents\GitHub\eaglep3\Utilities\DownloadLogsFromS3.py --loco 4031 --day 2017-05-10</v>
      </c>
    </row>
    <row r="9" spans="1:32" s="1" customFormat="1" x14ac:dyDescent="0.25">
      <c r="A9" s="31">
        <v>42865.488032407404</v>
      </c>
      <c r="B9" s="30" t="s">
        <v>428</v>
      </c>
      <c r="C9" s="30" t="s">
        <v>578</v>
      </c>
      <c r="D9" s="30" t="s">
        <v>49</v>
      </c>
      <c r="E9" s="30" t="s">
        <v>191</v>
      </c>
      <c r="F9" s="42">
        <v>0</v>
      </c>
      <c r="G9" s="42">
        <v>166</v>
      </c>
      <c r="H9" s="42">
        <v>27403</v>
      </c>
      <c r="I9" s="42">
        <v>27194</v>
      </c>
      <c r="J9" s="30" t="s">
        <v>192</v>
      </c>
      <c r="K9" s="42">
        <v>27350</v>
      </c>
      <c r="L9" s="134" t="s">
        <v>51</v>
      </c>
      <c r="M9" s="135">
        <f t="shared" si="0"/>
        <v>-82.367999999999995</v>
      </c>
      <c r="N9" s="136" t="str">
        <f>VLOOKUP(C9,'Trips&amp;Operators'!$C$1:$G$99999,5,FALSE)</f>
        <v>ROCHA YAOTL</v>
      </c>
      <c r="O9" s="207" t="s">
        <v>184</v>
      </c>
      <c r="P9" s="137" t="s">
        <v>483</v>
      </c>
      <c r="Q9" s="30"/>
      <c r="R9" s="84" t="str">
        <f>IF(VLOOKUP(C9,'Train Runs'!$A$13:$AE$9930,1,1)=C9,VLOOKUP(C9,'Train Runs'!$A$13:$AE$9930,31,1),NA())</f>
        <v>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 &amp; aws s3 cp s3://rtdc.mdm.uploadarchive.raw/RTDC4039/ "%USERPROFILE%\AppData\Local\Temp\OnboardLogs"\RTDC4039\2017-05-11 --exclude "*" --recursive --include "*20170511*" &amp; "%USERPROFILE%\Documents\GitHub\mrs-test-scripts\Headless Mode &amp; Sideloading\WalkAndUnGZ.bat" "%USERPROFILE%\AppData\Local\Temp\OnboardLogs"\RTDC4039\2017-05-11</v>
      </c>
      <c r="S9" s="87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-05-10T10:09:21-0600',mode:absolute,to:'2017-05-10T12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89" t="str">
        <f t="shared" si="1"/>
        <v>"C:\Program Files (x86)\AstroGrep\AstroGrep.exe" /e /r /s /spath="%USERPROFILE%\AppData\Local\Temp\OnboardLogs" /stypes="*4039*201705101*"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4039</v>
      </c>
      <c r="V9" s="31">
        <f t="shared" si="3"/>
        <v>42865.738032407404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arrival","project_id":79,"tracker_id":40,"status_id":1,"priority_id":2,"assigned_to_id":23,"start_date":"2017-05-10","description":"","custom_fields":[{"id":1,"name":"Subdivision","value":"EC"},{"id":4,"name":"Milepost","value":"2.735"},{"id":17,"name":"Train ID","value":"154-10"},{"id":16,"name":"Locomotive ID","value":"4039"},{"id":130,"name":"Impact","value":""},{"id":150,"name":"Time of Event (Mountain Time)","value":"11:42:46"},{"id":151,"name":"Denver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/cygdrive/c/Users/stu/AppData/Local/Temp/OnboardLogs/RTDC4039 --include="*4039*201705101*"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"%USERPROFILE%\AppData\Local\Temp\OnboardLogs"\RTDC4039\*4039*201705101* &gt;&gt; 2017-05-10-SliceDisagreementCheck.txt</v>
      </c>
      <c r="AE9" s="148" t="str">
        <f t="shared" si="9"/>
        <v>start /low /b %USERPROFILE%\Documents\GitHub\eaglep3\Utilities\DownloadLogsFromS3.py --loco 4039 --day 2017-05-10</v>
      </c>
    </row>
    <row r="10" spans="1:32" s="1" customFormat="1" x14ac:dyDescent="0.25">
      <c r="A10" s="31">
        <v>42865.320729166669</v>
      </c>
      <c r="B10" s="30" t="s">
        <v>369</v>
      </c>
      <c r="C10" s="30" t="s">
        <v>568</v>
      </c>
      <c r="D10" s="30" t="s">
        <v>98</v>
      </c>
      <c r="E10" s="30" t="s">
        <v>191</v>
      </c>
      <c r="F10" s="42">
        <v>190</v>
      </c>
      <c r="G10" s="42">
        <v>246</v>
      </c>
      <c r="H10" s="42">
        <v>33214</v>
      </c>
      <c r="I10" s="42">
        <v>32714</v>
      </c>
      <c r="J10" s="30" t="s">
        <v>192</v>
      </c>
      <c r="K10" s="42">
        <v>33257</v>
      </c>
      <c r="L10" s="134" t="s">
        <v>51</v>
      </c>
      <c r="M10" s="135">
        <f t="shared" si="0"/>
        <v>-286.70400000000001</v>
      </c>
      <c r="N10" s="136" t="str">
        <f>VLOOKUP(C10,'Trips&amp;Operators'!$C$1:$G$99999,5,FALSE)</f>
        <v>BONDS REYNALDO</v>
      </c>
      <c r="O10" s="207" t="s">
        <v>184</v>
      </c>
      <c r="P10" s="137" t="s">
        <v>483</v>
      </c>
      <c r="Q10" s="30"/>
      <c r="R10" s="84" t="str">
        <f>IF(VLOOKUP(C10,'Train Runs'!$A$13:$AE$9930,1,1)=C10,VLOOKUP(C10,'Train Runs'!$A$13:$AE$9930,31,1),NA())</f>
        <v>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 &amp; 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</v>
      </c>
      <c r="S10" s="87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-05-10T06:07:11-0600',mode:absolute,to:'2017-05-10T08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9" t="str">
        <f t="shared" si="1"/>
        <v>"C:\Program Files (x86)\AstroGrep\AstroGrep.exe" /e /r /s /spath="%USERPROFILE%\AppData\Local\Temp\OnboardLogs" /stypes="*4017*201705101*"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42865.570729166669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arrival","project_id":79,"tracker_id":40,"status_id":1,"priority_id":2,"assigned_to_id":23,"start_date":"2017-05-10","description":"","custom_fields":[{"id":1,"name":"Subdivision","value":"EC"},{"id":4,"name":"Milepost","value":"3.3257"},{"id":17,"name":"Train ID","value":"122-10"},{"id":16,"name":"Locomotive ID","value":"4017"},{"id":130,"name":"Impact","value":""},{"id":150,"name":"Time of Event (Mountain Time)","value":"07:41:51"},{"id":151,"name":"Denver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/cygdrive/c/Users/stu/AppData/Local/Temp/OnboardLogs/RTDC4017 --include="*4017*201705101*"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"%USERPROFILE%\AppData\Local\Temp\OnboardLogs"\RTDC4017\*4017*201705101* &gt;&gt; 2017-05-10-SliceDisagreementCheck.txt</v>
      </c>
      <c r="AE10" s="148" t="str">
        <f t="shared" si="9"/>
        <v>start /low /b %USERPROFILE%\Documents\GitHub\eaglep3\Utilities\DownloadLogsFromS3.py --loco 4017 --day 2017-05-10</v>
      </c>
    </row>
    <row r="11" spans="1:32" s="1" customFormat="1" x14ac:dyDescent="0.25">
      <c r="A11" s="31">
        <v>42865.358715277776</v>
      </c>
      <c r="B11" s="30" t="s">
        <v>486</v>
      </c>
      <c r="C11" s="30" t="s">
        <v>573</v>
      </c>
      <c r="D11" s="30" t="s">
        <v>49</v>
      </c>
      <c r="E11" s="30" t="s">
        <v>191</v>
      </c>
      <c r="F11" s="42">
        <v>540</v>
      </c>
      <c r="G11" s="42">
        <v>593</v>
      </c>
      <c r="H11" s="42">
        <v>54852</v>
      </c>
      <c r="I11" s="42">
        <v>52724</v>
      </c>
      <c r="J11" s="30" t="s">
        <v>192</v>
      </c>
      <c r="K11" s="42">
        <v>53277</v>
      </c>
      <c r="L11" s="134" t="s">
        <v>51</v>
      </c>
      <c r="M11" s="135">
        <f t="shared" si="0"/>
        <v>-291.98399999999998</v>
      </c>
      <c r="N11" s="136" t="str">
        <f>VLOOKUP(C11,'Trips&amp;Operators'!$C$1:$G$99999,5,FALSE)</f>
        <v>STARKS ANGELINA</v>
      </c>
      <c r="O11" s="207" t="s">
        <v>184</v>
      </c>
      <c r="P11" s="137" t="s">
        <v>483</v>
      </c>
      <c r="Q11" s="30"/>
      <c r="R11" s="84" t="str">
        <f>IF(VLOOKUP(C11,'Train Runs'!$A$13:$AE$9930,1,1)=C11,VLOOKUP(C11,'Train Runs'!$A$13:$AE$9930,31,1),NA())</f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S11" s="87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-05-10T07:08:38-0600',mode:absolute,to:'2017-05-10T09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89" t="str">
        <f t="shared" si="1"/>
        <v>"C:\Program Files (x86)\AstroGrep\AstroGrep.exe" /e /r /s /spath="%USERPROFILE%\AppData\Local\Temp\OnboardLogs" /stypes="*4031*201705101*"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4031</v>
      </c>
      <c r="V11" s="31">
        <f t="shared" si="3"/>
        <v>42865.608715277776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arrival","project_id":79,"tracker_id":40,"status_id":1,"priority_id":2,"assigned_to_id":23,"start_date":"2017-05-10","description":"","custom_fields":[{"id":1,"name":"Subdivision","value":"EC"},{"id":4,"name":"Milepost","value":"5.3277"},{"id":17,"name":"Train ID","value":"130-10"},{"id":16,"name":"Locomotive ID","value":"4031"},{"id":130,"name":"Impact","value":""},{"id":150,"name":"Time of Event (Mountain Time)","value":"08:36:33"},{"id":151,"name":"Denver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/cygdrive/c/Users/stu/AppData/Local/Temp/OnboardLogs/RTDC4031 --include="*4031*201705101*"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"%USERPROFILE%\AppData\Local\Temp\OnboardLogs"\RTDC4031\*4031*201705101* &gt;&gt; 2017-05-10-SliceDisagreementCheck.txt</v>
      </c>
      <c r="AE11" s="148" t="str">
        <f t="shared" si="9"/>
        <v>start /low /b %USERPROFILE%\Documents\GitHub\eaglep3\Utilities\DownloadLogsFromS3.py --loco 4031 --day 2017-05-10</v>
      </c>
    </row>
    <row r="12" spans="1:32" s="1" customFormat="1" x14ac:dyDescent="0.25">
      <c r="A12" s="31">
        <v>42865.456747685188</v>
      </c>
      <c r="B12" s="30" t="s">
        <v>490</v>
      </c>
      <c r="C12" s="30" t="s">
        <v>577</v>
      </c>
      <c r="D12" s="30" t="s">
        <v>49</v>
      </c>
      <c r="E12" s="30" t="s">
        <v>191</v>
      </c>
      <c r="F12" s="42">
        <v>380</v>
      </c>
      <c r="G12" s="42">
        <v>466</v>
      </c>
      <c r="H12" s="42">
        <v>61895</v>
      </c>
      <c r="I12" s="42">
        <v>63124</v>
      </c>
      <c r="J12" s="30" t="s">
        <v>192</v>
      </c>
      <c r="K12" s="42">
        <v>63069</v>
      </c>
      <c r="L12" s="134" t="s">
        <v>50</v>
      </c>
      <c r="M12" s="135">
        <f t="shared" si="0"/>
        <v>-29.04</v>
      </c>
      <c r="N12" s="136" t="str">
        <f>VLOOKUP(C12,'Trips&amp;Operators'!$C$1:$G$99999,5,FALSE)</f>
        <v>STARKS ANGELINA</v>
      </c>
      <c r="O12" s="207" t="s">
        <v>184</v>
      </c>
      <c r="P12" s="137" t="s">
        <v>483</v>
      </c>
      <c r="Q12" s="30"/>
      <c r="R12" s="84" t="str">
        <f>IF(VLOOKUP(C12,'Train Runs'!$A$13:$AE$9930,1,1)=C12,VLOOKUP(C12,'Train Runs'!$A$13:$AE$9930,31,1),NA())</f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S12" s="87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-05-10T09:41:36-0600',mode:absolute,to:'2017-05-10T12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9" t="str">
        <f t="shared" si="1"/>
        <v>"C:\Program Files (x86)\AstroGrep\AstroGrep.exe" /e /r /s /spath="%USERPROFILE%\AppData\Local\Temp\OnboardLogs" /stypes="*4032*201705101*"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4032</v>
      </c>
      <c r="V12" s="31">
        <f t="shared" si="3"/>
        <v>42865.706747685188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arrival","project_id":79,"tracker_id":40,"status_id":1,"priority_id":2,"assigned_to_id":23,"start_date":"2017-05-10","description":"","custom_fields":[{"id":1,"name":"Subdivision","value":"EC"},{"id":4,"name":"Milepost","value":"6.3069"},{"id":17,"name":"Train ID","value":"157-10"},{"id":16,"name":"Locomotive ID","value":"4032"},{"id":130,"name":"Impact","value":""},{"id":150,"name":"Time of Event (Mountain Time)","value":"10:57:43"},{"id":151,"name":"Denver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/cygdrive/c/Users/stu/AppData/Local/Temp/OnboardLogs/RTDC4032 --include="*4032*201705101*"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"%USERPROFILE%\AppData\Local\Temp\OnboardLogs"\RTDC4032\*4032*201705101* &gt;&gt; 2017-05-10-SliceDisagreementCheck.txt</v>
      </c>
      <c r="AE12" s="148" t="str">
        <f t="shared" si="9"/>
        <v>start /low /b %USERPROFILE%\Documents\GitHub\eaglep3\Utilities\DownloadLogsFromS3.py --loco 4032 --day 2017-05-10</v>
      </c>
    </row>
    <row r="13" spans="1:32" s="1" customFormat="1" x14ac:dyDescent="0.25">
      <c r="A13" s="31">
        <v>42865.43209490741</v>
      </c>
      <c r="B13" s="30" t="s">
        <v>486</v>
      </c>
      <c r="C13" s="30" t="s">
        <v>574</v>
      </c>
      <c r="D13" s="30" t="s">
        <v>49</v>
      </c>
      <c r="E13" s="30" t="s">
        <v>191</v>
      </c>
      <c r="F13" s="42">
        <v>70</v>
      </c>
      <c r="G13" s="42">
        <v>131</v>
      </c>
      <c r="H13" s="42">
        <v>64006</v>
      </c>
      <c r="I13" s="42">
        <v>63882</v>
      </c>
      <c r="J13" s="30" t="s">
        <v>192</v>
      </c>
      <c r="K13" s="42">
        <v>63309</v>
      </c>
      <c r="L13" s="134" t="s">
        <v>51</v>
      </c>
      <c r="M13" s="135">
        <f t="shared" si="0"/>
        <v>302.54399999999998</v>
      </c>
      <c r="N13" s="136" t="str">
        <f>VLOOKUP(C13,'Trips&amp;Operators'!$C$1:$G$99999,5,FALSE)</f>
        <v>STARKS ANGELINA</v>
      </c>
      <c r="O13" s="207" t="s">
        <v>184</v>
      </c>
      <c r="P13" s="137" t="s">
        <v>483</v>
      </c>
      <c r="Q13" s="30"/>
      <c r="R13" s="84" t="str">
        <f>IF(VLOOKUP(C13,'Train Runs'!$A$13:$AE$9930,1,1)=C13,VLOOKUP(C13,'Train Runs'!$A$13:$AE$9930,31,1),NA())</f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S13" s="87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-05-10T08:53:37-0600',mode:absolute,to:'2017-05-10T11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89" t="str">
        <f t="shared" si="1"/>
        <v>"C:\Program Files (x86)\AstroGrep\AstroGrep.exe" /e /r /s /spath="%USERPROFILE%\AppData\Local\Temp\OnboardLogs" /stypes="*4031*201705101*"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4031</v>
      </c>
      <c r="V13" s="31">
        <f t="shared" si="3"/>
        <v>42865.68209490741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arrival","project_id":79,"tracker_id":40,"status_id":1,"priority_id":2,"assigned_to_id":23,"start_date":"2017-05-10","description":"","custom_fields":[{"id":1,"name":"Subdivision","value":"EC"},{"id":4,"name":"Milepost","value":"6.3309"},{"id":17,"name":"Train ID","value":"144-10"},{"id":16,"name":"Locomotive ID","value":"4031"},{"id":130,"name":"Impact","value":""},{"id":150,"name":"Time of Event (Mountain Time)","value":"10:22:13"},{"id":151,"name":"Denver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/cygdrive/c/Users/stu/AppData/Local/Temp/OnboardLogs/RTDC4031 --include="*4031*201705101*"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"%USERPROFILE%\AppData\Local\Temp\OnboardLogs"\RTDC4031\*4031*201705101* &gt;&gt; 2017-05-10-SliceDisagreementCheck.txt</v>
      </c>
      <c r="AE13" s="148" t="str">
        <f t="shared" si="9"/>
        <v>start /low /b %USERPROFILE%\Documents\GitHub\eaglep3\Utilities\DownloadLogsFromS3.py --loco 4031 --day 2017-05-10</v>
      </c>
    </row>
    <row r="14" spans="1:32" x14ac:dyDescent="0.25">
      <c r="A14" s="31">
        <v>42865.710393518515</v>
      </c>
      <c r="B14" s="30" t="s">
        <v>487</v>
      </c>
      <c r="C14" s="30" t="s">
        <v>590</v>
      </c>
      <c r="D14" s="30" t="s">
        <v>49</v>
      </c>
      <c r="E14" s="30" t="s">
        <v>191</v>
      </c>
      <c r="F14" s="42">
        <v>340</v>
      </c>
      <c r="G14" s="42">
        <v>390</v>
      </c>
      <c r="H14" s="42">
        <v>110070</v>
      </c>
      <c r="I14" s="42">
        <v>108979</v>
      </c>
      <c r="J14" s="30" t="s">
        <v>192</v>
      </c>
      <c r="K14" s="42">
        <v>109135</v>
      </c>
      <c r="L14" s="134" t="s">
        <v>51</v>
      </c>
      <c r="M14" s="135">
        <f t="shared" si="0"/>
        <v>-82.367999999999995</v>
      </c>
      <c r="N14" s="136" t="str">
        <f>VLOOKUP(C14,'Trips&amp;Operators'!$C$1:$G$99999,5,FALSE)</f>
        <v>LEVIN SCOTT</v>
      </c>
      <c r="O14" s="207" t="s">
        <v>184</v>
      </c>
      <c r="P14" s="137" t="s">
        <v>483</v>
      </c>
      <c r="Q14" s="30"/>
      <c r="R14" s="84" t="str">
        <f>IF(VLOOKUP(C14,'Train Runs'!$A$13:$AE$9930,1,1)=C14,VLOOKUP(C14,'Train Runs'!$A$13:$AE$9930,31,1),NA())</f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S14" s="87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-05-10T15:34:23-0600',mode:absolute,to:'2017-05-10T18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89" t="str">
        <f t="shared" si="1"/>
        <v>"C:\Program Files (x86)\AstroGrep\AstroGrep.exe" /e /r /s /spath="%USERPROFILE%\AppData\Local\Temp\OnboardLogs" /stypes="*4005*201705102*"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4005</v>
      </c>
      <c r="V14" s="31">
        <f t="shared" si="3"/>
        <v>42865.960393518515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arrival","project_id":79,"tracker_id":40,"status_id":1,"priority_id":2,"assigned_to_id":23,"start_date":"2017-05-10","description":"","custom_fields":[{"id":1,"name":"Subdivision","value":"EC"},{"id":4,"name":"Milepost","value":"10.9135"},{"id":17,"name":"Train ID","value":"198-10"},{"id":16,"name":"Locomotive ID","value":"4005"},{"id":130,"name":"Impact","value":""},{"id":150,"name":"Time of Event (Mountain Time)","value":"17:02:58"},{"id":151,"name":"Denver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/cygdrive/c/Users/stu/AppData/Local/Temp/OnboardLogs/RTDC4005 --include="*4005*201705102*"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"%USERPROFILE%\AppData\Local\Temp\OnboardLogs"\RTDC4005\*4005*201705102* &gt;&gt; 2017-05-10-SliceDisagreementCheck.txt</v>
      </c>
      <c r="AE14" s="148" t="str">
        <f t="shared" si="9"/>
        <v>start /low /b %USERPROFILE%\Documents\GitHub\eaglep3\Utilities\DownloadLogsFromS3.py --loco 4005 --day 2017-05-10</v>
      </c>
      <c r="AF14" s="1"/>
    </row>
    <row r="15" spans="1:32" x14ac:dyDescent="0.25">
      <c r="A15" s="31">
        <v>42865.505914351852</v>
      </c>
      <c r="B15" s="30" t="s">
        <v>431</v>
      </c>
      <c r="C15" s="30" t="s">
        <v>582</v>
      </c>
      <c r="D15" s="30" t="s">
        <v>49</v>
      </c>
      <c r="E15" s="30" t="s">
        <v>204</v>
      </c>
      <c r="F15" s="42">
        <v>400</v>
      </c>
      <c r="G15" s="42">
        <v>481</v>
      </c>
      <c r="H15" s="42">
        <v>17175</v>
      </c>
      <c r="I15" s="42">
        <v>17830</v>
      </c>
      <c r="J15" s="30" t="s">
        <v>205</v>
      </c>
      <c r="K15" s="42">
        <v>17867</v>
      </c>
      <c r="L15" s="134" t="s">
        <v>50</v>
      </c>
      <c r="M15" s="135">
        <f t="shared" si="0"/>
        <v>19.536000000000001</v>
      </c>
      <c r="N15" s="136" t="str">
        <f>VLOOKUP(C15,'Trips&amp;Operators'!$C$1:$G$99999,5,FALSE)</f>
        <v>BIRENBAUM THOMAS</v>
      </c>
      <c r="O15" s="207" t="s">
        <v>184</v>
      </c>
      <c r="P15" s="137"/>
      <c r="Q15" s="30"/>
      <c r="R15" s="84" t="str">
        <f>IF(VLOOKUP(C15,'Train Runs'!$A$13:$AE$9930,1,1)=C15,VLOOKUP(C15,'Train Runs'!$A$13:$AE$9930,31,1),NA())</f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S15" s="87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-05-10T10:55:13-0600',mode:absolute,to:'2017-05-10T13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5" s="89" t="str">
        <f t="shared" si="1"/>
        <v>"C:\Program Files (x86)\AstroGrep\AstroGrep.exe" /e /r /s /spath="%USERPROFILE%\AppData\Local\Temp\OnboardLogs" /stypes="*4040*201705101*" /stext=" 18:.+((SYSTEM_STATE.+slice.+state.+changed )|(ment ac)|(multiple cpu faults)|(system.+state.+changed )|(\[timeout)|(PRM\|1\|D)|(kpr)|(kdp)|(train st.+moving)|(\|lc)|(penalty))"</v>
      </c>
      <c r="U15" s="9" t="str">
        <f t="shared" si="2"/>
        <v>4040</v>
      </c>
      <c r="V15" s="31">
        <f t="shared" si="3"/>
        <v>42865.755914351852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{"issue":{"subject":"","project_id":79,"tracker_id":40,"status_id":1,"priority_id":2,"assigned_to_id":23,"start_date":"2017-05-10","description":"","custom_fields":[{"id":1,"name":"Subdivision","value":"EC"},{"id":4,"name":"Milepost","value":"1.7867"},{"id":17,"name":"Train ID","value":"167-10"},{"id":16,"name":"Locomotive ID","value":"4040"},{"id":130,"name":"Impact","value":""},{"id":150,"name":"Time of Event (Mountain Time)","value":"12:08:31"},{"id":151,"name":"Denver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/cygdrive/c/Users/stu/AppData/Local/Temp/OnboardLogs/RTDC4040 --include="*4040*201705101*"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"%USERPROFILE%\AppData\Local\Temp\OnboardLogs"\RTDC4040\*4040*201705101* &gt;&gt; 2017-05-10-SliceDisagreementCheck.txt</v>
      </c>
      <c r="AE15" s="148" t="str">
        <f t="shared" si="9"/>
        <v>start /low /b %USERPROFILE%\Documents\GitHub\eaglep3\Utilities\DownloadLogsFromS3.py --loco 4040 --day 2017-05-10</v>
      </c>
      <c r="AF15" s="1"/>
    </row>
    <row r="16" spans="1:32" x14ac:dyDescent="0.25">
      <c r="A16" s="31">
        <v>42865.510729166665</v>
      </c>
      <c r="B16" s="30" t="s">
        <v>486</v>
      </c>
      <c r="C16" s="30" t="s">
        <v>580</v>
      </c>
      <c r="D16" s="30" t="s">
        <v>49</v>
      </c>
      <c r="E16" s="30" t="s">
        <v>204</v>
      </c>
      <c r="F16" s="42">
        <v>300</v>
      </c>
      <c r="G16" s="42">
        <v>479</v>
      </c>
      <c r="H16" s="42">
        <v>24564</v>
      </c>
      <c r="I16" s="42">
        <v>23198</v>
      </c>
      <c r="J16" s="30" t="s">
        <v>205</v>
      </c>
      <c r="K16" s="42">
        <v>21848</v>
      </c>
      <c r="L16" s="134" t="s">
        <v>51</v>
      </c>
      <c r="M16" s="135">
        <f t="shared" si="0"/>
        <v>712.80000000000007</v>
      </c>
      <c r="N16" s="136" t="str">
        <f>VLOOKUP(C16,'Trips&amp;Operators'!$C$1:$G$99999,5,FALSE)</f>
        <v>STARKS ANGELINA</v>
      </c>
      <c r="O16" s="207" t="s">
        <v>184</v>
      </c>
      <c r="P16" s="137"/>
      <c r="Q16" s="30"/>
      <c r="R16" s="84" t="str">
        <f>IF(VLOOKUP(C16,'Train Runs'!$A$13:$AE$9930,1,1)=C16,VLOOKUP(C16,'Train Runs'!$A$13:$AE$9930,31,1),NA())</f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S16" s="87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-05-10T10:37:43-0600',mode:absolute,to:'2017-05-10T13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9" t="str">
        <f t="shared" si="1"/>
        <v>"C:\Program Files (x86)\AstroGrep\AstroGrep.exe" /e /r /s /spath="%USERPROFILE%\AppData\Local\Temp\OnboardLogs" /stypes="*4031*201705101*"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42865.760729166665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{"issue":{"subject":"","project_id":79,"tracker_id":40,"status_id":1,"priority_id":2,"assigned_to_id":23,"start_date":"2017-05-10","description":"","custom_fields":[{"id":1,"name":"Subdivision","value":"EC"},{"id":4,"name":"Milepost","value":"2.1848"},{"id":17,"name":"Train ID","value":"158-10"},{"id":16,"name":"Locomotive ID","value":"4031"},{"id":130,"name":"Impact","value":""},{"id":150,"name":"Time of Event (Mountain Time)","value":"12:15:27"},{"id":151,"name":"Denver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/cygdrive/c/Users/stu/AppData/Local/Temp/OnboardLogs/RTDC4031 --include="*4031*201705101*"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"%USERPROFILE%\AppData\Local\Temp\OnboardLogs"\RTDC4031\*4031*201705101* &gt;&gt; 2017-05-10-SliceDisagreementCheck.txt</v>
      </c>
      <c r="AE16" s="148" t="str">
        <f t="shared" si="9"/>
        <v>start /low /b %USERPROFILE%\Documents\GitHub\eaglep3\Utilities\DownloadLogsFromS3.py --loco 4031 --day 2017-05-10</v>
      </c>
      <c r="AF16" s="1"/>
    </row>
    <row r="17" spans="1:32" x14ac:dyDescent="0.25">
      <c r="A17" s="31">
        <v>42865.498333333337</v>
      </c>
      <c r="B17" s="30" t="s">
        <v>487</v>
      </c>
      <c r="C17" s="30" t="s">
        <v>581</v>
      </c>
      <c r="D17" s="30" t="s">
        <v>49</v>
      </c>
      <c r="E17" s="30" t="s">
        <v>204</v>
      </c>
      <c r="F17" s="42">
        <v>200</v>
      </c>
      <c r="G17" s="42">
        <v>264</v>
      </c>
      <c r="H17" s="42">
        <v>31277</v>
      </c>
      <c r="I17" s="42">
        <v>30869</v>
      </c>
      <c r="J17" s="30" t="s">
        <v>205</v>
      </c>
      <c r="K17" s="42">
        <v>30562</v>
      </c>
      <c r="L17" s="134" t="s">
        <v>51</v>
      </c>
      <c r="M17" s="135">
        <f t="shared" si="0"/>
        <v>162.096</v>
      </c>
      <c r="N17" s="136" t="str">
        <f>VLOOKUP(C17,'Trips&amp;Operators'!$C$1:$G$99999,5,FALSE)</f>
        <v>YORK EDGAR</v>
      </c>
      <c r="O17" s="207" t="s">
        <v>184</v>
      </c>
      <c r="P17" s="137"/>
      <c r="Q17" s="30"/>
      <c r="R17" s="84" t="str">
        <f>IF(VLOOKUP(C17,'Train Runs'!$A$13:$AE$9930,1,1)=C17,VLOOKUP(C17,'Train Runs'!$A$13:$AE$9930,31,1),NA())</f>
        <v>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 &amp; 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</v>
      </c>
      <c r="S17" s="87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-05-10T10:08:56-0600',mode:absolute,to:'2017-05-10T13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7" s="89" t="str">
        <f t="shared" si="1"/>
        <v>"C:\Program Files (x86)\AstroGrep\AstroGrep.exe" /e /r /s /spath="%USERPROFILE%\AppData\Local\Temp\OnboardLogs" /stypes="*4005*201705101*"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4005</v>
      </c>
      <c r="V17" s="31">
        <f t="shared" si="3"/>
        <v>42865.748333333337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{"issue":{"subject":"","project_id":79,"tracker_id":40,"status_id":1,"priority_id":2,"assigned_to_id":23,"start_date":"2017-05-10","description":"","custom_fields":[{"id":1,"name":"Subdivision","value":"EC"},{"id":4,"name":"Milepost","value":"3.0562"},{"id":17,"name":"Train ID","value":"156-10"},{"id":16,"name":"Locomotive ID","value":"4005"},{"id":130,"name":"Impact","value":""},{"id":150,"name":"Time of Event (Mountain Time)","value":"11:57:36"},{"id":151,"name":"Denver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/cygdrive/c/Users/stu/AppData/Local/Temp/OnboardLogs/RTDC4005 --include="*4005*201705101*"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"%USERPROFILE%\AppData\Local\Temp\OnboardLogs"\RTDC4005\*4005*201705101* &gt;&gt; 2017-05-10-SliceDisagreementCheck.txt</v>
      </c>
      <c r="AE17" s="148" t="str">
        <f t="shared" si="9"/>
        <v>start /low /b %USERPROFILE%\Documents\GitHub\eaglep3\Utilities\DownloadLogsFromS3.py --loco 4005 --day 2017-05-10</v>
      </c>
      <c r="AF17" s="1"/>
    </row>
    <row r="18" spans="1:32" x14ac:dyDescent="0.25">
      <c r="A18" s="31">
        <v>42865.535497685189</v>
      </c>
      <c r="B18" s="30" t="s">
        <v>490</v>
      </c>
      <c r="C18" s="30" t="s">
        <v>584</v>
      </c>
      <c r="D18" s="30" t="s">
        <v>49</v>
      </c>
      <c r="E18" s="30" t="s">
        <v>204</v>
      </c>
      <c r="F18" s="42">
        <v>400</v>
      </c>
      <c r="G18" s="42">
        <v>625</v>
      </c>
      <c r="H18" s="42">
        <v>114630</v>
      </c>
      <c r="I18" s="42">
        <v>117048</v>
      </c>
      <c r="J18" s="30" t="s">
        <v>205</v>
      </c>
      <c r="K18" s="42">
        <v>116838</v>
      </c>
      <c r="L18" s="134" t="s">
        <v>50</v>
      </c>
      <c r="M18" s="135">
        <f t="shared" si="0"/>
        <v>-110.88</v>
      </c>
      <c r="N18" s="136" t="str">
        <f>VLOOKUP(C18,'Trips&amp;Operators'!$C$1:$G$99999,5,FALSE)</f>
        <v>THOMPSON LESTER</v>
      </c>
      <c r="O18" s="207" t="s">
        <v>184</v>
      </c>
      <c r="P18" s="137"/>
      <c r="Q18" s="30"/>
      <c r="R18" s="84" t="str">
        <f>IF(VLOOKUP(C18,'Train Runs'!$A$13:$AE$9930,1,1)=C18,VLOOKUP(C18,'Train Runs'!$A$13:$AE$9930,31,1),NA())</f>
        <v>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 &amp; aws s3 cp s3://rtdc.mdm.uploadarchive.raw/RTDC4032/ "%USERPROFILE%\AppData\Local\Temp\OnboardLogs"\RTDC4032\2017-05-11 --exclude "*" --recursive --include "*20170511*" &amp; "%USERPROFILE%\Documents\GitHub\mrs-test-scripts\Headless Mode &amp; Sideloading\WalkAndUnGZ.bat" "%USERPROFILE%\AppData\Local\Temp\OnboardLogs"\RTDC4032\2017-05-11</v>
      </c>
      <c r="S18" s="87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-05-10T11:27:11-0600',mode:absolute,to:'2017-05-10T14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8" s="89" t="str">
        <f t="shared" si="1"/>
        <v>"C:\Program Files (x86)\AstroGrep\AstroGrep.exe" /e /r /s /spath="%USERPROFILE%\AppData\Local\Temp\OnboardLogs" /stypes="*4032*201705101*" /stext=" 18:.+((SYSTEM_STATE.+slice.+state.+changed )|(ment ac)|(multiple cpu faults)|(system.+state.+changed )|(\[timeout)|(PRM\|1\|D)|(kpr)|(kdp)|(train st.+moving)|(\|lc)|(penalty))"</v>
      </c>
      <c r="U18" s="9" t="str">
        <f t="shared" si="2"/>
        <v>4032</v>
      </c>
      <c r="V18" s="31">
        <f t="shared" si="3"/>
        <v>42865.785497685189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{"issue":{"subject":"","project_id":79,"tracker_id":40,"status_id":1,"priority_id":2,"assigned_to_id":23,"start_date":"2017-05-10","description":"","custom_fields":[{"id":1,"name":"Subdivision","value":"EC"},{"id":4,"name":"Milepost","value":"11.6838"},{"id":17,"name":"Train ID","value":"171-10"},{"id":16,"name":"Locomotive ID","value":"4032"},{"id":130,"name":"Impact","value":""},{"id":150,"name":"Time of Event (Mountain Time)","value":"12:51:07"},{"id":151,"name":"Denver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/cygdrive/c/Users/stu/AppData/Local/Temp/OnboardLogs/RTDC4032 --include="*4032*201705101*"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"%USERPROFILE%\AppData\Local\Temp\OnboardLogs"\RTDC4032\*4032*201705101* &gt;&gt; 2017-05-10-SliceDisagreementCheck.txt</v>
      </c>
      <c r="AE18" s="148" t="str">
        <f t="shared" si="9"/>
        <v>start /low /b %USERPROFILE%\Documents\GitHub\eaglep3\Utilities\DownloadLogsFromS3.py --loco 4032 --day 2017-05-10</v>
      </c>
      <c r="AF18" s="1"/>
    </row>
    <row r="19" spans="1:32" x14ac:dyDescent="0.25">
      <c r="A19" s="31">
        <v>42865.416284722225</v>
      </c>
      <c r="B19" s="30" t="s">
        <v>486</v>
      </c>
      <c r="C19" s="30" t="s">
        <v>574</v>
      </c>
      <c r="D19" s="30" t="s">
        <v>98</v>
      </c>
      <c r="E19" s="30" t="s">
        <v>204</v>
      </c>
      <c r="F19" s="42">
        <v>350</v>
      </c>
      <c r="G19" s="42">
        <v>405</v>
      </c>
      <c r="H19" s="42">
        <v>224995</v>
      </c>
      <c r="I19" s="42">
        <v>223547</v>
      </c>
      <c r="J19" s="30" t="s">
        <v>205</v>
      </c>
      <c r="K19" s="42">
        <v>228668</v>
      </c>
      <c r="L19" s="134" t="s">
        <v>51</v>
      </c>
      <c r="M19" s="135">
        <f t="shared" si="0"/>
        <v>-2703.8879999999999</v>
      </c>
      <c r="N19" s="136" t="str">
        <f>VLOOKUP(C19,'Trips&amp;Operators'!$C$1:$G$99999,5,FALSE)</f>
        <v>STARKS ANGELINA</v>
      </c>
      <c r="O19" s="207" t="s">
        <v>184</v>
      </c>
      <c r="P19" s="137"/>
      <c r="Q19" s="30"/>
      <c r="R19" s="84" t="str">
        <f>IF(VLOOKUP(C19,'Train Runs'!$A$13:$AE$9930,1,1)=C19,VLOOKUP(C19,'Train Runs'!$A$13:$AE$9930,31,1),NA())</f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S19" s="87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-05-10T08:53:37-0600',mode:absolute,to:'2017-05-10T11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9" s="89" t="str">
        <f t="shared" si="1"/>
        <v>"C:\Program Files (x86)\AstroGrep\AstroGrep.exe" /e /r /s /spath="%USERPROFILE%\AppData\Local\Temp\OnboardLogs" /stypes="*4031*201705101*" /stext=" 15:.+((SYSTEM_STATE.+slice.+state.+changed )|(ment ac)|(multiple cpu faults)|(system.+state.+changed )|(\[timeout)|(PRM\|1\|D)|(kpr)|(kdp)|(train st.+moving)|(\|lc)|(penalty))"</v>
      </c>
      <c r="U19" s="9" t="str">
        <f t="shared" si="2"/>
        <v>4031</v>
      </c>
      <c r="V19" s="31">
        <f t="shared" si="3"/>
        <v>42865.666284722225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{"issue":{"subject":"","project_id":79,"tracker_id":40,"status_id":1,"priority_id":2,"assigned_to_id":23,"start_date":"2017-05-10","description":"","custom_fields":[{"id":1,"name":"Subdivision","value":"EC"},{"id":4,"name":"Milepost","value":"22.8668"},{"id":17,"name":"Train ID","value":"144-10"},{"id":16,"name":"Locomotive ID","value":"4031"},{"id":130,"name":"Impact","value":""},{"id":150,"name":"Time of Event (Mountain Time)","value":"09:59:27"},{"id":151,"name":"Denver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/cygdrive/c/Users/stu/AppData/Local/Temp/OnboardLogs/RTDC4031 --include="*4031*201705101*"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"%USERPROFILE%\AppData\Local\Temp\OnboardLogs"\RTDC4031\*4031*201705101* &gt;&gt; 2017-05-10-SliceDisagreementCheck.txt</v>
      </c>
      <c r="AE19" s="148" t="str">
        <f t="shared" si="9"/>
        <v>start /low /b %USERPROFILE%\Documents\GitHub\eaglep3\Utilities\DownloadLogsFromS3.py --loco 4031 --day 2017-05-10</v>
      </c>
      <c r="AF19" s="1"/>
    </row>
    <row r="20" spans="1:32" x14ac:dyDescent="0.25">
      <c r="A20" s="31">
        <v>42865.489039351851</v>
      </c>
      <c r="B20" s="30" t="s">
        <v>486</v>
      </c>
      <c r="C20" s="30" t="s">
        <v>580</v>
      </c>
      <c r="D20" s="30" t="s">
        <v>98</v>
      </c>
      <c r="E20" s="30" t="s">
        <v>204</v>
      </c>
      <c r="F20" s="42">
        <v>350</v>
      </c>
      <c r="G20" s="42">
        <v>401</v>
      </c>
      <c r="H20" s="42">
        <v>228993</v>
      </c>
      <c r="I20" s="42">
        <v>227929</v>
      </c>
      <c r="J20" s="30" t="s">
        <v>205</v>
      </c>
      <c r="K20" s="42">
        <v>232107</v>
      </c>
      <c r="L20" s="134" t="s">
        <v>51</v>
      </c>
      <c r="M20" s="135">
        <f t="shared" si="0"/>
        <v>-2205.9839999999999</v>
      </c>
      <c r="N20" s="136" t="str">
        <f>VLOOKUP(C20,'Trips&amp;Operators'!$C$1:$G$99999,5,FALSE)</f>
        <v>STARKS ANGELINA</v>
      </c>
      <c r="O20" s="207" t="s">
        <v>184</v>
      </c>
      <c r="P20" s="137"/>
      <c r="Q20" s="30"/>
      <c r="R20" s="84" t="str">
        <f>IF(VLOOKUP(C20,'Train Runs'!$A$13:$AE$9930,1,1)=C20,VLOOKUP(C20,'Train Runs'!$A$13:$AE$9930,31,1),NA())</f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S20" s="87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-05-10T10:37:43-0600',mode:absolute,to:'2017-05-10T13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89" t="str">
        <f t="shared" si="1"/>
        <v>"C:\Program Files (x86)\AstroGrep\AstroGrep.exe" /e /r /s /spath="%USERPROFILE%\AppData\Local\Temp\OnboardLogs" /stypes="*4031*201705101*"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4031</v>
      </c>
      <c r="V20" s="31">
        <f t="shared" si="3"/>
        <v>42865.739039351851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{"issue":{"subject":"","project_id":79,"tracker_id":40,"status_id":1,"priority_id":2,"assigned_to_id":23,"start_date":"2017-05-10","description":"","custom_fields":[{"id":1,"name":"Subdivision","value":"EC"},{"id":4,"name":"Milepost","value":"23.2107"},{"id":17,"name":"Train ID","value":"158-10"},{"id":16,"name":"Locomotive ID","value":"4031"},{"id":130,"name":"Impact","value":""},{"id":150,"name":"Time of Event (Mountain Time)","value":"11:44:13"},{"id":151,"name":"Denver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/cygdrive/c/Users/stu/AppData/Local/Temp/OnboardLogs/RTDC4031 --include="*4031*201705101*"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"%USERPROFILE%\AppData\Local\Temp\OnboardLogs"\RTDC4031\*4031*201705101* &gt;&gt; 2017-05-10-SliceDisagreementCheck.txt</v>
      </c>
      <c r="AE20" s="148" t="str">
        <f t="shared" si="9"/>
        <v>start /low /b %USERPROFILE%\Documents\GitHub\eaglep3\Utilities\DownloadLogsFromS3.py --loco 4031 --day 2017-05-10</v>
      </c>
      <c r="AF20" s="1"/>
    </row>
    <row r="21" spans="1:32" x14ac:dyDescent="0.25">
      <c r="A21" s="31">
        <v>42865.509930555556</v>
      </c>
      <c r="B21" s="30" t="s">
        <v>417</v>
      </c>
      <c r="C21" s="30" t="s">
        <v>583</v>
      </c>
      <c r="D21" s="30" t="s">
        <v>98</v>
      </c>
      <c r="E21" s="30" t="s">
        <v>204</v>
      </c>
      <c r="F21" s="42">
        <v>350</v>
      </c>
      <c r="G21" s="42">
        <v>401</v>
      </c>
      <c r="H21" s="42">
        <v>224920</v>
      </c>
      <c r="I21" s="42">
        <v>223714</v>
      </c>
      <c r="J21" s="30" t="s">
        <v>205</v>
      </c>
      <c r="K21" s="42">
        <v>232107</v>
      </c>
      <c r="L21" s="134" t="s">
        <v>51</v>
      </c>
      <c r="M21" s="135">
        <f t="shared" si="0"/>
        <v>-4431.5039999999999</v>
      </c>
      <c r="N21" s="136" t="str">
        <f>VLOOKUP(C21,'Trips&amp;Operators'!$C$1:$G$99999,5,FALSE)</f>
        <v>DAVIS MICHAEL</v>
      </c>
      <c r="O21" s="207" t="s">
        <v>184</v>
      </c>
      <c r="P21" s="137"/>
      <c r="Q21" s="30"/>
      <c r="R21" s="84" t="str">
        <f>IF(VLOOKUP(C21,'Train Runs'!$A$13:$AE$9930,1,1)=C21,VLOOKUP(C21,'Train Runs'!$A$13:$AE$9930,31,1),NA())</f>
        <v>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 &amp; aws s3 cp s3://rtdc.mdm.uploadarchive.raw/RTDC4011/ "%USERPROFILE%\AppData\Local\Temp\OnboardLogs"\RTDC4011\2017-05-11 --exclude "*" --recursive --include "*20170511*" &amp; "%USERPROFILE%\Documents\GitHub\mrs-test-scripts\Headless Mode &amp; Sideloading\WalkAndUnGZ.bat" "%USERPROFILE%\AppData\Local\Temp\OnboardLogs"\RTDC4011\2017-05-11</v>
      </c>
      <c r="S21" s="87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-05-10T11:07:56-0600',mode:absolute,to:'2017-05-10T13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1" s="89" t="str">
        <f t="shared" si="1"/>
        <v>"C:\Program Files (x86)\AstroGrep\AstroGrep.exe" /e /r /s /spath="%USERPROFILE%\AppData\Local\Temp\OnboardLogs" /stypes="*4011*201705101*"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4011</v>
      </c>
      <c r="V21" s="31">
        <f t="shared" si="3"/>
        <v>42865.759930555556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{"issue":{"subject":"","project_id":79,"tracker_id":40,"status_id":1,"priority_id":2,"assigned_to_id":23,"start_date":"2017-05-10","description":"","custom_fields":[{"id":1,"name":"Subdivision","value":"EC"},{"id":4,"name":"Milepost","value":"23.2107"},{"id":17,"name":"Train ID","value":"162-10"},{"id":16,"name":"Locomotive ID","value":"4011"},{"id":130,"name":"Impact","value":""},{"id":150,"name":"Time of Event (Mountain Time)","value":"12:14:18"},{"id":151,"name":"Denver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/cygdrive/c/Users/stu/AppData/Local/Temp/OnboardLogs/RTDC4011 --include="*4011*201705101*"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"%USERPROFILE%\AppData\Local\Temp\OnboardLogs"\RTDC4011\*4011*201705101* &gt;&gt; 2017-05-10-SliceDisagreementCheck.txt</v>
      </c>
      <c r="AE21" s="148" t="str">
        <f t="shared" si="9"/>
        <v>start /low /b %USERPROFILE%\Documents\GitHub\eaglep3\Utilities\DownloadLogsFromS3.py --loco 4011 --day 2017-05-10</v>
      </c>
      <c r="AF21" s="1"/>
    </row>
    <row r="22" spans="1:32" x14ac:dyDescent="0.25">
      <c r="A22" s="31">
        <v>42865.295138888891</v>
      </c>
      <c r="B22" s="30" t="s">
        <v>486</v>
      </c>
      <c r="C22" s="30" t="s">
        <v>566</v>
      </c>
      <c r="D22" s="30" t="s">
        <v>49</v>
      </c>
      <c r="E22" s="30" t="s">
        <v>185</v>
      </c>
      <c r="F22" s="42">
        <v>0</v>
      </c>
      <c r="G22" s="42">
        <v>66</v>
      </c>
      <c r="H22" s="42">
        <v>216</v>
      </c>
      <c r="I22" s="42">
        <v>160</v>
      </c>
      <c r="J22" s="30" t="s">
        <v>186</v>
      </c>
      <c r="K22" s="42">
        <v>1</v>
      </c>
      <c r="L22" s="134" t="s">
        <v>51</v>
      </c>
      <c r="M22" s="135">
        <f t="shared" si="0"/>
        <v>83.951999999999998</v>
      </c>
      <c r="N22" s="136" t="str">
        <f>VLOOKUP(C22,'Trips&amp;Operators'!$C$1:$G$99999,5,FALSE)</f>
        <v>STARKS ANGELINA</v>
      </c>
      <c r="O22" s="207" t="s">
        <v>184</v>
      </c>
      <c r="P22" s="137"/>
      <c r="Q22" s="30"/>
      <c r="R22" s="84" t="str">
        <f>IF(VLOOKUP(C22,'Train Runs'!$A$13:$AE$9930,1,1)=C22,VLOOKUP(C22,'Train Runs'!$A$13:$AE$9930,31,1),NA())</f>
        <v>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 &amp; aws s3 cp s3://rtdc.mdm.uploadarchive.raw/RTDC4031/ "%USERPROFILE%\AppData\Local\Temp\OnboardLogs"\RTDC4031\2017-05-11 --exclude "*" --recursive --include "*20170511*" &amp; "%USERPROFILE%\Documents\GitHub\mrs-test-scripts\Headless Mode &amp; Sideloading\WalkAndUnGZ.bat" "%USERPROFILE%\AppData\Local\Temp\OnboardLogs"\RTDC4031\2017-05-11</v>
      </c>
      <c r="S22" s="87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-05-10T05:10:26-0600',mode:absolute,to:'2017-05-10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2" s="89" t="str">
        <f t="shared" si="1"/>
        <v>"C:\Program Files (x86)\AstroGrep\AstroGrep.exe" /e /r /s /spath="%USERPROFILE%\AppData\Local\Temp\OnboardLogs" /stypes="*4031*201705101*"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4031</v>
      </c>
      <c r="V22" s="31">
        <f t="shared" si="3"/>
        <v>42865.545138888891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{"issue":{"subject":"","project_id":79,"tracker_id":40,"status_id":1,"priority_id":2,"assigned_to_id":23,"start_date":"2017-05-10","description":"","custom_fields":[{"id":1,"name":"Subdivision","value":"EC"},{"id":4,"name":"Milepost","value":"0.0001"},{"id":17,"name":"Train ID","value":"116-10"},{"id":16,"name":"Locomotive ID","value":"4031"},{"id":130,"name":"Impact","value":""},{"id":150,"name":"Time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/cygdrive/c/Users/stu/AppData/Local/Temp/OnboardLogs/RTDC4031 --include="*4031*201705101*"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"%USERPROFILE%\AppData\Local\Temp\OnboardLogs"\RTDC4031\*4031*201705101* &gt;&gt; 2017-05-10-SliceDisagreementCheck.txt</v>
      </c>
      <c r="AE22" s="148" t="str">
        <f t="shared" si="9"/>
        <v>start /low /b %USERPROFILE%\Documents\GitHub\eaglep3\Utilities\DownloadLogsFromS3.py --loco 4031 --day 2017-05-10</v>
      </c>
      <c r="AF22" s="1"/>
    </row>
    <row r="23" spans="1:32" x14ac:dyDescent="0.25">
      <c r="A23" s="31">
        <v>42865.306030092594</v>
      </c>
      <c r="B23" s="30" t="s">
        <v>431</v>
      </c>
      <c r="C23" s="30" t="s">
        <v>567</v>
      </c>
      <c r="D23" s="30" t="s">
        <v>49</v>
      </c>
      <c r="E23" s="30" t="s">
        <v>185</v>
      </c>
      <c r="F23" s="42">
        <v>0</v>
      </c>
      <c r="G23" s="42">
        <v>35</v>
      </c>
      <c r="H23" s="42">
        <v>233364</v>
      </c>
      <c r="I23" s="42">
        <v>233387</v>
      </c>
      <c r="J23" s="30" t="s">
        <v>186</v>
      </c>
      <c r="K23" s="42">
        <v>233491</v>
      </c>
      <c r="L23" s="134" t="s">
        <v>50</v>
      </c>
      <c r="M23" s="135">
        <f t="shared" si="0"/>
        <v>54.911999999999999</v>
      </c>
      <c r="N23" s="136" t="str">
        <f>VLOOKUP(C23,'Trips&amp;Operators'!$C$1:$G$99999,5,FALSE)</f>
        <v>ROCHA YAOTL</v>
      </c>
      <c r="O23" s="207" t="s">
        <v>184</v>
      </c>
      <c r="P23" s="137"/>
      <c r="Q23" s="30"/>
      <c r="R23" s="84" t="str">
        <f>IF(VLOOKUP(C23,'Train Runs'!$A$13:$AE$9930,1,1)=C23,VLOOKUP(C23,'Train Runs'!$A$13:$AE$9930,31,1),NA())</f>
        <v>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 &amp; aws s3 cp s3://rtdc.mdm.uploadarchive.raw/RTDC4040/ "%USERPROFILE%\AppData\Local\Temp\OnboardLogs"\RTDC4040\2017-05-11 --exclude "*" --recursive --include "*20170511*" &amp; "%USERPROFILE%\Documents\GitHub\mrs-test-scripts\Headless Mode &amp; Sideloading\WalkAndUnGZ.bat" "%USERPROFILE%\AppData\Local\Temp\OnboardLogs"\RTDC4040\2017-05-11</v>
      </c>
      <c r="S23" s="87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-05-10T05:40:49-0600',mode:absolute,to:'2017-05-10T08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3" s="89" t="str">
        <f t="shared" si="1"/>
        <v>"C:\Program Files (x86)\AstroGrep\AstroGrep.exe" /e /r /s /spath="%USERPROFILE%\AppData\Local\Temp\OnboardLogs" /stypes="*4040*201705101*" /stext=" 13:.+((SYSTEM_STATE.+slice.+state.+changed )|(ment ac)|(multiple cpu faults)|(system.+state.+changed )|(\[timeout)|(PRM\|1\|D)|(kpr)|(kdp)|(train st.+moving)|(\|lc)|(penalty))"</v>
      </c>
      <c r="U23" s="9" t="str">
        <f t="shared" si="2"/>
        <v>4040</v>
      </c>
      <c r="V23" s="31">
        <f t="shared" si="3"/>
        <v>42865.556030092594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{"issue":{"subject":"","project_id":79,"tracker_id":40,"status_id":1,"priority_id":2,"assigned_to_id":23,"start_date":"2017-05-10","description":"","custom_fields":[{"id":1,"name":"Subdivision","value":"EC"},{"id":4,"name":"Milepost","value":"23.3491"},{"id":17,"name":"Train ID","value":"125-10"},{"id":16,"name":"Locomotive ID","value":"4040"},{"id":130,"name":"Impact","value":""},{"id":150,"name":"Time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/cygdrive/c/Users/stu/AppData/Local/Temp/OnboardLogs/RTDC4040 --include="*4040*201705101*"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"%USERPROFILE%\AppData\Local\Temp\OnboardLogs"\RTDC4040\*4040*201705101* &gt;&gt; 2017-05-10-SliceDisagreementCheck.txt</v>
      </c>
      <c r="AE23" s="148" t="str">
        <f t="shared" si="9"/>
        <v>start /low /b %USERPROFILE%\Documents\GitHub\eaglep3\Utilities\DownloadLogsFromS3.py --loco 4040 --day 2017-05-10</v>
      </c>
      <c r="AF23" s="1"/>
    </row>
    <row r="24" spans="1:32" x14ac:dyDescent="0.25">
      <c r="A24" s="31">
        <v>42865.608391203707</v>
      </c>
      <c r="B24" s="30" t="s">
        <v>488</v>
      </c>
      <c r="C24" s="30" t="s">
        <v>586</v>
      </c>
      <c r="D24" s="30" t="s">
        <v>49</v>
      </c>
      <c r="E24" s="30" t="s">
        <v>185</v>
      </c>
      <c r="F24" s="42">
        <v>0</v>
      </c>
      <c r="G24" s="42">
        <v>140</v>
      </c>
      <c r="H24" s="42">
        <v>232881</v>
      </c>
      <c r="I24" s="42">
        <v>233072</v>
      </c>
      <c r="J24" s="30" t="s">
        <v>186</v>
      </c>
      <c r="K24" s="42">
        <v>233491</v>
      </c>
      <c r="L24" s="134" t="s">
        <v>50</v>
      </c>
      <c r="M24" s="135">
        <f t="shared" si="0"/>
        <v>221.232</v>
      </c>
      <c r="N24" s="136" t="str">
        <f>VLOOKUP(C24,'Trips&amp;Operators'!$C$1:$G$99999,5,FALSE)</f>
        <v>LEVIN SCOTT</v>
      </c>
      <c r="O24" s="207" t="s">
        <v>184</v>
      </c>
      <c r="P24" s="137"/>
      <c r="Q24" s="30"/>
      <c r="R24" s="84" t="str">
        <f>IF(VLOOKUP(C24,'Train Runs'!$A$13:$AE$9930,1,1)=C24,VLOOKUP(C24,'Train Runs'!$A$13:$AE$9930,31,1),NA())</f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S24" s="87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-05-10T12:51:50-0600',mode:absolute,to:'2017-05-10T15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4" s="89" t="str">
        <f t="shared" si="1"/>
        <v>"C:\Program Files (x86)\AstroGrep\AstroGrep.exe" /e /r /s /spath="%USERPROFILE%\AppData\Local\Temp\OnboardLogs" /stypes="*4006*201705102*" /stext=" 20:.+((SYSTEM_STATE.+slice.+state.+changed )|(ment ac)|(multiple cpu faults)|(system.+state.+changed )|(\[timeout)|(PRM\|1\|D)|(kpr)|(kdp)|(train st.+moving)|(\|lc)|(penalty))"</v>
      </c>
      <c r="U24" s="9" t="str">
        <f t="shared" si="2"/>
        <v>4006</v>
      </c>
      <c r="V24" s="31">
        <f t="shared" si="3"/>
        <v>42865.858391203707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{"issue":{"subject":"","project_id":79,"tracker_id":40,"status_id":1,"priority_id":2,"assigned_to_id":23,"start_date":"2017-05-10","description":"","custom_fields":[{"id":1,"name":"Subdivision","value":"EC"},{"id":4,"name":"Milepost","value":"23.3491"},{"id":17,"name":"Train ID","value":"183-10"},{"id":16,"name":"Locomotive ID","value":"4006"},{"id":130,"name":"Impact","value":""},{"id":150,"name":"Time of Event (Mountain Time)","value":"14:36:05"},{"id":151,"name":"Denver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/cygdrive/c/Users/stu/AppData/Local/Temp/OnboardLogs/RTDC4006 --include="*4006*201705102*"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"%USERPROFILE%\AppData\Local\Temp\OnboardLogs"\RTDC4006\*4006*201705102* &gt;&gt; 2017-05-10-SliceDisagreementCheck.txt</v>
      </c>
      <c r="AE24" s="148" t="str">
        <f t="shared" si="9"/>
        <v>start /low /b %USERPROFILE%\Documents\GitHub\eaglep3\Utilities\DownloadLogsFromS3.py --loco 4006 --day 2017-05-10</v>
      </c>
      <c r="AF24" s="1"/>
    </row>
    <row r="25" spans="1:32" x14ac:dyDescent="0.25">
      <c r="A25" s="31">
        <v>42865.608923611115</v>
      </c>
      <c r="B25" s="30" t="s">
        <v>488</v>
      </c>
      <c r="C25" s="30" t="s">
        <v>586</v>
      </c>
      <c r="D25" s="30" t="s">
        <v>49</v>
      </c>
      <c r="E25" s="30" t="s">
        <v>185</v>
      </c>
      <c r="F25" s="42">
        <v>0</v>
      </c>
      <c r="G25" s="42">
        <v>58</v>
      </c>
      <c r="H25" s="42">
        <v>233270</v>
      </c>
      <c r="I25" s="42">
        <v>233357</v>
      </c>
      <c r="J25" s="30" t="s">
        <v>186</v>
      </c>
      <c r="K25" s="42">
        <v>233491</v>
      </c>
      <c r="L25" s="134" t="s">
        <v>50</v>
      </c>
      <c r="M25" s="135">
        <f t="shared" si="0"/>
        <v>70.751999999999995</v>
      </c>
      <c r="N25" s="136" t="str">
        <f>VLOOKUP(C25,'Trips&amp;Operators'!$C$1:$G$99999,5,FALSE)</f>
        <v>LEVIN SCOTT</v>
      </c>
      <c r="O25" s="207" t="s">
        <v>184</v>
      </c>
      <c r="P25" s="137"/>
      <c r="Q25" s="30"/>
      <c r="R25" s="84" t="str">
        <f>IF(VLOOKUP(C25,'Train Runs'!$A$13:$AE$9930,1,1)=C25,VLOOKUP(C25,'Train Runs'!$A$13:$AE$9930,31,1),NA())</f>
        <v>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 &amp; 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</v>
      </c>
      <c r="S25" s="87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-05-10T12:51:50-0600',mode:absolute,to:'2017-05-10T15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5" s="89" t="str">
        <f t="shared" si="1"/>
        <v>"C:\Program Files (x86)\AstroGrep\AstroGrep.exe" /e /r /s /spath="%USERPROFILE%\AppData\Local\Temp\OnboardLogs" /stypes="*4006*201705102*"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4006</v>
      </c>
      <c r="V25" s="31">
        <f t="shared" si="3"/>
        <v>42865.858923611115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{"issue":{"subject":"","project_id":79,"tracker_id":40,"status_id":1,"priority_id":2,"assigned_to_id":23,"start_date":"2017-05-10","description":"","custom_fields":[{"id":1,"name":"Subdivision","value":"EC"},{"id":4,"name":"Milepost","value":"23.3491"},{"id":17,"name":"Train ID","value":"183-10"},{"id":16,"name":"Locomotive ID","value":"4006"},{"id":130,"name":"Impact","value":""},{"id":150,"name":"Time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/cygdrive/c/Users/stu/AppData/Local/Temp/OnboardLogs/RTDC4006 --include="*4006*201705102*"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"%USERPROFILE%\AppData\Local\Temp\OnboardLogs"\RTDC4006\*4006*201705102* &gt;&gt; 2017-05-10-SliceDisagreementCheck.txt</v>
      </c>
      <c r="AE25" s="148" t="str">
        <f t="shared" si="9"/>
        <v>start /low /b %USERPROFILE%\Documents\GitHub\eaglep3\Utilities\DownloadLogsFromS3.py --loco 4006 --day 2017-05-10</v>
      </c>
      <c r="AF25" s="1"/>
    </row>
    <row r="26" spans="1:32" x14ac:dyDescent="0.25">
      <c r="A26" s="31">
        <v>42865.660370370373</v>
      </c>
      <c r="B26" s="30" t="s">
        <v>491</v>
      </c>
      <c r="C26" s="30" t="s">
        <v>588</v>
      </c>
      <c r="D26" s="30" t="s">
        <v>49</v>
      </c>
      <c r="E26" s="30" t="s">
        <v>185</v>
      </c>
      <c r="F26" s="42">
        <v>0</v>
      </c>
      <c r="G26" s="42">
        <v>35</v>
      </c>
      <c r="H26" s="42">
        <v>233408</v>
      </c>
      <c r="I26" s="42">
        <v>233429</v>
      </c>
      <c r="J26" s="30" t="s">
        <v>186</v>
      </c>
      <c r="K26" s="42">
        <v>233491</v>
      </c>
      <c r="L26" s="134" t="s">
        <v>50</v>
      </c>
      <c r="M26" s="135">
        <f t="shared" si="0"/>
        <v>32.735999999999997</v>
      </c>
      <c r="N26" s="136" t="str">
        <f>VLOOKUP(C26,'Trips&amp;Operators'!$C$1:$G$99999,5,FALSE)</f>
        <v>DELGADO DIANAH</v>
      </c>
      <c r="O26" s="207" t="s">
        <v>184</v>
      </c>
      <c r="P26" s="137"/>
      <c r="Q26" s="30"/>
      <c r="R26" s="84" t="str">
        <f>IF(VLOOKUP(C26,'Train Runs'!$A$13:$AE$9930,1,1)=C26,VLOOKUP(C26,'Train Runs'!$A$13:$AE$9930,31,1),NA())</f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S26" s="87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-05-10T14:05:13-0600',mode:absolute,to:'2017-05-10T16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6" s="89" t="str">
        <f t="shared" si="1"/>
        <v>"C:\Program Files (x86)\AstroGrep\AstroGrep.exe" /e /r /s /spath="%USERPROFILE%\AppData\Local\Temp\OnboardLogs" /stypes="*4008*201705102*"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4008</v>
      </c>
      <c r="V26" s="31">
        <f t="shared" si="3"/>
        <v>42865.910370370373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{"issue":{"subject":"","project_id":79,"tracker_id":40,"status_id":1,"priority_id":2,"assigned_to_id":23,"start_date":"2017-05-10","description":"","custom_fields":[{"id":1,"name":"Subdivision","value":"EC"},{"id":4,"name":"Milepost","value":"23.3491"},{"id":17,"name":"Train ID","value":"193-10"},{"id":16,"name":"Locomotive ID","value":"4008"},{"id":130,"name":"Impact","value":""},{"id":150,"name":"Time of Event (Mountain Time)","value":"15:50:56"},{"id":151,"name":"Denver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/cygdrive/c/Users/stu/AppData/Local/Temp/OnboardLogs/RTDC4008 --include="*4008*201705102*"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"%USERPROFILE%\AppData\Local\Temp\OnboardLogs"\RTDC4008\*4008*201705102* &gt;&gt; 2017-05-10-SliceDisagreementCheck.txt</v>
      </c>
      <c r="AE26" s="148" t="str">
        <f t="shared" si="9"/>
        <v>start /low /b %USERPROFILE%\Documents\GitHub\eaglep3\Utilities\DownloadLogsFromS3.py --loco 4008 --day 2017-05-10</v>
      </c>
      <c r="AF26" s="1"/>
    </row>
    <row r="27" spans="1:32" x14ac:dyDescent="0.25">
      <c r="A27" s="31">
        <v>42865.761874999997</v>
      </c>
      <c r="B27" s="30" t="s">
        <v>564</v>
      </c>
      <c r="C27" s="30" t="s">
        <v>596</v>
      </c>
      <c r="D27" s="30" t="s">
        <v>98</v>
      </c>
      <c r="E27" s="30" t="s">
        <v>204</v>
      </c>
      <c r="F27" s="42">
        <v>400</v>
      </c>
      <c r="G27" s="42">
        <v>450</v>
      </c>
      <c r="H27" s="42">
        <v>38414</v>
      </c>
      <c r="I27" s="42">
        <v>37335</v>
      </c>
      <c r="J27" s="30" t="s">
        <v>205</v>
      </c>
      <c r="K27" s="42">
        <v>40977</v>
      </c>
      <c r="L27" s="134" t="s">
        <v>51</v>
      </c>
      <c r="M27" s="135">
        <f t="shared" si="0"/>
        <v>-1922.9760000000001</v>
      </c>
      <c r="N27" s="136" t="str">
        <f>VLOOKUP(C27,'Trips&amp;Operators'!$C$1:$G$99999,5,FALSE)</f>
        <v>CHANDLER KELVIN</v>
      </c>
      <c r="O27" s="207" t="s">
        <v>184</v>
      </c>
      <c r="P27" s="137"/>
      <c r="Q27" s="30"/>
      <c r="R27" s="84" t="e">
        <f>IF(VLOOKUP(C27,'Train Runs'!$A$13:$AE$9930,1,1)=C27,VLOOKUP(C27,'Train Runs'!$A$13:$AE$9930,31,1),NA())</f>
        <v>#N/A</v>
      </c>
      <c r="S27" s="87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-05-10T17:10:12-0600',mode:absolute,to:'2017-05-10T19:27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9" t="str">
        <f t="shared" si="1"/>
        <v>"C:\Program Files (x86)\AstroGrep\AstroGrep.exe" /e /r /s /spath="%USERPROFILE%\AppData\Local\Temp\OnboardLogs" /stypes="*4025*201705110*"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4025</v>
      </c>
      <c r="V27" s="31">
        <f t="shared" si="3"/>
        <v>42866.011874999997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{"issue":{"subject":"","project_id":79,"tracker_id":40,"status_id":1,"priority_id":2,"assigned_to_id":23,"start_date":"2017-05-10","description":"","custom_fields":[{"id":1,"name":"Subdivision","value":"NW"},{"id":4,"name":"Milepost","value":"4.0977"},{"id":17,"name":"Train ID","value":"836-10"},{"id":16,"name":"Locomotive ID","value":"4025"},{"id":130,"name":"Impact","value":""},{"id":150,"name":"Time of Event (Mountain Time)","value":"18:17:06"},{"id":151,"name":"Denver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/cygdrive/c/Users/stu/AppData/Local/Temp/OnboardLogs/RTDC4025 --include="*4025*201705110*"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"%USERPROFILE%\AppData\Local\Temp\OnboardLogs"\RTDC4025\*4025*201705110* &gt;&gt; 2017-05-10-SliceDisagreementCheck.txt</v>
      </c>
      <c r="AE27" s="148" t="str">
        <f t="shared" si="9"/>
        <v>start /low /b %USERPROFILE%\Documents\GitHub\eaglep3\Utilities\DownloadLogsFromS3.py --loco 4025 --day 2017-05-11</v>
      </c>
      <c r="AF27" s="1"/>
    </row>
    <row r="28" spans="1:32" x14ac:dyDescent="0.25">
      <c r="A28" s="31">
        <v>42865.265277777777</v>
      </c>
      <c r="B28" s="30" t="s">
        <v>564</v>
      </c>
      <c r="C28" s="30" t="s">
        <v>565</v>
      </c>
      <c r="D28" s="30" t="s">
        <v>49</v>
      </c>
      <c r="E28" s="30" t="s">
        <v>382</v>
      </c>
      <c r="F28" s="42">
        <v>0</v>
      </c>
      <c r="G28" s="42">
        <v>344</v>
      </c>
      <c r="H28" s="42">
        <v>8936</v>
      </c>
      <c r="I28" s="42">
        <v>8322</v>
      </c>
      <c r="J28" s="30" t="s">
        <v>383</v>
      </c>
      <c r="K28" s="42">
        <v>6799</v>
      </c>
      <c r="L28" s="134" t="s">
        <v>51</v>
      </c>
      <c r="M28" s="135">
        <f t="shared" si="0"/>
        <v>804.14400000000001</v>
      </c>
      <c r="N28" s="136" t="str">
        <f>VLOOKUP(C28,'Trips&amp;Operators'!$C$1:$G$99999,5,FALSE)</f>
        <v>YORK EDGAR</v>
      </c>
      <c r="O28" s="207" t="s">
        <v>184</v>
      </c>
      <c r="P28" s="137" t="s">
        <v>1034</v>
      </c>
      <c r="Q28" s="30"/>
      <c r="R28" s="84" t="str">
        <f>IF(VLOOKUP(C28,'Train Runs'!$A$13:$AE$9930,1,1)=C28,VLOOKUP(C28,'Train Runs'!$A$13:$AE$9930,31,1),NA())</f>
        <v>aws s3 cp s3://rtdc.mdm.uploadarchive.raw/RTDC4025/ "%USERPROFILE%\AppData\Local\Temp\OnboardLogs"\RTDC4025\2017-05-10 --exclude "*" --recursive --include "*20170510*" &amp; "%USERPROFILE%\Documents\GitHub\mrs-test-scripts\Headless Mode &amp; Sideloading\WalkAndUnGZ.bat" "%USERPROFILE%\AppData\Local\Temp\OnboardLogs"\RTDC4025\2017-05-10 &amp; 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</v>
      </c>
      <c r="S28" s="87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-05-10T05:08:43-0600',mode:absolute,to:'2017-05-10T07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89" t="str">
        <f t="shared" si="1"/>
        <v>"C:\Program Files (x86)\AstroGrep\AstroGrep.exe" /e /r /s /spath="%USERPROFILE%\AppData\Local\Temp\OnboardLogs" /stypes="*4025*201705101*"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4025</v>
      </c>
      <c r="V28" s="31">
        <f t="shared" si="3"/>
        <v>42865.515277777777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{"issue":{"subject":"Restricting aspect","project_id":79,"tracker_id":40,"status_id":1,"priority_id":2,"assigned_to_id":23,"start_date":"2017-05-10","description":"","custom_fields":[{"id":1,"name":"Subdivision","value":"NW"},{"id":4,"name":"Milepost","value":"0.6799"},{"id":17,"name":"Train ID","value":"802-10"},{"id":16,"name":"Locomotive ID","value":"4025"},{"id":130,"name":"Impact","value":""},{"id":150,"name":"Time of Event (Mountain Time)","value":"06:22:00"},{"id":151,"name":"Denver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/cygdrive/c/Users/stu/AppData/Local/Temp/OnboardLogs/RTDC4025 --include="*4025*201705101*"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"%USERPROFILE%\AppData\Local\Temp\OnboardLogs"\RTDC4025\*4025*201705101* &gt;&gt; 2017-05-10-SliceDisagreementCheck.txt</v>
      </c>
      <c r="AE28" s="148" t="str">
        <f t="shared" si="9"/>
        <v>start /low /b %USERPROFILE%\Documents\GitHub\eaglep3\Utilities\DownloadLogsFromS3.py --loco 4025 --day 2017-05-10</v>
      </c>
      <c r="AF28" s="1"/>
    </row>
    <row r="29" spans="1:32" x14ac:dyDescent="0.25">
      <c r="A29" s="31">
        <v>42865.350995370369</v>
      </c>
      <c r="B29" s="30" t="s">
        <v>426</v>
      </c>
      <c r="C29" s="30" t="s">
        <v>571</v>
      </c>
      <c r="D29" s="30" t="s">
        <v>49</v>
      </c>
      <c r="E29" s="30" t="s">
        <v>382</v>
      </c>
      <c r="F29" s="42">
        <v>0</v>
      </c>
      <c r="G29" s="42">
        <v>441</v>
      </c>
      <c r="H29" s="42">
        <v>18733</v>
      </c>
      <c r="I29" s="42">
        <v>20017</v>
      </c>
      <c r="J29" s="30" t="s">
        <v>383</v>
      </c>
      <c r="K29" s="42">
        <v>18990</v>
      </c>
      <c r="L29" s="134" t="s">
        <v>50</v>
      </c>
      <c r="M29" s="135">
        <f t="shared" si="0"/>
        <v>-542.25599999999997</v>
      </c>
      <c r="N29" s="136" t="str">
        <f>VLOOKUP(C29,'Trips&amp;Operators'!$C$1:$G$99999,5,FALSE)</f>
        <v>LOZA FIDEL</v>
      </c>
      <c r="O29" s="207" t="s">
        <v>385</v>
      </c>
      <c r="P29" s="137" t="s">
        <v>1037</v>
      </c>
      <c r="Q29" s="30"/>
      <c r="R29" s="84" t="e">
        <f>IF(VLOOKUP(C29,'Train Runs'!$A$13:$AE$9930,1,1)=C29,VLOOKUP(C29,'Train Runs'!$A$13:$AE$9930,31,1),NA())</f>
        <v>#N/A</v>
      </c>
      <c r="S29" s="87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-05-10T07:10:41-0600',mode:absolute,to:'2017-05-10T09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89" t="str">
        <f t="shared" si="1"/>
        <v>"C:\Program Files (x86)\AstroGrep\AstroGrep.exe" /e /r /s /spath="%USERPROFILE%\AppData\Local\Temp\OnboardLogs" /stypes="*4030*201705101*" /stext=" 14:.+((SYSTEM_STATE.+slice.+state.+changed )|(ment ac)|(multiple cpu faults)|(system.+state.+changed )|(\[timeout)|(PRM\|1\|D)|(kpr)|(kdp)|(train st.+moving)|(\|lc)|(penalty))"</v>
      </c>
      <c r="U29" s="9" t="str">
        <f t="shared" si="2"/>
        <v>4030</v>
      </c>
      <c r="V29" s="31">
        <f t="shared" si="3"/>
        <v>42865.600995370369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{"issue":{"subject":"Cut fuse at NW0190RH 20-2T 2N","project_id":79,"tracker_id":40,"status_id":1,"priority_id":2,"assigned_to_id":23,"start_date":"2017-05-10","description":"08:25:01 - NW0190RH 20-2T 2N downgraded from 270 to 0, train was about 65 ft away. Do logs show anything unusual at this time?","custom_fields":[{"id":1,"name":"Subdivision","value":"NW"},{"id":4,"name":"Milepost","value":"1.899"},{"id":17,"name":"Train ID","value":"811-10"},{"id":16,"name":"Locomotive ID","value":"4030"},{"id":130,"name":"Impact","value":"Enforcement"},{"id":150,"name":"Time of Event (Mountain Time)","value":"08:25:26"},{"id":151,"name":"Denver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9" s="162" t="s">
        <v>1035</v>
      </c>
      <c r="AA29" s="47" t="s">
        <v>124</v>
      </c>
      <c r="AB29" s="47" t="s">
        <v>129</v>
      </c>
      <c r="AC29" s="118" t="str">
        <f t="shared" si="7"/>
        <v>grep -hrE -A400 "Enforcement Action" /cygdrive/c/Users/stu/AppData/Local/Temp/OnboardLogs/RTDC4030 --include="*4030*201705101*"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"%USERPROFILE%\AppData\Local\Temp\OnboardLogs"\RTDC4030\*4030*201705101* &gt;&gt; 2017-05-10-SliceDisagreementCheck.txt</v>
      </c>
      <c r="AE29" s="148" t="str">
        <f t="shared" si="9"/>
        <v>start /low /b %USERPROFILE%\Documents\GitHub\eaglep3\Utilities\DownloadLogsFromS3.py --loco 4030 --day 2017-05-10</v>
      </c>
      <c r="AF29" s="1"/>
    </row>
    <row r="30" spans="1:32" x14ac:dyDescent="0.25">
      <c r="A30" s="31">
        <v>42865.331747685188</v>
      </c>
      <c r="B30" s="30" t="s">
        <v>569</v>
      </c>
      <c r="C30" s="30" t="s">
        <v>570</v>
      </c>
      <c r="D30" s="30" t="s">
        <v>49</v>
      </c>
      <c r="E30" s="30" t="s">
        <v>382</v>
      </c>
      <c r="F30" s="42">
        <v>0</v>
      </c>
      <c r="G30" s="42">
        <v>309</v>
      </c>
      <c r="H30" s="42">
        <v>35519</v>
      </c>
      <c r="I30" s="42">
        <v>36441</v>
      </c>
      <c r="J30" s="30" t="s">
        <v>383</v>
      </c>
      <c r="K30" s="42">
        <v>37575</v>
      </c>
      <c r="L30" s="134" t="s">
        <v>50</v>
      </c>
      <c r="M30" s="135">
        <f t="shared" si="0"/>
        <v>598.75199999999995</v>
      </c>
      <c r="N30" s="136" t="str">
        <f>VLOOKUP(C30,'Trips&amp;Operators'!$C$1:$G$99999,5,FALSE)</f>
        <v>YORK EDGAR</v>
      </c>
      <c r="O30" s="207" t="s">
        <v>385</v>
      </c>
      <c r="P30" s="137" t="s">
        <v>485</v>
      </c>
      <c r="Q30" s="30"/>
      <c r="R30" s="84" t="e">
        <f>IF(VLOOKUP(C30,'Train Runs'!$A$13:$AE$9930,1,1)=C30,VLOOKUP(C30,'Train Runs'!$A$13:$AE$9930,31,1),NA())</f>
        <v>#N/A</v>
      </c>
      <c r="S30" s="87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-05-10T06:26:24-0600',mode:absolute,to:'2017-05-10T09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0" s="89" t="str">
        <f t="shared" si="1"/>
        <v>"C:\Program Files (x86)\AstroGrep\AstroGrep.exe" /e /r /s /spath="%USERPROFILE%\AppData\Local\Temp\OnboardLogs" /stypes="*4026*201705101*"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4026</v>
      </c>
      <c r="V30" s="31">
        <f t="shared" si="3"/>
        <v>42865.581747685188</v>
      </c>
      <c r="W30" s="45" t="str">
        <f t="shared" si="4"/>
        <v>NW</v>
      </c>
      <c r="X30" s="45" t="str">
        <f t="shared" si="5"/>
        <v>KEEP</v>
      </c>
      <c r="Y30" s="99" t="str">
        <f t="shared" si="6"/>
        <v>echo {"issue":{"subject":"Wi-MAX data drop","project_id":79,"tracker_id":40,"status_id":1,"priority_id":2,"assigned_to_id":23,"start_date":"2017-05-10","description":"","custom_fields":[{"id":1,"name":"Subdivision","value":"NW"},{"id":4,"name":"Milepost","value":"3.7575"},{"id":17,"name":"Train ID","value":"809-10"},{"id":16,"name":"Locomotive ID","value":"4026"},{"id":130,"name":"Impact","value":""},{"id":150,"name":"Time of Event (Mountain Time)","value":"07:57:43"},{"id":151,"name":"Denver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/cygdrive/c/Users/stu/AppData/Local/Temp/OnboardLogs/RTDC4026 --include="*4026*201705101*"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"%USERPROFILE%\AppData\Local\Temp\OnboardLogs"\RTDC4026\*4026*201705101* &gt;&gt; 2017-05-10-SliceDisagreementCheck.txt</v>
      </c>
      <c r="AE30" s="148" t="str">
        <f t="shared" si="9"/>
        <v>start /low /b %USERPROFILE%\Documents\GitHub\eaglep3\Utilities\DownloadLogsFromS3.py --loco 4026 --day 2017-05-10</v>
      </c>
      <c r="AF30" s="1"/>
    </row>
    <row r="31" spans="1:32" x14ac:dyDescent="0.25">
      <c r="A31" s="31">
        <v>42865.750381944446</v>
      </c>
      <c r="B31" s="30" t="s">
        <v>569</v>
      </c>
      <c r="C31" s="30" t="s">
        <v>593</v>
      </c>
      <c r="D31" s="30" t="s">
        <v>49</v>
      </c>
      <c r="E31" s="30" t="s">
        <v>382</v>
      </c>
      <c r="F31" s="42">
        <v>0</v>
      </c>
      <c r="G31" s="42">
        <v>392</v>
      </c>
      <c r="H31" s="42">
        <v>46823</v>
      </c>
      <c r="I31" s="42">
        <v>47776</v>
      </c>
      <c r="J31" s="30" t="s">
        <v>383</v>
      </c>
      <c r="K31" s="42">
        <v>48761</v>
      </c>
      <c r="L31" s="134" t="s">
        <v>50</v>
      </c>
      <c r="M31" s="135">
        <f t="shared" si="0"/>
        <v>520.08000000000004</v>
      </c>
      <c r="N31" s="136" t="str">
        <f>VLOOKUP(C31,'Trips&amp;Operators'!$C$1:$G$99999,5,FALSE)</f>
        <v>CHANDLER KELVIN</v>
      </c>
      <c r="O31" s="207" t="s">
        <v>385</v>
      </c>
      <c r="P31" s="137" t="s">
        <v>485</v>
      </c>
      <c r="Q31" s="30"/>
      <c r="R31" s="84" t="e">
        <f>IF(VLOOKUP(C31,'Train Runs'!$A$13:$AE$9930,1,1)=C31,VLOOKUP(C31,'Train Runs'!$A$13:$AE$9930,31,1),NA())</f>
        <v>#N/A</v>
      </c>
      <c r="S31" s="87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-05-10T16:47:48-0600',mode:absolute,to:'2017-05-10T19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1" s="89" t="str">
        <f t="shared" si="1"/>
        <v>"C:\Program Files (x86)\AstroGrep\AstroGrep.exe" /e /r /s /spath="%USERPROFILE%\AppData\Local\Temp\OnboardLogs" /stypes="*4026*201705110*"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4026</v>
      </c>
      <c r="V31" s="31">
        <f t="shared" si="3"/>
        <v>42866.000381944446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{"issue":{"subject":"Wi-MAX data drop","project_id":79,"tracker_id":40,"status_id":1,"priority_id":2,"assigned_to_id":23,"start_date":"2017-05-10","description":"","custom_fields":[{"id":1,"name":"Subdivision","value":"NW"},{"id":4,"name":"Milepost","value":"4.8761"},{"id":17,"name":"Train ID","value":"835-10"},{"id":16,"name":"Locomotive ID","value":"4026"},{"id":130,"name":"Impact","value":""},{"id":150,"name":"Time of Event (Mountain Time)","value":"18:00:33"},{"id":151,"name":"Denver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/cygdrive/c/Users/stu/AppData/Local/Temp/OnboardLogs/RTDC4026 --include="*4026*201705110*"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"%USERPROFILE%\AppData\Local\Temp\OnboardLogs"\RTDC4026\*4026*201705110* &gt;&gt; 2017-05-10-SliceDisagreementCheck.txt</v>
      </c>
      <c r="AE31" s="148" t="str">
        <f t="shared" si="9"/>
        <v>start /low /b %USERPROFILE%\Documents\GitHub\eaglep3\Utilities\DownloadLogsFromS3.py --loco 4026 --day 2017-05-11</v>
      </c>
      <c r="AF31" s="1"/>
    </row>
    <row r="32" spans="1:32" x14ac:dyDescent="0.25">
      <c r="A32" s="31">
        <v>42865.685717592591</v>
      </c>
      <c r="B32" s="30" t="s">
        <v>564</v>
      </c>
      <c r="C32" s="30" t="s">
        <v>589</v>
      </c>
      <c r="D32" s="30" t="s">
        <v>49</v>
      </c>
      <c r="E32" s="30" t="s">
        <v>185</v>
      </c>
      <c r="F32" s="42">
        <v>0</v>
      </c>
      <c r="G32" s="42">
        <v>34</v>
      </c>
      <c r="H32" s="42">
        <v>656</v>
      </c>
      <c r="I32" s="42">
        <v>629</v>
      </c>
      <c r="J32" s="30" t="s">
        <v>186</v>
      </c>
      <c r="K32" s="42">
        <v>575</v>
      </c>
      <c r="L32" s="134" t="s">
        <v>51</v>
      </c>
      <c r="M32" s="135">
        <f t="shared" si="0"/>
        <v>28.512</v>
      </c>
      <c r="N32" s="136" t="str">
        <f>VLOOKUP(C32,'Trips&amp;Operators'!$C$1:$G$99999,5,FALSE)</f>
        <v>CHANDLER KELVIN</v>
      </c>
      <c r="O32" s="207" t="s">
        <v>184</v>
      </c>
      <c r="P32" s="137"/>
      <c r="Q32" s="30"/>
      <c r="R32" s="84" t="e">
        <f>IF(VLOOKUP(C32,'Train Runs'!$A$13:$AE$9930,1,1)=C32,VLOOKUP(C32,'Train Runs'!$A$13:$AE$9930,31,1),NA())</f>
        <v>#N/A</v>
      </c>
      <c r="S32" s="87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-05-10T15:09:15-0600',mode:absolute,to:'2017-05-10T17:27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2" s="89" t="str">
        <f t="shared" si="1"/>
        <v>"C:\Program Files (x86)\AstroGrep\AstroGrep.exe" /e /r /s /spath="%USERPROFILE%\AppData\Local\Temp\OnboardLogs" /stypes="*4025*201705102*"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4025</v>
      </c>
      <c r="V32" s="31">
        <f t="shared" si="3"/>
        <v>42865.935717592591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{"issue":{"subject":"","project_id":79,"tracker_id":40,"status_id":1,"priority_id":2,"assigned_to_id":23,"start_date":"2017-05-10","description":"","custom_fields":[{"id":1,"name":"Subdivision","value":"NW"},{"id":4,"name":"Milepost","value":"0.0575"},{"id":17,"name":"Train ID","value":"828-10"},{"id":16,"name":"Locomotive ID","value":"4025"},{"id":130,"name":"Impact","value":""},{"id":150,"name":"Time of Event (Mountain Time)","value":"16:27:26"},{"id":151,"name":"Denver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/cygdrive/c/Users/stu/AppData/Local/Temp/OnboardLogs/RTDC4025 --include="*4025*201705102*"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"%USERPROFILE%\AppData\Local\Temp\OnboardLogs"\RTDC4025\*4025*201705102* &gt;&gt; 2017-05-10-SliceDisagreementCheck.txt</v>
      </c>
      <c r="AE32" s="148" t="str">
        <f t="shared" si="9"/>
        <v>start /low /b %USERPROFILE%\Documents\GitHub\eaglep3\Utilities\DownloadLogsFromS3.py --loco 4025 --day 2017-05-10</v>
      </c>
      <c r="AF32" s="1"/>
    </row>
    <row r="33" spans="1:32" x14ac:dyDescent="0.25">
      <c r="A33" s="31">
        <v>42865.769074074073</v>
      </c>
      <c r="B33" s="30" t="s">
        <v>564</v>
      </c>
      <c r="C33" s="30" t="s">
        <v>596</v>
      </c>
      <c r="D33" s="30" t="s">
        <v>49</v>
      </c>
      <c r="E33" s="30" t="s">
        <v>185</v>
      </c>
      <c r="F33" s="42">
        <v>0</v>
      </c>
      <c r="G33" s="42">
        <v>35</v>
      </c>
      <c r="H33" s="42">
        <v>680</v>
      </c>
      <c r="I33" s="42">
        <v>649</v>
      </c>
      <c r="J33" s="30" t="s">
        <v>186</v>
      </c>
      <c r="K33" s="42">
        <v>575</v>
      </c>
      <c r="L33" s="134" t="s">
        <v>51</v>
      </c>
      <c r="M33" s="135">
        <f t="shared" si="0"/>
        <v>39.072000000000003</v>
      </c>
      <c r="N33" s="136" t="str">
        <f>VLOOKUP(C33,'Trips&amp;Operators'!$C$1:$G$99999,5,FALSE)</f>
        <v>CHANDLER KELVIN</v>
      </c>
      <c r="O33" s="207" t="s">
        <v>184</v>
      </c>
      <c r="P33" s="137"/>
      <c r="Q33" s="30"/>
      <c r="R33" s="84" t="e">
        <f>IF(VLOOKUP(C33,'Train Runs'!$A$13:$AE$9930,1,1)=C33,VLOOKUP(C33,'Train Runs'!$A$13:$AE$9930,31,1),NA())</f>
        <v>#N/A</v>
      </c>
      <c r="S33" s="87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-05-10T17:10:12-0600',mode:absolute,to:'2017-05-10T19:27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3" s="89" t="str">
        <f t="shared" si="1"/>
        <v>"C:\Program Files (x86)\AstroGrep\AstroGrep.exe" /e /r /s /spath="%USERPROFILE%\AppData\Local\Temp\OnboardLogs" /stypes="*4025*201705110*"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4025</v>
      </c>
      <c r="V33" s="31">
        <f t="shared" si="3"/>
        <v>42866.019074074073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{"issue":{"subject":"","project_id":79,"tracker_id":40,"status_id":1,"priority_id":2,"assigned_to_id":23,"start_date":"2017-05-10","description":"","custom_fields":[{"id":1,"name":"Subdivision","value":"NW"},{"id":4,"name":"Milepost","value":"0.0575"},{"id":17,"name":"Train ID","value":"836-10"},{"id":16,"name":"Locomotive ID","value":"4025"},{"id":130,"name":"Impact","value":""},{"id":150,"name":"Time of Event (Mountain Time)","value":"18:27:28"},{"id":151,"name":"Denver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/cygdrive/c/Users/stu/AppData/Local/Temp/OnboardLogs/RTDC4025 --include="*4025*201705110*"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"%USERPROFILE%\AppData\Local\Temp\OnboardLogs"\RTDC4025\*4025*201705110* &gt;&gt; 2017-05-10-SliceDisagreementCheck.txt</v>
      </c>
      <c r="AE33" s="148" t="str">
        <f t="shared" si="9"/>
        <v>start /low /b %USERPROFILE%\Documents\GitHub\eaglep3\Utilities\DownloadLogsFromS3.py --loco 4025 --day 2017-05-11</v>
      </c>
      <c r="AF33" s="1"/>
    </row>
    <row r="34" spans="1:32" x14ac:dyDescent="0.25">
      <c r="A34" s="31">
        <v>42865.608252314814</v>
      </c>
      <c r="B34" s="30" t="s">
        <v>426</v>
      </c>
      <c r="C34" s="30" t="s">
        <v>585</v>
      </c>
      <c r="D34" s="30" t="s">
        <v>49</v>
      </c>
      <c r="E34" s="30" t="s">
        <v>185</v>
      </c>
      <c r="F34" s="42">
        <v>0</v>
      </c>
      <c r="G34" s="42">
        <v>59</v>
      </c>
      <c r="H34" s="42">
        <v>58882</v>
      </c>
      <c r="I34" s="42">
        <v>58931</v>
      </c>
      <c r="J34" s="30" t="s">
        <v>186</v>
      </c>
      <c r="K34" s="42">
        <v>59048</v>
      </c>
      <c r="L34" s="134" t="s">
        <v>50</v>
      </c>
      <c r="M34" s="135">
        <f t="shared" si="0"/>
        <v>61.776000000000003</v>
      </c>
      <c r="N34" s="136" t="str">
        <f>VLOOKUP(C34,'Trips&amp;Operators'!$C$1:$G$99999,5,FALSE)</f>
        <v>MCREYNOLDS KYLE</v>
      </c>
      <c r="O34" s="207" t="s">
        <v>184</v>
      </c>
      <c r="P34" s="137"/>
      <c r="Q34" s="30"/>
      <c r="R34" s="84" t="e">
        <f>IF(VLOOKUP(C34,'Train Runs'!$A$13:$AE$9930,1,1)=C34,VLOOKUP(C34,'Train Runs'!$A$13:$AE$9930,31,1),NA())</f>
        <v>#N/A</v>
      </c>
      <c r="S34" s="87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-05-10T12:57:41-0600',mode:absolute,to:'2017-05-10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4" s="89" t="str">
        <f t="shared" si="1"/>
        <v>"C:\Program Files (x86)\AstroGrep\AstroGrep.exe" /e /r /s /spath="%USERPROFILE%\AppData\Local\Temp\OnboardLogs" /stypes="*4030*201705102*"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4030</v>
      </c>
      <c r="V34" s="31">
        <f t="shared" si="3"/>
        <v>42865.858252314814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{"issue":{"subject":"","project_id":79,"tracker_id":40,"status_id":1,"priority_id":2,"assigned_to_id":23,"start_date":"2017-05-10","description":"","custom_fields":[{"id":1,"name":"Subdivision","value":"NW"},{"id":4,"name":"Milepost","value":"5.9048"},{"id":17,"name":"Train ID","value":"823-10"},{"id":16,"name":"Locomotive ID","value":"4030"},{"id":130,"name":"Impact","value":""},{"id":150,"name":"Time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/cygdrive/c/Users/stu/AppData/Local/Temp/OnboardLogs/RTDC4030 --include="*4030*201705102*"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"%USERPROFILE%\AppData\Local\Temp\OnboardLogs"\RTDC4030\*4030*201705102* &gt;&gt; 2017-05-10-SliceDisagreementCheck.txt</v>
      </c>
      <c r="AE34" s="148" t="str">
        <f t="shared" si="9"/>
        <v>start /low /b %USERPROFILE%\Documents\GitHub\eaglep3\Utilities\DownloadLogsFromS3.py --loco 4030 --day 2017-05-10</v>
      </c>
      <c r="AF34" s="1"/>
    </row>
    <row r="35" spans="1:32" x14ac:dyDescent="0.25">
      <c r="A35" s="31">
        <v>42865.355243055557</v>
      </c>
      <c r="B35" s="30" t="s">
        <v>569</v>
      </c>
      <c r="C35" s="30" t="s">
        <v>572</v>
      </c>
      <c r="D35" s="30" t="s">
        <v>49</v>
      </c>
      <c r="E35" s="30" t="s">
        <v>382</v>
      </c>
      <c r="F35" s="42">
        <v>0</v>
      </c>
      <c r="G35" s="42">
        <v>166</v>
      </c>
      <c r="H35" s="42">
        <v>18625</v>
      </c>
      <c r="I35" s="42">
        <v>18860</v>
      </c>
      <c r="J35" s="30" t="s">
        <v>383</v>
      </c>
      <c r="K35" s="42">
        <v>18990</v>
      </c>
      <c r="L35" s="134" t="s">
        <v>50</v>
      </c>
      <c r="M35" s="135">
        <f t="shared" si="0"/>
        <v>68.64</v>
      </c>
      <c r="N35" s="136" t="str">
        <f>VLOOKUP(C35,'Trips&amp;Operators'!$C$1:$G$99999,5,FALSE)</f>
        <v>YORK EDGAR</v>
      </c>
      <c r="O35" s="207" t="s">
        <v>385</v>
      </c>
      <c r="P35" s="137" t="s">
        <v>1037</v>
      </c>
      <c r="Q35" s="30"/>
      <c r="R35" s="84" t="e">
        <f>IF(VLOOKUP(C35,'Train Runs'!$A$13:$AE$9930,1,1)=C35,VLOOKUP(C35,'Train Runs'!$A$13:$AE$9930,31,1),NA())</f>
        <v>#N/A</v>
      </c>
      <c r="S35" s="87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-05-10T07:25:59-0600',mode:absolute,to:'2017-05-10T09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5" s="89" t="str">
        <f t="shared" si="1"/>
        <v>"C:\Program Files (x86)\AstroGrep\AstroGrep.exe" /e /r /s /spath="%USERPROFILE%\AppData\Local\Temp\OnboardLogs" /stypes="*4026*201705101*" /stext=" 14:.+((SYSTEM_STATE.+slice.+state.+changed )|(ment ac)|(multiple cpu faults)|(system.+state.+changed )|(\[timeout)|(PRM\|1\|D)|(kpr)|(kdp)|(train st.+moving)|(\|lc)|(penalty))"</v>
      </c>
      <c r="U35" s="9" t="str">
        <f t="shared" si="2"/>
        <v>4026</v>
      </c>
      <c r="V35" s="31">
        <f t="shared" si="3"/>
        <v>42865.605243055557</v>
      </c>
      <c r="W35" s="45" t="str">
        <f t="shared" si="4"/>
        <v>Other</v>
      </c>
      <c r="X35" s="45" t="str">
        <f t="shared" si="5"/>
        <v>KEEP</v>
      </c>
      <c r="Y35" s="99" t="str">
        <f t="shared" si="6"/>
        <v>echo {"issue":{"subject":"Cut fuse at NW0190RH 20-2T 2N","project_id":79,"tracker_id":40,"status_id":1,"priority_id":2,"assigned_to_id":23,"start_date":"2017-05-10","description":"08:30:50 - NW0190RH 20-2T 2N cycled a few times between 50 and 0, do logs tell of anything unusual?","custom_fields":[{"id":1,"name":"Subdivision","value":"Other"},{"id":4,"name":"Milepost","value":"1.899"},{"id":17,"name":"Train ID","value":"903-10"},{"id":16,"name":"Locomotive ID","value":"4026"},{"id":130,"name":"Impact","value":"Enforcement"},{"id":150,"name":"Time of Event (Mountain Time)","value":"08:31:33"},{"id":151,"name":"Denver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5" s="162" t="s">
        <v>1036</v>
      </c>
      <c r="AA35" s="47" t="s">
        <v>124</v>
      </c>
      <c r="AB35" s="47" t="s">
        <v>129</v>
      </c>
      <c r="AC35" s="118" t="str">
        <f t="shared" si="7"/>
        <v>grep -hrE -A400 "Enforcement Action" /cygdrive/c/Users/stu/AppData/Local/Temp/OnboardLogs/RTDC4026 --include="*4026*201705101*"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"%USERPROFILE%\AppData\Local\Temp\OnboardLogs"\RTDC4026\*4026*201705101* &gt;&gt; 2017-05-10-SliceDisagreementCheck.txt</v>
      </c>
      <c r="AE35" s="148" t="str">
        <f t="shared" si="9"/>
        <v>start /low /b %USERPROFILE%\Documents\GitHub\eaglep3\Utilities\DownloadLogsFromS3.py --loco 4026 --day 2017-05-10</v>
      </c>
      <c r="AF35" s="1"/>
    </row>
    <row r="36" spans="1:32" x14ac:dyDescent="0.25">
      <c r="A36" s="31">
        <v>42865.44153935185</v>
      </c>
      <c r="B36" s="30" t="s">
        <v>575</v>
      </c>
      <c r="C36" s="30" t="s">
        <v>576</v>
      </c>
      <c r="D36" s="30" t="s">
        <v>49</v>
      </c>
      <c r="E36" s="30" t="s">
        <v>185</v>
      </c>
      <c r="F36" s="42">
        <v>0</v>
      </c>
      <c r="G36" s="42">
        <v>38</v>
      </c>
      <c r="H36" s="42">
        <v>111</v>
      </c>
      <c r="I36" s="42">
        <v>75</v>
      </c>
      <c r="J36" s="30" t="s">
        <v>186</v>
      </c>
      <c r="K36" s="42">
        <v>1</v>
      </c>
      <c r="L36" s="134" t="s">
        <v>51</v>
      </c>
      <c r="M36" s="135">
        <f t="shared" si="0"/>
        <v>39.072000000000003</v>
      </c>
      <c r="N36" s="136" t="str">
        <f>VLOOKUP(C36,'Trips&amp;Operators'!$C$1:$G$99999,5,FALSE)</f>
        <v>DELGADO DIANAH</v>
      </c>
      <c r="O36" s="207" t="s">
        <v>184</v>
      </c>
      <c r="P36" s="137"/>
      <c r="Q36" s="30"/>
      <c r="R36" s="84" t="e">
        <f>IF(VLOOKUP(C36,'Train Runs'!$A$13:$AE$9930,1,1)=C36,VLOOKUP(C36,'Train Runs'!$A$13:$AE$9930,31,1),NA())</f>
        <v>#N/A</v>
      </c>
      <c r="S36" s="87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-05-10T09:12:33-0600',mode:absolute,to:'2017-05-10T11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6" s="89" t="str">
        <f t="shared" si="1"/>
        <v>"C:\Program Files (x86)\AstroGrep\AstroGrep.exe" /e /r /s /spath="%USERPROFILE%\AppData\Local\Temp\OnboardLogs" /stypes="*4015*201705101*" /stext=" 16:.+((SYSTEM_STATE.+slice.+state.+changed )|(ment ac)|(multiple cpu faults)|(system.+state.+changed )|(\[timeout)|(PRM\|1\|D)|(kpr)|(kdp)|(train st.+moving)|(\|lc)|(penalty))"</v>
      </c>
      <c r="U36" s="9" t="str">
        <f t="shared" si="2"/>
        <v>4015</v>
      </c>
      <c r="V36" s="31">
        <f t="shared" si="3"/>
        <v>42865.69153935185</v>
      </c>
      <c r="W36" s="45" t="str">
        <f t="shared" si="4"/>
        <v>Other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{"issue":{"subject":"","project_id":79,"tracker_id":40,"status_id":1,"priority_id":2,"assigned_to_id":23,"start_date":"2017-05-10","description":"","custom_fields":[{"id":1,"name":"Subdivision","value":"Other"},{"id":4,"name":"Milepost","value":"0.0001"},{"id":17,"name":"Train ID","value":"54-10"},{"id":16,"name":"Locomotive ID","value":"4015"},{"id":130,"name":"Impact","value":""},{"id":150,"name":"Time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/cygdrive/c/Users/stu/AppData/Local/Temp/OnboardLogs/RTDC4015 --include="*4015*201705101*"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"%USERPROFILE%\AppData\Local\Temp\OnboardLogs"\RTDC4015\*4015*201705101* &gt;&gt; 2017-05-10-SliceDisagreementCheck.txt</v>
      </c>
      <c r="AE36" s="148" t="str">
        <f t="shared" si="9"/>
        <v>start /low /b %USERPROFILE%\Documents\GitHub\eaglep3\Utilities\DownloadLogsFromS3.py --loco 4015 --day 2017-05-10</v>
      </c>
      <c r="AF36" s="1"/>
    </row>
    <row r="37" spans="1:32" x14ac:dyDescent="0.25">
      <c r="A37" s="31">
        <v>42865.730138888888</v>
      </c>
      <c r="B37" s="30" t="s">
        <v>575</v>
      </c>
      <c r="C37" s="30" t="s">
        <v>591</v>
      </c>
      <c r="D37" s="30" t="s">
        <v>49</v>
      </c>
      <c r="E37" s="30" t="s">
        <v>185</v>
      </c>
      <c r="F37" s="42">
        <v>0</v>
      </c>
      <c r="G37" s="42">
        <v>20</v>
      </c>
      <c r="H37" s="42">
        <v>44</v>
      </c>
      <c r="I37" s="42">
        <v>21</v>
      </c>
      <c r="J37" s="30" t="s">
        <v>186</v>
      </c>
      <c r="K37" s="42">
        <v>1</v>
      </c>
      <c r="L37" s="134" t="s">
        <v>51</v>
      </c>
      <c r="M37" s="135">
        <f t="shared" si="0"/>
        <v>10.56</v>
      </c>
      <c r="N37" s="136" t="str">
        <f>VLOOKUP(C37,'Trips&amp;Operators'!$C$1:$G$99999,5,FALSE)</f>
        <v>STORY SAMANTHA</v>
      </c>
      <c r="O37" s="207" t="s">
        <v>184</v>
      </c>
      <c r="P37" s="137"/>
      <c r="Q37" s="30"/>
      <c r="R37" s="84" t="e">
        <f>IF(VLOOKUP(C37,'Train Runs'!$A$13:$AE$9930,1,1)=C37,VLOOKUP(C37,'Train Runs'!$A$13:$AE$9930,31,1),NA())</f>
        <v>#N/A</v>
      </c>
      <c r="S37" s="87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-05-10T16:13:45-0600',mode:absolute,to:'2017-05-10T18:31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89" t="str">
        <f t="shared" si="1"/>
        <v>"C:\Program Files (x86)\AstroGrep\AstroGrep.exe" /e /r /s /spath="%USERPROFILE%\AppData\Local\Temp\OnboardLogs" /stypes="*4015*201705102*"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4015</v>
      </c>
      <c r="V37" s="31">
        <f t="shared" si="3"/>
        <v>42865.980138888888</v>
      </c>
      <c r="W37" s="45" t="str">
        <f t="shared" si="4"/>
        <v>Other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{"issue":{"subject":"","project_id":79,"tracker_id":40,"status_id":1,"priority_id":2,"assigned_to_id":23,"start_date":"2017-05-10","description":"","custom_fields":[{"id":1,"name":"Subdivision","value":"Other"},{"id":4,"name":"Milepost","value":"0.0001"},{"id":17,"name":"Train ID","value":"66-10"},{"id":16,"name":"Locomotive ID","value":"4015"},{"id":130,"name":"Impact","value":""},{"id":150,"name":"Time of Event (Mountain Time)","value":"17:31:24"},{"id":151,"name":"Denver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/cygdrive/c/Users/stu/AppData/Local/Temp/OnboardLogs/RTDC4015 --include="*4015*201705102*"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"%USERPROFILE%\AppData\Local\Temp\OnboardLogs"\RTDC4015\*4015*201705102* &gt;&gt; 2017-05-10-SliceDisagreementCheck.txt</v>
      </c>
      <c r="AE37" s="148" t="str">
        <f t="shared" si="9"/>
        <v>start /low /b %USERPROFILE%\Documents\GitHub\eaglep3\Utilities\DownloadLogsFromS3.py --loco 4015 --day 2017-05-10</v>
      </c>
      <c r="AF37" s="1"/>
    </row>
    <row r="38" spans="1:32" x14ac:dyDescent="0.25">
      <c r="A38" s="31">
        <v>42865.803148148145</v>
      </c>
      <c r="B38" s="30" t="s">
        <v>425</v>
      </c>
      <c r="C38" s="30" t="s">
        <v>597</v>
      </c>
      <c r="D38" s="30" t="s">
        <v>49</v>
      </c>
      <c r="E38" s="30" t="s">
        <v>185</v>
      </c>
      <c r="F38" s="42">
        <v>0</v>
      </c>
      <c r="G38" s="42">
        <v>43</v>
      </c>
      <c r="H38" s="42">
        <v>675</v>
      </c>
      <c r="I38" s="42">
        <v>654</v>
      </c>
      <c r="J38" s="30" t="s">
        <v>186</v>
      </c>
      <c r="K38" s="42">
        <v>575</v>
      </c>
      <c r="L38" s="134" t="s">
        <v>51</v>
      </c>
      <c r="M38" s="135">
        <f t="shared" si="0"/>
        <v>41.712000000000003</v>
      </c>
      <c r="N38" s="136" t="str">
        <f>VLOOKUP(C38,'Trips&amp;Operators'!$C$1:$G$99999,5,FALSE)</f>
        <v>SULLIVAN BRANDON</v>
      </c>
      <c r="O38" s="207" t="s">
        <v>184</v>
      </c>
      <c r="P38" s="137"/>
      <c r="Q38" s="30"/>
      <c r="R38" s="84" t="e">
        <f>IF(VLOOKUP(C38,'Train Runs'!$A$13:$AE$9930,1,1)=C38,VLOOKUP(C38,'Train Runs'!$A$13:$AE$9930,31,1),NA())</f>
        <v>#N/A</v>
      </c>
      <c r="S38" s="87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-05-10T18:03:03-0600',mode:absolute,to:'2017-05-10T20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89" t="str">
        <f t="shared" si="1"/>
        <v>"C:\Program Files (x86)\AstroGrep\AstroGrep.exe" /e /r /s /spath="%USERPROFILE%\AppData\Local\Temp\OnboardLogs" /stypes="*4013*201705110*" /stext=" 01:.+((SYSTEM_STATE.+slice.+state.+changed )|(ment ac)|(multiple cpu faults)|(system.+state.+changed )|(\[timeout)|(PRM\|1\|D)|(kpr)|(kdp)|(train st.+moving)|(\|lc)|(penalty))"</v>
      </c>
      <c r="U38" s="9" t="str">
        <f t="shared" si="2"/>
        <v>4013</v>
      </c>
      <c r="V38" s="31">
        <f t="shared" si="3"/>
        <v>42866.053148148145</v>
      </c>
      <c r="W38" s="45" t="str">
        <f t="shared" si="4"/>
        <v>Other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{"issue":{"subject":"","project_id":79,"tracker_id":40,"status_id":1,"priority_id":2,"assigned_to_id":23,"start_date":"2017-05-10","description":"","custom_fields":[{"id":1,"name":"Subdivision","value":"Other"},{"id":4,"name":"Milepost","value":"0.0575"},{"id":17,"name":"Train ID","value":"76-10"},{"id":16,"name":"Locomotive ID","value":"4013"},{"id":130,"name":"Impact","value":""},{"id":150,"name":"Time of Event (Mountain Time)","value":"19:16:32"},{"id":151,"name":"Denver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/cygdrive/c/Users/stu/AppData/Local/Temp/OnboardLogs/RTDC4013 --include="*4013*201705110*"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"%USERPROFILE%\AppData\Local\Temp\OnboardLogs"\RTDC4013\*4013*201705110* &gt;&gt; 2017-05-10-SliceDisagreementCheck.txt</v>
      </c>
      <c r="AE38" s="148" t="str">
        <f t="shared" si="9"/>
        <v>start /low /b %USERPROFILE%\Documents\GitHub\eaglep3\Utilities\DownloadLogsFromS3.py --loco 4013 --day 2017-05-11</v>
      </c>
      <c r="AF38" s="1"/>
    </row>
    <row r="39" spans="1:32" x14ac:dyDescent="0.25">
      <c r="A39" s="31">
        <v>42865.488506944443</v>
      </c>
      <c r="B39" s="30" t="s">
        <v>575</v>
      </c>
      <c r="C39" s="30" t="s">
        <v>579</v>
      </c>
      <c r="D39" s="30" t="s">
        <v>49</v>
      </c>
      <c r="E39" s="30" t="s">
        <v>185</v>
      </c>
      <c r="F39" s="42">
        <v>0</v>
      </c>
      <c r="G39" s="42">
        <v>16</v>
      </c>
      <c r="H39" s="42">
        <v>861</v>
      </c>
      <c r="I39" s="42">
        <v>848</v>
      </c>
      <c r="J39" s="30" t="s">
        <v>186</v>
      </c>
      <c r="K39" s="42">
        <v>826</v>
      </c>
      <c r="L39" s="134" t="s">
        <v>51</v>
      </c>
      <c r="M39" s="135">
        <f t="shared" si="0"/>
        <v>11.616</v>
      </c>
      <c r="N39" s="136" t="str">
        <f>VLOOKUP(C39,'Trips&amp;Operators'!$C$1:$G$99999,5,FALSE)</f>
        <v>BIRENBAUM THOMAS</v>
      </c>
      <c r="O39" s="207" t="s">
        <v>184</v>
      </c>
      <c r="P39" s="137"/>
      <c r="Q39" s="30"/>
      <c r="R39" s="84" t="e">
        <f>IF(VLOOKUP(C39,'Train Runs'!$A$13:$AE$9930,1,1)=C39,VLOOKUP(C39,'Train Runs'!$A$13:$AE$9930,31,1),NA())</f>
        <v>#N/A</v>
      </c>
      <c r="S39" s="87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-05-10T10:32:39-0600',mode:absolute,to:'2017-05-10T12:43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9" s="89" t="str">
        <f t="shared" si="1"/>
        <v>"C:\Program Files (x86)\AstroGrep\AstroGrep.exe" /e /r /s /spath="%USERPROFILE%\AppData\Local\Temp\OnboardLogs" /stypes="*4015*201705101*" /stext=" 17:.+((SYSTEM_STATE.+slice.+state.+changed )|(ment ac)|(multiple cpu faults)|(system.+state.+changed )|(\[timeout)|(PRM\|1\|D)|(kpr)|(kdp)|(train st.+moving)|(\|lc)|(penalty))"</v>
      </c>
      <c r="U39" s="9" t="str">
        <f t="shared" si="2"/>
        <v>4015</v>
      </c>
      <c r="V39" s="31">
        <f t="shared" si="3"/>
        <v>42865.738506944443</v>
      </c>
      <c r="W39" s="45" t="str">
        <f t="shared" si="4"/>
        <v>Other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{"issue":{"subject":"","project_id":79,"tracker_id":40,"status_id":1,"priority_id":2,"assigned_to_id":23,"start_date":"2017-05-10","description":"","custom_fields":[{"id":1,"name":"Subdivision","value":"Other"},{"id":4,"name":"Milepost","value":"0.0826"},{"id":17,"name":"Train ID","value":"58-10"},{"id":16,"name":"Locomotive ID","value":"4015"},{"id":130,"name":"Impact","value":""},{"id":150,"name":"Time of Event (Mountain Time)","value":"11:43:27"},{"id":151,"name":"Denver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/cygdrive/c/Users/stu/AppData/Local/Temp/OnboardLogs/RTDC4015 --include="*4015*201705101*"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"%USERPROFILE%\AppData\Local\Temp\OnboardLogs"\RTDC4015\*4015*201705101* &gt;&gt; 2017-05-10-SliceDisagreementCheck.txt</v>
      </c>
      <c r="AE39" s="148" t="str">
        <f t="shared" si="9"/>
        <v>start /low /b %USERPROFILE%\Documents\GitHub\eaglep3\Utilities\DownloadLogsFromS3.py --loco 4015 --day 2017-05-10</v>
      </c>
      <c r="AF39" s="1"/>
    </row>
    <row r="40" spans="1:32" x14ac:dyDescent="0.25">
      <c r="A40" s="31">
        <v>42865.749768518515</v>
      </c>
      <c r="B40" s="30" t="s">
        <v>384</v>
      </c>
      <c r="C40" s="30" t="s">
        <v>592</v>
      </c>
      <c r="D40" s="30" t="s">
        <v>49</v>
      </c>
      <c r="E40" s="30" t="s">
        <v>185</v>
      </c>
      <c r="F40" s="42">
        <v>0</v>
      </c>
      <c r="G40" s="42">
        <v>50</v>
      </c>
      <c r="H40" s="42">
        <v>1010</v>
      </c>
      <c r="I40" s="42">
        <v>958</v>
      </c>
      <c r="J40" s="30" t="s">
        <v>186</v>
      </c>
      <c r="K40" s="42">
        <v>826</v>
      </c>
      <c r="L40" s="134" t="s">
        <v>51</v>
      </c>
      <c r="M40" s="135">
        <f t="shared" si="0"/>
        <v>69.695999999999998</v>
      </c>
      <c r="N40" s="136" t="str">
        <f>VLOOKUP(C40,'Trips&amp;Operators'!$C$1:$G$99999,5,FALSE)</f>
        <v>BROWN JACOB</v>
      </c>
      <c r="O40" s="207" t="s">
        <v>184</v>
      </c>
      <c r="P40" s="137"/>
      <c r="Q40" s="30"/>
      <c r="R40" s="84" t="e">
        <f>IF(VLOOKUP(C40,'Train Runs'!$A$13:$AE$9930,1,1)=C40,VLOOKUP(C40,'Train Runs'!$A$13:$AE$9930,31,1),NA())</f>
        <v>#N/A</v>
      </c>
      <c r="S40" s="87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-05-10T16:38:30-0600',mode:absolute,to:'2017-05-10T18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0" s="89" t="str">
        <f t="shared" si="1"/>
        <v>"C:\Program Files (x86)\AstroGrep\AstroGrep.exe" /e /r /s /spath="%USERPROFILE%\AppData\Local\Temp\OnboardLogs" /stypes="*4051*201705102*"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4051</v>
      </c>
      <c r="V40" s="31">
        <f t="shared" si="3"/>
        <v>42865.999768518515</v>
      </c>
      <c r="W40" s="45" t="str">
        <f t="shared" si="4"/>
        <v>Other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{"issue":{"subject":"","project_id":79,"tracker_id":40,"status_id":1,"priority_id":2,"assigned_to_id":23,"start_date":"2017-05-10","description":"","custom_fields":[{"id":1,"name":"Subdivision","value":"Other"},{"id":4,"name":"Milepost","value":"0.0826"},{"id":17,"name":"Train ID","value":"70-10"},{"id":16,"name":"Locomotive ID","value":"4051"},{"id":130,"name":"Impact","value":""},{"id":150,"name":"Time of Event (Mountain Time)","value":"17:59:40"},{"id":151,"name":"Denver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/cygdrive/c/Users/stu/AppData/Local/Temp/OnboardLogs/RTDC4051 --include="*4051*201705102*"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"%USERPROFILE%\AppData\Local\Temp\OnboardLogs"\RTDC4051\*4051*201705102* &gt;&gt; 2017-05-10-SliceDisagreementCheck.txt</v>
      </c>
      <c r="AE40" s="148" t="str">
        <f t="shared" si="9"/>
        <v>start /low /b %USERPROFILE%\Documents\GitHub\eaglep3\Utilities\DownloadLogsFromS3.py --loco 4051 --day 2017-05-10</v>
      </c>
      <c r="AF40" s="1"/>
    </row>
    <row r="41" spans="1:32" x14ac:dyDescent="0.25">
      <c r="A41" s="31">
        <v>42865.75886574074</v>
      </c>
      <c r="B41" s="30" t="s">
        <v>594</v>
      </c>
      <c r="C41" s="30" t="s">
        <v>595</v>
      </c>
      <c r="D41" s="30" t="s">
        <v>49</v>
      </c>
      <c r="E41" s="30" t="s">
        <v>185</v>
      </c>
      <c r="F41" s="42">
        <v>0</v>
      </c>
      <c r="G41" s="42">
        <v>42</v>
      </c>
      <c r="H41" s="42">
        <v>967</v>
      </c>
      <c r="I41" s="42">
        <v>937</v>
      </c>
      <c r="J41" s="30" t="s">
        <v>186</v>
      </c>
      <c r="K41" s="42">
        <v>839</v>
      </c>
      <c r="L41" s="134" t="s">
        <v>51</v>
      </c>
      <c r="M41" s="135">
        <f t="shared" si="0"/>
        <v>51.744</v>
      </c>
      <c r="N41" s="136" t="str">
        <f>VLOOKUP(C41,'Trips&amp;Operators'!$C$1:$G$99999,5,FALSE)</f>
        <v>FORTUNATO FRANK</v>
      </c>
      <c r="O41" s="207" t="s">
        <v>184</v>
      </c>
      <c r="P41" s="137"/>
      <c r="Q41" s="30"/>
      <c r="R41" s="84" t="e">
        <f>IF(VLOOKUP(C41,'Train Runs'!$A$13:$AE$9930,1,1)=C41,VLOOKUP(C41,'Train Runs'!$A$13:$AE$9930,31,1),NA())</f>
        <v>#N/A</v>
      </c>
      <c r="S41" s="87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-05-10T16:39:35-0600',mode:absolute,to:'2017-05-10T19:12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1" s="89" t="str">
        <f t="shared" si="1"/>
        <v>"C:\Program Files (x86)\AstroGrep\AstroGrep.exe" /e /r /s /spath="%USERPROFILE%\AppData\Local\Temp\OnboardLogs" /stypes="*4001*201705110*" /stext=" 00:.+((SYSTEM_STATE.+slice.+state.+changed )|(ment ac)|(multiple cpu faults)|(system.+state.+changed )|(\[timeout)|(PRM\|1\|D)|(kpr)|(kdp)|(train st.+moving)|(\|lc)|(penalty))"</v>
      </c>
      <c r="U41" s="9" t="str">
        <f t="shared" si="2"/>
        <v>4001</v>
      </c>
      <c r="V41" s="31">
        <f t="shared" si="3"/>
        <v>42866.00886574074</v>
      </c>
      <c r="W41" s="45" t="str">
        <f t="shared" si="4"/>
        <v>Other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{"issue":{"subject":"","project_id":79,"tracker_id":40,"status_id":1,"priority_id":2,"assigned_to_id":23,"start_date":"2017-05-10","description":"","custom_fields":[{"id":1,"name":"Subdivision","value":"Other"},{"id":4,"name":"Milepost","value":"0.0839"},{"id":17,"name":"Train ID","value":"72-10"},{"id":16,"name":"Locomotive ID","value":"4001"},{"id":130,"name":"Impact","value":""},{"id":150,"name":"Time of Event (Mountain Time)","value":"18:12:46"},{"id":151,"name":"Denver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/cygdrive/c/Users/stu/AppData/Local/Temp/OnboardLogs/RTDC4001 --include="*4001*201705110*"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"%USERPROFILE%\AppData\Local\Temp\OnboardLogs"\RTDC4001\*4001*201705110* &gt;&gt; 2017-05-10-SliceDisagreementCheck.txt</v>
      </c>
      <c r="AE41" s="148" t="str">
        <f t="shared" si="9"/>
        <v>start /low /b %USERPROFILE%\Documents\GitHub\eaglep3\Utilities\DownloadLogsFromS3.py --loco 4001 --day 2017-05-11</v>
      </c>
      <c r="AF41" s="1"/>
    </row>
    <row r="42" spans="1:32" x14ac:dyDescent="0.25">
      <c r="A42" s="31">
        <v>42865.759293981479</v>
      </c>
      <c r="B42" s="30" t="s">
        <v>594</v>
      </c>
      <c r="C42" s="30" t="s">
        <v>595</v>
      </c>
      <c r="D42" s="30" t="s">
        <v>49</v>
      </c>
      <c r="E42" s="30" t="s">
        <v>185</v>
      </c>
      <c r="F42" s="42">
        <v>0</v>
      </c>
      <c r="G42" s="42">
        <v>28</v>
      </c>
      <c r="H42" s="42">
        <v>856</v>
      </c>
      <c r="I42" s="42">
        <v>0</v>
      </c>
      <c r="J42" s="30" t="s">
        <v>186</v>
      </c>
      <c r="K42" s="42">
        <v>839</v>
      </c>
      <c r="L42" s="134" t="s">
        <v>51</v>
      </c>
      <c r="M42" s="135">
        <f t="shared" si="0"/>
        <v>-442.99200000000002</v>
      </c>
      <c r="N42" s="136" t="str">
        <f>VLOOKUP(C42,'Trips&amp;Operators'!$C$1:$G$99999,5,FALSE)</f>
        <v>FORTUNATO FRANK</v>
      </c>
      <c r="O42" s="207" t="s">
        <v>184</v>
      </c>
      <c r="P42" s="137"/>
      <c r="Q42" s="30"/>
      <c r="R42" s="84" t="e">
        <f>IF(VLOOKUP(C42,'Train Runs'!$A$13:$AE$9930,1,1)=C42,VLOOKUP(C42,'Train Runs'!$A$13:$AE$9930,31,1),NA())</f>
        <v>#N/A</v>
      </c>
      <c r="S42" s="87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-05-10T16:39:35-0600',mode:absolute,to:'2017-05-10T19:12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2" s="89" t="str">
        <f t="shared" si="1"/>
        <v>"C:\Program Files (x86)\AstroGrep\AstroGrep.exe" /e /r /s /spath="%USERPROFILE%\AppData\Local\Temp\OnboardLogs" /stypes="*4001*201705110*" /stext=" 00:.+((SYSTEM_STATE.+slice.+state.+changed )|(ment ac)|(multiple cpu faults)|(system.+state.+changed )|(\[timeout)|(PRM\|1\|D)|(kpr)|(kdp)|(train st.+moving)|(\|lc)|(penalty))"</v>
      </c>
      <c r="U42" s="9" t="str">
        <f t="shared" si="2"/>
        <v>4001</v>
      </c>
      <c r="V42" s="31">
        <f t="shared" si="3"/>
        <v>42866.009293981479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{"issue":{"subject":"","project_id":79,"tracker_id":40,"status_id":1,"priority_id":2,"assigned_to_id":23,"start_date":"2017-05-10","description":"","custom_fields":[{"id":1,"name":"Subdivision","value":"Other"},{"id":4,"name":"Milepost","value":"0.0839"},{"id":17,"name":"Train ID","value":"72-10"},{"id":16,"name":"Locomotive ID","value":"4001"},{"id":130,"name":"Impact","value":""},{"id":150,"name":"Time of Event (Mountain Time)","value":"18:13:23"},{"id":151,"name":"Denver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/cygdrive/c/Users/stu/AppData/Local/Temp/OnboardLogs/RTDC4001 --include="*4001*201705110*"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"%USERPROFILE%\AppData\Local\Temp\OnboardLogs"\RTDC4001\*4001*201705110* &gt;&gt; 2017-05-10-SliceDisagreementCheck.txt</v>
      </c>
      <c r="AE42" s="148" t="str">
        <f t="shared" si="9"/>
        <v>start /low /b %USERPROFILE%\Documents\GitHub\eaglep3\Utilities\DownloadLogsFromS3.py --loco 4001 --day 2017-05-11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</sheetData>
  <autoFilter ref="A6:AC64">
    <sortState ref="A7:AC64">
      <sortCondition ref="W7:W42"/>
      <sortCondition ref="E7:E42"/>
      <sortCondition ref="K7:K42"/>
      <sortCondition ref="F7:F42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5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I3" sqref="I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2017-05-10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187</v>
      </c>
      <c r="B3" s="42" t="str">
        <f>A3&amp;"-"&amp;IF(DAY(Variables!$A$2)&lt;10,0,"")&amp;DAY(Variables!$A$2)</f>
        <v>187-10</v>
      </c>
      <c r="C3" s="138"/>
      <c r="D3" s="156"/>
      <c r="E3" s="30"/>
      <c r="F3" s="21" t="str">
        <f>VLOOKUP(B3,'Trips&amp;Operators'!$C$2:$E$10000,3,FALSE)</f>
        <v>CLARK</v>
      </c>
      <c r="G3" s="21" t="str">
        <f>VLOOKUP(B3,'Trips&amp;Operators'!$C$1:$F$10000,4,FALSE)</f>
        <v>KATHLEEN</v>
      </c>
      <c r="H3" s="29" t="str">
        <f>VLOOKUP(B3,'Trips&amp;Operators'!$C$1:$H$10000,5,FALSE)</f>
        <v>CLARK KATHLEEN</v>
      </c>
      <c r="I3" s="45" t="str">
        <f t="shared" ref="I3:I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22187-10%22)),sort:!(Time.ISO8601,asc))</v>
      </c>
      <c r="J3" s="30" t="str">
        <f>VLOOKUP(B3,'Train Runs'!$A$13:$A$99927,1,FALSE)</f>
        <v>187-10</v>
      </c>
    </row>
    <row r="4" spans="1:10" x14ac:dyDescent="0.25">
      <c r="A4" s="190"/>
      <c r="B4" s="42" t="str">
        <f>A4&amp;"-"&amp;IF(DAY(Variables!$A$2)&lt;10,0,"")&amp;DAY(Variables!$A$2)</f>
        <v>-10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Runs'!$A$13:$A$99927,1,FALSE)</f>
        <v>#N/A</v>
      </c>
    </row>
    <row r="5" spans="1:10" x14ac:dyDescent="0.25">
      <c r="A5" s="190"/>
      <c r="B5" s="42" t="str">
        <f>A5&amp;"-"&amp;IF(DAY(Variables!$A$2)&lt;10,0,"")&amp;DAY(Variables!$A$2)</f>
        <v>-10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Runs'!$A$13:$A$99927,1,FALSE)</f>
        <v>#N/A</v>
      </c>
    </row>
    <row r="6" spans="1:10" x14ac:dyDescent="0.25">
      <c r="A6" s="190"/>
      <c r="B6" s="42" t="str">
        <f>A6&amp;"-"&amp;IF(DAY(Variables!$A$2)&lt;10,0,"")&amp;DAY(Variables!$A$2)</f>
        <v>-10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Runs'!$A$13:$A$99927,1,FALSE)</f>
        <v>#N/A</v>
      </c>
    </row>
    <row r="7" spans="1:10" x14ac:dyDescent="0.25">
      <c r="A7" s="190"/>
      <c r="B7" s="42" t="str">
        <f>A7&amp;"-"&amp;IF(DAY(Variables!$A$2)&lt;10,0,"")&amp;DAY(Variables!$A$2)</f>
        <v>-10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Runs'!$A$13:$A$99927,1,FALSE)</f>
        <v>#N/A</v>
      </c>
    </row>
    <row r="8" spans="1:10" x14ac:dyDescent="0.25">
      <c r="A8" s="190"/>
      <c r="B8" s="42" t="str">
        <f>A8&amp;"-"&amp;IF(DAY(Variables!$A$2)&lt;10,0,"")&amp;DAY(Variables!$A$2)</f>
        <v>-10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Runs'!$A$13:$A$99927,1,FALSE)</f>
        <v>#N/A</v>
      </c>
    </row>
    <row r="9" spans="1:10" x14ac:dyDescent="0.25">
      <c r="A9" s="190"/>
      <c r="B9" s="42"/>
      <c r="C9" s="138"/>
      <c r="D9" s="156"/>
      <c r="E9" s="30"/>
      <c r="F9" s="21"/>
      <c r="G9" s="21"/>
      <c r="H9" s="29"/>
      <c r="I9" s="45"/>
      <c r="J9" s="30"/>
    </row>
    <row r="10" spans="1:10" x14ac:dyDescent="0.25">
      <c r="A10" s="190"/>
      <c r="B10" s="42"/>
      <c r="C10" s="138"/>
      <c r="D10" s="156"/>
      <c r="E10" s="30"/>
      <c r="F10" s="21"/>
      <c r="G10" s="21"/>
      <c r="H10" s="29"/>
      <c r="I10" s="45"/>
      <c r="J10" s="30"/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 t="str">
        <f>A70&amp;"-"&amp;IF(DAY(Variables!$A$2)&lt;10,0,"")&amp;DAY(Variables!$A$2)</f>
        <v>-10</v>
      </c>
      <c r="C70" s="138"/>
      <c r="D70" s="156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5" t="str">
        <f t="shared" ref="I70:I79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0" s="30" t="e">
        <f>VLOOKUP(B70,'Train Runs'!$A$13:$A$99927,1,FALSE)</f>
        <v>#N/A</v>
      </c>
    </row>
    <row r="71" spans="1:10" x14ac:dyDescent="0.25">
      <c r="A71" s="190"/>
      <c r="B71" s="42" t="str">
        <f>A71&amp;"-"&amp;IF(DAY(Variables!$A$2)&lt;10,0,"")&amp;DAY(Variables!$A$2)</f>
        <v>-10</v>
      </c>
      <c r="C71" s="138"/>
      <c r="D71" s="156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1" s="30" t="e">
        <f>VLOOKUP(B71,'Train Runs'!$A$13:$A$99927,1,FALSE)</f>
        <v>#N/A</v>
      </c>
    </row>
    <row r="72" spans="1:10" x14ac:dyDescent="0.25">
      <c r="A72" s="190"/>
      <c r="B72" s="42" t="str">
        <f>A72&amp;"-"&amp;IF(DAY(Variables!$A$2)&lt;10,0,"")&amp;DAY(Variables!$A$2)</f>
        <v>-10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2" s="30" t="e">
        <f>VLOOKUP(B72,'Train Runs'!$A$13:$A$99927,1,FALSE)</f>
        <v>#N/A</v>
      </c>
    </row>
    <row r="73" spans="1:10" x14ac:dyDescent="0.25">
      <c r="A73" s="190"/>
      <c r="B73" s="42" t="str">
        <f>A73&amp;"-"&amp;IF(DAY(Variables!$A$2)&lt;10,0,"")&amp;DAY(Variables!$A$2)</f>
        <v>-10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3" s="30" t="e">
        <f>VLOOKUP(B73,'Train Runs'!$A$13:$A$99927,1,FALSE)</f>
        <v>#N/A</v>
      </c>
    </row>
    <row r="74" spans="1:10" x14ac:dyDescent="0.25">
      <c r="A74" s="190"/>
      <c r="B74" s="42" t="str">
        <f>A74&amp;"-"&amp;IF(DAY(Variables!$A$2)&lt;10,0,"")&amp;DAY(Variables!$A$2)</f>
        <v>-10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4" s="30" t="e">
        <f>VLOOKUP(B74,'Train Runs'!$A$13:$A$99927,1,FALSE)</f>
        <v>#N/A</v>
      </c>
    </row>
    <row r="75" spans="1:10" x14ac:dyDescent="0.25">
      <c r="A75" s="190"/>
      <c r="B75" s="42" t="str">
        <f>A75&amp;"-"&amp;IF(DAY(Variables!$A$2)&lt;10,0,"")&amp;DAY(Variables!$A$2)</f>
        <v>-10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5" s="30" t="e">
        <f>VLOOKUP(B75,'Train Runs'!$A$13:$A$99927,1,FALSE)</f>
        <v>#N/A</v>
      </c>
    </row>
    <row r="76" spans="1:10" x14ac:dyDescent="0.25">
      <c r="A76" s="190"/>
      <c r="B76" s="42" t="str">
        <f>A76&amp;"-"&amp;IF(DAY(Variables!$A$2)&lt;10,0,"")&amp;DAY(Variables!$A$2)</f>
        <v>-10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6" s="30" t="e">
        <f>VLOOKUP(B76,'Train Runs'!$A$13:$A$99927,1,FALSE)</f>
        <v>#N/A</v>
      </c>
    </row>
    <row r="77" spans="1:10" x14ac:dyDescent="0.25">
      <c r="A77" s="190"/>
      <c r="B77" s="42" t="str">
        <f>A77&amp;"-"&amp;IF(DAY(Variables!$A$2)&lt;10,0,"")&amp;DAY(Variables!$A$2)</f>
        <v>-10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7" s="30" t="e">
        <f>VLOOKUP(B77,'Train Runs'!$A$13:$A$99927,1,FALSE)</f>
        <v>#N/A</v>
      </c>
    </row>
    <row r="78" spans="1:10" x14ac:dyDescent="0.25">
      <c r="A78" s="190"/>
      <c r="B78" s="42" t="str">
        <f>A78&amp;"-"&amp;IF(DAY(Variables!$A$2)&lt;10,0,"")&amp;DAY(Variables!$A$2)</f>
        <v>-10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8" s="30" t="e">
        <f>VLOOKUP(B78,'Train Runs'!$A$13:$A$99927,1,FALSE)</f>
        <v>#N/A</v>
      </c>
    </row>
    <row r="79" spans="1:10" x14ac:dyDescent="0.25">
      <c r="A79" s="190"/>
      <c r="B79" s="42" t="str">
        <f>A79&amp;"-"&amp;IF(DAY(Variables!$A$2)&lt;10,0,"")&amp;DAY(Variables!$A$2)</f>
        <v>-10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9" s="30" t="e">
        <f>VLOOKUP(B79,'Train Runs'!$A$13:$A$99927,1,FALSE)</f>
        <v>#N/A</v>
      </c>
    </row>
  </sheetData>
  <autoFilter ref="A2:J7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42865.031400462962</v>
      </c>
      <c r="B2" s="20" t="s">
        <v>491</v>
      </c>
      <c r="C2" s="20" t="s">
        <v>502</v>
      </c>
      <c r="D2" s="141">
        <v>1800000</v>
      </c>
      <c r="E2" s="20" t="s">
        <v>445</v>
      </c>
      <c r="F2" s="20" t="s">
        <v>446</v>
      </c>
      <c r="G2" s="8" t="str">
        <f>E2&amp;" "&amp;F2</f>
        <v>CHANDLER KELVIN</v>
      </c>
    </row>
    <row r="3" spans="1:7" x14ac:dyDescent="0.25">
      <c r="A3" s="8">
        <v>42865.034675925926</v>
      </c>
      <c r="B3" s="20" t="s">
        <v>384</v>
      </c>
      <c r="C3" s="20" t="s">
        <v>503</v>
      </c>
      <c r="D3" s="141">
        <v>3130000</v>
      </c>
      <c r="E3" s="20" t="s">
        <v>452</v>
      </c>
      <c r="F3" s="20" t="s">
        <v>453</v>
      </c>
      <c r="G3" s="8" t="str">
        <f t="shared" ref="G3:G66" si="0">E3&amp;" "&amp;F3</f>
        <v>ZEWDU DEREJE</v>
      </c>
    </row>
    <row r="4" spans="1:7" x14ac:dyDescent="0.25">
      <c r="A4" s="8">
        <v>42865.0466087963</v>
      </c>
      <c r="B4" s="20" t="s">
        <v>440</v>
      </c>
      <c r="C4" s="20" t="s">
        <v>504</v>
      </c>
      <c r="D4" s="141">
        <v>1810000</v>
      </c>
      <c r="E4" s="20" t="s">
        <v>421</v>
      </c>
      <c r="F4" s="20" t="s">
        <v>193</v>
      </c>
      <c r="G4" s="8" t="str">
        <f t="shared" si="0"/>
        <v>NEWELL JAMES</v>
      </c>
    </row>
    <row r="5" spans="1:7" x14ac:dyDescent="0.25">
      <c r="A5" s="8">
        <v>42865.057812500003</v>
      </c>
      <c r="B5" s="20" t="s">
        <v>391</v>
      </c>
      <c r="C5" s="20" t="s">
        <v>505</v>
      </c>
      <c r="D5" s="141">
        <v>3030000</v>
      </c>
      <c r="E5" s="20" t="s">
        <v>449</v>
      </c>
      <c r="F5" s="20" t="s">
        <v>420</v>
      </c>
      <c r="G5" s="8" t="str">
        <f t="shared" si="0"/>
        <v>BIRENBAUM THOMAS</v>
      </c>
    </row>
    <row r="6" spans="1:7" x14ac:dyDescent="0.25">
      <c r="A6" s="8">
        <v>42865.071076388886</v>
      </c>
      <c r="B6" s="20" t="s">
        <v>386</v>
      </c>
      <c r="C6" s="20" t="s">
        <v>506</v>
      </c>
      <c r="D6" s="141">
        <v>3130000</v>
      </c>
      <c r="E6" s="20" t="s">
        <v>452</v>
      </c>
      <c r="F6" s="20" t="s">
        <v>453</v>
      </c>
      <c r="G6" s="8" t="str">
        <f t="shared" si="0"/>
        <v>ZEWDU DEREJE</v>
      </c>
    </row>
    <row r="7" spans="1:7" x14ac:dyDescent="0.25">
      <c r="A7" s="8">
        <v>42865.087962962964</v>
      </c>
      <c r="B7" s="20" t="s">
        <v>390</v>
      </c>
      <c r="C7" s="20" t="s">
        <v>507</v>
      </c>
      <c r="D7" s="141">
        <v>3030000</v>
      </c>
      <c r="E7" s="20" t="s">
        <v>449</v>
      </c>
      <c r="F7" s="20" t="s">
        <v>420</v>
      </c>
      <c r="G7" s="8" t="str">
        <f t="shared" si="0"/>
        <v>BIRENBAUM THOMAS</v>
      </c>
    </row>
    <row r="8" spans="1:7" x14ac:dyDescent="0.25">
      <c r="A8" s="8">
        <v>42865.118263888886</v>
      </c>
      <c r="B8" s="20" t="s">
        <v>487</v>
      </c>
      <c r="C8" s="20" t="s">
        <v>598</v>
      </c>
      <c r="D8" s="141">
        <v>2550000</v>
      </c>
      <c r="E8" s="20" t="s">
        <v>599</v>
      </c>
      <c r="F8" s="20" t="s">
        <v>600</v>
      </c>
      <c r="G8" s="8" t="str">
        <f t="shared" si="0"/>
        <v>BADERTSCHER DIANE</v>
      </c>
    </row>
    <row r="9" spans="1:7" ht="15.75" thickBot="1" x14ac:dyDescent="0.3">
      <c r="A9" s="24">
        <v>42865.132094907407</v>
      </c>
      <c r="B9" s="20" t="s">
        <v>431</v>
      </c>
      <c r="C9" s="20" t="s">
        <v>601</v>
      </c>
      <c r="D9" s="141">
        <v>2550000</v>
      </c>
      <c r="E9" s="20" t="s">
        <v>599</v>
      </c>
      <c r="F9" s="20" t="s">
        <v>600</v>
      </c>
      <c r="G9" s="8" t="str">
        <f t="shared" si="0"/>
        <v>BADERTSCHER DIANE</v>
      </c>
    </row>
    <row r="10" spans="1:7" x14ac:dyDescent="0.25">
      <c r="A10" s="8">
        <v>42865.140347222223</v>
      </c>
      <c r="B10" s="20" t="s">
        <v>344</v>
      </c>
      <c r="C10" s="20" t="s">
        <v>602</v>
      </c>
      <c r="D10" s="141">
        <v>2010000</v>
      </c>
      <c r="E10" s="20" t="s">
        <v>400</v>
      </c>
      <c r="F10" s="20" t="s">
        <v>401</v>
      </c>
      <c r="G10" s="8" t="str">
        <f t="shared" si="0"/>
        <v>MAELZER KURT</v>
      </c>
    </row>
    <row r="11" spans="1:7" x14ac:dyDescent="0.25">
      <c r="A11" s="8">
        <v>42865.152488425927</v>
      </c>
      <c r="B11" s="20" t="s">
        <v>490</v>
      </c>
      <c r="C11" s="20" t="s">
        <v>603</v>
      </c>
      <c r="D11" s="141">
        <v>2010000</v>
      </c>
      <c r="E11" s="20" t="s">
        <v>400</v>
      </c>
      <c r="F11" s="20" t="s">
        <v>401</v>
      </c>
      <c r="G11" s="8" t="str">
        <f t="shared" si="0"/>
        <v>MAELZER KURT</v>
      </c>
    </row>
    <row r="12" spans="1:7" x14ac:dyDescent="0.25">
      <c r="A12" s="8">
        <v>42865.15730324074</v>
      </c>
      <c r="B12" s="20" t="s">
        <v>357</v>
      </c>
      <c r="C12" s="20" t="s">
        <v>604</v>
      </c>
      <c r="D12" s="141">
        <v>1100000</v>
      </c>
      <c r="E12" s="20" t="s">
        <v>605</v>
      </c>
      <c r="F12" s="20" t="s">
        <v>606</v>
      </c>
      <c r="G12" s="8" t="str">
        <f t="shared" si="0"/>
        <v>GEBRETEKLE DAGNEW</v>
      </c>
    </row>
    <row r="13" spans="1:7" x14ac:dyDescent="0.25">
      <c r="A13" s="8">
        <v>42865.169016203705</v>
      </c>
      <c r="B13" s="20" t="s">
        <v>487</v>
      </c>
      <c r="C13" s="20" t="s">
        <v>607</v>
      </c>
      <c r="D13" s="141">
        <v>2550000</v>
      </c>
      <c r="E13" s="20" t="s">
        <v>599</v>
      </c>
      <c r="F13" s="20" t="s">
        <v>600</v>
      </c>
      <c r="G13" s="8" t="str">
        <f t="shared" si="0"/>
        <v>BADERTSCHER DIANE</v>
      </c>
    </row>
    <row r="14" spans="1:7" x14ac:dyDescent="0.25">
      <c r="A14" s="8">
        <v>42865.171215277776</v>
      </c>
      <c r="B14" s="20" t="s">
        <v>419</v>
      </c>
      <c r="C14" s="20" t="s">
        <v>608</v>
      </c>
      <c r="D14" s="141">
        <v>1100000</v>
      </c>
      <c r="E14" s="20" t="s">
        <v>605</v>
      </c>
      <c r="F14" s="20" t="s">
        <v>606</v>
      </c>
      <c r="G14" s="8" t="str">
        <f t="shared" si="0"/>
        <v>GEBRETEKLE DAGNEW</v>
      </c>
    </row>
    <row r="15" spans="1:7" x14ac:dyDescent="0.25">
      <c r="A15" s="8">
        <v>42865.171770833331</v>
      </c>
      <c r="B15" s="20" t="s">
        <v>369</v>
      </c>
      <c r="C15" s="20" t="s">
        <v>609</v>
      </c>
      <c r="D15" s="141">
        <v>940000</v>
      </c>
      <c r="E15" s="20" t="s">
        <v>436</v>
      </c>
      <c r="F15" s="20" t="s">
        <v>437</v>
      </c>
      <c r="G15" s="8" t="str">
        <f t="shared" si="0"/>
        <v>BONDS REYNALDO</v>
      </c>
    </row>
    <row r="16" spans="1:7" x14ac:dyDescent="0.25">
      <c r="A16" s="8">
        <v>42865.182118055556</v>
      </c>
      <c r="B16" s="20" t="s">
        <v>489</v>
      </c>
      <c r="C16" s="20" t="s">
        <v>610</v>
      </c>
      <c r="D16" s="141">
        <v>1360000</v>
      </c>
      <c r="E16" s="20" t="s">
        <v>403</v>
      </c>
      <c r="F16" s="20" t="s">
        <v>404</v>
      </c>
      <c r="G16" s="8" t="str">
        <f t="shared" si="0"/>
        <v>SANTIZO D. EDY</v>
      </c>
    </row>
    <row r="17" spans="1:7" x14ac:dyDescent="0.25">
      <c r="A17" s="8">
        <v>42865.183333333334</v>
      </c>
      <c r="B17" s="20" t="s">
        <v>365</v>
      </c>
      <c r="C17" s="20" t="s">
        <v>611</v>
      </c>
      <c r="D17" s="141">
        <v>940000</v>
      </c>
      <c r="E17" s="20" t="s">
        <v>436</v>
      </c>
      <c r="F17" s="20" t="s">
        <v>437</v>
      </c>
      <c r="G17" s="8" t="str">
        <f t="shared" si="0"/>
        <v>BONDS REYNALDO</v>
      </c>
    </row>
    <row r="18" spans="1:7" x14ac:dyDescent="0.25">
      <c r="A18" s="8">
        <v>42865.187800925924</v>
      </c>
      <c r="B18" s="20" t="s">
        <v>344</v>
      </c>
      <c r="C18" s="20" t="s">
        <v>612</v>
      </c>
      <c r="D18" s="141">
        <v>2010000</v>
      </c>
      <c r="E18" s="20" t="s">
        <v>400</v>
      </c>
      <c r="F18" s="20" t="s">
        <v>401</v>
      </c>
      <c r="G18" s="8" t="str">
        <f t="shared" si="0"/>
        <v>MAELZER KURT</v>
      </c>
    </row>
    <row r="19" spans="1:7" x14ac:dyDescent="0.25">
      <c r="A19" s="8">
        <v>42865.194826388892</v>
      </c>
      <c r="B19" s="20" t="s">
        <v>491</v>
      </c>
      <c r="C19" s="20" t="s">
        <v>613</v>
      </c>
      <c r="D19" s="141">
        <v>1360000</v>
      </c>
      <c r="E19" s="20" t="s">
        <v>403</v>
      </c>
      <c r="F19" s="20" t="s">
        <v>404</v>
      </c>
      <c r="G19" s="8" t="str">
        <f t="shared" si="0"/>
        <v>SANTIZO D. EDY</v>
      </c>
    </row>
    <row r="20" spans="1:7" x14ac:dyDescent="0.25">
      <c r="A20" s="8">
        <v>42865.202060185184</v>
      </c>
      <c r="B20" s="20" t="s">
        <v>569</v>
      </c>
      <c r="C20" s="20" t="s">
        <v>614</v>
      </c>
      <c r="D20" s="141">
        <v>1830000</v>
      </c>
      <c r="E20" s="20" t="s">
        <v>615</v>
      </c>
      <c r="F20" s="20" t="s">
        <v>616</v>
      </c>
      <c r="G20" s="8" t="str">
        <f t="shared" si="0"/>
        <v>YORK EDGAR</v>
      </c>
    </row>
    <row r="21" spans="1:7" x14ac:dyDescent="0.25">
      <c r="A21" s="8">
        <v>42865.205381944441</v>
      </c>
      <c r="B21" s="20" t="s">
        <v>431</v>
      </c>
      <c r="C21" s="20" t="s">
        <v>617</v>
      </c>
      <c r="D21" s="141">
        <v>900000</v>
      </c>
      <c r="E21" s="20" t="s">
        <v>494</v>
      </c>
      <c r="F21" s="20" t="s">
        <v>495</v>
      </c>
      <c r="G21" s="8" t="str">
        <f t="shared" si="0"/>
        <v>ROCHA YAOTL</v>
      </c>
    </row>
    <row r="22" spans="1:7" x14ac:dyDescent="0.25">
      <c r="A22" s="26">
        <v>42865.209513888891</v>
      </c>
      <c r="B22" s="20" t="s">
        <v>488</v>
      </c>
      <c r="C22" s="20" t="s">
        <v>618</v>
      </c>
      <c r="D22" s="141">
        <v>2550000</v>
      </c>
      <c r="E22" s="20" t="s">
        <v>599</v>
      </c>
      <c r="F22" s="20" t="s">
        <v>600</v>
      </c>
      <c r="G22" s="8" t="str">
        <f t="shared" si="0"/>
        <v>BADERTSCHER DIANE</v>
      </c>
    </row>
    <row r="23" spans="1:7" x14ac:dyDescent="0.25">
      <c r="A23" s="8">
        <v>42865.212858796294</v>
      </c>
      <c r="B23" s="20" t="s">
        <v>357</v>
      </c>
      <c r="C23" s="20" t="s">
        <v>619</v>
      </c>
      <c r="D23" s="141">
        <v>1100000</v>
      </c>
      <c r="E23" s="20" t="s">
        <v>605</v>
      </c>
      <c r="F23" s="20" t="s">
        <v>606</v>
      </c>
      <c r="G23" s="8" t="str">
        <f t="shared" si="0"/>
        <v>GEBRETEKLE DAGNEW</v>
      </c>
    </row>
    <row r="24" spans="1:7" x14ac:dyDescent="0.25">
      <c r="A24" s="8">
        <v>42865.215578703705</v>
      </c>
      <c r="B24" s="20" t="s">
        <v>564</v>
      </c>
      <c r="C24" s="20" t="s">
        <v>620</v>
      </c>
      <c r="D24" s="141">
        <v>1830000</v>
      </c>
      <c r="E24" s="20" t="s">
        <v>615</v>
      </c>
      <c r="F24" s="20" t="s">
        <v>616</v>
      </c>
      <c r="G24" s="8" t="str">
        <f t="shared" si="0"/>
        <v>YORK EDGAR</v>
      </c>
    </row>
    <row r="25" spans="1:7" x14ac:dyDescent="0.25">
      <c r="A25" s="8">
        <v>42865.221851851849</v>
      </c>
      <c r="B25" s="20" t="s">
        <v>369</v>
      </c>
      <c r="C25" s="20" t="s">
        <v>621</v>
      </c>
      <c r="D25" s="141">
        <v>940000</v>
      </c>
      <c r="E25" s="20" t="s">
        <v>436</v>
      </c>
      <c r="F25" s="20" t="s">
        <v>437</v>
      </c>
      <c r="G25" s="8" t="str">
        <f t="shared" si="0"/>
        <v>BONDS REYNALDO</v>
      </c>
    </row>
    <row r="26" spans="1:7" x14ac:dyDescent="0.25">
      <c r="A26" s="8">
        <v>42865.225231481483</v>
      </c>
      <c r="B26" s="20" t="s">
        <v>489</v>
      </c>
      <c r="C26" s="20" t="s">
        <v>622</v>
      </c>
      <c r="D26" s="141">
        <v>1360000</v>
      </c>
      <c r="E26" s="20" t="s">
        <v>403</v>
      </c>
      <c r="F26" s="20" t="s">
        <v>404</v>
      </c>
      <c r="G26" s="8" t="str">
        <f t="shared" si="0"/>
        <v>SANTIZO D. EDY</v>
      </c>
    </row>
    <row r="27" spans="1:7" x14ac:dyDescent="0.25">
      <c r="A27" s="8">
        <v>42865.22556712963</v>
      </c>
      <c r="B27" s="20" t="s">
        <v>343</v>
      </c>
      <c r="C27" s="20" t="s">
        <v>623</v>
      </c>
      <c r="D27" s="141">
        <v>2010000</v>
      </c>
      <c r="E27" s="20" t="s">
        <v>400</v>
      </c>
      <c r="F27" s="20" t="s">
        <v>401</v>
      </c>
      <c r="G27" s="8" t="str">
        <f t="shared" si="0"/>
        <v>MAELZER KURT</v>
      </c>
    </row>
    <row r="28" spans="1:7" x14ac:dyDescent="0.25">
      <c r="A28" s="8">
        <v>42865.225844907407</v>
      </c>
      <c r="B28" s="20" t="s">
        <v>490</v>
      </c>
      <c r="C28" s="20" t="s">
        <v>624</v>
      </c>
      <c r="D28" s="141">
        <v>1110000</v>
      </c>
      <c r="E28" s="20" t="s">
        <v>434</v>
      </c>
      <c r="F28" s="20" t="s">
        <v>435</v>
      </c>
      <c r="G28" s="8" t="str">
        <f t="shared" si="0"/>
        <v>STARKS ANGELINA</v>
      </c>
    </row>
    <row r="29" spans="1:7" x14ac:dyDescent="0.25">
      <c r="A29" s="8">
        <v>42865.227384259262</v>
      </c>
      <c r="B29" s="20" t="s">
        <v>569</v>
      </c>
      <c r="C29" s="20" t="s">
        <v>625</v>
      </c>
      <c r="D29" s="141">
        <v>1830000</v>
      </c>
      <c r="E29" s="20" t="s">
        <v>615</v>
      </c>
      <c r="F29" s="20" t="s">
        <v>616</v>
      </c>
      <c r="G29" s="8" t="str">
        <f t="shared" si="0"/>
        <v>YORK EDGAR</v>
      </c>
    </row>
    <row r="30" spans="1:7" x14ac:dyDescent="0.25">
      <c r="A30" s="8">
        <v>42865.233495370368</v>
      </c>
      <c r="B30" s="20" t="s">
        <v>343</v>
      </c>
      <c r="C30" s="20" t="s">
        <v>623</v>
      </c>
      <c r="D30" s="141">
        <v>2010000</v>
      </c>
      <c r="E30" s="20" t="s">
        <v>400</v>
      </c>
      <c r="F30" s="20" t="s">
        <v>401</v>
      </c>
      <c r="G30" s="8" t="str">
        <f t="shared" si="0"/>
        <v>MAELZER KURT</v>
      </c>
    </row>
    <row r="31" spans="1:7" x14ac:dyDescent="0.25">
      <c r="A31" s="8">
        <v>42865.246087962965</v>
      </c>
      <c r="B31" s="20" t="s">
        <v>428</v>
      </c>
      <c r="C31" s="20" t="s">
        <v>626</v>
      </c>
      <c r="D31" s="141">
        <v>900000</v>
      </c>
      <c r="E31" s="20" t="s">
        <v>494</v>
      </c>
      <c r="F31" s="20" t="s">
        <v>495</v>
      </c>
      <c r="G31" s="8" t="str">
        <f t="shared" si="0"/>
        <v>ROCHA YAOTL</v>
      </c>
    </row>
    <row r="32" spans="1:7" x14ac:dyDescent="0.25">
      <c r="A32" s="8">
        <v>42865.24628472222</v>
      </c>
      <c r="B32" s="20" t="s">
        <v>419</v>
      </c>
      <c r="C32" s="20" t="s">
        <v>627</v>
      </c>
      <c r="D32" s="141">
        <v>1100000</v>
      </c>
      <c r="E32" s="20" t="s">
        <v>605</v>
      </c>
      <c r="F32" s="20" t="s">
        <v>606</v>
      </c>
      <c r="G32" s="8" t="str">
        <f t="shared" si="0"/>
        <v>GEBRETEKLE DAGNEW</v>
      </c>
    </row>
    <row r="33" spans="1:7" x14ac:dyDescent="0.25">
      <c r="A33" s="8">
        <v>42865.248344907406</v>
      </c>
      <c r="B33" s="20" t="s">
        <v>487</v>
      </c>
      <c r="C33" s="20" t="s">
        <v>628</v>
      </c>
      <c r="D33" s="141">
        <v>2550000</v>
      </c>
      <c r="E33" s="20" t="s">
        <v>599</v>
      </c>
      <c r="F33" s="20" t="s">
        <v>600</v>
      </c>
      <c r="G33" s="8" t="str">
        <f t="shared" si="0"/>
        <v>BADERTSCHER DIANE</v>
      </c>
    </row>
    <row r="34" spans="1:7" x14ac:dyDescent="0.25">
      <c r="A34" s="8">
        <v>42865.2503125</v>
      </c>
      <c r="B34" s="20" t="s">
        <v>427</v>
      </c>
      <c r="C34" s="20" t="s">
        <v>629</v>
      </c>
      <c r="D34" s="141">
        <v>890000</v>
      </c>
      <c r="E34" s="20" t="s">
        <v>492</v>
      </c>
      <c r="F34" s="20" t="s">
        <v>493</v>
      </c>
      <c r="G34" s="8" t="str">
        <f t="shared" si="0"/>
        <v>LOZA FIDEL</v>
      </c>
    </row>
    <row r="35" spans="1:7" x14ac:dyDescent="0.25">
      <c r="A35" s="8">
        <v>42865.250717592593</v>
      </c>
      <c r="B35" s="20" t="s">
        <v>356</v>
      </c>
      <c r="C35" s="20" t="s">
        <v>630</v>
      </c>
      <c r="D35" s="141">
        <v>1090000</v>
      </c>
      <c r="E35" s="20" t="s">
        <v>439</v>
      </c>
      <c r="F35" s="20" t="s">
        <v>196</v>
      </c>
      <c r="G35" s="8" t="str">
        <f t="shared" si="0"/>
        <v>SPECTOR MICHAEL</v>
      </c>
    </row>
    <row r="36" spans="1:7" x14ac:dyDescent="0.25">
      <c r="A36" s="8">
        <v>42865.255810185183</v>
      </c>
      <c r="B36" s="20" t="s">
        <v>357</v>
      </c>
      <c r="C36" s="20" t="s">
        <v>630</v>
      </c>
      <c r="D36" s="141">
        <v>1090000</v>
      </c>
      <c r="E36" s="20" t="s">
        <v>439</v>
      </c>
      <c r="F36" s="20" t="s">
        <v>196</v>
      </c>
      <c r="G36" s="8" t="str">
        <f t="shared" si="0"/>
        <v>SPECTOR MICHAEL</v>
      </c>
    </row>
    <row r="37" spans="1:7" x14ac:dyDescent="0.25">
      <c r="A37" s="8">
        <v>42865.256701388891</v>
      </c>
      <c r="B37" s="20" t="s">
        <v>564</v>
      </c>
      <c r="C37" s="20" t="s">
        <v>565</v>
      </c>
      <c r="D37" s="141">
        <v>1830000</v>
      </c>
      <c r="E37" s="20" t="s">
        <v>615</v>
      </c>
      <c r="F37" s="20" t="s">
        <v>616</v>
      </c>
      <c r="G37" s="8" t="str">
        <f t="shared" si="0"/>
        <v>YORK EDGAR</v>
      </c>
    </row>
    <row r="38" spans="1:7" x14ac:dyDescent="0.25">
      <c r="A38" s="8">
        <v>42865.25681712963</v>
      </c>
      <c r="B38" s="20" t="s">
        <v>357</v>
      </c>
      <c r="C38" s="20" t="s">
        <v>630</v>
      </c>
      <c r="D38" s="141">
        <v>1090000</v>
      </c>
      <c r="E38" s="20" t="s">
        <v>439</v>
      </c>
      <c r="F38" s="20" t="s">
        <v>196</v>
      </c>
      <c r="G38" s="8" t="str">
        <f t="shared" si="0"/>
        <v>SPECTOR MICHAEL</v>
      </c>
    </row>
    <row r="39" spans="1:7" x14ac:dyDescent="0.25">
      <c r="A39" s="8">
        <v>42865.257939814815</v>
      </c>
      <c r="B39" s="20" t="s">
        <v>486</v>
      </c>
      <c r="C39" s="20" t="s">
        <v>566</v>
      </c>
      <c r="D39" s="141">
        <v>1110000</v>
      </c>
      <c r="E39" s="20" t="s">
        <v>434</v>
      </c>
      <c r="F39" s="20" t="s">
        <v>435</v>
      </c>
      <c r="G39" s="8" t="str">
        <f t="shared" si="0"/>
        <v>STARKS ANGELINA</v>
      </c>
    </row>
    <row r="40" spans="1:7" x14ac:dyDescent="0.25">
      <c r="A40" s="8">
        <v>42865.258090277777</v>
      </c>
      <c r="B40" s="25" t="s">
        <v>365</v>
      </c>
      <c r="C40" s="20" t="s">
        <v>631</v>
      </c>
      <c r="D40" s="141">
        <v>940000</v>
      </c>
      <c r="E40" s="20" t="s">
        <v>436</v>
      </c>
      <c r="F40" s="20" t="s">
        <v>437</v>
      </c>
      <c r="G40" s="8" t="str">
        <f t="shared" si="0"/>
        <v>BONDS REYNALDO</v>
      </c>
    </row>
    <row r="41" spans="1:7" x14ac:dyDescent="0.25">
      <c r="A41" s="8">
        <v>42865.263101851851</v>
      </c>
      <c r="B41" s="20" t="s">
        <v>426</v>
      </c>
      <c r="C41" s="20" t="s">
        <v>632</v>
      </c>
      <c r="D41" s="141">
        <v>890000</v>
      </c>
      <c r="E41" s="20" t="s">
        <v>492</v>
      </c>
      <c r="F41" s="20" t="s">
        <v>493</v>
      </c>
      <c r="G41" s="8" t="str">
        <f t="shared" si="0"/>
        <v>LOZA FIDEL</v>
      </c>
    </row>
    <row r="42" spans="1:7" x14ac:dyDescent="0.25">
      <c r="A42" s="8">
        <v>42865.265081018515</v>
      </c>
      <c r="B42" s="20" t="s">
        <v>491</v>
      </c>
      <c r="C42" s="20" t="s">
        <v>633</v>
      </c>
      <c r="D42" s="141">
        <v>1360000</v>
      </c>
      <c r="E42" s="20" t="s">
        <v>403</v>
      </c>
      <c r="F42" s="20" t="s">
        <v>404</v>
      </c>
      <c r="G42" s="8" t="str">
        <f t="shared" si="0"/>
        <v>SANTIZO D. EDY</v>
      </c>
    </row>
    <row r="43" spans="1:7" x14ac:dyDescent="0.25">
      <c r="A43" s="8">
        <v>42865.268842592595</v>
      </c>
      <c r="B43" s="20" t="s">
        <v>569</v>
      </c>
      <c r="C43" s="20" t="s">
        <v>634</v>
      </c>
      <c r="D43" s="141">
        <v>1830000</v>
      </c>
      <c r="E43" s="20" t="s">
        <v>615</v>
      </c>
      <c r="F43" s="20" t="s">
        <v>616</v>
      </c>
      <c r="G43" s="8" t="str">
        <f t="shared" si="0"/>
        <v>YORK EDGAR</v>
      </c>
    </row>
    <row r="44" spans="1:7" x14ac:dyDescent="0.25">
      <c r="A44" s="8">
        <v>42865.273460648146</v>
      </c>
      <c r="B44" s="20" t="s">
        <v>344</v>
      </c>
      <c r="C44" s="20" t="s">
        <v>635</v>
      </c>
      <c r="D44" s="141">
        <v>2010000</v>
      </c>
      <c r="E44" s="20" t="s">
        <v>400</v>
      </c>
      <c r="F44" s="20" t="s">
        <v>401</v>
      </c>
      <c r="G44" s="8" t="str">
        <f t="shared" si="0"/>
        <v>MAELZER KURT</v>
      </c>
    </row>
    <row r="45" spans="1:7" x14ac:dyDescent="0.25">
      <c r="A45" s="8">
        <v>42865.276562500003</v>
      </c>
      <c r="B45" s="20" t="s">
        <v>427</v>
      </c>
      <c r="C45" s="20" t="s">
        <v>636</v>
      </c>
      <c r="D45" s="141">
        <v>890000</v>
      </c>
      <c r="E45" s="20" t="s">
        <v>492</v>
      </c>
      <c r="F45" s="20" t="s">
        <v>493</v>
      </c>
      <c r="G45" s="8" t="str">
        <f t="shared" si="0"/>
        <v>LOZA FIDEL</v>
      </c>
    </row>
    <row r="46" spans="1:7" x14ac:dyDescent="0.25">
      <c r="A46" s="8">
        <v>42865.278622685182</v>
      </c>
      <c r="B46" s="20" t="s">
        <v>431</v>
      </c>
      <c r="C46" s="20" t="s">
        <v>567</v>
      </c>
      <c r="D46" s="141">
        <v>900000</v>
      </c>
      <c r="E46" s="20" t="s">
        <v>494</v>
      </c>
      <c r="F46" s="20" t="s">
        <v>495</v>
      </c>
      <c r="G46" s="8" t="str">
        <f t="shared" si="0"/>
        <v>ROCHA YAOTL</v>
      </c>
    </row>
    <row r="47" spans="1:7" x14ac:dyDescent="0.25">
      <c r="A47" s="8">
        <v>42865.28465277778</v>
      </c>
      <c r="B47" s="20" t="s">
        <v>417</v>
      </c>
      <c r="C47" s="20" t="s">
        <v>637</v>
      </c>
      <c r="D47" s="141">
        <v>1100000</v>
      </c>
      <c r="E47" s="20" t="s">
        <v>605</v>
      </c>
      <c r="F47" s="20" t="s">
        <v>606</v>
      </c>
      <c r="G47" s="8" t="str">
        <f t="shared" si="0"/>
        <v>GEBRETEKLE DAGNEW</v>
      </c>
    </row>
    <row r="48" spans="1:7" x14ac:dyDescent="0.25">
      <c r="A48" s="8">
        <v>42865.288217592592</v>
      </c>
      <c r="B48" s="20" t="s">
        <v>488</v>
      </c>
      <c r="C48" s="20" t="s">
        <v>638</v>
      </c>
      <c r="D48" s="141">
        <v>2550000</v>
      </c>
      <c r="E48" s="20" t="s">
        <v>599</v>
      </c>
      <c r="F48" s="20" t="s">
        <v>600</v>
      </c>
      <c r="G48" s="8" t="str">
        <f t="shared" si="0"/>
        <v>BADERTSCHER DIANE</v>
      </c>
    </row>
    <row r="49" spans="1:7" x14ac:dyDescent="0.25">
      <c r="A49" s="8">
        <v>42865.296157407407</v>
      </c>
      <c r="B49" s="20" t="s">
        <v>564</v>
      </c>
      <c r="C49" s="20" t="s">
        <v>639</v>
      </c>
      <c r="D49" s="141">
        <v>1830000</v>
      </c>
      <c r="E49" s="20" t="s">
        <v>615</v>
      </c>
      <c r="F49" s="20" t="s">
        <v>616</v>
      </c>
      <c r="G49" s="8" t="str">
        <f t="shared" si="0"/>
        <v>YORK EDGAR</v>
      </c>
    </row>
    <row r="50" spans="1:7" x14ac:dyDescent="0.25">
      <c r="A50" s="8">
        <v>42865.297025462962</v>
      </c>
      <c r="B50" s="20" t="s">
        <v>369</v>
      </c>
      <c r="C50" s="20" t="s">
        <v>568</v>
      </c>
      <c r="D50" s="141">
        <v>940000</v>
      </c>
      <c r="E50" s="20" t="s">
        <v>436</v>
      </c>
      <c r="F50" s="20" t="s">
        <v>437</v>
      </c>
      <c r="G50" s="8" t="str">
        <f t="shared" si="0"/>
        <v>BONDS REYNALDO</v>
      </c>
    </row>
    <row r="51" spans="1:7" x14ac:dyDescent="0.25">
      <c r="A51" s="8">
        <v>42865.297037037039</v>
      </c>
      <c r="B51" s="20" t="s">
        <v>489</v>
      </c>
      <c r="C51" s="20" t="s">
        <v>640</v>
      </c>
      <c r="D51" s="141">
        <v>1360000</v>
      </c>
      <c r="E51" s="20" t="s">
        <v>403</v>
      </c>
      <c r="F51" s="20" t="s">
        <v>404</v>
      </c>
      <c r="G51" s="8" t="str">
        <f t="shared" si="0"/>
        <v>SANTIZO D. EDY</v>
      </c>
    </row>
    <row r="52" spans="1:7" x14ac:dyDescent="0.25">
      <c r="A52" s="8">
        <v>42865.299976851849</v>
      </c>
      <c r="B52" s="20" t="s">
        <v>490</v>
      </c>
      <c r="C52" s="20" t="s">
        <v>641</v>
      </c>
      <c r="D52" s="141">
        <v>1110000</v>
      </c>
      <c r="E52" s="20" t="s">
        <v>434</v>
      </c>
      <c r="F52" s="20" t="s">
        <v>435</v>
      </c>
      <c r="G52" s="8" t="str">
        <f t="shared" si="0"/>
        <v>STARKS ANGELINA</v>
      </c>
    </row>
    <row r="53" spans="1:7" x14ac:dyDescent="0.25">
      <c r="A53" s="8">
        <v>42865.305208333331</v>
      </c>
      <c r="B53" s="20" t="s">
        <v>426</v>
      </c>
      <c r="C53" s="20" t="s">
        <v>642</v>
      </c>
      <c r="D53" s="141">
        <v>890000</v>
      </c>
      <c r="E53" s="20" t="s">
        <v>492</v>
      </c>
      <c r="F53" s="20" t="s">
        <v>493</v>
      </c>
      <c r="G53" s="8" t="str">
        <f t="shared" si="0"/>
        <v>LOZA FIDEL</v>
      </c>
    </row>
    <row r="54" spans="1:7" x14ac:dyDescent="0.25">
      <c r="A54" s="8">
        <v>42865.308055555557</v>
      </c>
      <c r="B54" s="20" t="s">
        <v>343</v>
      </c>
      <c r="C54" s="20" t="s">
        <v>643</v>
      </c>
      <c r="D54" s="141">
        <v>2010000</v>
      </c>
      <c r="E54" s="20" t="s">
        <v>400</v>
      </c>
      <c r="F54" s="20" t="s">
        <v>401</v>
      </c>
      <c r="G54" s="8" t="str">
        <f t="shared" si="0"/>
        <v>MAELZER KURT</v>
      </c>
    </row>
    <row r="55" spans="1:7" x14ac:dyDescent="0.25">
      <c r="A55" s="8">
        <v>42865.310266203705</v>
      </c>
      <c r="B55" s="20" t="s">
        <v>569</v>
      </c>
      <c r="C55" s="20" t="s">
        <v>570</v>
      </c>
      <c r="D55" s="141">
        <v>1830000</v>
      </c>
      <c r="E55" s="20" t="s">
        <v>615</v>
      </c>
      <c r="F55" s="20" t="s">
        <v>616</v>
      </c>
      <c r="G55" s="8" t="str">
        <f t="shared" si="0"/>
        <v>YORK EDGAR</v>
      </c>
    </row>
    <row r="56" spans="1:7" x14ac:dyDescent="0.25">
      <c r="A56" s="8">
        <v>42865.318391203706</v>
      </c>
      <c r="B56" s="20" t="s">
        <v>428</v>
      </c>
      <c r="C56" s="20" t="s">
        <v>644</v>
      </c>
      <c r="D56" s="141">
        <v>900000</v>
      </c>
      <c r="E56" s="20" t="s">
        <v>494</v>
      </c>
      <c r="F56" s="20" t="s">
        <v>495</v>
      </c>
      <c r="G56" s="8" t="str">
        <f t="shared" si="0"/>
        <v>ROCHA YAOTL</v>
      </c>
    </row>
    <row r="57" spans="1:7" x14ac:dyDescent="0.25">
      <c r="A57" s="8">
        <v>42865.318657407406</v>
      </c>
      <c r="B57" s="20" t="s">
        <v>427</v>
      </c>
      <c r="C57" s="20" t="s">
        <v>645</v>
      </c>
      <c r="D57" s="141">
        <v>890000</v>
      </c>
      <c r="E57" s="20" t="s">
        <v>492</v>
      </c>
      <c r="F57" s="20" t="s">
        <v>493</v>
      </c>
      <c r="G57" s="8" t="str">
        <f t="shared" si="0"/>
        <v>LOZA FIDEL</v>
      </c>
    </row>
    <row r="58" spans="1:7" x14ac:dyDescent="0.25">
      <c r="A58" s="8">
        <v>42865.318668981483</v>
      </c>
      <c r="B58" s="20" t="s">
        <v>419</v>
      </c>
      <c r="C58" s="20" t="s">
        <v>646</v>
      </c>
      <c r="D58" s="141">
        <v>1100000</v>
      </c>
      <c r="E58" s="20" t="s">
        <v>605</v>
      </c>
      <c r="F58" s="20" t="s">
        <v>606</v>
      </c>
      <c r="G58" s="8" t="str">
        <f t="shared" si="0"/>
        <v>GEBRETEKLE DAGNEW</v>
      </c>
    </row>
    <row r="59" spans="1:7" x14ac:dyDescent="0.25">
      <c r="A59" s="8">
        <v>42865.325277777774</v>
      </c>
      <c r="B59" s="20" t="s">
        <v>487</v>
      </c>
      <c r="C59" s="20" t="s">
        <v>647</v>
      </c>
      <c r="D59" s="141">
        <v>2550000</v>
      </c>
      <c r="E59" s="20" t="s">
        <v>599</v>
      </c>
      <c r="F59" s="20" t="s">
        <v>600</v>
      </c>
      <c r="G59" s="8" t="str">
        <f t="shared" si="0"/>
        <v>BADERTSCHER DIANE</v>
      </c>
    </row>
    <row r="60" spans="1:7" x14ac:dyDescent="0.25">
      <c r="A60" s="8">
        <v>42865.329884259256</v>
      </c>
      <c r="B60" s="20" t="s">
        <v>365</v>
      </c>
      <c r="C60" s="20" t="s">
        <v>648</v>
      </c>
      <c r="D60" s="141">
        <v>940000</v>
      </c>
      <c r="E60" s="20" t="s">
        <v>436</v>
      </c>
      <c r="F60" s="20" t="s">
        <v>437</v>
      </c>
      <c r="G60" s="8" t="str">
        <f t="shared" si="0"/>
        <v>BONDS REYNALDO</v>
      </c>
    </row>
    <row r="61" spans="1:7" x14ac:dyDescent="0.25">
      <c r="A61" s="8">
        <v>42865.337835648148</v>
      </c>
      <c r="B61" s="20" t="s">
        <v>491</v>
      </c>
      <c r="C61" s="20" t="s">
        <v>649</v>
      </c>
      <c r="D61" s="141">
        <v>1360000</v>
      </c>
      <c r="E61" s="20" t="s">
        <v>403</v>
      </c>
      <c r="F61" s="20" t="s">
        <v>404</v>
      </c>
      <c r="G61" s="8" t="str">
        <f t="shared" si="0"/>
        <v>SANTIZO D. EDY</v>
      </c>
    </row>
    <row r="62" spans="1:7" x14ac:dyDescent="0.25">
      <c r="A62" s="8">
        <v>42865.339780092596</v>
      </c>
      <c r="B62" s="20" t="s">
        <v>486</v>
      </c>
      <c r="C62" s="20" t="s">
        <v>573</v>
      </c>
      <c r="D62" s="141">
        <v>1110000</v>
      </c>
      <c r="E62" s="20" t="s">
        <v>434</v>
      </c>
      <c r="F62" s="20" t="s">
        <v>435</v>
      </c>
      <c r="G62" s="8" t="str">
        <f t="shared" si="0"/>
        <v>STARKS ANGELINA</v>
      </c>
    </row>
    <row r="63" spans="1:7" x14ac:dyDescent="0.25">
      <c r="A63" s="8">
        <v>42865.34034722222</v>
      </c>
      <c r="B63" s="20" t="s">
        <v>564</v>
      </c>
      <c r="C63" s="20" t="s">
        <v>650</v>
      </c>
      <c r="D63" s="141">
        <v>1830000</v>
      </c>
      <c r="E63" s="20" t="s">
        <v>615</v>
      </c>
      <c r="F63" s="20" t="s">
        <v>616</v>
      </c>
      <c r="G63" s="8" t="str">
        <f t="shared" si="0"/>
        <v>YORK EDGAR</v>
      </c>
    </row>
    <row r="64" spans="1:7" x14ac:dyDescent="0.25">
      <c r="A64" s="26">
        <v>42865.34107638889</v>
      </c>
      <c r="B64" s="20" t="s">
        <v>426</v>
      </c>
      <c r="C64" s="20" t="s">
        <v>571</v>
      </c>
      <c r="D64" s="141">
        <v>890000</v>
      </c>
      <c r="E64" s="20" t="s">
        <v>492</v>
      </c>
      <c r="F64" s="20" t="s">
        <v>493</v>
      </c>
      <c r="G64" s="8" t="str">
        <f t="shared" si="0"/>
        <v>LOZA FIDEL</v>
      </c>
    </row>
    <row r="65" spans="1:7" x14ac:dyDescent="0.25">
      <c r="A65" s="8">
        <v>42865.344340277778</v>
      </c>
      <c r="B65" s="20" t="s">
        <v>344</v>
      </c>
      <c r="C65" s="20" t="s">
        <v>651</v>
      </c>
      <c r="D65" s="141">
        <v>2010000</v>
      </c>
      <c r="E65" s="20" t="s">
        <v>400</v>
      </c>
      <c r="F65" s="20" t="s">
        <v>401</v>
      </c>
      <c r="G65" s="8" t="str">
        <f t="shared" si="0"/>
        <v>MAELZER KURT</v>
      </c>
    </row>
    <row r="66" spans="1:7" x14ac:dyDescent="0.25">
      <c r="A66" s="8">
        <v>42865.351620370369</v>
      </c>
      <c r="B66" s="20" t="s">
        <v>569</v>
      </c>
      <c r="C66" s="20" t="s">
        <v>572</v>
      </c>
      <c r="D66" s="141">
        <v>1830000</v>
      </c>
      <c r="E66" s="20" t="s">
        <v>615</v>
      </c>
      <c r="F66" s="20" t="s">
        <v>616</v>
      </c>
      <c r="G66" s="8" t="str">
        <f t="shared" si="0"/>
        <v>YORK EDGAR</v>
      </c>
    </row>
    <row r="67" spans="1:7" x14ac:dyDescent="0.25">
      <c r="A67" s="8">
        <v>42865.352280092593</v>
      </c>
      <c r="B67" s="20" t="s">
        <v>431</v>
      </c>
      <c r="C67" s="20" t="s">
        <v>652</v>
      </c>
      <c r="D67" s="141">
        <v>900000</v>
      </c>
      <c r="E67" s="20" t="s">
        <v>494</v>
      </c>
      <c r="F67" s="20" t="s">
        <v>495</v>
      </c>
      <c r="G67" s="8" t="str">
        <f t="shared" ref="G67:G130" si="1">E67&amp;" "&amp;F67</f>
        <v>ROCHA YAOTL</v>
      </c>
    </row>
    <row r="68" spans="1:7" x14ac:dyDescent="0.25">
      <c r="A68" s="8">
        <v>42865.358101851853</v>
      </c>
      <c r="B68" s="20" t="s">
        <v>417</v>
      </c>
      <c r="C68" s="20" t="s">
        <v>653</v>
      </c>
      <c r="D68" s="141">
        <v>1100000</v>
      </c>
      <c r="E68" s="20" t="s">
        <v>605</v>
      </c>
      <c r="F68" s="20" t="s">
        <v>606</v>
      </c>
      <c r="G68" s="8" t="str">
        <f t="shared" si="1"/>
        <v>GEBRETEKLE DAGNEW</v>
      </c>
    </row>
    <row r="69" spans="1:7" x14ac:dyDescent="0.25">
      <c r="A69" s="8">
        <v>42865.359629629631</v>
      </c>
      <c r="B69" s="20" t="s">
        <v>427</v>
      </c>
      <c r="C69" s="20" t="s">
        <v>654</v>
      </c>
      <c r="D69" s="141">
        <v>890000</v>
      </c>
      <c r="E69" s="20" t="s">
        <v>492</v>
      </c>
      <c r="F69" s="20" t="s">
        <v>493</v>
      </c>
      <c r="G69" s="8" t="str">
        <f t="shared" si="1"/>
        <v>LOZA FIDEL</v>
      </c>
    </row>
    <row r="70" spans="1:7" x14ac:dyDescent="0.25">
      <c r="A70" s="8">
        <v>42865.361539351848</v>
      </c>
      <c r="B70" s="20" t="s">
        <v>488</v>
      </c>
      <c r="C70" s="20" t="s">
        <v>655</v>
      </c>
      <c r="D70" s="141">
        <v>2550000</v>
      </c>
      <c r="E70" s="20" t="s">
        <v>599</v>
      </c>
      <c r="F70" s="20" t="s">
        <v>600</v>
      </c>
      <c r="G70" s="8" t="str">
        <f t="shared" si="1"/>
        <v>BADERTSCHER DIANE</v>
      </c>
    </row>
    <row r="71" spans="1:7" x14ac:dyDescent="0.25">
      <c r="A71" s="8">
        <v>42865.367847222224</v>
      </c>
      <c r="B71" s="20" t="s">
        <v>369</v>
      </c>
      <c r="C71" s="20" t="s">
        <v>656</v>
      </c>
      <c r="D71" s="141">
        <v>940000</v>
      </c>
      <c r="E71" s="20" t="s">
        <v>436</v>
      </c>
      <c r="F71" s="20" t="s">
        <v>437</v>
      </c>
      <c r="G71" s="8" t="str">
        <f t="shared" si="1"/>
        <v>BONDS REYNALDO</v>
      </c>
    </row>
    <row r="72" spans="1:7" x14ac:dyDescent="0.25">
      <c r="A72" s="8">
        <v>42865.370300925926</v>
      </c>
      <c r="B72" s="20" t="s">
        <v>489</v>
      </c>
      <c r="C72" s="20" t="s">
        <v>657</v>
      </c>
      <c r="D72" s="141">
        <v>1360000</v>
      </c>
      <c r="E72" s="20" t="s">
        <v>403</v>
      </c>
      <c r="F72" s="20" t="s">
        <v>404</v>
      </c>
      <c r="G72" s="8" t="str">
        <f t="shared" si="1"/>
        <v>SANTIZO D. EDY</v>
      </c>
    </row>
    <row r="73" spans="1:7" x14ac:dyDescent="0.25">
      <c r="A73" s="8">
        <v>42865.372546296298</v>
      </c>
      <c r="B73" s="20" t="s">
        <v>490</v>
      </c>
      <c r="C73" s="20" t="s">
        <v>658</v>
      </c>
      <c r="D73" s="141">
        <v>1110000</v>
      </c>
      <c r="E73" s="20" t="s">
        <v>434</v>
      </c>
      <c r="F73" s="20" t="s">
        <v>435</v>
      </c>
      <c r="G73" s="8" t="str">
        <f t="shared" si="1"/>
        <v>STARKS ANGELINA</v>
      </c>
    </row>
    <row r="74" spans="1:7" x14ac:dyDescent="0.25">
      <c r="A74" s="8">
        <v>42865.380949074075</v>
      </c>
      <c r="B74" s="20" t="s">
        <v>343</v>
      </c>
      <c r="C74" s="20" t="s">
        <v>659</v>
      </c>
      <c r="D74" s="141">
        <v>2010000</v>
      </c>
      <c r="E74" s="20" t="s">
        <v>400</v>
      </c>
      <c r="F74" s="20" t="s">
        <v>401</v>
      </c>
      <c r="G74" s="8" t="str">
        <f t="shared" si="1"/>
        <v>MAELZER KURT</v>
      </c>
    </row>
    <row r="75" spans="1:7" x14ac:dyDescent="0.25">
      <c r="A75" s="8">
        <v>42865.383483796293</v>
      </c>
      <c r="B75" s="20" t="s">
        <v>426</v>
      </c>
      <c r="C75" s="20" t="s">
        <v>660</v>
      </c>
      <c r="D75" s="141">
        <v>890000</v>
      </c>
      <c r="E75" s="20" t="s">
        <v>492</v>
      </c>
      <c r="F75" s="20" t="s">
        <v>493</v>
      </c>
      <c r="G75" s="8" t="str">
        <f t="shared" si="1"/>
        <v>LOZA FIDEL</v>
      </c>
    </row>
    <row r="76" spans="1:7" x14ac:dyDescent="0.25">
      <c r="A76" s="8">
        <v>42865.390150462961</v>
      </c>
      <c r="B76" s="20" t="s">
        <v>419</v>
      </c>
      <c r="C76" s="20" t="s">
        <v>661</v>
      </c>
      <c r="D76" s="141">
        <v>1100000</v>
      </c>
      <c r="E76" s="20" t="s">
        <v>605</v>
      </c>
      <c r="F76" s="20" t="s">
        <v>606</v>
      </c>
      <c r="G76" s="8" t="str">
        <f t="shared" si="1"/>
        <v>GEBRETEKLE DAGNEW</v>
      </c>
    </row>
    <row r="77" spans="1:7" x14ac:dyDescent="0.25">
      <c r="A77" s="8">
        <v>42865.392511574071</v>
      </c>
      <c r="B77" s="20" t="s">
        <v>428</v>
      </c>
      <c r="C77" s="20" t="s">
        <v>662</v>
      </c>
      <c r="D77" s="141">
        <v>900000</v>
      </c>
      <c r="E77" s="20" t="s">
        <v>494</v>
      </c>
      <c r="F77" s="20" t="s">
        <v>495</v>
      </c>
      <c r="G77" s="8" t="str">
        <f t="shared" si="1"/>
        <v>ROCHA YAOTL</v>
      </c>
    </row>
    <row r="78" spans="1:7" x14ac:dyDescent="0.25">
      <c r="A78" s="8">
        <v>42865.398321759261</v>
      </c>
      <c r="B78" s="20" t="s">
        <v>487</v>
      </c>
      <c r="C78" s="20" t="s">
        <v>663</v>
      </c>
      <c r="D78" s="141">
        <v>2550000</v>
      </c>
      <c r="E78" s="20" t="s">
        <v>599</v>
      </c>
      <c r="F78" s="20" t="s">
        <v>600</v>
      </c>
      <c r="G78" s="8" t="str">
        <f t="shared" si="1"/>
        <v>BADERTSCHER DIANE</v>
      </c>
    </row>
    <row r="79" spans="1:7" x14ac:dyDescent="0.25">
      <c r="A79" s="8">
        <v>42865.400601851848</v>
      </c>
      <c r="B79" s="20" t="s">
        <v>427</v>
      </c>
      <c r="C79" s="20" t="s">
        <v>664</v>
      </c>
      <c r="D79" s="141">
        <v>890000</v>
      </c>
      <c r="E79" s="20" t="s">
        <v>492</v>
      </c>
      <c r="F79" s="20" t="s">
        <v>493</v>
      </c>
      <c r="G79" s="8" t="str">
        <f t="shared" si="1"/>
        <v>LOZA FIDEL</v>
      </c>
    </row>
    <row r="80" spans="1:7" x14ac:dyDescent="0.25">
      <c r="A80" s="8">
        <v>42865.402094907404</v>
      </c>
      <c r="B80" s="20" t="s">
        <v>365</v>
      </c>
      <c r="C80" s="20" t="s">
        <v>665</v>
      </c>
      <c r="D80" s="141">
        <v>940000</v>
      </c>
      <c r="E80" s="20" t="s">
        <v>436</v>
      </c>
      <c r="F80" s="20" t="s">
        <v>437</v>
      </c>
      <c r="G80" s="8" t="str">
        <f t="shared" si="1"/>
        <v>BONDS REYNALDO</v>
      </c>
    </row>
    <row r="81" spans="1:7" x14ac:dyDescent="0.25">
      <c r="A81" s="8">
        <v>42865.410590277781</v>
      </c>
      <c r="B81" s="20" t="s">
        <v>491</v>
      </c>
      <c r="C81" s="20" t="s">
        <v>666</v>
      </c>
      <c r="D81" s="141">
        <v>1360000</v>
      </c>
      <c r="E81" s="20" t="s">
        <v>403</v>
      </c>
      <c r="F81" s="20" t="s">
        <v>404</v>
      </c>
      <c r="G81" s="8" t="str">
        <f t="shared" si="1"/>
        <v>SANTIZO D. EDY</v>
      </c>
    </row>
    <row r="82" spans="1:7" x14ac:dyDescent="0.25">
      <c r="A82" s="8">
        <v>42865.412569444445</v>
      </c>
      <c r="B82" s="20" t="s">
        <v>486</v>
      </c>
      <c r="C82" s="20" t="s">
        <v>574</v>
      </c>
      <c r="D82" s="141">
        <v>1110000</v>
      </c>
      <c r="E82" s="20" t="s">
        <v>434</v>
      </c>
      <c r="F82" s="20" t="s">
        <v>435</v>
      </c>
      <c r="G82" s="8" t="str">
        <f t="shared" si="1"/>
        <v>STARKS ANGELINA</v>
      </c>
    </row>
    <row r="83" spans="1:7" x14ac:dyDescent="0.25">
      <c r="A83" s="8">
        <v>42865.415682870371</v>
      </c>
      <c r="B83" s="20" t="s">
        <v>344</v>
      </c>
      <c r="C83" s="20" t="s">
        <v>667</v>
      </c>
      <c r="D83" s="141">
        <v>2010000</v>
      </c>
      <c r="E83" s="20" t="s">
        <v>400</v>
      </c>
      <c r="F83" s="20" t="s">
        <v>401</v>
      </c>
      <c r="G83" s="8" t="str">
        <f t="shared" si="1"/>
        <v>MAELZER KURT</v>
      </c>
    </row>
    <row r="84" spans="1:7" x14ac:dyDescent="0.25">
      <c r="A84" s="8">
        <v>42865.419456018521</v>
      </c>
      <c r="B84" s="20" t="s">
        <v>426</v>
      </c>
      <c r="C84" s="20" t="s">
        <v>668</v>
      </c>
      <c r="D84" s="141">
        <v>890000</v>
      </c>
      <c r="E84" s="20" t="s">
        <v>492</v>
      </c>
      <c r="F84" s="20" t="s">
        <v>493</v>
      </c>
      <c r="G84" s="8" t="str">
        <f t="shared" si="1"/>
        <v>LOZA FIDEL</v>
      </c>
    </row>
    <row r="85" spans="1:7" x14ac:dyDescent="0.25">
      <c r="A85" s="8">
        <v>42865.425798611112</v>
      </c>
      <c r="B85" s="20" t="s">
        <v>431</v>
      </c>
      <c r="C85" s="20" t="s">
        <v>669</v>
      </c>
      <c r="D85" s="141">
        <v>900000</v>
      </c>
      <c r="E85" s="20" t="s">
        <v>494</v>
      </c>
      <c r="F85" s="20" t="s">
        <v>495</v>
      </c>
      <c r="G85" s="8" t="str">
        <f t="shared" si="1"/>
        <v>ROCHA YAOTL</v>
      </c>
    </row>
    <row r="86" spans="1:7" x14ac:dyDescent="0.25">
      <c r="A86" s="8">
        <v>42865.426122685189</v>
      </c>
      <c r="B86" s="20" t="s">
        <v>575</v>
      </c>
      <c r="C86" s="20" t="s">
        <v>576</v>
      </c>
      <c r="D86" s="141">
        <v>2370000</v>
      </c>
      <c r="E86" s="20" t="s">
        <v>670</v>
      </c>
      <c r="F86" s="20" t="s">
        <v>671</v>
      </c>
      <c r="G86" s="8" t="str">
        <f t="shared" si="1"/>
        <v>DELGADO DIANAH</v>
      </c>
    </row>
    <row r="87" spans="1:7" x14ac:dyDescent="0.25">
      <c r="A87" s="8">
        <v>42865.428287037037</v>
      </c>
      <c r="B87" s="20" t="s">
        <v>417</v>
      </c>
      <c r="C87" s="20" t="s">
        <v>672</v>
      </c>
      <c r="D87" s="141">
        <v>1100000</v>
      </c>
      <c r="E87" s="20" t="s">
        <v>605</v>
      </c>
      <c r="F87" s="20" t="s">
        <v>606</v>
      </c>
      <c r="G87" s="8" t="str">
        <f t="shared" si="1"/>
        <v>GEBRETEKLE DAGNEW</v>
      </c>
    </row>
    <row r="88" spans="1:7" x14ac:dyDescent="0.25">
      <c r="A88" s="8">
        <v>42865.433240740742</v>
      </c>
      <c r="B88" s="20" t="s">
        <v>488</v>
      </c>
      <c r="C88" s="20" t="s">
        <v>673</v>
      </c>
      <c r="D88" s="141">
        <v>1830000</v>
      </c>
      <c r="E88" s="20" t="s">
        <v>615</v>
      </c>
      <c r="F88" s="20" t="s">
        <v>616</v>
      </c>
      <c r="G88" s="8" t="str">
        <f t="shared" si="1"/>
        <v>YORK EDGAR</v>
      </c>
    </row>
    <row r="89" spans="1:7" x14ac:dyDescent="0.25">
      <c r="A89" s="8">
        <v>42865.440879629627</v>
      </c>
      <c r="B89" s="20" t="s">
        <v>369</v>
      </c>
      <c r="C89" s="20" t="s">
        <v>674</v>
      </c>
      <c r="D89" s="141">
        <v>940000</v>
      </c>
      <c r="E89" s="20" t="s">
        <v>436</v>
      </c>
      <c r="F89" s="20" t="s">
        <v>437</v>
      </c>
      <c r="G89" s="8" t="str">
        <f t="shared" si="1"/>
        <v>BONDS REYNALDO</v>
      </c>
    </row>
    <row r="90" spans="1:7" x14ac:dyDescent="0.25">
      <c r="A90" s="8">
        <v>42865.443148148152</v>
      </c>
      <c r="B90" s="20" t="s">
        <v>427</v>
      </c>
      <c r="C90" s="20" t="s">
        <v>675</v>
      </c>
      <c r="D90" s="141">
        <v>890000</v>
      </c>
      <c r="E90" s="20" t="s">
        <v>492</v>
      </c>
      <c r="F90" s="20" t="s">
        <v>493</v>
      </c>
      <c r="G90" s="8" t="str">
        <f t="shared" si="1"/>
        <v>LOZA FIDEL</v>
      </c>
    </row>
    <row r="91" spans="1:7" x14ac:dyDescent="0.25">
      <c r="A91" s="8">
        <v>42865.443171296298</v>
      </c>
      <c r="B91" s="20" t="s">
        <v>489</v>
      </c>
      <c r="C91" s="20" t="s">
        <v>676</v>
      </c>
      <c r="D91" s="141">
        <v>1360000</v>
      </c>
      <c r="E91" s="20" t="s">
        <v>403</v>
      </c>
      <c r="F91" s="20" t="s">
        <v>404</v>
      </c>
      <c r="G91" s="8" t="str">
        <f t="shared" si="1"/>
        <v>SANTIZO D. EDY</v>
      </c>
    </row>
    <row r="92" spans="1:7" x14ac:dyDescent="0.25">
      <c r="A92" s="8">
        <v>42865.445891203701</v>
      </c>
      <c r="B92" s="20" t="s">
        <v>490</v>
      </c>
      <c r="C92" s="20" t="s">
        <v>577</v>
      </c>
      <c r="D92" s="141">
        <v>1110000</v>
      </c>
      <c r="E92" s="20" t="s">
        <v>434</v>
      </c>
      <c r="F92" s="20" t="s">
        <v>435</v>
      </c>
      <c r="G92" s="8" t="str">
        <f t="shared" si="1"/>
        <v>STARKS ANGELINA</v>
      </c>
    </row>
    <row r="93" spans="1:7" x14ac:dyDescent="0.25">
      <c r="A93" s="8">
        <v>42865.453692129631</v>
      </c>
      <c r="B93" s="20" t="s">
        <v>343</v>
      </c>
      <c r="C93" s="20" t="s">
        <v>677</v>
      </c>
      <c r="D93" s="141">
        <v>930000</v>
      </c>
      <c r="E93" s="20" t="s">
        <v>441</v>
      </c>
      <c r="F93" s="20" t="s">
        <v>442</v>
      </c>
      <c r="G93" s="8" t="str">
        <f t="shared" si="1"/>
        <v>CLARK KATHLEEN</v>
      </c>
    </row>
    <row r="94" spans="1:7" x14ac:dyDescent="0.25">
      <c r="A94" s="8">
        <v>42865.459814814814</v>
      </c>
      <c r="B94" s="20" t="s">
        <v>678</v>
      </c>
      <c r="C94" s="20" t="s">
        <v>679</v>
      </c>
      <c r="D94" s="141">
        <v>2010000</v>
      </c>
      <c r="E94" s="20" t="s">
        <v>400</v>
      </c>
      <c r="F94" s="20" t="s">
        <v>401</v>
      </c>
      <c r="G94" s="8" t="str">
        <f t="shared" si="1"/>
        <v>MAELZER KURT</v>
      </c>
    </row>
    <row r="95" spans="1:7" x14ac:dyDescent="0.25">
      <c r="A95" s="8">
        <v>42865.460335648146</v>
      </c>
      <c r="B95" s="20" t="s">
        <v>678</v>
      </c>
      <c r="C95" s="20" t="s">
        <v>679</v>
      </c>
      <c r="D95" s="141">
        <v>2010000</v>
      </c>
      <c r="E95" s="20" t="s">
        <v>400</v>
      </c>
      <c r="F95" s="20" t="s">
        <v>401</v>
      </c>
      <c r="G95" s="8" t="str">
        <f t="shared" si="1"/>
        <v>MAELZER KURT</v>
      </c>
    </row>
    <row r="96" spans="1:7" x14ac:dyDescent="0.25">
      <c r="A96" s="8">
        <v>42865.461192129631</v>
      </c>
      <c r="B96" s="20" t="s">
        <v>678</v>
      </c>
      <c r="C96" s="20" t="s">
        <v>679</v>
      </c>
      <c r="D96" s="141">
        <v>2010000</v>
      </c>
      <c r="E96" s="20" t="s">
        <v>400</v>
      </c>
      <c r="F96" s="20" t="s">
        <v>401</v>
      </c>
      <c r="G96" s="8" t="str">
        <f t="shared" si="1"/>
        <v>MAELZER KURT</v>
      </c>
    </row>
    <row r="97" spans="1:7" x14ac:dyDescent="0.25">
      <c r="A97" s="8">
        <v>42865.463935185187</v>
      </c>
      <c r="B97" s="20" t="s">
        <v>487</v>
      </c>
      <c r="C97" s="20" t="s">
        <v>673</v>
      </c>
      <c r="D97" s="141">
        <v>1830000</v>
      </c>
      <c r="E97" s="20" t="s">
        <v>615</v>
      </c>
      <c r="F97" s="20" t="s">
        <v>616</v>
      </c>
      <c r="G97" s="8" t="str">
        <f t="shared" si="1"/>
        <v>YORK EDGAR</v>
      </c>
    </row>
    <row r="98" spans="1:7" x14ac:dyDescent="0.25">
      <c r="A98" s="8">
        <v>42865.464814814812</v>
      </c>
      <c r="B98" s="20" t="s">
        <v>487</v>
      </c>
      <c r="C98" s="20" t="s">
        <v>581</v>
      </c>
      <c r="D98" s="141">
        <v>1830000</v>
      </c>
      <c r="E98" s="20" t="s">
        <v>615</v>
      </c>
      <c r="F98" s="20" t="s">
        <v>616</v>
      </c>
      <c r="G98" s="8" t="str">
        <f t="shared" si="1"/>
        <v>YORK EDGAR</v>
      </c>
    </row>
    <row r="99" spans="1:7" x14ac:dyDescent="0.25">
      <c r="A99" s="8">
        <v>42865.465104166666</v>
      </c>
      <c r="B99" s="20" t="s">
        <v>428</v>
      </c>
      <c r="C99" s="20" t="s">
        <v>578</v>
      </c>
      <c r="D99" s="141">
        <v>900000</v>
      </c>
      <c r="E99" s="20" t="s">
        <v>494</v>
      </c>
      <c r="F99" s="20" t="s">
        <v>495</v>
      </c>
      <c r="G99" s="8" t="str">
        <f t="shared" si="1"/>
        <v>ROCHA YAOTL</v>
      </c>
    </row>
    <row r="100" spans="1:7" x14ac:dyDescent="0.25">
      <c r="A100" s="8">
        <v>42865.466828703706</v>
      </c>
      <c r="B100" s="20" t="s">
        <v>419</v>
      </c>
      <c r="C100" s="20" t="s">
        <v>680</v>
      </c>
      <c r="D100" s="141">
        <v>920000</v>
      </c>
      <c r="E100" s="20" t="s">
        <v>402</v>
      </c>
      <c r="F100" s="20" t="s">
        <v>196</v>
      </c>
      <c r="G100" s="8" t="str">
        <f t="shared" si="1"/>
        <v>DAVIS MICHAEL</v>
      </c>
    </row>
    <row r="101" spans="1:7" x14ac:dyDescent="0.25">
      <c r="A101" s="8">
        <v>42865.469456018516</v>
      </c>
      <c r="B101" s="20" t="s">
        <v>426</v>
      </c>
      <c r="C101" s="20" t="s">
        <v>681</v>
      </c>
      <c r="D101" s="141">
        <v>890000</v>
      </c>
      <c r="E101" s="20" t="s">
        <v>492</v>
      </c>
      <c r="F101" s="20" t="s">
        <v>493</v>
      </c>
      <c r="G101" s="8" t="str">
        <f t="shared" si="1"/>
        <v>LOZA FIDEL</v>
      </c>
    </row>
    <row r="102" spans="1:7" x14ac:dyDescent="0.25">
      <c r="A102" s="8">
        <v>42865.475972222222</v>
      </c>
      <c r="B102" s="20" t="s">
        <v>365</v>
      </c>
      <c r="C102" s="20" t="s">
        <v>682</v>
      </c>
      <c r="D102" s="141">
        <v>3090000</v>
      </c>
      <c r="E102" s="20" t="s">
        <v>443</v>
      </c>
      <c r="F102" s="20" t="s">
        <v>444</v>
      </c>
      <c r="G102" s="8" t="str">
        <f t="shared" si="1"/>
        <v>LAMAR NEKESHA</v>
      </c>
    </row>
    <row r="103" spans="1:7" x14ac:dyDescent="0.25">
      <c r="A103" s="8">
        <v>42865.481481481482</v>
      </c>
      <c r="B103" s="20" t="s">
        <v>575</v>
      </c>
      <c r="C103" s="20" t="s">
        <v>579</v>
      </c>
      <c r="D103" s="141">
        <v>3030000</v>
      </c>
      <c r="E103" s="20" t="s">
        <v>449</v>
      </c>
      <c r="F103" s="20" t="s">
        <v>420</v>
      </c>
      <c r="G103" s="8" t="str">
        <f t="shared" si="1"/>
        <v>BIRENBAUM THOMAS</v>
      </c>
    </row>
    <row r="104" spans="1:7" x14ac:dyDescent="0.25">
      <c r="A104" s="8">
        <v>42865.484120370369</v>
      </c>
      <c r="B104" s="20" t="s">
        <v>427</v>
      </c>
      <c r="C104" s="20" t="s">
        <v>683</v>
      </c>
      <c r="D104" s="141">
        <v>890000</v>
      </c>
      <c r="E104" s="20" t="s">
        <v>492</v>
      </c>
      <c r="F104" s="20" t="s">
        <v>493</v>
      </c>
      <c r="G104" s="8" t="str">
        <f t="shared" si="1"/>
        <v>LOZA FIDEL</v>
      </c>
    </row>
    <row r="105" spans="1:7" x14ac:dyDescent="0.25">
      <c r="A105" s="8">
        <v>42865.484872685185</v>
      </c>
      <c r="B105" s="20" t="s">
        <v>486</v>
      </c>
      <c r="C105" s="20" t="s">
        <v>580</v>
      </c>
      <c r="D105" s="141">
        <v>1110000</v>
      </c>
      <c r="E105" s="20" t="s">
        <v>434</v>
      </c>
      <c r="F105" s="20" t="s">
        <v>435</v>
      </c>
      <c r="G105" s="8" t="str">
        <f t="shared" si="1"/>
        <v>STARKS ANGELINA</v>
      </c>
    </row>
    <row r="106" spans="1:7" x14ac:dyDescent="0.25">
      <c r="A106" s="8">
        <v>42865.48609953704</v>
      </c>
      <c r="B106" s="20" t="s">
        <v>491</v>
      </c>
      <c r="C106" s="20" t="s">
        <v>684</v>
      </c>
      <c r="D106" s="141">
        <v>1540000</v>
      </c>
      <c r="E106" s="20" t="s">
        <v>685</v>
      </c>
      <c r="F106" s="20" t="s">
        <v>686</v>
      </c>
      <c r="G106" s="8" t="str">
        <f t="shared" si="1"/>
        <v>HELVIE ADAM</v>
      </c>
    </row>
    <row r="107" spans="1:7" x14ac:dyDescent="0.25">
      <c r="A107" s="8">
        <v>42865.493854166663</v>
      </c>
      <c r="B107" s="20" t="s">
        <v>344</v>
      </c>
      <c r="C107" s="20" t="s">
        <v>687</v>
      </c>
      <c r="D107" s="141">
        <v>930000</v>
      </c>
      <c r="E107" s="20" t="s">
        <v>441</v>
      </c>
      <c r="F107" s="20" t="s">
        <v>442</v>
      </c>
      <c r="G107" s="8" t="str">
        <f t="shared" si="1"/>
        <v>CLARK KATHLEEN</v>
      </c>
    </row>
    <row r="108" spans="1:7" x14ac:dyDescent="0.25">
      <c r="A108" s="8">
        <v>42865.497199074074</v>
      </c>
      <c r="B108" s="20" t="s">
        <v>431</v>
      </c>
      <c r="C108" s="20" t="s">
        <v>582</v>
      </c>
      <c r="D108" s="141">
        <v>3030000</v>
      </c>
      <c r="E108" s="20" t="s">
        <v>449</v>
      </c>
      <c r="F108" s="20" t="s">
        <v>420</v>
      </c>
      <c r="G108" s="8" t="str">
        <f t="shared" si="1"/>
        <v>BIRENBAUM THOMAS</v>
      </c>
    </row>
    <row r="109" spans="1:7" x14ac:dyDescent="0.25">
      <c r="A109" s="8">
        <v>42865.499166666668</v>
      </c>
      <c r="B109" s="20" t="s">
        <v>678</v>
      </c>
      <c r="C109" s="20" t="s">
        <v>688</v>
      </c>
      <c r="D109" s="141">
        <v>900000</v>
      </c>
      <c r="E109" s="20" t="s">
        <v>494</v>
      </c>
      <c r="F109" s="20" t="s">
        <v>495</v>
      </c>
      <c r="G109" s="8" t="str">
        <f t="shared" si="1"/>
        <v>ROCHA YAOTL</v>
      </c>
    </row>
    <row r="110" spans="1:7" x14ac:dyDescent="0.25">
      <c r="A110" s="8">
        <v>42865.503877314812</v>
      </c>
      <c r="B110" s="20" t="s">
        <v>426</v>
      </c>
      <c r="C110" s="20" t="s">
        <v>689</v>
      </c>
      <c r="D110" s="141">
        <v>890000</v>
      </c>
      <c r="E110" s="20" t="s">
        <v>492</v>
      </c>
      <c r="F110" s="20" t="s">
        <v>493</v>
      </c>
      <c r="G110" s="8" t="str">
        <f t="shared" si="1"/>
        <v>LOZA FIDEL</v>
      </c>
    </row>
    <row r="111" spans="1:7" x14ac:dyDescent="0.25">
      <c r="A111" s="8">
        <v>42865.506678240738</v>
      </c>
      <c r="B111" s="20" t="s">
        <v>417</v>
      </c>
      <c r="C111" s="20" t="s">
        <v>583</v>
      </c>
      <c r="D111" s="141">
        <v>920000</v>
      </c>
      <c r="E111" s="20" t="s">
        <v>402</v>
      </c>
      <c r="F111" s="20" t="s">
        <v>196</v>
      </c>
      <c r="G111" s="8" t="str">
        <f t="shared" si="1"/>
        <v>DAVIS MICHAEL</v>
      </c>
    </row>
    <row r="112" spans="1:7" x14ac:dyDescent="0.25">
      <c r="A112" s="8">
        <v>42865.508159722223</v>
      </c>
      <c r="B112" s="20" t="s">
        <v>369</v>
      </c>
      <c r="C112" s="20" t="s">
        <v>690</v>
      </c>
      <c r="D112" s="141">
        <v>3090000</v>
      </c>
      <c r="E112" s="20" t="s">
        <v>443</v>
      </c>
      <c r="F112" s="20" t="s">
        <v>444</v>
      </c>
      <c r="G112" s="8" t="str">
        <f t="shared" si="1"/>
        <v>LAMAR NEKESHA</v>
      </c>
    </row>
    <row r="113" spans="1:7" x14ac:dyDescent="0.25">
      <c r="A113" s="8">
        <v>42865.508553240739</v>
      </c>
      <c r="B113" s="20" t="s">
        <v>488</v>
      </c>
      <c r="C113" s="20" t="s">
        <v>691</v>
      </c>
      <c r="D113" s="141">
        <v>1300000</v>
      </c>
      <c r="E113" s="20" t="s">
        <v>405</v>
      </c>
      <c r="F113" s="20" t="s">
        <v>406</v>
      </c>
      <c r="G113" s="8" t="str">
        <f t="shared" si="1"/>
        <v>LEVIN SCOTT</v>
      </c>
    </row>
    <row r="114" spans="1:7" x14ac:dyDescent="0.25">
      <c r="A114" s="8">
        <v>42865.519571759258</v>
      </c>
      <c r="B114" s="20" t="s">
        <v>490</v>
      </c>
      <c r="C114" s="20" t="s">
        <v>584</v>
      </c>
      <c r="D114" s="141">
        <v>3120000</v>
      </c>
      <c r="E114" s="20" t="s">
        <v>496</v>
      </c>
      <c r="F114" s="20" t="s">
        <v>497</v>
      </c>
      <c r="G114" s="8" t="str">
        <f t="shared" si="1"/>
        <v>THOMPSON LESTER</v>
      </c>
    </row>
    <row r="115" spans="1:7" x14ac:dyDescent="0.25">
      <c r="A115" s="8">
        <v>42865.525509259256</v>
      </c>
      <c r="B115" s="20" t="s">
        <v>427</v>
      </c>
      <c r="C115" s="20" t="s">
        <v>692</v>
      </c>
      <c r="D115" s="141">
        <v>890000</v>
      </c>
      <c r="E115" s="20" t="s">
        <v>492</v>
      </c>
      <c r="F115" s="20" t="s">
        <v>493</v>
      </c>
      <c r="G115" s="8" t="str">
        <f t="shared" si="1"/>
        <v>LOZA FIDEL</v>
      </c>
    </row>
    <row r="116" spans="1:7" x14ac:dyDescent="0.25">
      <c r="A116" s="8">
        <v>42865.526076388887</v>
      </c>
      <c r="B116" s="20" t="s">
        <v>489</v>
      </c>
      <c r="C116" s="20" t="s">
        <v>693</v>
      </c>
      <c r="D116" s="141">
        <v>1540000</v>
      </c>
      <c r="E116" s="20" t="s">
        <v>685</v>
      </c>
      <c r="F116" s="20" t="s">
        <v>686</v>
      </c>
      <c r="G116" s="8" t="str">
        <f t="shared" si="1"/>
        <v>HELVIE ADAM</v>
      </c>
    </row>
    <row r="117" spans="1:7" x14ac:dyDescent="0.25">
      <c r="A117" s="8">
        <v>42865.528240740743</v>
      </c>
      <c r="B117" s="20" t="s">
        <v>343</v>
      </c>
      <c r="C117" s="20" t="s">
        <v>694</v>
      </c>
      <c r="D117" s="141">
        <v>930000</v>
      </c>
      <c r="E117" s="20" t="s">
        <v>441</v>
      </c>
      <c r="F117" s="20" t="s">
        <v>442</v>
      </c>
      <c r="G117" s="8" t="str">
        <f t="shared" si="1"/>
        <v>CLARK KATHLEEN</v>
      </c>
    </row>
    <row r="118" spans="1:7" x14ac:dyDescent="0.25">
      <c r="A118" s="8">
        <v>42865.529988425929</v>
      </c>
      <c r="B118" s="20" t="s">
        <v>428</v>
      </c>
      <c r="C118" s="20" t="s">
        <v>695</v>
      </c>
      <c r="D118" s="141">
        <v>3030000</v>
      </c>
      <c r="E118" s="20" t="s">
        <v>449</v>
      </c>
      <c r="F118" s="20" t="s">
        <v>420</v>
      </c>
      <c r="G118" s="8" t="str">
        <f t="shared" si="1"/>
        <v>BIRENBAUM THOMAS</v>
      </c>
    </row>
    <row r="119" spans="1:7" x14ac:dyDescent="0.25">
      <c r="A119" s="8">
        <v>42865.540763888886</v>
      </c>
      <c r="B119" s="20" t="s">
        <v>419</v>
      </c>
      <c r="C119" s="20" t="s">
        <v>696</v>
      </c>
      <c r="D119" s="141">
        <v>920000</v>
      </c>
      <c r="E119" s="20" t="s">
        <v>402</v>
      </c>
      <c r="F119" s="20" t="s">
        <v>196</v>
      </c>
      <c r="G119" s="8" t="str">
        <f t="shared" si="1"/>
        <v>DAVIS MICHAEL</v>
      </c>
    </row>
    <row r="120" spans="1:7" x14ac:dyDescent="0.25">
      <c r="A120" s="8">
        <v>42865.54792824074</v>
      </c>
      <c r="B120" s="20" t="s">
        <v>487</v>
      </c>
      <c r="C120" s="20" t="s">
        <v>697</v>
      </c>
      <c r="D120" s="141">
        <v>1300000</v>
      </c>
      <c r="E120" s="20" t="s">
        <v>405</v>
      </c>
      <c r="F120" s="20" t="s">
        <v>406</v>
      </c>
      <c r="G120" s="8" t="str">
        <f t="shared" si="1"/>
        <v>LEVIN SCOTT</v>
      </c>
    </row>
    <row r="121" spans="1:7" x14ac:dyDescent="0.25">
      <c r="A121" s="8">
        <v>42865.549814814818</v>
      </c>
      <c r="B121" s="20" t="s">
        <v>365</v>
      </c>
      <c r="C121" s="20" t="s">
        <v>698</v>
      </c>
      <c r="D121" s="141">
        <v>3090000</v>
      </c>
      <c r="E121" s="20" t="s">
        <v>443</v>
      </c>
      <c r="F121" s="20" t="s">
        <v>444</v>
      </c>
      <c r="G121" s="8" t="str">
        <f t="shared" si="1"/>
        <v>LAMAR NEKESHA</v>
      </c>
    </row>
    <row r="122" spans="1:7" x14ac:dyDescent="0.25">
      <c r="A122" s="8">
        <v>42865.549872685187</v>
      </c>
      <c r="B122" s="25" t="s">
        <v>426</v>
      </c>
      <c r="C122" s="20" t="s">
        <v>699</v>
      </c>
      <c r="D122" s="141">
        <v>2540000</v>
      </c>
      <c r="E122" s="20" t="s">
        <v>700</v>
      </c>
      <c r="F122" s="20" t="s">
        <v>701</v>
      </c>
      <c r="G122" s="8" t="str">
        <f t="shared" si="1"/>
        <v>MCREYNOLDS KYLE</v>
      </c>
    </row>
    <row r="123" spans="1:7" x14ac:dyDescent="0.25">
      <c r="A123" s="8">
        <v>42865.557870370372</v>
      </c>
      <c r="B123" s="20" t="s">
        <v>486</v>
      </c>
      <c r="C123" s="20" t="s">
        <v>702</v>
      </c>
      <c r="D123" s="141">
        <v>3120000</v>
      </c>
      <c r="E123" s="20" t="s">
        <v>496</v>
      </c>
      <c r="F123" s="20" t="s">
        <v>497</v>
      </c>
      <c r="G123" s="8" t="str">
        <f t="shared" si="1"/>
        <v>THOMPSON LESTER</v>
      </c>
    </row>
    <row r="124" spans="1:7" x14ac:dyDescent="0.25">
      <c r="A124" s="8">
        <v>42865.559513888889</v>
      </c>
      <c r="B124" s="20" t="s">
        <v>491</v>
      </c>
      <c r="C124" s="20" t="s">
        <v>703</v>
      </c>
      <c r="D124" s="141">
        <v>1540000</v>
      </c>
      <c r="E124" s="20" t="s">
        <v>685</v>
      </c>
      <c r="F124" s="20" t="s">
        <v>686</v>
      </c>
      <c r="G124" s="8" t="str">
        <f t="shared" si="1"/>
        <v>HELVIE ADAM</v>
      </c>
    </row>
    <row r="125" spans="1:7" x14ac:dyDescent="0.25">
      <c r="A125" s="8">
        <v>42865.56590277778</v>
      </c>
      <c r="B125" s="20" t="s">
        <v>344</v>
      </c>
      <c r="C125" s="20" t="s">
        <v>704</v>
      </c>
      <c r="D125" s="141">
        <v>930000</v>
      </c>
      <c r="E125" s="20" t="s">
        <v>441</v>
      </c>
      <c r="F125" s="20" t="s">
        <v>442</v>
      </c>
      <c r="G125" s="8" t="str">
        <f t="shared" si="1"/>
        <v>CLARK KATHLEEN</v>
      </c>
    </row>
    <row r="126" spans="1:7" x14ac:dyDescent="0.25">
      <c r="A126" s="8">
        <v>42865.568715277775</v>
      </c>
      <c r="B126" s="20" t="s">
        <v>431</v>
      </c>
      <c r="C126" s="20" t="s">
        <v>705</v>
      </c>
      <c r="D126" s="141">
        <v>3030000</v>
      </c>
      <c r="E126" s="20" t="s">
        <v>449</v>
      </c>
      <c r="F126" s="20" t="s">
        <v>420</v>
      </c>
      <c r="G126" s="8" t="str">
        <f t="shared" si="1"/>
        <v>BIRENBAUM THOMAS</v>
      </c>
    </row>
    <row r="127" spans="1:7" x14ac:dyDescent="0.25">
      <c r="A127" s="8">
        <v>42865.56925925926</v>
      </c>
      <c r="B127" s="20" t="s">
        <v>427</v>
      </c>
      <c r="C127" s="20" t="s">
        <v>706</v>
      </c>
      <c r="D127" s="141">
        <v>2540000</v>
      </c>
      <c r="E127" s="20" t="s">
        <v>700</v>
      </c>
      <c r="F127" s="20" t="s">
        <v>701</v>
      </c>
      <c r="G127" s="8" t="str">
        <f t="shared" si="1"/>
        <v>MCREYNOLDS KYLE</v>
      </c>
    </row>
    <row r="128" spans="1:7" x14ac:dyDescent="0.25">
      <c r="A128" s="8">
        <v>42865.578043981484</v>
      </c>
      <c r="B128" s="20" t="s">
        <v>488</v>
      </c>
      <c r="C128" s="20" t="s">
        <v>586</v>
      </c>
      <c r="D128" s="141">
        <v>1300000</v>
      </c>
      <c r="E128" s="20" t="s">
        <v>405</v>
      </c>
      <c r="F128" s="20" t="s">
        <v>406</v>
      </c>
      <c r="G128" s="8" t="str">
        <f t="shared" si="1"/>
        <v>LEVIN SCOTT</v>
      </c>
    </row>
    <row r="129" spans="1:7" x14ac:dyDescent="0.25">
      <c r="A129" s="8">
        <v>42865.578726851854</v>
      </c>
      <c r="B129" s="20" t="s">
        <v>417</v>
      </c>
      <c r="C129" s="20" t="s">
        <v>707</v>
      </c>
      <c r="D129" s="141">
        <v>920000</v>
      </c>
      <c r="E129" s="20" t="s">
        <v>402</v>
      </c>
      <c r="F129" s="20" t="s">
        <v>196</v>
      </c>
      <c r="G129" s="8" t="str">
        <f t="shared" si="1"/>
        <v>DAVIS MICHAEL</v>
      </c>
    </row>
    <row r="130" spans="1:7" x14ac:dyDescent="0.25">
      <c r="A130" s="8">
        <v>42865.582071759258</v>
      </c>
      <c r="B130" s="20" t="s">
        <v>426</v>
      </c>
      <c r="C130" s="20" t="s">
        <v>585</v>
      </c>
      <c r="D130" s="141">
        <v>2540000</v>
      </c>
      <c r="E130" s="20" t="s">
        <v>700</v>
      </c>
      <c r="F130" s="20" t="s">
        <v>701</v>
      </c>
      <c r="G130" s="8" t="str">
        <f t="shared" si="1"/>
        <v>MCREYNOLDS KYLE</v>
      </c>
    </row>
    <row r="131" spans="1:7" x14ac:dyDescent="0.25">
      <c r="A131" s="8">
        <v>42865.586261574077</v>
      </c>
      <c r="B131" s="20" t="s">
        <v>369</v>
      </c>
      <c r="C131" s="20" t="s">
        <v>708</v>
      </c>
      <c r="D131" s="141">
        <v>3090000</v>
      </c>
      <c r="E131" s="20" t="s">
        <v>443</v>
      </c>
      <c r="F131" s="20" t="s">
        <v>444</v>
      </c>
      <c r="G131" s="8" t="str">
        <f t="shared" ref="G131:G194" si="2">E131&amp;" "&amp;F131</f>
        <v>LAMAR NEKESHA</v>
      </c>
    </row>
    <row r="132" spans="1:7" x14ac:dyDescent="0.25">
      <c r="A132" s="8">
        <v>42865.590358796297</v>
      </c>
      <c r="B132" s="20" t="s">
        <v>490</v>
      </c>
      <c r="C132" s="20" t="s">
        <v>709</v>
      </c>
      <c r="D132" s="141">
        <v>3120000</v>
      </c>
      <c r="E132" s="20" t="s">
        <v>496</v>
      </c>
      <c r="F132" s="20" t="s">
        <v>497</v>
      </c>
      <c r="G132" s="8" t="str">
        <f t="shared" si="2"/>
        <v>THOMPSON LESTER</v>
      </c>
    </row>
    <row r="133" spans="1:7" x14ac:dyDescent="0.25">
      <c r="A133" s="8">
        <v>42865.599328703705</v>
      </c>
      <c r="B133" s="20" t="s">
        <v>489</v>
      </c>
      <c r="C133" s="20" t="s">
        <v>710</v>
      </c>
      <c r="D133" s="141">
        <v>1540000</v>
      </c>
      <c r="E133" s="20" t="s">
        <v>685</v>
      </c>
      <c r="F133" s="20" t="s">
        <v>686</v>
      </c>
      <c r="G133" s="8" t="str">
        <f t="shared" si="2"/>
        <v>HELVIE ADAM</v>
      </c>
    </row>
    <row r="134" spans="1:7" x14ac:dyDescent="0.25">
      <c r="A134" s="8">
        <v>42865.600046296298</v>
      </c>
      <c r="B134" s="20" t="s">
        <v>428</v>
      </c>
      <c r="C134" s="20" t="s">
        <v>711</v>
      </c>
      <c r="D134" s="141">
        <v>3030000</v>
      </c>
      <c r="E134" s="20" t="s">
        <v>449</v>
      </c>
      <c r="F134" s="20" t="s">
        <v>420</v>
      </c>
      <c r="G134" s="8" t="str">
        <f t="shared" si="2"/>
        <v>BIRENBAUM THOMAS</v>
      </c>
    </row>
    <row r="135" spans="1:7" x14ac:dyDescent="0.25">
      <c r="A135" s="8">
        <v>42865.602256944447</v>
      </c>
      <c r="B135" s="20" t="s">
        <v>343</v>
      </c>
      <c r="C135" s="20" t="s">
        <v>712</v>
      </c>
      <c r="D135" s="141">
        <v>930000</v>
      </c>
      <c r="E135" s="20" t="s">
        <v>441</v>
      </c>
      <c r="F135" s="20" t="s">
        <v>442</v>
      </c>
      <c r="G135" s="8" t="str">
        <f t="shared" si="2"/>
        <v>CLARK KATHLEEN</v>
      </c>
    </row>
    <row r="136" spans="1:7" x14ac:dyDescent="0.25">
      <c r="A136" s="8">
        <v>42865.610173611109</v>
      </c>
      <c r="B136" s="20" t="s">
        <v>427</v>
      </c>
      <c r="C136" s="20" t="s">
        <v>713</v>
      </c>
      <c r="D136" s="141">
        <v>2540000</v>
      </c>
      <c r="E136" s="20" t="s">
        <v>700</v>
      </c>
      <c r="F136" s="20" t="s">
        <v>701</v>
      </c>
      <c r="G136" s="8" t="str">
        <f t="shared" si="2"/>
        <v>MCREYNOLDS KYLE</v>
      </c>
    </row>
    <row r="137" spans="1:7" x14ac:dyDescent="0.25">
      <c r="A137" s="8">
        <v>42865.612546296295</v>
      </c>
      <c r="B137" s="20" t="s">
        <v>419</v>
      </c>
      <c r="C137" s="20" t="s">
        <v>714</v>
      </c>
      <c r="D137" s="141">
        <v>920000</v>
      </c>
      <c r="E137" s="20" t="s">
        <v>402</v>
      </c>
      <c r="F137" s="20" t="s">
        <v>196</v>
      </c>
      <c r="G137" s="8" t="str">
        <f t="shared" si="2"/>
        <v>DAVIS MICHAEL</v>
      </c>
    </row>
    <row r="138" spans="1:7" x14ac:dyDescent="0.25">
      <c r="A138" s="8">
        <v>42865.619305555556</v>
      </c>
      <c r="B138" s="20" t="s">
        <v>487</v>
      </c>
      <c r="C138" s="20" t="s">
        <v>715</v>
      </c>
      <c r="D138" s="141">
        <v>1300000</v>
      </c>
      <c r="E138" s="20" t="s">
        <v>405</v>
      </c>
      <c r="F138" s="20" t="s">
        <v>406</v>
      </c>
      <c r="G138" s="8" t="str">
        <f t="shared" si="2"/>
        <v>LEVIN SCOTT</v>
      </c>
    </row>
    <row r="139" spans="1:7" x14ac:dyDescent="0.25">
      <c r="A139" s="8">
        <v>42865.620289351849</v>
      </c>
      <c r="B139" s="20" t="s">
        <v>365</v>
      </c>
      <c r="C139" s="20" t="s">
        <v>716</v>
      </c>
      <c r="D139" s="141">
        <v>3090000</v>
      </c>
      <c r="E139" s="20" t="s">
        <v>443</v>
      </c>
      <c r="F139" s="20" t="s">
        <v>444</v>
      </c>
      <c r="G139" s="8" t="str">
        <f t="shared" si="2"/>
        <v>LAMAR NEKESHA</v>
      </c>
    </row>
    <row r="140" spans="1:7" x14ac:dyDescent="0.25">
      <c r="A140" s="8">
        <v>42865.623726851853</v>
      </c>
      <c r="B140" s="20" t="s">
        <v>426</v>
      </c>
      <c r="C140" s="20" t="s">
        <v>717</v>
      </c>
      <c r="D140" s="141">
        <v>2540000</v>
      </c>
      <c r="E140" s="20" t="s">
        <v>700</v>
      </c>
      <c r="F140" s="20" t="s">
        <v>701</v>
      </c>
      <c r="G140" s="8" t="str">
        <f t="shared" si="2"/>
        <v>MCREYNOLDS KYLE</v>
      </c>
    </row>
    <row r="141" spans="1:7" x14ac:dyDescent="0.25">
      <c r="A141" s="8">
        <v>42865.629074074073</v>
      </c>
      <c r="B141" s="20" t="s">
        <v>491</v>
      </c>
      <c r="C141" s="20" t="s">
        <v>588</v>
      </c>
      <c r="D141" s="141">
        <v>2370000</v>
      </c>
      <c r="E141" s="20" t="s">
        <v>670</v>
      </c>
      <c r="F141" s="20" t="s">
        <v>671</v>
      </c>
      <c r="G141" s="8" t="str">
        <f t="shared" si="2"/>
        <v>DELGADO DIANAH</v>
      </c>
    </row>
    <row r="142" spans="1:7" x14ac:dyDescent="0.25">
      <c r="A142" s="8">
        <v>42865.630925925929</v>
      </c>
      <c r="B142" s="20" t="s">
        <v>486</v>
      </c>
      <c r="C142" s="20" t="s">
        <v>718</v>
      </c>
      <c r="D142" s="141">
        <v>3120000</v>
      </c>
      <c r="E142" s="20" t="s">
        <v>496</v>
      </c>
      <c r="F142" s="20" t="s">
        <v>497</v>
      </c>
      <c r="G142" s="8" t="str">
        <f t="shared" si="2"/>
        <v>THOMPSON LESTER</v>
      </c>
    </row>
    <row r="143" spans="1:7" x14ac:dyDescent="0.25">
      <c r="A143" s="8">
        <v>42865.63994212963</v>
      </c>
      <c r="B143" s="20" t="s">
        <v>344</v>
      </c>
      <c r="C143" s="20" t="s">
        <v>719</v>
      </c>
      <c r="D143" s="141">
        <v>930000</v>
      </c>
      <c r="E143" s="20" t="s">
        <v>441</v>
      </c>
      <c r="F143" s="20" t="s">
        <v>442</v>
      </c>
      <c r="G143" s="8" t="str">
        <f t="shared" si="2"/>
        <v>CLARK KATHLEEN</v>
      </c>
    </row>
    <row r="144" spans="1:7" x14ac:dyDescent="0.25">
      <c r="A144" s="8">
        <v>42865.642233796294</v>
      </c>
      <c r="B144" s="20" t="s">
        <v>431</v>
      </c>
      <c r="C144" s="20" t="s">
        <v>587</v>
      </c>
      <c r="D144" s="141">
        <v>3030000</v>
      </c>
      <c r="E144" s="20" t="s">
        <v>449</v>
      </c>
      <c r="F144" s="20" t="s">
        <v>420</v>
      </c>
      <c r="G144" s="8" t="str">
        <f t="shared" si="2"/>
        <v>BIRENBAUM THOMAS</v>
      </c>
    </row>
    <row r="145" spans="1:7" x14ac:dyDescent="0.25">
      <c r="A145" s="8">
        <v>42865.642812500002</v>
      </c>
      <c r="B145" s="20" t="s">
        <v>564</v>
      </c>
      <c r="C145" s="20" t="s">
        <v>720</v>
      </c>
      <c r="D145" s="141">
        <v>1800000</v>
      </c>
      <c r="E145" s="20" t="s">
        <v>445</v>
      </c>
      <c r="F145" s="20" t="s">
        <v>446</v>
      </c>
      <c r="G145" s="8" t="str">
        <f t="shared" si="2"/>
        <v>CHANDLER KELVIN</v>
      </c>
    </row>
    <row r="146" spans="1:7" x14ac:dyDescent="0.25">
      <c r="A146" s="8">
        <v>42865.650821759256</v>
      </c>
      <c r="B146" s="20" t="s">
        <v>427</v>
      </c>
      <c r="C146" s="20" t="s">
        <v>721</v>
      </c>
      <c r="D146" s="141">
        <v>2540000</v>
      </c>
      <c r="E146" s="20" t="s">
        <v>700</v>
      </c>
      <c r="F146" s="20" t="s">
        <v>701</v>
      </c>
      <c r="G146" s="8" t="str">
        <f t="shared" si="2"/>
        <v>MCREYNOLDS KYLE</v>
      </c>
    </row>
    <row r="147" spans="1:7" x14ac:dyDescent="0.25">
      <c r="A147" s="8">
        <v>42865.652592592596</v>
      </c>
      <c r="B147" s="20" t="s">
        <v>417</v>
      </c>
      <c r="C147" s="20" t="s">
        <v>722</v>
      </c>
      <c r="D147" s="141">
        <v>920000</v>
      </c>
      <c r="E147" s="20" t="s">
        <v>402</v>
      </c>
      <c r="F147" s="20" t="s">
        <v>196</v>
      </c>
      <c r="G147" s="8" t="str">
        <f t="shared" si="2"/>
        <v>DAVIS MICHAEL</v>
      </c>
    </row>
    <row r="148" spans="1:7" x14ac:dyDescent="0.25">
      <c r="A148" s="8">
        <v>42865.653113425928</v>
      </c>
      <c r="B148" s="20" t="s">
        <v>488</v>
      </c>
      <c r="C148" s="20" t="s">
        <v>723</v>
      </c>
      <c r="D148" s="141">
        <v>1300000</v>
      </c>
      <c r="E148" s="20" t="s">
        <v>405</v>
      </c>
      <c r="F148" s="20" t="s">
        <v>406</v>
      </c>
      <c r="G148" s="8" t="str">
        <f t="shared" si="2"/>
        <v>LEVIN SCOTT</v>
      </c>
    </row>
    <row r="149" spans="1:7" x14ac:dyDescent="0.25">
      <c r="A149" s="8">
        <v>42865.658761574072</v>
      </c>
      <c r="B149" s="20" t="s">
        <v>369</v>
      </c>
      <c r="C149" s="20" t="s">
        <v>724</v>
      </c>
      <c r="D149" s="141">
        <v>3090000</v>
      </c>
      <c r="E149" s="20" t="s">
        <v>443</v>
      </c>
      <c r="F149" s="20" t="s">
        <v>444</v>
      </c>
      <c r="G149" s="8" t="str">
        <f t="shared" si="2"/>
        <v>LAMAR NEKESHA</v>
      </c>
    </row>
    <row r="150" spans="1:7" x14ac:dyDescent="0.25">
      <c r="A150" s="8">
        <v>42865.660092592596</v>
      </c>
      <c r="B150" s="20" t="s">
        <v>569</v>
      </c>
      <c r="C150" s="20" t="s">
        <v>725</v>
      </c>
      <c r="D150" s="141">
        <v>1800000</v>
      </c>
      <c r="E150" s="20" t="s">
        <v>445</v>
      </c>
      <c r="F150" s="20" t="s">
        <v>446</v>
      </c>
      <c r="G150" s="8" t="str">
        <f t="shared" si="2"/>
        <v>CHANDLER KELVIN</v>
      </c>
    </row>
    <row r="151" spans="1:7" x14ac:dyDescent="0.25">
      <c r="A151" s="8">
        <v>42865.664918981478</v>
      </c>
      <c r="B151" s="20" t="s">
        <v>490</v>
      </c>
      <c r="C151" s="20" t="s">
        <v>726</v>
      </c>
      <c r="D151" s="141">
        <v>3120000</v>
      </c>
      <c r="E151" s="20" t="s">
        <v>496</v>
      </c>
      <c r="F151" s="20" t="s">
        <v>497</v>
      </c>
      <c r="G151" s="8" t="str">
        <f t="shared" si="2"/>
        <v>THOMPSON LESTER</v>
      </c>
    </row>
    <row r="152" spans="1:7" x14ac:dyDescent="0.25">
      <c r="A152" s="8">
        <v>42865.666377314818</v>
      </c>
      <c r="B152" s="20" t="s">
        <v>426</v>
      </c>
      <c r="C152" s="20" t="s">
        <v>727</v>
      </c>
      <c r="D152" s="141">
        <v>2440000</v>
      </c>
      <c r="E152" s="20" t="s">
        <v>728</v>
      </c>
      <c r="F152" s="20" t="s">
        <v>729</v>
      </c>
      <c r="G152" s="8" t="str">
        <f t="shared" si="2"/>
        <v>LOPES KIMBERLY</v>
      </c>
    </row>
    <row r="153" spans="1:7" x14ac:dyDescent="0.25">
      <c r="A153" s="8">
        <v>42865.669340277775</v>
      </c>
      <c r="B153" s="20" t="s">
        <v>489</v>
      </c>
      <c r="C153" s="20" t="s">
        <v>730</v>
      </c>
      <c r="D153" s="141">
        <v>2370000</v>
      </c>
      <c r="E153" s="20" t="s">
        <v>670</v>
      </c>
      <c r="F153" s="20" t="s">
        <v>671</v>
      </c>
      <c r="G153" s="8" t="str">
        <f t="shared" si="2"/>
        <v>DELGADO DIANAH</v>
      </c>
    </row>
    <row r="154" spans="1:7" x14ac:dyDescent="0.25">
      <c r="A154" s="8">
        <v>42865.673414351855</v>
      </c>
      <c r="B154" s="20" t="s">
        <v>564</v>
      </c>
      <c r="C154" s="20" t="s">
        <v>589</v>
      </c>
      <c r="D154" s="141">
        <v>1800000</v>
      </c>
      <c r="E154" s="20" t="s">
        <v>445</v>
      </c>
      <c r="F154" s="20" t="s">
        <v>446</v>
      </c>
      <c r="G154" s="8" t="str">
        <f t="shared" si="2"/>
        <v>CHANDLER KELVIN</v>
      </c>
    </row>
    <row r="155" spans="1:7" x14ac:dyDescent="0.25">
      <c r="A155" s="8">
        <v>42865.675057870372</v>
      </c>
      <c r="B155" s="20" t="s">
        <v>343</v>
      </c>
      <c r="C155" s="20" t="s">
        <v>731</v>
      </c>
      <c r="D155" s="141">
        <v>930000</v>
      </c>
      <c r="E155" s="20" t="s">
        <v>441</v>
      </c>
      <c r="F155" s="20" t="s">
        <v>442</v>
      </c>
      <c r="G155" s="8" t="str">
        <f t="shared" si="2"/>
        <v>CLARK KATHLEEN</v>
      </c>
    </row>
    <row r="156" spans="1:7" x14ac:dyDescent="0.25">
      <c r="A156" s="8">
        <v>42865.68241898148</v>
      </c>
      <c r="B156" s="20" t="s">
        <v>428</v>
      </c>
      <c r="C156" s="20" t="s">
        <v>732</v>
      </c>
      <c r="D156" s="141">
        <v>3030000</v>
      </c>
      <c r="E156" s="20" t="s">
        <v>449</v>
      </c>
      <c r="F156" s="20" t="s">
        <v>420</v>
      </c>
      <c r="G156" s="8" t="str">
        <f t="shared" si="2"/>
        <v>BIRENBAUM THOMAS</v>
      </c>
    </row>
    <row r="157" spans="1:7" x14ac:dyDescent="0.25">
      <c r="A157" s="8">
        <v>42865.685162037036</v>
      </c>
      <c r="B157" s="20" t="s">
        <v>419</v>
      </c>
      <c r="C157" s="20" t="s">
        <v>733</v>
      </c>
      <c r="D157" s="141">
        <v>920000</v>
      </c>
      <c r="E157" s="20" t="s">
        <v>402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42865.690937500003</v>
      </c>
      <c r="B158" s="20" t="s">
        <v>487</v>
      </c>
      <c r="C158" s="20" t="s">
        <v>590</v>
      </c>
      <c r="D158" s="141">
        <v>1300000</v>
      </c>
      <c r="E158" s="20" t="s">
        <v>405</v>
      </c>
      <c r="F158" s="20" t="s">
        <v>406</v>
      </c>
      <c r="G158" s="8" t="str">
        <f t="shared" si="2"/>
        <v>LEVIN SCOTT</v>
      </c>
    </row>
    <row r="159" spans="1:7" x14ac:dyDescent="0.25">
      <c r="A159" s="8">
        <v>42865.692962962959</v>
      </c>
      <c r="B159" s="20" t="s">
        <v>427</v>
      </c>
      <c r="C159" s="20" t="s">
        <v>734</v>
      </c>
      <c r="D159" s="141">
        <v>2440000</v>
      </c>
      <c r="E159" s="20" t="s">
        <v>728</v>
      </c>
      <c r="F159" s="20" t="s">
        <v>729</v>
      </c>
      <c r="G159" s="8" t="str">
        <f t="shared" si="2"/>
        <v>LOPES KIMBERLY</v>
      </c>
    </row>
    <row r="160" spans="1:7" x14ac:dyDescent="0.25">
      <c r="A160" s="8">
        <v>42865.694247685184</v>
      </c>
      <c r="B160" s="20" t="s">
        <v>365</v>
      </c>
      <c r="C160" s="20" t="s">
        <v>735</v>
      </c>
      <c r="D160" s="141">
        <v>3090000</v>
      </c>
      <c r="E160" s="20" t="s">
        <v>443</v>
      </c>
      <c r="F160" s="20" t="s">
        <v>444</v>
      </c>
      <c r="G160" s="8" t="str">
        <f t="shared" si="2"/>
        <v>LAMAR NEKESHA</v>
      </c>
    </row>
    <row r="161" spans="1:7" x14ac:dyDescent="0.25">
      <c r="A161" s="8">
        <v>42865.695081018515</v>
      </c>
      <c r="B161" s="20" t="s">
        <v>343</v>
      </c>
      <c r="C161" s="20" t="s">
        <v>731</v>
      </c>
      <c r="D161" s="141">
        <v>930000</v>
      </c>
      <c r="E161" s="20" t="s">
        <v>441</v>
      </c>
      <c r="F161" s="20" t="s">
        <v>442</v>
      </c>
      <c r="G161" s="8" t="str">
        <f t="shared" si="2"/>
        <v>CLARK KATHLEEN</v>
      </c>
    </row>
    <row r="162" spans="1:7" x14ac:dyDescent="0.25">
      <c r="A162" s="8">
        <v>42865.698981481481</v>
      </c>
      <c r="B162" s="20" t="s">
        <v>569</v>
      </c>
      <c r="C162" s="20" t="s">
        <v>736</v>
      </c>
      <c r="D162" s="141">
        <v>1800000</v>
      </c>
      <c r="E162" s="20" t="s">
        <v>445</v>
      </c>
      <c r="F162" s="20" t="s">
        <v>446</v>
      </c>
      <c r="G162" s="8" t="str">
        <f t="shared" si="2"/>
        <v>CHANDLER KELVIN</v>
      </c>
    </row>
    <row r="163" spans="1:7" x14ac:dyDescent="0.25">
      <c r="A163" s="8">
        <v>42865.702974537038</v>
      </c>
      <c r="B163" s="20" t="s">
        <v>486</v>
      </c>
      <c r="C163" s="20" t="s">
        <v>737</v>
      </c>
      <c r="D163" s="141">
        <v>3120000</v>
      </c>
      <c r="E163" s="20" t="s">
        <v>496</v>
      </c>
      <c r="F163" s="20" t="s">
        <v>497</v>
      </c>
      <c r="G163" s="8" t="str">
        <f t="shared" si="2"/>
        <v>THOMPSON LESTER</v>
      </c>
    </row>
    <row r="164" spans="1:7" x14ac:dyDescent="0.25">
      <c r="A164" s="8">
        <v>42865.707349537035</v>
      </c>
      <c r="B164" s="20" t="s">
        <v>491</v>
      </c>
      <c r="C164" s="20" t="s">
        <v>738</v>
      </c>
      <c r="D164" s="141">
        <v>1540000</v>
      </c>
      <c r="E164" s="20" t="s">
        <v>685</v>
      </c>
      <c r="F164" s="20" t="s">
        <v>686</v>
      </c>
      <c r="G164" s="8" t="str">
        <f t="shared" si="2"/>
        <v>HELVIE ADAM</v>
      </c>
    </row>
    <row r="165" spans="1:7" x14ac:dyDescent="0.25">
      <c r="A165" s="8">
        <v>42865.708090277774</v>
      </c>
      <c r="B165" s="20" t="s">
        <v>426</v>
      </c>
      <c r="C165" s="20" t="s">
        <v>739</v>
      </c>
      <c r="D165" s="141">
        <v>2540000</v>
      </c>
      <c r="E165" s="20" t="s">
        <v>700</v>
      </c>
      <c r="F165" s="20" t="s">
        <v>701</v>
      </c>
      <c r="G165" s="8" t="str">
        <f t="shared" si="2"/>
        <v>MCREYNOLDS KYLE</v>
      </c>
    </row>
    <row r="166" spans="1:7" x14ac:dyDescent="0.25">
      <c r="A166" s="8">
        <v>42865.714513888888</v>
      </c>
      <c r="B166" s="20" t="s">
        <v>564</v>
      </c>
      <c r="C166" s="20" t="s">
        <v>740</v>
      </c>
      <c r="D166" s="141">
        <v>1800000</v>
      </c>
      <c r="E166" s="20" t="s">
        <v>445</v>
      </c>
      <c r="F166" s="20" t="s">
        <v>446</v>
      </c>
      <c r="G166" s="8" t="str">
        <f t="shared" si="2"/>
        <v>CHANDLER KELVIN</v>
      </c>
    </row>
    <row r="167" spans="1:7" x14ac:dyDescent="0.25">
      <c r="A167" s="8">
        <v>42865.714525462965</v>
      </c>
      <c r="B167" s="20" t="s">
        <v>431</v>
      </c>
      <c r="C167" s="20" t="s">
        <v>741</v>
      </c>
      <c r="D167" s="141">
        <v>2150000</v>
      </c>
      <c r="E167" s="20" t="s">
        <v>498</v>
      </c>
      <c r="F167" s="20" t="s">
        <v>499</v>
      </c>
      <c r="G167" s="8" t="str">
        <f t="shared" si="2"/>
        <v>SWANSON BRYCE</v>
      </c>
    </row>
    <row r="168" spans="1:7" x14ac:dyDescent="0.25">
      <c r="A168" s="8">
        <v>42865.715312499997</v>
      </c>
      <c r="B168" s="20" t="s">
        <v>344</v>
      </c>
      <c r="C168" s="20" t="s">
        <v>742</v>
      </c>
      <c r="D168" s="141">
        <v>930000</v>
      </c>
      <c r="E168" s="20" t="s">
        <v>441</v>
      </c>
      <c r="F168" s="20" t="s">
        <v>442</v>
      </c>
      <c r="G168" s="8" t="str">
        <f t="shared" si="2"/>
        <v>CLARK KATHLEEN</v>
      </c>
    </row>
    <row r="169" spans="1:7" x14ac:dyDescent="0.25">
      <c r="A169" s="8">
        <v>42865.718877314815</v>
      </c>
      <c r="B169" s="20" t="s">
        <v>575</v>
      </c>
      <c r="C169" s="20" t="s">
        <v>591</v>
      </c>
      <c r="D169" s="141">
        <v>1740000</v>
      </c>
      <c r="E169" s="20" t="s">
        <v>743</v>
      </c>
      <c r="F169" s="20" t="s">
        <v>744</v>
      </c>
      <c r="G169" s="8" t="str">
        <f t="shared" si="2"/>
        <v>STORY SAMANTHA</v>
      </c>
    </row>
    <row r="170" spans="1:7" x14ac:dyDescent="0.25">
      <c r="A170" s="8">
        <v>42865.720543981479</v>
      </c>
      <c r="B170" s="20" t="s">
        <v>356</v>
      </c>
      <c r="C170" s="20" t="s">
        <v>745</v>
      </c>
      <c r="D170" s="141">
        <v>2370000</v>
      </c>
      <c r="E170" s="20" t="s">
        <v>670</v>
      </c>
      <c r="F170" s="20" t="s">
        <v>671</v>
      </c>
      <c r="G170" s="8" t="str">
        <f t="shared" si="2"/>
        <v>DELGADO DIANAH</v>
      </c>
    </row>
    <row r="171" spans="1:7" x14ac:dyDescent="0.25">
      <c r="A171" s="8">
        <v>42865.725694444445</v>
      </c>
      <c r="B171" s="20" t="s">
        <v>417</v>
      </c>
      <c r="C171" s="20" t="s">
        <v>746</v>
      </c>
      <c r="D171" s="141">
        <v>920000</v>
      </c>
      <c r="E171" s="20" t="s">
        <v>402</v>
      </c>
      <c r="F171" s="20" t="s">
        <v>196</v>
      </c>
      <c r="G171" s="8" t="str">
        <f t="shared" si="2"/>
        <v>DAVIS MICHAEL</v>
      </c>
    </row>
    <row r="172" spans="1:7" x14ac:dyDescent="0.25">
      <c r="A172" s="8">
        <v>42865.727777777778</v>
      </c>
      <c r="B172" s="20" t="s">
        <v>488</v>
      </c>
      <c r="C172" s="20" t="s">
        <v>747</v>
      </c>
      <c r="D172" s="141">
        <v>3030000</v>
      </c>
      <c r="E172" s="20" t="s">
        <v>449</v>
      </c>
      <c r="F172" s="20" t="s">
        <v>420</v>
      </c>
      <c r="G172" s="8" t="str">
        <f t="shared" si="2"/>
        <v>BIRENBAUM THOMAS</v>
      </c>
    </row>
    <row r="173" spans="1:7" x14ac:dyDescent="0.25">
      <c r="A173" s="8">
        <v>42865.731724537036</v>
      </c>
      <c r="B173" s="20" t="s">
        <v>369</v>
      </c>
      <c r="C173" s="20" t="s">
        <v>748</v>
      </c>
      <c r="D173" s="141">
        <v>3090000</v>
      </c>
      <c r="E173" s="20" t="s">
        <v>443</v>
      </c>
      <c r="F173" s="20" t="s">
        <v>444</v>
      </c>
      <c r="G173" s="8" t="str">
        <f t="shared" si="2"/>
        <v>LAMAR NEKESHA</v>
      </c>
    </row>
    <row r="174" spans="1:7" x14ac:dyDescent="0.25">
      <c r="A174" s="8">
        <v>42865.732766203706</v>
      </c>
      <c r="B174" s="20" t="s">
        <v>384</v>
      </c>
      <c r="C174" s="20" t="s">
        <v>749</v>
      </c>
      <c r="D174" s="141">
        <v>2270000</v>
      </c>
      <c r="E174" s="20" t="s">
        <v>750</v>
      </c>
      <c r="F174" s="20" t="s">
        <v>751</v>
      </c>
      <c r="G174" s="8" t="str">
        <f t="shared" si="2"/>
        <v>BROWN JACOB</v>
      </c>
    </row>
    <row r="175" spans="1:7" x14ac:dyDescent="0.25">
      <c r="A175" s="8">
        <v>42865.733425925922</v>
      </c>
      <c r="B175" s="20" t="s">
        <v>384</v>
      </c>
      <c r="C175" s="20" t="s">
        <v>749</v>
      </c>
      <c r="D175" s="141">
        <v>2270000</v>
      </c>
      <c r="E175" s="20" t="s">
        <v>750</v>
      </c>
      <c r="F175" s="20" t="s">
        <v>751</v>
      </c>
      <c r="G175" s="8" t="str">
        <f t="shared" si="2"/>
        <v>BROWN JACOB</v>
      </c>
    </row>
    <row r="176" spans="1:7" x14ac:dyDescent="0.25">
      <c r="A176" s="8">
        <v>42865.735949074071</v>
      </c>
      <c r="B176" s="20" t="s">
        <v>384</v>
      </c>
      <c r="C176" s="20" t="s">
        <v>592</v>
      </c>
      <c r="D176" s="141">
        <v>2270000</v>
      </c>
      <c r="E176" s="20" t="s">
        <v>750</v>
      </c>
      <c r="F176" s="20" t="s">
        <v>751</v>
      </c>
      <c r="G176" s="8" t="str">
        <f t="shared" si="2"/>
        <v>BROWN JACOB</v>
      </c>
    </row>
    <row r="177" spans="1:7" x14ac:dyDescent="0.25">
      <c r="A177" s="8">
        <v>42865.736134259256</v>
      </c>
      <c r="B177" s="20" t="s">
        <v>427</v>
      </c>
      <c r="C177" s="20" t="s">
        <v>752</v>
      </c>
      <c r="D177" s="141">
        <v>2540000</v>
      </c>
      <c r="E177" s="20" t="s">
        <v>700</v>
      </c>
      <c r="F177" s="20" t="s">
        <v>701</v>
      </c>
      <c r="G177" s="8" t="str">
        <f t="shared" si="2"/>
        <v>MCREYNOLDS KYLE</v>
      </c>
    </row>
    <row r="178" spans="1:7" x14ac:dyDescent="0.25">
      <c r="A178" s="8">
        <v>42865.737314814818</v>
      </c>
      <c r="B178" s="20" t="s">
        <v>490</v>
      </c>
      <c r="C178" s="20" t="s">
        <v>753</v>
      </c>
      <c r="D178" s="141">
        <v>3130000</v>
      </c>
      <c r="E178" s="20" t="s">
        <v>452</v>
      </c>
      <c r="F178" s="20" t="s">
        <v>453</v>
      </c>
      <c r="G178" s="8" t="str">
        <f t="shared" si="2"/>
        <v>ZEWDU DEREJE</v>
      </c>
    </row>
    <row r="179" spans="1:7" x14ac:dyDescent="0.25">
      <c r="A179" s="8">
        <v>42865.737349537034</v>
      </c>
      <c r="B179" s="20" t="s">
        <v>594</v>
      </c>
      <c r="C179" s="20" t="s">
        <v>595</v>
      </c>
      <c r="D179" s="141">
        <v>3000000</v>
      </c>
      <c r="E179" s="20" t="s">
        <v>500</v>
      </c>
      <c r="F179" s="20" t="s">
        <v>501</v>
      </c>
      <c r="G179" s="8" t="str">
        <f t="shared" si="2"/>
        <v>FORTUNATO FRANK</v>
      </c>
    </row>
    <row r="180" spans="1:7" x14ac:dyDescent="0.25">
      <c r="A180" s="8">
        <v>42865.741828703707</v>
      </c>
      <c r="B180" s="20" t="s">
        <v>569</v>
      </c>
      <c r="C180" s="20" t="s">
        <v>593</v>
      </c>
      <c r="D180" s="141">
        <v>1800000</v>
      </c>
      <c r="E180" s="20" t="s">
        <v>445</v>
      </c>
      <c r="F180" s="20" t="s">
        <v>446</v>
      </c>
      <c r="G180" s="8" t="str">
        <f t="shared" si="2"/>
        <v>CHANDLER KELVIN</v>
      </c>
    </row>
    <row r="181" spans="1:7" x14ac:dyDescent="0.25">
      <c r="A181" s="8">
        <v>42865.741979166669</v>
      </c>
      <c r="B181" s="20" t="s">
        <v>594</v>
      </c>
      <c r="C181" s="20" t="s">
        <v>595</v>
      </c>
      <c r="D181" s="141">
        <v>3000000</v>
      </c>
      <c r="E181" s="20" t="s">
        <v>500</v>
      </c>
      <c r="F181" s="20" t="s">
        <v>501</v>
      </c>
      <c r="G181" s="8" t="str">
        <f t="shared" si="2"/>
        <v>FORTUNATO FRANK</v>
      </c>
    </row>
    <row r="182" spans="1:7" x14ac:dyDescent="0.25">
      <c r="A182" s="8">
        <v>42865.744340277779</v>
      </c>
      <c r="B182" s="20" t="s">
        <v>489</v>
      </c>
      <c r="C182" s="20" t="s">
        <v>754</v>
      </c>
      <c r="D182" s="141">
        <v>1540000</v>
      </c>
      <c r="E182" s="20" t="s">
        <v>685</v>
      </c>
      <c r="F182" s="20" t="s">
        <v>686</v>
      </c>
      <c r="G182" s="8" t="str">
        <f t="shared" si="2"/>
        <v>HELVIE ADAM</v>
      </c>
    </row>
    <row r="183" spans="1:7" x14ac:dyDescent="0.25">
      <c r="A183" s="8">
        <v>42865.748541666668</v>
      </c>
      <c r="B183" s="20" t="s">
        <v>343</v>
      </c>
      <c r="C183" s="20" t="s">
        <v>755</v>
      </c>
      <c r="D183" s="141">
        <v>3120000</v>
      </c>
      <c r="E183" s="20" t="s">
        <v>496</v>
      </c>
      <c r="F183" s="20" t="s">
        <v>497</v>
      </c>
      <c r="G183" s="8" t="str">
        <f t="shared" si="2"/>
        <v>THOMPSON LESTER</v>
      </c>
    </row>
    <row r="184" spans="1:7" x14ac:dyDescent="0.25">
      <c r="A184" s="8">
        <v>42865.751006944447</v>
      </c>
      <c r="B184" s="20" t="s">
        <v>343</v>
      </c>
      <c r="C184" s="20" t="s">
        <v>755</v>
      </c>
      <c r="D184" s="141">
        <v>3120000</v>
      </c>
      <c r="E184" s="20" t="s">
        <v>496</v>
      </c>
      <c r="F184" s="20" t="s">
        <v>497</v>
      </c>
      <c r="G184" s="8" t="str">
        <f t="shared" si="2"/>
        <v>THOMPSON LESTER</v>
      </c>
    </row>
    <row r="185" spans="1:7" x14ac:dyDescent="0.25">
      <c r="A185" s="8">
        <v>42865.751377314817</v>
      </c>
      <c r="B185" s="20" t="s">
        <v>428</v>
      </c>
      <c r="C185" s="20" t="s">
        <v>756</v>
      </c>
      <c r="D185" s="141">
        <v>2150000</v>
      </c>
      <c r="E185" s="20" t="s">
        <v>498</v>
      </c>
      <c r="F185" s="20" t="s">
        <v>499</v>
      </c>
      <c r="G185" s="8" t="str">
        <f t="shared" si="2"/>
        <v>SWANSON BRYCE</v>
      </c>
    </row>
    <row r="186" spans="1:7" x14ac:dyDescent="0.25">
      <c r="A186" s="8">
        <v>42865.75172453704</v>
      </c>
      <c r="B186" s="20" t="s">
        <v>426</v>
      </c>
      <c r="C186" s="20" t="s">
        <v>757</v>
      </c>
      <c r="D186" s="141">
        <v>2540000</v>
      </c>
      <c r="E186" s="20" t="s">
        <v>700</v>
      </c>
      <c r="F186" s="20" t="s">
        <v>701</v>
      </c>
      <c r="G186" s="8" t="str">
        <f t="shared" si="2"/>
        <v>MCREYNOLDS KYLE</v>
      </c>
    </row>
    <row r="187" spans="1:7" x14ac:dyDescent="0.25">
      <c r="A187" s="8">
        <v>42865.752152777779</v>
      </c>
      <c r="B187" s="20" t="s">
        <v>678</v>
      </c>
      <c r="C187" s="20" t="s">
        <v>758</v>
      </c>
      <c r="D187" s="141">
        <v>930000</v>
      </c>
      <c r="E187" s="20" t="s">
        <v>441</v>
      </c>
      <c r="F187" s="20" t="s">
        <v>442</v>
      </c>
      <c r="G187" s="8" t="str">
        <f t="shared" si="2"/>
        <v>CLARK KATHLEEN</v>
      </c>
    </row>
    <row r="188" spans="1:7" x14ac:dyDescent="0.25">
      <c r="A188" s="8">
        <v>42865.757372685184</v>
      </c>
      <c r="B188" s="20" t="s">
        <v>564</v>
      </c>
      <c r="C188" s="20" t="s">
        <v>596</v>
      </c>
      <c r="D188" s="141">
        <v>1800000</v>
      </c>
      <c r="E188" s="20" t="s">
        <v>445</v>
      </c>
      <c r="F188" s="20" t="s">
        <v>446</v>
      </c>
      <c r="G188" s="8" t="str">
        <f t="shared" si="2"/>
        <v>CHANDLER KELVIN</v>
      </c>
    </row>
    <row r="189" spans="1:7" x14ac:dyDescent="0.25">
      <c r="A189" s="8">
        <v>42865.758564814816</v>
      </c>
      <c r="B189" s="20" t="s">
        <v>487</v>
      </c>
      <c r="C189" s="20" t="s">
        <v>759</v>
      </c>
      <c r="D189" s="141">
        <v>3030000</v>
      </c>
      <c r="E189" s="20" t="s">
        <v>449</v>
      </c>
      <c r="F189" s="20" t="s">
        <v>420</v>
      </c>
      <c r="G189" s="8" t="str">
        <f t="shared" si="2"/>
        <v>BIRENBAUM THOMAS</v>
      </c>
    </row>
    <row r="190" spans="1:7" x14ac:dyDescent="0.25">
      <c r="A190" s="8">
        <v>42865.759930555556</v>
      </c>
      <c r="B190" s="20" t="s">
        <v>419</v>
      </c>
      <c r="C190" s="20" t="s">
        <v>760</v>
      </c>
      <c r="D190" s="141">
        <v>2270000</v>
      </c>
      <c r="E190" s="20" t="s">
        <v>750</v>
      </c>
      <c r="F190" s="20" t="s">
        <v>751</v>
      </c>
      <c r="G190" s="8" t="str">
        <f t="shared" si="2"/>
        <v>BROWN JACOB</v>
      </c>
    </row>
    <row r="191" spans="1:7" x14ac:dyDescent="0.25">
      <c r="A191" s="8">
        <v>42865.767627314817</v>
      </c>
      <c r="B191" s="20" t="s">
        <v>365</v>
      </c>
      <c r="C191" s="20" t="s">
        <v>761</v>
      </c>
      <c r="D191" s="141">
        <v>1810000</v>
      </c>
      <c r="E191" s="20" t="s">
        <v>421</v>
      </c>
      <c r="F191" s="20" t="s">
        <v>193</v>
      </c>
      <c r="G191" s="8" t="str">
        <f t="shared" si="2"/>
        <v>NEWELL JAMES</v>
      </c>
    </row>
    <row r="192" spans="1:7" x14ac:dyDescent="0.25">
      <c r="A192" s="8">
        <v>42865.774652777778</v>
      </c>
      <c r="B192" s="20" t="s">
        <v>491</v>
      </c>
      <c r="C192" s="20" t="s">
        <v>754</v>
      </c>
      <c r="D192" s="141">
        <v>1540000</v>
      </c>
      <c r="E192" s="20" t="s">
        <v>685</v>
      </c>
      <c r="F192" s="20" t="s">
        <v>686</v>
      </c>
      <c r="G192" s="8" t="str">
        <f t="shared" si="2"/>
        <v>HELVIE ADAM</v>
      </c>
    </row>
    <row r="193" spans="1:7" x14ac:dyDescent="0.25">
      <c r="A193" s="8">
        <v>42865.774768518517</v>
      </c>
      <c r="B193" s="20" t="s">
        <v>486</v>
      </c>
      <c r="C193" s="20" t="s">
        <v>762</v>
      </c>
      <c r="D193" s="141">
        <v>3130000</v>
      </c>
      <c r="E193" s="20" t="s">
        <v>452</v>
      </c>
      <c r="F193" s="20" t="s">
        <v>453</v>
      </c>
      <c r="G193" s="8" t="str">
        <f t="shared" si="2"/>
        <v>ZEWDU DEREJE</v>
      </c>
    </row>
    <row r="194" spans="1:7" x14ac:dyDescent="0.25">
      <c r="A194" s="8">
        <v>42865.776250000003</v>
      </c>
      <c r="B194" s="20" t="s">
        <v>491</v>
      </c>
      <c r="C194" s="20" t="s">
        <v>763</v>
      </c>
      <c r="D194" s="141">
        <v>1540000</v>
      </c>
      <c r="E194" s="20" t="s">
        <v>685</v>
      </c>
      <c r="F194" s="20" t="s">
        <v>686</v>
      </c>
      <c r="G194" s="8" t="str">
        <f t="shared" si="2"/>
        <v>HELVIE ADAM</v>
      </c>
    </row>
    <row r="195" spans="1:7" x14ac:dyDescent="0.25">
      <c r="A195" s="8">
        <v>42865.77648148148</v>
      </c>
      <c r="B195" s="20" t="s">
        <v>427</v>
      </c>
      <c r="C195" s="20" t="s">
        <v>764</v>
      </c>
      <c r="D195" s="141">
        <v>2540000</v>
      </c>
      <c r="E195" s="20" t="s">
        <v>700</v>
      </c>
      <c r="F195" s="20" t="s">
        <v>701</v>
      </c>
      <c r="G195" s="8" t="str">
        <f t="shared" ref="G195:G258" si="3">E195&amp;" "&amp;F195</f>
        <v>MCREYNOLDS KYLE</v>
      </c>
    </row>
    <row r="196" spans="1:7" x14ac:dyDescent="0.25">
      <c r="A196" s="8">
        <v>42865.781759259262</v>
      </c>
      <c r="B196" s="20" t="s">
        <v>569</v>
      </c>
      <c r="C196" s="20" t="s">
        <v>765</v>
      </c>
      <c r="D196" s="141">
        <v>1800000</v>
      </c>
      <c r="E196" s="20" t="s">
        <v>445</v>
      </c>
      <c r="F196" s="20" t="s">
        <v>446</v>
      </c>
      <c r="G196" s="8" t="str">
        <f t="shared" si="3"/>
        <v>CHANDLER KELVIN</v>
      </c>
    </row>
    <row r="197" spans="1:7" x14ac:dyDescent="0.25">
      <c r="A197" s="8">
        <v>42865.787974537037</v>
      </c>
      <c r="B197" s="20" t="s">
        <v>344</v>
      </c>
      <c r="C197" s="20" t="s">
        <v>766</v>
      </c>
      <c r="D197" s="141">
        <v>3120000</v>
      </c>
      <c r="E197" s="20" t="s">
        <v>496</v>
      </c>
      <c r="F197" s="20" t="s">
        <v>497</v>
      </c>
      <c r="G197" s="8" t="str">
        <f t="shared" si="3"/>
        <v>THOMPSON LESTER</v>
      </c>
    </row>
    <row r="198" spans="1:7" x14ac:dyDescent="0.25">
      <c r="A198" s="8">
        <v>42865.788993055554</v>
      </c>
      <c r="B198" s="20" t="s">
        <v>431</v>
      </c>
      <c r="C198" s="20" t="s">
        <v>767</v>
      </c>
      <c r="D198" s="141">
        <v>970000</v>
      </c>
      <c r="E198" s="20" t="s">
        <v>768</v>
      </c>
      <c r="F198" s="20" t="s">
        <v>769</v>
      </c>
      <c r="G198" s="8" t="str">
        <f t="shared" si="3"/>
        <v>JACKSON WILLIAM</v>
      </c>
    </row>
    <row r="199" spans="1:7" x14ac:dyDescent="0.25">
      <c r="A199" s="8">
        <v>42865.794224537036</v>
      </c>
      <c r="B199" s="20" t="s">
        <v>425</v>
      </c>
      <c r="C199" s="20" t="s">
        <v>597</v>
      </c>
      <c r="D199" s="141">
        <v>3010000</v>
      </c>
      <c r="E199" s="20" t="s">
        <v>770</v>
      </c>
      <c r="F199" s="20" t="s">
        <v>771</v>
      </c>
      <c r="G199" s="8" t="str">
        <f t="shared" si="3"/>
        <v>SULLIVAN BRANDON</v>
      </c>
    </row>
    <row r="200" spans="1:7" x14ac:dyDescent="0.25">
      <c r="A200" s="8">
        <v>42865.795787037037</v>
      </c>
      <c r="B200" s="20" t="s">
        <v>426</v>
      </c>
      <c r="C200" s="20" t="s">
        <v>772</v>
      </c>
      <c r="D200" s="141">
        <v>2540000</v>
      </c>
      <c r="E200" s="20" t="s">
        <v>700</v>
      </c>
      <c r="F200" s="20" t="s">
        <v>701</v>
      </c>
      <c r="G200" s="8" t="str">
        <f t="shared" si="3"/>
        <v>MCREYNOLDS KYLE</v>
      </c>
    </row>
    <row r="201" spans="1:7" x14ac:dyDescent="0.25">
      <c r="A201" s="8">
        <v>42865.796909722223</v>
      </c>
      <c r="B201" s="20" t="s">
        <v>417</v>
      </c>
      <c r="C201" s="20" t="s">
        <v>773</v>
      </c>
      <c r="D201" s="141">
        <v>2270000</v>
      </c>
      <c r="E201" s="20" t="s">
        <v>750</v>
      </c>
      <c r="F201" s="20" t="s">
        <v>751</v>
      </c>
      <c r="G201" s="8" t="str">
        <f t="shared" si="3"/>
        <v>BROWN JACOB</v>
      </c>
    </row>
    <row r="202" spans="1:7" x14ac:dyDescent="0.25">
      <c r="A202" s="26">
        <v>42865.799537037034</v>
      </c>
      <c r="B202" s="20" t="s">
        <v>488</v>
      </c>
      <c r="C202" s="20" t="s">
        <v>774</v>
      </c>
      <c r="D202" s="141">
        <v>3030000</v>
      </c>
      <c r="E202" s="20" t="s">
        <v>449</v>
      </c>
      <c r="F202" s="20" t="s">
        <v>420</v>
      </c>
      <c r="G202" s="8" t="str">
        <f t="shared" si="3"/>
        <v>BIRENBAUM THOMAS</v>
      </c>
    </row>
    <row r="203" spans="1:7" x14ac:dyDescent="0.25">
      <c r="A203" s="8">
        <v>42865.799733796295</v>
      </c>
      <c r="B203" s="20" t="s">
        <v>564</v>
      </c>
      <c r="C203" s="20" t="s">
        <v>775</v>
      </c>
      <c r="D203" s="141">
        <v>1800000</v>
      </c>
      <c r="E203" s="20" t="s">
        <v>445</v>
      </c>
      <c r="F203" s="20" t="s">
        <v>446</v>
      </c>
      <c r="G203" s="8" t="str">
        <f t="shared" si="3"/>
        <v>CHANDLER KELVIN</v>
      </c>
    </row>
    <row r="204" spans="1:7" x14ac:dyDescent="0.25">
      <c r="A204" s="8">
        <v>42865.801469907405</v>
      </c>
      <c r="B204" s="20" t="s">
        <v>369</v>
      </c>
      <c r="C204" s="20" t="s">
        <v>776</v>
      </c>
      <c r="D204" s="141">
        <v>1810000</v>
      </c>
      <c r="E204" s="20" t="s">
        <v>421</v>
      </c>
      <c r="F204" s="20" t="s">
        <v>193</v>
      </c>
      <c r="G204" s="8" t="str">
        <f t="shared" si="3"/>
        <v>NEWELL JAMES</v>
      </c>
    </row>
    <row r="205" spans="1:7" x14ac:dyDescent="0.25">
      <c r="A205" s="8">
        <v>42865.804930555554</v>
      </c>
      <c r="B205" s="20" t="s">
        <v>438</v>
      </c>
      <c r="C205" s="20" t="s">
        <v>597</v>
      </c>
      <c r="D205" s="141">
        <v>3010000</v>
      </c>
      <c r="E205" s="20" t="s">
        <v>770</v>
      </c>
      <c r="F205" s="20" t="s">
        <v>771</v>
      </c>
      <c r="G205" s="8" t="str">
        <f t="shared" si="3"/>
        <v>SULLIVAN BRANDON</v>
      </c>
    </row>
    <row r="206" spans="1:7" x14ac:dyDescent="0.25">
      <c r="A206" s="8">
        <v>42865.806516203702</v>
      </c>
      <c r="B206" s="20" t="s">
        <v>438</v>
      </c>
      <c r="C206" s="20" t="s">
        <v>597</v>
      </c>
      <c r="D206" s="141">
        <v>3010000</v>
      </c>
      <c r="E206" s="20" t="s">
        <v>770</v>
      </c>
      <c r="F206" s="20" t="s">
        <v>771</v>
      </c>
      <c r="G206" s="8" t="str">
        <f t="shared" si="3"/>
        <v>SULLIVAN BRANDON</v>
      </c>
    </row>
    <row r="207" spans="1:7" x14ac:dyDescent="0.25">
      <c r="A207" s="8">
        <v>42865.809606481482</v>
      </c>
      <c r="B207" s="20" t="s">
        <v>490</v>
      </c>
      <c r="C207" s="20" t="s">
        <v>777</v>
      </c>
      <c r="D207" s="141">
        <v>3130000</v>
      </c>
      <c r="E207" s="20" t="s">
        <v>452</v>
      </c>
      <c r="F207" s="20" t="s">
        <v>453</v>
      </c>
      <c r="G207" s="8" t="str">
        <f t="shared" si="3"/>
        <v>ZEWDU DEREJE</v>
      </c>
    </row>
    <row r="208" spans="1:7" x14ac:dyDescent="0.25">
      <c r="A208" s="8">
        <v>42865.817870370367</v>
      </c>
      <c r="B208" s="20" t="s">
        <v>427</v>
      </c>
      <c r="C208" s="20" t="s">
        <v>778</v>
      </c>
      <c r="D208" s="141">
        <v>2540000</v>
      </c>
      <c r="E208" s="20" t="s">
        <v>700</v>
      </c>
      <c r="F208" s="20" t="s">
        <v>701</v>
      </c>
      <c r="G208" s="8" t="str">
        <f t="shared" si="3"/>
        <v>MCREYNOLDS KYLE</v>
      </c>
    </row>
    <row r="209" spans="1:7" x14ac:dyDescent="0.25">
      <c r="A209" s="8">
        <v>42865.821134259262</v>
      </c>
      <c r="B209" s="20" t="s">
        <v>343</v>
      </c>
      <c r="C209" s="20" t="s">
        <v>779</v>
      </c>
      <c r="D209" s="141">
        <v>3120000</v>
      </c>
      <c r="E209" s="20" t="s">
        <v>496</v>
      </c>
      <c r="F209" s="20" t="s">
        <v>497</v>
      </c>
      <c r="G209" s="8" t="str">
        <f t="shared" si="3"/>
        <v>THOMPSON LESTER</v>
      </c>
    </row>
    <row r="210" spans="1:7" x14ac:dyDescent="0.25">
      <c r="A210" s="8">
        <v>42865.824814814812</v>
      </c>
      <c r="B210" s="20" t="s">
        <v>428</v>
      </c>
      <c r="C210" s="20" t="s">
        <v>780</v>
      </c>
      <c r="D210" s="141">
        <v>970000</v>
      </c>
      <c r="E210" s="20" t="s">
        <v>768</v>
      </c>
      <c r="F210" s="20" t="s">
        <v>769</v>
      </c>
      <c r="G210" s="8" t="str">
        <f t="shared" si="3"/>
        <v>JACKSON WILLIAM</v>
      </c>
    </row>
    <row r="211" spans="1:7" x14ac:dyDescent="0.25">
      <c r="A211" s="8">
        <v>42865.829409722224</v>
      </c>
      <c r="B211" s="20" t="s">
        <v>419</v>
      </c>
      <c r="C211" s="20" t="s">
        <v>781</v>
      </c>
      <c r="D211" s="141">
        <v>2270000</v>
      </c>
      <c r="E211" s="20" t="s">
        <v>750</v>
      </c>
      <c r="F211" s="20" t="s">
        <v>751</v>
      </c>
      <c r="G211" s="8" t="str">
        <f t="shared" si="3"/>
        <v>BROWN JACOB</v>
      </c>
    </row>
    <row r="212" spans="1:7" x14ac:dyDescent="0.25">
      <c r="A212" s="8">
        <v>42865.832465277781</v>
      </c>
      <c r="B212" s="20" t="s">
        <v>425</v>
      </c>
      <c r="C212" s="20" t="s">
        <v>597</v>
      </c>
      <c r="D212" s="141">
        <v>3010000</v>
      </c>
      <c r="E212" s="20" t="s">
        <v>770</v>
      </c>
      <c r="F212" s="20" t="s">
        <v>771</v>
      </c>
      <c r="G212" s="8" t="str">
        <f t="shared" si="3"/>
        <v>SULLIVAN BRANDON</v>
      </c>
    </row>
    <row r="213" spans="1:7" x14ac:dyDescent="0.25">
      <c r="A213" s="8">
        <v>42865.836030092592</v>
      </c>
      <c r="B213" s="20" t="s">
        <v>426</v>
      </c>
      <c r="C213" s="20" t="s">
        <v>782</v>
      </c>
      <c r="D213" s="141">
        <v>2540000</v>
      </c>
      <c r="E213" s="20" t="s">
        <v>700</v>
      </c>
      <c r="F213" s="20" t="s">
        <v>701</v>
      </c>
      <c r="G213" s="8" t="str">
        <f t="shared" si="3"/>
        <v>MCREYNOLDS KYLE</v>
      </c>
    </row>
    <row r="214" spans="1:7" x14ac:dyDescent="0.25">
      <c r="A214" s="8">
        <v>42865.843842592592</v>
      </c>
      <c r="B214" s="20" t="s">
        <v>365</v>
      </c>
      <c r="C214" s="20" t="s">
        <v>783</v>
      </c>
      <c r="D214" s="141">
        <v>2730000</v>
      </c>
      <c r="E214" s="20" t="s">
        <v>784</v>
      </c>
      <c r="F214" s="20" t="s">
        <v>785</v>
      </c>
      <c r="G214" s="8" t="str">
        <f t="shared" si="3"/>
        <v>YANG JAN</v>
      </c>
    </row>
    <row r="215" spans="1:7" x14ac:dyDescent="0.25">
      <c r="A215" s="8">
        <v>42865.844687500001</v>
      </c>
      <c r="B215" s="20" t="s">
        <v>486</v>
      </c>
      <c r="C215" s="20" t="s">
        <v>786</v>
      </c>
      <c r="D215" s="141">
        <v>3130000</v>
      </c>
      <c r="E215" s="20" t="s">
        <v>452</v>
      </c>
      <c r="F215" s="20" t="s">
        <v>453</v>
      </c>
      <c r="G215" s="8" t="str">
        <f t="shared" si="3"/>
        <v>ZEWDU DEREJE</v>
      </c>
    </row>
    <row r="216" spans="1:7" x14ac:dyDescent="0.25">
      <c r="A216" s="8">
        <v>42865.848067129627</v>
      </c>
      <c r="B216" s="20" t="s">
        <v>438</v>
      </c>
      <c r="C216" s="20" t="s">
        <v>597</v>
      </c>
      <c r="D216" s="141">
        <v>3010000</v>
      </c>
      <c r="E216" s="20" t="s">
        <v>770</v>
      </c>
      <c r="F216" s="20" t="s">
        <v>771</v>
      </c>
      <c r="G216" s="8" t="str">
        <f t="shared" si="3"/>
        <v>SULLIVAN BRANDON</v>
      </c>
    </row>
    <row r="217" spans="1:7" x14ac:dyDescent="0.25">
      <c r="A217" s="8">
        <v>42865.848969907405</v>
      </c>
      <c r="B217" s="20" t="s">
        <v>438</v>
      </c>
      <c r="C217" s="20" t="s">
        <v>597</v>
      </c>
      <c r="D217" s="141">
        <v>3010000</v>
      </c>
      <c r="E217" s="20" t="s">
        <v>770</v>
      </c>
      <c r="F217" s="20" t="s">
        <v>771</v>
      </c>
      <c r="G217" s="8" t="str">
        <f t="shared" si="3"/>
        <v>SULLIVAN BRANDON</v>
      </c>
    </row>
    <row r="218" spans="1:7" x14ac:dyDescent="0.25">
      <c r="A218" s="8">
        <v>42865.849652777775</v>
      </c>
      <c r="B218" s="20" t="s">
        <v>438</v>
      </c>
      <c r="C218" s="20" t="s">
        <v>597</v>
      </c>
      <c r="D218" s="141">
        <v>3010000</v>
      </c>
      <c r="E218" s="20" t="s">
        <v>770</v>
      </c>
      <c r="F218" s="20" t="s">
        <v>771</v>
      </c>
      <c r="G218" s="8" t="str">
        <f t="shared" si="3"/>
        <v>SULLIVAN BRANDON</v>
      </c>
    </row>
    <row r="219" spans="1:7" x14ac:dyDescent="0.25">
      <c r="A219" s="8">
        <v>42865.850949074076</v>
      </c>
      <c r="B219" s="20" t="s">
        <v>438</v>
      </c>
      <c r="C219" s="20" t="s">
        <v>597</v>
      </c>
      <c r="D219" s="141">
        <v>3010000</v>
      </c>
      <c r="E219" s="20" t="s">
        <v>770</v>
      </c>
      <c r="F219" s="20" t="s">
        <v>771</v>
      </c>
      <c r="G219" s="8" t="str">
        <f t="shared" si="3"/>
        <v>SULLIVAN BRANDON</v>
      </c>
    </row>
    <row r="220" spans="1:7" x14ac:dyDescent="0.25">
      <c r="A220" s="8">
        <v>42865.860162037039</v>
      </c>
      <c r="B220" s="20" t="s">
        <v>427</v>
      </c>
      <c r="C220" s="20" t="s">
        <v>787</v>
      </c>
      <c r="D220" s="141">
        <v>2540000</v>
      </c>
      <c r="E220" s="20" t="s">
        <v>700</v>
      </c>
      <c r="F220" s="20" t="s">
        <v>701</v>
      </c>
      <c r="G220" s="8" t="str">
        <f t="shared" si="3"/>
        <v>MCREYNOLDS KYLE</v>
      </c>
    </row>
    <row r="221" spans="1:7" x14ac:dyDescent="0.25">
      <c r="A221" s="8">
        <v>42865.862951388888</v>
      </c>
      <c r="B221" s="20" t="s">
        <v>425</v>
      </c>
      <c r="C221" s="20" t="s">
        <v>597</v>
      </c>
      <c r="D221" s="141">
        <v>3010000</v>
      </c>
      <c r="E221" s="20" t="s">
        <v>770</v>
      </c>
      <c r="F221" s="20" t="s">
        <v>771</v>
      </c>
      <c r="G221" s="8" t="str">
        <f t="shared" si="3"/>
        <v>SULLIVAN BRANDON</v>
      </c>
    </row>
    <row r="222" spans="1:7" x14ac:dyDescent="0.25">
      <c r="A222" s="8">
        <v>42865.863692129627</v>
      </c>
      <c r="B222" s="20" t="s">
        <v>431</v>
      </c>
      <c r="C222" s="20" t="s">
        <v>788</v>
      </c>
      <c r="D222" s="141">
        <v>970000</v>
      </c>
      <c r="E222" s="20" t="s">
        <v>768</v>
      </c>
      <c r="F222" s="20" t="s">
        <v>769</v>
      </c>
      <c r="G222" s="8" t="str">
        <f t="shared" si="3"/>
        <v>JACKSON WILLIAM</v>
      </c>
    </row>
    <row r="223" spans="1:7" x14ac:dyDescent="0.25">
      <c r="A223" s="8">
        <v>42865.868668981479</v>
      </c>
      <c r="B223" s="20" t="s">
        <v>417</v>
      </c>
      <c r="C223" s="20" t="s">
        <v>789</v>
      </c>
      <c r="D223" s="141">
        <v>2270000</v>
      </c>
      <c r="E223" s="20" t="s">
        <v>750</v>
      </c>
      <c r="F223" s="20" t="s">
        <v>751</v>
      </c>
      <c r="G223" s="8" t="str">
        <f t="shared" si="3"/>
        <v>BROWN JACOB</v>
      </c>
    </row>
    <row r="224" spans="1:7" x14ac:dyDescent="0.25">
      <c r="A224" s="8">
        <v>42865.881782407407</v>
      </c>
      <c r="B224" t="s">
        <v>438</v>
      </c>
      <c r="C224" t="s">
        <v>597</v>
      </c>
      <c r="D224" s="141">
        <v>3010000</v>
      </c>
      <c r="E224" t="s">
        <v>770</v>
      </c>
      <c r="F224" s="20" t="s">
        <v>771</v>
      </c>
      <c r="G224" s="8" t="str">
        <f t="shared" si="3"/>
        <v>SULLIVAN BRANDON</v>
      </c>
    </row>
    <row r="225" spans="1:7" x14ac:dyDescent="0.25">
      <c r="A225" s="8">
        <v>42865.889768518522</v>
      </c>
      <c r="B225" t="s">
        <v>426</v>
      </c>
      <c r="C225" t="s">
        <v>790</v>
      </c>
      <c r="D225" s="141">
        <v>1800000</v>
      </c>
      <c r="E225" t="s">
        <v>445</v>
      </c>
      <c r="F225" s="20" t="s">
        <v>446</v>
      </c>
      <c r="G225" s="8" t="str">
        <f t="shared" si="3"/>
        <v>CHANDLER KELVIN</v>
      </c>
    </row>
    <row r="226" spans="1:7" x14ac:dyDescent="0.25">
      <c r="A226" s="8">
        <v>42865.890127314815</v>
      </c>
      <c r="B226" t="s">
        <v>369</v>
      </c>
      <c r="C226" t="s">
        <v>791</v>
      </c>
      <c r="D226" s="141">
        <v>2730000</v>
      </c>
      <c r="E226" t="s">
        <v>784</v>
      </c>
      <c r="F226" s="20" t="s">
        <v>785</v>
      </c>
      <c r="G226" s="8" t="str">
        <f t="shared" si="3"/>
        <v>YANG JAN</v>
      </c>
    </row>
    <row r="227" spans="1:7" x14ac:dyDescent="0.25">
      <c r="A227" s="8">
        <v>42865.893738425926</v>
      </c>
      <c r="B227" t="s">
        <v>425</v>
      </c>
      <c r="C227" t="s">
        <v>597</v>
      </c>
      <c r="D227" s="141">
        <v>3010000</v>
      </c>
      <c r="E227" t="s">
        <v>770</v>
      </c>
      <c r="F227" s="20" t="s">
        <v>771</v>
      </c>
      <c r="G227" s="8" t="str">
        <f t="shared" si="3"/>
        <v>SULLIVAN BRANDON</v>
      </c>
    </row>
    <row r="228" spans="1:7" x14ac:dyDescent="0.25">
      <c r="A228" s="8">
        <v>42865.893807870372</v>
      </c>
      <c r="B228" t="s">
        <v>490</v>
      </c>
      <c r="C228" t="s">
        <v>792</v>
      </c>
      <c r="D228" s="141">
        <v>3130000</v>
      </c>
      <c r="E228" t="s">
        <v>452</v>
      </c>
      <c r="F228" s="20" t="s">
        <v>453</v>
      </c>
      <c r="G228" s="8" t="str">
        <f t="shared" si="3"/>
        <v>ZEWDU DEREJE</v>
      </c>
    </row>
    <row r="229" spans="1:7" x14ac:dyDescent="0.25">
      <c r="A229" s="8">
        <v>42865.904027777775</v>
      </c>
      <c r="B229" t="s">
        <v>427</v>
      </c>
      <c r="C229" t="s">
        <v>793</v>
      </c>
      <c r="D229" s="141">
        <v>1800000</v>
      </c>
      <c r="E229" t="s">
        <v>445</v>
      </c>
      <c r="F229" s="20" t="s">
        <v>446</v>
      </c>
      <c r="G229" s="8" t="str">
        <f t="shared" si="3"/>
        <v>CHANDLER KELVIN</v>
      </c>
    </row>
    <row r="230" spans="1:7" x14ac:dyDescent="0.25">
      <c r="A230" s="8">
        <v>42865.912245370368</v>
      </c>
      <c r="B230" t="s">
        <v>428</v>
      </c>
      <c r="C230" t="s">
        <v>794</v>
      </c>
      <c r="D230" s="141">
        <v>970000</v>
      </c>
      <c r="E230" t="s">
        <v>768</v>
      </c>
      <c r="F230" s="20" t="s">
        <v>769</v>
      </c>
      <c r="G230" s="8" t="str">
        <f t="shared" si="3"/>
        <v>JACKSON WILLIAM</v>
      </c>
    </row>
    <row r="231" spans="1:7" x14ac:dyDescent="0.25">
      <c r="A231" s="8">
        <v>42865.913217592592</v>
      </c>
      <c r="B231" t="s">
        <v>419</v>
      </c>
      <c r="C231" t="s">
        <v>795</v>
      </c>
      <c r="D231" s="141">
        <v>2270000</v>
      </c>
      <c r="E231" t="s">
        <v>750</v>
      </c>
      <c r="F231" s="20" t="s">
        <v>751</v>
      </c>
      <c r="G231" s="8" t="str">
        <f t="shared" si="3"/>
        <v>BROWN JACOB</v>
      </c>
    </row>
    <row r="232" spans="1:7" x14ac:dyDescent="0.25">
      <c r="A232" s="8">
        <v>42865.919710648152</v>
      </c>
      <c r="B232" t="s">
        <v>438</v>
      </c>
      <c r="C232" t="s">
        <v>597</v>
      </c>
      <c r="D232" s="141">
        <v>3010000</v>
      </c>
      <c r="E232" t="s">
        <v>770</v>
      </c>
      <c r="F232" s="20" t="s">
        <v>771</v>
      </c>
      <c r="G232" s="8" t="str">
        <f t="shared" si="3"/>
        <v>SULLIVAN BRANDON</v>
      </c>
    </row>
    <row r="233" spans="1:7" x14ac:dyDescent="0.25">
      <c r="A233" s="8">
        <v>42865.922673611109</v>
      </c>
      <c r="B233" t="s">
        <v>365</v>
      </c>
      <c r="C233" t="s">
        <v>796</v>
      </c>
      <c r="D233" s="141">
        <v>1810000</v>
      </c>
      <c r="E233" t="s">
        <v>421</v>
      </c>
      <c r="F233" s="20" t="s">
        <v>193</v>
      </c>
      <c r="G233" s="8" t="str">
        <f t="shared" si="3"/>
        <v>NEWELL JAMES</v>
      </c>
    </row>
    <row r="234" spans="1:7" x14ac:dyDescent="0.25">
      <c r="A234" s="8">
        <v>42865.927581018521</v>
      </c>
      <c r="B234" t="s">
        <v>426</v>
      </c>
      <c r="C234" t="s">
        <v>797</v>
      </c>
      <c r="D234" s="141">
        <v>1800000</v>
      </c>
      <c r="E234" t="s">
        <v>445</v>
      </c>
      <c r="F234" s="20" t="s">
        <v>446</v>
      </c>
      <c r="G234" s="8" t="str">
        <f t="shared" si="3"/>
        <v>CHANDLER KELVIN</v>
      </c>
    </row>
    <row r="235" spans="1:7" x14ac:dyDescent="0.25">
      <c r="A235" s="8">
        <v>42865.929664351854</v>
      </c>
      <c r="B235" t="s">
        <v>425</v>
      </c>
      <c r="C235" t="s">
        <v>597</v>
      </c>
      <c r="D235" s="141">
        <v>3010000</v>
      </c>
      <c r="E235" t="s">
        <v>770</v>
      </c>
      <c r="F235" s="20" t="s">
        <v>771</v>
      </c>
      <c r="G235" s="8" t="str">
        <f t="shared" si="3"/>
        <v>SULLIVAN BRANDON</v>
      </c>
    </row>
    <row r="236" spans="1:7" x14ac:dyDescent="0.25">
      <c r="A236" s="8">
        <v>42865.931967592594</v>
      </c>
      <c r="B236" t="s">
        <v>486</v>
      </c>
      <c r="C236" t="s">
        <v>798</v>
      </c>
      <c r="D236" s="141">
        <v>3130000</v>
      </c>
      <c r="E236" t="s">
        <v>452</v>
      </c>
      <c r="F236" s="20" t="s">
        <v>453</v>
      </c>
      <c r="G236" s="8" t="str">
        <f t="shared" si="3"/>
        <v>ZEWDU DEREJE</v>
      </c>
    </row>
    <row r="237" spans="1:7" x14ac:dyDescent="0.25">
      <c r="A237" s="8">
        <v>42865.93891203704</v>
      </c>
      <c r="B237" t="s">
        <v>438</v>
      </c>
      <c r="C237" t="s">
        <v>597</v>
      </c>
      <c r="D237" s="141">
        <v>3010000</v>
      </c>
      <c r="E237" t="s">
        <v>770</v>
      </c>
      <c r="F237" s="20" t="s">
        <v>771</v>
      </c>
      <c r="G237" s="8" t="str">
        <f t="shared" si="3"/>
        <v>SULLIVAN BRANDON</v>
      </c>
    </row>
    <row r="238" spans="1:7" x14ac:dyDescent="0.25">
      <c r="A238" s="8">
        <v>42865.944189814814</v>
      </c>
      <c r="B238" t="s">
        <v>427</v>
      </c>
      <c r="C238" t="s">
        <v>799</v>
      </c>
      <c r="D238" s="141">
        <v>1800000</v>
      </c>
      <c r="E238" t="s">
        <v>445</v>
      </c>
      <c r="F238" s="20" t="s">
        <v>446</v>
      </c>
      <c r="G238" s="8" t="str">
        <f t="shared" si="3"/>
        <v>CHANDLER KELVIN</v>
      </c>
    </row>
    <row r="239" spans="1:7" x14ac:dyDescent="0.25">
      <c r="A239" s="8">
        <v>42865.947581018518</v>
      </c>
      <c r="B239" t="s">
        <v>417</v>
      </c>
      <c r="C239" t="s">
        <v>800</v>
      </c>
      <c r="D239" s="141">
        <v>2270000</v>
      </c>
      <c r="E239" t="s">
        <v>750</v>
      </c>
      <c r="F239" s="20" t="s">
        <v>751</v>
      </c>
      <c r="G239" s="8" t="str">
        <f t="shared" si="3"/>
        <v>BROWN JACOB</v>
      </c>
    </row>
    <row r="240" spans="1:7" x14ac:dyDescent="0.25">
      <c r="A240" s="8">
        <v>42865.947731481479</v>
      </c>
      <c r="B240" t="s">
        <v>425</v>
      </c>
      <c r="C240" t="s">
        <v>597</v>
      </c>
      <c r="D240" s="141">
        <v>3010000</v>
      </c>
      <c r="E240" t="s">
        <v>770</v>
      </c>
      <c r="F240" s="20" t="s">
        <v>771</v>
      </c>
      <c r="G240" s="8" t="str">
        <f t="shared" si="3"/>
        <v>SULLIVAN BRANDON</v>
      </c>
    </row>
    <row r="241" spans="1:7" x14ac:dyDescent="0.25">
      <c r="A241" s="8">
        <v>42865.948414351849</v>
      </c>
      <c r="B241" t="s">
        <v>425</v>
      </c>
      <c r="C241" t="s">
        <v>597</v>
      </c>
      <c r="D241" s="141">
        <v>3010000</v>
      </c>
      <c r="E241" t="s">
        <v>770</v>
      </c>
      <c r="F241" s="20" t="s">
        <v>771</v>
      </c>
      <c r="G241" s="8" t="str">
        <f t="shared" si="3"/>
        <v>SULLIVAN BRANDON</v>
      </c>
    </row>
    <row r="242" spans="1:7" x14ac:dyDescent="0.25">
      <c r="A242" s="8">
        <v>42865.95548611111</v>
      </c>
      <c r="B242" t="s">
        <v>431</v>
      </c>
      <c r="C242" t="s">
        <v>801</v>
      </c>
      <c r="D242" s="141">
        <v>2150000</v>
      </c>
      <c r="E242" t="s">
        <v>498</v>
      </c>
      <c r="F242" s="20" t="s">
        <v>499</v>
      </c>
      <c r="G242" s="8" t="str">
        <f t="shared" si="3"/>
        <v>SWANSON BRYCE</v>
      </c>
    </row>
    <row r="243" spans="1:7" x14ac:dyDescent="0.25">
      <c r="A243" s="8">
        <v>42865.961851851855</v>
      </c>
      <c r="B243" t="s">
        <v>438</v>
      </c>
      <c r="C243" t="s">
        <v>597</v>
      </c>
      <c r="D243" s="141">
        <v>3010000</v>
      </c>
      <c r="E243" t="s">
        <v>770</v>
      </c>
      <c r="F243" s="20" t="s">
        <v>771</v>
      </c>
      <c r="G243" s="8" t="str">
        <f t="shared" si="3"/>
        <v>SULLIVAN BRANDON</v>
      </c>
    </row>
    <row r="244" spans="1:7" x14ac:dyDescent="0.25">
      <c r="A244" s="8">
        <v>42865.970324074071</v>
      </c>
      <c r="B244" t="s">
        <v>425</v>
      </c>
      <c r="C244" t="s">
        <v>597</v>
      </c>
      <c r="D244" s="141">
        <v>3010000</v>
      </c>
      <c r="E244" t="s">
        <v>770</v>
      </c>
      <c r="F244" s="20" t="s">
        <v>771</v>
      </c>
      <c r="G244" s="8" t="str">
        <f t="shared" si="3"/>
        <v>SULLIVAN BRANDON</v>
      </c>
    </row>
    <row r="245" spans="1:7" x14ac:dyDescent="0.25">
      <c r="A245" s="8">
        <v>42865.972291666665</v>
      </c>
      <c r="B245" t="s">
        <v>386</v>
      </c>
      <c r="C245" t="s">
        <v>802</v>
      </c>
      <c r="D245" s="141">
        <v>2730000</v>
      </c>
      <c r="E245" t="s">
        <v>784</v>
      </c>
      <c r="F245" s="20" t="s">
        <v>785</v>
      </c>
      <c r="G245" s="8" t="str">
        <f t="shared" si="3"/>
        <v>YANG JAN</v>
      </c>
    </row>
    <row r="246" spans="1:7" x14ac:dyDescent="0.25">
      <c r="A246" s="8">
        <v>42865.974027777775</v>
      </c>
      <c r="B246" t="s">
        <v>369</v>
      </c>
      <c r="C246" t="s">
        <v>803</v>
      </c>
      <c r="D246" s="141">
        <v>1810000</v>
      </c>
      <c r="E246" t="s">
        <v>421</v>
      </c>
      <c r="F246" s="20" t="s">
        <v>193</v>
      </c>
      <c r="G246" s="8" t="str">
        <f t="shared" si="3"/>
        <v>NEWELL JAMES</v>
      </c>
    </row>
    <row r="247" spans="1:7" x14ac:dyDescent="0.25">
      <c r="A247" s="8">
        <v>42865.975023148145</v>
      </c>
      <c r="B247" t="s">
        <v>490</v>
      </c>
      <c r="C247" t="s">
        <v>804</v>
      </c>
      <c r="D247" s="141">
        <v>3130000</v>
      </c>
      <c r="E247" t="s">
        <v>452</v>
      </c>
      <c r="F247" s="20" t="s">
        <v>453</v>
      </c>
      <c r="G247" s="8" t="str">
        <f t="shared" si="3"/>
        <v>ZEWDU DEREJE</v>
      </c>
    </row>
    <row r="248" spans="1:7" x14ac:dyDescent="0.25">
      <c r="A248" s="8">
        <v>42865.993888888886</v>
      </c>
      <c r="B248" t="s">
        <v>438</v>
      </c>
      <c r="C248" t="s">
        <v>597</v>
      </c>
      <c r="D248" s="141">
        <v>3010000</v>
      </c>
      <c r="E248" t="s">
        <v>770</v>
      </c>
      <c r="F248" s="20" t="s">
        <v>771</v>
      </c>
      <c r="G248" s="8" t="str">
        <f t="shared" si="3"/>
        <v>SULLIVAN BRANDON</v>
      </c>
    </row>
    <row r="249" spans="1:7" x14ac:dyDescent="0.25">
      <c r="A249" s="8">
        <v>42865.994699074072</v>
      </c>
      <c r="B249" t="s">
        <v>428</v>
      </c>
      <c r="C249" t="s">
        <v>805</v>
      </c>
      <c r="D249" s="141">
        <v>2150000</v>
      </c>
      <c r="E249" t="s">
        <v>498</v>
      </c>
      <c r="F249" s="20" t="s">
        <v>499</v>
      </c>
      <c r="G249" s="8" t="str">
        <f t="shared" si="3"/>
        <v>SWANSON BRYCE</v>
      </c>
    </row>
    <row r="250" spans="1:7" x14ac:dyDescent="0.25">
      <c r="A250" s="8">
        <v>42865.996354166666</v>
      </c>
      <c r="B250" t="s">
        <v>419</v>
      </c>
      <c r="C250" t="s">
        <v>806</v>
      </c>
      <c r="D250" s="141">
        <v>2270000</v>
      </c>
      <c r="E250" t="s">
        <v>750</v>
      </c>
      <c r="F250" s="20" t="s">
        <v>751</v>
      </c>
      <c r="G250" s="8" t="str">
        <f t="shared" si="3"/>
        <v>BROWN JACOB</v>
      </c>
    </row>
    <row r="251" spans="1:7" x14ac:dyDescent="0.25">
      <c r="A251" s="8">
        <v>42866.001423611109</v>
      </c>
      <c r="B251" t="s">
        <v>425</v>
      </c>
      <c r="C251" t="s">
        <v>597</v>
      </c>
      <c r="D251" s="141">
        <v>3010000</v>
      </c>
      <c r="E251" t="s">
        <v>770</v>
      </c>
      <c r="F251" s="20" t="s">
        <v>771</v>
      </c>
      <c r="G251" s="8" t="str">
        <f t="shared" si="3"/>
        <v>SULLIVAN BRANDON</v>
      </c>
    </row>
    <row r="252" spans="1:7" x14ac:dyDescent="0.25">
      <c r="A252" s="8">
        <v>42866.010497685187</v>
      </c>
      <c r="B252" t="s">
        <v>438</v>
      </c>
      <c r="C252" t="s">
        <v>597</v>
      </c>
      <c r="D252" s="141">
        <v>3010000</v>
      </c>
      <c r="E252" t="s">
        <v>770</v>
      </c>
      <c r="F252" s="20" t="s">
        <v>771</v>
      </c>
      <c r="G252" s="8" t="str">
        <f t="shared" si="3"/>
        <v>SULLIVAN BRANDON</v>
      </c>
    </row>
    <row r="253" spans="1:7" x14ac:dyDescent="0.25">
      <c r="A253" s="8">
        <v>42866.011064814818</v>
      </c>
      <c r="B253" t="s">
        <v>438</v>
      </c>
      <c r="C253" t="s">
        <v>597</v>
      </c>
      <c r="D253" s="141">
        <v>3010000</v>
      </c>
      <c r="E253" t="s">
        <v>770</v>
      </c>
      <c r="F253" s="20" t="s">
        <v>771</v>
      </c>
      <c r="G253" s="8" t="str">
        <f t="shared" si="3"/>
        <v>SULLIVAN BRANDON</v>
      </c>
    </row>
    <row r="254" spans="1:7" x14ac:dyDescent="0.25">
      <c r="A254" s="8">
        <v>42866.011689814812</v>
      </c>
      <c r="B254" t="s">
        <v>438</v>
      </c>
      <c r="C254" t="s">
        <v>597</v>
      </c>
      <c r="D254" s="141">
        <v>3010000</v>
      </c>
      <c r="E254" t="s">
        <v>770</v>
      </c>
      <c r="F254" s="20" t="s">
        <v>771</v>
      </c>
      <c r="G254" s="8" t="str">
        <f t="shared" si="3"/>
        <v>SULLIVAN BRANDON</v>
      </c>
    </row>
    <row r="255" spans="1:7" x14ac:dyDescent="0.25">
      <c r="A255" s="8">
        <v>42866.012557870374</v>
      </c>
      <c r="B255" t="s">
        <v>438</v>
      </c>
      <c r="C255" t="s">
        <v>597</v>
      </c>
      <c r="D255" s="141">
        <v>3010000</v>
      </c>
      <c r="E255" t="s">
        <v>770</v>
      </c>
      <c r="F255" s="20" t="s">
        <v>771</v>
      </c>
      <c r="G255" s="8" t="str">
        <f t="shared" si="3"/>
        <v>SULLIVAN BRANDON</v>
      </c>
    </row>
    <row r="256" spans="1:7" x14ac:dyDescent="0.25">
      <c r="A256" s="8">
        <v>42866.013136574074</v>
      </c>
      <c r="B256" t="s">
        <v>438</v>
      </c>
      <c r="C256" t="s">
        <v>597</v>
      </c>
      <c r="D256" s="141">
        <v>3010000</v>
      </c>
      <c r="E256" t="s">
        <v>770</v>
      </c>
      <c r="F256" s="20" t="s">
        <v>771</v>
      </c>
      <c r="G256" s="8" t="str">
        <f t="shared" si="3"/>
        <v>SULLIVAN BRANDON</v>
      </c>
    </row>
    <row r="257" spans="1:7" x14ac:dyDescent="0.25">
      <c r="A257" s="8">
        <v>42866.013969907406</v>
      </c>
      <c r="B257" t="s">
        <v>438</v>
      </c>
      <c r="C257" t="s">
        <v>597</v>
      </c>
      <c r="D257" s="141">
        <v>3010000</v>
      </c>
      <c r="E257" t="s">
        <v>770</v>
      </c>
      <c r="F257" s="20" t="s">
        <v>771</v>
      </c>
      <c r="G257" s="8" t="str">
        <f t="shared" si="3"/>
        <v>SULLIVAN BRANDON</v>
      </c>
    </row>
    <row r="258" spans="1:7" x14ac:dyDescent="0.25">
      <c r="A258" s="8">
        <v>42866.015034722222</v>
      </c>
      <c r="B258" t="s">
        <v>438</v>
      </c>
      <c r="C258" t="s">
        <v>597</v>
      </c>
      <c r="D258" s="141">
        <v>3010000</v>
      </c>
      <c r="E258" t="s">
        <v>770</v>
      </c>
      <c r="F258" s="20" t="s">
        <v>771</v>
      </c>
      <c r="G258" s="8" t="str">
        <f t="shared" si="3"/>
        <v>SULLIVAN BRANDON</v>
      </c>
    </row>
    <row r="259" spans="1:7" x14ac:dyDescent="0.25">
      <c r="A259" s="8">
        <v>42866.015509259261</v>
      </c>
      <c r="B259" t="s">
        <v>486</v>
      </c>
      <c r="C259" t="s">
        <v>807</v>
      </c>
      <c r="D259" s="141">
        <v>3130000</v>
      </c>
      <c r="E259" t="s">
        <v>452</v>
      </c>
      <c r="F259" s="20" t="s">
        <v>453</v>
      </c>
      <c r="G259" s="8" t="str">
        <f t="shared" ref="G259:G322" si="4">E259&amp;" "&amp;F259</f>
        <v>ZEWDU DEREJE</v>
      </c>
    </row>
    <row r="260" spans="1:7" x14ac:dyDescent="0.25">
      <c r="A260" s="8">
        <v>42866.017175925925</v>
      </c>
      <c r="B260" t="s">
        <v>365</v>
      </c>
      <c r="C260" t="s">
        <v>808</v>
      </c>
      <c r="D260" s="141">
        <v>1810000</v>
      </c>
      <c r="E260" t="s">
        <v>421</v>
      </c>
      <c r="F260" s="20" t="s">
        <v>193</v>
      </c>
      <c r="G260" s="8" t="str">
        <f t="shared" si="4"/>
        <v>NEWELL JAMES</v>
      </c>
    </row>
    <row r="261" spans="1:7" x14ac:dyDescent="0.25">
      <c r="A261" s="8">
        <v>42866.023819444446</v>
      </c>
      <c r="B261" t="s">
        <v>425</v>
      </c>
      <c r="C261" t="s">
        <v>597</v>
      </c>
      <c r="D261" s="141">
        <v>3010000</v>
      </c>
      <c r="E261" t="s">
        <v>770</v>
      </c>
      <c r="F261" s="20" t="s">
        <v>771</v>
      </c>
      <c r="G261" s="8" t="str">
        <f t="shared" si="4"/>
        <v>SULLIVAN BRANDON</v>
      </c>
    </row>
    <row r="262" spans="1:7" x14ac:dyDescent="0.25">
      <c r="A262" s="8">
        <v>42866.031168981484</v>
      </c>
      <c r="B262" t="s">
        <v>431</v>
      </c>
      <c r="C262" t="s">
        <v>809</v>
      </c>
      <c r="D262" s="141">
        <v>2150000</v>
      </c>
      <c r="E262" t="s">
        <v>498</v>
      </c>
      <c r="F262" s="20" t="s">
        <v>499</v>
      </c>
      <c r="G262" s="8" t="str">
        <f t="shared" si="4"/>
        <v>SWANSON BRYCE</v>
      </c>
    </row>
    <row r="263" spans="1:7" x14ac:dyDescent="0.25">
      <c r="A263" s="8">
        <v>42866.032870370371</v>
      </c>
      <c r="B263" t="s">
        <v>417</v>
      </c>
      <c r="C263" t="s">
        <v>810</v>
      </c>
      <c r="D263" s="141">
        <v>2270000</v>
      </c>
      <c r="E263" t="s">
        <v>750</v>
      </c>
      <c r="F263" s="20" t="s">
        <v>751</v>
      </c>
      <c r="G263" s="8" t="str">
        <f t="shared" si="4"/>
        <v>BROWN JACOB</v>
      </c>
    </row>
    <row r="264" spans="1:7" x14ac:dyDescent="0.25">
      <c r="A264" s="8">
        <v>42866.03974537037</v>
      </c>
      <c r="B264" t="s">
        <v>438</v>
      </c>
      <c r="C264" t="s">
        <v>597</v>
      </c>
      <c r="D264" s="141">
        <v>3010000</v>
      </c>
      <c r="E264" t="s">
        <v>770</v>
      </c>
      <c r="F264" s="20" t="s">
        <v>771</v>
      </c>
      <c r="G264" s="8" t="str">
        <f t="shared" si="4"/>
        <v>SULLIVAN BRANDON</v>
      </c>
    </row>
    <row r="265" spans="1:7" x14ac:dyDescent="0.25">
      <c r="A265" s="8">
        <v>42866.047314814816</v>
      </c>
      <c r="B265" t="s">
        <v>490</v>
      </c>
      <c r="C265" t="s">
        <v>811</v>
      </c>
      <c r="D265" s="141">
        <v>3130000</v>
      </c>
      <c r="E265" t="s">
        <v>452</v>
      </c>
      <c r="F265" s="20" t="s">
        <v>453</v>
      </c>
      <c r="G265" s="8" t="str">
        <f t="shared" si="4"/>
        <v>ZEWDU DEREJE</v>
      </c>
    </row>
    <row r="266" spans="1:7" x14ac:dyDescent="0.25">
      <c r="A266" s="8">
        <v>42866.04824074074</v>
      </c>
      <c r="B266" t="s">
        <v>425</v>
      </c>
      <c r="C266" t="s">
        <v>597</v>
      </c>
      <c r="D266" s="141">
        <v>3010000</v>
      </c>
      <c r="E266" t="s">
        <v>770</v>
      </c>
      <c r="F266" s="20" t="s">
        <v>771</v>
      </c>
      <c r="G266" s="8" t="str">
        <f t="shared" si="4"/>
        <v>SULLIVAN BRANDON</v>
      </c>
    </row>
    <row r="267" spans="1:7" x14ac:dyDescent="0.25">
      <c r="A267" s="8">
        <v>42866.049907407411</v>
      </c>
      <c r="B267" t="s">
        <v>490</v>
      </c>
      <c r="C267" t="s">
        <v>811</v>
      </c>
      <c r="D267" s="141">
        <v>3130000</v>
      </c>
      <c r="E267" t="s">
        <v>452</v>
      </c>
      <c r="F267" s="20" t="s">
        <v>453</v>
      </c>
      <c r="G267" s="8" t="str">
        <f t="shared" si="4"/>
        <v>ZEWDU DEREJE</v>
      </c>
    </row>
    <row r="268" spans="1:7" x14ac:dyDescent="0.25">
      <c r="A268" s="8">
        <v>42866.05673611111</v>
      </c>
      <c r="B268" t="s">
        <v>369</v>
      </c>
      <c r="C268" t="s">
        <v>812</v>
      </c>
      <c r="D268" s="141">
        <v>1810000</v>
      </c>
      <c r="E268" t="s">
        <v>421</v>
      </c>
      <c r="F268" s="20" t="s">
        <v>193</v>
      </c>
      <c r="G268" s="8" t="str">
        <f t="shared" si="4"/>
        <v>NEWELL JAMES</v>
      </c>
    </row>
    <row r="269" spans="1:7" x14ac:dyDescent="0.25">
      <c r="A269" s="8">
        <v>42866.061620370368</v>
      </c>
      <c r="B269" t="s">
        <v>438</v>
      </c>
      <c r="C269" t="s">
        <v>597</v>
      </c>
      <c r="D269" s="141">
        <v>3010000</v>
      </c>
      <c r="E269" t="s">
        <v>770</v>
      </c>
      <c r="F269" s="20" t="s">
        <v>771</v>
      </c>
      <c r="G269" s="8" t="str">
        <f t="shared" si="4"/>
        <v>SULLIVAN BRANDON</v>
      </c>
    </row>
    <row r="270" spans="1:7" x14ac:dyDescent="0.25">
      <c r="A270" s="8">
        <v>42866.062314814815</v>
      </c>
      <c r="B270" t="s">
        <v>438</v>
      </c>
      <c r="C270" t="s">
        <v>597</v>
      </c>
      <c r="D270" s="141">
        <v>3010000</v>
      </c>
      <c r="E270" t="s">
        <v>770</v>
      </c>
      <c r="F270" s="20" t="s">
        <v>771</v>
      </c>
      <c r="G270" s="8" t="str">
        <f t="shared" si="4"/>
        <v>SULLIVAN BRANDON</v>
      </c>
    </row>
    <row r="271" spans="1:7" x14ac:dyDescent="0.25">
      <c r="A271" s="8">
        <v>42866.063356481478</v>
      </c>
      <c r="B271" t="s">
        <v>438</v>
      </c>
      <c r="C271" t="s">
        <v>597</v>
      </c>
      <c r="D271" s="141">
        <v>3010000</v>
      </c>
      <c r="E271" t="s">
        <v>770</v>
      </c>
      <c r="F271" s="20" t="s">
        <v>771</v>
      </c>
      <c r="G271" s="8" t="str">
        <f t="shared" si="4"/>
        <v>SULLIVAN BRANDON</v>
      </c>
    </row>
    <row r="272" spans="1:7" x14ac:dyDescent="0.25">
      <c r="A272" s="8">
        <v>42866.069861111115</v>
      </c>
      <c r="B272" t="s">
        <v>419</v>
      </c>
      <c r="C272" t="s">
        <v>813</v>
      </c>
      <c r="D272" s="141">
        <v>2270000</v>
      </c>
      <c r="E272" t="s">
        <v>750</v>
      </c>
      <c r="F272" s="20" t="s">
        <v>751</v>
      </c>
      <c r="G272" s="8" t="str">
        <f t="shared" si="4"/>
        <v>BROWN JACOB</v>
      </c>
    </row>
    <row r="273" spans="1:7" x14ac:dyDescent="0.25">
      <c r="A273" s="8">
        <v>42866.071180555555</v>
      </c>
      <c r="B273" t="s">
        <v>425</v>
      </c>
      <c r="C273" t="s">
        <v>597</v>
      </c>
      <c r="D273" s="141">
        <v>3010000</v>
      </c>
      <c r="E273" t="s">
        <v>770</v>
      </c>
      <c r="F273" s="20" t="s">
        <v>771</v>
      </c>
      <c r="G273" s="8" t="str">
        <f t="shared" si="4"/>
        <v>SULLIVAN BRANDON</v>
      </c>
    </row>
    <row r="274" spans="1:7" x14ac:dyDescent="0.25">
      <c r="A274" s="8">
        <v>42866.085960648146</v>
      </c>
      <c r="B274" t="s">
        <v>438</v>
      </c>
      <c r="C274" t="s">
        <v>814</v>
      </c>
      <c r="D274" s="141">
        <v>2970000</v>
      </c>
      <c r="E274" t="s">
        <v>447</v>
      </c>
      <c r="F274" s="20" t="s">
        <v>448</v>
      </c>
      <c r="G274" s="8" t="str">
        <f t="shared" si="4"/>
        <v>GUZMAN DANNY</v>
      </c>
    </row>
    <row r="275" spans="1:7" x14ac:dyDescent="0.25">
      <c r="A275" s="8">
        <v>42866.09002314815</v>
      </c>
      <c r="B275" t="s">
        <v>365</v>
      </c>
      <c r="C275" t="s">
        <v>815</v>
      </c>
      <c r="D275" s="141">
        <v>1810000</v>
      </c>
      <c r="E275" t="s">
        <v>421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42866.094224537039</v>
      </c>
      <c r="B276" t="s">
        <v>425</v>
      </c>
      <c r="C276" t="s">
        <v>816</v>
      </c>
      <c r="D276" s="141">
        <v>2970000</v>
      </c>
      <c r="E276" t="s">
        <v>447</v>
      </c>
      <c r="F276" s="20" t="s">
        <v>448</v>
      </c>
      <c r="G276" s="8" t="str">
        <f t="shared" si="4"/>
        <v>GUZMAN DANNY</v>
      </c>
    </row>
    <row r="277" spans="1:7" x14ac:dyDescent="0.25">
      <c r="A277" s="8">
        <v>42866.104178240741</v>
      </c>
      <c r="B277" t="s">
        <v>438</v>
      </c>
      <c r="C277" t="s">
        <v>814</v>
      </c>
      <c r="D277" s="141">
        <v>2970000</v>
      </c>
      <c r="E277" t="s">
        <v>447</v>
      </c>
      <c r="F277" s="20" t="s">
        <v>448</v>
      </c>
      <c r="G277" s="8" t="str">
        <f t="shared" si="4"/>
        <v>GUZMAN DANNY</v>
      </c>
    </row>
    <row r="278" spans="1:7" x14ac:dyDescent="0.25">
      <c r="A278" s="8">
        <v>42866.112222222226</v>
      </c>
      <c r="B278" t="s">
        <v>425</v>
      </c>
      <c r="C278" t="s">
        <v>816</v>
      </c>
      <c r="D278" s="141">
        <v>2970000</v>
      </c>
      <c r="E278" t="s">
        <v>447</v>
      </c>
      <c r="F278" s="20" t="s">
        <v>448</v>
      </c>
      <c r="G278" s="8" t="str">
        <f t="shared" si="4"/>
        <v>GUZMAN DANNY</v>
      </c>
    </row>
    <row r="279" spans="1:7" x14ac:dyDescent="0.25">
      <c r="A279" s="8">
        <v>42863.981481481482</v>
      </c>
      <c r="B279" t="s">
        <v>398</v>
      </c>
      <c r="C279" t="s">
        <v>430</v>
      </c>
      <c r="D279" s="141">
        <v>3040000</v>
      </c>
      <c r="E279" t="s">
        <v>450</v>
      </c>
      <c r="F279" s="20" t="s">
        <v>451</v>
      </c>
      <c r="G279" s="8" t="str">
        <f t="shared" si="4"/>
        <v>WILLIAMS DONTE</v>
      </c>
    </row>
    <row r="280" spans="1:7" x14ac:dyDescent="0.25">
      <c r="A280" s="8">
        <v>42863.982152777775</v>
      </c>
      <c r="B280" t="s">
        <v>438</v>
      </c>
      <c r="C280" t="s">
        <v>429</v>
      </c>
      <c r="D280" s="141">
        <v>2970000</v>
      </c>
      <c r="E280" t="s">
        <v>447</v>
      </c>
      <c r="F280" s="20" t="s">
        <v>448</v>
      </c>
      <c r="G280" s="8" t="str">
        <f t="shared" si="4"/>
        <v>GUZMAN DANNY</v>
      </c>
    </row>
    <row r="281" spans="1:7" x14ac:dyDescent="0.25">
      <c r="A281" s="8">
        <v>42863.982546296298</v>
      </c>
      <c r="B281" t="s">
        <v>398</v>
      </c>
      <c r="C281" t="s">
        <v>430</v>
      </c>
      <c r="D281" s="141">
        <v>3040000</v>
      </c>
      <c r="E281" t="s">
        <v>450</v>
      </c>
      <c r="F281" s="20" t="s">
        <v>451</v>
      </c>
      <c r="G281" s="8" t="str">
        <f t="shared" si="4"/>
        <v>WILLIAMS DONTE</v>
      </c>
    </row>
    <row r="282" spans="1:7" x14ac:dyDescent="0.25">
      <c r="A282" s="8">
        <v>42863.991898148146</v>
      </c>
      <c r="B282" t="s">
        <v>345</v>
      </c>
      <c r="C282" t="s">
        <v>455</v>
      </c>
      <c r="D282" s="141">
        <v>3030000</v>
      </c>
      <c r="E282" t="s">
        <v>449</v>
      </c>
      <c r="F282" s="20" t="s">
        <v>420</v>
      </c>
      <c r="G282" s="8" t="str">
        <f t="shared" si="4"/>
        <v>BIRENBAUM THOMAS</v>
      </c>
    </row>
    <row r="283" spans="1:7" x14ac:dyDescent="0.25">
      <c r="A283" s="8">
        <v>42863.993750000001</v>
      </c>
      <c r="B283" t="s">
        <v>425</v>
      </c>
      <c r="C283" t="s">
        <v>429</v>
      </c>
      <c r="D283" s="141">
        <v>2970000</v>
      </c>
      <c r="E283" t="s">
        <v>447</v>
      </c>
      <c r="F283" s="20" t="s">
        <v>448</v>
      </c>
      <c r="G283" s="8" t="str">
        <f t="shared" si="4"/>
        <v>GUZMAN DANNY</v>
      </c>
    </row>
    <row r="284" spans="1:7" x14ac:dyDescent="0.25">
      <c r="A284" s="8">
        <v>42863.994363425925</v>
      </c>
      <c r="B284" t="s">
        <v>425</v>
      </c>
      <c r="C284" t="s">
        <v>429</v>
      </c>
      <c r="D284" s="141">
        <v>2970000</v>
      </c>
      <c r="E284" t="s">
        <v>447</v>
      </c>
      <c r="F284" s="20" t="s">
        <v>448</v>
      </c>
      <c r="G284" s="8" t="str">
        <f t="shared" si="4"/>
        <v>GUZMAN DANNY</v>
      </c>
    </row>
    <row r="285" spans="1:7" x14ac:dyDescent="0.25">
      <c r="A285" s="8">
        <v>42863.995520833334</v>
      </c>
      <c r="B285" t="s">
        <v>344</v>
      </c>
      <c r="C285" t="s">
        <v>456</v>
      </c>
      <c r="D285" s="141">
        <v>1800000</v>
      </c>
      <c r="E285" t="s">
        <v>445</v>
      </c>
      <c r="F285" s="20" t="s">
        <v>446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438</v>
      </c>
      <c r="C286" t="s">
        <v>429</v>
      </c>
      <c r="D286" s="141">
        <v>2970000</v>
      </c>
      <c r="E286" t="s">
        <v>447</v>
      </c>
      <c r="F286" s="20" t="s">
        <v>448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389</v>
      </c>
      <c r="C287" t="s">
        <v>457</v>
      </c>
      <c r="D287" s="141">
        <v>2230000</v>
      </c>
      <c r="E287" t="s">
        <v>346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431</v>
      </c>
      <c r="C288" t="s">
        <v>454</v>
      </c>
      <c r="D288" s="141">
        <v>3130000</v>
      </c>
      <c r="E288" t="s">
        <v>452</v>
      </c>
      <c r="F288" s="20" t="s">
        <v>453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399</v>
      </c>
      <c r="C289" t="s">
        <v>430</v>
      </c>
      <c r="D289" s="141">
        <v>3040000</v>
      </c>
      <c r="E289" t="s">
        <v>450</v>
      </c>
      <c r="F289" s="20" t="s">
        <v>451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431</v>
      </c>
      <c r="C290" t="s">
        <v>454</v>
      </c>
      <c r="D290" s="141">
        <v>3130000</v>
      </c>
      <c r="E290" t="s">
        <v>452</v>
      </c>
      <c r="F290" s="20" t="s">
        <v>453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399</v>
      </c>
      <c r="C291" t="s">
        <v>430</v>
      </c>
      <c r="D291" s="141">
        <v>3040000</v>
      </c>
      <c r="E291" t="s">
        <v>450</v>
      </c>
      <c r="F291" s="20" t="s">
        <v>451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425</v>
      </c>
      <c r="C292" t="s">
        <v>429</v>
      </c>
      <c r="D292" s="141">
        <v>2970000</v>
      </c>
      <c r="E292" t="s">
        <v>447</v>
      </c>
      <c r="F292" s="20" t="s">
        <v>448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431</v>
      </c>
      <c r="C293" t="s">
        <v>432</v>
      </c>
      <c r="D293" s="141">
        <v>3130000</v>
      </c>
      <c r="E293" t="s">
        <v>452</v>
      </c>
      <c r="F293" s="20" t="s">
        <v>453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399</v>
      </c>
      <c r="C294" t="s">
        <v>430</v>
      </c>
      <c r="D294" s="141">
        <v>3040000</v>
      </c>
      <c r="E294" t="s">
        <v>450</v>
      </c>
      <c r="F294" s="20" t="s">
        <v>451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343</v>
      </c>
      <c r="C295" t="s">
        <v>458</v>
      </c>
      <c r="D295" s="141">
        <v>1800000</v>
      </c>
      <c r="E295" t="s">
        <v>445</v>
      </c>
      <c r="F295" s="20" t="s">
        <v>446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418</v>
      </c>
      <c r="C296" t="s">
        <v>459</v>
      </c>
      <c r="D296" s="141">
        <v>3030000</v>
      </c>
      <c r="E296" t="s">
        <v>449</v>
      </c>
      <c r="F296" s="20" t="s">
        <v>420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438</v>
      </c>
      <c r="C297" t="s">
        <v>429</v>
      </c>
      <c r="D297" s="141">
        <v>2970000</v>
      </c>
      <c r="E297" t="s">
        <v>447</v>
      </c>
      <c r="F297" s="20" t="s">
        <v>448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375</v>
      </c>
      <c r="C298" t="s">
        <v>460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425</v>
      </c>
      <c r="C299" t="s">
        <v>429</v>
      </c>
      <c r="D299" s="141">
        <v>2970000</v>
      </c>
      <c r="E299" t="s">
        <v>447</v>
      </c>
      <c r="F299" s="20" t="s">
        <v>448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428</v>
      </c>
      <c r="C300" t="s">
        <v>433</v>
      </c>
      <c r="D300" s="141">
        <v>3130000</v>
      </c>
      <c r="E300" t="s">
        <v>452</v>
      </c>
      <c r="F300" s="20" t="s">
        <v>453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425</v>
      </c>
      <c r="C301" t="s">
        <v>429</v>
      </c>
      <c r="D301" s="141">
        <v>2970000</v>
      </c>
      <c r="E301" t="s">
        <v>447</v>
      </c>
      <c r="F301" s="20" t="s">
        <v>448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398</v>
      </c>
      <c r="C302" t="s">
        <v>430</v>
      </c>
      <c r="D302" s="141">
        <v>3040000</v>
      </c>
      <c r="E302" t="s">
        <v>450</v>
      </c>
      <c r="F302" s="20" t="s">
        <v>451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398</v>
      </c>
      <c r="C303" t="s">
        <v>430</v>
      </c>
      <c r="D303" s="141">
        <v>3040000</v>
      </c>
      <c r="E303" t="s">
        <v>450</v>
      </c>
      <c r="F303" s="20" t="s">
        <v>451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461</v>
      </c>
      <c r="D304" s="141">
        <v>3030000</v>
      </c>
      <c r="E304" t="s">
        <v>449</v>
      </c>
      <c r="F304" s="20" t="s">
        <v>420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438</v>
      </c>
      <c r="C305" t="s">
        <v>429</v>
      </c>
      <c r="D305" s="141">
        <v>2970000</v>
      </c>
      <c r="E305" t="s">
        <v>447</v>
      </c>
      <c r="F305" s="20" t="s">
        <v>448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425</v>
      </c>
      <c r="C306" t="s">
        <v>429</v>
      </c>
      <c r="D306" s="141">
        <v>2970000</v>
      </c>
      <c r="E306" t="s">
        <v>447</v>
      </c>
      <c r="F306" s="20" t="s">
        <v>448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399</v>
      </c>
      <c r="C307" t="s">
        <v>430</v>
      </c>
      <c r="D307" s="141">
        <v>3040000</v>
      </c>
      <c r="E307" t="s">
        <v>450</v>
      </c>
      <c r="F307" s="20" t="s">
        <v>451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431</v>
      </c>
      <c r="C308" t="s">
        <v>462</v>
      </c>
      <c r="D308" s="141">
        <v>3130000</v>
      </c>
      <c r="E308" t="s">
        <v>452</v>
      </c>
      <c r="F308" s="20" t="s">
        <v>453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398</v>
      </c>
      <c r="C309" t="s">
        <v>430</v>
      </c>
      <c r="D309" s="141">
        <v>3040000</v>
      </c>
      <c r="E309" t="s">
        <v>450</v>
      </c>
      <c r="F309" s="20" t="s">
        <v>451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438</v>
      </c>
      <c r="C310" t="s">
        <v>429</v>
      </c>
      <c r="D310" s="141">
        <v>2970000</v>
      </c>
      <c r="E310" t="s">
        <v>447</v>
      </c>
      <c r="F310" s="20" t="s">
        <v>448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425</v>
      </c>
      <c r="C311" t="s">
        <v>429</v>
      </c>
      <c r="D311" s="141">
        <v>2970000</v>
      </c>
      <c r="E311" t="s">
        <v>447</v>
      </c>
      <c r="F311" s="20" t="s">
        <v>448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422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52.79</v>
      </c>
      <c r="B2" s="168">
        <v>0.96</v>
      </c>
      <c r="C2" s="168">
        <v>48.99</v>
      </c>
      <c r="D2" s="8">
        <v>42865</v>
      </c>
      <c r="E2" s="168">
        <v>0.87</v>
      </c>
      <c r="F2" s="168" t="s">
        <v>508</v>
      </c>
      <c r="G2" s="168">
        <v>331.39</v>
      </c>
      <c r="H2" s="168">
        <v>2.0999999999999999E-3</v>
      </c>
      <c r="I2" s="168">
        <v>0.05</v>
      </c>
      <c r="J2" s="168" t="s">
        <v>423</v>
      </c>
      <c r="K2" s="168">
        <v>1008.99</v>
      </c>
      <c r="L2" s="168" t="s">
        <v>509</v>
      </c>
      <c r="M2" s="168">
        <v>52.79</v>
      </c>
      <c r="N2" s="168">
        <v>1494396000</v>
      </c>
      <c r="O2" s="168">
        <v>9.85</v>
      </c>
      <c r="P2" s="168">
        <v>309</v>
      </c>
      <c r="Q2" s="168">
        <v>2.35</v>
      </c>
      <c r="R2"/>
    </row>
    <row r="3" spans="1:18" x14ac:dyDescent="0.25">
      <c r="A3" s="168">
        <v>51.84</v>
      </c>
      <c r="B3" s="168">
        <v>0.87</v>
      </c>
      <c r="C3" s="168">
        <v>48.62</v>
      </c>
      <c r="D3" s="8">
        <v>42865.041666666664</v>
      </c>
      <c r="E3" s="168">
        <v>0.89</v>
      </c>
      <c r="F3" s="168" t="s">
        <v>423</v>
      </c>
      <c r="G3" s="168">
        <v>334.65</v>
      </c>
      <c r="H3" s="168">
        <v>5.4000000000000003E-3</v>
      </c>
      <c r="I3" s="168">
        <v>0.24</v>
      </c>
      <c r="J3" s="168" t="s">
        <v>423</v>
      </c>
      <c r="K3" s="168">
        <v>1009.01</v>
      </c>
      <c r="L3" s="168" t="s">
        <v>464</v>
      </c>
      <c r="M3" s="168">
        <v>51.84</v>
      </c>
      <c r="N3" s="168">
        <v>1494399600</v>
      </c>
      <c r="O3" s="168">
        <v>9.85</v>
      </c>
      <c r="P3" s="168">
        <v>276</v>
      </c>
      <c r="Q3" s="168">
        <v>2.04</v>
      </c>
      <c r="R3"/>
    </row>
    <row r="4" spans="1:18" x14ac:dyDescent="0.25">
      <c r="A4" s="168">
        <v>51.37</v>
      </c>
      <c r="B4" s="168">
        <v>0.8</v>
      </c>
      <c r="C4" s="168">
        <v>48.64</v>
      </c>
      <c r="D4" s="8">
        <v>42865.083333333336</v>
      </c>
      <c r="E4" s="168">
        <v>0.9</v>
      </c>
      <c r="F4" s="168" t="s">
        <v>423</v>
      </c>
      <c r="G4" s="168">
        <v>337.92</v>
      </c>
      <c r="H4" s="168">
        <v>9.7999999999999997E-3</v>
      </c>
      <c r="I4" s="168">
        <v>0.5</v>
      </c>
      <c r="J4" s="168" t="s">
        <v>423</v>
      </c>
      <c r="K4" s="168">
        <v>1009.07</v>
      </c>
      <c r="L4" s="168" t="s">
        <v>463</v>
      </c>
      <c r="M4" s="168">
        <v>51.37</v>
      </c>
      <c r="N4" s="168">
        <v>1494403200</v>
      </c>
      <c r="O4" s="168">
        <v>9.85</v>
      </c>
      <c r="P4" s="168">
        <v>283</v>
      </c>
      <c r="Q4" s="168">
        <v>1.81</v>
      </c>
      <c r="R4"/>
    </row>
    <row r="5" spans="1:18" x14ac:dyDescent="0.25">
      <c r="A5" s="168">
        <v>50.52</v>
      </c>
      <c r="B5" s="168">
        <v>0.73</v>
      </c>
      <c r="C5" s="168">
        <v>48.26</v>
      </c>
      <c r="D5" s="8">
        <v>42865.125</v>
      </c>
      <c r="E5" s="168">
        <v>0.92</v>
      </c>
      <c r="F5" s="168" t="s">
        <v>423</v>
      </c>
      <c r="G5" s="168">
        <v>341.18</v>
      </c>
      <c r="H5" s="168">
        <v>1.12E-2</v>
      </c>
      <c r="I5" s="168">
        <v>0.52</v>
      </c>
      <c r="J5" s="168" t="s">
        <v>423</v>
      </c>
      <c r="K5" s="168">
        <v>1009.18</v>
      </c>
      <c r="L5" s="168" t="s">
        <v>463</v>
      </c>
      <c r="M5" s="168">
        <v>50.52</v>
      </c>
      <c r="N5" s="168">
        <v>1494406800</v>
      </c>
      <c r="O5" s="168">
        <v>9.85</v>
      </c>
      <c r="P5" s="168">
        <v>338</v>
      </c>
      <c r="Q5" s="168">
        <v>2.42</v>
      </c>
      <c r="R5"/>
    </row>
    <row r="6" spans="1:18" x14ac:dyDescent="0.25">
      <c r="A6" s="168">
        <v>49.26</v>
      </c>
      <c r="B6" s="168">
        <v>0.73</v>
      </c>
      <c r="C6" s="168">
        <v>47.19</v>
      </c>
      <c r="D6" s="8">
        <v>42865.166666666664</v>
      </c>
      <c r="E6" s="168">
        <v>0.93</v>
      </c>
      <c r="F6" s="168" t="s">
        <v>423</v>
      </c>
      <c r="G6" s="168">
        <v>341.78</v>
      </c>
      <c r="H6" s="168">
        <v>9.2999999999999992E-3</v>
      </c>
      <c r="I6" s="168">
        <v>0.5</v>
      </c>
      <c r="J6" s="168" t="s">
        <v>423</v>
      </c>
      <c r="K6" s="168">
        <v>1009.97</v>
      </c>
      <c r="L6" s="168" t="s">
        <v>463</v>
      </c>
      <c r="M6" s="168">
        <v>49.26</v>
      </c>
      <c r="N6" s="168">
        <v>1494410400</v>
      </c>
      <c r="O6" s="168">
        <v>9.83</v>
      </c>
      <c r="P6" s="168">
        <v>299</v>
      </c>
      <c r="Q6" s="168">
        <v>0.97</v>
      </c>
      <c r="R6"/>
    </row>
    <row r="7" spans="1:18" x14ac:dyDescent="0.25">
      <c r="A7" s="168">
        <v>48.3</v>
      </c>
      <c r="B7" s="168">
        <v>0.76</v>
      </c>
      <c r="C7" s="168">
        <v>46.36</v>
      </c>
      <c r="D7" s="8">
        <v>42865.208333333336</v>
      </c>
      <c r="E7" s="168">
        <v>0.93</v>
      </c>
      <c r="F7" s="168" t="s">
        <v>423</v>
      </c>
      <c r="G7" s="168">
        <v>341.26</v>
      </c>
      <c r="H7" s="168">
        <v>5.5999999999999999E-3</v>
      </c>
      <c r="I7" s="168">
        <v>0.25</v>
      </c>
      <c r="J7" s="168" t="s">
        <v>423</v>
      </c>
      <c r="K7" s="168">
        <v>1011.05</v>
      </c>
      <c r="L7" s="168" t="s">
        <v>464</v>
      </c>
      <c r="M7" s="168">
        <v>48.3</v>
      </c>
      <c r="N7" s="168">
        <v>1494414000</v>
      </c>
      <c r="O7" s="168">
        <v>9.8000000000000007</v>
      </c>
      <c r="P7" s="168">
        <v>324</v>
      </c>
      <c r="Q7" s="168">
        <v>1.98</v>
      </c>
      <c r="R7"/>
    </row>
    <row r="8" spans="1:18" x14ac:dyDescent="0.25">
      <c r="A8" s="168">
        <v>48.01</v>
      </c>
      <c r="B8" s="168">
        <v>0.78</v>
      </c>
      <c r="C8" s="168">
        <v>46.07</v>
      </c>
      <c r="D8" s="8">
        <v>42865.25</v>
      </c>
      <c r="E8" s="168">
        <v>0.93</v>
      </c>
      <c r="F8" s="168" t="s">
        <v>407</v>
      </c>
      <c r="G8" s="168">
        <v>340.95</v>
      </c>
      <c r="H8" s="168">
        <v>3.0999999999999999E-3</v>
      </c>
      <c r="I8" s="168">
        <v>0.1</v>
      </c>
      <c r="J8" s="168" t="s">
        <v>423</v>
      </c>
      <c r="K8" s="168">
        <v>1011.81</v>
      </c>
      <c r="L8" s="168" t="s">
        <v>408</v>
      </c>
      <c r="M8" s="168">
        <v>48.01</v>
      </c>
      <c r="N8" s="168">
        <v>1494417600</v>
      </c>
      <c r="O8" s="168">
        <v>9.74</v>
      </c>
      <c r="P8" s="168">
        <v>16</v>
      </c>
      <c r="Q8" s="168">
        <v>2.6</v>
      </c>
      <c r="R8"/>
    </row>
    <row r="9" spans="1:18" x14ac:dyDescent="0.25">
      <c r="A9" s="168">
        <v>47.62</v>
      </c>
      <c r="B9" s="168">
        <v>0.77</v>
      </c>
      <c r="C9" s="168">
        <v>46.5</v>
      </c>
      <c r="D9" s="8">
        <v>42865.291666666664</v>
      </c>
      <c r="E9" s="168">
        <v>0.92</v>
      </c>
      <c r="F9" s="168" t="s">
        <v>407</v>
      </c>
      <c r="G9" s="168">
        <v>341.1</v>
      </c>
      <c r="H9" s="168">
        <v>4.1000000000000003E-3</v>
      </c>
      <c r="I9" s="168">
        <v>0.16</v>
      </c>
      <c r="J9" s="168" t="s">
        <v>423</v>
      </c>
      <c r="K9" s="168">
        <v>1012.13</v>
      </c>
      <c r="L9" s="168" t="s">
        <v>408</v>
      </c>
      <c r="M9" s="168">
        <v>48.72</v>
      </c>
      <c r="N9" s="168">
        <v>1494421200</v>
      </c>
      <c r="O9" s="168">
        <v>9.7899999999999991</v>
      </c>
      <c r="P9" s="168">
        <v>13</v>
      </c>
      <c r="Q9" s="168">
        <v>3.7</v>
      </c>
      <c r="R9"/>
    </row>
    <row r="10" spans="1:18" x14ac:dyDescent="0.25">
      <c r="A10" s="168">
        <v>50.1</v>
      </c>
      <c r="B10" s="168">
        <v>0.76</v>
      </c>
      <c r="C10" s="168">
        <v>47.17</v>
      </c>
      <c r="D10" s="8">
        <v>42865.333333333336</v>
      </c>
      <c r="E10" s="168">
        <v>0.9</v>
      </c>
      <c r="F10" s="168" t="s">
        <v>407</v>
      </c>
      <c r="G10" s="168">
        <v>341.45</v>
      </c>
      <c r="H10" s="168">
        <v>4.0000000000000001E-3</v>
      </c>
      <c r="I10" s="168">
        <v>0.15</v>
      </c>
      <c r="J10" s="168" t="s">
        <v>423</v>
      </c>
      <c r="K10" s="168">
        <v>1012.15</v>
      </c>
      <c r="L10" s="168" t="s">
        <v>408</v>
      </c>
      <c r="M10" s="168">
        <v>50.1</v>
      </c>
      <c r="N10" s="168">
        <v>1494424800</v>
      </c>
      <c r="O10" s="168">
        <v>9.8800000000000008</v>
      </c>
      <c r="P10" s="168">
        <v>13</v>
      </c>
      <c r="Q10" s="168">
        <v>5.05</v>
      </c>
      <c r="R10"/>
    </row>
    <row r="11" spans="1:18" x14ac:dyDescent="0.25">
      <c r="A11" s="168">
        <v>51.82</v>
      </c>
      <c r="B11" s="168">
        <v>0.76</v>
      </c>
      <c r="C11" s="168">
        <v>47.82</v>
      </c>
      <c r="D11" s="8">
        <v>42865.375</v>
      </c>
      <c r="E11" s="168">
        <v>0.86</v>
      </c>
      <c r="F11" s="168" t="s">
        <v>407</v>
      </c>
      <c r="G11" s="168">
        <v>342.53</v>
      </c>
      <c r="H11" s="168">
        <v>4.3E-3</v>
      </c>
      <c r="I11" s="168">
        <v>0.17</v>
      </c>
      <c r="J11" s="168" t="s">
        <v>423</v>
      </c>
      <c r="K11" s="168">
        <v>1012.35</v>
      </c>
      <c r="L11" s="168" t="s">
        <v>408</v>
      </c>
      <c r="M11" s="168">
        <v>51.82</v>
      </c>
      <c r="N11" s="168">
        <v>1494428400</v>
      </c>
      <c r="O11" s="168">
        <v>9.6199999999999992</v>
      </c>
      <c r="P11" s="168">
        <v>9</v>
      </c>
      <c r="Q11" s="168">
        <v>6</v>
      </c>
      <c r="R11"/>
    </row>
    <row r="12" spans="1:18" x14ac:dyDescent="0.25">
      <c r="A12" s="168">
        <v>52.75</v>
      </c>
      <c r="B12" s="168">
        <v>0.81</v>
      </c>
      <c r="C12" s="168">
        <v>47.06</v>
      </c>
      <c r="D12" s="8">
        <v>42865.416666666664</v>
      </c>
      <c r="E12" s="168">
        <v>0.81</v>
      </c>
      <c r="F12" s="168" t="s">
        <v>423</v>
      </c>
      <c r="G12" s="168">
        <v>345.05</v>
      </c>
      <c r="H12" s="168">
        <v>5.4999999999999997E-3</v>
      </c>
      <c r="I12" s="168">
        <v>0.24</v>
      </c>
      <c r="J12" s="168" t="s">
        <v>423</v>
      </c>
      <c r="K12" s="168">
        <v>1012.81</v>
      </c>
      <c r="L12" s="168" t="s">
        <v>464</v>
      </c>
      <c r="M12" s="168">
        <v>52.75</v>
      </c>
      <c r="N12" s="168">
        <v>1494432000</v>
      </c>
      <c r="O12" s="168">
        <v>8.48</v>
      </c>
      <c r="P12" s="168">
        <v>8</v>
      </c>
      <c r="Q12" s="168">
        <v>6.19</v>
      </c>
      <c r="R12"/>
    </row>
    <row r="13" spans="1:18" x14ac:dyDescent="0.25">
      <c r="A13" s="168">
        <v>54.39</v>
      </c>
      <c r="B13" s="168">
        <v>0.88</v>
      </c>
      <c r="C13" s="168">
        <v>47.48</v>
      </c>
      <c r="D13" s="8">
        <v>42865.458333333336</v>
      </c>
      <c r="E13" s="168">
        <v>0.77</v>
      </c>
      <c r="F13" s="168" t="s">
        <v>423</v>
      </c>
      <c r="G13" s="168">
        <v>348.3</v>
      </c>
      <c r="H13" s="168">
        <v>5.3E-3</v>
      </c>
      <c r="I13" s="168">
        <v>0.23</v>
      </c>
      <c r="J13" s="168" t="s">
        <v>423</v>
      </c>
      <c r="K13" s="168">
        <v>1013.16</v>
      </c>
      <c r="L13" s="168" t="s">
        <v>464</v>
      </c>
      <c r="M13" s="168">
        <v>54.39</v>
      </c>
      <c r="N13" s="168">
        <v>1494435600</v>
      </c>
      <c r="O13" s="168">
        <v>7.01</v>
      </c>
      <c r="P13" s="168">
        <v>21</v>
      </c>
      <c r="Q13" s="168">
        <v>6.72</v>
      </c>
      <c r="R13"/>
    </row>
    <row r="14" spans="1:18" x14ac:dyDescent="0.25">
      <c r="A14" s="168">
        <v>55.08</v>
      </c>
      <c r="B14" s="168">
        <v>0.93</v>
      </c>
      <c r="C14" s="168">
        <v>46.96</v>
      </c>
      <c r="D14" s="8">
        <v>42865.5</v>
      </c>
      <c r="E14" s="168">
        <v>0.74</v>
      </c>
      <c r="F14" s="168" t="s">
        <v>423</v>
      </c>
      <c r="G14" s="168">
        <v>350.64</v>
      </c>
      <c r="H14" s="168">
        <v>5.7999999999999996E-3</v>
      </c>
      <c r="I14" s="168">
        <v>0.26</v>
      </c>
      <c r="J14" s="168" t="s">
        <v>423</v>
      </c>
      <c r="K14" s="168">
        <v>1013.32</v>
      </c>
      <c r="L14" s="168" t="s">
        <v>464</v>
      </c>
      <c r="M14" s="168">
        <v>55.08</v>
      </c>
      <c r="N14" s="168">
        <v>1494439200</v>
      </c>
      <c r="O14" s="168">
        <v>6.19</v>
      </c>
      <c r="P14" s="168">
        <v>22</v>
      </c>
      <c r="Q14" s="168">
        <v>7.5</v>
      </c>
      <c r="R14"/>
    </row>
    <row r="15" spans="1:18" x14ac:dyDescent="0.25">
      <c r="A15" s="168">
        <v>55.16</v>
      </c>
      <c r="B15" s="168">
        <v>0.82</v>
      </c>
      <c r="C15" s="168">
        <v>45.71</v>
      </c>
      <c r="D15" s="8">
        <v>42865.541666666664</v>
      </c>
      <c r="E15" s="168">
        <v>0.7</v>
      </c>
      <c r="F15" s="168" t="s">
        <v>407</v>
      </c>
      <c r="G15" s="168">
        <v>351.94</v>
      </c>
      <c r="H15" s="168">
        <v>4.8999999999999998E-3</v>
      </c>
      <c r="I15" s="168">
        <v>0.2</v>
      </c>
      <c r="J15" s="168" t="s">
        <v>423</v>
      </c>
      <c r="K15" s="168">
        <v>1013.18</v>
      </c>
      <c r="L15" s="168" t="s">
        <v>408</v>
      </c>
      <c r="M15" s="168">
        <v>55.16</v>
      </c>
      <c r="N15" s="168">
        <v>1494442800</v>
      </c>
      <c r="O15" s="168">
        <v>6.9</v>
      </c>
      <c r="P15" s="168">
        <v>19</v>
      </c>
      <c r="Q15" s="168">
        <v>7.89</v>
      </c>
      <c r="R15"/>
    </row>
    <row r="16" spans="1:18" x14ac:dyDescent="0.25">
      <c r="A16" s="168">
        <v>56.47</v>
      </c>
      <c r="B16" s="168">
        <v>0.71</v>
      </c>
      <c r="C16" s="168">
        <v>45.65</v>
      </c>
      <c r="D16" s="8">
        <v>42865.583333333336</v>
      </c>
      <c r="E16" s="168">
        <v>0.67</v>
      </c>
      <c r="F16" s="168" t="s">
        <v>407</v>
      </c>
      <c r="G16" s="168">
        <v>352.34</v>
      </c>
      <c r="H16" s="168">
        <v>3.8999999999999998E-3</v>
      </c>
      <c r="I16" s="168">
        <v>0.15</v>
      </c>
      <c r="J16" s="168" t="s">
        <v>423</v>
      </c>
      <c r="K16" s="168">
        <v>1012.9</v>
      </c>
      <c r="L16" s="168" t="s">
        <v>408</v>
      </c>
      <c r="M16" s="168">
        <v>56.47</v>
      </c>
      <c r="N16" s="168">
        <v>1494446400</v>
      </c>
      <c r="O16" s="168">
        <v>8.44</v>
      </c>
      <c r="P16" s="168">
        <v>18</v>
      </c>
      <c r="Q16" s="168">
        <v>9</v>
      </c>
      <c r="R16"/>
    </row>
    <row r="17" spans="1:18" x14ac:dyDescent="0.25">
      <c r="A17" s="168">
        <v>56.41</v>
      </c>
      <c r="B17" s="168">
        <v>0.64</v>
      </c>
      <c r="C17" s="168">
        <v>45.02</v>
      </c>
      <c r="D17" s="8">
        <v>42865.625</v>
      </c>
      <c r="E17" s="168">
        <v>0.66</v>
      </c>
      <c r="F17" s="168" t="s">
        <v>407</v>
      </c>
      <c r="G17" s="168">
        <v>350.62</v>
      </c>
      <c r="H17" s="168">
        <v>3.8E-3</v>
      </c>
      <c r="I17" s="168">
        <v>0.14000000000000001</v>
      </c>
      <c r="J17" s="168" t="s">
        <v>423</v>
      </c>
      <c r="K17" s="168">
        <v>1012.91</v>
      </c>
      <c r="L17" s="168" t="s">
        <v>408</v>
      </c>
      <c r="M17" s="168">
        <v>56.41</v>
      </c>
      <c r="N17" s="168">
        <v>1494450000</v>
      </c>
      <c r="O17" s="168">
        <v>9.6300000000000008</v>
      </c>
      <c r="P17" s="168">
        <v>17</v>
      </c>
      <c r="Q17" s="168">
        <v>9.23</v>
      </c>
      <c r="R17"/>
    </row>
    <row r="18" spans="1:18" x14ac:dyDescent="0.25">
      <c r="A18" s="168">
        <v>55.57</v>
      </c>
      <c r="B18" s="168">
        <v>0.64</v>
      </c>
      <c r="C18" s="168">
        <v>44.53</v>
      </c>
      <c r="D18" s="8">
        <v>42865.666666666664</v>
      </c>
      <c r="E18" s="168">
        <v>0.66</v>
      </c>
      <c r="F18" s="168" t="s">
        <v>407</v>
      </c>
      <c r="G18" s="168">
        <v>344.98</v>
      </c>
      <c r="H18" s="168">
        <v>4.4999999999999997E-3</v>
      </c>
      <c r="I18" s="168">
        <v>0.18</v>
      </c>
      <c r="J18" s="168" t="s">
        <v>423</v>
      </c>
      <c r="K18" s="168">
        <v>1013.42</v>
      </c>
      <c r="L18" s="168" t="s">
        <v>408</v>
      </c>
      <c r="M18" s="168">
        <v>55.57</v>
      </c>
      <c r="N18" s="168">
        <v>1494453600</v>
      </c>
      <c r="O18" s="168">
        <v>9.89</v>
      </c>
      <c r="P18" s="168">
        <v>15</v>
      </c>
      <c r="Q18" s="168">
        <v>8.67</v>
      </c>
      <c r="R18"/>
    </row>
    <row r="19" spans="1:18" x14ac:dyDescent="0.25">
      <c r="A19" s="168">
        <v>54.66</v>
      </c>
      <c r="B19" s="168">
        <v>0.53</v>
      </c>
      <c r="C19" s="168">
        <v>44</v>
      </c>
      <c r="D19" s="8">
        <v>42865.708333333336</v>
      </c>
      <c r="E19" s="168">
        <v>0.67</v>
      </c>
      <c r="F19" s="168" t="s">
        <v>423</v>
      </c>
      <c r="G19" s="168">
        <v>337.22</v>
      </c>
      <c r="H19" s="168">
        <v>5.4999999999999997E-3</v>
      </c>
      <c r="I19" s="168">
        <v>0.24</v>
      </c>
      <c r="J19" s="168" t="s">
        <v>423</v>
      </c>
      <c r="K19" s="168">
        <v>1014.19</v>
      </c>
      <c r="L19" s="168" t="s">
        <v>464</v>
      </c>
      <c r="M19" s="168">
        <v>54.66</v>
      </c>
      <c r="N19" s="168">
        <v>1494457200</v>
      </c>
      <c r="O19" s="168">
        <v>9.7100000000000009</v>
      </c>
      <c r="P19" s="168">
        <v>13</v>
      </c>
      <c r="Q19" s="168">
        <v>7.95</v>
      </c>
      <c r="R19"/>
    </row>
    <row r="20" spans="1:18" x14ac:dyDescent="0.25">
      <c r="A20" s="168">
        <v>52.92</v>
      </c>
      <c r="B20" s="168">
        <v>0.5</v>
      </c>
      <c r="C20" s="168">
        <v>44.98</v>
      </c>
      <c r="D20" s="8">
        <v>42865.75</v>
      </c>
      <c r="E20" s="168">
        <v>0.74</v>
      </c>
      <c r="F20" s="168" t="s">
        <v>423</v>
      </c>
      <c r="G20" s="168">
        <v>331.51</v>
      </c>
      <c r="H20" s="168">
        <v>6.1999999999999998E-3</v>
      </c>
      <c r="I20" s="168">
        <v>0.28999999999999998</v>
      </c>
      <c r="J20" s="168" t="s">
        <v>423</v>
      </c>
      <c r="K20" s="168">
        <v>1014.88</v>
      </c>
      <c r="L20" s="168" t="s">
        <v>464</v>
      </c>
      <c r="M20" s="168">
        <v>52.92</v>
      </c>
      <c r="N20" s="168">
        <v>1494460800</v>
      </c>
      <c r="O20" s="168">
        <v>9.6</v>
      </c>
      <c r="P20" s="168">
        <v>12</v>
      </c>
      <c r="Q20" s="168">
        <v>6.69</v>
      </c>
      <c r="R20"/>
    </row>
    <row r="21" spans="1:18" x14ac:dyDescent="0.25">
      <c r="A21" s="168">
        <v>50.47</v>
      </c>
      <c r="B21" s="168">
        <v>0.75</v>
      </c>
      <c r="C21" s="168">
        <v>47.29</v>
      </c>
      <c r="D21" s="8">
        <v>42865.791666666664</v>
      </c>
      <c r="E21" s="168">
        <v>0.89</v>
      </c>
      <c r="F21" s="168" t="s">
        <v>423</v>
      </c>
      <c r="G21" s="168">
        <v>329.87</v>
      </c>
      <c r="H21" s="168">
        <v>8.2000000000000007E-3</v>
      </c>
      <c r="I21" s="168">
        <v>0.42</v>
      </c>
      <c r="J21" s="168" t="s">
        <v>423</v>
      </c>
      <c r="K21" s="168">
        <v>1015.58</v>
      </c>
      <c r="L21" s="168" t="s">
        <v>464</v>
      </c>
      <c r="M21" s="168">
        <v>50.47</v>
      </c>
      <c r="N21" s="168">
        <v>1494464400</v>
      </c>
      <c r="O21" s="168">
        <v>9.66</v>
      </c>
      <c r="P21" s="168">
        <v>11</v>
      </c>
      <c r="Q21" s="168">
        <v>5.75</v>
      </c>
      <c r="R21"/>
    </row>
    <row r="22" spans="1:18" x14ac:dyDescent="0.25">
      <c r="A22" s="168">
        <v>48.28</v>
      </c>
      <c r="B22" s="168">
        <v>0.73</v>
      </c>
      <c r="C22" s="168">
        <v>47.71</v>
      </c>
      <c r="D22" s="8">
        <v>42865.833333333336</v>
      </c>
      <c r="E22" s="168">
        <v>0.93</v>
      </c>
      <c r="F22" s="168" t="s">
        <v>423</v>
      </c>
      <c r="G22" s="168">
        <v>330.27</v>
      </c>
      <c r="H22" s="168">
        <v>9.1999999999999998E-3</v>
      </c>
      <c r="I22" s="168">
        <v>0.49</v>
      </c>
      <c r="J22" s="168" t="s">
        <v>423</v>
      </c>
      <c r="K22" s="168">
        <v>1016.22</v>
      </c>
      <c r="L22" s="168" t="s">
        <v>463</v>
      </c>
      <c r="M22" s="168">
        <v>49.69</v>
      </c>
      <c r="N22" s="168">
        <v>1494468000</v>
      </c>
      <c r="O22" s="168">
        <v>9.77</v>
      </c>
      <c r="P22" s="168">
        <v>11</v>
      </c>
      <c r="Q22" s="168">
        <v>4.32</v>
      </c>
      <c r="R22"/>
    </row>
    <row r="23" spans="1:18" x14ac:dyDescent="0.25">
      <c r="A23" s="168">
        <v>47.35</v>
      </c>
      <c r="B23" s="168">
        <v>0.73</v>
      </c>
      <c r="C23" s="168">
        <v>47.42</v>
      </c>
      <c r="D23" s="8">
        <v>42865.875</v>
      </c>
      <c r="E23" s="168">
        <v>0.96</v>
      </c>
      <c r="F23" s="168" t="s">
        <v>423</v>
      </c>
      <c r="G23" s="168">
        <v>330.87</v>
      </c>
      <c r="H23" s="168">
        <v>1.14E-2</v>
      </c>
      <c r="I23" s="168">
        <v>0.52</v>
      </c>
      <c r="J23" s="168" t="s">
        <v>423</v>
      </c>
      <c r="K23" s="168">
        <v>1016.75</v>
      </c>
      <c r="L23" s="168" t="s">
        <v>463</v>
      </c>
      <c r="M23" s="168">
        <v>48.48</v>
      </c>
      <c r="N23" s="168">
        <v>1494471600</v>
      </c>
      <c r="O23" s="168">
        <v>9.7799999999999994</v>
      </c>
      <c r="P23" s="168">
        <v>12</v>
      </c>
      <c r="Q23" s="168">
        <v>3.69</v>
      </c>
      <c r="R23"/>
    </row>
    <row r="24" spans="1:18" x14ac:dyDescent="0.25">
      <c r="A24" s="168">
        <v>47.22</v>
      </c>
      <c r="B24" s="168">
        <v>0.87</v>
      </c>
      <c r="C24" s="168">
        <v>47.52</v>
      </c>
      <c r="D24" s="8">
        <v>42865.916666666664</v>
      </c>
      <c r="E24" s="168">
        <v>0.96</v>
      </c>
      <c r="F24" s="168" t="s">
        <v>423</v>
      </c>
      <c r="G24" s="168">
        <v>331.23</v>
      </c>
      <c r="H24" s="168">
        <v>1.17E-2</v>
      </c>
      <c r="I24" s="168">
        <v>0.53</v>
      </c>
      <c r="J24" s="168" t="s">
        <v>423</v>
      </c>
      <c r="K24" s="168">
        <v>1017.14</v>
      </c>
      <c r="L24" s="168" t="s">
        <v>463</v>
      </c>
      <c r="M24" s="168">
        <v>48.51</v>
      </c>
      <c r="N24" s="168">
        <v>1494475200</v>
      </c>
      <c r="O24" s="168">
        <v>9.32</v>
      </c>
      <c r="P24" s="168">
        <v>26</v>
      </c>
      <c r="Q24" s="168">
        <v>3.92</v>
      </c>
      <c r="R24"/>
    </row>
    <row r="25" spans="1:18" x14ac:dyDescent="0.25">
      <c r="A25" s="168">
        <v>47.12</v>
      </c>
      <c r="B25" s="168">
        <v>0.95</v>
      </c>
      <c r="C25" s="168">
        <v>47.93</v>
      </c>
      <c r="D25" s="8">
        <v>42865.958333333336</v>
      </c>
      <c r="E25" s="168">
        <v>0.98</v>
      </c>
      <c r="F25" s="168" t="s">
        <v>423</v>
      </c>
      <c r="G25" s="168">
        <v>331.77</v>
      </c>
      <c r="H25" s="168">
        <v>1.0699999999999999E-2</v>
      </c>
      <c r="I25" s="168">
        <v>0.52</v>
      </c>
      <c r="J25" s="168" t="s">
        <v>423</v>
      </c>
      <c r="K25" s="168">
        <v>1017.43</v>
      </c>
      <c r="L25" s="168" t="s">
        <v>463</v>
      </c>
      <c r="M25" s="168">
        <v>48.56</v>
      </c>
      <c r="N25" s="168">
        <v>1494478800</v>
      </c>
      <c r="O25" s="168">
        <v>8.7799999999999994</v>
      </c>
      <c r="P25" s="168">
        <v>28</v>
      </c>
      <c r="Q25" s="168">
        <v>4.1100000000000003</v>
      </c>
      <c r="R25"/>
    </row>
    <row r="26" spans="1:18" x14ac:dyDescent="0.25">
      <c r="A26" s="168">
        <v>45.63</v>
      </c>
      <c r="B26" s="168">
        <v>1</v>
      </c>
      <c r="C26" s="168">
        <v>46.88</v>
      </c>
      <c r="D26" s="8">
        <v>42866</v>
      </c>
      <c r="E26" s="168">
        <v>0.98</v>
      </c>
      <c r="F26" s="168" t="s">
        <v>423</v>
      </c>
      <c r="G26" s="168">
        <v>331.95</v>
      </c>
      <c r="H26" s="168">
        <v>8.8999999999999999E-3</v>
      </c>
      <c r="I26" s="168">
        <v>0.47</v>
      </c>
      <c r="J26" s="168" t="s">
        <v>423</v>
      </c>
      <c r="K26" s="168">
        <v>1017.6</v>
      </c>
      <c r="L26" s="168" t="s">
        <v>464</v>
      </c>
      <c r="M26" s="168">
        <v>47.43</v>
      </c>
      <c r="N26" s="168">
        <v>1494482400</v>
      </c>
      <c r="O26" s="168">
        <v>8.4700000000000006</v>
      </c>
      <c r="P26" s="168">
        <v>32</v>
      </c>
      <c r="Q26" s="168">
        <v>4.37</v>
      </c>
      <c r="R26"/>
    </row>
    <row r="27" spans="1:18" x14ac:dyDescent="0.25">
      <c r="A27" s="168">
        <v>46.16</v>
      </c>
      <c r="B27" s="168">
        <v>1</v>
      </c>
      <c r="C27" s="168">
        <v>46.91</v>
      </c>
      <c r="D27" s="8">
        <v>42866.041666666664</v>
      </c>
      <c r="E27" s="168">
        <v>0.98</v>
      </c>
      <c r="F27" s="168" t="s">
        <v>423</v>
      </c>
      <c r="G27" s="168">
        <v>331.22</v>
      </c>
      <c r="H27" s="168">
        <v>5.7999999999999996E-3</v>
      </c>
      <c r="I27" s="168">
        <v>0.26</v>
      </c>
      <c r="J27" s="168" t="s">
        <v>423</v>
      </c>
      <c r="K27" s="168">
        <v>1017.57</v>
      </c>
      <c r="L27" s="168" t="s">
        <v>464</v>
      </c>
      <c r="M27" s="168">
        <v>47.46</v>
      </c>
      <c r="N27" s="168">
        <v>1494486000</v>
      </c>
      <c r="O27" s="168">
        <v>8.7100000000000009</v>
      </c>
      <c r="P27" s="168">
        <v>45</v>
      </c>
      <c r="Q27" s="168">
        <v>3.72</v>
      </c>
      <c r="R27"/>
    </row>
    <row r="28" spans="1:18" x14ac:dyDescent="0.25">
      <c r="A28" s="168">
        <v>46.15</v>
      </c>
      <c r="B28" s="168">
        <v>1</v>
      </c>
      <c r="C28" s="168">
        <v>46.76</v>
      </c>
      <c r="D28" s="8">
        <v>42866.083333333336</v>
      </c>
      <c r="E28" s="168">
        <v>0.98</v>
      </c>
      <c r="F28" s="168" t="s">
        <v>423</v>
      </c>
      <c r="G28" s="168">
        <v>330.49</v>
      </c>
      <c r="H28" s="168">
        <v>5.8999999999999999E-3</v>
      </c>
      <c r="I28" s="168">
        <v>0.27</v>
      </c>
      <c r="J28" s="168" t="s">
        <v>423</v>
      </c>
      <c r="K28" s="168">
        <v>1017.57</v>
      </c>
      <c r="L28" s="168" t="s">
        <v>464</v>
      </c>
      <c r="M28" s="168">
        <v>47.25</v>
      </c>
      <c r="N28" s="168">
        <v>1494489600</v>
      </c>
      <c r="O28" s="168">
        <v>8.7799999999999994</v>
      </c>
      <c r="P28" s="168">
        <v>36</v>
      </c>
      <c r="Q28" s="168">
        <v>3.45</v>
      </c>
      <c r="R28"/>
    </row>
    <row r="29" spans="1:18" x14ac:dyDescent="0.25">
      <c r="A29" s="168">
        <v>45.1</v>
      </c>
      <c r="B29" s="168">
        <v>1</v>
      </c>
      <c r="C29" s="168">
        <v>46.14</v>
      </c>
      <c r="D29" s="8">
        <v>42866.125</v>
      </c>
      <c r="E29" s="168">
        <v>0.98</v>
      </c>
      <c r="F29" s="168" t="s">
        <v>508</v>
      </c>
      <c r="G29" s="168">
        <v>329.76</v>
      </c>
      <c r="H29" s="168">
        <v>2.0999999999999999E-3</v>
      </c>
      <c r="I29" s="168">
        <v>0.05</v>
      </c>
      <c r="J29" s="168" t="s">
        <v>423</v>
      </c>
      <c r="K29" s="168">
        <v>1017.57</v>
      </c>
      <c r="L29" s="168" t="s">
        <v>509</v>
      </c>
      <c r="M29" s="168">
        <v>46.61</v>
      </c>
      <c r="N29" s="168">
        <v>1494493200</v>
      </c>
      <c r="O29" s="168">
        <v>9.49</v>
      </c>
      <c r="P29" s="168">
        <v>44</v>
      </c>
      <c r="Q29" s="168">
        <v>3.82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3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42865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1018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1019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1020</v>
      </c>
      <c r="J20" s="143" t="s">
        <v>87</v>
      </c>
      <c r="M20" s="157" t="s">
        <v>378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1021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1022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563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1023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1024</v>
      </c>
      <c r="J25" s="143" t="s">
        <v>150</v>
      </c>
      <c r="M25" s="157" t="b">
        <v>1</v>
      </c>
    </row>
    <row r="26" spans="3:24" x14ac:dyDescent="0.25">
      <c r="C26" t="s">
        <v>1025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C:\Users\stu\Documents\GitHub\eaglep3-reporting\EC\2017-05-10-refined-times.txt</v>
      </c>
    </row>
    <row r="27" spans="3:24" x14ac:dyDescent="0.25">
      <c r="C27" t="s">
        <v>1026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C:\Users\stu\Documents\GitHub\eaglep3-reporting\EC\2017-05-10-Enforcements.txt</v>
      </c>
    </row>
    <row r="28" spans="3:24" x14ac:dyDescent="0.25">
      <c r="C28" t="s">
        <v>1027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C:\Users\stu\Documents\GitHub\eaglep3-reporting\EC\2017-05-10-Runs-refined.txt</v>
      </c>
    </row>
    <row r="29" spans="3:24" x14ac:dyDescent="0.25">
      <c r="C29" t="s">
        <v>1028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C:\Users\stu\Documents\GitHub\eaglep3-reporting\EC\2017-05-10-Trips.txt</v>
      </c>
    </row>
    <row r="30" spans="3:24" x14ac:dyDescent="0.25">
      <c r="C30" t="s">
        <v>1029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C:\Users\stu\Documents\GitHub\eaglep3-reporting\EC\2017-05-10-Weather.txt</v>
      </c>
    </row>
    <row r="31" spans="3:24" x14ac:dyDescent="0.25">
      <c r="C31" t="s">
        <v>1030</v>
      </c>
      <c r="J31" s="143" t="s">
        <v>200</v>
      </c>
      <c r="M31" s="157" t="s">
        <v>201</v>
      </c>
    </row>
    <row r="32" spans="3:24" x14ac:dyDescent="0.25">
      <c r="C32" t="s">
        <v>1031</v>
      </c>
    </row>
    <row r="33" spans="3:3" x14ac:dyDescent="0.25">
      <c r="C33" t="s">
        <v>1032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2017-05-11T17:09:23Z</dcterms:modified>
</cp:coreProperties>
</file>