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Enforcements!$A$6:$AC$36</definedName>
    <definedName name="_xlnm._FilterDatabase" localSheetId="2" hidden="1">'Missing Trips'!$A$2:$J$26</definedName>
    <definedName name="_xlnm._FilterDatabase" localSheetId="0" hidden="1">'Train Runs'!$A$12:$AG$439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Runs'!$A$12:$J$76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01" i="1" l="1"/>
  <c r="X202" i="1"/>
  <c r="K156" i="1"/>
  <c r="M156" i="1"/>
  <c r="P156" i="1" s="1"/>
  <c r="V156" i="1"/>
  <c r="AA156" i="1"/>
  <c r="AB156" i="1"/>
  <c r="AC156" i="1"/>
  <c r="AD156" i="1"/>
  <c r="T156" i="1" s="1"/>
  <c r="AE156" i="1"/>
  <c r="AF156" i="1"/>
  <c r="AH156" i="1"/>
  <c r="AM156" i="1"/>
  <c r="AN156" i="1"/>
  <c r="AO156" i="1"/>
  <c r="K153" i="1"/>
  <c r="L153" i="1"/>
  <c r="M153" i="1"/>
  <c r="N153" i="1" s="1"/>
  <c r="V153" i="1"/>
  <c r="AA153" i="1"/>
  <c r="AB153" i="1"/>
  <c r="AC153" i="1"/>
  <c r="AD153" i="1"/>
  <c r="T153" i="1" s="1"/>
  <c r="AE153" i="1"/>
  <c r="AF153" i="1"/>
  <c r="AH153" i="1"/>
  <c r="AM153" i="1"/>
  <c r="AN153" i="1"/>
  <c r="AO153" i="1"/>
  <c r="K149" i="1"/>
  <c r="L149" i="1"/>
  <c r="M149" i="1"/>
  <c r="N149" i="1" s="1"/>
  <c r="V149" i="1"/>
  <c r="AA149" i="1"/>
  <c r="AB149" i="1"/>
  <c r="AC149" i="1"/>
  <c r="AD149" i="1"/>
  <c r="T149" i="1" s="1"/>
  <c r="AE149" i="1"/>
  <c r="AF149" i="1"/>
  <c r="AH149" i="1"/>
  <c r="AM149" i="1"/>
  <c r="AN149" i="1"/>
  <c r="AO149" i="1"/>
  <c r="K148" i="1"/>
  <c r="L148" i="1"/>
  <c r="M148" i="1"/>
  <c r="N148" i="1"/>
  <c r="V148" i="1"/>
  <c r="AA148" i="1"/>
  <c r="AB148" i="1"/>
  <c r="AC148" i="1"/>
  <c r="AD148" i="1"/>
  <c r="T148" i="1" s="1"/>
  <c r="AE148" i="1"/>
  <c r="AF148" i="1"/>
  <c r="AH148" i="1"/>
  <c r="AM148" i="1"/>
  <c r="AN148" i="1"/>
  <c r="AO148" i="1"/>
  <c r="K144" i="1"/>
  <c r="L144" i="1"/>
  <c r="M144" i="1"/>
  <c r="N144" i="1" s="1"/>
  <c r="V144" i="1"/>
  <c r="AA144" i="1"/>
  <c r="AB144" i="1"/>
  <c r="AC144" i="1"/>
  <c r="AD144" i="1"/>
  <c r="T144" i="1" s="1"/>
  <c r="AE144" i="1"/>
  <c r="AF144" i="1"/>
  <c r="AH144" i="1"/>
  <c r="AM144" i="1"/>
  <c r="AN144" i="1"/>
  <c r="AO144" i="1"/>
  <c r="K143" i="1"/>
  <c r="L143" i="1"/>
  <c r="M143" i="1"/>
  <c r="N143" i="1"/>
  <c r="V143" i="1"/>
  <c r="AA143" i="1"/>
  <c r="AB143" i="1"/>
  <c r="AC143" i="1"/>
  <c r="AD143" i="1"/>
  <c r="T143" i="1" s="1"/>
  <c r="AE143" i="1"/>
  <c r="AF143" i="1"/>
  <c r="AH143" i="1"/>
  <c r="AM143" i="1"/>
  <c r="AN143" i="1"/>
  <c r="AO143" i="1"/>
  <c r="K137" i="1"/>
  <c r="L137" i="1"/>
  <c r="M137" i="1"/>
  <c r="N137" i="1" s="1"/>
  <c r="V137" i="1"/>
  <c r="AA137" i="1"/>
  <c r="AB137" i="1"/>
  <c r="AC137" i="1"/>
  <c r="AD137" i="1"/>
  <c r="T137" i="1" s="1"/>
  <c r="AE137" i="1"/>
  <c r="AF137" i="1"/>
  <c r="AH137" i="1"/>
  <c r="AM137" i="1"/>
  <c r="AN137" i="1"/>
  <c r="AO137" i="1"/>
  <c r="K133" i="1"/>
  <c r="L133" i="1"/>
  <c r="M133" i="1"/>
  <c r="N133" i="1" s="1"/>
  <c r="V133" i="1"/>
  <c r="AA133" i="1"/>
  <c r="AB133" i="1"/>
  <c r="AC133" i="1"/>
  <c r="AD133" i="1"/>
  <c r="T133" i="1" s="1"/>
  <c r="AE133" i="1"/>
  <c r="AF133" i="1"/>
  <c r="AH133" i="1"/>
  <c r="AM133" i="1"/>
  <c r="AN133" i="1"/>
  <c r="AO133" i="1"/>
  <c r="K132" i="1"/>
  <c r="L132" i="1"/>
  <c r="M132" i="1"/>
  <c r="N132" i="1"/>
  <c r="V132" i="1"/>
  <c r="AA132" i="1"/>
  <c r="AB132" i="1"/>
  <c r="AC132" i="1"/>
  <c r="AD132" i="1"/>
  <c r="T132" i="1" s="1"/>
  <c r="AE132" i="1"/>
  <c r="AF132" i="1"/>
  <c r="AH132" i="1"/>
  <c r="AM132" i="1"/>
  <c r="AN132" i="1"/>
  <c r="AO132" i="1"/>
  <c r="P127" i="1"/>
  <c r="K127" i="1"/>
  <c r="L127" i="1"/>
  <c r="M127" i="1"/>
  <c r="V127" i="1"/>
  <c r="AA127" i="1"/>
  <c r="AB127" i="1"/>
  <c r="AC127" i="1"/>
  <c r="AD127" i="1"/>
  <c r="T127" i="1" s="1"/>
  <c r="AE127" i="1"/>
  <c r="AF127" i="1"/>
  <c r="AH127" i="1"/>
  <c r="AM127" i="1"/>
  <c r="AN127" i="1"/>
  <c r="AO127" i="1"/>
  <c r="K112" i="1"/>
  <c r="L112" i="1"/>
  <c r="M112" i="1"/>
  <c r="N112" i="1" s="1"/>
  <c r="V112" i="1"/>
  <c r="AA112" i="1"/>
  <c r="AB112" i="1"/>
  <c r="AC112" i="1"/>
  <c r="AD112" i="1"/>
  <c r="T112" i="1" s="1"/>
  <c r="AE112" i="1"/>
  <c r="AF112" i="1"/>
  <c r="AH112" i="1"/>
  <c r="AM112" i="1"/>
  <c r="AN112" i="1"/>
  <c r="AO112" i="1"/>
  <c r="K111" i="1"/>
  <c r="L111" i="1"/>
  <c r="M111" i="1"/>
  <c r="N111" i="1" s="1"/>
  <c r="V111" i="1"/>
  <c r="AA111" i="1"/>
  <c r="AB111" i="1"/>
  <c r="AC111" i="1"/>
  <c r="AD111" i="1"/>
  <c r="T111" i="1" s="1"/>
  <c r="AE111" i="1"/>
  <c r="AF111" i="1"/>
  <c r="AH111" i="1"/>
  <c r="AM111" i="1"/>
  <c r="AN111" i="1"/>
  <c r="AO111" i="1"/>
  <c r="AG156" i="1"/>
  <c r="AG153" i="1"/>
  <c r="AG149" i="1"/>
  <c r="AG148" i="1"/>
  <c r="AG144" i="1"/>
  <c r="AG143" i="1"/>
  <c r="AG137" i="1"/>
  <c r="AG133" i="1"/>
  <c r="AG132" i="1"/>
  <c r="AG127" i="1"/>
  <c r="AG112" i="1"/>
  <c r="AG111" i="1"/>
  <c r="X112" i="1" l="1"/>
  <c r="U156" i="1"/>
  <c r="S156" i="1" s="1"/>
  <c r="AI156" i="1"/>
  <c r="W156" i="1"/>
  <c r="U153" i="1"/>
  <c r="S153" i="1" s="1"/>
  <c r="AI153" i="1"/>
  <c r="W153" i="1"/>
  <c r="AI149" i="1"/>
  <c r="U149" i="1"/>
  <c r="S149" i="1" s="1"/>
  <c r="W149" i="1"/>
  <c r="X149" i="1"/>
  <c r="AI148" i="1"/>
  <c r="U148" i="1"/>
  <c r="S148" i="1" s="1"/>
  <c r="W148" i="1"/>
  <c r="W144" i="1"/>
  <c r="U144" i="1"/>
  <c r="S144" i="1" s="1"/>
  <c r="AI144" i="1"/>
  <c r="X144" i="1"/>
  <c r="AI143" i="1"/>
  <c r="U143" i="1"/>
  <c r="S143" i="1" s="1"/>
  <c r="W143" i="1"/>
  <c r="U137" i="1"/>
  <c r="S137" i="1" s="1"/>
  <c r="AI137" i="1"/>
  <c r="W137" i="1"/>
  <c r="W133" i="1"/>
  <c r="U133" i="1"/>
  <c r="S133" i="1" s="1"/>
  <c r="AI133" i="1"/>
  <c r="X133" i="1"/>
  <c r="AI132" i="1"/>
  <c r="U132" i="1"/>
  <c r="S132" i="1" s="1"/>
  <c r="W132" i="1"/>
  <c r="AI127" i="1"/>
  <c r="U127" i="1"/>
  <c r="S127" i="1" s="1"/>
  <c r="W127" i="1"/>
  <c r="U112" i="1"/>
  <c r="S112" i="1" s="1"/>
  <c r="AI112" i="1"/>
  <c r="W112" i="1"/>
  <c r="U111" i="1"/>
  <c r="S111" i="1" s="1"/>
  <c r="AI111" i="1"/>
  <c r="W111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3" i="1"/>
  <c r="L83" i="1"/>
  <c r="M83" i="1"/>
  <c r="P83" i="1" s="1"/>
  <c r="V83" i="1"/>
  <c r="AA83" i="1"/>
  <c r="AB83" i="1"/>
  <c r="AC83" i="1"/>
  <c r="AD83" i="1"/>
  <c r="T83" i="1" s="1"/>
  <c r="AE83" i="1"/>
  <c r="AF83" i="1"/>
  <c r="AH83" i="1"/>
  <c r="AM83" i="1"/>
  <c r="AN83" i="1"/>
  <c r="AO83" i="1"/>
  <c r="AG83" i="1"/>
  <c r="AG84" i="1"/>
  <c r="X84" i="1" l="1"/>
  <c r="T84" i="1"/>
  <c r="U84" i="1" s="1"/>
  <c r="S84" i="1" s="1"/>
  <c r="AA84" i="1"/>
  <c r="W84" i="1" s="1"/>
  <c r="AI84" i="1"/>
  <c r="U83" i="1"/>
  <c r="S83" i="1" s="1"/>
  <c r="AI83" i="1"/>
  <c r="W83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R27" i="3" s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R23" i="3" s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S9" i="3" s="1"/>
  <c r="Y36" i="1"/>
  <c r="Z36" i="1"/>
  <c r="AB36" i="1"/>
  <c r="AC36" i="1"/>
  <c r="AD36" i="1"/>
  <c r="AE36" i="1"/>
  <c r="R9" i="3" s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S28" i="3" s="1"/>
  <c r="Y38" i="1"/>
  <c r="Z38" i="1"/>
  <c r="AB38" i="1"/>
  <c r="AC38" i="1"/>
  <c r="AD38" i="1"/>
  <c r="AE38" i="1"/>
  <c r="R28" i="3" s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S29" i="3" s="1"/>
  <c r="Y42" i="1"/>
  <c r="Z42" i="1"/>
  <c r="AB42" i="1"/>
  <c r="AC42" i="1"/>
  <c r="AD42" i="1"/>
  <c r="AE42" i="1"/>
  <c r="R29" i="3" s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S12" i="3" s="1"/>
  <c r="Y44" i="1"/>
  <c r="Z44" i="1"/>
  <c r="AB44" i="1"/>
  <c r="AC44" i="1"/>
  <c r="AD44" i="1"/>
  <c r="AE44" i="1"/>
  <c r="R12" i="3" s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S18" i="3" s="1"/>
  <c r="Y52" i="1"/>
  <c r="Z52" i="1"/>
  <c r="AB52" i="1"/>
  <c r="AC52" i="1"/>
  <c r="AD52" i="1"/>
  <c r="AE52" i="1"/>
  <c r="R18" i="3" s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S7" i="3" s="1"/>
  <c r="Y54" i="1"/>
  <c r="Z54" i="1"/>
  <c r="AB54" i="1"/>
  <c r="AC54" i="1"/>
  <c r="AD54" i="1"/>
  <c r="AE54" i="1"/>
  <c r="R7" i="3" s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S20" i="3" s="1"/>
  <c r="Y56" i="1"/>
  <c r="Z56" i="1"/>
  <c r="AB56" i="1"/>
  <c r="AC56" i="1"/>
  <c r="AD56" i="1"/>
  <c r="T56" i="1" s="1"/>
  <c r="AE56" i="1"/>
  <c r="R20" i="3" s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AO61" i="1"/>
  <c r="K62" i="1"/>
  <c r="L62" i="1"/>
  <c r="M62" i="1"/>
  <c r="N62" i="1" s="1"/>
  <c r="V62" i="1"/>
  <c r="S15" i="3" s="1"/>
  <c r="Y62" i="1"/>
  <c r="Z62" i="1"/>
  <c r="AB62" i="1"/>
  <c r="AC62" i="1"/>
  <c r="AD62" i="1"/>
  <c r="T62" i="1" s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AO63" i="1"/>
  <c r="K64" i="1"/>
  <c r="L64" i="1"/>
  <c r="M64" i="1"/>
  <c r="N64" i="1" s="1"/>
  <c r="V64" i="1"/>
  <c r="S17" i="3" s="1"/>
  <c r="Y64" i="1"/>
  <c r="Z64" i="1"/>
  <c r="AB64" i="1"/>
  <c r="AC64" i="1"/>
  <c r="AD64" i="1"/>
  <c r="T64" i="1" s="1"/>
  <c r="AE64" i="1"/>
  <c r="R17" i="3" s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AO69" i="1"/>
  <c r="K70" i="1"/>
  <c r="L70" i="1"/>
  <c r="M70" i="1"/>
  <c r="P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5" i="1"/>
  <c r="L85" i="1"/>
  <c r="M85" i="1"/>
  <c r="N85" i="1" s="1"/>
  <c r="V85" i="1"/>
  <c r="Y85" i="1"/>
  <c r="Z85" i="1"/>
  <c r="AB85" i="1"/>
  <c r="AC85" i="1"/>
  <c r="AD85" i="1"/>
  <c r="X85" i="1" s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AO88" i="1"/>
  <c r="K89" i="1"/>
  <c r="L89" i="1"/>
  <c r="M89" i="1"/>
  <c r="N89" i="1" s="1"/>
  <c r="V89" i="1"/>
  <c r="S14" i="3" s="1"/>
  <c r="Y89" i="1"/>
  <c r="Z89" i="1"/>
  <c r="AB89" i="1"/>
  <c r="AC89" i="1"/>
  <c r="AD89" i="1"/>
  <c r="T89" i="1" s="1"/>
  <c r="AE89" i="1"/>
  <c r="R14" i="3" s="1"/>
  <c r="AF89" i="1"/>
  <c r="AH89" i="1"/>
  <c r="AM89" i="1"/>
  <c r="AN89" i="1"/>
  <c r="AO89" i="1"/>
  <c r="K90" i="1"/>
  <c r="L90" i="1"/>
  <c r="M90" i="1"/>
  <c r="N90" i="1" s="1"/>
  <c r="V90" i="1"/>
  <c r="S30" i="3" s="1"/>
  <c r="Y90" i="1"/>
  <c r="Z90" i="1"/>
  <c r="AB90" i="1"/>
  <c r="AC90" i="1"/>
  <c r="AD90" i="1"/>
  <c r="T90" i="1" s="1"/>
  <c r="AE90" i="1"/>
  <c r="R30" i="3" s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S13" i="3" s="1"/>
  <c r="Y94" i="1"/>
  <c r="Z94" i="1"/>
  <c r="AB94" i="1"/>
  <c r="AC94" i="1"/>
  <c r="AD94" i="1"/>
  <c r="AE94" i="1"/>
  <c r="R13" i="3" s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AO98" i="1"/>
  <c r="K99" i="1"/>
  <c r="L99" i="1"/>
  <c r="M99" i="1"/>
  <c r="N99" i="1" s="1"/>
  <c r="V99" i="1"/>
  <c r="S19" i="3" s="1"/>
  <c r="Y99" i="1"/>
  <c r="Z99" i="1"/>
  <c r="AB99" i="1"/>
  <c r="AC99" i="1"/>
  <c r="AD99" i="1"/>
  <c r="AE99" i="1"/>
  <c r="R19" i="3" s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AO102" i="1"/>
  <c r="K103" i="1"/>
  <c r="L103" i="1"/>
  <c r="M103" i="1"/>
  <c r="N103" i="1" s="1"/>
  <c r="V103" i="1"/>
  <c r="S11" i="3" s="1"/>
  <c r="Y103" i="1"/>
  <c r="Z103" i="1"/>
  <c r="AB103" i="1"/>
  <c r="AC103" i="1"/>
  <c r="AD103" i="1"/>
  <c r="AE103" i="1"/>
  <c r="R11" i="3" s="1"/>
  <c r="AF103" i="1"/>
  <c r="AH103" i="1"/>
  <c r="AM103" i="1"/>
  <c r="AN103" i="1"/>
  <c r="AO103" i="1"/>
  <c r="K104" i="1"/>
  <c r="L104" i="1"/>
  <c r="M104" i="1"/>
  <c r="N104" i="1" s="1"/>
  <c r="V104" i="1"/>
  <c r="S31" i="3" s="1"/>
  <c r="Y104" i="1"/>
  <c r="Z104" i="1"/>
  <c r="AB104" i="1"/>
  <c r="AC104" i="1"/>
  <c r="AD104" i="1"/>
  <c r="T104" i="1" s="1"/>
  <c r="AE104" i="1"/>
  <c r="R31" i="3" s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AO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AO106" i="1"/>
  <c r="K107" i="1"/>
  <c r="L107" i="1"/>
  <c r="M107" i="1"/>
  <c r="N107" i="1" s="1"/>
  <c r="V107" i="1"/>
  <c r="S21" i="3" s="1"/>
  <c r="Y107" i="1"/>
  <c r="Z107" i="1"/>
  <c r="AB107" i="1"/>
  <c r="AC107" i="1"/>
  <c r="AD107" i="1"/>
  <c r="AE107" i="1"/>
  <c r="R21" i="3" s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B110" i="1"/>
  <c r="AC110" i="1"/>
  <c r="AD110" i="1"/>
  <c r="X111" i="1" s="1"/>
  <c r="AE110" i="1"/>
  <c r="AF110" i="1"/>
  <c r="AH110" i="1"/>
  <c r="AM110" i="1"/>
  <c r="AN110" i="1"/>
  <c r="AO110" i="1"/>
  <c r="K113" i="1"/>
  <c r="L113" i="1"/>
  <c r="M113" i="1"/>
  <c r="N113" i="1" s="1"/>
  <c r="V113" i="1"/>
  <c r="Y113" i="1"/>
  <c r="Z113" i="1"/>
  <c r="AB113" i="1"/>
  <c r="AC113" i="1"/>
  <c r="AD113" i="1"/>
  <c r="X113" i="1" s="1"/>
  <c r="AE113" i="1"/>
  <c r="AF113" i="1"/>
  <c r="AH113" i="1"/>
  <c r="AM113" i="1"/>
  <c r="AN113" i="1"/>
  <c r="AO113" i="1"/>
  <c r="K114" i="1"/>
  <c r="L114" i="1"/>
  <c r="M114" i="1"/>
  <c r="N114" i="1" s="1"/>
  <c r="V114" i="1"/>
  <c r="S22" i="3" s="1"/>
  <c r="Y114" i="1"/>
  <c r="Z114" i="1"/>
  <c r="AB114" i="1"/>
  <c r="AC114" i="1"/>
  <c r="AD114" i="1"/>
  <c r="X114" i="1" s="1"/>
  <c r="AE114" i="1"/>
  <c r="R22" i="3" s="1"/>
  <c r="AF114" i="1"/>
  <c r="AH114" i="1"/>
  <c r="AM114" i="1"/>
  <c r="AN114" i="1"/>
  <c r="AO114" i="1"/>
  <c r="K115" i="1"/>
  <c r="L115" i="1"/>
  <c r="M115" i="1"/>
  <c r="P115" i="1" s="1"/>
  <c r="V115" i="1"/>
  <c r="S24" i="3" s="1"/>
  <c r="Y115" i="1"/>
  <c r="Z115" i="1"/>
  <c r="AB115" i="1"/>
  <c r="AC115" i="1"/>
  <c r="AD115" i="1"/>
  <c r="AE115" i="1"/>
  <c r="R26" i="3" s="1"/>
  <c r="AF115" i="1"/>
  <c r="AH115" i="1"/>
  <c r="AM115" i="1"/>
  <c r="AN115" i="1"/>
  <c r="AO115" i="1"/>
  <c r="K116" i="1"/>
  <c r="L116" i="1"/>
  <c r="M116" i="1"/>
  <c r="V116" i="1"/>
  <c r="Y116" i="1"/>
  <c r="Z116" i="1"/>
  <c r="AB116" i="1"/>
  <c r="AC116" i="1"/>
  <c r="AD116" i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AO126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AO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AO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AO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AO131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AO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AO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AO136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AO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AO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AO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AO141" i="1"/>
  <c r="K142" i="1"/>
  <c r="L142" i="1"/>
  <c r="M142" i="1"/>
  <c r="N142" i="1" s="1"/>
  <c r="V142" i="1"/>
  <c r="Y142" i="1"/>
  <c r="Z142" i="1"/>
  <c r="AB142" i="1"/>
  <c r="AC142" i="1"/>
  <c r="AD142" i="1"/>
  <c r="X143" i="1" s="1"/>
  <c r="AE142" i="1"/>
  <c r="AF142" i="1"/>
  <c r="AH142" i="1"/>
  <c r="AM142" i="1"/>
  <c r="AN142" i="1"/>
  <c r="AO142" i="1"/>
  <c r="K145" i="1"/>
  <c r="L145" i="1"/>
  <c r="M145" i="1"/>
  <c r="N145" i="1" s="1"/>
  <c r="V145" i="1"/>
  <c r="Y145" i="1"/>
  <c r="Z145" i="1"/>
  <c r="AB145" i="1"/>
  <c r="AC145" i="1"/>
  <c r="AD145" i="1"/>
  <c r="X145" i="1" s="1"/>
  <c r="AE145" i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B146" i="1"/>
  <c r="AC146" i="1"/>
  <c r="AD146" i="1"/>
  <c r="X146" i="1" s="1"/>
  <c r="AE146" i="1"/>
  <c r="AF146" i="1"/>
  <c r="AH146" i="1"/>
  <c r="AM146" i="1"/>
  <c r="AN146" i="1"/>
  <c r="AO146" i="1"/>
  <c r="K147" i="1"/>
  <c r="L147" i="1"/>
  <c r="M147" i="1"/>
  <c r="N147" i="1" s="1"/>
  <c r="V147" i="1"/>
  <c r="Y147" i="1"/>
  <c r="Z147" i="1"/>
  <c r="AB147" i="1"/>
  <c r="AC147" i="1"/>
  <c r="AD147" i="1"/>
  <c r="X148" i="1" s="1"/>
  <c r="AE147" i="1"/>
  <c r="AF147" i="1"/>
  <c r="AH147" i="1"/>
  <c r="AM147" i="1"/>
  <c r="AN147" i="1"/>
  <c r="AO147" i="1"/>
  <c r="K150" i="1"/>
  <c r="L150" i="1"/>
  <c r="M150" i="1"/>
  <c r="N150" i="1" s="1"/>
  <c r="V150" i="1"/>
  <c r="Y150" i="1"/>
  <c r="Z150" i="1"/>
  <c r="AB150" i="1"/>
  <c r="AC150" i="1"/>
  <c r="AD150" i="1"/>
  <c r="X150" i="1" s="1"/>
  <c r="AE150" i="1"/>
  <c r="AF150" i="1"/>
  <c r="AH150" i="1"/>
  <c r="AM150" i="1"/>
  <c r="AN150" i="1"/>
  <c r="AO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AO151" i="1"/>
  <c r="K152" i="1"/>
  <c r="L152" i="1"/>
  <c r="M152" i="1"/>
  <c r="N152" i="1" s="1"/>
  <c r="V152" i="1"/>
  <c r="S10" i="3" s="1"/>
  <c r="Y152" i="1"/>
  <c r="Z152" i="1"/>
  <c r="AB152" i="1"/>
  <c r="AC152" i="1"/>
  <c r="AD152" i="1"/>
  <c r="X153" i="1" s="1"/>
  <c r="AE152" i="1"/>
  <c r="R10" i="3" s="1"/>
  <c r="AF152" i="1"/>
  <c r="AH152" i="1"/>
  <c r="AM152" i="1"/>
  <c r="AN152" i="1"/>
  <c r="AO152" i="1"/>
  <c r="K154" i="1"/>
  <c r="L154" i="1"/>
  <c r="M154" i="1"/>
  <c r="N154" i="1" s="1"/>
  <c r="V154" i="1"/>
  <c r="Y154" i="1"/>
  <c r="Z154" i="1"/>
  <c r="AB154" i="1"/>
  <c r="AC154" i="1"/>
  <c r="AD154" i="1"/>
  <c r="X154" i="1" s="1"/>
  <c r="AE154" i="1"/>
  <c r="AF154" i="1"/>
  <c r="AH154" i="1"/>
  <c r="AM154" i="1"/>
  <c r="AN154" i="1"/>
  <c r="AO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AO155" i="1"/>
  <c r="K157" i="1"/>
  <c r="L157" i="1"/>
  <c r="M157" i="1"/>
  <c r="N157" i="1" s="1"/>
  <c r="V157" i="1"/>
  <c r="Y157" i="1"/>
  <c r="Z157" i="1"/>
  <c r="AB157" i="1"/>
  <c r="AC157" i="1"/>
  <c r="AD157" i="1"/>
  <c r="X157" i="1" s="1"/>
  <c r="AE157" i="1"/>
  <c r="AF157" i="1"/>
  <c r="AH157" i="1"/>
  <c r="AM157" i="1"/>
  <c r="AN157" i="1"/>
  <c r="AO157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58" i="1"/>
  <c r="AM158" i="1"/>
  <c r="AN158" i="1"/>
  <c r="AO158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59" i="1"/>
  <c r="AM159" i="1"/>
  <c r="AN159" i="1"/>
  <c r="AO159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0" i="1"/>
  <c r="AM160" i="1"/>
  <c r="AN160" i="1"/>
  <c r="AO160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1" i="1"/>
  <c r="AM161" i="1"/>
  <c r="AN161" i="1"/>
  <c r="AO161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2" i="1"/>
  <c r="AM162" i="1"/>
  <c r="AN162" i="1"/>
  <c r="AO162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3" i="1"/>
  <c r="AM163" i="1"/>
  <c r="AN163" i="1"/>
  <c r="AO163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4" i="1"/>
  <c r="AM164" i="1"/>
  <c r="AN164" i="1"/>
  <c r="AO164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5" i="1"/>
  <c r="AM165" i="1"/>
  <c r="AN165" i="1"/>
  <c r="AO165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6" i="1"/>
  <c r="AM166" i="1"/>
  <c r="AN166" i="1"/>
  <c r="AO166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67" i="1"/>
  <c r="AM167" i="1"/>
  <c r="AN167" i="1"/>
  <c r="AO167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68" i="1"/>
  <c r="AM168" i="1"/>
  <c r="AN168" i="1"/>
  <c r="AO168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69" i="1"/>
  <c r="AM169" i="1"/>
  <c r="AN169" i="1"/>
  <c r="AO169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170" i="1"/>
  <c r="AM170" i="1"/>
  <c r="AN170" i="1"/>
  <c r="AO170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1" i="1"/>
  <c r="AM171" i="1"/>
  <c r="AN171" i="1"/>
  <c r="AO171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2" i="1"/>
  <c r="AM172" i="1"/>
  <c r="AN172" i="1"/>
  <c r="AO172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3" i="1"/>
  <c r="AM173" i="1"/>
  <c r="AN173" i="1"/>
  <c r="AO173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4" i="1"/>
  <c r="AM174" i="1"/>
  <c r="AN174" i="1"/>
  <c r="AO174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5" i="1"/>
  <c r="AM175" i="1"/>
  <c r="AN175" i="1"/>
  <c r="AO175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176" i="1"/>
  <c r="AM176" i="1"/>
  <c r="AN176" i="1"/>
  <c r="AO176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77" i="1"/>
  <c r="AM177" i="1"/>
  <c r="AN177" i="1"/>
  <c r="AO177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AH178" i="1"/>
  <c r="AM178" i="1"/>
  <c r="AN178" i="1"/>
  <c r="AO178" i="1"/>
  <c r="K236" i="1"/>
  <c r="L236" i="1"/>
  <c r="M236" i="1"/>
  <c r="N236" i="1" s="1"/>
  <c r="V236" i="1"/>
  <c r="Y236" i="1"/>
  <c r="Z236" i="1"/>
  <c r="AB236" i="1"/>
  <c r="AC236" i="1"/>
  <c r="AD236" i="1"/>
  <c r="AE236" i="1"/>
  <c r="AF236" i="1"/>
  <c r="AH179" i="1"/>
  <c r="AM179" i="1"/>
  <c r="AN179" i="1"/>
  <c r="AO179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80" i="1"/>
  <c r="AM180" i="1"/>
  <c r="AN180" i="1"/>
  <c r="AO180" i="1"/>
  <c r="K238" i="1"/>
  <c r="L238" i="1"/>
  <c r="M238" i="1"/>
  <c r="N238" i="1" s="1"/>
  <c r="V238" i="1"/>
  <c r="Y238" i="1"/>
  <c r="Z238" i="1"/>
  <c r="AB238" i="1"/>
  <c r="AC238" i="1"/>
  <c r="AD238" i="1"/>
  <c r="AE238" i="1"/>
  <c r="AF238" i="1"/>
  <c r="AH181" i="1"/>
  <c r="AM181" i="1"/>
  <c r="AN181" i="1"/>
  <c r="AO181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82" i="1"/>
  <c r="AM182" i="1"/>
  <c r="AN182" i="1"/>
  <c r="AO182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83" i="1"/>
  <c r="AM183" i="1"/>
  <c r="AN183" i="1"/>
  <c r="AO183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84" i="1"/>
  <c r="AM184" i="1"/>
  <c r="AN184" i="1"/>
  <c r="AO184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85" i="1"/>
  <c r="AM185" i="1"/>
  <c r="AN185" i="1"/>
  <c r="AO185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86" i="1"/>
  <c r="AM186" i="1"/>
  <c r="AN186" i="1"/>
  <c r="AO186" i="1"/>
  <c r="K163" i="1"/>
  <c r="L163" i="1"/>
  <c r="M163" i="1"/>
  <c r="N163" i="1" s="1"/>
  <c r="V163" i="1"/>
  <c r="S37" i="3" s="1"/>
  <c r="Y163" i="1"/>
  <c r="Z163" i="1"/>
  <c r="AB163" i="1"/>
  <c r="AC163" i="1"/>
  <c r="AD163" i="1"/>
  <c r="AE163" i="1"/>
  <c r="R37" i="3" s="1"/>
  <c r="AF163" i="1"/>
  <c r="AH187" i="1"/>
  <c r="AM187" i="1"/>
  <c r="AN187" i="1"/>
  <c r="AO187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88" i="1"/>
  <c r="AM188" i="1"/>
  <c r="AN188" i="1"/>
  <c r="AO188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89" i="1"/>
  <c r="AM189" i="1"/>
  <c r="AN189" i="1"/>
  <c r="AO189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90" i="1"/>
  <c r="AM190" i="1"/>
  <c r="AN190" i="1"/>
  <c r="AO190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91" i="1"/>
  <c r="AM191" i="1"/>
  <c r="AN191" i="1"/>
  <c r="AO191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92" i="1"/>
  <c r="AM192" i="1"/>
  <c r="AN192" i="1"/>
  <c r="AO192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93" i="1"/>
  <c r="AM193" i="1"/>
  <c r="AN193" i="1"/>
  <c r="AO193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94" i="1"/>
  <c r="AM194" i="1"/>
  <c r="AN194" i="1"/>
  <c r="AO194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95" i="1"/>
  <c r="AM195" i="1"/>
  <c r="AN195" i="1"/>
  <c r="AO195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96" i="1"/>
  <c r="AM196" i="1"/>
  <c r="AN196" i="1"/>
  <c r="AO196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97" i="1"/>
  <c r="AM197" i="1"/>
  <c r="AN197" i="1"/>
  <c r="AO197" i="1"/>
  <c r="K174" i="1"/>
  <c r="L174" i="1"/>
  <c r="M174" i="1"/>
  <c r="N174" i="1" s="1"/>
  <c r="V174" i="1"/>
  <c r="S32" i="3" s="1"/>
  <c r="Y174" i="1"/>
  <c r="Z174" i="1"/>
  <c r="AB174" i="1"/>
  <c r="AC174" i="1"/>
  <c r="AD174" i="1"/>
  <c r="AE174" i="1"/>
  <c r="R32" i="3" s="1"/>
  <c r="AF174" i="1"/>
  <c r="AH198" i="1"/>
  <c r="AM198" i="1"/>
  <c r="AN198" i="1"/>
  <c r="AO198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99" i="1"/>
  <c r="AM199" i="1"/>
  <c r="AN199" i="1"/>
  <c r="AO199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200" i="1"/>
  <c r="AM200" i="1"/>
  <c r="AN200" i="1"/>
  <c r="AO200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201" i="1"/>
  <c r="AM201" i="1"/>
  <c r="AN201" i="1"/>
  <c r="AO201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02" i="1"/>
  <c r="AM202" i="1"/>
  <c r="AN202" i="1"/>
  <c r="AO202" i="1"/>
  <c r="K180" i="1"/>
  <c r="L180" i="1"/>
  <c r="M180" i="1"/>
  <c r="N180" i="1" s="1"/>
  <c r="V180" i="1"/>
  <c r="S33" i="3" s="1"/>
  <c r="Y180" i="1"/>
  <c r="Z180" i="1"/>
  <c r="AB180" i="1"/>
  <c r="AC180" i="1"/>
  <c r="AD180" i="1"/>
  <c r="AE180" i="1"/>
  <c r="R33" i="3" s="1"/>
  <c r="AF180" i="1"/>
  <c r="AH203" i="1"/>
  <c r="AM203" i="1"/>
  <c r="AN203" i="1"/>
  <c r="AO203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04" i="1"/>
  <c r="AM204" i="1"/>
  <c r="AN204" i="1"/>
  <c r="AO204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205" i="1"/>
  <c r="AM205" i="1"/>
  <c r="AN205" i="1"/>
  <c r="AO205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06" i="1"/>
  <c r="AM206" i="1"/>
  <c r="AN206" i="1"/>
  <c r="AO206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207" i="1"/>
  <c r="AM207" i="1"/>
  <c r="AN207" i="1"/>
  <c r="AO207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08" i="1"/>
  <c r="AM208" i="1"/>
  <c r="AN208" i="1"/>
  <c r="AO208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09" i="1"/>
  <c r="AM209" i="1"/>
  <c r="AN209" i="1"/>
  <c r="AO209" i="1"/>
  <c r="K187" i="1"/>
  <c r="L187" i="1"/>
  <c r="M187" i="1"/>
  <c r="N187" i="1"/>
  <c r="V187" i="1"/>
  <c r="Y187" i="1"/>
  <c r="Z187" i="1"/>
  <c r="AB187" i="1"/>
  <c r="AC187" i="1"/>
  <c r="AD187" i="1"/>
  <c r="AE187" i="1"/>
  <c r="AF187" i="1"/>
  <c r="AH210" i="1"/>
  <c r="AM210" i="1"/>
  <c r="AN210" i="1"/>
  <c r="AO210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211" i="1"/>
  <c r="AM211" i="1"/>
  <c r="AN211" i="1"/>
  <c r="AO211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12" i="1"/>
  <c r="AM212" i="1"/>
  <c r="AN212" i="1"/>
  <c r="AO212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13" i="1"/>
  <c r="AM213" i="1"/>
  <c r="AN213" i="1"/>
  <c r="AO213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14" i="1"/>
  <c r="AM214" i="1"/>
  <c r="AN214" i="1"/>
  <c r="AO214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15" i="1"/>
  <c r="AM215" i="1"/>
  <c r="AN215" i="1"/>
  <c r="AO215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16" i="1"/>
  <c r="AM216" i="1"/>
  <c r="AN216" i="1"/>
  <c r="AO216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17" i="1"/>
  <c r="AM217" i="1"/>
  <c r="AN217" i="1"/>
  <c r="AO217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18" i="1"/>
  <c r="AM218" i="1"/>
  <c r="AN218" i="1"/>
  <c r="AO218" i="1"/>
  <c r="K196" i="1"/>
  <c r="L196" i="1"/>
  <c r="M196" i="1"/>
  <c r="N196" i="1" s="1"/>
  <c r="V196" i="1"/>
  <c r="S34" i="3" s="1"/>
  <c r="Y196" i="1"/>
  <c r="Z196" i="1"/>
  <c r="AB196" i="1"/>
  <c r="AC196" i="1"/>
  <c r="AD196" i="1"/>
  <c r="AE196" i="1"/>
  <c r="R34" i="3" s="1"/>
  <c r="AF196" i="1"/>
  <c r="AH219" i="1"/>
  <c r="AM219" i="1"/>
  <c r="AN219" i="1"/>
  <c r="AO219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20" i="1"/>
  <c r="AM220" i="1"/>
  <c r="AN220" i="1"/>
  <c r="AO220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21" i="1"/>
  <c r="AM221" i="1"/>
  <c r="AN221" i="1"/>
  <c r="AO221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22" i="1"/>
  <c r="AM222" i="1"/>
  <c r="AN222" i="1"/>
  <c r="AO222" i="1"/>
  <c r="K200" i="1"/>
  <c r="L200" i="1"/>
  <c r="M200" i="1"/>
  <c r="V200" i="1"/>
  <c r="S35" i="3" s="1"/>
  <c r="Y200" i="1"/>
  <c r="Z200" i="1"/>
  <c r="AB200" i="1"/>
  <c r="AC200" i="1"/>
  <c r="AD200" i="1"/>
  <c r="AE200" i="1"/>
  <c r="R35" i="3" s="1"/>
  <c r="AF200" i="1"/>
  <c r="AH223" i="1"/>
  <c r="AM223" i="1"/>
  <c r="AN223" i="1"/>
  <c r="AO223" i="1"/>
  <c r="AH224" i="1"/>
  <c r="AM224" i="1"/>
  <c r="AN224" i="1"/>
  <c r="AO224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25" i="1"/>
  <c r="AM225" i="1"/>
  <c r="AN225" i="1"/>
  <c r="AO225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26" i="1"/>
  <c r="AM226" i="1"/>
  <c r="AN226" i="1"/>
  <c r="AO226" i="1"/>
  <c r="K203" i="1"/>
  <c r="L203" i="1"/>
  <c r="M203" i="1"/>
  <c r="N203" i="1" s="1"/>
  <c r="V203" i="1"/>
  <c r="S36" i="3" s="1"/>
  <c r="Y203" i="1"/>
  <c r="Z203" i="1"/>
  <c r="AB203" i="1"/>
  <c r="AC203" i="1"/>
  <c r="AD203" i="1"/>
  <c r="AE203" i="1"/>
  <c r="R36" i="3" s="1"/>
  <c r="AF203" i="1"/>
  <c r="AH227" i="1"/>
  <c r="AM227" i="1"/>
  <c r="AN227" i="1"/>
  <c r="AO227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28" i="1"/>
  <c r="AM228" i="1"/>
  <c r="AN228" i="1"/>
  <c r="AO228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29" i="1"/>
  <c r="AM229" i="1"/>
  <c r="AN229" i="1"/>
  <c r="AO229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30" i="1"/>
  <c r="AM230" i="1"/>
  <c r="AN230" i="1"/>
  <c r="AO230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231" i="1"/>
  <c r="AM231" i="1"/>
  <c r="AN231" i="1"/>
  <c r="AO231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232" i="1"/>
  <c r="AM232" i="1"/>
  <c r="AN232" i="1"/>
  <c r="AO232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233" i="1"/>
  <c r="AM233" i="1"/>
  <c r="AN233" i="1"/>
  <c r="AO233" i="1"/>
  <c r="K223" i="1"/>
  <c r="L223" i="1"/>
  <c r="M223" i="1"/>
  <c r="N223" i="1" s="1"/>
  <c r="V223" i="1"/>
  <c r="S38" i="3" s="1"/>
  <c r="Y223" i="1"/>
  <c r="Z223" i="1"/>
  <c r="AB223" i="1"/>
  <c r="AC223" i="1"/>
  <c r="AD223" i="1"/>
  <c r="AE223" i="1"/>
  <c r="R38" i="3" s="1"/>
  <c r="AF223" i="1"/>
  <c r="AH234" i="1"/>
  <c r="AM234" i="1"/>
  <c r="AN234" i="1"/>
  <c r="AO234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235" i="1"/>
  <c r="AM235" i="1"/>
  <c r="AN235" i="1"/>
  <c r="AO235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236" i="1"/>
  <c r="AM236" i="1"/>
  <c r="AN236" i="1"/>
  <c r="AO236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237" i="1"/>
  <c r="AM237" i="1"/>
  <c r="AN237" i="1"/>
  <c r="AO237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238" i="1"/>
  <c r="AM238" i="1"/>
  <c r="AN238" i="1"/>
  <c r="AO238" i="1"/>
  <c r="M23" i="3"/>
  <c r="S23" i="3"/>
  <c r="U23" i="3"/>
  <c r="T23" i="3" s="1"/>
  <c r="V23" i="3"/>
  <c r="X23" i="3"/>
  <c r="M27" i="3"/>
  <c r="S27" i="3"/>
  <c r="U27" i="3"/>
  <c r="V27" i="3"/>
  <c r="X27" i="3"/>
  <c r="M37" i="3"/>
  <c r="U37" i="3"/>
  <c r="AC37" i="3" s="1"/>
  <c r="V37" i="3"/>
  <c r="X37" i="3"/>
  <c r="M9" i="3"/>
  <c r="U9" i="3"/>
  <c r="AC9" i="3" s="1"/>
  <c r="V9" i="3"/>
  <c r="X9" i="3"/>
  <c r="M28" i="3"/>
  <c r="U28" i="3"/>
  <c r="T28" i="3" s="1"/>
  <c r="V28" i="3"/>
  <c r="X28" i="3"/>
  <c r="M38" i="3"/>
  <c r="U38" i="3"/>
  <c r="V38" i="3"/>
  <c r="X38" i="3"/>
  <c r="M29" i="3"/>
  <c r="U29" i="3"/>
  <c r="AC29" i="3" s="1"/>
  <c r="V29" i="3"/>
  <c r="X29" i="3"/>
  <c r="M12" i="3"/>
  <c r="U12" i="3"/>
  <c r="AC12" i="3" s="1"/>
  <c r="V12" i="3"/>
  <c r="X12" i="3"/>
  <c r="M18" i="3"/>
  <c r="U18" i="3"/>
  <c r="T18" i="3" s="1"/>
  <c r="V18" i="3"/>
  <c r="X18" i="3"/>
  <c r="M7" i="3"/>
  <c r="U7" i="3"/>
  <c r="V7" i="3"/>
  <c r="X7" i="3"/>
  <c r="M20" i="3"/>
  <c r="U20" i="3"/>
  <c r="AC20" i="3" s="1"/>
  <c r="V20" i="3"/>
  <c r="X20" i="3"/>
  <c r="M32" i="3"/>
  <c r="U32" i="3"/>
  <c r="AC32" i="3" s="1"/>
  <c r="V32" i="3"/>
  <c r="X32" i="3"/>
  <c r="M15" i="3"/>
  <c r="R15" i="3"/>
  <c r="U15" i="3"/>
  <c r="T15" i="3" s="1"/>
  <c r="V15" i="3"/>
  <c r="X15" i="3"/>
  <c r="M17" i="3"/>
  <c r="U17" i="3"/>
  <c r="V17" i="3"/>
  <c r="X17" i="3"/>
  <c r="M25" i="3"/>
  <c r="R25" i="3"/>
  <c r="S25" i="3"/>
  <c r="U25" i="3"/>
  <c r="AC25" i="3" s="1"/>
  <c r="V25" i="3"/>
  <c r="X25" i="3"/>
  <c r="M14" i="3"/>
  <c r="U14" i="3"/>
  <c r="AC14" i="3" s="1"/>
  <c r="V14" i="3"/>
  <c r="X14" i="3"/>
  <c r="M33" i="3"/>
  <c r="U33" i="3"/>
  <c r="T33" i="3" s="1"/>
  <c r="V33" i="3"/>
  <c r="X33" i="3"/>
  <c r="M19" i="3"/>
  <c r="U19" i="3"/>
  <c r="V19" i="3"/>
  <c r="X19" i="3"/>
  <c r="M30" i="3"/>
  <c r="U30" i="3"/>
  <c r="AC30" i="3" s="1"/>
  <c r="V30" i="3"/>
  <c r="X30" i="3"/>
  <c r="M13" i="3"/>
  <c r="U13" i="3"/>
  <c r="AC13" i="3" s="1"/>
  <c r="V13" i="3"/>
  <c r="X13" i="3"/>
  <c r="M11" i="3"/>
  <c r="U11" i="3"/>
  <c r="T11" i="3" s="1"/>
  <c r="V11" i="3"/>
  <c r="X11" i="3"/>
  <c r="M21" i="3"/>
  <c r="U21" i="3"/>
  <c r="V21" i="3"/>
  <c r="X21" i="3"/>
  <c r="M31" i="3"/>
  <c r="U31" i="3"/>
  <c r="AC31" i="3" s="1"/>
  <c r="V31" i="3"/>
  <c r="X31" i="3"/>
  <c r="M26" i="3"/>
  <c r="U26" i="3"/>
  <c r="AC26" i="3" s="1"/>
  <c r="V26" i="3"/>
  <c r="X26" i="3"/>
  <c r="M24" i="3"/>
  <c r="U24" i="3"/>
  <c r="T24" i="3" s="1"/>
  <c r="V24" i="3"/>
  <c r="X24" i="3"/>
  <c r="M22" i="3"/>
  <c r="U22" i="3"/>
  <c r="V22" i="3"/>
  <c r="X22" i="3"/>
  <c r="M39" i="3"/>
  <c r="R39" i="3"/>
  <c r="S39" i="3"/>
  <c r="U39" i="3"/>
  <c r="AC39" i="3" s="1"/>
  <c r="V39" i="3"/>
  <c r="X39" i="3"/>
  <c r="M34" i="3"/>
  <c r="U34" i="3"/>
  <c r="AC34" i="3" s="1"/>
  <c r="V34" i="3"/>
  <c r="X34" i="3"/>
  <c r="M35" i="3"/>
  <c r="U35" i="3"/>
  <c r="T35" i="3" s="1"/>
  <c r="V35" i="3"/>
  <c r="X35" i="3"/>
  <c r="M36" i="3"/>
  <c r="U36" i="3"/>
  <c r="AD36" i="3" s="1"/>
  <c r="V36" i="3"/>
  <c r="X36" i="3"/>
  <c r="M10" i="3"/>
  <c r="U10" i="3"/>
  <c r="AC10" i="3" s="1"/>
  <c r="V10" i="3"/>
  <c r="X10" i="3"/>
  <c r="M16" i="3"/>
  <c r="R16" i="3"/>
  <c r="S16" i="3"/>
  <c r="U16" i="3"/>
  <c r="AC16" i="3" s="1"/>
  <c r="V16" i="3"/>
  <c r="X16" i="3"/>
  <c r="W7" i="3"/>
  <c r="W22" i="3"/>
  <c r="W37" i="3"/>
  <c r="W30" i="3"/>
  <c r="W12" i="3"/>
  <c r="W15" i="3"/>
  <c r="W35" i="3"/>
  <c r="W34" i="3"/>
  <c r="W17" i="3"/>
  <c r="W36" i="3"/>
  <c r="W29" i="3"/>
  <c r="W31" i="3"/>
  <c r="W23" i="3"/>
  <c r="W33" i="3"/>
  <c r="W14" i="3"/>
  <c r="W16" i="3"/>
  <c r="W27" i="3"/>
  <c r="W19" i="3"/>
  <c r="W9" i="3"/>
  <c r="W20" i="3"/>
  <c r="W39" i="3"/>
  <c r="W28" i="3"/>
  <c r="W13" i="3"/>
  <c r="W38" i="3"/>
  <c r="W21" i="3"/>
  <c r="W32" i="3"/>
  <c r="W25" i="3"/>
  <c r="W10" i="3"/>
  <c r="W18" i="3"/>
  <c r="W24" i="3"/>
  <c r="W26" i="3"/>
  <c r="W11" i="3"/>
  <c r="AG25" i="1"/>
  <c r="AG70" i="1"/>
  <c r="AG23" i="1"/>
  <c r="AG80" i="1"/>
  <c r="AG95" i="1"/>
  <c r="AG105" i="1"/>
  <c r="AG151" i="1"/>
  <c r="AG161" i="1"/>
  <c r="AG178" i="1"/>
  <c r="AG194" i="1"/>
  <c r="AG222" i="1"/>
  <c r="AG146" i="1"/>
  <c r="AG158" i="1"/>
  <c r="AG104" i="1"/>
  <c r="AG47" i="1"/>
  <c r="AG67" i="1"/>
  <c r="AG55" i="1"/>
  <c r="AG50" i="1"/>
  <c r="AG81" i="1"/>
  <c r="AG88" i="1"/>
  <c r="AG141" i="1"/>
  <c r="AG163" i="1"/>
  <c r="AG179" i="1"/>
  <c r="AG195" i="1"/>
  <c r="AG22" i="1"/>
  <c r="AG73" i="1"/>
  <c r="AG92" i="1"/>
  <c r="AG114" i="1"/>
  <c r="AG165" i="1"/>
  <c r="AG197" i="1"/>
  <c r="AG142" i="1"/>
  <c r="AG33" i="1"/>
  <c r="AG36" i="1"/>
  <c r="AG98" i="1"/>
  <c r="AG130" i="1"/>
  <c r="AG168" i="1"/>
  <c r="AG207" i="1"/>
  <c r="AG35" i="1"/>
  <c r="AG20" i="1"/>
  <c r="AG147" i="1"/>
  <c r="AG221" i="1"/>
  <c r="AG21" i="1"/>
  <c r="AG136" i="1"/>
  <c r="AG18" i="1"/>
  <c r="AG72" i="1"/>
  <c r="AG90" i="1"/>
  <c r="AG110" i="1"/>
  <c r="AG164" i="1"/>
  <c r="AG196" i="1"/>
  <c r="AG140" i="1"/>
  <c r="AG227" i="1"/>
  <c r="AG229" i="1"/>
  <c r="AG26" i="1"/>
  <c r="AG58" i="1"/>
  <c r="AG74" i="1"/>
  <c r="AG48" i="1"/>
  <c r="AG94" i="1"/>
  <c r="AG120" i="1"/>
  <c r="AG119" i="1"/>
  <c r="AG211" i="1"/>
  <c r="AG166" i="1"/>
  <c r="AG182" i="1"/>
  <c r="AG198" i="1"/>
  <c r="AG91" i="1"/>
  <c r="AG208" i="1"/>
  <c r="AG226" i="1"/>
  <c r="AG14" i="1"/>
  <c r="AG29" i="1"/>
  <c r="AG71" i="1"/>
  <c r="AG27" i="1"/>
  <c r="AG86" i="1"/>
  <c r="AG106" i="1"/>
  <c r="AG108" i="1"/>
  <c r="AG154" i="1"/>
  <c r="AG167" i="1"/>
  <c r="AG183" i="1"/>
  <c r="AG202" i="1"/>
  <c r="AG43" i="1"/>
  <c r="AG46" i="1"/>
  <c r="AG87" i="1"/>
  <c r="AG131" i="1"/>
  <c r="AG173" i="1"/>
  <c r="AG204" i="1"/>
  <c r="AG210" i="1"/>
  <c r="AG17" i="1"/>
  <c r="AG15" i="1"/>
  <c r="AG89" i="1"/>
  <c r="AG145" i="1"/>
  <c r="AG176" i="1"/>
  <c r="AG124" i="1"/>
  <c r="AG61" i="1"/>
  <c r="AG100" i="1"/>
  <c r="AG159" i="1"/>
  <c r="AG128" i="1"/>
  <c r="AG19" i="1"/>
  <c r="AG217" i="1"/>
  <c r="AG135" i="1"/>
  <c r="AG41" i="1"/>
  <c r="AG38" i="1"/>
  <c r="AG85" i="1"/>
  <c r="AG126" i="1"/>
  <c r="AG172" i="1"/>
  <c r="AG203" i="1"/>
  <c r="AG155" i="1"/>
  <c r="AG192" i="1"/>
  <c r="AG45" i="1"/>
  <c r="AG66" i="1"/>
  <c r="AG54" i="1"/>
  <c r="AG42" i="1"/>
  <c r="AG77" i="1"/>
  <c r="AG115" i="1"/>
  <c r="AG138" i="1"/>
  <c r="AG234" i="1"/>
  <c r="AG174" i="1"/>
  <c r="AG190" i="1"/>
  <c r="AG205" i="1"/>
  <c r="AG129" i="1"/>
  <c r="AG231" i="1"/>
  <c r="AG199" i="1"/>
  <c r="AG39" i="1"/>
  <c r="AG63" i="1"/>
  <c r="AG53" i="1"/>
  <c r="AG28" i="1"/>
  <c r="AG79" i="1"/>
  <c r="AG107" i="1"/>
  <c r="AG117" i="1"/>
  <c r="AG228" i="1"/>
  <c r="AG175" i="1"/>
  <c r="AG191" i="1"/>
  <c r="AG223" i="1"/>
  <c r="AG65" i="1"/>
  <c r="AG34" i="1"/>
  <c r="AG113" i="1"/>
  <c r="AG232" i="1"/>
  <c r="AG189" i="1"/>
  <c r="AG121" i="1"/>
  <c r="AG237" i="1"/>
  <c r="AG68" i="1"/>
  <c r="AG51" i="1"/>
  <c r="AG97" i="1"/>
  <c r="AG200" i="1"/>
  <c r="AG160" i="1"/>
  <c r="AG44" i="1"/>
  <c r="AG101" i="1"/>
  <c r="AG193" i="1"/>
  <c r="AG233" i="1"/>
  <c r="AG78" i="1"/>
  <c r="AG185" i="1"/>
  <c r="AG162" i="1"/>
  <c r="AG64" i="1"/>
  <c r="AG32" i="1"/>
  <c r="AG109" i="1"/>
  <c r="AG230" i="1"/>
  <c r="AG188" i="1"/>
  <c r="AG139" i="1"/>
  <c r="AG235" i="1"/>
  <c r="AG150" i="1"/>
  <c r="AG37" i="1"/>
  <c r="AG62" i="1"/>
  <c r="AG52" i="1"/>
  <c r="AG24" i="1"/>
  <c r="AG102" i="1"/>
  <c r="AG103" i="1"/>
  <c r="AG82" i="1"/>
  <c r="AG219" i="1"/>
  <c r="AG170" i="1"/>
  <c r="AG186" i="1"/>
  <c r="AG201" i="1"/>
  <c r="AG134" i="1"/>
  <c r="AG216" i="1"/>
  <c r="AG236" i="1"/>
  <c r="AG30" i="1"/>
  <c r="AG59" i="1"/>
  <c r="AG75" i="1"/>
  <c r="AG49" i="1"/>
  <c r="AG96" i="1"/>
  <c r="AG122" i="1"/>
  <c r="AG125" i="1"/>
  <c r="AG213" i="1"/>
  <c r="AG171" i="1"/>
  <c r="AG187" i="1"/>
  <c r="AG206" i="1"/>
  <c r="AG57" i="1"/>
  <c r="AG40" i="1"/>
  <c r="AG118" i="1"/>
  <c r="AG209" i="1"/>
  <c r="AG181" i="1"/>
  <c r="AG225" i="1"/>
  <c r="AG220" i="1"/>
  <c r="AG60" i="1"/>
  <c r="AG16" i="1"/>
  <c r="AG93" i="1"/>
  <c r="AG215" i="1"/>
  <c r="AG184" i="1"/>
  <c r="AG212" i="1"/>
  <c r="AG69" i="1"/>
  <c r="AG99" i="1"/>
  <c r="AG177" i="1"/>
  <c r="AG152" i="1"/>
  <c r="AG76" i="1"/>
  <c r="AG169" i="1"/>
  <c r="AG214" i="1"/>
  <c r="AG56" i="1"/>
  <c r="AG31" i="1"/>
  <c r="AG116" i="1"/>
  <c r="AG157" i="1"/>
  <c r="AG180" i="1"/>
  <c r="AG224" i="1"/>
  <c r="AG218" i="1"/>
  <c r="AG123" i="1"/>
  <c r="AG238" i="1"/>
  <c r="X155" i="1" l="1"/>
  <c r="X156" i="1"/>
  <c r="T131" i="1"/>
  <c r="X132" i="1"/>
  <c r="T126" i="1"/>
  <c r="X127" i="1"/>
  <c r="T139" i="1"/>
  <c r="X139" i="1"/>
  <c r="T134" i="1"/>
  <c r="X134" i="1"/>
  <c r="T128" i="1"/>
  <c r="X128" i="1"/>
  <c r="T140" i="1"/>
  <c r="U140" i="1" s="1"/>
  <c r="S140" i="1" s="1"/>
  <c r="X140" i="1"/>
  <c r="T129" i="1"/>
  <c r="X129" i="1"/>
  <c r="T138" i="1"/>
  <c r="X138" i="1"/>
  <c r="T136" i="1"/>
  <c r="X137" i="1"/>
  <c r="T130" i="1"/>
  <c r="X130" i="1"/>
  <c r="AA235" i="1"/>
  <c r="AA189" i="1"/>
  <c r="W189" i="1" s="1"/>
  <c r="AA160" i="1"/>
  <c r="W160" i="1" s="1"/>
  <c r="AA122" i="1"/>
  <c r="W122" i="1" s="1"/>
  <c r="X69" i="1"/>
  <c r="X61" i="1"/>
  <c r="AA53" i="1"/>
  <c r="W53" i="1" s="1"/>
  <c r="AA36" i="1"/>
  <c r="AA207" i="1"/>
  <c r="AA195" i="1"/>
  <c r="AA191" i="1"/>
  <c r="AA55" i="1"/>
  <c r="X82" i="1"/>
  <c r="X74" i="1"/>
  <c r="AE19" i="3"/>
  <c r="X79" i="1"/>
  <c r="AA68" i="1"/>
  <c r="X68" i="1"/>
  <c r="AA67" i="1"/>
  <c r="W67" i="1" s="1"/>
  <c r="AA64" i="1"/>
  <c r="AA60" i="1"/>
  <c r="AD32" i="3"/>
  <c r="S26" i="3"/>
  <c r="AD23" i="3"/>
  <c r="T14" i="3"/>
  <c r="AC23" i="3"/>
  <c r="X83" i="1"/>
  <c r="AA41" i="1"/>
  <c r="R24" i="3"/>
  <c r="AA225" i="1"/>
  <c r="AA204" i="1"/>
  <c r="AA187" i="1"/>
  <c r="AA162" i="1"/>
  <c r="W162" i="1" s="1"/>
  <c r="AA220" i="1"/>
  <c r="W220" i="1" s="1"/>
  <c r="AA116" i="1"/>
  <c r="W116" i="1" s="1"/>
  <c r="AA86" i="1"/>
  <c r="X81" i="1"/>
  <c r="T79" i="1"/>
  <c r="U79" i="1" s="1"/>
  <c r="S79" i="1" s="1"/>
  <c r="AA72" i="1"/>
  <c r="W72" i="1" s="1"/>
  <c r="X71" i="1"/>
  <c r="AA65" i="1"/>
  <c r="W65" i="1" s="1"/>
  <c r="AA61" i="1"/>
  <c r="AA56" i="1"/>
  <c r="W56" i="1" s="1"/>
  <c r="X58" i="1"/>
  <c r="AA50" i="1"/>
  <c r="AA223" i="1"/>
  <c r="AA206" i="1"/>
  <c r="W206" i="1" s="1"/>
  <c r="AA87" i="1"/>
  <c r="T82" i="1"/>
  <c r="U82" i="1" s="1"/>
  <c r="S82" i="1" s="1"/>
  <c r="AA62" i="1"/>
  <c r="W62" i="1" s="1"/>
  <c r="AA190" i="1"/>
  <c r="W190" i="1" s="1"/>
  <c r="AA228" i="1"/>
  <c r="AA219" i="1"/>
  <c r="W219" i="1" s="1"/>
  <c r="AA100" i="1"/>
  <c r="AA92" i="1"/>
  <c r="W92" i="1" s="1"/>
  <c r="T87" i="1"/>
  <c r="U87" i="1" s="1"/>
  <c r="S87" i="1" s="1"/>
  <c r="X87" i="1"/>
  <c r="T86" i="1"/>
  <c r="U86" i="1" s="1"/>
  <c r="S86" i="1" s="1"/>
  <c r="X86" i="1"/>
  <c r="AA59" i="1"/>
  <c r="W59" i="1" s="1"/>
  <c r="AA197" i="1"/>
  <c r="W197" i="1" s="1"/>
  <c r="AD20" i="3"/>
  <c r="AE18" i="3"/>
  <c r="AA202" i="1"/>
  <c r="W202" i="1" s="1"/>
  <c r="AA199" i="1"/>
  <c r="W199" i="1" s="1"/>
  <c r="AA192" i="1"/>
  <c r="AA152" i="1"/>
  <c r="W152" i="1" s="1"/>
  <c r="AA110" i="1"/>
  <c r="W110" i="1" s="1"/>
  <c r="AA102" i="1"/>
  <c r="W102" i="1" s="1"/>
  <c r="AA90" i="1"/>
  <c r="W90" i="1" s="1"/>
  <c r="AA89" i="1"/>
  <c r="W89" i="1" s="1"/>
  <c r="X77" i="1"/>
  <c r="X72" i="1"/>
  <c r="AA69" i="1"/>
  <c r="W69" i="1" s="1"/>
  <c r="AA66" i="1"/>
  <c r="W66" i="1" s="1"/>
  <c r="X65" i="1"/>
  <c r="AA63" i="1"/>
  <c r="W63" i="1" s="1"/>
  <c r="AA38" i="1"/>
  <c r="W38" i="1" s="1"/>
  <c r="AA227" i="1"/>
  <c r="W227" i="1" s="1"/>
  <c r="AA205" i="1"/>
  <c r="W205" i="1" s="1"/>
  <c r="AA183" i="1"/>
  <c r="W183" i="1" s="1"/>
  <c r="AA179" i="1"/>
  <c r="W179" i="1" s="1"/>
  <c r="AA175" i="1"/>
  <c r="AA171" i="1"/>
  <c r="W171" i="1" s="1"/>
  <c r="AA231" i="1"/>
  <c r="AA216" i="1"/>
  <c r="W216" i="1" s="1"/>
  <c r="AA210" i="1"/>
  <c r="W210" i="1" s="1"/>
  <c r="AA118" i="1"/>
  <c r="W118" i="1" s="1"/>
  <c r="AA95" i="1"/>
  <c r="W95" i="1" s="1"/>
  <c r="AA85" i="1"/>
  <c r="W85" i="1" s="1"/>
  <c r="AA75" i="1"/>
  <c r="W75" i="1" s="1"/>
  <c r="AA70" i="1"/>
  <c r="W70" i="1" s="1"/>
  <c r="X64" i="1"/>
  <c r="AA58" i="1"/>
  <c r="W58" i="1" s="1"/>
  <c r="AA57" i="1"/>
  <c r="AA52" i="1"/>
  <c r="W52" i="1" s="1"/>
  <c r="AA48" i="1"/>
  <c r="AC15" i="3"/>
  <c r="T30" i="3"/>
  <c r="AD29" i="3"/>
  <c r="AD28" i="3"/>
  <c r="AD25" i="3"/>
  <c r="T20" i="3"/>
  <c r="AE27" i="3"/>
  <c r="AD33" i="3"/>
  <c r="AE15" i="3"/>
  <c r="AD9" i="3"/>
  <c r="AA200" i="1"/>
  <c r="W200" i="1" s="1"/>
  <c r="AA198" i="1"/>
  <c r="AA185" i="1"/>
  <c r="AA181" i="1"/>
  <c r="AA177" i="1"/>
  <c r="W177" i="1" s="1"/>
  <c r="AA173" i="1"/>
  <c r="AA169" i="1"/>
  <c r="W169" i="1" s="1"/>
  <c r="AA168" i="1"/>
  <c r="W168" i="1" s="1"/>
  <c r="AA167" i="1"/>
  <c r="W167" i="1" s="1"/>
  <c r="AA166" i="1"/>
  <c r="W166" i="1" s="1"/>
  <c r="AA165" i="1"/>
  <c r="W165" i="1" s="1"/>
  <c r="AA158" i="1"/>
  <c r="W158" i="1" s="1"/>
  <c r="AA233" i="1"/>
  <c r="W233" i="1" s="1"/>
  <c r="AA229" i="1"/>
  <c r="W229" i="1" s="1"/>
  <c r="AA146" i="1"/>
  <c r="W146" i="1" s="1"/>
  <c r="AA139" i="1"/>
  <c r="W139" i="1" s="1"/>
  <c r="AA134" i="1"/>
  <c r="W134" i="1" s="1"/>
  <c r="AA128" i="1"/>
  <c r="W128" i="1" s="1"/>
  <c r="AA123" i="1"/>
  <c r="W123" i="1" s="1"/>
  <c r="AA120" i="1"/>
  <c r="W120" i="1" s="1"/>
  <c r="AA106" i="1"/>
  <c r="AA101" i="1"/>
  <c r="W101" i="1" s="1"/>
  <c r="AA97" i="1"/>
  <c r="W97" i="1" s="1"/>
  <c r="AA96" i="1"/>
  <c r="W96" i="1" s="1"/>
  <c r="AA88" i="1"/>
  <c r="W88" i="1" s="1"/>
  <c r="AA81" i="1"/>
  <c r="W81" i="1" s="1"/>
  <c r="AA80" i="1"/>
  <c r="W80" i="1" s="1"/>
  <c r="X78" i="1"/>
  <c r="AA77" i="1"/>
  <c r="W77" i="1" s="1"/>
  <c r="AA76" i="1"/>
  <c r="W76" i="1" s="1"/>
  <c r="AA74" i="1"/>
  <c r="W74" i="1" s="1"/>
  <c r="AA73" i="1"/>
  <c r="W73" i="1" s="1"/>
  <c r="AA49" i="1"/>
  <c r="W49" i="1" s="1"/>
  <c r="AA203" i="1"/>
  <c r="W203" i="1" s="1"/>
  <c r="AA201" i="1"/>
  <c r="W201" i="1" s="1"/>
  <c r="AA188" i="1"/>
  <c r="W188" i="1" s="1"/>
  <c r="AA186" i="1"/>
  <c r="AA182" i="1"/>
  <c r="W182" i="1" s="1"/>
  <c r="AA178" i="1"/>
  <c r="W178" i="1" s="1"/>
  <c r="AA174" i="1"/>
  <c r="W174" i="1" s="1"/>
  <c r="AA170" i="1"/>
  <c r="W170" i="1" s="1"/>
  <c r="AA208" i="1"/>
  <c r="W208" i="1" s="1"/>
  <c r="AA150" i="1"/>
  <c r="W150" i="1" s="1"/>
  <c r="AA140" i="1"/>
  <c r="W140" i="1" s="1"/>
  <c r="AA135" i="1"/>
  <c r="W135" i="1" s="1"/>
  <c r="AA129" i="1"/>
  <c r="W129" i="1" s="1"/>
  <c r="AA124" i="1"/>
  <c r="W124" i="1" s="1"/>
  <c r="AA54" i="1"/>
  <c r="W54" i="1" s="1"/>
  <c r="AA44" i="1"/>
  <c r="W44" i="1" s="1"/>
  <c r="AA98" i="1"/>
  <c r="W98" i="1" s="1"/>
  <c r="AA94" i="1"/>
  <c r="W94" i="1" s="1"/>
  <c r="X70" i="1"/>
  <c r="X66" i="1"/>
  <c r="X62" i="1"/>
  <c r="AA226" i="1"/>
  <c r="W226" i="1" s="1"/>
  <c r="AA224" i="1"/>
  <c r="AA222" i="1"/>
  <c r="W222" i="1" s="1"/>
  <c r="AA221" i="1"/>
  <c r="W221" i="1" s="1"/>
  <c r="AA196" i="1"/>
  <c r="W196" i="1" s="1"/>
  <c r="AA194" i="1"/>
  <c r="W194" i="1" s="1"/>
  <c r="AA193" i="1"/>
  <c r="W193" i="1" s="1"/>
  <c r="AA184" i="1"/>
  <c r="W184" i="1" s="1"/>
  <c r="AA180" i="1"/>
  <c r="W180" i="1" s="1"/>
  <c r="AA176" i="1"/>
  <c r="W176" i="1" s="1"/>
  <c r="AA172" i="1"/>
  <c r="W172" i="1" s="1"/>
  <c r="AA237" i="1"/>
  <c r="W237" i="1" s="1"/>
  <c r="AA218" i="1"/>
  <c r="W218" i="1" s="1"/>
  <c r="AA212" i="1"/>
  <c r="AA71" i="1"/>
  <c r="X67" i="1"/>
  <c r="X63" i="1"/>
  <c r="X60" i="1"/>
  <c r="X57" i="1"/>
  <c r="AA51" i="1"/>
  <c r="W51" i="1" s="1"/>
  <c r="AA40" i="1"/>
  <c r="W40" i="1" s="1"/>
  <c r="AA121" i="1"/>
  <c r="AA119" i="1"/>
  <c r="W119" i="1" s="1"/>
  <c r="AA114" i="1"/>
  <c r="AA105" i="1"/>
  <c r="W105" i="1" s="1"/>
  <c r="T85" i="1"/>
  <c r="U85" i="1" s="1"/>
  <c r="S85" i="1" s="1"/>
  <c r="T74" i="1"/>
  <c r="U74" i="1" s="1"/>
  <c r="S74" i="1" s="1"/>
  <c r="AA39" i="1"/>
  <c r="W39" i="1" s="1"/>
  <c r="AA32" i="1"/>
  <c r="W32" i="1" s="1"/>
  <c r="AA28" i="1"/>
  <c r="W28" i="1" s="1"/>
  <c r="AA24" i="1"/>
  <c r="AA20" i="1"/>
  <c r="W20" i="1" s="1"/>
  <c r="AA16" i="1"/>
  <c r="W16" i="1" s="1"/>
  <c r="X80" i="1"/>
  <c r="AA79" i="1"/>
  <c r="X76" i="1"/>
  <c r="T72" i="1"/>
  <c r="U72" i="1" s="1"/>
  <c r="S72" i="1" s="1"/>
  <c r="X59" i="1"/>
  <c r="AA43" i="1"/>
  <c r="W43" i="1" s="1"/>
  <c r="AA42" i="1"/>
  <c r="W42" i="1" s="1"/>
  <c r="AA33" i="1"/>
  <c r="W33" i="1" s="1"/>
  <c r="AA29" i="1"/>
  <c r="W29" i="1" s="1"/>
  <c r="AA25" i="1"/>
  <c r="W25" i="1" s="1"/>
  <c r="AA21" i="1"/>
  <c r="W21" i="1" s="1"/>
  <c r="AA17" i="1"/>
  <c r="W17" i="1" s="1"/>
  <c r="AA164" i="1"/>
  <c r="AA163" i="1"/>
  <c r="W163" i="1" s="1"/>
  <c r="AA161" i="1"/>
  <c r="W161" i="1" s="1"/>
  <c r="AA159" i="1"/>
  <c r="W159" i="1" s="1"/>
  <c r="AA238" i="1"/>
  <c r="W238" i="1" s="1"/>
  <c r="AA236" i="1"/>
  <c r="AA234" i="1"/>
  <c r="W234" i="1" s="1"/>
  <c r="AA232" i="1"/>
  <c r="W232" i="1" s="1"/>
  <c r="AA230" i="1"/>
  <c r="W230" i="1" s="1"/>
  <c r="AA214" i="1"/>
  <c r="W214" i="1" s="1"/>
  <c r="AA155" i="1"/>
  <c r="AA142" i="1"/>
  <c r="W142" i="1" s="1"/>
  <c r="AA136" i="1"/>
  <c r="W136" i="1" s="1"/>
  <c r="AA130" i="1"/>
  <c r="AA125" i="1"/>
  <c r="W125" i="1" s="1"/>
  <c r="AA108" i="1"/>
  <c r="AA82" i="1"/>
  <c r="AA78" i="1"/>
  <c r="W78" i="1" s="1"/>
  <c r="X75" i="1"/>
  <c r="AA45" i="1"/>
  <c r="W45" i="1" s="1"/>
  <c r="AA35" i="1"/>
  <c r="AA34" i="1"/>
  <c r="W34" i="1" s="1"/>
  <c r="X73" i="1"/>
  <c r="T71" i="1"/>
  <c r="U71" i="1" s="1"/>
  <c r="S71" i="1" s="1"/>
  <c r="X56" i="1"/>
  <c r="AA47" i="1"/>
  <c r="W47" i="1" s="1"/>
  <c r="AA46" i="1"/>
  <c r="AA37" i="1"/>
  <c r="W37" i="1" s="1"/>
  <c r="AI237" i="1"/>
  <c r="AI238" i="1"/>
  <c r="AI186" i="1"/>
  <c r="AI184" i="1"/>
  <c r="AI182" i="1"/>
  <c r="AI180" i="1"/>
  <c r="AI178" i="1"/>
  <c r="W235" i="1"/>
  <c r="AI176" i="1"/>
  <c r="AI174" i="1"/>
  <c r="W231" i="1"/>
  <c r="AI172" i="1"/>
  <c r="AI170" i="1"/>
  <c r="AI168" i="1"/>
  <c r="AI166" i="1"/>
  <c r="AI164" i="1"/>
  <c r="AI162" i="1"/>
  <c r="AI160" i="1"/>
  <c r="AI158" i="1"/>
  <c r="AI155" i="1"/>
  <c r="AI152" i="1"/>
  <c r="AI150" i="1"/>
  <c r="AI146" i="1"/>
  <c r="AI142" i="1"/>
  <c r="AI140" i="1"/>
  <c r="AI135" i="1"/>
  <c r="U135" i="1"/>
  <c r="S135" i="1" s="1"/>
  <c r="AI129" i="1"/>
  <c r="U129" i="1"/>
  <c r="S129" i="1" s="1"/>
  <c r="AI124" i="1"/>
  <c r="U124" i="1"/>
  <c r="S124" i="1" s="1"/>
  <c r="AI121" i="1"/>
  <c r="AI139" i="1"/>
  <c r="U139" i="1"/>
  <c r="S139" i="1" s="1"/>
  <c r="AI134" i="1"/>
  <c r="U134" i="1"/>
  <c r="S134" i="1" s="1"/>
  <c r="AI128" i="1"/>
  <c r="U128" i="1"/>
  <c r="S128" i="1" s="1"/>
  <c r="AI123" i="1"/>
  <c r="AI104" i="1"/>
  <c r="U104" i="1"/>
  <c r="S104" i="1" s="1"/>
  <c r="AI91" i="1"/>
  <c r="AI236" i="1"/>
  <c r="AI235" i="1"/>
  <c r="AI234" i="1"/>
  <c r="AI233" i="1"/>
  <c r="AI232" i="1"/>
  <c r="AI231" i="1"/>
  <c r="AI230" i="1"/>
  <c r="AI229" i="1"/>
  <c r="AI228" i="1"/>
  <c r="AI227" i="1"/>
  <c r="AI226" i="1"/>
  <c r="AI225" i="1"/>
  <c r="AI224" i="1"/>
  <c r="AI223" i="1"/>
  <c r="AI222" i="1"/>
  <c r="AI221" i="1"/>
  <c r="AI220" i="1"/>
  <c r="AI219" i="1"/>
  <c r="AI218" i="1"/>
  <c r="AI217" i="1"/>
  <c r="AI216" i="1"/>
  <c r="AI215" i="1"/>
  <c r="AI214" i="1"/>
  <c r="AI213" i="1"/>
  <c r="AI212" i="1"/>
  <c r="AI211" i="1"/>
  <c r="AI210" i="1"/>
  <c r="AI209" i="1"/>
  <c r="AI208" i="1"/>
  <c r="AI207" i="1"/>
  <c r="AI206" i="1"/>
  <c r="AI205" i="1"/>
  <c r="AI204" i="1"/>
  <c r="AI203" i="1"/>
  <c r="AI202" i="1"/>
  <c r="AI201" i="1"/>
  <c r="AI200" i="1"/>
  <c r="AI199" i="1"/>
  <c r="AI198" i="1"/>
  <c r="AI197" i="1"/>
  <c r="AI196" i="1"/>
  <c r="AI195" i="1"/>
  <c r="AI194" i="1"/>
  <c r="AI193" i="1"/>
  <c r="U168" i="1"/>
  <c r="S168" i="1" s="1"/>
  <c r="AI192" i="1"/>
  <c r="U167" i="1"/>
  <c r="S167" i="1" s="1"/>
  <c r="AI191" i="1"/>
  <c r="U166" i="1"/>
  <c r="S166" i="1" s="1"/>
  <c r="AI190" i="1"/>
  <c r="U165" i="1"/>
  <c r="S165" i="1" s="1"/>
  <c r="AI189" i="1"/>
  <c r="U164" i="1"/>
  <c r="S164" i="1" s="1"/>
  <c r="AI188" i="1"/>
  <c r="AI187" i="1"/>
  <c r="AI185" i="1"/>
  <c r="AI183" i="1"/>
  <c r="AI181" i="1"/>
  <c r="AI179" i="1"/>
  <c r="AI177" i="1"/>
  <c r="AI175" i="1"/>
  <c r="AI173" i="1"/>
  <c r="AI171" i="1"/>
  <c r="AI169" i="1"/>
  <c r="AI167" i="1"/>
  <c r="AI165" i="1"/>
  <c r="AI163" i="1"/>
  <c r="AI161" i="1"/>
  <c r="AI159" i="1"/>
  <c r="AI157" i="1"/>
  <c r="AI154" i="1"/>
  <c r="AI151" i="1"/>
  <c r="AI147" i="1"/>
  <c r="AI145" i="1"/>
  <c r="AI141" i="1"/>
  <c r="AI138" i="1"/>
  <c r="U138" i="1"/>
  <c r="S138" i="1" s="1"/>
  <c r="AI131" i="1"/>
  <c r="U131" i="1"/>
  <c r="S131" i="1" s="1"/>
  <c r="AI126" i="1"/>
  <c r="U126" i="1"/>
  <c r="S126" i="1" s="1"/>
  <c r="AI117" i="1"/>
  <c r="AI82" i="1"/>
  <c r="AI136" i="1"/>
  <c r="U136" i="1"/>
  <c r="S136" i="1" s="1"/>
  <c r="AI130" i="1"/>
  <c r="U130" i="1"/>
  <c r="S130" i="1" s="1"/>
  <c r="AI125" i="1"/>
  <c r="U125" i="1"/>
  <c r="S125" i="1" s="1"/>
  <c r="AI119" i="1"/>
  <c r="AI114" i="1"/>
  <c r="AI110" i="1"/>
  <c r="AI108" i="1"/>
  <c r="AI105" i="1"/>
  <c r="U105" i="1"/>
  <c r="S105" i="1" s="1"/>
  <c r="AI101" i="1"/>
  <c r="AI97" i="1"/>
  <c r="AI88" i="1"/>
  <c r="U88" i="1"/>
  <c r="S88" i="1" s="1"/>
  <c r="AI115" i="1"/>
  <c r="AI113" i="1"/>
  <c r="AI109" i="1"/>
  <c r="AI107" i="1"/>
  <c r="AI103" i="1"/>
  <c r="AI99" i="1"/>
  <c r="AI93" i="1"/>
  <c r="AI122" i="1"/>
  <c r="AI120" i="1"/>
  <c r="AI118" i="1"/>
  <c r="AI116" i="1"/>
  <c r="AI106" i="1"/>
  <c r="U106" i="1"/>
  <c r="S106" i="1" s="1"/>
  <c r="AI95" i="1"/>
  <c r="AI78" i="1"/>
  <c r="U78" i="1"/>
  <c r="S78" i="1" s="1"/>
  <c r="U89" i="1"/>
  <c r="S89" i="1" s="1"/>
  <c r="AI89" i="1"/>
  <c r="AI81" i="1"/>
  <c r="U81" i="1"/>
  <c r="S81" i="1" s="1"/>
  <c r="AI77" i="1"/>
  <c r="U77" i="1"/>
  <c r="S77" i="1" s="1"/>
  <c r="AI87" i="1"/>
  <c r="AI85" i="1"/>
  <c r="AI79" i="1"/>
  <c r="AI102" i="1"/>
  <c r="AI100" i="1"/>
  <c r="AI98" i="1"/>
  <c r="AI96" i="1"/>
  <c r="AI94" i="1"/>
  <c r="AI92" i="1"/>
  <c r="U90" i="1"/>
  <c r="S90" i="1" s="1"/>
  <c r="AI90" i="1"/>
  <c r="AI86" i="1"/>
  <c r="AI80" i="1"/>
  <c r="U80" i="1"/>
  <c r="S80" i="1" s="1"/>
  <c r="U76" i="1"/>
  <c r="S76" i="1" s="1"/>
  <c r="AI76" i="1"/>
  <c r="AI51" i="1"/>
  <c r="AI50" i="1"/>
  <c r="AI42" i="1"/>
  <c r="AI34" i="1"/>
  <c r="AI32" i="1"/>
  <c r="AI28" i="1"/>
  <c r="U28" i="1"/>
  <c r="S28" i="1" s="1"/>
  <c r="AI24" i="1"/>
  <c r="U24" i="1"/>
  <c r="S24" i="1" s="1"/>
  <c r="AI20" i="1"/>
  <c r="U20" i="1"/>
  <c r="S20" i="1" s="1"/>
  <c r="AI16" i="1"/>
  <c r="U16" i="1"/>
  <c r="S16" i="1" s="1"/>
  <c r="AI49" i="1"/>
  <c r="AI48" i="1"/>
  <c r="W48" i="1"/>
  <c r="AI40" i="1"/>
  <c r="AI31" i="1"/>
  <c r="U31" i="1"/>
  <c r="S31" i="1" s="1"/>
  <c r="AI27" i="1"/>
  <c r="U27" i="1"/>
  <c r="S27" i="1" s="1"/>
  <c r="AI23" i="1"/>
  <c r="U23" i="1"/>
  <c r="S23" i="1" s="1"/>
  <c r="AI19" i="1"/>
  <c r="U19" i="1"/>
  <c r="S19" i="1" s="1"/>
  <c r="AI15" i="1"/>
  <c r="U15" i="1"/>
  <c r="S15" i="1" s="1"/>
  <c r="AI55" i="1"/>
  <c r="AI54" i="1"/>
  <c r="AI46" i="1"/>
  <c r="AI38" i="1"/>
  <c r="AI53" i="1"/>
  <c r="AI52" i="1"/>
  <c r="AI44" i="1"/>
  <c r="AI36" i="1"/>
  <c r="W36" i="1"/>
  <c r="U75" i="1"/>
  <c r="S75" i="1" s="1"/>
  <c r="AI75" i="1"/>
  <c r="AI74" i="1"/>
  <c r="U73" i="1"/>
  <c r="S73" i="1" s="1"/>
  <c r="AI73" i="1"/>
  <c r="AI72" i="1"/>
  <c r="AI71" i="1"/>
  <c r="U70" i="1"/>
  <c r="S70" i="1" s="1"/>
  <c r="AI70" i="1"/>
  <c r="AI69" i="1"/>
  <c r="U68" i="1"/>
  <c r="S68" i="1" s="1"/>
  <c r="AI68" i="1"/>
  <c r="AI67" i="1"/>
  <c r="U66" i="1"/>
  <c r="S66" i="1" s="1"/>
  <c r="AI66" i="1"/>
  <c r="AI65" i="1"/>
  <c r="U64" i="1"/>
  <c r="S64" i="1" s="1"/>
  <c r="AI64" i="1"/>
  <c r="AI63" i="1"/>
  <c r="U62" i="1"/>
  <c r="S62" i="1" s="1"/>
  <c r="AI62" i="1"/>
  <c r="AI61" i="1"/>
  <c r="U60" i="1"/>
  <c r="S60" i="1" s="1"/>
  <c r="AI60" i="1"/>
  <c r="AI59" i="1"/>
  <c r="U58" i="1"/>
  <c r="S58" i="1" s="1"/>
  <c r="AI58" i="1"/>
  <c r="AI57" i="1"/>
  <c r="U56" i="1"/>
  <c r="S56" i="1" s="1"/>
  <c r="AI56" i="1"/>
  <c r="AI29" i="1"/>
  <c r="U29" i="1"/>
  <c r="S29" i="1" s="1"/>
  <c r="AI25" i="1"/>
  <c r="U25" i="1"/>
  <c r="S25" i="1" s="1"/>
  <c r="AI21" i="1"/>
  <c r="U21" i="1"/>
  <c r="S21" i="1" s="1"/>
  <c r="AI17" i="1"/>
  <c r="U17" i="1"/>
  <c r="S17" i="1" s="1"/>
  <c r="AI47" i="1"/>
  <c r="AI45" i="1"/>
  <c r="AI43" i="1"/>
  <c r="AI41" i="1"/>
  <c r="AI39" i="1"/>
  <c r="AI37" i="1"/>
  <c r="AI35" i="1"/>
  <c r="AI33" i="1"/>
  <c r="AI30" i="1"/>
  <c r="U30" i="1"/>
  <c r="S30" i="1" s="1"/>
  <c r="AI26" i="1"/>
  <c r="U26" i="1"/>
  <c r="S26" i="1" s="1"/>
  <c r="AI22" i="1"/>
  <c r="U22" i="1"/>
  <c r="S22" i="1" s="1"/>
  <c r="AI18" i="1"/>
  <c r="U18" i="1"/>
  <c r="S18" i="1" s="1"/>
  <c r="AI14" i="1"/>
  <c r="U14" i="1"/>
  <c r="S14" i="1" s="1"/>
  <c r="W223" i="1"/>
  <c r="W195" i="1"/>
  <c r="W191" i="1"/>
  <c r="W187" i="1"/>
  <c r="W225" i="1"/>
  <c r="W204" i="1"/>
  <c r="W224" i="1"/>
  <c r="W207" i="1"/>
  <c r="W198" i="1"/>
  <c r="W186" i="1"/>
  <c r="W192" i="1"/>
  <c r="T226" i="1"/>
  <c r="U226" i="1" s="1"/>
  <c r="S226" i="1" s="1"/>
  <c r="X226" i="1"/>
  <c r="T225" i="1"/>
  <c r="U225" i="1" s="1"/>
  <c r="S225" i="1" s="1"/>
  <c r="X225" i="1"/>
  <c r="T224" i="1"/>
  <c r="U224" i="1" s="1"/>
  <c r="S224" i="1" s="1"/>
  <c r="X224" i="1"/>
  <c r="T223" i="1"/>
  <c r="U223" i="1" s="1"/>
  <c r="S223" i="1" s="1"/>
  <c r="X223" i="1"/>
  <c r="T222" i="1"/>
  <c r="U222" i="1" s="1"/>
  <c r="S222" i="1" s="1"/>
  <c r="X222" i="1"/>
  <c r="T221" i="1"/>
  <c r="U221" i="1" s="1"/>
  <c r="S221" i="1" s="1"/>
  <c r="X221" i="1"/>
  <c r="T207" i="1"/>
  <c r="U207" i="1" s="1"/>
  <c r="S207" i="1" s="1"/>
  <c r="X207" i="1"/>
  <c r="T206" i="1"/>
  <c r="U206" i="1" s="1"/>
  <c r="S206" i="1" s="1"/>
  <c r="X206" i="1"/>
  <c r="T205" i="1"/>
  <c r="U205" i="1" s="1"/>
  <c r="S205" i="1" s="1"/>
  <c r="X205" i="1"/>
  <c r="T204" i="1"/>
  <c r="U204" i="1" s="1"/>
  <c r="S204" i="1" s="1"/>
  <c r="X204" i="1"/>
  <c r="T203" i="1"/>
  <c r="U203" i="1" s="1"/>
  <c r="S203" i="1" s="1"/>
  <c r="X203" i="1"/>
  <c r="T202" i="1"/>
  <c r="U202" i="1" s="1"/>
  <c r="S202" i="1" s="1"/>
  <c r="T201" i="1"/>
  <c r="U201" i="1" s="1"/>
  <c r="S201" i="1" s="1"/>
  <c r="T200" i="1"/>
  <c r="U200" i="1" s="1"/>
  <c r="X200" i="1"/>
  <c r="T199" i="1"/>
  <c r="U199" i="1" s="1"/>
  <c r="S199" i="1" s="1"/>
  <c r="X199" i="1"/>
  <c r="T198" i="1"/>
  <c r="U198" i="1" s="1"/>
  <c r="S198" i="1" s="1"/>
  <c r="X198" i="1"/>
  <c r="T197" i="1"/>
  <c r="U197" i="1" s="1"/>
  <c r="S197" i="1" s="1"/>
  <c r="X197" i="1"/>
  <c r="T196" i="1"/>
  <c r="U196" i="1" s="1"/>
  <c r="S196" i="1" s="1"/>
  <c r="X196" i="1"/>
  <c r="T195" i="1"/>
  <c r="U195" i="1" s="1"/>
  <c r="S195" i="1" s="1"/>
  <c r="X195" i="1"/>
  <c r="T194" i="1"/>
  <c r="U194" i="1" s="1"/>
  <c r="S194" i="1" s="1"/>
  <c r="X194" i="1"/>
  <c r="T193" i="1"/>
  <c r="U193" i="1" s="1"/>
  <c r="S193" i="1" s="1"/>
  <c r="X193" i="1"/>
  <c r="T192" i="1"/>
  <c r="U192" i="1" s="1"/>
  <c r="S192" i="1" s="1"/>
  <c r="X192" i="1"/>
  <c r="T191" i="1"/>
  <c r="U191" i="1" s="1"/>
  <c r="S191" i="1" s="1"/>
  <c r="X191" i="1"/>
  <c r="T190" i="1"/>
  <c r="U190" i="1" s="1"/>
  <c r="S190" i="1" s="1"/>
  <c r="X190" i="1"/>
  <c r="T189" i="1"/>
  <c r="U189" i="1" s="1"/>
  <c r="S189" i="1" s="1"/>
  <c r="X189" i="1"/>
  <c r="T188" i="1"/>
  <c r="U188" i="1" s="1"/>
  <c r="S188" i="1" s="1"/>
  <c r="X188" i="1"/>
  <c r="T187" i="1"/>
  <c r="U187" i="1" s="1"/>
  <c r="S187" i="1" s="1"/>
  <c r="X187" i="1"/>
  <c r="T186" i="1"/>
  <c r="U186" i="1" s="1"/>
  <c r="S186" i="1" s="1"/>
  <c r="X186" i="1"/>
  <c r="W185" i="1"/>
  <c r="W181" i="1"/>
  <c r="W175" i="1"/>
  <c r="W173" i="1"/>
  <c r="W164" i="1"/>
  <c r="W236" i="1"/>
  <c r="T227" i="1"/>
  <c r="U227" i="1" s="1"/>
  <c r="S227" i="1" s="1"/>
  <c r="X227" i="1"/>
  <c r="T185" i="1"/>
  <c r="U185" i="1" s="1"/>
  <c r="S185" i="1" s="1"/>
  <c r="X185" i="1"/>
  <c r="T184" i="1"/>
  <c r="U184" i="1" s="1"/>
  <c r="S184" i="1" s="1"/>
  <c r="X184" i="1"/>
  <c r="T183" i="1"/>
  <c r="U183" i="1" s="1"/>
  <c r="S183" i="1" s="1"/>
  <c r="X183" i="1"/>
  <c r="T182" i="1"/>
  <c r="U182" i="1" s="1"/>
  <c r="S182" i="1" s="1"/>
  <c r="X182" i="1"/>
  <c r="T181" i="1"/>
  <c r="U181" i="1" s="1"/>
  <c r="S181" i="1" s="1"/>
  <c r="X181" i="1"/>
  <c r="T180" i="1"/>
  <c r="U180" i="1" s="1"/>
  <c r="S180" i="1" s="1"/>
  <c r="X180" i="1"/>
  <c r="T179" i="1"/>
  <c r="U179" i="1" s="1"/>
  <c r="S179" i="1" s="1"/>
  <c r="X179" i="1"/>
  <c r="T178" i="1"/>
  <c r="U178" i="1" s="1"/>
  <c r="S178" i="1" s="1"/>
  <c r="X178" i="1"/>
  <c r="T177" i="1"/>
  <c r="U177" i="1" s="1"/>
  <c r="S177" i="1" s="1"/>
  <c r="X177" i="1"/>
  <c r="T176" i="1"/>
  <c r="U176" i="1" s="1"/>
  <c r="S176" i="1" s="1"/>
  <c r="X176" i="1"/>
  <c r="T175" i="1"/>
  <c r="U175" i="1" s="1"/>
  <c r="S175" i="1" s="1"/>
  <c r="X175" i="1"/>
  <c r="T174" i="1"/>
  <c r="U174" i="1" s="1"/>
  <c r="S174" i="1" s="1"/>
  <c r="X174" i="1"/>
  <c r="T173" i="1"/>
  <c r="U173" i="1" s="1"/>
  <c r="S173" i="1" s="1"/>
  <c r="X173" i="1"/>
  <c r="T172" i="1"/>
  <c r="U172" i="1" s="1"/>
  <c r="S172" i="1" s="1"/>
  <c r="X172" i="1"/>
  <c r="T171" i="1"/>
  <c r="U171" i="1" s="1"/>
  <c r="S171" i="1" s="1"/>
  <c r="X171" i="1"/>
  <c r="T170" i="1"/>
  <c r="U170" i="1" s="1"/>
  <c r="S170" i="1" s="1"/>
  <c r="X170" i="1"/>
  <c r="T169" i="1"/>
  <c r="U169" i="1" s="1"/>
  <c r="S169" i="1" s="1"/>
  <c r="X169" i="1"/>
  <c r="W228" i="1"/>
  <c r="AA217" i="1"/>
  <c r="W217" i="1" s="1"/>
  <c r="AA215" i="1"/>
  <c r="W215" i="1" s="1"/>
  <c r="AA213" i="1"/>
  <c r="W213" i="1" s="1"/>
  <c r="AA211" i="1"/>
  <c r="W211" i="1" s="1"/>
  <c r="AA209" i="1"/>
  <c r="W209" i="1" s="1"/>
  <c r="AA157" i="1"/>
  <c r="W157" i="1" s="1"/>
  <c r="AA154" i="1"/>
  <c r="W154" i="1" s="1"/>
  <c r="AA151" i="1"/>
  <c r="W151" i="1" s="1"/>
  <c r="AA147" i="1"/>
  <c r="W147" i="1" s="1"/>
  <c r="AA145" i="1"/>
  <c r="W145" i="1" s="1"/>
  <c r="AA141" i="1"/>
  <c r="W141" i="1" s="1"/>
  <c r="AA138" i="1"/>
  <c r="W138" i="1" s="1"/>
  <c r="AA131" i="1"/>
  <c r="W131" i="1" s="1"/>
  <c r="AA126" i="1"/>
  <c r="W126" i="1" s="1"/>
  <c r="AA117" i="1"/>
  <c r="W117" i="1" s="1"/>
  <c r="T163" i="1"/>
  <c r="U163" i="1" s="1"/>
  <c r="S163" i="1" s="1"/>
  <c r="X163" i="1"/>
  <c r="T161" i="1"/>
  <c r="U161" i="1" s="1"/>
  <c r="S161" i="1" s="1"/>
  <c r="X161" i="1"/>
  <c r="T159" i="1"/>
  <c r="U159" i="1" s="1"/>
  <c r="S159" i="1" s="1"/>
  <c r="X159" i="1"/>
  <c r="T238" i="1"/>
  <c r="U238" i="1" s="1"/>
  <c r="S238" i="1" s="1"/>
  <c r="X238" i="1"/>
  <c r="T236" i="1"/>
  <c r="U236" i="1" s="1"/>
  <c r="S236" i="1" s="1"/>
  <c r="X236" i="1"/>
  <c r="T234" i="1"/>
  <c r="U234" i="1" s="1"/>
  <c r="S234" i="1" s="1"/>
  <c r="X234" i="1"/>
  <c r="T232" i="1"/>
  <c r="U232" i="1" s="1"/>
  <c r="S232" i="1" s="1"/>
  <c r="X232" i="1"/>
  <c r="T230" i="1"/>
  <c r="U230" i="1" s="1"/>
  <c r="S230" i="1" s="1"/>
  <c r="X230" i="1"/>
  <c r="T228" i="1"/>
  <c r="U228" i="1" s="1"/>
  <c r="S228" i="1" s="1"/>
  <c r="X228" i="1"/>
  <c r="T219" i="1"/>
  <c r="U219" i="1" s="1"/>
  <c r="S219" i="1" s="1"/>
  <c r="X219" i="1"/>
  <c r="T217" i="1"/>
  <c r="U217" i="1" s="1"/>
  <c r="S217" i="1" s="1"/>
  <c r="X217" i="1"/>
  <c r="T215" i="1"/>
  <c r="U215" i="1" s="1"/>
  <c r="S215" i="1" s="1"/>
  <c r="X215" i="1"/>
  <c r="T213" i="1"/>
  <c r="U213" i="1" s="1"/>
  <c r="S213" i="1" s="1"/>
  <c r="X213" i="1"/>
  <c r="T211" i="1"/>
  <c r="U211" i="1" s="1"/>
  <c r="S211" i="1" s="1"/>
  <c r="X211" i="1"/>
  <c r="T209" i="1"/>
  <c r="U209" i="1" s="1"/>
  <c r="S209" i="1" s="1"/>
  <c r="X209" i="1"/>
  <c r="T157" i="1"/>
  <c r="U157" i="1" s="1"/>
  <c r="S157" i="1" s="1"/>
  <c r="T154" i="1"/>
  <c r="U154" i="1" s="1"/>
  <c r="S154" i="1" s="1"/>
  <c r="T151" i="1"/>
  <c r="U151" i="1" s="1"/>
  <c r="S151" i="1" s="1"/>
  <c r="X151" i="1"/>
  <c r="T147" i="1"/>
  <c r="U147" i="1" s="1"/>
  <c r="S147" i="1" s="1"/>
  <c r="X147" i="1"/>
  <c r="T145" i="1"/>
  <c r="U145" i="1" s="1"/>
  <c r="S145" i="1" s="1"/>
  <c r="T141" i="1"/>
  <c r="U141" i="1" s="1"/>
  <c r="S141" i="1" s="1"/>
  <c r="X141" i="1"/>
  <c r="W130" i="1"/>
  <c r="T115" i="1"/>
  <c r="U115" i="1" s="1"/>
  <c r="S115" i="1" s="1"/>
  <c r="X115" i="1"/>
  <c r="T113" i="1"/>
  <c r="U113" i="1" s="1"/>
  <c r="S113" i="1" s="1"/>
  <c r="T109" i="1"/>
  <c r="U109" i="1" s="1"/>
  <c r="S109" i="1" s="1"/>
  <c r="X109" i="1"/>
  <c r="T107" i="1"/>
  <c r="U107" i="1" s="1"/>
  <c r="S107" i="1" s="1"/>
  <c r="X107" i="1"/>
  <c r="W68" i="1"/>
  <c r="W64" i="1"/>
  <c r="W60" i="1"/>
  <c r="W212" i="1"/>
  <c r="W155" i="1"/>
  <c r="W121" i="1"/>
  <c r="X168" i="1"/>
  <c r="X167" i="1"/>
  <c r="X166" i="1"/>
  <c r="X165" i="1"/>
  <c r="X164" i="1"/>
  <c r="T162" i="1"/>
  <c r="U162" i="1" s="1"/>
  <c r="S162" i="1" s="1"/>
  <c r="X162" i="1"/>
  <c r="T160" i="1"/>
  <c r="U160" i="1" s="1"/>
  <c r="S160" i="1" s="1"/>
  <c r="X160" i="1"/>
  <c r="T158" i="1"/>
  <c r="U158" i="1" s="1"/>
  <c r="S158" i="1" s="1"/>
  <c r="X158" i="1"/>
  <c r="T237" i="1"/>
  <c r="U237" i="1" s="1"/>
  <c r="S237" i="1" s="1"/>
  <c r="X237" i="1"/>
  <c r="T235" i="1"/>
  <c r="U235" i="1" s="1"/>
  <c r="S235" i="1" s="1"/>
  <c r="X235" i="1"/>
  <c r="T233" i="1"/>
  <c r="U233" i="1" s="1"/>
  <c r="S233" i="1" s="1"/>
  <c r="X233" i="1"/>
  <c r="T231" i="1"/>
  <c r="U231" i="1" s="1"/>
  <c r="S231" i="1" s="1"/>
  <c r="X231" i="1"/>
  <c r="T229" i="1"/>
  <c r="U229" i="1" s="1"/>
  <c r="S229" i="1" s="1"/>
  <c r="X229" i="1"/>
  <c r="T220" i="1"/>
  <c r="U220" i="1" s="1"/>
  <c r="S220" i="1" s="1"/>
  <c r="X220" i="1"/>
  <c r="T218" i="1"/>
  <c r="U218" i="1" s="1"/>
  <c r="S218" i="1" s="1"/>
  <c r="X218" i="1"/>
  <c r="T216" i="1"/>
  <c r="U216" i="1" s="1"/>
  <c r="S216" i="1" s="1"/>
  <c r="X216" i="1"/>
  <c r="T214" i="1"/>
  <c r="U214" i="1" s="1"/>
  <c r="S214" i="1" s="1"/>
  <c r="X214" i="1"/>
  <c r="T212" i="1"/>
  <c r="U212" i="1" s="1"/>
  <c r="S212" i="1" s="1"/>
  <c r="X212" i="1"/>
  <c r="T210" i="1"/>
  <c r="U210" i="1" s="1"/>
  <c r="S210" i="1" s="1"/>
  <c r="X210" i="1"/>
  <c r="T208" i="1"/>
  <c r="U208" i="1" s="1"/>
  <c r="S208" i="1" s="1"/>
  <c r="X208" i="1"/>
  <c r="T155" i="1"/>
  <c r="U155" i="1" s="1"/>
  <c r="S155" i="1" s="1"/>
  <c r="T152" i="1"/>
  <c r="U152" i="1" s="1"/>
  <c r="S152" i="1" s="1"/>
  <c r="X152" i="1"/>
  <c r="T150" i="1"/>
  <c r="U150" i="1" s="1"/>
  <c r="S150" i="1" s="1"/>
  <c r="T146" i="1"/>
  <c r="U146" i="1" s="1"/>
  <c r="S146" i="1" s="1"/>
  <c r="T142" i="1"/>
  <c r="U142" i="1" s="1"/>
  <c r="S142" i="1" s="1"/>
  <c r="X142" i="1"/>
  <c r="W106" i="1"/>
  <c r="W86" i="1"/>
  <c r="T123" i="1"/>
  <c r="U123" i="1" s="1"/>
  <c r="S123" i="1" s="1"/>
  <c r="X123" i="1"/>
  <c r="T121" i="1"/>
  <c r="U121" i="1" s="1"/>
  <c r="S121" i="1" s="1"/>
  <c r="X121" i="1"/>
  <c r="T119" i="1"/>
  <c r="U119" i="1" s="1"/>
  <c r="S119" i="1" s="1"/>
  <c r="X119" i="1"/>
  <c r="T117" i="1"/>
  <c r="U117" i="1" s="1"/>
  <c r="S117" i="1" s="1"/>
  <c r="X117" i="1"/>
  <c r="AA115" i="1"/>
  <c r="W115" i="1" s="1"/>
  <c r="AA113" i="1"/>
  <c r="W113" i="1" s="1"/>
  <c r="AA109" i="1"/>
  <c r="W109" i="1" s="1"/>
  <c r="AA107" i="1"/>
  <c r="W107" i="1" s="1"/>
  <c r="AA103" i="1"/>
  <c r="W103" i="1" s="1"/>
  <c r="AA99" i="1"/>
  <c r="W99" i="1" s="1"/>
  <c r="AA93" i="1"/>
  <c r="W93" i="1" s="1"/>
  <c r="W79" i="1"/>
  <c r="X136" i="1"/>
  <c r="X135" i="1"/>
  <c r="X131" i="1"/>
  <c r="X126" i="1"/>
  <c r="X125" i="1"/>
  <c r="X124" i="1"/>
  <c r="T122" i="1"/>
  <c r="U122" i="1" s="1"/>
  <c r="S122" i="1" s="1"/>
  <c r="X122" i="1"/>
  <c r="T120" i="1"/>
  <c r="U120" i="1" s="1"/>
  <c r="S120" i="1" s="1"/>
  <c r="X120" i="1"/>
  <c r="T118" i="1"/>
  <c r="U118" i="1" s="1"/>
  <c r="S118" i="1" s="1"/>
  <c r="X118" i="1"/>
  <c r="T116" i="1"/>
  <c r="U116" i="1" s="1"/>
  <c r="X116" i="1"/>
  <c r="W114" i="1"/>
  <c r="W108" i="1"/>
  <c r="W87" i="1"/>
  <c r="T114" i="1"/>
  <c r="U114" i="1" s="1"/>
  <c r="S114" i="1" s="1"/>
  <c r="T110" i="1"/>
  <c r="U110" i="1" s="1"/>
  <c r="S110" i="1" s="1"/>
  <c r="X110" i="1"/>
  <c r="T108" i="1"/>
  <c r="U108" i="1" s="1"/>
  <c r="S108" i="1" s="1"/>
  <c r="X108" i="1"/>
  <c r="AA104" i="1"/>
  <c r="W104" i="1" s="1"/>
  <c r="W100" i="1"/>
  <c r="AA91" i="1"/>
  <c r="W91" i="1" s="1"/>
  <c r="T103" i="1"/>
  <c r="U103" i="1" s="1"/>
  <c r="S103" i="1" s="1"/>
  <c r="X103" i="1"/>
  <c r="T101" i="1"/>
  <c r="U101" i="1" s="1"/>
  <c r="S101" i="1" s="1"/>
  <c r="X101" i="1"/>
  <c r="T99" i="1"/>
  <c r="U99" i="1" s="1"/>
  <c r="S99" i="1" s="1"/>
  <c r="X99" i="1"/>
  <c r="T97" i="1"/>
  <c r="U97" i="1" s="1"/>
  <c r="S97" i="1" s="1"/>
  <c r="X97" i="1"/>
  <c r="T95" i="1"/>
  <c r="U95" i="1" s="1"/>
  <c r="S95" i="1" s="1"/>
  <c r="X95" i="1"/>
  <c r="T93" i="1"/>
  <c r="U93" i="1" s="1"/>
  <c r="S93" i="1" s="1"/>
  <c r="X93" i="1"/>
  <c r="T91" i="1"/>
  <c r="U91" i="1" s="1"/>
  <c r="S91" i="1" s="1"/>
  <c r="X91" i="1"/>
  <c r="W82" i="1"/>
  <c r="W61" i="1"/>
  <c r="W57" i="1"/>
  <c r="X106" i="1"/>
  <c r="X105" i="1"/>
  <c r="X104" i="1"/>
  <c r="T102" i="1"/>
  <c r="U102" i="1" s="1"/>
  <c r="S102" i="1" s="1"/>
  <c r="X102" i="1"/>
  <c r="T100" i="1"/>
  <c r="U100" i="1" s="1"/>
  <c r="S100" i="1" s="1"/>
  <c r="X100" i="1"/>
  <c r="T98" i="1"/>
  <c r="U98" i="1" s="1"/>
  <c r="S98" i="1" s="1"/>
  <c r="X98" i="1"/>
  <c r="T96" i="1"/>
  <c r="U96" i="1" s="1"/>
  <c r="S96" i="1" s="1"/>
  <c r="X96" i="1"/>
  <c r="T94" i="1"/>
  <c r="U94" i="1" s="1"/>
  <c r="S94" i="1" s="1"/>
  <c r="X94" i="1"/>
  <c r="T92" i="1"/>
  <c r="U92" i="1" s="1"/>
  <c r="S92" i="1" s="1"/>
  <c r="X92" i="1"/>
  <c r="W55" i="1"/>
  <c r="W50" i="1"/>
  <c r="W35" i="1"/>
  <c r="W71" i="1"/>
  <c r="W46" i="1"/>
  <c r="T49" i="1"/>
  <c r="U49" i="1" s="1"/>
  <c r="S49" i="1" s="1"/>
  <c r="X49" i="1"/>
  <c r="T45" i="1"/>
  <c r="U45" i="1" s="1"/>
  <c r="S45" i="1" s="1"/>
  <c r="X45" i="1"/>
  <c r="T37" i="1"/>
  <c r="U37" i="1" s="1"/>
  <c r="S37" i="1" s="1"/>
  <c r="X37" i="1"/>
  <c r="X90" i="1"/>
  <c r="X89" i="1"/>
  <c r="X88" i="1"/>
  <c r="T55" i="1"/>
  <c r="U55" i="1" s="1"/>
  <c r="S55" i="1" s="1"/>
  <c r="X55" i="1"/>
  <c r="T43" i="1"/>
  <c r="U43" i="1" s="1"/>
  <c r="S43" i="1" s="1"/>
  <c r="X43" i="1"/>
  <c r="W41" i="1"/>
  <c r="T35" i="1"/>
  <c r="U35" i="1" s="1"/>
  <c r="S35" i="1" s="1"/>
  <c r="X35" i="1"/>
  <c r="T69" i="1"/>
  <c r="U69" i="1" s="1"/>
  <c r="S69" i="1" s="1"/>
  <c r="T67" i="1"/>
  <c r="U67" i="1" s="1"/>
  <c r="S67" i="1" s="1"/>
  <c r="T65" i="1"/>
  <c r="U65" i="1" s="1"/>
  <c r="S65" i="1" s="1"/>
  <c r="T63" i="1"/>
  <c r="U63" i="1" s="1"/>
  <c r="S63" i="1" s="1"/>
  <c r="T61" i="1"/>
  <c r="U61" i="1" s="1"/>
  <c r="S61" i="1" s="1"/>
  <c r="T59" i="1"/>
  <c r="U59" i="1" s="1"/>
  <c r="S59" i="1" s="1"/>
  <c r="T57" i="1"/>
  <c r="U57" i="1" s="1"/>
  <c r="S57" i="1" s="1"/>
  <c r="T53" i="1"/>
  <c r="U53" i="1" s="1"/>
  <c r="S53" i="1" s="1"/>
  <c r="X53" i="1"/>
  <c r="T41" i="1"/>
  <c r="U41" i="1" s="1"/>
  <c r="S41" i="1" s="1"/>
  <c r="X41" i="1"/>
  <c r="T33" i="1"/>
  <c r="U33" i="1" s="1"/>
  <c r="S33" i="1" s="1"/>
  <c r="X33" i="1"/>
  <c r="AA30" i="1"/>
  <c r="W30" i="1" s="1"/>
  <c r="AA26" i="1"/>
  <c r="W26" i="1" s="1"/>
  <c r="AA22" i="1"/>
  <c r="W22" i="1" s="1"/>
  <c r="AA18" i="1"/>
  <c r="W18" i="1" s="1"/>
  <c r="AA14" i="1"/>
  <c r="W14" i="1" s="1"/>
  <c r="T51" i="1"/>
  <c r="U51" i="1" s="1"/>
  <c r="S51" i="1" s="1"/>
  <c r="X51" i="1"/>
  <c r="T47" i="1"/>
  <c r="U47" i="1" s="1"/>
  <c r="S47" i="1" s="1"/>
  <c r="X47" i="1"/>
  <c r="T39" i="1"/>
  <c r="U39" i="1" s="1"/>
  <c r="S39" i="1" s="1"/>
  <c r="X39" i="1"/>
  <c r="T54" i="1"/>
  <c r="U54" i="1" s="1"/>
  <c r="S54" i="1" s="1"/>
  <c r="X54" i="1"/>
  <c r="T52" i="1"/>
  <c r="U52" i="1" s="1"/>
  <c r="S52" i="1" s="1"/>
  <c r="X52" i="1"/>
  <c r="T50" i="1"/>
  <c r="U50" i="1" s="1"/>
  <c r="S50" i="1" s="1"/>
  <c r="X50" i="1"/>
  <c r="T48" i="1"/>
  <c r="U48" i="1" s="1"/>
  <c r="S48" i="1" s="1"/>
  <c r="X48" i="1"/>
  <c r="T46" i="1"/>
  <c r="U46" i="1" s="1"/>
  <c r="S46" i="1" s="1"/>
  <c r="X46" i="1"/>
  <c r="T44" i="1"/>
  <c r="U44" i="1" s="1"/>
  <c r="S44" i="1" s="1"/>
  <c r="X44" i="1"/>
  <c r="T42" i="1"/>
  <c r="U42" i="1" s="1"/>
  <c r="S42" i="1" s="1"/>
  <c r="X42" i="1"/>
  <c r="T40" i="1"/>
  <c r="U40" i="1" s="1"/>
  <c r="S40" i="1" s="1"/>
  <c r="X40" i="1"/>
  <c r="T38" i="1"/>
  <c r="U38" i="1" s="1"/>
  <c r="S38" i="1" s="1"/>
  <c r="X38" i="1"/>
  <c r="T36" i="1"/>
  <c r="U36" i="1" s="1"/>
  <c r="S36" i="1" s="1"/>
  <c r="X36" i="1"/>
  <c r="T34" i="1"/>
  <c r="U34" i="1" s="1"/>
  <c r="S34" i="1" s="1"/>
  <c r="X34" i="1"/>
  <c r="T32" i="1"/>
  <c r="U32" i="1" s="1"/>
  <c r="S32" i="1" s="1"/>
  <c r="X32" i="1"/>
  <c r="AA31" i="1"/>
  <c r="W31" i="1" s="1"/>
  <c r="AA27" i="1"/>
  <c r="W27" i="1" s="1"/>
  <c r="AA23" i="1"/>
  <c r="W23" i="1" s="1"/>
  <c r="AA19" i="1"/>
  <c r="W19" i="1" s="1"/>
  <c r="AA15" i="1"/>
  <c r="W15" i="1" s="1"/>
  <c r="W24" i="1"/>
  <c r="X31" i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AD24" i="3"/>
  <c r="AE10" i="3"/>
  <c r="AC35" i="3"/>
  <c r="AE35" i="3"/>
  <c r="AE34" i="3"/>
  <c r="T39" i="3"/>
  <c r="AD13" i="3"/>
  <c r="AE39" i="3"/>
  <c r="AD37" i="3"/>
  <c r="AE31" i="3"/>
  <c r="AD17" i="3"/>
  <c r="AD15" i="3"/>
  <c r="T12" i="3"/>
  <c r="AC28" i="3"/>
  <c r="AE11" i="3"/>
  <c r="AD39" i="3"/>
  <c r="T16" i="3"/>
  <c r="AD31" i="3"/>
  <c r="T26" i="3"/>
  <c r="AC11" i="3"/>
  <c r="AE26" i="3"/>
  <c r="AE23" i="3"/>
  <c r="AD21" i="3"/>
  <c r="AD12" i="3"/>
  <c r="T37" i="3"/>
  <c r="AD16" i="3"/>
  <c r="AE38" i="3"/>
  <c r="AD35" i="3"/>
  <c r="T34" i="3"/>
  <c r="AE30" i="3"/>
  <c r="T31" i="3"/>
  <c r="AC33" i="3"/>
  <c r="AD19" i="3"/>
  <c r="T32" i="3"/>
  <c r="AE14" i="3"/>
  <c r="T29" i="3"/>
  <c r="AC24" i="3"/>
  <c r="AD27" i="3"/>
  <c r="T13" i="3"/>
  <c r="AE22" i="3"/>
  <c r="T25" i="3"/>
  <c r="AC18" i="3"/>
  <c r="AD11" i="3"/>
  <c r="T9" i="3"/>
  <c r="T10" i="3"/>
  <c r="Y16" i="3"/>
  <c r="Y34" i="3"/>
  <c r="Y26" i="3"/>
  <c r="Y13" i="3"/>
  <c r="Y14" i="3"/>
  <c r="Y35" i="3"/>
  <c r="Y24" i="3"/>
  <c r="Y11" i="3"/>
  <c r="Y33" i="3"/>
  <c r="Y15" i="3"/>
  <c r="Y18" i="3"/>
  <c r="Y28" i="3"/>
  <c r="Y23" i="3"/>
  <c r="Y12" i="3"/>
  <c r="Y10" i="3"/>
  <c r="Y39" i="3"/>
  <c r="Y31" i="3"/>
  <c r="Y30" i="3"/>
  <c r="Y25" i="3"/>
  <c r="Y20" i="3"/>
  <c r="Y29" i="3"/>
  <c r="Y37" i="3"/>
  <c r="Y32" i="3"/>
  <c r="Y9" i="3"/>
  <c r="Y36" i="3"/>
  <c r="Y22" i="3"/>
  <c r="Y21" i="3"/>
  <c r="Y19" i="3"/>
  <c r="Y17" i="3"/>
  <c r="Y7" i="3"/>
  <c r="Y38" i="3"/>
  <c r="Y27" i="3"/>
  <c r="AC36" i="3"/>
  <c r="AC22" i="3"/>
  <c r="AC21" i="3"/>
  <c r="AC19" i="3"/>
  <c r="AC17" i="3"/>
  <c r="AC7" i="3"/>
  <c r="AC38" i="3"/>
  <c r="AC27" i="3"/>
  <c r="AD38" i="3"/>
  <c r="AE37" i="3"/>
  <c r="T36" i="3"/>
  <c r="AD34" i="3"/>
  <c r="AE33" i="3"/>
  <c r="T22" i="3"/>
  <c r="AD30" i="3"/>
  <c r="AE29" i="3"/>
  <c r="T21" i="3"/>
  <c r="AD26" i="3"/>
  <c r="AE25" i="3"/>
  <c r="T19" i="3"/>
  <c r="AD22" i="3"/>
  <c r="AE21" i="3"/>
  <c r="T17" i="3"/>
  <c r="AD18" i="3"/>
  <c r="AE17" i="3"/>
  <c r="T7" i="3"/>
  <c r="AD14" i="3"/>
  <c r="AE13" i="3"/>
  <c r="T38" i="3"/>
  <c r="AD10" i="3"/>
  <c r="AE9" i="3"/>
  <c r="T27" i="3"/>
  <c r="AE36" i="3"/>
  <c r="AE32" i="3"/>
  <c r="AE28" i="3"/>
  <c r="AE24" i="3"/>
  <c r="AE20" i="3"/>
  <c r="AE16" i="3"/>
  <c r="AE12" i="3"/>
  <c r="S8" i="3"/>
  <c r="R8" i="3"/>
  <c r="M8" i="3"/>
  <c r="U8" i="3"/>
  <c r="V8" i="3"/>
  <c r="X8" i="3"/>
  <c r="AC8" i="3" l="1"/>
  <c r="AD8" i="3"/>
  <c r="AE8" i="3"/>
  <c r="W8" i="3"/>
  <c r="T8" i="3" l="1"/>
  <c r="Y8" i="3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N10" i="3" s="1"/>
  <c r="G234" i="4"/>
  <c r="G235" i="4"/>
  <c r="G236" i="4"/>
  <c r="N16" i="3" s="1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M23" i="5" l="1"/>
  <c r="V13" i="1" l="1"/>
  <c r="AO13" i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N23" i="3" s="1"/>
  <c r="G30" i="4"/>
  <c r="N27" i="3" s="1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N37" i="3" s="1"/>
  <c r="G45" i="4"/>
  <c r="G46" i="4"/>
  <c r="G47" i="4"/>
  <c r="G48" i="4"/>
  <c r="G49" i="4"/>
  <c r="G50" i="4"/>
  <c r="G51" i="4"/>
  <c r="N9" i="3" s="1"/>
  <c r="G52" i="4"/>
  <c r="G53" i="4"/>
  <c r="G54" i="4"/>
  <c r="G55" i="4"/>
  <c r="G56" i="4"/>
  <c r="G57" i="4"/>
  <c r="N28" i="3" s="1"/>
  <c r="G58" i="4"/>
  <c r="G59" i="4"/>
  <c r="G60" i="4"/>
  <c r="G61" i="4"/>
  <c r="G62" i="4"/>
  <c r="N29" i="3" s="1"/>
  <c r="G63" i="4"/>
  <c r="G64" i="4"/>
  <c r="G65" i="4"/>
  <c r="G66" i="4"/>
  <c r="G67" i="4"/>
  <c r="G68" i="4"/>
  <c r="N38" i="3" s="1"/>
  <c r="G69" i="4"/>
  <c r="G70" i="4"/>
  <c r="G71" i="4"/>
  <c r="G72" i="4"/>
  <c r="G73" i="4"/>
  <c r="G74" i="4"/>
  <c r="G75" i="4"/>
  <c r="G76" i="4"/>
  <c r="N18" i="3" s="1"/>
  <c r="G77" i="4"/>
  <c r="G78" i="4"/>
  <c r="G79" i="4"/>
  <c r="N7" i="3" s="1"/>
  <c r="G80" i="4"/>
  <c r="G81" i="4"/>
  <c r="G82" i="4"/>
  <c r="N20" i="3" s="1"/>
  <c r="G83" i="4"/>
  <c r="G84" i="4"/>
  <c r="G85" i="4"/>
  <c r="G86" i="4"/>
  <c r="G87" i="4"/>
  <c r="N15" i="3" s="1"/>
  <c r="G88" i="4"/>
  <c r="N32" i="3" s="1"/>
  <c r="G89" i="4"/>
  <c r="G90" i="4"/>
  <c r="G91" i="4"/>
  <c r="N17" i="3" s="1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N25" i="3" s="1"/>
  <c r="G116" i="4"/>
  <c r="G117" i="4"/>
  <c r="G118" i="4"/>
  <c r="G119" i="4"/>
  <c r="G120" i="4"/>
  <c r="G121" i="4"/>
  <c r="G122" i="4"/>
  <c r="G123" i="4"/>
  <c r="N14" i="3" s="1"/>
  <c r="G124" i="4"/>
  <c r="G125" i="4"/>
  <c r="G126" i="4"/>
  <c r="N33" i="3" s="1"/>
  <c r="G127" i="4"/>
  <c r="G128" i="4"/>
  <c r="G129" i="4"/>
  <c r="G130" i="4"/>
  <c r="G131" i="4"/>
  <c r="G132" i="4"/>
  <c r="N30" i="3" s="1"/>
  <c r="G133" i="4"/>
  <c r="G134" i="4"/>
  <c r="G135" i="4"/>
  <c r="G136" i="4"/>
  <c r="N19" i="3" s="1"/>
  <c r="G137" i="4"/>
  <c r="G138" i="4"/>
  <c r="N13" i="3" s="1"/>
  <c r="G139" i="4"/>
  <c r="G140" i="4"/>
  <c r="G141" i="4"/>
  <c r="N11" i="3" s="1"/>
  <c r="G142" i="4"/>
  <c r="G143" i="4"/>
  <c r="G144" i="4"/>
  <c r="G145" i="4"/>
  <c r="G146" i="4"/>
  <c r="G147" i="4"/>
  <c r="G148" i="4"/>
  <c r="N21" i="3" s="1"/>
  <c r="G149" i="4"/>
  <c r="G150" i="4"/>
  <c r="G151" i="4"/>
  <c r="G152" i="4"/>
  <c r="G153" i="4"/>
  <c r="N31" i="3" s="1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N39" i="3" s="1"/>
  <c r="G176" i="4"/>
  <c r="G177" i="4"/>
  <c r="N22" i="3" s="1"/>
  <c r="G178" i="4"/>
  <c r="G179" i="4"/>
  <c r="G180" i="4"/>
  <c r="G181" i="4"/>
  <c r="G182" i="4"/>
  <c r="G183" i="4"/>
  <c r="G184" i="4"/>
  <c r="G185" i="4"/>
  <c r="G186" i="4"/>
  <c r="G187" i="4"/>
  <c r="N8" i="3" s="1"/>
  <c r="G188" i="4"/>
  <c r="G189" i="4"/>
  <c r="G190" i="4"/>
  <c r="G191" i="4"/>
  <c r="G192" i="4"/>
  <c r="G193" i="4"/>
  <c r="N34" i="3" s="1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N35" i="3" s="1"/>
  <c r="G214" i="4"/>
  <c r="G215" i="4"/>
  <c r="G216" i="4"/>
  <c r="G217" i="4"/>
  <c r="G218" i="4"/>
  <c r="G219" i="4"/>
  <c r="G220" i="4"/>
  <c r="G221" i="4"/>
  <c r="N36" i="3" s="1"/>
  <c r="G222" i="4"/>
  <c r="G223" i="4"/>
  <c r="G2" i="4"/>
  <c r="N12" i="3" l="1"/>
  <c r="N26" i="3"/>
  <c r="N24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<sst xmlns="http://schemas.openxmlformats.org/spreadsheetml/2006/main" count="2873" uniqueCount="1111">
  <si>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</si>
  <si>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</si>
  <si>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</si>
  <si>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</si>
  <si>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</si>
  <si>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</si>
  <si>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</si>
  <si>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</si>
  <si>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</si>
  <si>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</si>
  <si>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</si>
  <si>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</si>
  <si>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</si>
  <si>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</si>
  <si>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</si>
  <si>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</si>
  <si>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</si>
  <si>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</si>
  <si>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</si>
  <si>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</si>
  <si>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</si>
  <si>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</si>
  <si>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</si>
  <si>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</si>
  <si>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</si>
  <si>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</si>
  <si>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</si>
  <si>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</si>
  <si>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</si>
  <si>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</si>
  <si>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</si>
  <si>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</si>
  <si>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</si>
  <si>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</si>
  <si>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</si>
  <si>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</si>
  <si>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</si>
  <si>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</si>
  <si>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</si>
  <si>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</si>
  <si>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</si>
  <si>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</si>
  <si>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</si>
  <si>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</si>
  <si>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</si>
  <si>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</si>
  <si>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</si>
  <si>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</si>
  <si>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</si>
  <si>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</si>
  <si>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</si>
  <si>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</si>
  <si>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</si>
  <si>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</si>
  <si>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</si>
  <si>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</si>
  <si>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</si>
  <si>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</si>
  <si>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</si>
  <si>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</si>
  <si>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</si>
  <si>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</si>
  <si>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</si>
  <si>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</si>
  <si>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</si>
  <si>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</si>
  <si>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</si>
  <si>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</si>
  <si>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</si>
  <si>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</si>
  <si>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</si>
  <si>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</si>
  <si>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</si>
  <si>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</si>
  <si>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</si>
  <si>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</si>
  <si>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</si>
  <si>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</si>
  <si>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</si>
  <si>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</si>
  <si>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</si>
  <si>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</si>
  <si>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</si>
  <si>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</si>
  <si>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</si>
  <si>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</si>
  <si>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</si>
  <si>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</si>
  <si>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</si>
  <si>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</si>
  <si>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</si>
  <si>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</si>
  <si>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</si>
  <si>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</si>
  <si>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</si>
  <si>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</si>
  <si>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</si>
  <si>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</si>
  <si>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</si>
  <si>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</si>
  <si>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</si>
  <si>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</si>
  <si>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</si>
  <si>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</si>
  <si>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</si>
  <si>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</si>
  <si>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</si>
  <si>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</si>
  <si>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</si>
  <si>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</si>
  <si>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</si>
  <si>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</si>
  <si>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</si>
  <si>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</si>
  <si>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</si>
  <si>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</si>
  <si>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</si>
  <si>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</si>
  <si>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</si>
  <si>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</si>
  <si>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</si>
  <si>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</si>
  <si>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</si>
  <si>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</si>
  <si>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</si>
  <si>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</si>
  <si>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</si>
  <si>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</si>
  <si>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</si>
  <si>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</si>
  <si>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</si>
  <si>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</si>
  <si>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</si>
  <si>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</si>
  <si>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</si>
  <si>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</si>
  <si>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</si>
  <si>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</si>
  <si>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</si>
  <si>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</si>
  <si>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</si>
  <si>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</si>
  <si>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</si>
  <si>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</si>
  <si>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</si>
  <si>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</si>
  <si>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</si>
  <si>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</si>
  <si>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</si>
  <si>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</si>
  <si>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</si>
  <si>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</si>
  <si>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</si>
  <si>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</si>
  <si>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</si>
  <si>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</si>
  <si>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</si>
  <si>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</si>
  <si>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</si>
  <si>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</si>
  <si>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</si>
  <si>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</si>
  <si>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</si>
  <si>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</si>
  <si>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</si>
  <si>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</si>
  <si>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</si>
  <si>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</si>
  <si>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</si>
  <si>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</si>
  <si>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</si>
  <si>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</si>
  <si>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</si>
  <si>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</si>
  <si>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</si>
  <si>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</si>
  <si>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</si>
  <si>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</si>
  <si>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</si>
  <si>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</si>
  <si>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</si>
  <si>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</si>
  <si>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</si>
  <si>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</si>
  <si>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</si>
  <si>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</si>
  <si>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</si>
  <si>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</si>
  <si>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</si>
  <si>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</si>
  <si>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</si>
  <si>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</si>
  <si>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</si>
  <si>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</si>
  <si>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</si>
  <si>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</si>
  <si>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</si>
  <si>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</si>
  <si>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</si>
  <si>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</si>
  <si>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</si>
  <si>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</si>
  <si>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</si>
  <si>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</si>
  <si>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</si>
  <si>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</si>
  <si>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</si>
  <si>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</si>
  <si>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</si>
  <si>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</si>
  <si>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</si>
  <si>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</si>
  <si>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</si>
  <si>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</si>
  <si>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</si>
  <si>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</si>
  <si>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</si>
  <si>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</si>
  <si>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</si>
  <si>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</si>
  <si>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</si>
  <si>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</si>
  <si>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</si>
  <si>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</si>
  <si>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</si>
  <si>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</si>
  <si>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</si>
  <si>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</si>
  <si>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</si>
  <si>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</si>
  <si>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</si>
  <si>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</si>
  <si>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</si>
  <si>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</si>
  <si>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</si>
  <si>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</si>
  <si>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</si>
  <si>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</si>
  <si>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</si>
  <si>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</si>
  <si>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</si>
  <si>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</si>
  <si>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</si>
  <si>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</si>
  <si>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</si>
  <si>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</si>
  <si>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</si>
  <si>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</si>
  <si>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</si>
  <si>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</si>
  <si>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</si>
  <si>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</si>
  <si>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</si>
  <si>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</si>
  <si>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</si>
  <si>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</si>
  <si>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</si>
  <si>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</si>
  <si>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</si>
  <si>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</si>
  <si>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</si>
  <si>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</si>
  <si>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</si>
  <si>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</si>
  <si>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</si>
  <si>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</si>
  <si>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</si>
  <si>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</si>
  <si>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</si>
  <si>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</si>
  <si>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</si>
  <si>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</si>
  <si>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</si>
  <si>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</si>
  <si>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</si>
  <si>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</si>
  <si>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</si>
  <si>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</si>
  <si>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</si>
  <si>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</si>
  <si>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</si>
  <si>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</si>
  <si>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</si>
  <si>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</si>
  <si>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</si>
  <si>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</si>
  <si>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</si>
  <si>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</si>
  <si>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</si>
  <si>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</si>
  <si>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</si>
  <si>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</si>
  <si>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</si>
  <si>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</si>
  <si>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</si>
  <si>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</si>
  <si>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</si>
  <si>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</si>
  <si>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</si>
  <si>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</si>
  <si>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</si>
  <si>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</si>
  <si>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</si>
  <si>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</si>
  <si>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</si>
  <si>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</si>
  <si>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</si>
  <si>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</si>
  <si>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</si>
  <si>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</si>
  <si>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</si>
  <si>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</si>
  <si>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</si>
  <si>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</si>
  <si>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</si>
  <si>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</si>
  <si>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</si>
  <si>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</si>
  <si>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</si>
  <si>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</si>
  <si>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</si>
  <si>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</si>
  <si>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</si>
  <si>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</si>
  <si>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</si>
  <si>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</si>
  <si>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</si>
  <si>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</si>
  <si>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</si>
  <si>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</si>
  <si>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</si>
  <si>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</si>
  <si>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</si>
  <si>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</si>
  <si>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204:150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</si>
  <si>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</si>
  <si>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</si>
  <si>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</si>
  <si>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</si>
  <si>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</si>
  <si>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</si>
  <si>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</si>
  <si>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</si>
  <si>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</si>
  <si>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</si>
  <si>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</si>
  <si>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</si>
  <si>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</si>
  <si>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204:145</t>
  </si>
  <si>
    <t>Early Arrival</t>
  </si>
  <si>
    <t>LOZA</t>
  </si>
  <si>
    <t>FIDEL</t>
  </si>
  <si>
    <t>204:158</t>
  </si>
  <si>
    <t>204:154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</si>
  <si>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</si>
  <si>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</si>
  <si>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</si>
  <si>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</si>
  <si>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</si>
  <si>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</si>
  <si>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</si>
  <si>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</si>
  <si>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</si>
  <si>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</si>
  <si>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Wi-MAX data drop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</si>
  <si>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</si>
  <si>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</si>
  <si>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</si>
  <si>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</si>
  <si>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</si>
  <si>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</si>
  <si>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</si>
  <si>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DAVIS</t>
  </si>
  <si>
    <t>rtdc.l.rtdc.4024:itc</t>
  </si>
  <si>
    <t>rtdc.l.rtdc.4016:itc</t>
  </si>
  <si>
    <t>NICHOLSON</t>
  </si>
  <si>
    <t>WESLEY</t>
  </si>
  <si>
    <t>300-20</t>
  </si>
  <si>
    <t>rtdc.l.rtdc.4050:itc</t>
  </si>
  <si>
    <t>rtdc.l.rtdc.4049:itc</t>
  </si>
  <si>
    <t>204:160</t>
  </si>
  <si>
    <t>rtdc.l.rtdc.4036:itc</t>
  </si>
  <si>
    <t>rtdc.l.rtdc.4035:itc</t>
  </si>
  <si>
    <t>204:444</t>
  </si>
  <si>
    <t>precipType</t>
  </si>
  <si>
    <t>rtdc.l.rtdc.4053:itc</t>
  </si>
  <si>
    <t>WILLIAMS</t>
  </si>
  <si>
    <t>partly-cloudy-night</t>
  </si>
  <si>
    <t>Partly Cloudy</t>
  </si>
  <si>
    <t>204:156</t>
  </si>
  <si>
    <t>204:233264</t>
  </si>
  <si>
    <t>204:232972</t>
  </si>
  <si>
    <t>204:161</t>
  </si>
  <si>
    <t>204:451</t>
  </si>
  <si>
    <t>204:477</t>
  </si>
  <si>
    <t>204:232968</t>
  </si>
  <si>
    <t>204:232969</t>
  </si>
  <si>
    <t>204:220</t>
  </si>
  <si>
    <t>204:573</t>
  </si>
  <si>
    <t>rtdc.l.rtdc.4003:itc</t>
  </si>
  <si>
    <t>rtdc.l.rtdc.4004:itc</t>
  </si>
  <si>
    <t>THOMPSON</t>
  </si>
  <si>
    <t>LESTER</t>
  </si>
  <si>
    <t>LAMAR</t>
  </si>
  <si>
    <t>NEKESHA</t>
  </si>
  <si>
    <t>rtdc.l.rtdc.4012:itc</t>
  </si>
  <si>
    <t>rtdc.l.rtdc.4011:itc</t>
  </si>
  <si>
    <t>ROMERO</t>
  </si>
  <si>
    <t>CHAD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</si>
  <si>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</si>
  <si>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</si>
  <si>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</si>
  <si>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</si>
  <si>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</si>
  <si>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</si>
  <si>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</si>
  <si>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</si>
  <si>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204:467</t>
  </si>
  <si>
    <t>204:549</t>
  </si>
  <si>
    <t>204:455</t>
  </si>
  <si>
    <t>204:555</t>
  </si>
  <si>
    <t>204:475</t>
  </si>
  <si>
    <t>204:233236</t>
  </si>
  <si>
    <t>204:513</t>
  </si>
  <si>
    <t>300:58952</t>
  </si>
  <si>
    <t>300:58931</t>
  </si>
  <si>
    <t>204:233286</t>
  </si>
  <si>
    <t>204:258</t>
  </si>
  <si>
    <t>SPECTOR</t>
  </si>
  <si>
    <t>STEWART</t>
  </si>
  <si>
    <t>MAGEE</t>
  </si>
  <si>
    <t>KENYA</t>
  </si>
  <si>
    <t>ANDREA</t>
  </si>
  <si>
    <t>204:453</t>
  </si>
  <si>
    <t>204:464</t>
  </si>
  <si>
    <t>204:232871</t>
  </si>
  <si>
    <t>204:232985</t>
  </si>
  <si>
    <t>204:169</t>
  </si>
  <si>
    <t>204:233300</t>
  </si>
  <si>
    <t>204:466</t>
  </si>
  <si>
    <t>204:225</t>
  </si>
  <si>
    <t>204:233266</t>
  </si>
  <si>
    <t>204:201</t>
  </si>
  <si>
    <t>204:267</t>
  </si>
  <si>
    <t>204:233263</t>
  </si>
  <si>
    <t>204:252</t>
  </si>
  <si>
    <t>204:542</t>
  </si>
  <si>
    <t>204:233193</t>
  </si>
  <si>
    <t>204:497</t>
  </si>
  <si>
    <t>204:232888</t>
  </si>
  <si>
    <t>204:233219</t>
  </si>
  <si>
    <t>204:152</t>
  </si>
  <si>
    <t>204:1184</t>
  </si>
  <si>
    <t>300:58933</t>
  </si>
  <si>
    <t>300:58621</t>
  </si>
  <si>
    <t>300:58935</t>
  </si>
  <si>
    <t>300:58615</t>
  </si>
  <si>
    <t>300:58954</t>
  </si>
  <si>
    <t>300:58943</t>
  </si>
  <si>
    <t>Track device (7)</t>
  </si>
  <si>
    <t>rtdc.l.rtdc.4062:itc</t>
  </si>
  <si>
    <t>rtdc.l.rtdc.4022:itc</t>
  </si>
  <si>
    <t>rtdc.l.rtdc.4061:itc</t>
  </si>
  <si>
    <t>rtdc.l.rtdc.4027:itc</t>
  </si>
  <si>
    <t>rtdc.l.rtdc.4029:itc</t>
  </si>
  <si>
    <t>SWITCH UNKNOWN</t>
  </si>
  <si>
    <t>rtdc.l.rtdc.4021:itc</t>
  </si>
  <si>
    <t>206-31</t>
  </si>
  <si>
    <t>208-31</t>
  </si>
  <si>
    <t>224-31</t>
  </si>
  <si>
    <t>232-31</t>
  </si>
  <si>
    <t>238-31</t>
  </si>
  <si>
    <t>STARKS</t>
  </si>
  <si>
    <t>ANGELINA</t>
  </si>
  <si>
    <t>rtdc.l.rtdc.4059:itc</t>
  </si>
  <si>
    <t>rtdc.l.rtdc.4028:itc</t>
  </si>
  <si>
    <t>rtdc.l.rtdc.4030:itc</t>
  </si>
  <si>
    <t>DELGADO</t>
  </si>
  <si>
    <t>DIANAH</t>
  </si>
  <si>
    <t>BRUDER</t>
  </si>
  <si>
    <t>RICHARD</t>
  </si>
  <si>
    <t>HAMMOND</t>
  </si>
  <si>
    <t>JUSTYNN</t>
  </si>
  <si>
    <t>SMITH</t>
  </si>
  <si>
    <t>DE LA ROSA</t>
  </si>
  <si>
    <t>ALEX</t>
  </si>
  <si>
    <t>STAMBAUGH</t>
  </si>
  <si>
    <t>JAMES</t>
  </si>
  <si>
    <t>NEWELL</t>
  </si>
  <si>
    <t>71-31</t>
  </si>
  <si>
    <t>833-31</t>
  </si>
  <si>
    <t>202-31</t>
  </si>
  <si>
    <t>209-31</t>
  </si>
  <si>
    <t>rtdc.l.rtdc.4026:itc</t>
  </si>
  <si>
    <t>77-31</t>
  </si>
  <si>
    <t>204-31</t>
  </si>
  <si>
    <t>211-31</t>
  </si>
  <si>
    <t>834-31</t>
  </si>
  <si>
    <t>835-31</t>
  </si>
  <si>
    <t>213-31</t>
  </si>
  <si>
    <t>76-31</t>
  </si>
  <si>
    <t>215-31</t>
  </si>
  <si>
    <t>836-31</t>
  </si>
  <si>
    <t>837-31</t>
  </si>
  <si>
    <t>210-31</t>
  </si>
  <si>
    <t>217-31</t>
  </si>
  <si>
    <t>212-31</t>
  </si>
  <si>
    <t>838-31</t>
  </si>
  <si>
    <t>219-31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</si>
  <si>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</si>
  <si>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</si>
  <si>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</si>
  <si>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</si>
  <si>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</si>
  <si>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</si>
  <si>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</si>
  <si>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</si>
  <si>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</si>
  <si>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</si>
  <si>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</si>
  <si>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</si>
  <si>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</si>
  <si>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</si>
  <si>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</si>
  <si>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</si>
  <si>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</si>
  <si>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</si>
  <si>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</si>
  <si>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</si>
  <si>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</si>
  <si>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</si>
  <si>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</si>
  <si>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</si>
  <si>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</si>
  <si>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</si>
  <si>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</si>
  <si>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</si>
  <si>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</si>
  <si>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</si>
  <si>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</si>
  <si>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</si>
  <si>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</si>
  <si>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</si>
  <si>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</si>
  <si>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</si>
  <si>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</si>
  <si>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</si>
  <si>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</si>
  <si>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</si>
  <si>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</si>
  <si>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</si>
  <si>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</si>
  <si>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</si>
  <si>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</si>
  <si>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</si>
  <si>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clear-day</t>
  </si>
  <si>
    <t>rain</t>
  </si>
  <si>
    <t>Clear</t>
  </si>
  <si>
    <t>clear-night</t>
  </si>
  <si>
    <t>204:457</t>
  </si>
  <si>
    <t>204:232977</t>
  </si>
  <si>
    <t>204:462</t>
  </si>
  <si>
    <t>204:232976</t>
  </si>
  <si>
    <t>204:233302</t>
  </si>
  <si>
    <t>204:196</t>
  </si>
  <si>
    <t>204:233293</t>
  </si>
  <si>
    <t>204:232975</t>
  </si>
  <si>
    <t>204:233305</t>
  </si>
  <si>
    <t>204:141</t>
  </si>
  <si>
    <t>204:233272</t>
  </si>
  <si>
    <t>204:491</t>
  </si>
  <si>
    <t>204:232981</t>
  </si>
  <si>
    <t>204:233297</t>
  </si>
  <si>
    <t>204:232984</t>
  </si>
  <si>
    <t>204:233011</t>
  </si>
  <si>
    <t>204:262</t>
  </si>
  <si>
    <t>204:233201</t>
  </si>
  <si>
    <t>204:232902</t>
  </si>
  <si>
    <t>204:233218</t>
  </si>
  <si>
    <t>204:233268</t>
  </si>
  <si>
    <t>204:232952</t>
  </si>
  <si>
    <t>204:307</t>
  </si>
  <si>
    <t>204:559</t>
  </si>
  <si>
    <t>204:633</t>
  </si>
  <si>
    <t>204:232934</t>
  </si>
  <si>
    <t>204:234</t>
  </si>
  <si>
    <t>204:564</t>
  </si>
  <si>
    <t>204:322</t>
  </si>
  <si>
    <t>204:580</t>
  </si>
  <si>
    <t>204:233304</t>
  </si>
  <si>
    <t>204:635</t>
  </si>
  <si>
    <t>204:238</t>
  </si>
  <si>
    <t>204:233303</t>
  </si>
  <si>
    <t>204:170</t>
  </si>
  <si>
    <t>204:232951</t>
  </si>
  <si>
    <t>204:236</t>
  </si>
  <si>
    <t>204:233206</t>
  </si>
  <si>
    <t>300:23346</t>
  </si>
  <si>
    <t>300:23304</t>
  </si>
  <si>
    <t>300:23306</t>
  </si>
  <si>
    <t>300:59007</t>
  </si>
  <si>
    <t>300:58634</t>
  </si>
  <si>
    <t>204:976</t>
  </si>
  <si>
    <t>300:58948</t>
  </si>
  <si>
    <t>300:58630</t>
  </si>
  <si>
    <t>300:58638</t>
  </si>
  <si>
    <t>300:58944</t>
  </si>
  <si>
    <t>300:58628</t>
  </si>
  <si>
    <t>300:58958</t>
  </si>
  <si>
    <t>106-01</t>
  </si>
  <si>
    <t>rtdc.l.rtdc.4014:itc</t>
  </si>
  <si>
    <t>115-01</t>
  </si>
  <si>
    <t>rtdc.l.rtdc.4001:itc</t>
  </si>
  <si>
    <t>110-01</t>
  </si>
  <si>
    <t>805-01</t>
  </si>
  <si>
    <t>124-01</t>
  </si>
  <si>
    <t>rtdc.l.rtdc.4063:itc</t>
  </si>
  <si>
    <t>126-01</t>
  </si>
  <si>
    <t>903-01</t>
  </si>
  <si>
    <t>rtdc.l.rtdc.4013:itc</t>
  </si>
  <si>
    <t>130-01</t>
  </si>
  <si>
    <t>rtdc.l.rtdc.4041:itc</t>
  </si>
  <si>
    <t>132-01</t>
  </si>
  <si>
    <t>140-01</t>
  </si>
  <si>
    <t>rtdc.l.rtdc.4043:itc</t>
  </si>
  <si>
    <t>142-01</t>
  </si>
  <si>
    <t>144-01</t>
  </si>
  <si>
    <t>rtdc.l.rtdc.4031:itc</t>
  </si>
  <si>
    <t>816-01</t>
  </si>
  <si>
    <t>rtdc.l.rtdc.4025:itc</t>
  </si>
  <si>
    <t>150-01</t>
  </si>
  <si>
    <t>152-01</t>
  </si>
  <si>
    <t>171-01</t>
  </si>
  <si>
    <t>177-01</t>
  </si>
  <si>
    <t>822-01</t>
  </si>
  <si>
    <t>rtdc.l.rtdc.4042:itc</t>
  </si>
  <si>
    <t>187-01</t>
  </si>
  <si>
    <t>178-01</t>
  </si>
  <si>
    <t>182-01</t>
  </si>
  <si>
    <t>191-01</t>
  </si>
  <si>
    <t>rtdc.l.rtdc.4064:itc</t>
  </si>
  <si>
    <t>195-01</t>
  </si>
  <si>
    <t>192-01</t>
  </si>
  <si>
    <t>203-01</t>
  </si>
  <si>
    <t>202-01</t>
  </si>
  <si>
    <t>74-01</t>
  </si>
  <si>
    <t>838-01</t>
  </si>
  <si>
    <t>842-01</t>
  </si>
  <si>
    <t>844-01</t>
  </si>
  <si>
    <t>239-01</t>
  </si>
  <si>
    <t>240-01</t>
  </si>
  <si>
    <t>300-01</t>
  </si>
  <si>
    <t>BONDS</t>
  </si>
  <si>
    <t>REYNALDO</t>
  </si>
  <si>
    <t>51-01</t>
  </si>
  <si>
    <t>101-01</t>
  </si>
  <si>
    <t>52-01</t>
  </si>
  <si>
    <t>302-01</t>
  </si>
  <si>
    <t>103-01</t>
  </si>
  <si>
    <t>304-01</t>
  </si>
  <si>
    <t>102-01</t>
  </si>
  <si>
    <t>105-01</t>
  </si>
  <si>
    <t>306-01</t>
  </si>
  <si>
    <t>BEAM</t>
  </si>
  <si>
    <t>ROSS</t>
  </si>
  <si>
    <t>107-01</t>
  </si>
  <si>
    <t>308-01</t>
  </si>
  <si>
    <t>104-01</t>
  </si>
  <si>
    <t>rtdc.l.rtdc.4002:itc</t>
  </si>
  <si>
    <t>109-01</t>
  </si>
  <si>
    <t>310-01</t>
  </si>
  <si>
    <t>AUSTIN</t>
  </si>
  <si>
    <t>901-01</t>
  </si>
  <si>
    <t>111-01</t>
  </si>
  <si>
    <t>rtdc.l.rtdc.4044:itc</t>
  </si>
  <si>
    <t>113-01</t>
  </si>
  <si>
    <t>rtdc.l.rtdc.4023:itc</t>
  </si>
  <si>
    <t>800-01</t>
  </si>
  <si>
    <t>108-01</t>
  </si>
  <si>
    <t>312-01</t>
  </si>
  <si>
    <t>801-01</t>
  </si>
  <si>
    <t>117-01</t>
  </si>
  <si>
    <t>902-01</t>
  </si>
  <si>
    <t>GEBRETEKLE</t>
  </si>
  <si>
    <t>DAGNEW</t>
  </si>
  <si>
    <t>119-01</t>
  </si>
  <si>
    <t>112-01</t>
  </si>
  <si>
    <t>114-01</t>
  </si>
  <si>
    <t>802-01</t>
  </si>
  <si>
    <t>rtdc.l.rtdc.4032:itc</t>
  </si>
  <si>
    <t>803-01</t>
  </si>
  <si>
    <t>121-01</t>
  </si>
  <si>
    <t>116-01</t>
  </si>
  <si>
    <t>118-01</t>
  </si>
  <si>
    <t>123-01</t>
  </si>
  <si>
    <t>804-01</t>
  </si>
  <si>
    <t>125-01</t>
  </si>
  <si>
    <t>122-01</t>
  </si>
  <si>
    <t>120-01</t>
  </si>
  <si>
    <t>127-01</t>
  </si>
  <si>
    <t>806-01</t>
  </si>
  <si>
    <t>807-01</t>
  </si>
  <si>
    <t>129-01</t>
  </si>
  <si>
    <t>131-01</t>
  </si>
  <si>
    <t>808-01</t>
  </si>
  <si>
    <t>809-01</t>
  </si>
  <si>
    <t>133-01</t>
  </si>
  <si>
    <t>128-01</t>
  </si>
  <si>
    <t>135-01</t>
  </si>
  <si>
    <t>810-01</t>
  </si>
  <si>
    <t>811-01</t>
  </si>
  <si>
    <t>137-01</t>
  </si>
  <si>
    <t>BROWN</t>
  </si>
  <si>
    <t>JACOB</t>
  </si>
  <si>
    <t>139-01</t>
  </si>
  <si>
    <t>134-01</t>
  </si>
  <si>
    <t>812-01</t>
  </si>
  <si>
    <t>136-01</t>
  </si>
  <si>
    <t>141-01</t>
  </si>
  <si>
    <t>143-01</t>
  </si>
  <si>
    <t>813-01</t>
  </si>
  <si>
    <t>138-01</t>
  </si>
  <si>
    <t>145-01</t>
  </si>
  <si>
    <t>147-01</t>
  </si>
  <si>
    <t>814-01</t>
  </si>
  <si>
    <t>149-01</t>
  </si>
  <si>
    <t>146-01</t>
  </si>
  <si>
    <t>151-01</t>
  </si>
  <si>
    <t>815-01</t>
  </si>
  <si>
    <t>153-01</t>
  </si>
  <si>
    <t>148-01</t>
  </si>
  <si>
    <t>155-01</t>
  </si>
  <si>
    <t>rtdc.l.rtdc.4051:itc</t>
  </si>
  <si>
    <t>54-01</t>
  </si>
  <si>
    <t>157-01</t>
  </si>
  <si>
    <t>159-01</t>
  </si>
  <si>
    <t>817-01</t>
  </si>
  <si>
    <t>156-01</t>
  </si>
  <si>
    <t>154-01</t>
  </si>
  <si>
    <t>161-01</t>
  </si>
  <si>
    <t>163-01</t>
  </si>
  <si>
    <t>rtdc.l.rtdc.4052:itc</t>
  </si>
  <si>
    <t>55-01</t>
  </si>
  <si>
    <t>818-01</t>
  </si>
  <si>
    <t>MAINTENANCE</t>
  </si>
  <si>
    <t>VEHICLE</t>
  </si>
  <si>
    <t>165-01</t>
  </si>
  <si>
    <t>158-01</t>
  </si>
  <si>
    <t>160-01</t>
  </si>
  <si>
    <t>167-01</t>
  </si>
  <si>
    <t>819-01</t>
  </si>
  <si>
    <t>56-01</t>
  </si>
  <si>
    <t>KILLION</t>
  </si>
  <si>
    <t>DAVID</t>
  </si>
  <si>
    <t>162-01</t>
  </si>
  <si>
    <t>169-01</t>
  </si>
  <si>
    <t>BERLING</t>
  </si>
  <si>
    <t>GARY</t>
  </si>
  <si>
    <t>164-01</t>
  </si>
  <si>
    <t>166-01</t>
  </si>
  <si>
    <t>820-01</t>
  </si>
  <si>
    <t>173-01</t>
  </si>
  <si>
    <t>HOLCOMB</t>
  </si>
  <si>
    <t>KAMDEN</t>
  </si>
  <si>
    <t>57-01</t>
  </si>
  <si>
    <t>175-01</t>
  </si>
  <si>
    <t>168-01</t>
  </si>
  <si>
    <t>821-01</t>
  </si>
  <si>
    <t>170-01</t>
  </si>
  <si>
    <t>172-01</t>
  </si>
  <si>
    <t>179-01</t>
  </si>
  <si>
    <t>174-01</t>
  </si>
  <si>
    <t>181-01</t>
  </si>
  <si>
    <t>176-01</t>
  </si>
  <si>
    <t>183-01</t>
  </si>
  <si>
    <t>823-01</t>
  </si>
  <si>
    <t>185-01</t>
  </si>
  <si>
    <t>180-01</t>
  </si>
  <si>
    <t>824-01</t>
  </si>
  <si>
    <t>189-01</t>
  </si>
  <si>
    <t>184-01</t>
  </si>
  <si>
    <t>825-01</t>
  </si>
  <si>
    <t>193-01</t>
  </si>
  <si>
    <t>186-01</t>
  </si>
  <si>
    <t>904-01</t>
  </si>
  <si>
    <t>188-01</t>
  </si>
  <si>
    <t>826-01</t>
  </si>
  <si>
    <t>827-01</t>
  </si>
  <si>
    <t>190-01</t>
  </si>
  <si>
    <t>197-01</t>
  </si>
  <si>
    <t>194-01</t>
  </si>
  <si>
    <t>199-01</t>
  </si>
  <si>
    <t>828-01</t>
  </si>
  <si>
    <t>829-01</t>
  </si>
  <si>
    <t>201-01</t>
  </si>
  <si>
    <t>75-01</t>
  </si>
  <si>
    <t>196-01</t>
  </si>
  <si>
    <t>830-01</t>
  </si>
  <si>
    <t>831-01</t>
  </si>
  <si>
    <t>ZEWDU</t>
  </si>
  <si>
    <t>DEREJE</t>
  </si>
  <si>
    <t>rtdc.l.rtdc.4054:itc</t>
  </si>
  <si>
    <t>205-01</t>
  </si>
  <si>
    <t>198-01</t>
  </si>
  <si>
    <t>77-01</t>
  </si>
  <si>
    <t>200-01</t>
  </si>
  <si>
    <t>207-01</t>
  </si>
  <si>
    <t>832-01</t>
  </si>
  <si>
    <t>833-01</t>
  </si>
  <si>
    <t>LOPES</t>
  </si>
  <si>
    <t>KIMBERLY</t>
  </si>
  <si>
    <t>209-01</t>
  </si>
  <si>
    <t>204-01</t>
  </si>
  <si>
    <t>834-01</t>
  </si>
  <si>
    <t>211-01</t>
  </si>
  <si>
    <t>206-01</t>
  </si>
  <si>
    <t>835-01</t>
  </si>
  <si>
    <t>208-01</t>
  </si>
  <si>
    <t>213-01</t>
  </si>
  <si>
    <t>836-01</t>
  </si>
  <si>
    <t>215-01</t>
  </si>
  <si>
    <t>210-01</t>
  </si>
  <si>
    <t>837-01</t>
  </si>
  <si>
    <t>217-01</t>
  </si>
  <si>
    <t>212-01</t>
  </si>
  <si>
    <t>219-01</t>
  </si>
  <si>
    <t>MCREYNOLDS</t>
  </si>
  <si>
    <t>KYLE</t>
  </si>
  <si>
    <t>839-01</t>
  </si>
  <si>
    <t>301-01</t>
  </si>
  <si>
    <t>214-01</t>
  </si>
  <si>
    <t>216-01</t>
  </si>
  <si>
    <t>221-01</t>
  </si>
  <si>
    <t>906-01</t>
  </si>
  <si>
    <t>841-01</t>
  </si>
  <si>
    <t>218-01</t>
  </si>
  <si>
    <t>303-01</t>
  </si>
  <si>
    <t>220-01</t>
  </si>
  <si>
    <t>840-01</t>
  </si>
  <si>
    <t>223-01</t>
  </si>
  <si>
    <t>305-01</t>
  </si>
  <si>
    <t>222-01</t>
  </si>
  <si>
    <t>225-01</t>
  </si>
  <si>
    <t>843-01</t>
  </si>
  <si>
    <t>227-01</t>
  </si>
  <si>
    <t>224-01</t>
  </si>
  <si>
    <t>229-01</t>
  </si>
  <si>
    <t>226-01</t>
  </si>
  <si>
    <t>231-01</t>
  </si>
  <si>
    <t>845-01</t>
  </si>
  <si>
    <t>228-01</t>
  </si>
  <si>
    <t>230-01</t>
  </si>
  <si>
    <t>233-01</t>
  </si>
  <si>
    <t>847-01</t>
  </si>
  <si>
    <t>235-01</t>
  </si>
  <si>
    <t>846-01</t>
  </si>
  <si>
    <t>232-01</t>
  </si>
  <si>
    <t>234-01</t>
  </si>
  <si>
    <t>237-01</t>
  </si>
  <si>
    <t>849-01</t>
  </si>
  <si>
    <t>236-01</t>
  </si>
  <si>
    <t>908-01</t>
  </si>
  <si>
    <t>238-01</t>
  </si>
  <si>
    <t>241-01</t>
  </si>
  <si>
    <t>313-01</t>
  </si>
  <si>
    <t>242-01</t>
  </si>
  <si>
    <t>244-01</t>
  </si>
  <si>
    <t>307-01</t>
  </si>
  <si>
    <t>309-01</t>
  </si>
  <si>
    <t>311-01</t>
  </si>
  <si>
    <t>300-02</t>
  </si>
  <si>
    <t>204:790</t>
  </si>
  <si>
    <t>204:233255</t>
  </si>
  <si>
    <t>204:232940</t>
  </si>
  <si>
    <t>204:486</t>
  </si>
  <si>
    <t>204:233281</t>
  </si>
  <si>
    <t>204:232961</t>
  </si>
  <si>
    <t>204:138</t>
  </si>
  <si>
    <t>204:429</t>
  </si>
  <si>
    <t>204:232987</t>
  </si>
  <si>
    <t>204:233289</t>
  </si>
  <si>
    <t>204:232967</t>
  </si>
  <si>
    <t>204:233276</t>
  </si>
  <si>
    <t>204:232960</t>
  </si>
  <si>
    <t>204:147</t>
  </si>
  <si>
    <t>204:232953</t>
  </si>
  <si>
    <t>204:149</t>
  </si>
  <si>
    <t>204:449</t>
  </si>
  <si>
    <t>204:233322</t>
  </si>
  <si>
    <t>204:233023</t>
  </si>
  <si>
    <t>204:232983</t>
  </si>
  <si>
    <t>204:473</t>
  </si>
  <si>
    <t>204:183</t>
  </si>
  <si>
    <t>204:232973</t>
  </si>
  <si>
    <t>204:424</t>
  </si>
  <si>
    <t>204:233327</t>
  </si>
  <si>
    <t>204:181</t>
  </si>
  <si>
    <t>204:233310</t>
  </si>
  <si>
    <t>204:500</t>
  </si>
  <si>
    <t>204:233291</t>
  </si>
  <si>
    <t>204:460</t>
  </si>
  <si>
    <t>204:233245</t>
  </si>
  <si>
    <t>204:232950</t>
  </si>
  <si>
    <t>204:174</t>
  </si>
  <si>
    <t>204:469</t>
  </si>
  <si>
    <t>204:232994</t>
  </si>
  <si>
    <t>204:232993</t>
  </si>
  <si>
    <t>204:233243</t>
  </si>
  <si>
    <t>204:231756</t>
  </si>
  <si>
    <t>204:233325</t>
  </si>
  <si>
    <t>204:233205</t>
  </si>
  <si>
    <t>204:232877</t>
  </si>
  <si>
    <t>204:232883</t>
  </si>
  <si>
    <t>204:274</t>
  </si>
  <si>
    <t>204:232942</t>
  </si>
  <si>
    <t>204:320</t>
  </si>
  <si>
    <t>204:233092</t>
  </si>
  <si>
    <t>204:232785</t>
  </si>
  <si>
    <t>204:233212</t>
  </si>
  <si>
    <t>204:232898</t>
  </si>
  <si>
    <t>204:233216</t>
  </si>
  <si>
    <t>204:232886</t>
  </si>
  <si>
    <t>204:232891</t>
  </si>
  <si>
    <t>204:493</t>
  </si>
  <si>
    <t>204:648</t>
  </si>
  <si>
    <t>204:232947</t>
  </si>
  <si>
    <t>204:314</t>
  </si>
  <si>
    <t>204:233215</t>
  </si>
  <si>
    <t>204:522</t>
  </si>
  <si>
    <t>204:233145</t>
  </si>
  <si>
    <t>204:232824</t>
  </si>
  <si>
    <t>204:265</t>
  </si>
  <si>
    <t>204:221</t>
  </si>
  <si>
    <t>204:595</t>
  </si>
  <si>
    <t>204:1287</t>
  </si>
  <si>
    <t>204:588</t>
  </si>
  <si>
    <t>204:232869</t>
  </si>
  <si>
    <t>204:471</t>
  </si>
  <si>
    <t>204:233253</t>
  </si>
  <si>
    <t>204:329</t>
  </si>
  <si>
    <t>204:551</t>
  </si>
  <si>
    <t>204:233168</t>
  </si>
  <si>
    <t>204:232848</t>
  </si>
  <si>
    <t>204:214</t>
  </si>
  <si>
    <t>204:19133</t>
  </si>
  <si>
    <t>204:540</t>
  </si>
  <si>
    <t>204:2673</t>
  </si>
  <si>
    <t>204:1152</t>
  </si>
  <si>
    <t>204:232890</t>
  </si>
  <si>
    <t>204:291</t>
  </si>
  <si>
    <t>204:693</t>
  </si>
  <si>
    <t>204:544</t>
  </si>
  <si>
    <t>204:233284</t>
  </si>
  <si>
    <t>204:232978</t>
  </si>
  <si>
    <t>204:624</t>
  </si>
  <si>
    <t>204:342</t>
  </si>
  <si>
    <t>204:535</t>
  </si>
  <si>
    <t>204:526</t>
  </si>
  <si>
    <t>204:1693</t>
  </si>
  <si>
    <t>204:232946</t>
  </si>
  <si>
    <t>204:233188</t>
  </si>
  <si>
    <t>204:232856</t>
  </si>
  <si>
    <t>204:327</t>
  </si>
  <si>
    <t>204:232927</t>
  </si>
  <si>
    <t>204:198</t>
  </si>
  <si>
    <t>204:655</t>
  </si>
  <si>
    <t>204:626</t>
  </si>
  <si>
    <t>204:233182</t>
  </si>
  <si>
    <t>204:232949</t>
  </si>
  <si>
    <t>204:233183</t>
  </si>
  <si>
    <t>204:232919</t>
  </si>
  <si>
    <t>204:191</t>
  </si>
  <si>
    <t>204:604</t>
  </si>
  <si>
    <t>204:233179</t>
  </si>
  <si>
    <t>204:232866</t>
  </si>
  <si>
    <t>204:233308</t>
  </si>
  <si>
    <t>204:498</t>
  </si>
  <si>
    <t>204:189</t>
  </si>
  <si>
    <t>204:232870</t>
  </si>
  <si>
    <t>204:142</t>
  </si>
  <si>
    <t>300:23497</t>
  </si>
  <si>
    <t>300:23586</t>
  </si>
  <si>
    <t>204:637</t>
  </si>
  <si>
    <t>300:23167</t>
  </si>
  <si>
    <t>204:1220</t>
  </si>
  <si>
    <t>300:23308</t>
  </si>
  <si>
    <t>300:20318</t>
  </si>
  <si>
    <t>300:21983</t>
  </si>
  <si>
    <t>204:517</t>
  </si>
  <si>
    <t>300:23718</t>
  </si>
  <si>
    <t>204:450</t>
  </si>
  <si>
    <t>300:23654</t>
  </si>
  <si>
    <t>300:23297</t>
  </si>
  <si>
    <t>204:426</t>
  </si>
  <si>
    <t>204:3580</t>
  </si>
  <si>
    <t>204:1503</t>
  </si>
  <si>
    <t>204:3454</t>
  </si>
  <si>
    <t>204:3145</t>
  </si>
  <si>
    <t>204:3251</t>
  </si>
  <si>
    <t>300:22005</t>
  </si>
  <si>
    <t>204:924</t>
  </si>
  <si>
    <t>204:1248</t>
  </si>
  <si>
    <t>300:24191</t>
  </si>
  <si>
    <t>300:23633</t>
  </si>
  <si>
    <t>204:893</t>
  </si>
  <si>
    <t>204:1201</t>
  </si>
  <si>
    <t>300:24290</t>
  </si>
  <si>
    <t>204:395</t>
  </si>
  <si>
    <t>204:1488</t>
  </si>
  <si>
    <t>204:3509</t>
  </si>
  <si>
    <t>204:1222</t>
  </si>
  <si>
    <t>300:23312</t>
  </si>
  <si>
    <t>300:58685</t>
  </si>
  <si>
    <t>204:717</t>
  </si>
  <si>
    <t>204:990</t>
  </si>
  <si>
    <t>300:58688</t>
  </si>
  <si>
    <t>204:684</t>
  </si>
  <si>
    <t>204:1032</t>
  </si>
  <si>
    <t>300:58967</t>
  </si>
  <si>
    <t>300:58656</t>
  </si>
  <si>
    <t>204:731</t>
  </si>
  <si>
    <t>204:978</t>
  </si>
  <si>
    <t>300:59010</t>
  </si>
  <si>
    <t>300:58683</t>
  </si>
  <si>
    <t>204:713</t>
  </si>
  <si>
    <t>204:1025</t>
  </si>
  <si>
    <t>204:705</t>
  </si>
  <si>
    <t>300:59005</t>
  </si>
  <si>
    <t>204:680</t>
  </si>
  <si>
    <t>204:1034</t>
  </si>
  <si>
    <t>204:706</t>
  </si>
  <si>
    <t>204:1000</t>
  </si>
  <si>
    <t>300:58976</t>
  </si>
  <si>
    <t>300:58662</t>
  </si>
  <si>
    <t>204:722</t>
  </si>
  <si>
    <t>204:1002</t>
  </si>
  <si>
    <t>300:58645</t>
  </si>
  <si>
    <t>204:4537</t>
  </si>
  <si>
    <t>204:962</t>
  </si>
  <si>
    <t>204:712</t>
  </si>
  <si>
    <t>204:995</t>
  </si>
  <si>
    <t>300:58636</t>
  </si>
  <si>
    <t>204:699</t>
  </si>
  <si>
    <t>300:58960</t>
  </si>
  <si>
    <t>300:58640</t>
  </si>
  <si>
    <t>204:4578</t>
  </si>
  <si>
    <t>204:148</t>
  </si>
  <si>
    <t>204:155</t>
  </si>
  <si>
    <t>204:430</t>
  </si>
  <si>
    <t>300:58961</t>
  </si>
  <si>
    <t>300:58643</t>
  </si>
  <si>
    <t>204:421</t>
  </si>
  <si>
    <t>300:58914</t>
  </si>
  <si>
    <t>300:58594</t>
  </si>
  <si>
    <t>204:115</t>
  </si>
  <si>
    <t>204:182</t>
  </si>
  <si>
    <t>204:419</t>
  </si>
  <si>
    <t>204:117</t>
  </si>
  <si>
    <t>204:470</t>
  </si>
  <si>
    <t>300:57253</t>
  </si>
  <si>
    <t>204:4627</t>
  </si>
  <si>
    <t>204:164</t>
  </si>
  <si>
    <t>300:58583</t>
  </si>
  <si>
    <t>300:58349</t>
  </si>
  <si>
    <t>300:57248</t>
  </si>
  <si>
    <t>204:63</t>
  </si>
  <si>
    <t>300:58651</t>
  </si>
  <si>
    <t>204:668</t>
  </si>
  <si>
    <t>204:356</t>
  </si>
  <si>
    <t>204:981</t>
  </si>
  <si>
    <t>300:29771</t>
  </si>
  <si>
    <t>300:59003</t>
  </si>
  <si>
    <t>300:23703</t>
  </si>
  <si>
    <t>204:1847</t>
  </si>
  <si>
    <t>204:1844</t>
  </si>
  <si>
    <t>300:24237</t>
  </si>
  <si>
    <t>300:23667</t>
  </si>
  <si>
    <t>204:113</t>
  </si>
  <si>
    <t>300:58626</t>
  </si>
  <si>
    <t>300:28727</t>
  </si>
  <si>
    <t>300:28789</t>
  </si>
  <si>
    <t>start /low /b %USERPROFILE%\Documents\GitHub\eaglep3\Utilities\DownloadLogsFromS3.py --loco 4013 --day 2017-11-01</t>
  </si>
  <si>
    <t>start /low /b %USERPROFILE%\Documents\GitHub\eaglep3\Utilities\DownloadLogsFromS3.py --loco 4050 --day 2017-11-01</t>
  </si>
  <si>
    <t>start /low /b %USERPROFILE%\Documents\GitHub\eaglep3\Utilities\DownloadLogsFromS3.py --loco 4031 --day 2017-11-01</t>
  </si>
  <si>
    <t>start /low /b %USERPROFILE%\Documents\GitHub\eaglep3\Utilities\DownloadLogsFromS3.py --loco 4043 --day 2017-11-01</t>
  </si>
  <si>
    <t>start /low /b %USERPROFILE%\Documents\GitHub\eaglep3\Utilities\DownloadLogsFromS3.py --loco 4049 --day 2017-11-01</t>
  </si>
  <si>
    <t>start /low /b %USERPROFILE%\Documents\GitHub\eaglep3\Utilities\DownloadLogsFromS3.py --loco 4001 --day 2017-11-01</t>
  </si>
  <si>
    <t>start /low /b %USERPROFILE%\Documents\GitHub\eaglep3\Utilities\DownloadLogsFromS3.py --loco 4004 --day 2017-11-02</t>
  </si>
  <si>
    <t>start /low /b %USERPROFILE%\Documents\GitHub\eaglep3\Utilities\DownloadLogsFromS3.py --loco 4026 --day 2017-11-01</t>
  </si>
  <si>
    <t>start /low /b %USERPROFILE%\Documents\GitHub\eaglep3\Utilities\DownloadLogsFromS3.py --loco 4041 --day 2017-11-01</t>
  </si>
  <si>
    <t>start /low /b %USERPROFILE%\Documents\GitHub\eaglep3\Utilities\DownloadLogsFromS3.py --loco 4063 --day 2017-11-01</t>
  </si>
  <si>
    <t>start /low /b %USERPROFILE%\Documents\GitHub\eaglep3\Utilities\DownloadLogsFromS3.py --loco 4025 --day 2017-11-01</t>
  </si>
  <si>
    <t>start /low /b %USERPROFILE%\Documents\GitHub\eaglep3\Utilities\DownloadLogsFromS3.py --loco 4003 --day 2017-11-02</t>
  </si>
  <si>
    <t>start /low /b %USERPROFILE%\Documents\GitHub\eaglep3\Utilities\DownloadLogsFromS3.py --loco 4042 --day 2017-11-01</t>
  </si>
  <si>
    <t>start /low /b %USERPROFILE%\Documents\GitHub\eaglep3\Utilities\DownloadLogsFromS3.py --loco 4064 --day 2017-11-01</t>
  </si>
  <si>
    <t>start /low /b %USERPROFILE%\Documents\GitHub\eaglep3\Utilities\DownloadLogsFromS3.py --loco 4014 --day 2017-11-01</t>
  </si>
  <si>
    <t>start /low /b %USERPROFILE%\Documents\GitHub\eaglep3\Utilities\DownloadLogsFromS3.py --loco 4004 --day 2017-11-01</t>
  </si>
  <si>
    <t>start /low /b %USERPROFILE%\Documents\GitHub\eaglep3\Utilities\DownloadLogsFromS3.py --loco 4031 --day 2017-11-02</t>
  </si>
  <si>
    <t>start /low /b %USERPROFILE%\Documents\GitHub\eaglep3\Utilities\DownloadLogsFromS3.py --loco 4024 --day 2017-11-01</t>
  </si>
  <si>
    <t>Wi-MAX data drop (referred to as Trip 166/4001 in Incident Report 56438)</t>
  </si>
  <si>
    <t>Onboard en route failure</t>
  </si>
  <si>
    <t>243-01</t>
  </si>
  <si>
    <t>MCREYNOLDS KYLE</t>
  </si>
  <si>
    <t>Did not init due to extended Wi-MAX data drop</t>
  </si>
  <si>
    <t>Poor GPS under Wewatta St overpass</t>
  </si>
  <si>
    <t>Observed onboard en route failure during init</t>
  </si>
  <si>
    <t>Observed onboard en route failure</t>
  </si>
  <si>
    <t>Observed unhealthy xing at Chambers due to 40th station stop</t>
  </si>
  <si>
    <t>Observed poor GPS at DUS</t>
  </si>
  <si>
    <t>Observed extended Wi-MAX data drop</t>
  </si>
  <si>
    <t>Operator canceled first init attempt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</si>
</sst>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444"/>
  <sheetViews>
    <sheetView tabSelected="1" topLeftCell="A53" zoomScaleNormal="100" workbookViewId="0">
      <selection activeCell="S70" sqref="S70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9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19" customWidth="1"/>
    <col min="20" max="20" width="3.85546875" style="168" customWidth="1"/>
    <col min="21" max="21" width="5" style="196" customWidth="1"/>
    <col min="22" max="22" width="5.7109375" style="217" customWidth="1"/>
    <col min="23" max="23" width="3.85546875" style="202" customWidth="1"/>
    <col min="24" max="24" width="6.5703125" style="202" customWidth="1"/>
    <col min="25" max="25" width="8.85546875" style="202" customWidth="1"/>
    <col min="26" max="26" width="7.28515625" style="202" customWidth="1"/>
    <col min="27" max="27" width="9.140625" style="202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8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3.7109375" style="168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43040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43040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144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49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COUNTIFS($N$13:$N$9487,"&gt;0",$AG$13:$AG$9487,I1)</f>
        <v>139</v>
      </c>
      <c r="K5" s="39"/>
      <c r="L5" s="172"/>
      <c r="M5" s="40">
        <f>AVERAGEIFS($N$13:$N$9487,$AG$13:$AG$9487,I1)</f>
        <v>37.679016786860302</v>
      </c>
      <c r="N5" s="38">
        <f t="array" ref="N5">MIN(IF($AG$13:$AG$9487=I1,IF(ISNUMBER($N$13:$N$9487),IF($N$13:$N$9487&gt;0,$N$13:$N$9487))))</f>
        <v>33.75</v>
      </c>
      <c r="O5" s="3">
        <f t="array" ref="O5">MAX(IF($AG$13:$AG$9487=I1,IF(ISNUMBER($N$13:$N$9487),IF($N$13:$N$9487&gt;0,$N$13:$N$9487))))</f>
        <v>47.049999997252598</v>
      </c>
      <c r="P5" s="2"/>
      <c r="R5" s="163" t="s">
        <v>17</v>
      </c>
      <c r="S5" s="207">
        <f>COUNTIFS($N$13:$N$9487,"&gt;0",$AG$13:$AG$9487,R1)</f>
        <v>49</v>
      </c>
      <c r="T5" s="172"/>
      <c r="U5" s="195"/>
      <c r="V5" s="211">
        <f>AVERAGEIFS($N$13:$N$9487,$AG$13:$AG$9487,R1)</f>
        <v>13.801700679765901</v>
      </c>
      <c r="W5" s="212">
        <f t="array" ref="W5">MIN(IF($AG$13:$AG$9487=R1,IF(ISNUMBER($N$13:$N$9487),IF($N$13:$N$9487&gt;0,$N$13:$N$9487))))</f>
        <v>9.916666669305414</v>
      </c>
      <c r="X5" s="200">
        <f t="array" ref="X5">MAX(IF($AG$13:$AG$9487=R1,IF(ISNUMBER($N$13:$N$9487),IF($N$13:$N$9487&gt;0,$N$13:$N$9487))))</f>
        <v>24.049999995622784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COUNT($O$13:$O$245)</f>
        <v>0</v>
      </c>
      <c r="K6" s="39"/>
      <c r="L6" s="172"/>
      <c r="M6" s="40">
        <f>IFERROR(AVERAGE($O$13:$O$245),0)</f>
        <v>0</v>
      </c>
      <c r="N6" s="38">
        <f>MIN($O$13:$O$245)</f>
        <v>0</v>
      </c>
      <c r="O6" s="3">
        <f>MAX($O$13:$O$245)</f>
        <v>0</v>
      </c>
      <c r="P6" s="2"/>
      <c r="R6" s="164" t="s">
        <v>43</v>
      </c>
      <c r="S6" s="207">
        <f>COUNT($O$13:$O$245)</f>
        <v>0</v>
      </c>
      <c r="T6" s="172"/>
      <c r="U6" s="195"/>
      <c r="V6" s="211">
        <f>IFERROR(AVERAGE($O$13:$O$245),0)</f>
        <v>0</v>
      </c>
      <c r="W6" s="212">
        <f>MIN($O$13:$O$245)</f>
        <v>0</v>
      </c>
      <c r="X6" s="200">
        <f>MAX($O$13:$O$245)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COUNTIFS($P$13:$P$9487,"&gt;0",$AG$13:$AG$9487,I1)</f>
        <v>5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COUNTIFS($P$13:$P$9487,"&gt;0",$AG$13:$AG$9487,R1)</f>
        <v>0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139</v>
      </c>
      <c r="K8" s="39"/>
      <c r="L8" s="172"/>
      <c r="M8" s="40">
        <f>M5</f>
        <v>37.679016786860302</v>
      </c>
      <c r="N8" s="38">
        <f>N5</f>
        <v>33.75</v>
      </c>
      <c r="O8" s="3">
        <f>O5</f>
        <v>47.049999997252598</v>
      </c>
      <c r="P8" s="2"/>
      <c r="R8" s="163" t="s">
        <v>16</v>
      </c>
      <c r="S8" s="207">
        <f>S5</f>
        <v>49</v>
      </c>
      <c r="T8" s="172"/>
      <c r="U8" s="195"/>
      <c r="V8" s="211">
        <f>V5</f>
        <v>13.801700679765901</v>
      </c>
      <c r="W8" s="212">
        <f>W5</f>
        <v>9.916666669305414</v>
      </c>
      <c r="X8" s="200">
        <f>X5</f>
        <v>24.049999995622784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0.96527777777777779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1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5" thickBot="1" x14ac:dyDescent="0.3">
      <c r="A11" s="226" t="str">
        <f>"Eagle P3 System Performance - "&amp;TEXT(Variables!A2,"yyyy-mm-dd")</f>
        <v>Eagle P3 System Performance - 2017-11-01</v>
      </c>
      <c r="B11" s="226"/>
      <c r="C11" s="226"/>
      <c r="D11" s="226"/>
      <c r="E11" s="226"/>
      <c r="F11" s="226"/>
      <c r="G11" s="226"/>
      <c r="H11" s="226"/>
      <c r="I11" s="226"/>
      <c r="J11" s="226"/>
      <c r="K11" s="226"/>
      <c r="L11" s="226"/>
      <c r="M11" s="226"/>
      <c r="N11" s="226"/>
      <c r="O11" s="226"/>
      <c r="P11" s="226"/>
      <c r="S11" s="219">
        <f>AVERAGE(S13:S120)</f>
        <v>0.99065420560747663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3" t="s">
        <v>189</v>
      </c>
      <c r="AN12" s="46" t="s">
        <v>331</v>
      </c>
      <c r="AO12" s="177" t="s">
        <v>358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655</v>
      </c>
      <c r="B13" s="7">
        <v>4064</v>
      </c>
      <c r="C13" s="21" t="s">
        <v>194</v>
      </c>
      <c r="D13" s="21" t="s">
        <v>871</v>
      </c>
      <c r="E13" s="13">
        <v>43040.131412037037</v>
      </c>
      <c r="F13" s="13">
        <v>43040.13559027778</v>
      </c>
      <c r="G13" s="7">
        <v>61</v>
      </c>
      <c r="H13" s="21" t="s">
        <v>872</v>
      </c>
      <c r="I13" s="13">
        <v>43040.160370370373</v>
      </c>
      <c r="J13" s="7">
        <v>0</v>
      </c>
      <c r="K13" s="89" t="str">
        <f t="shared" ref="K13:K76" si="0">IF(ISEVEN(B13),(B13-1)&amp;"/"&amp;B13,B13&amp;"/"&amp;(B13+1))</f>
        <v>4063/4064</v>
      </c>
      <c r="L13" s="185" t="str">
        <f>VLOOKUP(A13,'Trips&amp;Operators'!$C$1:$G$99911,5,FALSE)</f>
        <v>BONDS REYNALDO</v>
      </c>
      <c r="M13" s="6">
        <f t="shared" ref="M13:M76" si="1">I13-F13</f>
        <v>2.4780092593573499E-2</v>
      </c>
      <c r="N13" s="7">
        <f t="shared" ref="N13:N44" si="2">24*60*SUM($M13:$M13)</f>
        <v>35.683333334745839</v>
      </c>
      <c r="O13" s="7"/>
      <c r="P13" s="7"/>
      <c r="Q13" s="22"/>
      <c r="R13" s="167"/>
      <c r="S13" s="221">
        <f t="shared" ref="S13:S76" si="3">1/IF(AG13="EC",12,1)*SUM(U13:U13)</f>
        <v>1</v>
      </c>
      <c r="T13" s="174" t="str">
        <f t="shared" ref="T13:T76" si="4"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-01T02:09:14-0600',mode:absolute,to:'2017-11-01T04:50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" s="204" t="str">
        <f>IF(AA13&lt;VLOOKUP(AG13,Variables!$AC$3:$AD$8,2,FALSE),"Y","N")</f>
        <v>N</v>
      </c>
      <c r="X13" s="204" t="e">
        <f t="shared" ref="X13:X44" si="6">VALUE(LEFT(AD13,4))-VALUE(LEFT(AD12,4))</f>
        <v>#VALUE!</v>
      </c>
      <c r="Y13" s="204">
        <f t="shared" ref="Y13:Y44" si="7">RIGHT(D13,LEN(D13)-4)/10000</f>
        <v>7.9000000000000001E-2</v>
      </c>
      <c r="Z13" s="204">
        <f t="shared" ref="Z13:Z44" si="8">RIGHT(H13,LEN(H13)-4)/10000</f>
        <v>23.325500000000002</v>
      </c>
      <c r="AA13" s="204">
        <f t="shared" ref="AA13:AA76" si="9">ABS(Z13-Y13)</f>
        <v>23.246500000000001</v>
      </c>
      <c r="AB13" s="54" t="e">
        <f>VLOOKUP(A13,Enforcements!$C$7:$K$10,8,0)</f>
        <v>#N/A</v>
      </c>
      <c r="AC13" s="51" t="e">
        <f>VLOOKUP(A13,Enforcements!$C$7:$E$10,3,0)</f>
        <v>#N/A</v>
      </c>
      <c r="AD13" s="179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s3://rtdc.mdm.uploadarchive.raw/RTDC4064/ "%USERPROFILE%\AppData\Local\Temp\OnboardLogs"\RTDC4064\2017-11-01 --exclude "*" --recursive --include "*20171101*" &amp; "%USERPROFILE%\Documents\GitHub\mrs-test-scripts\Headless Mode &amp; Sideloading\WalkAndUnGZ.bat" "%USERPROFILE%\AppData\Local\Temp\OnboardLogs"\RTDC4064\2017-11-01 &amp; aws s3 cp s3://rtdc.mdm.uploadarchive.raw/RTDC4064/ "%USERPROFILE%\AppData\Local\Temp\OnboardLogs"\RTDC4064\2017-11-02 --exclude "*" --recursive --include "*20171102*" &amp; "%USERPROFILE%\Documents\GitHub\mrs-test-scripts\Headless Mode &amp; Sideloading\WalkAndUnGZ.bat" "%USERPROFILE%\AppData\Local\Temp\OnboardLogs"\RTDC4064\2017-11-02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/stypes="app*4064*20171101*" /stext=" 09:.+((SYSTEM_STATE.+slice.+state.+changed )|(ment ac)|(multiple cpu faults)|(system.+state.+changed )|(\[timeout)|(PRM\|1\|D)|(kpr)|(kdp)|(train st.+moving)|(\|lc)|(penalty))"</v>
      </c>
      <c r="AG13" s="182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101-01 --locoid 4064 --swversion DE.1.0.9.0 --startMP 204:790 --initTime 2017-11-01T03:09:14 --startdatetime 2017-11-01T03:15:15 --delay 61 --endMP 204:233255 --enddatetime 2017-11-01T03:50:56 --enforcementcount 0 &gt;&gt;%USERPROFILE%\Documents\GitHub\eaglep3-reporting\EC\2017-11-01-refined-times.txt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{"issue":{"subject":"","project_id":79,"tracker_id":40,"status_id":1,"priority_id":2,"assigned_to_id":338,"start_date":"2017-11-01","description":"","custom_fields":[{"id":1,"name":"Subdivision","value":"EC"},{"id":4,"name":"Milepost","value":"23.3255"},{"id":17,"name":"Train ID","value":"101-01"},{"id":16,"name":"Locomotive ID","value":"4064"},{"id":130,"name":"Impact","value":""},{"id":150,"name":"Time of Event (Mountain Time)","value":"03:50:56"},{"id":151,"name":"Denver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4064 --day 2017-11-01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09:50:56"},{"id":29,"name":"Sharepoint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-01T02:09:14-0600',mode:absolute,to:'2017-11-01T04:50:56-0600'))&amp;_a=(columns:!('Message%20ID',Summary),filters:!(),index:'emp_*',interval:auto,query:(query_string:(analyze_wildcard:!t,query:'%22rtdc.l.rtdc.4064%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660</v>
      </c>
      <c r="B14" s="7">
        <v>4063</v>
      </c>
      <c r="C14" s="21" t="s">
        <v>194</v>
      </c>
      <c r="D14" s="21" t="s">
        <v>873</v>
      </c>
      <c r="E14" s="13">
        <v>43040.168726851851</v>
      </c>
      <c r="F14" s="13">
        <v>43040.175196759257</v>
      </c>
      <c r="G14" s="7">
        <v>81</v>
      </c>
      <c r="H14" s="21" t="s">
        <v>451</v>
      </c>
      <c r="I14" s="13">
        <v>43040.201874999999</v>
      </c>
      <c r="J14" s="7">
        <v>0</v>
      </c>
      <c r="K14" s="89" t="str">
        <f t="shared" si="0"/>
        <v>4063/4064</v>
      </c>
      <c r="L14" s="185" t="str">
        <f>VLOOKUP(A14,'Trips&amp;Operators'!$C$1:$G$99911,5,FALSE)</f>
        <v>BONDS REYNALDO</v>
      </c>
      <c r="M14" s="6">
        <f t="shared" si="1"/>
        <v>2.6678240741603076E-2</v>
      </c>
      <c r="N14" s="7">
        <f t="shared" si="2"/>
        <v>38.41666666790843</v>
      </c>
      <c r="O14" s="7"/>
      <c r="P14" s="7"/>
      <c r="Q14" s="22"/>
      <c r="R14" s="174"/>
      <c r="S14" s="221">
        <f t="shared" si="3"/>
        <v>1</v>
      </c>
      <c r="T14" s="174" t="str">
        <f t="shared" si="4"/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 t="shared" si="5"/>
        <v>https://d0f6bd738d7f1b3e5a7ca70fe4ff75f0.us-east-1.aws.found.io/app/kibana#/discover/Steve-Slow-Train-Analysis-(2080s-and-2083s)?_g=(refreshInterval:(display:Off,pause:!f,section:0,value:0),time:(from:'2017-11-01T03:02:58-0600',mode:absolute,to:'2017-11-01T05:50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" s="204" t="str">
        <f>IF(AA14&lt;VLOOKUP(AG14,Variables!$AC$3:$AD$8,2,FALSE),"Y","N")</f>
        <v>N</v>
      </c>
      <c r="X14" s="204">
        <f t="shared" si="6"/>
        <v>1</v>
      </c>
      <c r="Y14" s="204">
        <f t="shared" si="7"/>
        <v>23.294</v>
      </c>
      <c r="Z14" s="204">
        <f t="shared" si="8"/>
        <v>1.52E-2</v>
      </c>
      <c r="AA14" s="204">
        <f t="shared" si="9"/>
        <v>23.2788</v>
      </c>
      <c r="AB14" s="54" t="e">
        <f>VLOOKUP(A14,Enforcements!$C$7:$K$10,8,0)</f>
        <v>#N/A</v>
      </c>
      <c r="AC14" s="51" t="e">
        <f>VLOOKUP(A14,Enforcements!$C$7:$E$10,3,0)</f>
        <v>#N/A</v>
      </c>
      <c r="AD14" s="179">
        <f t="shared" si="10"/>
        <v>102</v>
      </c>
      <c r="AE14" s="77" t="str">
        <f t="shared" si="11"/>
        <v>aws s3 cp s3://rtdc.mdm.uploadarchive.raw/RTDC4063/ "%USERPROFILE%\AppData\Local\Temp\OnboardLogs"\RTDC4063\2017-11-01 --exclude "*" --recursive --include "*20171101*" &amp; "%USERPROFILE%\Documents\GitHub\mrs-test-scripts\Headless Mode &amp; Sideloading\WalkAndUnGZ.bat" "%USERPROFILE%\AppData\Local\Temp\OnboardLogs"\RTDC4063\2017-11-01 &amp; aws s3 cp s3://rtdc.mdm.uploadarchive.raw/RTDC4063/ "%USERPROFILE%\AppData\Local\Temp\OnboardLogs"\RTDC4063\2017-11-02 --exclude "*" --recursive --include "*20171102*" &amp; "%USERPROFILE%\Documents\GitHub\mrs-test-scripts\Headless Mode &amp; Sideloading\WalkAndUnGZ.bat" "%USERPROFILE%\AppData\Local\Temp\OnboardLogs"\RTDC4063\2017-11-02</v>
      </c>
      <c r="AF14" s="74" t="str">
        <f t="shared" si="12"/>
        <v>"C:\Program Files (x86)\AstroGrep\AstroGrep.exe" /e /r /s /spath="%USERPROFILE%\AppData\Local\Temp\OnboardLogs" /stypes="app*4063*20171101*" /stext=" 10:.+((SYSTEM_STATE.+slice.+state.+changed )|(ment ac)|(multiple cpu faults)|(system.+state.+changed )|(\[timeout)|(PRM\|1\|D)|(kpr)|(kdp)|(train st.+moving)|(\|lc)|(penalty))"</v>
      </c>
      <c r="AG14" s="182" t="str">
        <f t="shared" si="13"/>
        <v>EC</v>
      </c>
      <c r="AH14" s="78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102-01 --locoid 4063 --swversion DE.1.0.9.0 --startMP 204:232940 --initTime 2017-11-01T04:02:58 --startdatetime 2017-11-01T04:12:17 --delay 81 --endMP 204:152 --enddatetime 2017-11-01T04:50:42 --enforcementcount 0 &gt;&gt;%USERPROFILE%\Documents\GitHub\eaglep3-reporting\EC\2017-11-01-refined-times.txt</v>
      </c>
      <c r="AI14" s="96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{"issue":{"subject":"","project_id":79,"tracker_id":40,"status_id":1,"priority_id":2,"assigned_to_id":338,"start_date":"2017-11-01","description":"","custom_fields":[{"id":1,"name":"Subdivision","value":"EC"},{"id":4,"name":"Milepost","value":"0.0152"},{"id":17,"name":"Train ID","value":"102-01"},{"id":16,"name":"Locomotive ID","value":"4063"},{"id":130,"name":"Impact","value":""},{"id":150,"name":"Time of Event (Mountain Time)","value":"04:50:42"},{"id":151,"name":"Denver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0"/>
      <c r="AK14" s="47"/>
      <c r="AL14" s="47"/>
      <c r="AM14" s="142" t="str">
        <f t="shared" ref="AM14:AM77" si="21">"start /low /b "&amp;dls3logs&amp;" --loco "&amp;B14&amp;" --day "&amp;TEXT(F14,"YYYY-MM-DD")</f>
        <v>start /low /b %USERPROFILE%\Documents\GitHub\eaglep3\Utilities\DownloadLogsFromS3.py --loco 4063 --day 2017-11-01</v>
      </c>
      <c r="AN14" s="151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10:50:42"},{"id":29,"name":"Sharepoint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7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-11-01T03:02:58-0600',mode:absolute,to:'2017-11-01T05:50:42-0600'))&amp;_a=(columns:!('Message%20ID',Summary),filters:!(),index:'emp_*',interval:auto,query:(query_string:(analyze_wildcard:!t,query:'%22rtdc.l.rtdc.4063%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658</v>
      </c>
      <c r="B15" s="7">
        <v>4014</v>
      </c>
      <c r="C15" s="21" t="s">
        <v>194</v>
      </c>
      <c r="D15" s="21" t="s">
        <v>874</v>
      </c>
      <c r="E15" s="13">
        <v>43040.153738425928</v>
      </c>
      <c r="F15" s="13">
        <v>43040.156493055554</v>
      </c>
      <c r="G15" s="7">
        <v>65</v>
      </c>
      <c r="H15" s="21" t="s">
        <v>875</v>
      </c>
      <c r="I15" s="13">
        <v>43040.181921296295</v>
      </c>
      <c r="J15" s="7">
        <v>0</v>
      </c>
      <c r="K15" s="89" t="str">
        <f t="shared" si="0"/>
        <v>4013/4014</v>
      </c>
      <c r="L15" s="185" t="str">
        <f>VLOOKUP(A15,'Trips&amp;Operators'!$C$1:$G$99911,5,FALSE)</f>
        <v>THOMPSON LESTER</v>
      </c>
      <c r="M15" s="6">
        <f t="shared" si="1"/>
        <v>2.5428240740438923E-2</v>
      </c>
      <c r="N15" s="7">
        <f t="shared" si="2"/>
        <v>36.616666666232049</v>
      </c>
      <c r="O15" s="7"/>
      <c r="P15" s="7"/>
      <c r="Q15" s="22"/>
      <c r="R15" s="174"/>
      <c r="S15" s="221">
        <f t="shared" si="3"/>
        <v>1</v>
      </c>
      <c r="T15" s="174" t="str">
        <f t="shared" si="4"/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 t="shared" si="5"/>
        <v>https://d0f6bd738d7f1b3e5a7ca70fe4ff75f0.us-east-1.aws.found.io/app/kibana#/discover/Steve-Slow-Train-Analysis-(2080s-and-2083s)?_g=(refreshInterval:(display:Off,pause:!f,section:0,value:0),time:(from:'2017-11-01T02:41:23-0600',mode:absolute,to:'2017-11-01T05:21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" s="204" t="str">
        <f>IF(AA15&lt;VLOOKUP(AG15,Variables!$AC$3:$AD$8,2,FALSE),"Y","N")</f>
        <v>N</v>
      </c>
      <c r="X15" s="204">
        <f t="shared" si="6"/>
        <v>1</v>
      </c>
      <c r="Y15" s="204">
        <f t="shared" si="7"/>
        <v>4.8599999999999997E-2</v>
      </c>
      <c r="Z15" s="204">
        <f t="shared" si="8"/>
        <v>23.328099999999999</v>
      </c>
      <c r="AA15" s="204">
        <f t="shared" si="9"/>
        <v>23.279499999999999</v>
      </c>
      <c r="AB15" s="54" t="e">
        <f>VLOOKUP(A15,Enforcements!$C$7:$K$10,8,0)</f>
        <v>#N/A</v>
      </c>
      <c r="AC15" s="51" t="e">
        <f>VLOOKUP(A15,Enforcements!$C$7:$E$10,3,0)</f>
        <v>#N/A</v>
      </c>
      <c r="AD15" s="179">
        <f t="shared" si="10"/>
        <v>103</v>
      </c>
      <c r="AE15" s="77" t="str">
        <f t="shared" si="11"/>
        <v>aws s3 cp s3://rtdc.mdm.uploadarchive.raw/RTDC4014/ "%USERPROFILE%\AppData\Local\Temp\OnboardLogs"\RTDC4014\2017-11-01 --exclude "*" --recursive --include "*20171101*" &amp; "%USERPROFILE%\Documents\GitHub\mrs-test-scripts\Headless Mode &amp; Sideloading\WalkAndUnGZ.bat" "%USERPROFILE%\AppData\Local\Temp\OnboardLogs"\RTDC4014\2017-11-01 &amp; aws s3 cp s3://rtdc.mdm.uploadarchive.raw/RTDC4014/ "%USERPROFILE%\AppData\Local\Temp\OnboardLogs"\RTDC4014\2017-11-02 --exclude "*" --recursive --include "*20171102*" &amp; "%USERPROFILE%\Documents\GitHub\mrs-test-scripts\Headless Mode &amp; Sideloading\WalkAndUnGZ.bat" "%USERPROFILE%\AppData\Local\Temp\OnboardLogs"\RTDC4014\2017-11-02</v>
      </c>
      <c r="AF15" s="74" t="str">
        <f t="shared" si="12"/>
        <v>"C:\Program Files (x86)\AstroGrep\AstroGrep.exe" /e /r /s /spath="%USERPROFILE%\AppData\Local\Temp\OnboardLogs" /stypes="app*4014*20171101*" /stext=" 10:.+((SYSTEM_STATE.+slice.+state.+changed )|(ment ac)|(multiple cpu faults)|(system.+state.+changed )|(\[timeout)|(PRM\|1\|D)|(kpr)|(kdp)|(train st.+moving)|(\|lc)|(penalty))"</v>
      </c>
      <c r="AG15" s="182" t="str">
        <f t="shared" si="13"/>
        <v>EC</v>
      </c>
      <c r="AH15" s="78" t="str">
        <f t="shared" si="19"/>
        <v>"%USERPROFILE%\Documents\GitHub\eaglep3\Utilities\RefineRTDCRunTimes.py" --tripid 103-01 --locoid 4014 --swversion DE.1.0.9.0 --startMP 204:486 --initTime 2017-11-01T03:41:23 --startdatetime 2017-11-01T03:45:21 --delay 65 --endMP 204:233281 --enddatetime 2017-11-01T04:21:58 --enforcementcount 0 &gt;&gt;%USERPROFILE%\Documents\GitHub\eaglep3-reporting\EC\2017-11-01-refined-times.txt</v>
      </c>
      <c r="AI15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{"issue":{"subject":"","project_id":79,"tracker_id":40,"status_id":1,"priority_id":2,"assigned_to_id":338,"start_date":"2017-11-01","description":"","custom_fields":[{"id":1,"name":"Subdivision","value":"EC"},{"id":4,"name":"Milepost","value":"23.3281"},{"id":17,"name":"Train ID","value":"103-01"},{"id":16,"name":"Locomotive ID","value":"4014"},{"id":130,"name":"Impact","value":""},{"id":150,"name":"Time of Event (Mountain Time)","value":"04:21:58"},{"id":151,"name":"Denver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0"/>
      <c r="AK15" s="47"/>
      <c r="AL15" s="47"/>
      <c r="AM15" s="142" t="str">
        <f t="shared" si="21"/>
        <v>start /low /b %USERPROFILE%\Documents\GitHub\eaglep3\Utilities\DownloadLogsFromS3.py --loco 4014 --day 2017-11-01</v>
      </c>
      <c r="AN15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10:21:58"},{"id":29,"name":"Sharepoint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23"/>
        <v>https://d0f6bd738d7f1b3e5a7ca70fe4ff75f0.us-east-1.aws.found.io/app/kibana#/discover/Steve-Slow-Train-Analysis-(2080s-and-2083s)?_g=(refreshInterval:(display:Off,pause:!f,section:0,value:0),time:(from:'2017-11-01T02:41:23-0600',mode:absolute,to:'2017-11-01T05:21:58-0600'))&amp;_a=(columns:!('Message%20ID',Summary),filters:!(),index:'emp_*',interval:auto,query:(query_string:(analyze_wildcard:!t,query:'%22rtdc.l.rtdc.4014%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667</v>
      </c>
      <c r="B16" s="7">
        <v>4013</v>
      </c>
      <c r="C16" s="21" t="s">
        <v>194</v>
      </c>
      <c r="D16" s="21" t="s">
        <v>391</v>
      </c>
      <c r="E16" s="13">
        <v>43040.194745370369</v>
      </c>
      <c r="F16" s="13">
        <v>43040.196238425924</v>
      </c>
      <c r="G16" s="7">
        <v>64</v>
      </c>
      <c r="H16" s="21" t="s">
        <v>352</v>
      </c>
      <c r="I16" s="13">
        <v>43040.223194444443</v>
      </c>
      <c r="J16" s="7">
        <v>0</v>
      </c>
      <c r="K16" s="89" t="str">
        <f t="shared" si="0"/>
        <v>4013/4014</v>
      </c>
      <c r="L16" s="185" t="str">
        <f>VLOOKUP(A16,'Trips&amp;Operators'!$C$1:$G$99911,5,FALSE)</f>
        <v>THOMPSON LESTER</v>
      </c>
      <c r="M16" s="6">
        <f t="shared" si="1"/>
        <v>2.6956018518831115E-2</v>
      </c>
      <c r="N16" s="7">
        <f t="shared" si="2"/>
        <v>38.816666667116806</v>
      </c>
      <c r="O16" s="7"/>
      <c r="P16" s="7"/>
      <c r="Q16" s="22"/>
      <c r="R16" s="174"/>
      <c r="S16" s="221">
        <f t="shared" si="3"/>
        <v>1</v>
      </c>
      <c r="T16" s="174" t="str">
        <f t="shared" si="4"/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 t="shared" si="5"/>
        <v>https://d0f6bd738d7f1b3e5a7ca70fe4ff75f0.us-east-1.aws.found.io/app/kibana#/discover/Steve-Slow-Train-Analysis-(2080s-and-2083s)?_g=(refreshInterval:(display:Off,pause:!f,section:0,value:0),time:(from:'2017-11-01T03:40:26-0600',mode:absolute,to:'2017-11-01T06:21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" s="204" t="str">
        <f>IF(AA16&lt;VLOOKUP(AG16,Variables!$AC$3:$AD$8,2,FALSE),"Y","N")</f>
        <v>N</v>
      </c>
      <c r="X16" s="204">
        <f t="shared" si="6"/>
        <v>1</v>
      </c>
      <c r="Y16" s="204">
        <f t="shared" si="7"/>
        <v>23.2972</v>
      </c>
      <c r="Z16" s="204">
        <f t="shared" si="8"/>
        <v>1.5800000000000002E-2</v>
      </c>
      <c r="AA16" s="204">
        <f t="shared" si="9"/>
        <v>23.281400000000001</v>
      </c>
      <c r="AB16" s="54" t="e">
        <f>VLOOKUP(A16,Enforcements!$C$7:$K$10,8,0)</f>
        <v>#N/A</v>
      </c>
      <c r="AC16" s="51" t="e">
        <f>VLOOKUP(A16,Enforcements!$C$7:$E$10,3,0)</f>
        <v>#N/A</v>
      </c>
      <c r="AD16" s="179">
        <f t="shared" si="10"/>
        <v>104</v>
      </c>
      <c r="AE16" s="77" t="str">
        <f t="shared" si="11"/>
        <v>aws s3 cp s3://rtdc.mdm.uploadarchive.raw/RTDC4013/ "%USERPROFILE%\AppData\Local\Temp\OnboardLogs"\RTDC4013\2017-11-01 --exclude "*" --recursive --include "*20171101*" &amp; "%USERPROFILE%\Documents\GitHub\mrs-test-scripts\Headless Mode &amp; Sideloading\WalkAndUnGZ.bat" "%USERPROFILE%\AppData\Local\Temp\OnboardLogs"\RTDC4013\2017-11-01 &amp; aws s3 cp s3://rtdc.mdm.uploadarchive.raw/RTDC4013/ "%USERPROFILE%\AppData\Local\Temp\OnboardLogs"\RTDC4013\2017-11-02 --exclude "*" --recursive --include "*20171102*" &amp; "%USERPROFILE%\Documents\GitHub\mrs-test-scripts\Headless Mode &amp; Sideloading\WalkAndUnGZ.bat" "%USERPROFILE%\AppData\Local\Temp\OnboardLogs"\RTDC4013\2017-11-02</v>
      </c>
      <c r="AF16" s="74" t="str">
        <f t="shared" si="12"/>
        <v>"C:\Program Files (x86)\AstroGrep\AstroGrep.exe" /e /r /s /spath="%USERPROFILE%\AppData\Local\Temp\OnboardLogs" /stypes="app*4013*20171101*" /stext=" 11:.+((SYSTEM_STATE.+slice.+state.+changed )|(ment ac)|(multiple cpu faults)|(system.+state.+changed )|(\[timeout)|(PRM\|1\|D)|(kpr)|(kdp)|(train st.+moving)|(\|lc)|(penalty))"</v>
      </c>
      <c r="AG16" s="182" t="str">
        <f t="shared" si="13"/>
        <v>EC</v>
      </c>
      <c r="AH16" s="78" t="str">
        <f t="shared" si="19"/>
        <v>"%USERPROFILE%\Documents\GitHub\eaglep3\Utilities\RefineRTDCRunTimes.py" --tripid 104-01 --locoid 4013 --swversion DE.1.0.9.0 --startMP 204:232972 --initTime 2017-11-01T04:40:26 --startdatetime 2017-11-01T04:42:35 --delay 64 --endMP 204:158 --enddatetime 2017-11-01T05:21:24 --enforcementcount 0 &gt;&gt;%USERPROFILE%\Documents\GitHub\eaglep3-reporting\EC\2017-11-01-refined-times.txt</v>
      </c>
      <c r="AI16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{"issue":{"subject":"","project_id":79,"tracker_id":40,"status_id":1,"priority_id":2,"assigned_to_id":338,"start_date":"2017-11-01","description":"","custom_fields":[{"id":1,"name":"Subdivision","value":"EC"},{"id":4,"name":"Milepost","value":"0.0158"},{"id":17,"name":"Train ID","value":"104-01"},{"id":16,"name":"Locomotive ID","value":"4013"},{"id":130,"name":"Impact","value":""},{"id":150,"name":"Time of Event (Mountain Time)","value":"05:21:24"},{"id":151,"name":"Denver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0"/>
      <c r="AK16" s="47"/>
      <c r="AL16" s="47"/>
      <c r="AM16" s="142" t="str">
        <f t="shared" si="21"/>
        <v>start /low /b %USERPROFILE%\Documents\GitHub\eaglep3\Utilities\DownloadLogsFromS3.py --loco 4013 --day 2017-11-01</v>
      </c>
      <c r="AN16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11:21:24"},{"id":29,"name":"Sharepoint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23"/>
        <v>https://d0f6bd738d7f1b3e5a7ca70fe4ff75f0.us-east-1.aws.found.io/app/kibana#/discover/Steve-Slow-Train-Analysis-(2080s-and-2083s)?_g=(refreshInterval:(display:Off,pause:!f,section:0,value:0),time:(from:'2017-11-01T03:40:26-0600',mode:absolute,to:'2017-11-01T06:21:24-0600'))&amp;_a=(columns:!('Message%20ID',Summary),filters:!(),index:'emp_*',interval:auto,query:(query_string:(analyze_wildcard:!t,query:'%22rtdc.l.rtdc.4013%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661</v>
      </c>
      <c r="B17" s="7">
        <v>4050</v>
      </c>
      <c r="C17" s="21" t="s">
        <v>194</v>
      </c>
      <c r="D17" s="21" t="s">
        <v>434</v>
      </c>
      <c r="E17" s="13">
        <v>43040.169525462959</v>
      </c>
      <c r="F17" s="13">
        <v>43040.17728009259</v>
      </c>
      <c r="G17" s="7">
        <v>56</v>
      </c>
      <c r="H17" s="21" t="s">
        <v>572</v>
      </c>
      <c r="I17" s="13">
        <v>43040.20107638889</v>
      </c>
      <c r="J17" s="7">
        <v>0</v>
      </c>
      <c r="K17" s="89" t="str">
        <f t="shared" si="0"/>
        <v>4049/4050</v>
      </c>
      <c r="L17" s="185" t="str">
        <f>VLOOKUP(A17,'Trips&amp;Operators'!$C$1:$G$99911,5,FALSE)</f>
        <v>YORK EDGAR</v>
      </c>
      <c r="M17" s="6">
        <f t="shared" si="1"/>
        <v>2.379629630013369E-2</v>
      </c>
      <c r="N17" s="7">
        <f t="shared" si="2"/>
        <v>34.266666672192514</v>
      </c>
      <c r="O17" s="7"/>
      <c r="P17" s="7"/>
      <c r="Q17" s="22"/>
      <c r="R17" s="174"/>
      <c r="S17" s="221">
        <f t="shared" si="3"/>
        <v>1</v>
      </c>
      <c r="T17" s="174" t="str">
        <f t="shared" si="4"/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 t="shared" si="5"/>
        <v>https://d0f6bd738d7f1b3e5a7ca70fe4ff75f0.us-east-1.aws.found.io/app/kibana#/discover/Steve-Slow-Train-Analysis-(2080s-and-2083s)?_g=(refreshInterval:(display:Off,pause:!f,section:0,value:0),time:(from:'2017-11-01T03:04:07-0600',mode:absolute,to:'2017-11-01T05:49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" s="204" t="str">
        <f>IF(AA17&lt;VLOOKUP(AG17,Variables!$AC$3:$AD$8,2,FALSE),"Y","N")</f>
        <v>N</v>
      </c>
      <c r="X17" s="204">
        <f t="shared" si="6"/>
        <v>1</v>
      </c>
      <c r="Y17" s="204">
        <f t="shared" si="7"/>
        <v>4.6399999999999997E-2</v>
      </c>
      <c r="Z17" s="204">
        <f t="shared" si="8"/>
        <v>23.329699999999999</v>
      </c>
      <c r="AA17" s="204">
        <f t="shared" si="9"/>
        <v>23.283300000000001</v>
      </c>
      <c r="AB17" s="54" t="e">
        <f>VLOOKUP(A17,Enforcements!$C$7:$K$10,8,0)</f>
        <v>#N/A</v>
      </c>
      <c r="AC17" s="51" t="e">
        <f>VLOOKUP(A17,Enforcements!$C$7:$E$10,3,0)</f>
        <v>#N/A</v>
      </c>
      <c r="AD17" s="179">
        <f t="shared" si="10"/>
        <v>105</v>
      </c>
      <c r="AE17" s="77" t="str">
        <f t="shared" si="11"/>
        <v>aws s3 cp s3://rtdc.mdm.uploadarchive.raw/RTDC4050/ "%USERPROFILE%\AppData\Local\Temp\OnboardLogs"\RTDC4050\2017-11-01 --exclude "*" --recursive --include "*20171101*" &amp; "%USERPROFILE%\Documents\GitHub\mrs-test-scripts\Headless Mode &amp; Sideloading\WalkAndUnGZ.bat" "%USERPROFILE%\AppData\Local\Temp\OnboardLogs"\RTDC4050\2017-11-01 &amp; aws s3 cp s3://rtdc.mdm.uploadarchive.raw/RTDC4050/ "%USERPROFILE%\AppData\Local\Temp\OnboardLogs"\RTDC4050\2017-11-02 --exclude "*" --recursive --include "*20171102*" &amp; "%USERPROFILE%\Documents\GitHub\mrs-test-scripts\Headless Mode &amp; Sideloading\WalkAndUnGZ.bat" "%USERPROFILE%\AppData\Local\Temp\OnboardLogs"\RTDC4050\2017-11-02</v>
      </c>
      <c r="AF17" s="74" t="str">
        <f t="shared" si="12"/>
        <v>"C:\Program Files (x86)\AstroGrep\AstroGrep.exe" /e /r /s /spath="%USERPROFILE%\AppData\Local\Temp\OnboardLogs" /stypes="app*4050*20171101*" /stext=" 10:.+((SYSTEM_STATE.+slice.+state.+changed )|(ment ac)|(multiple cpu faults)|(system.+state.+changed )|(\[timeout)|(PRM\|1\|D)|(kpr)|(kdp)|(train st.+moving)|(\|lc)|(penalty))"</v>
      </c>
      <c r="AG17" s="182" t="str">
        <f t="shared" si="13"/>
        <v>EC</v>
      </c>
      <c r="AH17" s="78" t="str">
        <f t="shared" si="19"/>
        <v>"%USERPROFILE%\Documents\GitHub\eaglep3\Utilities\RefineRTDCRunTimes.py" --tripid 105-01 --locoid 4050 --swversion DE.1.0.9.0 --startMP 204:464 --initTime 2017-11-01T04:04:07 --startdatetime 2017-11-01T04:15:17 --delay 56 --endMP 204:233297 --enddatetime 2017-11-01T04:49:33 --enforcementcount 0 &gt;&gt;%USERPROFILE%\Documents\GitHub\eaglep3-reporting\EC\2017-11-01-refined-times.txt</v>
      </c>
      <c r="AI17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{"issue":{"subject":"","project_id":79,"tracker_id":40,"status_id":1,"priority_id":2,"assigned_to_id":338,"start_date":"2017-11-01","description":"","custom_fields":[{"id":1,"name":"Subdivision","value":"EC"},{"id":4,"name":"Milepost","value":"23.3297"},{"id":17,"name":"Train ID","value":"105-01"},{"id":16,"name":"Locomotive ID","value":"4050"},{"id":130,"name":"Impact","value":""},{"id":150,"name":"Time of Event (Mountain Time)","value":"04:49:33"},{"id":151,"name":"Denver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0"/>
      <c r="AK17" s="47"/>
      <c r="AL17" s="47"/>
      <c r="AM17" s="142" t="str">
        <f t="shared" si="21"/>
        <v>start /low /b %USERPROFILE%\Documents\GitHub\eaglep3\Utilities\DownloadLogsFromS3.py --loco 4050 --day 2017-11-01</v>
      </c>
      <c r="AN17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10:49:33"},{"id":29,"name":"Sharepoint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23"/>
        <v>https://d0f6bd738d7f1b3e5a7ca70fe4ff75f0.us-east-1.aws.found.io/app/kibana#/discover/Steve-Slow-Train-Analysis-(2080s-and-2083s)?_g=(refreshInterval:(display:Off,pause:!f,section:0,value:0),time:(from:'2017-11-01T03:04:07-0600',mode:absolute,to:'2017-11-01T05:49:33-0600'))&amp;_a=(columns:!('Message%20ID',Summary),filters:!(),index:'emp_*',interval:auto,query:(query_string:(analyze_wildcard:!t,query:'%22rtdc.l.rtdc.4050%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609</v>
      </c>
      <c r="B18" s="7">
        <v>4049</v>
      </c>
      <c r="C18" s="21" t="s">
        <v>194</v>
      </c>
      <c r="D18" s="21" t="s">
        <v>876</v>
      </c>
      <c r="E18" s="13">
        <v>43040.202013888891</v>
      </c>
      <c r="F18" s="13">
        <v>43040.217060185183</v>
      </c>
      <c r="G18" s="7">
        <v>86</v>
      </c>
      <c r="H18" s="21" t="s">
        <v>877</v>
      </c>
      <c r="I18" s="13">
        <v>43040.242800925924</v>
      </c>
      <c r="J18" s="7">
        <v>0</v>
      </c>
      <c r="K18" s="89" t="str">
        <f t="shared" si="0"/>
        <v>4049/4050</v>
      </c>
      <c r="L18" s="185" t="str">
        <f>VLOOKUP(A18,'Trips&amp;Operators'!$C$1:$G$99911,5,FALSE)</f>
        <v>YORK EDGAR</v>
      </c>
      <c r="M18" s="6">
        <f t="shared" si="1"/>
        <v>2.5740740740729962E-2</v>
      </c>
      <c r="N18" s="7">
        <f t="shared" si="2"/>
        <v>37.066666666651145</v>
      </c>
      <c r="O18" s="7"/>
      <c r="P18" s="7"/>
      <c r="Q18" s="22"/>
      <c r="R18" s="174"/>
      <c r="S18" s="221">
        <f t="shared" si="3"/>
        <v>1</v>
      </c>
      <c r="T18" s="174" t="str">
        <f t="shared" si="4"/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 t="shared" si="5"/>
        <v>https://d0f6bd738d7f1b3e5a7ca70fe4ff75f0.us-east-1.aws.found.io/app/kibana#/discover/Steve-Slow-Train-Analysis-(2080s-and-2083s)?_g=(refreshInterval:(display:Off,pause:!f,section:0,value:0),time:(from:'2017-11-01T03:50:54-0600',mode:absolute,to:'2017-11-01T06:49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" s="204" t="str">
        <f>IF(AA18&lt;VLOOKUP(AG18,Variables!$AC$3:$AD$8,2,FALSE),"Y","N")</f>
        <v>N</v>
      </c>
      <c r="X18" s="204">
        <f t="shared" si="6"/>
        <v>1</v>
      </c>
      <c r="Y18" s="204">
        <f t="shared" si="7"/>
        <v>23.296099999999999</v>
      </c>
      <c r="Z18" s="204">
        <f t="shared" si="8"/>
        <v>1.38E-2</v>
      </c>
      <c r="AA18" s="204">
        <f t="shared" si="9"/>
        <v>23.282299999999999</v>
      </c>
      <c r="AB18" s="54" t="str">
        <f>VLOOKUP(A18,Enforcements!$C$7:$K$10,8,0)</f>
        <v>Bulletin (2)</v>
      </c>
      <c r="AC18" s="51" t="str">
        <f>VLOOKUP(A18,Enforcements!$C$7:$E$10,3,0)</f>
        <v>GRADE CROSSING</v>
      </c>
      <c r="AD18" s="179">
        <f t="shared" si="10"/>
        <v>106</v>
      </c>
      <c r="AE18" s="77" t="str">
        <f t="shared" si="11"/>
        <v>aws s3 cp s3://rtdc.mdm.uploadarchive.raw/RTDC4049/ "%USERPROFILE%\AppData\Local\Temp\OnboardLogs"\RTDC4049\2017-11-01 --exclude "*" --recursive --include "*20171101*" &amp; "%USERPROFILE%\Documents\GitHub\mrs-test-scripts\Headless Mode &amp; Sideloading\WalkAndUnGZ.bat" "%USERPROFILE%\AppData\Local\Temp\OnboardLogs"\RTDC4049\2017-11-01 &amp; aws s3 cp s3://rtdc.mdm.uploadarchive.raw/RTDC4049/ "%USERPROFILE%\AppData\Local\Temp\OnboardLogs"\RTDC4049\2017-11-02 --exclude "*" --recursive --include "*20171102*" &amp; "%USERPROFILE%\Documents\GitHub\mrs-test-scripts\Headless Mode &amp; Sideloading\WalkAndUnGZ.bat" "%USERPROFILE%\AppData\Local\Temp\OnboardLogs"\RTDC4049\2017-11-02</v>
      </c>
      <c r="AF18" s="74" t="str">
        <f t="shared" si="12"/>
        <v>"C:\Program Files (x86)\AstroGrep\AstroGrep.exe" /e /r /s /spath="%USERPROFILE%\AppData\Local\Temp\OnboardLogs" /stypes="app*4049*20171101*" /stext=" 11:.+((SYSTEM_STATE.+slice.+state.+changed )|(ment ac)|(multiple cpu faults)|(system.+state.+changed )|(\[timeout)|(PRM\|1\|D)|(kpr)|(kdp)|(train st.+moving)|(\|lc)|(penalty))"</v>
      </c>
      <c r="AG18" s="182" t="str">
        <f t="shared" si="13"/>
        <v>EC</v>
      </c>
      <c r="AH18" s="78" t="str">
        <f t="shared" si="19"/>
        <v>"%USERPROFILE%\Documents\GitHub\eaglep3\Utilities\RefineRTDCRunTimes.py" --tripid 106-01 --locoid 4049 --swversion DE.1.0.9.0 --startMP 204:232961 --initTime 2017-11-01T04:50:54 --startdatetime 2017-11-01T05:12:34 --delay 86 --endMP 204:138 --enddatetime 2017-11-01T05:49:38 --enforcementcount 0 &gt;&gt;%USERPROFILE%\Documents\GitHub\eaglep3-reporting\EC\2017-11-01-refined-times.txt</v>
      </c>
      <c r="AI18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{"issue":{"subject":"","project_id":79,"tracker_id":40,"status_id":1,"priority_id":2,"assigned_to_id":338,"start_date":"2017-11-01","description":"","custom_fields":[{"id":1,"name":"Subdivision","value":"EC"},{"id":4,"name":"Milepost","value":"0.0138"},{"id":17,"name":"Train ID","value":"106-01"},{"id":16,"name":"Locomotive ID","value":"4049"},{"id":130,"name":"Impact","value":""},{"id":150,"name":"Time of Event (Mountain Time)","value":"05:49:38"},{"id":151,"name":"Denver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0"/>
      <c r="AK18" s="47"/>
      <c r="AL18" s="47"/>
      <c r="AM18" s="142" t="str">
        <f t="shared" si="21"/>
        <v>start /low /b %USERPROFILE%\Documents\GitHub\eaglep3\Utilities\DownloadLogsFromS3.py --loco 4049 --day 2017-11-01</v>
      </c>
      <c r="AN18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11:49:38"},{"id":29,"name":"Sharepoint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23"/>
        <v>https://d0f6bd738d7f1b3e5a7ca70fe4ff75f0.us-east-1.aws.found.io/app/kibana#/discover/Steve-Slow-Train-Analysis-(2080s-and-2083s)?_g=(refreshInterval:(display:Off,pause:!f,section:0,value:0),time:(from:'2017-11-01T03:50:54-0600',mode:absolute,to:'2017-11-01T06:49:38-0600'))&amp;_a=(columns:!('Message%20ID',Summary),filters:!(),index:'emp_*',interval:auto,query:(query_string:(analyze_wildcard:!t,query:'%22rtdc.l.rtdc.4049%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665</v>
      </c>
      <c r="B19" s="7">
        <v>4026</v>
      </c>
      <c r="C19" s="21" t="s">
        <v>194</v>
      </c>
      <c r="D19" s="21" t="s">
        <v>878</v>
      </c>
      <c r="E19" s="13">
        <v>43040.183344907404</v>
      </c>
      <c r="F19" s="13">
        <v>43040.187951388885</v>
      </c>
      <c r="G19" s="7">
        <v>59</v>
      </c>
      <c r="H19" s="21" t="s">
        <v>438</v>
      </c>
      <c r="I19" s="13">
        <v>43040.212523148148</v>
      </c>
      <c r="J19" s="7">
        <v>0</v>
      </c>
      <c r="K19" s="89" t="str">
        <f t="shared" si="0"/>
        <v>4025/4026</v>
      </c>
      <c r="L19" s="185" t="str">
        <f>VLOOKUP(A19,'Trips&amp;Operators'!$C$1:$G$99911,5,FALSE)</f>
        <v>BEAM ROSS</v>
      </c>
      <c r="M19" s="6">
        <f t="shared" si="1"/>
        <v>2.457175926247146E-2</v>
      </c>
      <c r="N19" s="7">
        <f t="shared" si="2"/>
        <v>35.383333337958902</v>
      </c>
      <c r="O19" s="7"/>
      <c r="P19" s="7"/>
      <c r="Q19" s="22"/>
      <c r="R19" s="174"/>
      <c r="S19" s="221">
        <f t="shared" si="3"/>
        <v>1</v>
      </c>
      <c r="T19" s="174" t="str">
        <f t="shared" si="4"/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 t="shared" si="5"/>
        <v>https://d0f6bd738d7f1b3e5a7ca70fe4ff75f0.us-east-1.aws.found.io/app/kibana#/discover/Steve-Slow-Train-Analysis-(2080s-and-2083s)?_g=(refreshInterval:(display:Off,pause:!f,section:0,value:0),time:(from:'2017-11-01T03:24:01-0600',mode:absolute,to:'2017-11-01T06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" s="204" t="str">
        <f>IF(AA19&lt;VLOOKUP(AG19,Variables!$AC$3:$AD$8,2,FALSE),"Y","N")</f>
        <v>N</v>
      </c>
      <c r="X19" s="204">
        <f t="shared" si="6"/>
        <v>1</v>
      </c>
      <c r="Y19" s="204">
        <f t="shared" si="7"/>
        <v>4.2900000000000001E-2</v>
      </c>
      <c r="Z19" s="204">
        <f t="shared" si="8"/>
        <v>23.33</v>
      </c>
      <c r="AA19" s="204">
        <f t="shared" si="9"/>
        <v>23.287099999999999</v>
      </c>
      <c r="AB19" s="54" t="e">
        <f>VLOOKUP(A19,Enforcements!$C$7:$K$10,8,0)</f>
        <v>#N/A</v>
      </c>
      <c r="AC19" s="51" t="e">
        <f>VLOOKUP(A19,Enforcements!$C$7:$E$10,3,0)</f>
        <v>#N/A</v>
      </c>
      <c r="AD19" s="179">
        <f t="shared" si="10"/>
        <v>107</v>
      </c>
      <c r="AE19" s="77" t="str">
        <f t="shared" si="11"/>
        <v>aws s3 cp s3://rtdc.mdm.uploadarchive.raw/RTDC4026/ "%USERPROFILE%\AppData\Local\Temp\OnboardLogs"\RTDC4026\2017-11-01 --exclude "*" --recursive --include "*20171101*" &amp; "%USERPROFILE%\Documents\GitHub\mrs-test-scripts\Headless Mode &amp; Sideloading\WalkAndUnGZ.bat" "%USERPROFILE%\AppData\Local\Temp\OnboardLogs"\RTDC4026\2017-11-01 &amp; aws s3 cp s3://rtdc.mdm.uploadarchive.raw/RTDC4026/ "%USERPROFILE%\AppData\Local\Temp\OnboardLogs"\RTDC4026\2017-11-02 --exclude "*" --recursive --include "*20171102*" &amp; "%USERPROFILE%\Documents\GitHub\mrs-test-scripts\Headless Mode &amp; Sideloading\WalkAndUnGZ.bat" "%USERPROFILE%\AppData\Local\Temp\OnboardLogs"\RTDC4026\2017-11-02</v>
      </c>
      <c r="AF19" s="74" t="str">
        <f t="shared" si="12"/>
        <v>"C:\Program Files (x86)\AstroGrep\AstroGrep.exe" /e /r /s /spath="%USERPROFILE%\AppData\Local\Temp\OnboardLogs" /stypes="app*4026*20171101*" /stext=" 11:.+((SYSTEM_STATE.+slice.+state.+changed )|(ment ac)|(multiple cpu faults)|(system.+state.+changed )|(\[timeout)|(PRM\|1\|D)|(kpr)|(kdp)|(train st.+moving)|(\|lc)|(penalty))"</v>
      </c>
      <c r="AG19" s="182" t="str">
        <f t="shared" si="13"/>
        <v>EC</v>
      </c>
      <c r="AH19" s="78" t="str">
        <f t="shared" si="19"/>
        <v>"%USERPROFILE%\Documents\GitHub\eaglep3\Utilities\RefineRTDCRunTimes.py" --tripid 107-01 --locoid 4026 --swversion DE.1.0.9.0 --startMP 204:429 --initTime 2017-11-01T04:24:01 --startdatetime 2017-11-01T04:30:39 --delay 59 --endMP 204:233300 --enddatetime 2017-11-01T05:06:02 --enforcementcount 0 &gt;&gt;%USERPROFILE%\Documents\GitHub\eaglep3-reporting\EC\2017-11-01-refined-times.txt</v>
      </c>
      <c r="AI19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{"issue":{"subject":"","project_id":79,"tracker_id":40,"status_id":1,"priority_id":2,"assigned_to_id":338,"start_date":"2017-11-01","description":"","custom_fields":[{"id":1,"name":"Subdivision","value":"EC"},{"id":4,"name":"Milepost","value":"23.33"},{"id":17,"name":"Train ID","value":"107-01"},{"id":16,"name":"Locomotive ID","value":"4026"},{"id":130,"name":"Impact","value":""},{"id":150,"name":"Time of Event (Mountain Time)","value":"05:06:02"},{"id":151,"name":"Denver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0"/>
      <c r="AK19" s="47"/>
      <c r="AL19" s="47"/>
      <c r="AM19" s="142" t="str">
        <f t="shared" si="21"/>
        <v>start /low /b %USERPROFILE%\Documents\GitHub\eaglep3\Utilities\DownloadLogsFromS3.py --loco 4026 --day 2017-11-01</v>
      </c>
      <c r="AN19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11:06:02"},{"id":29,"name":"Sharepoint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23"/>
        <v>https://d0f6bd738d7f1b3e5a7ca70fe4ff75f0.us-east-1.aws.found.io/app/kibana#/discover/Steve-Slow-Train-Analysis-(2080s-and-2083s)?_g=(refreshInterval:(display:Off,pause:!f,section:0,value:0),time:(from:'2017-11-01T03:24:01-0600',mode:absolute,to:'2017-11-01T06:06:02-0600'))&amp;_a=(columns:!('Message%20ID',Summary),filters:!(),index:'emp_*',interval:auto,query:(query_string:(analyze_wildcard:!t,query:'%22rtdc.l.rtdc.4026%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678</v>
      </c>
      <c r="B20" s="7">
        <v>4025</v>
      </c>
      <c r="C20" s="21" t="s">
        <v>194</v>
      </c>
      <c r="D20" s="21" t="s">
        <v>879</v>
      </c>
      <c r="E20" s="13">
        <v>43040.213645833333</v>
      </c>
      <c r="F20" s="13">
        <v>43040.227256944447</v>
      </c>
      <c r="G20" s="7">
        <v>59</v>
      </c>
      <c r="H20" s="21" t="s">
        <v>334</v>
      </c>
      <c r="I20" s="13">
        <v>43040.253287037034</v>
      </c>
      <c r="J20" s="7">
        <v>0</v>
      </c>
      <c r="K20" s="89" t="str">
        <f t="shared" si="0"/>
        <v>4025/4026</v>
      </c>
      <c r="L20" s="185" t="str">
        <f>VLOOKUP(A20,'Trips&amp;Operators'!$C$1:$G$99911,5,FALSE)</f>
        <v>BEAM ROSS</v>
      </c>
      <c r="M20" s="6">
        <f t="shared" si="1"/>
        <v>2.6030092587461695E-2</v>
      </c>
      <c r="N20" s="7">
        <f t="shared" si="2"/>
        <v>37.483333325944841</v>
      </c>
      <c r="O20" s="7"/>
      <c r="P20" s="7"/>
      <c r="Q20" s="22"/>
      <c r="R20" s="174"/>
      <c r="S20" s="221">
        <f t="shared" si="3"/>
        <v>1</v>
      </c>
      <c r="T20" s="174" t="str">
        <f t="shared" si="4"/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 t="shared" si="5"/>
        <v>https://d0f6bd738d7f1b3e5a7ca70fe4ff75f0.us-east-1.aws.found.io/app/kibana#/discover/Steve-Slow-Train-Analysis-(2080s-and-2083s)?_g=(refreshInterval:(display:Off,pause:!f,section:0,value:0),time:(from:'2017-11-01T04:07:39-0600',mode:absolute,to:'2017-11-01T07:04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" s="204" t="str">
        <f>IF(AA20&lt;VLOOKUP(AG20,Variables!$AC$3:$AD$8,2,FALSE),"Y","N")</f>
        <v>N</v>
      </c>
      <c r="X20" s="204">
        <f t="shared" si="6"/>
        <v>1</v>
      </c>
      <c r="Y20" s="204">
        <f t="shared" si="7"/>
        <v>23.2987</v>
      </c>
      <c r="Z20" s="204">
        <f t="shared" si="8"/>
        <v>1.4999999999999999E-2</v>
      </c>
      <c r="AA20" s="204">
        <f t="shared" si="9"/>
        <v>23.2837</v>
      </c>
      <c r="AB20" s="54" t="e">
        <f>VLOOKUP(A20,Enforcements!$C$7:$K$10,8,0)</f>
        <v>#N/A</v>
      </c>
      <c r="AC20" s="51" t="e">
        <f>VLOOKUP(A20,Enforcements!$C$7:$E$10,3,0)</f>
        <v>#N/A</v>
      </c>
      <c r="AD20" s="179">
        <f t="shared" si="10"/>
        <v>108</v>
      </c>
      <c r="AE20" s="77" t="str">
        <f t="shared" si="11"/>
        <v>aws s3 cp s3://rtdc.mdm.uploadarchive.raw/RTDC4025/ "%USERPROFILE%\AppData\Local\Temp\OnboardLogs"\RTDC4025\2017-11-01 --exclude "*" --recursive --include "*20171101*" &amp; "%USERPROFILE%\Documents\GitHub\mrs-test-scripts\Headless Mode &amp; Sideloading\WalkAndUnGZ.bat" "%USERPROFILE%\AppData\Local\Temp\OnboardLogs"\RTDC4025\2017-11-01 &amp; aws s3 cp s3://rtdc.mdm.uploadarchive.raw/RTDC4025/ "%USERPROFILE%\AppData\Local\Temp\OnboardLogs"\RTDC4025\2017-11-02 --exclude "*" --recursive --include "*20171102*" &amp; "%USERPROFILE%\Documents\GitHub\mrs-test-scripts\Headless Mode &amp; Sideloading\WalkAndUnGZ.bat" "%USERPROFILE%\AppData\Local\Temp\OnboardLogs"\RTDC4025\2017-11-02</v>
      </c>
      <c r="AF20" s="74" t="str">
        <f t="shared" si="12"/>
        <v>"C:\Program Files (x86)\AstroGrep\AstroGrep.exe" /e /r /s /spath="%USERPROFILE%\AppData\Local\Temp\OnboardLogs" /stypes="app*4025*20171101*" /stext=" 12:.+((SYSTEM_STATE.+slice.+state.+changed )|(ment ac)|(multiple cpu faults)|(system.+state.+changed )|(\[timeout)|(PRM\|1\|D)|(kpr)|(kdp)|(train st.+moving)|(\|lc)|(penalty))"</v>
      </c>
      <c r="AG20" s="182" t="str">
        <f t="shared" si="13"/>
        <v>EC</v>
      </c>
      <c r="AH20" s="78" t="str">
        <f t="shared" si="19"/>
        <v>"%USERPROFILE%\Documents\GitHub\eaglep3\Utilities\RefineRTDCRunTimes.py" --tripid 108-01 --locoid 4025 --swversion DE.1.0.9.0 --startMP 204:232987 --initTime 2017-11-01T05:07:39 --startdatetime 2017-11-01T05:27:15 --delay 59 --endMP 204:150 --enddatetime 2017-11-01T06:04:44 --enforcementcount 0 &gt;&gt;%USERPROFILE%\Documents\GitHub\eaglep3-reporting\EC\2017-11-01-refined-times.txt</v>
      </c>
      <c r="AI20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{"issue":{"subject":"","project_id":79,"tracker_id":40,"status_id":1,"priority_id":2,"assigned_to_id":338,"start_date":"2017-11-01","description":"","custom_fields":[{"id":1,"name":"Subdivision","value":"EC"},{"id":4,"name":"Milepost","value":"0.015"},{"id":17,"name":"Train ID","value":"108-01"},{"id":16,"name":"Locomotive ID","value":"4025"},{"id":130,"name":"Impact","value":""},{"id":150,"name":"Time of Event (Mountain Time)","value":"06:04:44"},{"id":151,"name":"Denver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0"/>
      <c r="AK20" s="47"/>
      <c r="AL20" s="47"/>
      <c r="AM20" s="142" t="str">
        <f t="shared" si="21"/>
        <v>start /low /b %USERPROFILE%\Documents\GitHub\eaglep3\Utilities\DownloadLogsFromS3.py --loco 4025 --day 2017-11-01</v>
      </c>
      <c r="AN20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12:04:44"},{"id":29,"name":"Sharepoint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23"/>
        <v>https://d0f6bd738d7f1b3e5a7ca70fe4ff75f0.us-east-1.aws.found.io/app/kibana#/discover/Steve-Slow-Train-Analysis-(2080s-and-2083s)?_g=(refreshInterval:(display:Off,pause:!f,section:0,value:0),time:(from:'2017-11-01T04:07:39-0600',mode:absolute,to:'2017-11-01T07:04:44-0600'))&amp;_a=(columns:!('Message%20ID',Summary),filters:!(),index:'emp_*',interval:auto,query:(query_string:(analyze_wildcard:!t,query:'%22rtdc.l.rtdc.4025%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669</v>
      </c>
      <c r="B21" s="7">
        <v>4002</v>
      </c>
      <c r="C21" s="21" t="s">
        <v>194</v>
      </c>
      <c r="D21" s="21" t="s">
        <v>419</v>
      </c>
      <c r="E21" s="13">
        <v>43040.195428240739</v>
      </c>
      <c r="F21" s="13">
        <v>43040.19809027778</v>
      </c>
      <c r="G21" s="7">
        <v>66</v>
      </c>
      <c r="H21" s="21" t="s">
        <v>880</v>
      </c>
      <c r="I21" s="13">
        <v>43040.223807870374</v>
      </c>
      <c r="J21" s="7">
        <v>0</v>
      </c>
      <c r="K21" s="89" t="str">
        <f t="shared" si="0"/>
        <v>4001/4002</v>
      </c>
      <c r="L21" s="185" t="str">
        <f>VLOOKUP(A21,'Trips&amp;Operators'!$C$1:$G$99911,5,FALSE)</f>
        <v>STARKS ANGELINA</v>
      </c>
      <c r="M21" s="6">
        <f t="shared" si="1"/>
        <v>2.5717592594446614E-2</v>
      </c>
      <c r="N21" s="7">
        <f t="shared" si="2"/>
        <v>37.033333336003125</v>
      </c>
      <c r="O21" s="7"/>
      <c r="P21" s="7"/>
      <c r="Q21" s="22"/>
      <c r="R21" s="174"/>
      <c r="S21" s="221">
        <f t="shared" si="3"/>
        <v>1</v>
      </c>
      <c r="T21" s="174" t="str">
        <f t="shared" si="4"/>
        <v>NorthBound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 t="shared" si="5"/>
        <v>https://d0f6bd738d7f1b3e5a7ca70fe4ff75f0.us-east-1.aws.found.io/app/kibana#/discover/Steve-Slow-Train-Analysis-(2080s-and-2083s)?_g=(refreshInterval:(display:Off,pause:!f,section:0,value:0),time:(from:'2017-11-01T03:41:25-0600',mode:absolute,to:'2017-11-01T06:22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" s="204" t="str">
        <f>IF(AA21&lt;VLOOKUP(AG21,Variables!$AC$3:$AD$8,2,FALSE),"Y","N")</f>
        <v>N</v>
      </c>
      <c r="X21" s="204">
        <f t="shared" si="6"/>
        <v>1</v>
      </c>
      <c r="Y21" s="204">
        <f t="shared" si="7"/>
        <v>4.5499999999999999E-2</v>
      </c>
      <c r="Z21" s="204">
        <f t="shared" si="8"/>
        <v>23.328900000000001</v>
      </c>
      <c r="AA21" s="204">
        <f t="shared" si="9"/>
        <v>23.2834</v>
      </c>
      <c r="AB21" s="54" t="e">
        <f>VLOOKUP(A21,Enforcements!$C$7:$K$10,8,0)</f>
        <v>#N/A</v>
      </c>
      <c r="AC21" s="51" t="e">
        <f>VLOOKUP(A21,Enforcements!$C$7:$E$10,3,0)</f>
        <v>#N/A</v>
      </c>
      <c r="AD21" s="179">
        <f t="shared" si="10"/>
        <v>109</v>
      </c>
      <c r="AE21" s="77" t="str">
        <f t="shared" si="11"/>
        <v>aws s3 cp s3://rtdc.mdm.uploadarchive.raw/RTDC4002/ "%USERPROFILE%\AppData\Local\Temp\OnboardLogs"\RTDC4002\2017-11-01 --exclude "*" --recursive --include "*20171101*" &amp; "%USERPROFILE%\Documents\GitHub\mrs-test-scripts\Headless Mode &amp; Sideloading\WalkAndUnGZ.bat" "%USERPROFILE%\AppData\Local\Temp\OnboardLogs"\RTDC4002\2017-11-01 &amp; aws s3 cp s3://rtdc.mdm.uploadarchive.raw/RTDC4002/ "%USERPROFILE%\AppData\Local\Temp\OnboardLogs"\RTDC4002\2017-11-02 --exclude "*" --recursive --include "*20171102*" &amp; "%USERPROFILE%\Documents\GitHub\mrs-test-scripts\Headless Mode &amp; Sideloading\WalkAndUnGZ.bat" "%USERPROFILE%\AppData\Local\Temp\OnboardLogs"\RTDC4002\2017-11-02</v>
      </c>
      <c r="AF21" s="74" t="str">
        <f t="shared" si="12"/>
        <v>"C:\Program Files (x86)\AstroGrep\AstroGrep.exe" /e /r /s /spath="%USERPROFILE%\AppData\Local\Temp\OnboardLogs" /stypes="app*4002*20171101*" /stext=" 11:.+((SYSTEM_STATE.+slice.+state.+changed )|(ment ac)|(multiple cpu faults)|(system.+state.+changed )|(\[timeout)|(PRM\|1\|D)|(kpr)|(kdp)|(train st.+moving)|(\|lc)|(penalty))"</v>
      </c>
      <c r="AG21" s="182" t="str">
        <f t="shared" si="13"/>
        <v>EC</v>
      </c>
      <c r="AH21" s="78" t="str">
        <f t="shared" si="19"/>
        <v>"%USERPROFILE%\Documents\GitHub\eaglep3\Utilities\RefineRTDCRunTimes.py" --tripid 109-01 --locoid 4002 --swversion DE.1.0.9.0 --startMP 204:455 --initTime 2017-11-01T04:41:25 --startdatetime 2017-11-01T04:45:15 --delay 66 --endMP 204:233289 --enddatetime 2017-11-01T05:22:17 --enforcementcount 0 &gt;&gt;%USERPROFILE%\Documents\GitHub\eaglep3-reporting\EC\2017-11-01-refined-times.txt</v>
      </c>
      <c r="AI21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{"issue":{"subject":"","project_id":79,"tracker_id":40,"status_id":1,"priority_id":2,"assigned_to_id":338,"start_date":"2017-11-01","description":"","custom_fields":[{"id":1,"name":"Subdivision","value":"EC"},{"id":4,"name":"Milepost","value":"23.3289"},{"id":17,"name":"Train ID","value":"109-01"},{"id":16,"name":"Locomotive ID","value":"4002"},{"id":130,"name":"Impact","value":""},{"id":150,"name":"Time of Event (Mountain Time)","value":"05:22:17"},{"id":151,"name":"Denver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0"/>
      <c r="AK21" s="47"/>
      <c r="AL21" s="47"/>
      <c r="AM21" s="142" t="str">
        <f t="shared" si="21"/>
        <v>start /low /b %USERPROFILE%\Documents\GitHub\eaglep3\Utilities\DownloadLogsFromS3.py --loco 4002 --day 2017-11-01</v>
      </c>
      <c r="AN21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11:22:17"},{"id":29,"name":"Sharepoint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23"/>
        <v>https://d0f6bd738d7f1b3e5a7ca70fe4ff75f0.us-east-1.aws.found.io/app/kibana#/discover/Steve-Slow-Train-Analysis-(2080s-and-2083s)?_g=(refreshInterval:(display:Off,pause:!f,section:0,value:0),time:(from:'2017-11-01T03:41:25-0600',mode:absolute,to:'2017-11-01T06:22:17-0600'))&amp;_a=(columns:!('Message%20ID',Summary),filters:!(),index:'emp_*',interval:auto,query:(query_string:(analyze_wildcard:!t,query:'%22rtdc.l.rtdc.4002%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613</v>
      </c>
      <c r="B22" s="7">
        <v>4001</v>
      </c>
      <c r="C22" s="21" t="s">
        <v>194</v>
      </c>
      <c r="D22" s="21" t="s">
        <v>881</v>
      </c>
      <c r="E22" s="13">
        <v>43040.233310185184</v>
      </c>
      <c r="F22" s="13">
        <v>43040.237673611111</v>
      </c>
      <c r="G22" s="7">
        <v>50</v>
      </c>
      <c r="H22" s="21" t="s">
        <v>353</v>
      </c>
      <c r="I22" s="13">
        <v>43040.264988425923</v>
      </c>
      <c r="J22" s="7">
        <v>0</v>
      </c>
      <c r="K22" s="89" t="str">
        <f t="shared" si="0"/>
        <v>4001/4002</v>
      </c>
      <c r="L22" s="185" t="str">
        <f>VLOOKUP(A22,'Trips&amp;Operators'!$C$1:$G$99911,5,FALSE)</f>
        <v>STARKS ANGELINA</v>
      </c>
      <c r="M22" s="6">
        <f t="shared" si="1"/>
        <v>2.7314814811688848E-2</v>
      </c>
      <c r="N22" s="7">
        <f t="shared" si="2"/>
        <v>39.333333328831941</v>
      </c>
      <c r="O22" s="7"/>
      <c r="P22" s="7"/>
      <c r="Q22" s="22"/>
      <c r="R22" s="174"/>
      <c r="S22" s="221">
        <f t="shared" si="3"/>
        <v>1</v>
      </c>
      <c r="T22" s="174" t="str">
        <f t="shared" si="4"/>
        <v>Southbound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 t="shared" si="5"/>
        <v>https://d0f6bd738d7f1b3e5a7ca70fe4ff75f0.us-east-1.aws.found.io/app/kibana#/discover/Steve-Slow-Train-Analysis-(2080s-and-2083s)?_g=(refreshInterval:(display:Off,pause:!f,section:0,value:0),time:(from:'2017-11-01T04:35:58-0600',mode:absolute,to:'2017-11-01T07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" s="204" t="str">
        <f>IF(AA22&lt;VLOOKUP(AG22,Variables!$AC$3:$AD$8,2,FALSE),"Y","N")</f>
        <v>N</v>
      </c>
      <c r="X22" s="204">
        <f t="shared" si="6"/>
        <v>1</v>
      </c>
      <c r="Y22" s="204">
        <f t="shared" si="7"/>
        <v>23.296700000000001</v>
      </c>
      <c r="Z22" s="204">
        <f t="shared" si="8"/>
        <v>1.54E-2</v>
      </c>
      <c r="AA22" s="204">
        <f t="shared" si="9"/>
        <v>23.281300000000002</v>
      </c>
      <c r="AB22" s="54" t="e">
        <f>VLOOKUP(A22,Enforcements!$C$7:$K$10,8,0)</f>
        <v>#N/A</v>
      </c>
      <c r="AC22" s="51" t="e">
        <f>VLOOKUP(A22,Enforcements!$C$7:$E$10,3,0)</f>
        <v>#N/A</v>
      </c>
      <c r="AD22" s="179">
        <f t="shared" si="10"/>
        <v>110</v>
      </c>
      <c r="AE22" s="77" t="str">
        <f t="shared" si="11"/>
        <v>aws s3 cp s3://rtdc.mdm.uploadarchive.raw/RTDC4001/ "%USERPROFILE%\AppData\Local\Temp\OnboardLogs"\RTDC4001\2017-11-01 --exclude "*" --recursive --include "*20171101*" &amp; "%USERPROFILE%\Documents\GitHub\mrs-test-scripts\Headless Mode &amp; Sideloading\WalkAndUnGZ.bat" "%USERPROFILE%\AppData\Local\Temp\OnboardLogs"\RTDC4001\2017-11-01 &amp; aws s3 cp s3://rtdc.mdm.uploadarchive.raw/RTDC4001/ "%USERPROFILE%\AppData\Local\Temp\OnboardLogs"\RTDC4001\2017-11-02 --exclude "*" --recursive --include "*20171102*" &amp; "%USERPROFILE%\Documents\GitHub\mrs-test-scripts\Headless Mode &amp; Sideloading\WalkAndUnGZ.bat" "%USERPROFILE%\AppData\Local\Temp\OnboardLogs"\RTDC4001\2017-11-02</v>
      </c>
      <c r="AF22" s="74" t="str">
        <f t="shared" si="12"/>
        <v>"C:\Program Files (x86)\AstroGrep\AstroGrep.exe" /e /r /s /spath="%USERPROFILE%\AppData\Local\Temp\OnboardLogs" /stypes="app*4001*20171101*" /stext=" 12:.+((SYSTEM_STATE.+slice.+state.+changed )|(ment ac)|(multiple cpu faults)|(system.+state.+changed )|(\[timeout)|(PRM\|1\|D)|(kpr)|(kdp)|(train st.+moving)|(\|lc)|(penalty))"</v>
      </c>
      <c r="AG22" s="182" t="str">
        <f t="shared" si="13"/>
        <v>EC</v>
      </c>
      <c r="AH22" s="78" t="str">
        <f t="shared" si="19"/>
        <v>"%USERPROFILE%\Documents\GitHub\eaglep3\Utilities\RefineRTDCRunTimes.py" --tripid 110-01 --locoid 4001 --swversion DE.1.0.9.0 --startMP 204:232967 --initTime 2017-11-01T05:35:58 --startdatetime 2017-11-01T05:42:15 --delay 50 --endMP 204:154 --enddatetime 2017-11-01T06:21:35 --enforcementcount 0 &gt;&gt;%USERPROFILE%\Documents\GitHub\eaglep3-reporting\EC\2017-11-01-refined-times.txt</v>
      </c>
      <c r="AI22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{"issue":{"subject":"","project_id":79,"tracker_id":40,"status_id":1,"priority_id":2,"assigned_to_id":338,"start_date":"2017-11-01","description":"","custom_fields":[{"id":1,"name":"Subdivision","value":"EC"},{"id":4,"name":"Milepost","value":"0.0154"},{"id":17,"name":"Train ID","value":"110-01"},{"id":16,"name":"Locomotive ID","value":"4001"},{"id":130,"name":"Impact","value":""},{"id":150,"name":"Time of Event (Mountain Time)","value":"06:21:35"},{"id":151,"name":"Denver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0"/>
      <c r="AK22" s="47"/>
      <c r="AL22" s="47"/>
      <c r="AM22" s="142" t="str">
        <f t="shared" si="21"/>
        <v>start /low /b %USERPROFILE%\Documents\GitHub\eaglep3\Utilities\DownloadLogsFromS3.py --loco 4001 --day 2017-11-01</v>
      </c>
      <c r="AN22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12:21:35"},{"id":29,"name":"Sharepoint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23"/>
        <v>https://d0f6bd738d7f1b3e5a7ca70fe4ff75f0.us-east-1.aws.found.io/app/kibana#/discover/Steve-Slow-Train-Analysis-(2080s-and-2083s)?_g=(refreshInterval:(display:Off,pause:!f,section:0,value:0),time:(from:'2017-11-01T04:35:58-0600',mode:absolute,to:'2017-11-01T07:21:35-0600'))&amp;_a=(columns:!('Message%20ID',Summary),filters:!(),index:'emp_*',interval:auto,query:(query_string:(analyze_wildcard:!t,query:'%22rtdc.l.rtdc.4001%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673</v>
      </c>
      <c r="B23" s="7">
        <v>4064</v>
      </c>
      <c r="C23" s="21" t="s">
        <v>194</v>
      </c>
      <c r="D23" s="21" t="s">
        <v>347</v>
      </c>
      <c r="E23" s="13">
        <v>43040.207002314812</v>
      </c>
      <c r="F23" s="13">
        <v>43040.208541666667</v>
      </c>
      <c r="G23" s="7">
        <v>52</v>
      </c>
      <c r="H23" s="21" t="s">
        <v>882</v>
      </c>
      <c r="I23" s="13">
        <v>43040.233807870369</v>
      </c>
      <c r="J23" s="7">
        <v>0</v>
      </c>
      <c r="K23" s="89" t="str">
        <f t="shared" si="0"/>
        <v>4063/4064</v>
      </c>
      <c r="L23" s="185" t="str">
        <f>VLOOKUP(A23,'Trips&amp;Operators'!$C$1:$G$99911,5,FALSE)</f>
        <v>BONDS REYNALDO</v>
      </c>
      <c r="M23" s="6">
        <f t="shared" si="1"/>
        <v>2.5266203701903578E-2</v>
      </c>
      <c r="N23" s="7">
        <f t="shared" si="2"/>
        <v>36.383333330741152</v>
      </c>
      <c r="O23" s="7"/>
      <c r="P23" s="7"/>
      <c r="Q23" s="22"/>
      <c r="R23" s="174"/>
      <c r="S23" s="221">
        <f t="shared" si="3"/>
        <v>1</v>
      </c>
      <c r="T23" s="174" t="str">
        <f t="shared" si="4"/>
        <v>NorthBound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 t="shared" si="5"/>
        <v>https://d0f6bd738d7f1b3e5a7ca70fe4ff75f0.us-east-1.aws.found.io/app/kibana#/discover/Steve-Slow-Train-Analysis-(2080s-and-2083s)?_g=(refreshInterval:(display:Off,pause:!f,section:0,value:0),time:(from:'2017-11-01T03:58:05-0600',mode:absolute,to:'2017-11-01T06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" s="204" t="str">
        <f>IF(AA23&lt;VLOOKUP(AG23,Variables!$AC$3:$AD$8,2,FALSE),"Y","N")</f>
        <v>N</v>
      </c>
      <c r="X23" s="204">
        <f t="shared" si="6"/>
        <v>1</v>
      </c>
      <c r="Y23" s="204">
        <f t="shared" si="7"/>
        <v>4.58E-2</v>
      </c>
      <c r="Z23" s="204">
        <f t="shared" si="8"/>
        <v>23.3276</v>
      </c>
      <c r="AA23" s="204">
        <f t="shared" si="9"/>
        <v>23.2818</v>
      </c>
      <c r="AB23" s="54" t="e">
        <f>VLOOKUP(A23,Enforcements!$C$7:$K$10,8,0)</f>
        <v>#N/A</v>
      </c>
      <c r="AC23" s="51" t="e">
        <f>VLOOKUP(A23,Enforcements!$C$7:$E$10,3,0)</f>
        <v>#N/A</v>
      </c>
      <c r="AD23" s="179">
        <f t="shared" si="10"/>
        <v>111</v>
      </c>
      <c r="AE23" s="77" t="str">
        <f t="shared" si="11"/>
        <v>aws s3 cp s3://rtdc.mdm.uploadarchive.raw/RTDC4064/ "%USERPROFILE%\AppData\Local\Temp\OnboardLogs"\RTDC4064\2017-11-01 --exclude "*" --recursive --include "*20171101*" &amp; "%USERPROFILE%\Documents\GitHub\mrs-test-scripts\Headless Mode &amp; Sideloading\WalkAndUnGZ.bat" "%USERPROFILE%\AppData\Local\Temp\OnboardLogs"\RTDC4064\2017-11-01 &amp; aws s3 cp s3://rtdc.mdm.uploadarchive.raw/RTDC4064/ "%USERPROFILE%\AppData\Local\Temp\OnboardLogs"\RTDC4064\2017-11-02 --exclude "*" --recursive --include "*20171102*" &amp; "%USERPROFILE%\Documents\GitHub\mrs-test-scripts\Headless Mode &amp; Sideloading\WalkAndUnGZ.bat" "%USERPROFILE%\AppData\Local\Temp\OnboardLogs"\RTDC4064\2017-11-02</v>
      </c>
      <c r="AF23" s="74" t="str">
        <f t="shared" si="12"/>
        <v>"C:\Program Files (x86)\AstroGrep\AstroGrep.exe" /e /r /s /spath="%USERPROFILE%\AppData\Local\Temp\OnboardLogs" /stypes="app*4064*20171101*" /stext=" 11:.+((SYSTEM_STATE.+slice.+state.+changed )|(ment ac)|(multiple cpu faults)|(system.+state.+changed )|(\[timeout)|(PRM\|1\|D)|(kpr)|(kdp)|(train st.+moving)|(\|lc)|(penalty))"</v>
      </c>
      <c r="AG23" s="182" t="str">
        <f t="shared" si="13"/>
        <v>EC</v>
      </c>
      <c r="AH23" s="78" t="str">
        <f t="shared" si="19"/>
        <v>"%USERPROFILE%\Documents\GitHub\eaglep3\Utilities\RefineRTDCRunTimes.py" --tripid 111-01 --locoid 4064 --swversion DE.1.0.9.0 --startMP 204:458 --initTime 2017-11-01T04:58:05 --startdatetime 2017-11-01T05:00:18 --delay 52 --endMP 204:233276 --enddatetime 2017-11-01T05:36:41 --enforcementcount 0 &gt;&gt;%USERPROFILE%\Documents\GitHub\eaglep3-reporting\EC\2017-11-01-refined-times.txt</v>
      </c>
      <c r="AI23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{"issue":{"subject":"","project_id":79,"tracker_id":40,"status_id":1,"priority_id":2,"assigned_to_id":338,"start_date":"2017-11-01","description":"","custom_fields":[{"id":1,"name":"Subdivision","value":"EC"},{"id":4,"name":"Milepost","value":"23.3276"},{"id":17,"name":"Train ID","value":"111-01"},{"id":16,"name":"Locomotive ID","value":"4064"},{"id":130,"name":"Impact","value":""},{"id":150,"name":"Time of Event (Mountain Time)","value":"05:36:41"},{"id":151,"name":"Denver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0"/>
      <c r="AK23" s="47"/>
      <c r="AL23" s="47"/>
      <c r="AM23" s="142" t="str">
        <f t="shared" si="21"/>
        <v>start /low /b %USERPROFILE%\Documents\GitHub\eaglep3\Utilities\DownloadLogsFromS3.py --loco 4064 --day 2017-11-01</v>
      </c>
      <c r="AN23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11:36:41"},{"id":29,"name":"Sharepoint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23"/>
        <v>https://d0f6bd738d7f1b3e5a7ca70fe4ff75f0.us-east-1.aws.found.io/app/kibana#/discover/Steve-Slow-Train-Analysis-(2080s-and-2083s)?_g=(refreshInterval:(display:Off,pause:!f,section:0,value:0),time:(from:'2017-11-01T03:58:05-0600',mode:absolute,to:'2017-11-01T06:36:41-0600'))&amp;_a=(columns:!('Message%20ID',Summary),filters:!(),index:'emp_*',interval:auto,query:(query_string:(analyze_wildcard:!t,query:'%22rtdc.l.rtdc.4064%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686</v>
      </c>
      <c r="B24" s="7">
        <v>4063</v>
      </c>
      <c r="C24" s="21" t="s">
        <v>194</v>
      </c>
      <c r="D24" s="21" t="s">
        <v>883</v>
      </c>
      <c r="E24" s="13">
        <v>43040.244687500002</v>
      </c>
      <c r="F24" s="13">
        <v>43040.248113425929</v>
      </c>
      <c r="G24" s="7">
        <v>55</v>
      </c>
      <c r="H24" s="21" t="s">
        <v>884</v>
      </c>
      <c r="I24" s="13">
        <v>43040.275277777779</v>
      </c>
      <c r="J24" s="7">
        <v>0</v>
      </c>
      <c r="K24" s="89" t="str">
        <f t="shared" si="0"/>
        <v>4063/4064</v>
      </c>
      <c r="L24" s="185" t="str">
        <f>VLOOKUP(A24,'Trips&amp;Operators'!$C$1:$G$99911,5,FALSE)</f>
        <v>BONDS REYNALDO</v>
      </c>
      <c r="M24" s="6">
        <f t="shared" si="1"/>
        <v>2.7164351849933155E-2</v>
      </c>
      <c r="N24" s="7">
        <f t="shared" si="2"/>
        <v>39.116666663903743</v>
      </c>
      <c r="O24" s="7"/>
      <c r="P24" s="7"/>
      <c r="Q24" s="22"/>
      <c r="R24" s="174"/>
      <c r="S24" s="221">
        <f t="shared" si="3"/>
        <v>1</v>
      </c>
      <c r="T24" s="174" t="str">
        <f t="shared" si="4"/>
        <v>Southbound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 t="shared" si="5"/>
        <v>https://d0f6bd738d7f1b3e5a7ca70fe4ff75f0.us-east-1.aws.found.io/app/kibana#/discover/Steve-Slow-Train-Analysis-(2080s-and-2083s)?_g=(refreshInterval:(display:Off,pause:!f,section:0,value:0),time:(from:'2017-11-01T04:52:21-0600',mode:absolute,to:'2017-11-01T07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4" s="204" t="str">
        <f>IF(AA24&lt;VLOOKUP(AG24,Variables!$AC$3:$AD$8,2,FALSE),"Y","N")</f>
        <v>N</v>
      </c>
      <c r="X24" s="204">
        <f t="shared" si="6"/>
        <v>1</v>
      </c>
      <c r="Y24" s="204">
        <f t="shared" si="7"/>
        <v>23.295999999999999</v>
      </c>
      <c r="Z24" s="204">
        <f t="shared" si="8"/>
        <v>1.47E-2</v>
      </c>
      <c r="AA24" s="204">
        <f t="shared" si="9"/>
        <v>23.281299999999998</v>
      </c>
      <c r="AB24" s="54" t="e">
        <f>VLOOKUP(A24,Enforcements!$C$7:$K$10,8,0)</f>
        <v>#N/A</v>
      </c>
      <c r="AC24" s="51" t="e">
        <f>VLOOKUP(A24,Enforcements!$C$7:$E$10,3,0)</f>
        <v>#N/A</v>
      </c>
      <c r="AD24" s="179">
        <f t="shared" si="10"/>
        <v>112</v>
      </c>
      <c r="AE24" s="77" t="str">
        <f t="shared" si="11"/>
        <v>aws s3 cp s3://rtdc.mdm.uploadarchive.raw/RTDC4063/ "%USERPROFILE%\AppData\Local\Temp\OnboardLogs"\RTDC4063\2017-11-01 --exclude "*" --recursive --include "*20171101*" &amp; "%USERPROFILE%\Documents\GitHub\mrs-test-scripts\Headless Mode &amp; Sideloading\WalkAndUnGZ.bat" "%USERPROFILE%\AppData\Local\Temp\OnboardLogs"\RTDC4063\2017-11-01 &amp; aws s3 cp s3://rtdc.mdm.uploadarchive.raw/RTDC4063/ "%USERPROFILE%\AppData\Local\Temp\OnboardLogs"\RTDC4063\2017-11-02 --exclude "*" --recursive --include "*20171102*" &amp; "%USERPROFILE%\Documents\GitHub\mrs-test-scripts\Headless Mode &amp; Sideloading\WalkAndUnGZ.bat" "%USERPROFILE%\AppData\Local\Temp\OnboardLogs"\RTDC4063\2017-11-02</v>
      </c>
      <c r="AF24" s="74" t="str">
        <f t="shared" si="12"/>
        <v>"C:\Program Files (x86)\AstroGrep\AstroGrep.exe" /e /r /s /spath="%USERPROFILE%\AppData\Local\Temp\OnboardLogs" /stypes="app*4063*20171101*" /stext=" 12:.+((SYSTEM_STATE.+slice.+state.+changed )|(ment ac)|(multiple cpu faults)|(system.+state.+changed )|(\[timeout)|(PRM\|1\|D)|(kpr)|(kdp)|(train st.+moving)|(\|lc)|(penalty))"</v>
      </c>
      <c r="AG24" s="182" t="str">
        <f t="shared" si="13"/>
        <v>EC</v>
      </c>
      <c r="AH24" s="78" t="str">
        <f t="shared" si="19"/>
        <v>"%USERPROFILE%\Documents\GitHub\eaglep3\Utilities\RefineRTDCRunTimes.py" --tripid 112-01 --locoid 4063 --swversion DE.1.0.9.0 --startMP 204:232960 --initTime 2017-11-01T05:52:21 --startdatetime 2017-11-01T05:57:17 --delay 55 --endMP 204:147 --enddatetime 2017-11-01T06:36:24 --enforcementcount 0 &gt;&gt;%USERPROFILE%\Documents\GitHub\eaglep3-reporting\EC\2017-11-01-refined-times.txt</v>
      </c>
      <c r="AI24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{"issue":{"subject":"","project_id":79,"tracker_id":40,"status_id":1,"priority_id":2,"assigned_to_id":338,"start_date":"2017-11-01","description":"","custom_fields":[{"id":1,"name":"Subdivision","value":"EC"},{"id":4,"name":"Milepost","value":"0.0147"},{"id":17,"name":"Train ID","value":"112-01"},{"id":16,"name":"Locomotive ID","value":"4063"},{"id":130,"name":"Impact","value":""},{"id":150,"name":"Time of Event (Mountain Time)","value":"06:36:24"},{"id":151,"name":"Denver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0"/>
      <c r="AK24" s="47"/>
      <c r="AL24" s="47"/>
      <c r="AM24" s="142" t="str">
        <f t="shared" si="21"/>
        <v>start /low /b %USERPROFILE%\Documents\GitHub\eaglep3\Utilities\DownloadLogsFromS3.py --loco 4063 --day 2017-11-01</v>
      </c>
      <c r="AN24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12:36:24"},{"id":29,"name":"Sharepoint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23"/>
        <v>https://d0f6bd738d7f1b3e5a7ca70fe4ff75f0.us-east-1.aws.found.io/app/kibana#/discover/Steve-Slow-Train-Analysis-(2080s-and-2083s)?_g=(refreshInterval:(display:Off,pause:!f,section:0,value:0),time:(from:'2017-11-01T04:52:21-0600',mode:absolute,to:'2017-11-01T07:36:24-0600'))&amp;_a=(columns:!('Message%20ID',Summary),filters:!(),index:'emp_*',interval:auto,query:(query_string:(analyze_wildcard:!t,query:'%22rtdc.l.rtdc.4063%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675</v>
      </c>
      <c r="B25" s="7">
        <v>4044</v>
      </c>
      <c r="C25" s="21" t="s">
        <v>194</v>
      </c>
      <c r="D25" s="21" t="s">
        <v>439</v>
      </c>
      <c r="E25" s="13">
        <v>43040.209155092591</v>
      </c>
      <c r="F25" s="13">
        <v>43040.218923611108</v>
      </c>
      <c r="G25" s="7">
        <v>105</v>
      </c>
      <c r="H25" s="21" t="s">
        <v>880</v>
      </c>
      <c r="I25" s="13">
        <v>43040.244050925925</v>
      </c>
      <c r="J25" s="7">
        <v>0</v>
      </c>
      <c r="K25" s="89" t="str">
        <f t="shared" si="0"/>
        <v>4043/4044</v>
      </c>
      <c r="L25" s="185" t="str">
        <f>VLOOKUP(A25,'Trips&amp;Operators'!$C$1:$G$99911,5,FALSE)</f>
        <v>AUSTIN THOMPSON</v>
      </c>
      <c r="M25" s="6">
        <f t="shared" si="1"/>
        <v>2.5127314816927537E-2</v>
      </c>
      <c r="N25" s="7">
        <f t="shared" si="2"/>
        <v>36.183333336375654</v>
      </c>
      <c r="O25" s="7"/>
      <c r="P25" s="7"/>
      <c r="Q25" s="22"/>
      <c r="R25" s="174"/>
      <c r="S25" s="221">
        <f t="shared" si="3"/>
        <v>1</v>
      </c>
      <c r="T25" s="174" t="str">
        <f t="shared" si="4"/>
        <v>NorthBound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 t="shared" si="5"/>
        <v>https://d0f6bd738d7f1b3e5a7ca70fe4ff75f0.us-east-1.aws.found.io/app/kibana#/discover/Steve-Slow-Train-Analysis-(2080s-and-2083s)?_g=(refreshInterval:(display:Off,pause:!f,section:0,value:0),time:(from:'2017-11-01T04:01:11-0600',mode:absolute,to:'2017-11-01T06:51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5" s="204" t="str">
        <f>IF(AA25&lt;VLOOKUP(AG25,Variables!$AC$3:$AD$8,2,FALSE),"Y","N")</f>
        <v>N</v>
      </c>
      <c r="X25" s="204">
        <f t="shared" si="6"/>
        <v>1</v>
      </c>
      <c r="Y25" s="204">
        <f t="shared" si="7"/>
        <v>4.6600000000000003E-2</v>
      </c>
      <c r="Z25" s="204">
        <f t="shared" si="8"/>
        <v>23.328900000000001</v>
      </c>
      <c r="AA25" s="204">
        <f t="shared" si="9"/>
        <v>23.282299999999999</v>
      </c>
      <c r="AB25" s="54" t="e">
        <f>VLOOKUP(A25,Enforcements!$C$7:$K$10,8,0)</f>
        <v>#N/A</v>
      </c>
      <c r="AC25" s="51" t="e">
        <f>VLOOKUP(A25,Enforcements!$C$7:$E$10,3,0)</f>
        <v>#N/A</v>
      </c>
      <c r="AD25" s="179">
        <f t="shared" si="10"/>
        <v>113</v>
      </c>
      <c r="AE25" s="77" t="str">
        <f t="shared" si="11"/>
        <v>aws s3 cp s3://rtdc.mdm.uploadarchive.raw/RTDC4044/ "%USERPROFILE%\AppData\Local\Temp\OnboardLogs"\RTDC4044\2017-11-01 --exclude "*" --recursive --include "*20171101*" &amp; "%USERPROFILE%\Documents\GitHub\mrs-test-scripts\Headless Mode &amp; Sideloading\WalkAndUnGZ.bat" "%USERPROFILE%\AppData\Local\Temp\OnboardLogs"\RTDC4044\2017-11-01 &amp; aws s3 cp s3://rtdc.mdm.uploadarchive.raw/RTDC4044/ "%USERPROFILE%\AppData\Local\Temp\OnboardLogs"\RTDC4044\2017-11-02 --exclude "*" --recursive --include "*20171102*" &amp; "%USERPROFILE%\Documents\GitHub\mrs-test-scripts\Headless Mode &amp; Sideloading\WalkAndUnGZ.bat" "%USERPROFILE%\AppData\Local\Temp\OnboardLogs"\RTDC4044\2017-11-02</v>
      </c>
      <c r="AF25" s="74" t="str">
        <f t="shared" si="12"/>
        <v>"C:\Program Files (x86)\AstroGrep\AstroGrep.exe" /e /r /s /spath="%USERPROFILE%\AppData\Local\Temp\OnboardLogs" /stypes="app*4044*20171101*" /stext=" 11:.+((SYSTEM_STATE.+slice.+state.+changed )|(ment ac)|(multiple cpu faults)|(system.+state.+changed )|(\[timeout)|(PRM\|1\|D)|(kpr)|(kdp)|(train st.+moving)|(\|lc)|(penalty))"</v>
      </c>
      <c r="AG25" s="182" t="str">
        <f t="shared" si="13"/>
        <v>EC</v>
      </c>
      <c r="AH25" s="78" t="str">
        <f t="shared" si="19"/>
        <v>"%USERPROFILE%\Documents\GitHub\eaglep3\Utilities\RefineRTDCRunTimes.py" --tripid 113-01 --locoid 4044 --swversion DE.1.0.9.0 --startMP 204:466 --initTime 2017-11-01T05:01:11 --startdatetime 2017-11-01T05:15:15 --delay 105 --endMP 204:233289 --enddatetime 2017-11-01T05:51:26 --enforcementcount 0 &gt;&gt;%USERPROFILE%\Documents\GitHub\eaglep3-reporting\EC\2017-11-01-refined-times.txt</v>
      </c>
      <c r="AI25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{"issue":{"subject":"","project_id":79,"tracker_id":40,"status_id":1,"priority_id":2,"assigned_to_id":338,"start_date":"2017-11-01","description":"","custom_fields":[{"id":1,"name":"Subdivision","value":"EC"},{"id":4,"name":"Milepost","value":"23.3289"},{"id":17,"name":"Train ID","value":"113-01"},{"id":16,"name":"Locomotive ID","value":"4044"},{"id":130,"name":"Impact","value":""},{"id":150,"name":"Time of Event (Mountain Time)","value":"05:51:26"},{"id":151,"name":"Denver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0"/>
      <c r="AK25" s="47"/>
      <c r="AL25" s="47"/>
      <c r="AM25" s="142" t="str">
        <f t="shared" si="21"/>
        <v>start /low /b %USERPROFILE%\Documents\GitHub\eaglep3\Utilities\DownloadLogsFromS3.py --loco 4044 --day 2017-11-01</v>
      </c>
      <c r="AN25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11:51:26"},{"id":29,"name":"Sharepoint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23"/>
        <v>https://d0f6bd738d7f1b3e5a7ca70fe4ff75f0.us-east-1.aws.found.io/app/kibana#/discover/Steve-Slow-Train-Analysis-(2080s-and-2083s)?_g=(refreshInterval:(display:Off,pause:!f,section:0,value:0),time:(from:'2017-11-01T04:01:11-0600',mode:absolute,to:'2017-11-01T06:51:26-0600'))&amp;_a=(columns:!('Message%20ID',Summary),filters:!(),index:'emp_*',interval:auto,query:(query_string:(analyze_wildcard:!t,query:'%22rtdc.l.rtdc.4044%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687</v>
      </c>
      <c r="B26" s="7">
        <v>4043</v>
      </c>
      <c r="C26" s="21" t="s">
        <v>194</v>
      </c>
      <c r="D26" s="21" t="s">
        <v>573</v>
      </c>
      <c r="E26" s="13">
        <v>43040.245243055557</v>
      </c>
      <c r="F26" s="13">
        <v>43040.258506944447</v>
      </c>
      <c r="G26" s="7">
        <v>60</v>
      </c>
      <c r="H26" s="21" t="s">
        <v>334</v>
      </c>
      <c r="I26" s="13">
        <v>43040.284363425926</v>
      </c>
      <c r="J26" s="7">
        <v>0</v>
      </c>
      <c r="K26" s="89" t="str">
        <f t="shared" si="0"/>
        <v>4043/4044</v>
      </c>
      <c r="L26" s="185" t="str">
        <f>VLOOKUP(A26,'Trips&amp;Operators'!$C$1:$G$99911,5,FALSE)</f>
        <v>AUSTIN THOMPSON</v>
      </c>
      <c r="M26" s="6">
        <f t="shared" si="1"/>
        <v>2.5856481479422655E-2</v>
      </c>
      <c r="N26" s="7">
        <f t="shared" si="2"/>
        <v>37.233333330368623</v>
      </c>
      <c r="O26" s="7"/>
      <c r="P26" s="7"/>
      <c r="Q26" s="22"/>
      <c r="R26" s="174"/>
      <c r="S26" s="221">
        <f t="shared" si="3"/>
        <v>1</v>
      </c>
      <c r="T26" s="174" t="str">
        <f t="shared" si="4"/>
        <v>Southbound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 t="shared" si="5"/>
        <v>https://d0f6bd738d7f1b3e5a7ca70fe4ff75f0.us-east-1.aws.found.io/app/kibana#/discover/Steve-Slow-Train-Analysis-(2080s-and-2083s)?_g=(refreshInterval:(display:Off,pause:!f,section:0,value:0),time:(from:'2017-11-01T04:53:09-0600',mode:absolute,to:'2017-11-01T07:49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6" s="204" t="str">
        <f>IF(AA26&lt;VLOOKUP(AG26,Variables!$AC$3:$AD$8,2,FALSE),"Y","N")</f>
        <v>N</v>
      </c>
      <c r="X26" s="204">
        <f t="shared" si="6"/>
        <v>1</v>
      </c>
      <c r="Y26" s="204">
        <f t="shared" si="7"/>
        <v>23.298400000000001</v>
      </c>
      <c r="Z26" s="204">
        <f t="shared" si="8"/>
        <v>1.4999999999999999E-2</v>
      </c>
      <c r="AA26" s="204">
        <f t="shared" si="9"/>
        <v>23.2834</v>
      </c>
      <c r="AB26" s="54" t="e">
        <f>VLOOKUP(A26,Enforcements!$C$7:$K$10,8,0)</f>
        <v>#N/A</v>
      </c>
      <c r="AC26" s="51" t="e">
        <f>VLOOKUP(A26,Enforcements!$C$7:$E$10,3,0)</f>
        <v>#N/A</v>
      </c>
      <c r="AD26" s="179">
        <f t="shared" si="10"/>
        <v>114</v>
      </c>
      <c r="AE26" s="77" t="str">
        <f t="shared" si="11"/>
        <v>aws s3 cp s3://rtdc.mdm.uploadarchive.raw/RTDC4043/ "%USERPROFILE%\AppData\Local\Temp\OnboardLogs"\RTDC4043\2017-11-01 --exclude "*" --recursive --include "*20171101*" &amp; "%USERPROFILE%\Documents\GitHub\mrs-test-scripts\Headless Mode &amp; Sideloading\WalkAndUnGZ.bat" "%USERPROFILE%\AppData\Local\Temp\OnboardLogs"\RTDC4043\2017-11-01 &amp; aws s3 cp s3://rtdc.mdm.uploadarchive.raw/RTDC4043/ "%USERPROFILE%\AppData\Local\Temp\OnboardLogs"\RTDC4043\2017-11-02 --exclude "*" --recursive --include "*20171102*" &amp; "%USERPROFILE%\Documents\GitHub\mrs-test-scripts\Headless Mode &amp; Sideloading\WalkAndUnGZ.bat" "%USERPROFILE%\AppData\Local\Temp\OnboardLogs"\RTDC4043\2017-11-02</v>
      </c>
      <c r="AF26" s="74" t="str">
        <f t="shared" si="12"/>
        <v>"C:\Program Files (x86)\AstroGrep\AstroGrep.exe" /e /r /s /spath="%USERPROFILE%\AppData\Local\Temp\OnboardLogs" /stypes="app*4043*20171101*" /stext=" 12:.+((SYSTEM_STATE.+slice.+state.+changed )|(ment ac)|(multiple cpu faults)|(system.+state.+changed )|(\[timeout)|(PRM\|1\|D)|(kpr)|(kdp)|(train st.+moving)|(\|lc)|(penalty))"</v>
      </c>
      <c r="AG26" s="182" t="str">
        <f t="shared" si="13"/>
        <v>EC</v>
      </c>
      <c r="AH26" s="78" t="str">
        <f t="shared" si="19"/>
        <v>"%USERPROFILE%\Documents\GitHub\eaglep3\Utilities\RefineRTDCRunTimes.py" --tripid 114-01 --locoid 4043 --swversion DE.1.0.9.0 --startMP 204:232984 --initTime 2017-11-01T05:53:09 --startdatetime 2017-11-01T06:12:15 --delay 60 --endMP 204:150 --enddatetime 2017-11-01T06:49:29 --enforcementcount 0 &gt;&gt;%USERPROFILE%\Documents\GitHub\eaglep3-reporting\EC\2017-11-01-refined-times.txt</v>
      </c>
      <c r="AI26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{"issue":{"subject":"","project_id":79,"tracker_id":40,"status_id":1,"priority_id":2,"assigned_to_id":338,"start_date":"2017-11-01","description":"","custom_fields":[{"id":1,"name":"Subdivision","value":"EC"},{"id":4,"name":"Milepost","value":"0.015"},{"id":17,"name":"Train ID","value":"114-01"},{"id":16,"name":"Locomotive ID","value":"4043"},{"id":130,"name":"Impact","value":""},{"id":150,"name":"Time of Event (Mountain Time)","value":"06:49:29"},{"id":151,"name":"Denver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0"/>
      <c r="AK26" s="47"/>
      <c r="AL26" s="47"/>
      <c r="AM26" s="142" t="str">
        <f t="shared" si="21"/>
        <v>start /low /b %USERPROFILE%\Documents\GitHub\eaglep3\Utilities\DownloadLogsFromS3.py --loco 4043 --day 2017-11-01</v>
      </c>
      <c r="AN26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12:49:29"},{"id":29,"name":"Sharepoint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23"/>
        <v>https://d0f6bd738d7f1b3e5a7ca70fe4ff75f0.us-east-1.aws.found.io/app/kibana#/discover/Steve-Slow-Train-Analysis-(2080s-and-2083s)?_g=(refreshInterval:(display:Off,pause:!f,section:0,value:0),time:(from:'2017-11-01T04:53:09-0600',mode:absolute,to:'2017-11-01T07:49:29-0600'))&amp;_a=(columns:!('Message%20ID',Summary),filters:!(),index:'emp_*',interval:auto,query:(query_string:(analyze_wildcard:!t,query:'%22rtdc.l.rtdc.4043%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611</v>
      </c>
      <c r="B27" s="7">
        <v>4014</v>
      </c>
      <c r="C27" s="21" t="s">
        <v>194</v>
      </c>
      <c r="D27" s="21" t="s">
        <v>561</v>
      </c>
      <c r="E27" s="13">
        <v>43040.227210648147</v>
      </c>
      <c r="F27" s="13">
        <v>43040.229456018518</v>
      </c>
      <c r="G27" s="7">
        <v>52</v>
      </c>
      <c r="H27" s="21" t="s">
        <v>444</v>
      </c>
      <c r="I27" s="13">
        <v>43040.255902777775</v>
      </c>
      <c r="J27" s="7">
        <v>0</v>
      </c>
      <c r="K27" s="89" t="str">
        <f t="shared" si="0"/>
        <v>4013/4014</v>
      </c>
      <c r="L27" s="185" t="str">
        <f>VLOOKUP(A27,'Trips&amp;Operators'!$C$1:$G$99911,5,FALSE)</f>
        <v>THOMPSON LESTER</v>
      </c>
      <c r="M27" s="6">
        <f t="shared" si="1"/>
        <v>2.6446759256941732E-2</v>
      </c>
      <c r="N27" s="7">
        <f t="shared" si="2"/>
        <v>38.083333329996094</v>
      </c>
      <c r="O27" s="7"/>
      <c r="P27" s="7"/>
      <c r="Q27" s="22"/>
      <c r="R27" s="174"/>
      <c r="S27" s="221">
        <f t="shared" si="3"/>
        <v>1</v>
      </c>
      <c r="T27" s="174" t="str">
        <f t="shared" si="4"/>
        <v>NorthBound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 t="shared" si="5"/>
        <v>https://d0f6bd738d7f1b3e5a7ca70fe4ff75f0.us-east-1.aws.found.io/app/kibana#/discover/Steve-Slow-Train-Analysis-(2080s-and-2083s)?_g=(refreshInterval:(display:Off,pause:!f,section:0,value:0),time:(from:'2017-11-01T04:27:11-0600',mode:absolute,to:'2017-11-01T07:08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7" s="204" t="str">
        <f>IF(AA27&lt;VLOOKUP(AG27,Variables!$AC$3:$AD$8,2,FALSE),"Y","N")</f>
        <v>N</v>
      </c>
      <c r="X27" s="204">
        <f t="shared" si="6"/>
        <v>1</v>
      </c>
      <c r="Y27" s="204">
        <f t="shared" si="7"/>
        <v>4.6199999999999998E-2</v>
      </c>
      <c r="Z27" s="204">
        <f t="shared" si="8"/>
        <v>23.3263</v>
      </c>
      <c r="AA27" s="204">
        <f t="shared" si="9"/>
        <v>23.280100000000001</v>
      </c>
      <c r="AB27" s="54" t="e">
        <f>VLOOKUP(A27,Enforcements!$C$7:$K$10,8,0)</f>
        <v>#N/A</v>
      </c>
      <c r="AC27" s="51" t="e">
        <f>VLOOKUP(A27,Enforcements!$C$7:$E$10,3,0)</f>
        <v>#N/A</v>
      </c>
      <c r="AD27" s="179">
        <f t="shared" si="10"/>
        <v>115</v>
      </c>
      <c r="AE27" s="77" t="str">
        <f t="shared" si="11"/>
        <v>aws s3 cp s3://rtdc.mdm.uploadarchive.raw/RTDC4014/ "%USERPROFILE%\AppData\Local\Temp\OnboardLogs"\RTDC4014\2017-11-01 --exclude "*" --recursive --include "*20171101*" &amp; "%USERPROFILE%\Documents\GitHub\mrs-test-scripts\Headless Mode &amp; Sideloading\WalkAndUnGZ.bat" "%USERPROFILE%\AppData\Local\Temp\OnboardLogs"\RTDC4014\2017-11-01 &amp; aws s3 cp s3://rtdc.mdm.uploadarchive.raw/RTDC4014/ "%USERPROFILE%\AppData\Local\Temp\OnboardLogs"\RTDC4014\2017-11-02 --exclude "*" --recursive --include "*20171102*" &amp; "%USERPROFILE%\Documents\GitHub\mrs-test-scripts\Headless Mode &amp; Sideloading\WalkAndUnGZ.bat" "%USERPROFILE%\AppData\Local\Temp\OnboardLogs"\RTDC4014\2017-11-02</v>
      </c>
      <c r="AF27" s="74" t="str">
        <f t="shared" si="12"/>
        <v>"C:\Program Files (x86)\AstroGrep\AstroGrep.exe" /e /r /s /spath="%USERPROFILE%\AppData\Local\Temp\OnboardLogs" /stypes="app*4014*20171101*" /stext=" 12:.+((SYSTEM_STATE.+slice.+state.+changed )|(ment ac)|(multiple cpu faults)|(system.+state.+changed )|(\[timeout)|(PRM\|1\|D)|(kpr)|(kdp)|(train st.+moving)|(\|lc)|(penalty))"</v>
      </c>
      <c r="AG27" s="182" t="str">
        <f t="shared" si="13"/>
        <v>EC</v>
      </c>
      <c r="AH27" s="78" t="str">
        <f t="shared" si="19"/>
        <v>"%USERPROFILE%\Documents\GitHub\eaglep3\Utilities\RefineRTDCRunTimes.py" --tripid 115-01 --locoid 4014 --swversion DE.1.0.9.0 --startMP 204:462 --initTime 2017-11-01T05:27:11 --startdatetime 2017-11-01T05:30:25 --delay 52 --endMP 204:233263 --enddatetime 2017-11-01T06:08:30 --enforcementcount 0 &gt;&gt;%USERPROFILE%\Documents\GitHub\eaglep3-reporting\EC\2017-11-01-refined-times.txt</v>
      </c>
      <c r="AI27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{"issue":{"subject":"","project_id":79,"tracker_id":40,"status_id":1,"priority_id":2,"assigned_to_id":338,"start_date":"2017-11-01","description":"","custom_fields":[{"id":1,"name":"Subdivision","value":"EC"},{"id":4,"name":"Milepost","value":"23.3263"},{"id":17,"name":"Train ID","value":"115-01"},{"id":16,"name":"Locomotive ID","value":"4014"},{"id":130,"name":"Impact","value":""},{"id":150,"name":"Time of Event (Mountain Time)","value":"06:08:30"},{"id":151,"name":"Denver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0"/>
      <c r="AK27" s="47"/>
      <c r="AL27" s="47"/>
      <c r="AM27" s="142" t="str">
        <f t="shared" si="21"/>
        <v>start /low /b %USERPROFILE%\Documents\GitHub\eaglep3\Utilities\DownloadLogsFromS3.py --loco 4014 --day 2017-11-01</v>
      </c>
      <c r="AN27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12:08:30"},{"id":29,"name":"Sharepoint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23"/>
        <v>https://d0f6bd738d7f1b3e5a7ca70fe4ff75f0.us-east-1.aws.found.io/app/kibana#/discover/Steve-Slow-Train-Analysis-(2080s-and-2083s)?_g=(refreshInterval:(display:Off,pause:!f,section:0,value:0),time:(from:'2017-11-01T04:27:11-0600',mode:absolute,to:'2017-11-01T07:08:30-0600'))&amp;_a=(columns:!('Message%20ID',Summary),filters:!(),index:'emp_*',interval:auto,query:(query_string:(analyze_wildcard:!t,query:'%22rtdc.l.rtdc.4014%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692</v>
      </c>
      <c r="B28" s="7">
        <v>4013</v>
      </c>
      <c r="C28" s="21" t="s">
        <v>194</v>
      </c>
      <c r="D28" s="21" t="s">
        <v>885</v>
      </c>
      <c r="E28" s="13">
        <v>43040.266087962962</v>
      </c>
      <c r="F28" s="13">
        <v>43040.268969907411</v>
      </c>
      <c r="G28" s="7">
        <v>52</v>
      </c>
      <c r="H28" s="21" t="s">
        <v>886</v>
      </c>
      <c r="I28" s="13">
        <v>43040.297106481485</v>
      </c>
      <c r="J28" s="7">
        <v>0</v>
      </c>
      <c r="K28" s="89" t="str">
        <f t="shared" si="0"/>
        <v>4013/4014</v>
      </c>
      <c r="L28" s="185" t="str">
        <f>VLOOKUP(A28,'Trips&amp;Operators'!$C$1:$G$99911,5,FALSE)</f>
        <v>THOMPSON LESTER</v>
      </c>
      <c r="M28" s="6">
        <f t="shared" si="1"/>
        <v>2.8136574073869269E-2</v>
      </c>
      <c r="N28" s="7">
        <f t="shared" si="2"/>
        <v>40.516666666371748</v>
      </c>
      <c r="O28" s="7"/>
      <c r="P28" s="7"/>
      <c r="Q28" s="22"/>
      <c r="R28" s="174"/>
      <c r="S28" s="221">
        <f t="shared" si="3"/>
        <v>1</v>
      </c>
      <c r="T28" s="174" t="str">
        <f t="shared" si="4"/>
        <v>Southbound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 t="shared" si="5"/>
        <v>https://d0f6bd738d7f1b3e5a7ca70fe4ff75f0.us-east-1.aws.found.io/app/kibana#/discover/Steve-Slow-Train-Analysis-(2080s-and-2083s)?_g=(refreshInterval:(display:Off,pause:!f,section:0,value:0),time:(from:'2017-11-01T05:23:10-0600',mode:absolute,to:'2017-11-01T08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8" s="204" t="str">
        <f>IF(AA28&lt;VLOOKUP(AG28,Variables!$AC$3:$AD$8,2,FALSE),"Y","N")</f>
        <v>N</v>
      </c>
      <c r="X28" s="204">
        <f t="shared" si="6"/>
        <v>1</v>
      </c>
      <c r="Y28" s="204">
        <f t="shared" si="7"/>
        <v>23.295300000000001</v>
      </c>
      <c r="Z28" s="204">
        <f t="shared" si="8"/>
        <v>1.49E-2</v>
      </c>
      <c r="AA28" s="204">
        <f t="shared" si="9"/>
        <v>23.2804</v>
      </c>
      <c r="AB28" s="54" t="e">
        <f>VLOOKUP(A28,Enforcements!$C$7:$K$10,8,0)</f>
        <v>#N/A</v>
      </c>
      <c r="AC28" s="51" t="e">
        <f>VLOOKUP(A28,Enforcements!$C$7:$E$10,3,0)</f>
        <v>#N/A</v>
      </c>
      <c r="AD28" s="179">
        <f t="shared" si="10"/>
        <v>116</v>
      </c>
      <c r="AE28" s="77" t="str">
        <f t="shared" si="11"/>
        <v>aws s3 cp s3://rtdc.mdm.uploadarchive.raw/RTDC4013/ "%USERPROFILE%\AppData\Local\Temp\OnboardLogs"\RTDC4013\2017-11-01 --exclude "*" --recursive --include "*20171101*" &amp; "%USERPROFILE%\Documents\GitHub\mrs-test-scripts\Headless Mode &amp; Sideloading\WalkAndUnGZ.bat" "%USERPROFILE%\AppData\Local\Temp\OnboardLogs"\RTDC4013\2017-11-01 &amp; aws s3 cp s3://rtdc.mdm.uploadarchive.raw/RTDC4013/ "%USERPROFILE%\AppData\Local\Temp\OnboardLogs"\RTDC4013\2017-11-02 --exclude "*" --recursive --include "*20171102*" &amp; "%USERPROFILE%\Documents\GitHub\mrs-test-scripts\Headless Mode &amp; Sideloading\WalkAndUnGZ.bat" "%USERPROFILE%\AppData\Local\Temp\OnboardLogs"\RTDC4013\2017-11-02</v>
      </c>
      <c r="AF28" s="74" t="str">
        <f t="shared" si="12"/>
        <v>"C:\Program Files (x86)\AstroGrep\AstroGrep.exe" /e /r /s /spath="%USERPROFILE%\AppData\Local\Temp\OnboardLogs" /stypes="app*4013*20171101*" /stext=" 13:.+((SYSTEM_STATE.+slice.+state.+changed )|(ment ac)|(multiple cpu faults)|(system.+state.+changed )|(\[timeout)|(PRM\|1\|D)|(kpr)|(kdp)|(train st.+moving)|(\|lc)|(penalty))"</v>
      </c>
      <c r="AG28" s="182" t="str">
        <f t="shared" si="13"/>
        <v>EC</v>
      </c>
      <c r="AH28" s="78" t="str">
        <f t="shared" si="19"/>
        <v>"%USERPROFILE%\Documents\GitHub\eaglep3\Utilities\RefineRTDCRunTimes.py" --tripid 116-01 --locoid 4013 --swversion DE.1.0.9.0 --startMP 204:232953 --initTime 2017-11-01T06:23:10 --startdatetime 2017-11-01T06:27:19 --delay 52 --endMP 204:149 --enddatetime 2017-11-01T07:07:50 --enforcementcount 0 &gt;&gt;%USERPROFILE%\Documents\GitHub\eaglep3-reporting\EC\2017-11-01-refined-times.txt</v>
      </c>
      <c r="AI28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{"issue":{"subject":"","project_id":79,"tracker_id":40,"status_id":1,"priority_id":2,"assigned_to_id":338,"start_date":"2017-11-01","description":"","custom_fields":[{"id":1,"name":"Subdivision","value":"EC"},{"id":4,"name":"Milepost","value":"0.0149"},{"id":17,"name":"Train ID","value":"116-01"},{"id":16,"name":"Locomotive ID","value":"4013"},{"id":130,"name":"Impact","value":""},{"id":150,"name":"Time of Event (Mountain Time)","value":"07:07:50"},{"id":151,"name":"Denver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0"/>
      <c r="AK28" s="47"/>
      <c r="AL28" s="47"/>
      <c r="AM28" s="142" t="str">
        <f t="shared" si="21"/>
        <v>start /low /b %USERPROFILE%\Documents\GitHub\eaglep3\Utilities\DownloadLogsFromS3.py --loco 4013 --day 2017-11-01</v>
      </c>
      <c r="AN28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13:07:50"},{"id":29,"name":"Sharepoint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23"/>
        <v>https://d0f6bd738d7f1b3e5a7ca70fe4ff75f0.us-east-1.aws.found.io/app/kibana#/discover/Steve-Slow-Train-Analysis-(2080s-and-2083s)?_g=(refreshInterval:(display:Off,pause:!f,section:0,value:0),time:(from:'2017-11-01T05:23:10-0600',mode:absolute,to:'2017-11-01T08:07:50-0600'))&amp;_a=(columns:!('Message%20ID',Summary),filters:!(),index:'emp_*',interval:auto,query:(query_string:(analyze_wildcard:!t,query:'%22rtdc.l.rtdc.4013%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681</v>
      </c>
      <c r="B29" s="7">
        <v>4042</v>
      </c>
      <c r="C29" s="21" t="s">
        <v>194</v>
      </c>
      <c r="D29" s="21" t="s">
        <v>887</v>
      </c>
      <c r="E29" s="13">
        <v>43040.235254629632</v>
      </c>
      <c r="F29" s="13">
        <v>43040.239745370367</v>
      </c>
      <c r="G29" s="7">
        <v>73</v>
      </c>
      <c r="H29" s="21" t="s">
        <v>888</v>
      </c>
      <c r="I29" s="13">
        <v>43040.264953703707</v>
      </c>
      <c r="J29" s="7">
        <v>0</v>
      </c>
      <c r="K29" s="89" t="str">
        <f t="shared" si="0"/>
        <v>4041/4042</v>
      </c>
      <c r="L29" s="185" t="str">
        <f>VLOOKUP(A29,'Trips&amp;Operators'!$C$1:$G$99911,5,FALSE)</f>
        <v>ROMERO CHAD</v>
      </c>
      <c r="M29" s="6">
        <f t="shared" si="1"/>
        <v>2.5208333339833189E-2</v>
      </c>
      <c r="N29" s="7">
        <f t="shared" si="2"/>
        <v>36.300000009359792</v>
      </c>
      <c r="O29" s="7"/>
      <c r="P29" s="7"/>
      <c r="Q29" s="22"/>
      <c r="R29" s="174"/>
      <c r="S29" s="221">
        <f t="shared" si="3"/>
        <v>1</v>
      </c>
      <c r="T29" s="174" t="str">
        <f t="shared" si="4"/>
        <v>NorthBound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 t="shared" si="5"/>
        <v>https://d0f6bd738d7f1b3e5a7ca70fe4ff75f0.us-east-1.aws.found.io/app/kibana#/discover/Steve-Slow-Train-Analysis-(2080s-and-2083s)?_g=(refreshInterval:(display:Off,pause:!f,section:0,value:0),time:(from:'2017-11-01T04:38:46-0600',mode:absolute,to:'2017-11-01T07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9" s="204" t="str">
        <f>IF(AA29&lt;VLOOKUP(AG29,Variables!$AC$3:$AD$8,2,FALSE),"Y","N")</f>
        <v>N</v>
      </c>
      <c r="X29" s="204">
        <f t="shared" si="6"/>
        <v>1</v>
      </c>
      <c r="Y29" s="204">
        <f t="shared" si="7"/>
        <v>4.4900000000000002E-2</v>
      </c>
      <c r="Z29" s="204">
        <f t="shared" si="8"/>
        <v>23.3322</v>
      </c>
      <c r="AA29" s="204">
        <f t="shared" si="9"/>
        <v>23.287300000000002</v>
      </c>
      <c r="AB29" s="54" t="e">
        <f>VLOOKUP(A29,Enforcements!$C$7:$K$10,8,0)</f>
        <v>#N/A</v>
      </c>
      <c r="AC29" s="51" t="e">
        <f>VLOOKUP(A29,Enforcements!$C$7:$E$10,3,0)</f>
        <v>#N/A</v>
      </c>
      <c r="AD29" s="179">
        <f t="shared" si="10"/>
        <v>117</v>
      </c>
      <c r="AE29" s="77" t="str">
        <f t="shared" si="11"/>
        <v>aws s3 cp s3://rtdc.mdm.uploadarchive.raw/RTDC4042/ "%USERPROFILE%\AppData\Local\Temp\OnboardLogs"\RTDC4042\2017-11-01 --exclude "*" --recursive --include "*20171101*" &amp; "%USERPROFILE%\Documents\GitHub\mrs-test-scripts\Headless Mode &amp; Sideloading\WalkAndUnGZ.bat" "%USERPROFILE%\AppData\Local\Temp\OnboardLogs"\RTDC4042\2017-11-01 &amp; aws s3 cp s3://rtdc.mdm.uploadarchive.raw/RTDC4042/ "%USERPROFILE%\AppData\Local\Temp\OnboardLogs"\RTDC4042\2017-11-02 --exclude "*" --recursive --include "*20171102*" &amp; "%USERPROFILE%\Documents\GitHub\mrs-test-scripts\Headless Mode &amp; Sideloading\WalkAndUnGZ.bat" "%USERPROFILE%\AppData\Local\Temp\OnboardLogs"\RTDC4042\2017-11-02</v>
      </c>
      <c r="AF29" s="74" t="str">
        <f t="shared" si="12"/>
        <v>"C:\Program Files (x86)\AstroGrep\AstroGrep.exe" /e /r /s /spath="%USERPROFILE%\AppData\Local\Temp\OnboardLogs" /stypes="app*4042*20171101*" /stext=" 12:.+((SYSTEM_STATE.+slice.+state.+changed )|(ment ac)|(multiple cpu faults)|(system.+state.+changed )|(\[timeout)|(PRM\|1\|D)|(kpr)|(kdp)|(train st.+moving)|(\|lc)|(penalty))"</v>
      </c>
      <c r="AG29" s="182" t="str">
        <f t="shared" si="13"/>
        <v>EC</v>
      </c>
      <c r="AH29" s="78" t="str">
        <f t="shared" si="19"/>
        <v>"%USERPROFILE%\Documents\GitHub\eaglep3\Utilities\RefineRTDCRunTimes.py" --tripid 117-01 --locoid 4042 --swversion DE.1.0.9.0 --startMP 204:449 --initTime 2017-11-01T05:38:46 --startdatetime 2017-11-01T05:45:14 --delay 73 --endMP 204:233322 --enddatetime 2017-11-01T06:21:32 --enforcementcount 0 &gt;&gt;%USERPROFILE%\Documents\GitHub\eaglep3-reporting\EC\2017-11-01-refined-times.txt</v>
      </c>
      <c r="AI29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{"issue":{"subject":"","project_id":79,"tracker_id":40,"status_id":1,"priority_id":2,"assigned_to_id":338,"start_date":"2017-11-01","description":"","custom_fields":[{"id":1,"name":"Subdivision","value":"EC"},{"id":4,"name":"Milepost","value":"23.3322"},{"id":17,"name":"Train ID","value":"117-01"},{"id":16,"name":"Locomotive ID","value":"4042"},{"id":130,"name":"Impact","value":""},{"id":150,"name":"Time of Event (Mountain Time)","value":"06:21:32"},{"id":151,"name":"Denver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0"/>
      <c r="AK29" s="47"/>
      <c r="AL29" s="47"/>
      <c r="AM29" s="142" t="str">
        <f t="shared" si="21"/>
        <v>start /low /b %USERPROFILE%\Documents\GitHub\eaglep3\Utilities\DownloadLogsFromS3.py --loco 4042 --day 2017-11-01</v>
      </c>
      <c r="AN29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12:21:32"},{"id":29,"name":"Sharepoint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23"/>
        <v>https://d0f6bd738d7f1b3e5a7ca70fe4ff75f0.us-east-1.aws.found.io/app/kibana#/discover/Steve-Slow-Train-Analysis-(2080s-and-2083s)?_g=(refreshInterval:(display:Off,pause:!f,section:0,value:0),time:(from:'2017-11-01T04:38:46-0600',mode:absolute,to:'2017-11-01T07:21:32-0600'))&amp;_a=(columns:!('Message%20ID',Summary),filters:!(),index:'emp_*',interval:auto,query:(query_string:(analyze_wildcard:!t,query:'%22rtdc.l.rtdc.4042%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693</v>
      </c>
      <c r="B30" s="7">
        <v>4041</v>
      </c>
      <c r="C30" s="21" t="s">
        <v>194</v>
      </c>
      <c r="D30" s="21" t="s">
        <v>889</v>
      </c>
      <c r="E30" s="13">
        <v>43040.266539351855</v>
      </c>
      <c r="F30" s="13">
        <v>43040.279374999998</v>
      </c>
      <c r="G30" s="7">
        <v>78</v>
      </c>
      <c r="H30" s="21" t="s">
        <v>348</v>
      </c>
      <c r="I30" s="13">
        <v>43040.305636574078</v>
      </c>
      <c r="J30" s="7">
        <v>0</v>
      </c>
      <c r="K30" s="89" t="str">
        <f t="shared" si="0"/>
        <v>4041/4042</v>
      </c>
      <c r="L30" s="185" t="str">
        <f>VLOOKUP(A30,'Trips&amp;Operators'!$C$1:$G$99911,5,FALSE)</f>
        <v>ROMERO CHAD</v>
      </c>
      <c r="M30" s="6">
        <f t="shared" si="1"/>
        <v>2.6261574079398997E-2</v>
      </c>
      <c r="N30" s="7">
        <f t="shared" si="2"/>
        <v>37.816666674334556</v>
      </c>
      <c r="O30" s="7"/>
      <c r="P30" s="7"/>
      <c r="Q30" s="22"/>
      <c r="R30" s="174"/>
      <c r="S30" s="221">
        <f t="shared" si="3"/>
        <v>1</v>
      </c>
      <c r="T30" s="174" t="str">
        <f t="shared" si="4"/>
        <v>Southbound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 t="shared" si="5"/>
        <v>https://d0f6bd738d7f1b3e5a7ca70fe4ff75f0.us-east-1.aws.found.io/app/kibana#/discover/Steve-Slow-Train-Analysis-(2080s-and-2083s)?_g=(refreshInterval:(display:Off,pause:!f,section:0,value:0),time:(from:'2017-11-01T05:23:49-0600',mode:absolute,to:'2017-11-01T08:20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0" s="204" t="str">
        <f>IF(AA30&lt;VLOOKUP(AG30,Variables!$AC$3:$AD$8,2,FALSE),"Y","N")</f>
        <v>N</v>
      </c>
      <c r="X30" s="204">
        <f t="shared" si="6"/>
        <v>1</v>
      </c>
      <c r="Y30" s="204">
        <f t="shared" si="7"/>
        <v>23.302299999999999</v>
      </c>
      <c r="Z30" s="204">
        <f t="shared" si="8"/>
        <v>1.4500000000000001E-2</v>
      </c>
      <c r="AA30" s="204">
        <f t="shared" si="9"/>
        <v>23.287799999999997</v>
      </c>
      <c r="AB30" s="54" t="e">
        <f>VLOOKUP(A30,Enforcements!$C$7:$K$10,8,0)</f>
        <v>#N/A</v>
      </c>
      <c r="AC30" s="51" t="e">
        <f>VLOOKUP(A30,Enforcements!$C$7:$E$10,3,0)</f>
        <v>#N/A</v>
      </c>
      <c r="AD30" s="179">
        <f t="shared" si="10"/>
        <v>118</v>
      </c>
      <c r="AE30" s="77" t="str">
        <f t="shared" si="11"/>
        <v>aws s3 cp s3://rtdc.mdm.uploadarchive.raw/RTDC4041/ "%USERPROFILE%\AppData\Local\Temp\OnboardLogs"\RTDC4041\2017-11-01 --exclude "*" --recursive --include "*20171101*" &amp; "%USERPROFILE%\Documents\GitHub\mrs-test-scripts\Headless Mode &amp; Sideloading\WalkAndUnGZ.bat" "%USERPROFILE%\AppData\Local\Temp\OnboardLogs"\RTDC4041\2017-11-01 &amp; aws s3 cp s3://rtdc.mdm.uploadarchive.raw/RTDC4041/ "%USERPROFILE%\AppData\Local\Temp\OnboardLogs"\RTDC4041\2017-11-02 --exclude "*" --recursive --include "*20171102*" &amp; "%USERPROFILE%\Documents\GitHub\mrs-test-scripts\Headless Mode &amp; Sideloading\WalkAndUnGZ.bat" "%USERPROFILE%\AppData\Local\Temp\OnboardLogs"\RTDC4041\2017-11-02</v>
      </c>
      <c r="AF30" s="74" t="str">
        <f t="shared" si="12"/>
        <v>"C:\Program Files (x86)\AstroGrep\AstroGrep.exe" /e /r /s /spath="%USERPROFILE%\AppData\Local\Temp\OnboardLogs" /stypes="app*4041*20171101*" /stext=" 13:.+((SYSTEM_STATE.+slice.+state.+changed )|(ment ac)|(multiple cpu faults)|(system.+state.+changed )|(\[timeout)|(PRM\|1\|D)|(kpr)|(kdp)|(train st.+moving)|(\|lc)|(penalty))"</v>
      </c>
      <c r="AG30" s="182" t="str">
        <f t="shared" si="13"/>
        <v>EC</v>
      </c>
      <c r="AH30" s="78" t="str">
        <f t="shared" si="19"/>
        <v>"%USERPROFILE%\Documents\GitHub\eaglep3\Utilities\RefineRTDCRunTimes.py" --tripid 118-01 --locoid 4041 --swversion DE.1.0.9.0 --startMP 204:233023 --initTime 2017-11-01T06:23:49 --startdatetime 2017-11-01T06:42:18 --delay 78 --endMP 204:145 --enddatetime 2017-11-01T07:20:07 --enforcementcount 0 &gt;&gt;%USERPROFILE%\Documents\GitHub\eaglep3-reporting\EC\2017-11-01-refined-times.txt</v>
      </c>
      <c r="AI30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{"issue":{"subject":"","project_id":79,"tracker_id":40,"status_id":1,"priority_id":2,"assigned_to_id":338,"start_date":"2017-11-01","description":"","custom_fields":[{"id":1,"name":"Subdivision","value":"EC"},{"id":4,"name":"Milepost","value":"0.0145"},{"id":17,"name":"Train ID","value":"118-01"},{"id":16,"name":"Locomotive ID","value":"4041"},{"id":130,"name":"Impact","value":""},{"id":150,"name":"Time of Event (Mountain Time)","value":"07:20:07"},{"id":151,"name":"Denver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0"/>
      <c r="AK30" s="47"/>
      <c r="AL30" s="47"/>
      <c r="AM30" s="142" t="str">
        <f t="shared" si="21"/>
        <v>start /low /b %USERPROFILE%\Documents\GitHub\eaglep3\Utilities\DownloadLogsFromS3.py --loco 4041 --day 2017-11-01</v>
      </c>
      <c r="AN30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13:20:07"},{"id":29,"name":"Sharepoint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23"/>
        <v>https://d0f6bd738d7f1b3e5a7ca70fe4ff75f0.us-east-1.aws.found.io/app/kibana#/discover/Steve-Slow-Train-Analysis-(2080s-and-2083s)?_g=(refreshInterval:(display:Off,pause:!f,section:0,value:0),time:(from:'2017-11-01T05:23:49-0600',mode:absolute,to:'2017-11-01T08:20:07-0600'))&amp;_a=(columns:!('Message%20ID',Summary),filters:!(),index:'emp_*',interval:auto,query:(query_string:(analyze_wildcard:!t,query:'%22rtdc.l.rtdc.4041%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685</v>
      </c>
      <c r="B31" s="7">
        <v>4050</v>
      </c>
      <c r="C31" s="21" t="s">
        <v>194</v>
      </c>
      <c r="D31" s="21" t="s">
        <v>383</v>
      </c>
      <c r="E31" s="13">
        <v>43040.243807870371</v>
      </c>
      <c r="F31" s="13">
        <v>43040.250289351854</v>
      </c>
      <c r="G31" s="7">
        <v>52</v>
      </c>
      <c r="H31" s="21" t="s">
        <v>563</v>
      </c>
      <c r="I31" s="13">
        <v>43040.275057870371</v>
      </c>
      <c r="J31" s="7">
        <v>0</v>
      </c>
      <c r="K31" s="89" t="str">
        <f t="shared" si="0"/>
        <v>4049/4050</v>
      </c>
      <c r="L31" s="185" t="str">
        <f>VLOOKUP(A31,'Trips&amp;Operators'!$C$1:$G$99911,5,FALSE)</f>
        <v>YORK EDGAR</v>
      </c>
      <c r="M31" s="6">
        <f t="shared" si="1"/>
        <v>2.4768518516793847E-2</v>
      </c>
      <c r="N31" s="7">
        <f t="shared" si="2"/>
        <v>35.66666666418314</v>
      </c>
      <c r="O31" s="7"/>
      <c r="P31" s="7"/>
      <c r="Q31" s="22"/>
      <c r="R31" s="174"/>
      <c r="S31" s="221">
        <f t="shared" si="3"/>
        <v>1</v>
      </c>
      <c r="T31" s="174" t="str">
        <f t="shared" si="4"/>
        <v>NorthBound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 t="shared" si="5"/>
        <v>https://d0f6bd738d7f1b3e5a7ca70fe4ff75f0.us-east-1.aws.found.io/app/kibana#/discover/Steve-Slow-Train-Analysis-(2080s-and-2083s)?_g=(refreshInterval:(display:Off,pause:!f,section:0,value:0),time:(from:'2017-11-01T04:51:05-0600',mode:absolute,to:'2017-11-01T07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31" s="204" t="str">
        <f>IF(AA31&lt;VLOOKUP(AG31,Variables!$AC$3:$AD$8,2,FALSE),"Y","N")</f>
        <v>N</v>
      </c>
      <c r="X31" s="204">
        <f t="shared" si="6"/>
        <v>1</v>
      </c>
      <c r="Y31" s="204">
        <f t="shared" si="7"/>
        <v>4.4400000000000002E-2</v>
      </c>
      <c r="Z31" s="204">
        <f t="shared" si="8"/>
        <v>23.330200000000001</v>
      </c>
      <c r="AA31" s="204">
        <f t="shared" si="9"/>
        <v>23.285800000000002</v>
      </c>
      <c r="AB31" s="54" t="e">
        <f>VLOOKUP(A31,Enforcements!$C$7:$K$10,8,0)</f>
        <v>#N/A</v>
      </c>
      <c r="AC31" s="51" t="e">
        <f>VLOOKUP(A31,Enforcements!$C$7:$E$10,3,0)</f>
        <v>#N/A</v>
      </c>
      <c r="AD31" s="179">
        <f t="shared" si="10"/>
        <v>119</v>
      </c>
      <c r="AE31" s="77" t="str">
        <f t="shared" si="11"/>
        <v>aws s3 cp s3://rtdc.mdm.uploadarchive.raw/RTDC4050/ "%USERPROFILE%\AppData\Local\Temp\OnboardLogs"\RTDC4050\2017-11-01 --exclude "*" --recursive --include "*20171101*" &amp; "%USERPROFILE%\Documents\GitHub\mrs-test-scripts\Headless Mode &amp; Sideloading\WalkAndUnGZ.bat" "%USERPROFILE%\AppData\Local\Temp\OnboardLogs"\RTDC4050\2017-11-01 &amp; aws s3 cp s3://rtdc.mdm.uploadarchive.raw/RTDC4050/ "%USERPROFILE%\AppData\Local\Temp\OnboardLogs"\RTDC4050\2017-11-02 --exclude "*" --recursive --include "*20171102*" &amp; "%USERPROFILE%\Documents\GitHub\mrs-test-scripts\Headless Mode &amp; Sideloading\WalkAndUnGZ.bat" "%USERPROFILE%\AppData\Local\Temp\OnboardLogs"\RTDC4050\2017-11-02</v>
      </c>
      <c r="AF31" s="74" t="str">
        <f t="shared" si="12"/>
        <v>"C:\Program Files (x86)\AstroGrep\AstroGrep.exe" /e /r /s /spath="%USERPROFILE%\AppData\Local\Temp\OnboardLogs" /stypes="app*4050*20171101*" /stext=" 12:.+((SYSTEM_STATE.+slice.+state.+changed )|(ment ac)|(multiple cpu faults)|(system.+state.+changed )|(\[timeout)|(PRM\|1\|D)|(kpr)|(kdp)|(train st.+moving)|(\|lc)|(penalty))"</v>
      </c>
      <c r="AG31" s="182" t="str">
        <f t="shared" si="13"/>
        <v>EC</v>
      </c>
      <c r="AH31" s="78" t="str">
        <f t="shared" si="19"/>
        <v>"%USERPROFILE%\Documents\GitHub\eaglep3\Utilities\RefineRTDCRunTimes.py" --tripid 119-01 --locoid 4050 --swversion DE.1.0.9.0 --startMP 204:444 --initTime 2017-11-01T05:51:05 --startdatetime 2017-11-01T06:00:25 --delay 52 --endMP 204:233302 --enddatetime 2017-11-01T06:36:05 --enforcementcount 0 &gt;&gt;%USERPROFILE%\Documents\GitHub\eaglep3-reporting\EC\2017-11-01-refined-times.txt</v>
      </c>
      <c r="AI31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{"issue":{"subject":"","project_id":79,"tracker_id":40,"status_id":1,"priority_id":2,"assigned_to_id":338,"start_date":"2017-11-01","description":"","custom_fields":[{"id":1,"name":"Subdivision","value":"EC"},{"id":4,"name":"Milepost","value":"23.3302"},{"id":17,"name":"Train ID","value":"119-01"},{"id":16,"name":"Locomotive ID","value":"4050"},{"id":130,"name":"Impact","value":""},{"id":150,"name":"Time of Event (Mountain Time)","value":"06:36:05"},{"id":151,"name":"Denver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0"/>
      <c r="AK31" s="47"/>
      <c r="AL31" s="47"/>
      <c r="AM31" s="142" t="str">
        <f t="shared" si="21"/>
        <v>start /low /b %USERPROFILE%\Documents\GitHub\eaglep3\Utilities\DownloadLogsFromS3.py --loco 4050 --day 2017-11-01</v>
      </c>
      <c r="AN31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12:36:05"},{"id":29,"name":"Sharepoint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23"/>
        <v>https://d0f6bd738d7f1b3e5a7ca70fe4ff75f0.us-east-1.aws.found.io/app/kibana#/discover/Steve-Slow-Train-Analysis-(2080s-and-2083s)?_g=(refreshInterval:(display:Off,pause:!f,section:0,value:0),time:(from:'2017-11-01T04:51:05-0600',mode:absolute,to:'2017-11-01T07:36:05-0600'))&amp;_a=(columns:!('Message%20ID',Summary),filters:!(),index:'emp_*',interval:auto,query:(query_string:(analyze_wildcard:!t,query:'%22rtdc.l.rtdc.4050%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698</v>
      </c>
      <c r="B32" s="7">
        <v>4049</v>
      </c>
      <c r="C32" s="21" t="s">
        <v>194</v>
      </c>
      <c r="D32" s="21" t="s">
        <v>890</v>
      </c>
      <c r="E32" s="13">
        <v>43040.287499999999</v>
      </c>
      <c r="F32" s="13">
        <v>43040.289837962962</v>
      </c>
      <c r="G32" s="7">
        <v>63</v>
      </c>
      <c r="H32" s="21" t="s">
        <v>451</v>
      </c>
      <c r="I32" s="13">
        <v>43040.315324074072</v>
      </c>
      <c r="J32" s="7">
        <v>0</v>
      </c>
      <c r="K32" s="89" t="str">
        <f t="shared" si="0"/>
        <v>4049/4050</v>
      </c>
      <c r="L32" s="185" t="str">
        <f>VLOOKUP(A32,'Trips&amp;Operators'!$C$1:$G$99911,5,FALSE)</f>
        <v>YORK EDGAR</v>
      </c>
      <c r="M32" s="6">
        <f t="shared" si="1"/>
        <v>2.548611110978527E-2</v>
      </c>
      <c r="N32" s="7">
        <f t="shared" si="2"/>
        <v>36.699999998090789</v>
      </c>
      <c r="O32" s="7"/>
      <c r="P32" s="7"/>
      <c r="Q32" s="22"/>
      <c r="R32" s="174"/>
      <c r="S32" s="221">
        <f t="shared" si="3"/>
        <v>1</v>
      </c>
      <c r="T32" s="174" t="str">
        <f t="shared" si="4"/>
        <v>Southbound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 t="shared" si="5"/>
        <v>https://d0f6bd738d7f1b3e5a7ca70fe4ff75f0.us-east-1.aws.found.io/app/kibana#/discover/Steve-Slow-Train-Analysis-(2080s-and-2083s)?_g=(refreshInterval:(display:Off,pause:!f,section:0,value:0),time:(from:'2017-11-01T05:54:00-0600',mode:absolute,to:'2017-11-01T08:34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32" s="204" t="str">
        <f>IF(AA32&lt;VLOOKUP(AG32,Variables!$AC$3:$AD$8,2,FALSE),"Y","N")</f>
        <v>N</v>
      </c>
      <c r="X32" s="204">
        <f t="shared" si="6"/>
        <v>1</v>
      </c>
      <c r="Y32" s="204">
        <f t="shared" si="7"/>
        <v>23.298300000000001</v>
      </c>
      <c r="Z32" s="204">
        <f t="shared" si="8"/>
        <v>1.52E-2</v>
      </c>
      <c r="AA32" s="204">
        <f t="shared" si="9"/>
        <v>23.283100000000001</v>
      </c>
      <c r="AB32" s="54" t="e">
        <f>VLOOKUP(A32,Enforcements!$C$7:$K$10,8,0)</f>
        <v>#N/A</v>
      </c>
      <c r="AC32" s="51" t="e">
        <f>VLOOKUP(A32,Enforcements!$C$7:$E$10,3,0)</f>
        <v>#N/A</v>
      </c>
      <c r="AD32" s="179">
        <f t="shared" si="10"/>
        <v>120</v>
      </c>
      <c r="AE32" s="77" t="str">
        <f t="shared" si="11"/>
        <v>aws s3 cp s3://rtdc.mdm.uploadarchive.raw/RTDC4049/ "%USERPROFILE%\AppData\Local\Temp\OnboardLogs"\RTDC4049\2017-11-01 --exclude "*" --recursive --include "*20171101*" &amp; "%USERPROFILE%\Documents\GitHub\mrs-test-scripts\Headless Mode &amp; Sideloading\WalkAndUnGZ.bat" "%USERPROFILE%\AppData\Local\Temp\OnboardLogs"\RTDC4049\2017-11-01 &amp; aws s3 cp s3://rtdc.mdm.uploadarchive.raw/RTDC4049/ "%USERPROFILE%\AppData\Local\Temp\OnboardLogs"\RTDC4049\2017-11-02 --exclude "*" --recursive --include "*20171102*" &amp; "%USERPROFILE%\Documents\GitHub\mrs-test-scripts\Headless Mode &amp; Sideloading\WalkAndUnGZ.bat" "%USERPROFILE%\AppData\Local\Temp\OnboardLogs"\RTDC4049\2017-11-02</v>
      </c>
      <c r="AF32" s="74" t="str">
        <f t="shared" si="12"/>
        <v>"C:\Program Files (x86)\AstroGrep\AstroGrep.exe" /e /r /s /spath="%USERPROFILE%\AppData\Local\Temp\OnboardLogs" /stypes="app*4049*20171101*" /stext=" 13:.+((SYSTEM_STATE.+slice.+state.+changed )|(ment ac)|(multiple cpu faults)|(system.+state.+changed )|(\[timeout)|(PRM\|1\|D)|(kpr)|(kdp)|(train st.+moving)|(\|lc)|(penalty))"</v>
      </c>
      <c r="AG32" s="182" t="str">
        <f t="shared" si="13"/>
        <v>EC</v>
      </c>
      <c r="AH32" s="78" t="str">
        <f t="shared" si="19"/>
        <v>"%USERPROFILE%\Documents\GitHub\eaglep3\Utilities\RefineRTDCRunTimes.py" --tripid 120-01 --locoid 4049 --swversion DE.1.0.9.0 --startMP 204:232983 --initTime 2017-11-01T06:54:00 --startdatetime 2017-11-01T06:57:22 --delay 63 --endMP 204:152 --enddatetime 2017-11-01T07:34:04 --enforcementcount 0 &gt;&gt;%USERPROFILE%\Documents\GitHub\eaglep3-reporting\EC\2017-11-01-refined-times.txt</v>
      </c>
      <c r="AI32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{"issue":{"subject":"","project_id":79,"tracker_id":40,"status_id":1,"priority_id":2,"assigned_to_id":338,"start_date":"2017-11-01","description":"","custom_fields":[{"id":1,"name":"Subdivision","value":"EC"},{"id":4,"name":"Milepost","value":"0.0152"},{"id":17,"name":"Train ID","value":"120-01"},{"id":16,"name":"Locomotive ID","value":"4049"},{"id":130,"name":"Impact","value":""},{"id":150,"name":"Time of Event (Mountain Time)","value":"07:34:04"},{"id":151,"name":"Denver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0"/>
      <c r="AK32" s="47"/>
      <c r="AL32" s="47"/>
      <c r="AM32" s="142" t="str">
        <f t="shared" si="21"/>
        <v>start /low /b %USERPROFILE%\Documents\GitHub\eaglep3\Utilities\DownloadLogsFromS3.py --loco 4049 --day 2017-11-01</v>
      </c>
      <c r="AN32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13:34:04"},{"id":29,"name":"Sharepoint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23"/>
        <v>https://d0f6bd738d7f1b3e5a7ca70fe4ff75f0.us-east-1.aws.found.io/app/kibana#/discover/Steve-Slow-Train-Analysis-(2080s-and-2083s)?_g=(refreshInterval:(display:Off,pause:!f,section:0,value:0),time:(from:'2017-11-01T05:54:00-0600',mode:absolute,to:'2017-11-01T08:34:04-0600'))&amp;_a=(columns:!('Message%20ID',Summary),filters:!(),index:'emp_*',interval:auto,query:(query_string:(analyze_wildcard:!t,query:'%22rtdc.l.rtdc.4049%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691</v>
      </c>
      <c r="B33" s="7">
        <v>4026</v>
      </c>
      <c r="C33" s="21" t="s">
        <v>194</v>
      </c>
      <c r="D33" s="21" t="s">
        <v>419</v>
      </c>
      <c r="E33" s="13">
        <v>43040.257592592592</v>
      </c>
      <c r="F33" s="13">
        <v>43040.260682870372</v>
      </c>
      <c r="G33" s="7">
        <v>55</v>
      </c>
      <c r="H33" s="21" t="s">
        <v>592</v>
      </c>
      <c r="I33" s="13">
        <v>43040.28497685185</v>
      </c>
      <c r="J33" s="7">
        <v>0</v>
      </c>
      <c r="K33" s="89" t="str">
        <f t="shared" si="0"/>
        <v>4025/4026</v>
      </c>
      <c r="L33" s="185" t="str">
        <f>VLOOKUP(A33,'Trips&amp;Operators'!$C$1:$G$99911,5,FALSE)</f>
        <v>BEAM ROSS</v>
      </c>
      <c r="M33" s="6">
        <f t="shared" si="1"/>
        <v>2.4293981477967463E-2</v>
      </c>
      <c r="N33" s="7">
        <f t="shared" si="2"/>
        <v>34.983333328273147</v>
      </c>
      <c r="O33" s="7"/>
      <c r="P33" s="7"/>
      <c r="Q33" s="22"/>
      <c r="R33" s="174"/>
      <c r="S33" s="221">
        <f t="shared" si="3"/>
        <v>1</v>
      </c>
      <c r="T33" s="174" t="str">
        <f t="shared" si="4"/>
        <v>NorthBound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 t="shared" si="5"/>
        <v>https://d0f6bd738d7f1b3e5a7ca70fe4ff75f0.us-east-1.aws.found.io/app/kibana#/discover/Steve-Slow-Train-Analysis-(2080s-and-2083s)?_g=(refreshInterval:(display:Off,pause:!f,section:0,value:0),time:(from:'2017-11-01T05:10:56-0600',mode:absolute,to:'2017-11-01T07:50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3" s="204" t="str">
        <f>IF(AA33&lt;VLOOKUP(AG33,Variables!$AC$3:$AD$8,2,FALSE),"Y","N")</f>
        <v>N</v>
      </c>
      <c r="X33" s="204">
        <f t="shared" si="6"/>
        <v>1</v>
      </c>
      <c r="Y33" s="204">
        <f t="shared" si="7"/>
        <v>4.5499999999999999E-2</v>
      </c>
      <c r="Z33" s="204">
        <f t="shared" si="8"/>
        <v>23.330300000000001</v>
      </c>
      <c r="AA33" s="204">
        <f t="shared" si="9"/>
        <v>23.284800000000001</v>
      </c>
      <c r="AB33" s="54" t="e">
        <f>VLOOKUP(A33,Enforcements!$C$7:$K$10,8,0)</f>
        <v>#N/A</v>
      </c>
      <c r="AC33" s="51" t="e">
        <f>VLOOKUP(A33,Enforcements!$C$7:$E$10,3,0)</f>
        <v>#N/A</v>
      </c>
      <c r="AD33" s="179">
        <f t="shared" si="10"/>
        <v>121</v>
      </c>
      <c r="AE33" s="77" t="str">
        <f t="shared" si="11"/>
        <v>aws s3 cp s3://rtdc.mdm.uploadarchive.raw/RTDC4026/ "%USERPROFILE%\AppData\Local\Temp\OnboardLogs"\RTDC4026\2017-11-01 --exclude "*" --recursive --include "*20171101*" &amp; "%USERPROFILE%\Documents\GitHub\mrs-test-scripts\Headless Mode &amp; Sideloading\WalkAndUnGZ.bat" "%USERPROFILE%\AppData\Local\Temp\OnboardLogs"\RTDC4026\2017-11-01 &amp; aws s3 cp s3://rtdc.mdm.uploadarchive.raw/RTDC4026/ "%USERPROFILE%\AppData\Local\Temp\OnboardLogs"\RTDC4026\2017-11-02 --exclude "*" --recursive --include "*20171102*" &amp; "%USERPROFILE%\Documents\GitHub\mrs-test-scripts\Headless Mode &amp; Sideloading\WalkAndUnGZ.bat" "%USERPROFILE%\AppData\Local\Temp\OnboardLogs"\RTDC4026\2017-11-02</v>
      </c>
      <c r="AF33" s="74" t="str">
        <f t="shared" si="12"/>
        <v>"C:\Program Files (x86)\AstroGrep\AstroGrep.exe" /e /r /s /spath="%USERPROFILE%\AppData\Local\Temp\OnboardLogs" /stypes="app*4026*20171101*" /stext=" 12:.+((SYSTEM_STATE.+slice.+state.+changed )|(ment ac)|(multiple cpu faults)|(system.+state.+changed )|(\[timeout)|(PRM\|1\|D)|(kpr)|(kdp)|(train st.+moving)|(\|lc)|(penalty))"</v>
      </c>
      <c r="AG33" s="182" t="str">
        <f t="shared" si="13"/>
        <v>EC</v>
      </c>
      <c r="AH33" s="78" t="str">
        <f t="shared" si="19"/>
        <v>"%USERPROFILE%\Documents\GitHub\eaglep3\Utilities\RefineRTDCRunTimes.py" --tripid 121-01 --locoid 4026 --swversion DE.1.0.9.0 --startMP 204:455 --initTime 2017-11-01T06:10:56 --startdatetime 2017-11-01T06:15:23 --delay 55 --endMP 204:233303 --enddatetime 2017-11-01T06:50:22 --enforcementcount 0 &gt;&gt;%USERPROFILE%\Documents\GitHub\eaglep3-reporting\EC\2017-11-01-refined-times.txt</v>
      </c>
      <c r="AI33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{"issue":{"subject":"","project_id":79,"tracker_id":40,"status_id":1,"priority_id":2,"assigned_to_id":338,"start_date":"2017-11-01","description":"","custom_fields":[{"id":1,"name":"Subdivision","value":"EC"},{"id":4,"name":"Milepost","value":"23.3303"},{"id":17,"name":"Train ID","value":"121-01"},{"id":16,"name":"Locomotive ID","value":"4026"},{"id":130,"name":"Impact","value":""},{"id":150,"name":"Time of Event (Mountain Time)","value":"06:50:22"},{"id":151,"name":"Denver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0"/>
      <c r="AK33" s="47"/>
      <c r="AL33" s="47"/>
      <c r="AM33" s="142" t="str">
        <f t="shared" si="21"/>
        <v>start /low /b %USERPROFILE%\Documents\GitHub\eaglep3\Utilities\DownloadLogsFromS3.py --loco 4026 --day 2017-11-01</v>
      </c>
      <c r="AN33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12:50:22"},{"id":29,"name":"Sharepoint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23"/>
        <v>https://d0f6bd738d7f1b3e5a7ca70fe4ff75f0.us-east-1.aws.found.io/app/kibana#/discover/Steve-Slow-Train-Analysis-(2080s-and-2083s)?_g=(refreshInterval:(display:Off,pause:!f,section:0,value:0),time:(from:'2017-11-01T05:10:56-0600',mode:absolute,to:'2017-11-01T07:50:22-0600'))&amp;_a=(columns:!('Message%20ID',Summary),filters:!(),index:'emp_*',interval:auto,query:(query_string:(analyze_wildcard:!t,query:'%22rtdc.l.rtdc.4026%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697</v>
      </c>
      <c r="B34" s="7">
        <v>4025</v>
      </c>
      <c r="C34" s="21" t="s">
        <v>194</v>
      </c>
      <c r="D34" s="21" t="s">
        <v>573</v>
      </c>
      <c r="E34" s="13">
        <v>43040.286134259259</v>
      </c>
      <c r="F34" s="13">
        <v>43040.300208333334</v>
      </c>
      <c r="G34" s="7">
        <v>62</v>
      </c>
      <c r="H34" s="21" t="s">
        <v>353</v>
      </c>
      <c r="I34" s="13">
        <v>43040.327199074076</v>
      </c>
      <c r="J34" s="7">
        <v>0</v>
      </c>
      <c r="K34" s="89" t="str">
        <f t="shared" si="0"/>
        <v>4025/4026</v>
      </c>
      <c r="L34" s="185" t="str">
        <f>VLOOKUP(A34,'Trips&amp;Operators'!$C$1:$G$99911,5,FALSE)</f>
        <v>BEAM ROSS</v>
      </c>
      <c r="M34" s="6">
        <f t="shared" si="1"/>
        <v>2.6990740741894115E-2</v>
      </c>
      <c r="N34" s="7">
        <f t="shared" si="2"/>
        <v>38.866666668327525</v>
      </c>
      <c r="O34" s="7"/>
      <c r="P34" s="7"/>
      <c r="Q34" s="22"/>
      <c r="R34" s="174"/>
      <c r="S34" s="221">
        <f t="shared" si="3"/>
        <v>1</v>
      </c>
      <c r="T34" s="174" t="str">
        <f t="shared" si="4"/>
        <v>Southbound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 t="shared" si="5"/>
        <v>https://d0f6bd738d7f1b3e5a7ca70fe4ff75f0.us-east-1.aws.found.io/app/kibana#/discover/Steve-Slow-Train-Analysis-(2080s-and-2083s)?_g=(refreshInterval:(display:Off,pause:!f,section:0,value:0),time:(from:'2017-11-01T05:52:02-0600',mode:absolute,to:'2017-11-01T08:51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4" s="204" t="str">
        <f>IF(AA34&lt;VLOOKUP(AG34,Variables!$AC$3:$AD$8,2,FALSE),"Y","N")</f>
        <v>N</v>
      </c>
      <c r="X34" s="204">
        <f t="shared" si="6"/>
        <v>1</v>
      </c>
      <c r="Y34" s="204">
        <f t="shared" si="7"/>
        <v>23.298400000000001</v>
      </c>
      <c r="Z34" s="204">
        <f t="shared" si="8"/>
        <v>1.54E-2</v>
      </c>
      <c r="AA34" s="204">
        <f t="shared" si="9"/>
        <v>23.283000000000001</v>
      </c>
      <c r="AB34" s="54" t="e">
        <f>VLOOKUP(A34,Enforcements!$C$7:$K$10,8,0)</f>
        <v>#N/A</v>
      </c>
      <c r="AC34" s="51" t="e">
        <f>VLOOKUP(A34,Enforcements!$C$7:$E$10,3,0)</f>
        <v>#N/A</v>
      </c>
      <c r="AD34" s="179">
        <f t="shared" si="10"/>
        <v>122</v>
      </c>
      <c r="AE34" s="77" t="str">
        <f t="shared" si="11"/>
        <v>aws s3 cp s3://rtdc.mdm.uploadarchive.raw/RTDC4025/ "%USERPROFILE%\AppData\Local\Temp\OnboardLogs"\RTDC4025\2017-11-01 --exclude "*" --recursive --include "*20171101*" &amp; "%USERPROFILE%\Documents\GitHub\mrs-test-scripts\Headless Mode &amp; Sideloading\WalkAndUnGZ.bat" "%USERPROFILE%\AppData\Local\Temp\OnboardLogs"\RTDC4025\2017-11-01 &amp; aws s3 cp s3://rtdc.mdm.uploadarchive.raw/RTDC4025/ "%USERPROFILE%\AppData\Local\Temp\OnboardLogs"\RTDC4025\2017-11-02 --exclude "*" --recursive --include "*20171102*" &amp; "%USERPROFILE%\Documents\GitHub\mrs-test-scripts\Headless Mode &amp; Sideloading\WalkAndUnGZ.bat" "%USERPROFILE%\AppData\Local\Temp\OnboardLogs"\RTDC4025\2017-11-02</v>
      </c>
      <c r="AF34" s="74" t="str">
        <f t="shared" si="12"/>
        <v>"C:\Program Files (x86)\AstroGrep\AstroGrep.exe" /e /r /s /spath="%USERPROFILE%\AppData\Local\Temp\OnboardLogs" /stypes="app*4025*20171101*" /stext=" 13:.+((SYSTEM_STATE.+slice.+state.+changed )|(ment ac)|(multiple cpu faults)|(system.+state.+changed )|(\[timeout)|(PRM\|1\|D)|(kpr)|(kdp)|(train st.+moving)|(\|lc)|(penalty))"</v>
      </c>
      <c r="AG34" s="182" t="str">
        <f t="shared" si="13"/>
        <v>EC</v>
      </c>
      <c r="AH34" s="78" t="str">
        <f t="shared" si="19"/>
        <v>"%USERPROFILE%\Documents\GitHub\eaglep3\Utilities\RefineRTDCRunTimes.py" --tripid 122-01 --locoid 4025 --swversion DE.1.0.9.0 --startMP 204:232984 --initTime 2017-11-01T06:52:02 --startdatetime 2017-11-01T07:12:18 --delay 62 --endMP 204:154 --enddatetime 2017-11-01T07:51:10 --enforcementcount 0 &gt;&gt;%USERPROFILE%\Documents\GitHub\eaglep3-reporting\EC\2017-11-01-refined-times.txt</v>
      </c>
      <c r="AI34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{"issue":{"subject":"","project_id":79,"tracker_id":40,"status_id":1,"priority_id":2,"assigned_to_id":338,"start_date":"2017-11-01","description":"","custom_fields":[{"id":1,"name":"Subdivision","value":"EC"},{"id":4,"name":"Milepost","value":"0.0154"},{"id":17,"name":"Train ID","value":"122-01"},{"id":16,"name":"Locomotive ID","value":"4025"},{"id":130,"name":"Impact","value":""},{"id":150,"name":"Time of Event (Mountain Time)","value":"07:51:10"},{"id":151,"name":"Denver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0"/>
      <c r="AK34" s="47"/>
      <c r="AL34" s="47"/>
      <c r="AM34" s="142" t="str">
        <f t="shared" si="21"/>
        <v>start /low /b %USERPROFILE%\Documents\GitHub\eaglep3\Utilities\DownloadLogsFromS3.py --loco 4025 --day 2017-11-01</v>
      </c>
      <c r="AN34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13:51:10"},{"id":29,"name":"Sharepoint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23"/>
        <v>https://d0f6bd738d7f1b3e5a7ca70fe4ff75f0.us-east-1.aws.found.io/app/kibana#/discover/Steve-Slow-Train-Analysis-(2080s-and-2083s)?_g=(refreshInterval:(display:Off,pause:!f,section:0,value:0),time:(from:'2017-11-01T05:52:02-0600',mode:absolute,to:'2017-11-01T08:51:10-0600'))&amp;_a=(columns:!('Message%20ID',Summary),filters:!(),index:'emp_*',interval:auto,query:(query_string:(analyze_wildcard:!t,query:'%22rtdc.l.rtdc.4025%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694</v>
      </c>
      <c r="B35" s="7">
        <v>4002</v>
      </c>
      <c r="C35" s="21" t="s">
        <v>194</v>
      </c>
      <c r="D35" s="21" t="s">
        <v>347</v>
      </c>
      <c r="E35" s="13">
        <v>43040.266967592594</v>
      </c>
      <c r="F35" s="13">
        <v>43040.271122685182</v>
      </c>
      <c r="G35" s="7">
        <v>62</v>
      </c>
      <c r="H35" s="21" t="s">
        <v>569</v>
      </c>
      <c r="I35" s="13">
        <v>43040.2969212963</v>
      </c>
      <c r="J35" s="7">
        <v>0</v>
      </c>
      <c r="K35" s="89" t="str">
        <f t="shared" si="0"/>
        <v>4001/4002</v>
      </c>
      <c r="L35" s="185" t="str">
        <f>VLOOKUP(A35,'Trips&amp;Operators'!$C$1:$G$99911,5,FALSE)</f>
        <v>STARKS ANGELINA</v>
      </c>
      <c r="M35" s="6">
        <f t="shared" si="1"/>
        <v>2.5798611117352266E-2</v>
      </c>
      <c r="N35" s="7">
        <f t="shared" si="2"/>
        <v>37.150000008987263</v>
      </c>
      <c r="O35" s="7"/>
      <c r="P35" s="7"/>
      <c r="Q35" s="22"/>
      <c r="R35" s="174"/>
      <c r="S35" s="221">
        <f t="shared" si="3"/>
        <v>1</v>
      </c>
      <c r="T35" s="174" t="str">
        <f t="shared" si="4"/>
        <v>NorthBound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 t="shared" si="5"/>
        <v>https://d0f6bd738d7f1b3e5a7ca70fe4ff75f0.us-east-1.aws.found.io/app/kibana#/discover/Steve-Slow-Train-Analysis-(2080s-and-2083s)?_g=(refreshInterval:(display:Off,pause:!f,section:0,value:0),time:(from:'2017-11-01T05:24:26-0600',mode:absolute,to:'2017-11-01T08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5" s="204" t="str">
        <f>IF(AA35&lt;VLOOKUP(AG35,Variables!$AC$3:$AD$8,2,FALSE),"Y","N")</f>
        <v>N</v>
      </c>
      <c r="X35" s="204">
        <f t="shared" si="6"/>
        <v>1</v>
      </c>
      <c r="Y35" s="204">
        <f t="shared" si="7"/>
        <v>4.58E-2</v>
      </c>
      <c r="Z35" s="204">
        <f t="shared" si="8"/>
        <v>23.327200000000001</v>
      </c>
      <c r="AA35" s="204">
        <f t="shared" si="9"/>
        <v>23.281400000000001</v>
      </c>
      <c r="AB35" s="54" t="e">
        <f>VLOOKUP(A35,Enforcements!$C$7:$K$10,8,0)</f>
        <v>#N/A</v>
      </c>
      <c r="AC35" s="51" t="e">
        <f>VLOOKUP(A35,Enforcements!$C$7:$E$10,3,0)</f>
        <v>#N/A</v>
      </c>
      <c r="AD35" s="179">
        <f t="shared" si="10"/>
        <v>123</v>
      </c>
      <c r="AE35" s="77" t="str">
        <f t="shared" si="11"/>
        <v>aws s3 cp s3://rtdc.mdm.uploadarchive.raw/RTDC4002/ "%USERPROFILE%\AppData\Local\Temp\OnboardLogs"\RTDC4002\2017-11-01 --exclude "*" --recursive --include "*20171101*" &amp; "%USERPROFILE%\Documents\GitHub\mrs-test-scripts\Headless Mode &amp; Sideloading\WalkAndUnGZ.bat" "%USERPROFILE%\AppData\Local\Temp\OnboardLogs"\RTDC4002\2017-11-01 &amp; aws s3 cp s3://rtdc.mdm.uploadarchive.raw/RTDC4002/ "%USERPROFILE%\AppData\Local\Temp\OnboardLogs"\RTDC4002\2017-11-02 --exclude "*" --recursive --include "*20171102*" &amp; "%USERPROFILE%\Documents\GitHub\mrs-test-scripts\Headless Mode &amp; Sideloading\WalkAndUnGZ.bat" "%USERPROFILE%\AppData\Local\Temp\OnboardLogs"\RTDC4002\2017-11-02</v>
      </c>
      <c r="AF35" s="74" t="str">
        <f t="shared" si="12"/>
        <v>"C:\Program Files (x86)\AstroGrep\AstroGrep.exe" /e /r /s /spath="%USERPROFILE%\AppData\Local\Temp\OnboardLogs" /stypes="app*4002*20171101*" /stext=" 13:.+((SYSTEM_STATE.+slice.+state.+changed )|(ment ac)|(multiple cpu faults)|(system.+state.+changed )|(\[timeout)|(PRM\|1\|D)|(kpr)|(kdp)|(train st.+moving)|(\|lc)|(penalty))"</v>
      </c>
      <c r="AG35" s="182" t="str">
        <f t="shared" si="13"/>
        <v>EC</v>
      </c>
      <c r="AH35" s="78" t="str">
        <f t="shared" si="19"/>
        <v>"%USERPROFILE%\Documents\GitHub\eaglep3\Utilities\RefineRTDCRunTimes.py" --tripid 123-01 --locoid 4002 --swversion DE.1.0.9.0 --startMP 204:458 --initTime 2017-11-01T06:24:26 --startdatetime 2017-11-01T06:30:25 --delay 62 --endMP 204:233272 --enddatetime 2017-11-01T07:07:34 --enforcementcount 0 &gt;&gt;%USERPROFILE%\Documents\GitHub\eaglep3-reporting\EC\2017-11-01-refined-times.txt</v>
      </c>
      <c r="AI35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{"issue":{"subject":"","project_id":79,"tracker_id":40,"status_id":1,"priority_id":2,"assigned_to_id":338,"start_date":"2017-11-01","description":"","custom_fields":[{"id":1,"name":"Subdivision","value":"EC"},{"id":4,"name":"Milepost","value":"23.3272"},{"id":17,"name":"Train ID","value":"123-01"},{"id":16,"name":"Locomotive ID","value":"4002"},{"id":130,"name":"Impact","value":""},{"id":150,"name":"Time of Event (Mountain Time)","value":"07:07:34"},{"id":151,"name":"Denver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0"/>
      <c r="AK35" s="47"/>
      <c r="AL35" s="47"/>
      <c r="AM35" s="142" t="str">
        <f t="shared" si="21"/>
        <v>start /low /b %USERPROFILE%\Documents\GitHub\eaglep3\Utilities\DownloadLogsFromS3.py --loco 4002 --day 2017-11-01</v>
      </c>
      <c r="AN35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13:07:34"},{"id":29,"name":"Sharepoint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23"/>
        <v>https://d0f6bd738d7f1b3e5a7ca70fe4ff75f0.us-east-1.aws.found.io/app/kibana#/discover/Steve-Slow-Train-Analysis-(2080s-and-2083s)?_g=(refreshInterval:(display:Off,pause:!f,section:0,value:0),time:(from:'2017-11-01T05:24:26-0600',mode:absolute,to:'2017-11-01T08:07:34-0600'))&amp;_a=(columns:!('Message%20ID',Summary),filters:!(),index:'emp_*',interval:auto,query:(query_string:(analyze_wildcard:!t,query:'%22rtdc.l.rtdc.4002%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615</v>
      </c>
      <c r="B36" s="7">
        <v>4001</v>
      </c>
      <c r="C36" s="21" t="s">
        <v>194</v>
      </c>
      <c r="D36" s="21" t="s">
        <v>879</v>
      </c>
      <c r="E36" s="13">
        <v>43040.299016203702</v>
      </c>
      <c r="F36" s="13">
        <v>43040.310601851852</v>
      </c>
      <c r="G36" s="7">
        <v>50</v>
      </c>
      <c r="H36" s="21" t="s">
        <v>886</v>
      </c>
      <c r="I36" s="13">
        <v>43040.338159722225</v>
      </c>
      <c r="J36" s="7">
        <v>0</v>
      </c>
      <c r="K36" s="89" t="str">
        <f t="shared" si="0"/>
        <v>4001/4002</v>
      </c>
      <c r="L36" s="185" t="str">
        <f>VLOOKUP(A36,'Trips&amp;Operators'!$C$1:$G$99911,5,FALSE)</f>
        <v>STARKS ANGELINA</v>
      </c>
      <c r="M36" s="6">
        <f t="shared" si="1"/>
        <v>2.7557870373129845E-2</v>
      </c>
      <c r="N36" s="7">
        <f t="shared" si="2"/>
        <v>39.683333337306976</v>
      </c>
      <c r="O36" s="7"/>
      <c r="P36" s="7"/>
      <c r="Q36" s="22"/>
      <c r="R36" s="174"/>
      <c r="S36" s="221">
        <f t="shared" si="3"/>
        <v>1</v>
      </c>
      <c r="T36" s="174" t="str">
        <f t="shared" si="4"/>
        <v>Southbound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 t="shared" si="5"/>
        <v>https://d0f6bd738d7f1b3e5a7ca70fe4ff75f0.us-east-1.aws.found.io/app/kibana#/discover/Steve-Slow-Train-Analysis-(2080s-and-2083s)?_g=(refreshInterval:(display:Off,pause:!f,section:0,value:0),time:(from:'2017-11-01T06:10:35-0600',mode:absolute,to:'2017-11-01T09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6" s="204" t="str">
        <f>IF(AA36&lt;VLOOKUP(AG36,Variables!$AC$3:$AD$8,2,FALSE),"Y","N")</f>
        <v>N</v>
      </c>
      <c r="X36" s="204">
        <f t="shared" si="6"/>
        <v>1</v>
      </c>
      <c r="Y36" s="204">
        <f t="shared" si="7"/>
        <v>23.2987</v>
      </c>
      <c r="Z36" s="204">
        <f t="shared" si="8"/>
        <v>1.49E-2</v>
      </c>
      <c r="AA36" s="204">
        <f t="shared" si="9"/>
        <v>23.283799999999999</v>
      </c>
      <c r="AB36" s="54" t="str">
        <f>VLOOKUP(A36,Enforcements!$C$7:$K$10,8,0)</f>
        <v>Bulletin (2)</v>
      </c>
      <c r="AC36" s="51" t="str">
        <f>VLOOKUP(A36,Enforcements!$C$7:$E$10,3,0)</f>
        <v>GRADE CROSSING</v>
      </c>
      <c r="AD36" s="179">
        <f t="shared" si="10"/>
        <v>124</v>
      </c>
      <c r="AE36" s="77" t="str">
        <f t="shared" si="11"/>
        <v>aws s3 cp s3://rtdc.mdm.uploadarchive.raw/RTDC4001/ "%USERPROFILE%\AppData\Local\Temp\OnboardLogs"\RTDC4001\2017-11-01 --exclude "*" --recursive --include "*20171101*" &amp; "%USERPROFILE%\Documents\GitHub\mrs-test-scripts\Headless Mode &amp; Sideloading\WalkAndUnGZ.bat" "%USERPROFILE%\AppData\Local\Temp\OnboardLogs"\RTDC4001\2017-11-01 &amp; aws s3 cp s3://rtdc.mdm.uploadarchive.raw/RTDC4001/ "%USERPROFILE%\AppData\Local\Temp\OnboardLogs"\RTDC4001\2017-11-02 --exclude "*" --recursive --include "*20171102*" &amp; "%USERPROFILE%\Documents\GitHub\mrs-test-scripts\Headless Mode &amp; Sideloading\WalkAndUnGZ.bat" "%USERPROFILE%\AppData\Local\Temp\OnboardLogs"\RTDC4001\2017-11-02</v>
      </c>
      <c r="AF36" s="74" t="str">
        <f t="shared" si="12"/>
        <v>"C:\Program Files (x86)\AstroGrep\AstroGrep.exe" /e /r /s /spath="%USERPROFILE%\AppData\Local\Temp\OnboardLogs" /stypes="app*4001*20171101*" /stext=" 14:.+((SYSTEM_STATE.+slice.+state.+changed )|(ment ac)|(multiple cpu faults)|(system.+state.+changed )|(\[timeout)|(PRM\|1\|D)|(kpr)|(kdp)|(train st.+moving)|(\|lc)|(penalty))"</v>
      </c>
      <c r="AG36" s="182" t="str">
        <f t="shared" si="13"/>
        <v>EC</v>
      </c>
      <c r="AH36" s="78" t="str">
        <f t="shared" si="19"/>
        <v>"%USERPROFILE%\Documents\GitHub\eaglep3\Utilities\RefineRTDCRunTimes.py" --tripid 124-01 --locoid 4001 --swversion DE.1.0.9.0 --startMP 204:232987 --initTime 2017-11-01T07:10:35 --startdatetime 2017-11-01T07:27:16 --delay 50 --endMP 204:149 --enddatetime 2017-11-01T08:06:57 --enforcementcount 0 &gt;&gt;%USERPROFILE%\Documents\GitHub\eaglep3-reporting\EC\2017-11-01-refined-times.txt</v>
      </c>
      <c r="AI36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{"issue":{"subject":"","project_id":79,"tracker_id":40,"status_id":1,"priority_id":2,"assigned_to_id":338,"start_date":"2017-11-01","description":"","custom_fields":[{"id":1,"name":"Subdivision","value":"EC"},{"id":4,"name":"Milepost","value":"0.0149"},{"id":17,"name":"Train ID","value":"124-01"},{"id":16,"name":"Locomotive ID","value":"4001"},{"id":130,"name":"Impact","value":""},{"id":150,"name":"Time of Event (Mountain Time)","value":"08:06:57"},{"id":151,"name":"Denver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0"/>
      <c r="AK36" s="47"/>
      <c r="AL36" s="47"/>
      <c r="AM36" s="142" t="str">
        <f t="shared" si="21"/>
        <v>start /low /b %USERPROFILE%\Documents\GitHub\eaglep3\Utilities\DownloadLogsFromS3.py --loco 4001 --day 2017-11-01</v>
      </c>
      <c r="AN36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14:06:57"},{"id":29,"name":"Sharepoint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23"/>
        <v>https://d0f6bd738d7f1b3e5a7ca70fe4ff75f0.us-east-1.aws.found.io/app/kibana#/discover/Steve-Slow-Train-Analysis-(2080s-and-2083s)?_g=(refreshInterval:(display:Off,pause:!f,section:0,value:0),time:(from:'2017-11-01T06:10:35-0600',mode:absolute,to:'2017-11-01T09:06:57-0600'))&amp;_a=(columns:!('Message%20ID',Summary),filters:!(),index:'emp_*',interval:auto,query:(query_string:(analyze_wildcard:!t,query:'%22rtdc.l.rtdc.4001%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696</v>
      </c>
      <c r="B37" s="7">
        <v>4064</v>
      </c>
      <c r="C37" s="21" t="s">
        <v>194</v>
      </c>
      <c r="D37" s="21" t="s">
        <v>891</v>
      </c>
      <c r="E37" s="13">
        <v>43040.277557870373</v>
      </c>
      <c r="F37" s="13">
        <v>43040.281469907408</v>
      </c>
      <c r="G37" s="7">
        <v>51</v>
      </c>
      <c r="H37" s="21" t="s">
        <v>426</v>
      </c>
      <c r="I37" s="13">
        <v>43040.306354166663</v>
      </c>
      <c r="J37" s="7">
        <v>0</v>
      </c>
      <c r="K37" s="89" t="str">
        <f t="shared" si="0"/>
        <v>4063/4064</v>
      </c>
      <c r="L37" s="185" t="str">
        <f>VLOOKUP(A37,'Trips&amp;Operators'!$C$1:$G$99911,5,FALSE)</f>
        <v>BONDS REYNALDO</v>
      </c>
      <c r="M37" s="6">
        <f t="shared" si="1"/>
        <v>2.488425925548654E-2</v>
      </c>
      <c r="N37" s="7">
        <f t="shared" si="2"/>
        <v>35.833333327900618</v>
      </c>
      <c r="O37" s="7"/>
      <c r="P37" s="7"/>
      <c r="Q37" s="22"/>
      <c r="R37" s="174"/>
      <c r="S37" s="221">
        <f t="shared" si="3"/>
        <v>1</v>
      </c>
      <c r="T37" s="174" t="str">
        <f t="shared" si="4"/>
        <v>NorthBound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 t="shared" si="5"/>
        <v>https://d0f6bd738d7f1b3e5a7ca70fe4ff75f0.us-east-1.aws.found.io/app/kibana#/discover/Steve-Slow-Train-Analysis-(2080s-and-2083s)?_g=(refreshInterval:(display:Off,pause:!f,section:0,value:0),time:(from:'2017-11-01T05:39:41-0600',mode:absolute,to:'2017-11-01T08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37" s="204" t="str">
        <f>IF(AA37&lt;VLOOKUP(AG37,Variables!$AC$3:$AD$8,2,FALSE),"Y","N")</f>
        <v>N</v>
      </c>
      <c r="X37" s="204">
        <f t="shared" si="6"/>
        <v>1</v>
      </c>
      <c r="Y37" s="204">
        <f t="shared" si="7"/>
        <v>4.7300000000000002E-2</v>
      </c>
      <c r="Z37" s="204">
        <f t="shared" si="8"/>
        <v>23.328600000000002</v>
      </c>
      <c r="AA37" s="204">
        <f t="shared" si="9"/>
        <v>23.281300000000002</v>
      </c>
      <c r="AB37" s="54" t="e">
        <f>VLOOKUP(A37,Enforcements!$C$7:$K$10,8,0)</f>
        <v>#N/A</v>
      </c>
      <c r="AC37" s="51" t="e">
        <f>VLOOKUP(A37,Enforcements!$C$7:$E$10,3,0)</f>
        <v>#N/A</v>
      </c>
      <c r="AD37" s="179">
        <f t="shared" si="10"/>
        <v>125</v>
      </c>
      <c r="AE37" s="77" t="str">
        <f t="shared" si="11"/>
        <v>aws s3 cp s3://rtdc.mdm.uploadarchive.raw/RTDC4064/ "%USERPROFILE%\AppData\Local\Temp\OnboardLogs"\RTDC4064\2017-11-01 --exclude "*" --recursive --include "*20171101*" &amp; "%USERPROFILE%\Documents\GitHub\mrs-test-scripts\Headless Mode &amp; Sideloading\WalkAndUnGZ.bat" "%USERPROFILE%\AppData\Local\Temp\OnboardLogs"\RTDC4064\2017-11-01 &amp; aws s3 cp s3://rtdc.mdm.uploadarchive.raw/RTDC4064/ "%USERPROFILE%\AppData\Local\Temp\OnboardLogs"\RTDC4064\2017-11-02 --exclude "*" --recursive --include "*20171102*" &amp; "%USERPROFILE%\Documents\GitHub\mrs-test-scripts\Headless Mode &amp; Sideloading\WalkAndUnGZ.bat" "%USERPROFILE%\AppData\Local\Temp\OnboardLogs"\RTDC4064\2017-11-02</v>
      </c>
      <c r="AF37" s="74" t="str">
        <f t="shared" si="12"/>
        <v>"C:\Program Files (x86)\AstroGrep\AstroGrep.exe" /e /r /s /spath="%USERPROFILE%\AppData\Local\Temp\OnboardLogs" /stypes="app*4064*20171101*" /stext=" 13:.+((SYSTEM_STATE.+slice.+state.+changed )|(ment ac)|(multiple cpu faults)|(system.+state.+changed )|(\[timeout)|(PRM\|1\|D)|(kpr)|(kdp)|(train st.+moving)|(\|lc)|(penalty))"</v>
      </c>
      <c r="AG37" s="182" t="str">
        <f t="shared" si="13"/>
        <v>EC</v>
      </c>
      <c r="AH37" s="78" t="str">
        <f t="shared" si="19"/>
        <v>"%USERPROFILE%\Documents\GitHub\eaglep3\Utilities\RefineRTDCRunTimes.py" --tripid 125-01 --locoid 4064 --swversion DE.1.0.9.0 --startMP 204:473 --initTime 2017-11-01T06:39:41 --startdatetime 2017-11-01T06:45:19 --delay 51 --endMP 204:233286 --enddatetime 2017-11-01T07:21:09 --enforcementcount 0 &gt;&gt;%USERPROFILE%\Documents\GitHub\eaglep3-reporting\EC\2017-11-01-refined-times.txt</v>
      </c>
      <c r="AI37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{"issue":{"subject":"","project_id":79,"tracker_id":40,"status_id":1,"priority_id":2,"assigned_to_id":338,"start_date":"2017-11-01","description":"","custom_fields":[{"id":1,"name":"Subdivision","value":"EC"},{"id":4,"name":"Milepost","value":"23.3286"},{"id":17,"name":"Train ID","value":"125-01"},{"id":16,"name":"Locomotive ID","value":"4064"},{"id":130,"name":"Impact","value":""},{"id":150,"name":"Time of Event (Mountain Time)","value":"07:21:09"},{"id":151,"name":"Denver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0"/>
      <c r="AK37" s="47"/>
      <c r="AL37" s="47"/>
      <c r="AM37" s="142" t="str">
        <f t="shared" si="21"/>
        <v>start /low /b %USERPROFILE%\Documents\GitHub\eaglep3\Utilities\DownloadLogsFromS3.py --loco 4064 --day 2017-11-01</v>
      </c>
      <c r="AN37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13:21:09"},{"id":29,"name":"Sharepoint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23"/>
        <v>https://d0f6bd738d7f1b3e5a7ca70fe4ff75f0.us-east-1.aws.found.io/app/kibana#/discover/Steve-Slow-Train-Analysis-(2080s-and-2083s)?_g=(refreshInterval:(display:Off,pause:!f,section:0,value:0),time:(from:'2017-11-01T05:39:41-0600',mode:absolute,to:'2017-11-01T08:21:09-0600'))&amp;_a=(columns:!('Message%20ID',Summary),filters:!(),index:'emp_*',interval:auto,query:(query_string:(analyze_wildcard:!t,query:'%22rtdc.l.rtdc.4064%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617</v>
      </c>
      <c r="B38" s="7">
        <v>4063</v>
      </c>
      <c r="C38" s="21" t="s">
        <v>194</v>
      </c>
      <c r="D38" s="21" t="s">
        <v>873</v>
      </c>
      <c r="E38" s="13">
        <v>43040.317025462966</v>
      </c>
      <c r="F38" s="13">
        <v>43040.321018518516</v>
      </c>
      <c r="G38" s="7">
        <v>88</v>
      </c>
      <c r="H38" s="21" t="s">
        <v>892</v>
      </c>
      <c r="I38" s="13">
        <v>43040.34752314815</v>
      </c>
      <c r="J38" s="7">
        <v>0</v>
      </c>
      <c r="K38" s="89" t="str">
        <f t="shared" si="0"/>
        <v>4063/4064</v>
      </c>
      <c r="L38" s="185" t="str">
        <f>VLOOKUP(A38,'Trips&amp;Operators'!$C$1:$G$99911,5,FALSE)</f>
        <v>BONDS REYNALDO</v>
      </c>
      <c r="M38" s="6">
        <f t="shared" si="1"/>
        <v>2.6504629633564036E-2</v>
      </c>
      <c r="N38" s="7">
        <f t="shared" si="2"/>
        <v>38.166666672332212</v>
      </c>
      <c r="O38" s="7"/>
      <c r="P38" s="7"/>
      <c r="Q38" s="22"/>
      <c r="R38" s="174"/>
      <c r="S38" s="221">
        <f t="shared" si="3"/>
        <v>1</v>
      </c>
      <c r="T38" s="174" t="str">
        <f t="shared" si="4"/>
        <v>Southbound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 t="shared" si="5"/>
        <v>https://d0f6bd738d7f1b3e5a7ca70fe4ff75f0.us-east-1.aws.found.io/app/kibana#/discover/Steve-Slow-Train-Analysis-(2080s-and-2083s)?_g=(refreshInterval:(display:Off,pause:!f,section:0,value:0),time:(from:'2017-11-01T06:36:31-0600',mode:absolute,to:'2017-11-01T09:20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38" s="204" t="str">
        <f>IF(AA38&lt;VLOOKUP(AG38,Variables!$AC$3:$AD$8,2,FALSE),"Y","N")</f>
        <v>N</v>
      </c>
      <c r="X38" s="204">
        <f t="shared" si="6"/>
        <v>1</v>
      </c>
      <c r="Y38" s="204">
        <f t="shared" si="7"/>
        <v>23.294</v>
      </c>
      <c r="Z38" s="204">
        <f t="shared" si="8"/>
        <v>1.83E-2</v>
      </c>
      <c r="AA38" s="204">
        <f t="shared" si="9"/>
        <v>23.275700000000001</v>
      </c>
      <c r="AB38" s="54" t="e">
        <f>VLOOKUP(A38,Enforcements!$C$7:$K$10,8,0)</f>
        <v>#N/A</v>
      </c>
      <c r="AC38" s="51" t="e">
        <f>VLOOKUP(A38,Enforcements!$C$7:$E$10,3,0)</f>
        <v>#N/A</v>
      </c>
      <c r="AD38" s="179">
        <f t="shared" si="10"/>
        <v>126</v>
      </c>
      <c r="AE38" s="77" t="str">
        <f t="shared" si="11"/>
        <v>aws s3 cp s3://rtdc.mdm.uploadarchive.raw/RTDC4063/ "%USERPROFILE%\AppData\Local\Temp\OnboardLogs"\RTDC4063\2017-11-01 --exclude "*" --recursive --include "*20171101*" &amp; "%USERPROFILE%\Documents\GitHub\mrs-test-scripts\Headless Mode &amp; Sideloading\WalkAndUnGZ.bat" "%USERPROFILE%\AppData\Local\Temp\OnboardLogs"\RTDC4063\2017-11-01 &amp; aws s3 cp s3://rtdc.mdm.uploadarchive.raw/RTDC4063/ "%USERPROFILE%\AppData\Local\Temp\OnboardLogs"\RTDC4063\2017-11-02 --exclude "*" --recursive --include "*20171102*" &amp; "%USERPROFILE%\Documents\GitHub\mrs-test-scripts\Headless Mode &amp; Sideloading\WalkAndUnGZ.bat" "%USERPROFILE%\AppData\Local\Temp\OnboardLogs"\RTDC4063\2017-11-02</v>
      </c>
      <c r="AF38" s="74" t="str">
        <f t="shared" si="12"/>
        <v>"C:\Program Files (x86)\AstroGrep\AstroGrep.exe" /e /r /s /spath="%USERPROFILE%\AppData\Local\Temp\OnboardLogs" /stypes="app*4063*20171101*" /stext=" 14:.+((SYSTEM_STATE.+slice.+state.+changed )|(ment ac)|(multiple cpu faults)|(system.+state.+changed )|(\[timeout)|(PRM\|1\|D)|(kpr)|(kdp)|(train st.+moving)|(\|lc)|(penalty))"</v>
      </c>
      <c r="AG38" s="182" t="str">
        <f t="shared" si="13"/>
        <v>EC</v>
      </c>
      <c r="AH38" s="78" t="str">
        <f t="shared" si="19"/>
        <v>"%USERPROFILE%\Documents\GitHub\eaglep3\Utilities\RefineRTDCRunTimes.py" --tripid 126-01 --locoid 4063 --swversion DE.1.0.9.0 --startMP 204:232940 --initTime 2017-11-01T07:36:31 --startdatetime 2017-11-01T07:42:16 --delay 88 --endMP 204:183 --enddatetime 2017-11-01T08:20:26 --enforcementcount 0 &gt;&gt;%USERPROFILE%\Documents\GitHub\eaglep3-reporting\EC\2017-11-01-refined-times.txt</v>
      </c>
      <c r="AI38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{"issue":{"subject":"","project_id":79,"tracker_id":40,"status_id":1,"priority_id":2,"assigned_to_id":338,"start_date":"2017-11-01","description":"","custom_fields":[{"id":1,"name":"Subdivision","value":"EC"},{"id":4,"name":"Milepost","value":"0.0183"},{"id":17,"name":"Train ID","value":"126-01"},{"id":16,"name":"Locomotive ID","value":"4063"},{"id":130,"name":"Impact","value":""},{"id":150,"name":"Time of Event (Mountain Time)","value":"08:20:26"},{"id":151,"name":"Denver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0"/>
      <c r="AK38" s="47"/>
      <c r="AL38" s="47"/>
      <c r="AM38" s="142" t="str">
        <f t="shared" si="21"/>
        <v>start /low /b %USERPROFILE%\Documents\GitHub\eaglep3\Utilities\DownloadLogsFromS3.py --loco 4063 --day 2017-11-01</v>
      </c>
      <c r="AN38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14:20:26"},{"id":29,"name":"Sharepoint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23"/>
        <v>https://d0f6bd738d7f1b3e5a7ca70fe4ff75f0.us-east-1.aws.found.io/app/kibana#/discover/Steve-Slow-Train-Analysis-(2080s-and-2083s)?_g=(refreshInterval:(display:Off,pause:!f,section:0,value:0),time:(from:'2017-11-01T06:36:31-0600',mode:absolute,to:'2017-11-01T09:20:26-0600'))&amp;_a=(columns:!('Message%20ID',Summary),filters:!(),index:'emp_*',interval:auto,query:(query_string:(analyze_wildcard:!t,query:'%22rtdc.l.rtdc.4063%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699</v>
      </c>
      <c r="B39" s="7">
        <v>4044</v>
      </c>
      <c r="C39" s="21" t="s">
        <v>194</v>
      </c>
      <c r="D39" s="21" t="s">
        <v>433</v>
      </c>
      <c r="E39" s="13">
        <v>43040.288576388892</v>
      </c>
      <c r="F39" s="13">
        <v>43040.291909722226</v>
      </c>
      <c r="G39" s="7">
        <v>55</v>
      </c>
      <c r="H39" s="21" t="s">
        <v>565</v>
      </c>
      <c r="I39" s="13">
        <v>43040.317210648151</v>
      </c>
      <c r="J39" s="7">
        <v>0</v>
      </c>
      <c r="K39" s="89" t="str">
        <f t="shared" si="0"/>
        <v>4043/4044</v>
      </c>
      <c r="L39" s="185" t="str">
        <f>VLOOKUP(A39,'Trips&amp;Operators'!$C$1:$G$99911,5,FALSE)</f>
        <v>AUSTIN THOMPSON</v>
      </c>
      <c r="M39" s="6">
        <f t="shared" si="1"/>
        <v>2.5300925924966577E-2</v>
      </c>
      <c r="N39" s="7">
        <f t="shared" si="2"/>
        <v>36.433333331951872</v>
      </c>
      <c r="O39" s="7"/>
      <c r="P39" s="7"/>
      <c r="Q39" s="22"/>
      <c r="R39" s="174"/>
      <c r="S39" s="221">
        <f t="shared" si="3"/>
        <v>1</v>
      </c>
      <c r="T39" s="174" t="str">
        <f t="shared" si="4"/>
        <v>NorthBound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 t="shared" si="5"/>
        <v>https://d0f6bd738d7f1b3e5a7ca70fe4ff75f0.us-east-1.aws.found.io/app/kibana#/discover/Steve-Slow-Train-Analysis-(2080s-and-2083s)?_g=(refreshInterval:(display:Off,pause:!f,section:0,value:0),time:(from:'2017-11-01T05:55:33-0600',mode:absolute,to:'2017-11-01T08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9" s="204" t="str">
        <f>IF(AA39&lt;VLOOKUP(AG39,Variables!$AC$3:$AD$8,2,FALSE),"Y","N")</f>
        <v>N</v>
      </c>
      <c r="X39" s="204">
        <f t="shared" si="6"/>
        <v>1</v>
      </c>
      <c r="Y39" s="204">
        <f t="shared" si="7"/>
        <v>4.53E-2</v>
      </c>
      <c r="Z39" s="204">
        <f t="shared" si="8"/>
        <v>23.3293</v>
      </c>
      <c r="AA39" s="204">
        <f t="shared" si="9"/>
        <v>23.283999999999999</v>
      </c>
      <c r="AB39" s="54" t="e">
        <f>VLOOKUP(A39,Enforcements!$C$7:$K$10,8,0)</f>
        <v>#N/A</v>
      </c>
      <c r="AC39" s="51" t="e">
        <f>VLOOKUP(A39,Enforcements!$C$7:$E$10,3,0)</f>
        <v>#N/A</v>
      </c>
      <c r="AD39" s="179">
        <f t="shared" si="10"/>
        <v>127</v>
      </c>
      <c r="AE39" s="77" t="str">
        <f t="shared" si="11"/>
        <v>aws s3 cp s3://rtdc.mdm.uploadarchive.raw/RTDC4044/ "%USERPROFILE%\AppData\Local\Temp\OnboardLogs"\RTDC4044\2017-11-01 --exclude "*" --recursive --include "*20171101*" &amp; "%USERPROFILE%\Documents\GitHub\mrs-test-scripts\Headless Mode &amp; Sideloading\WalkAndUnGZ.bat" "%USERPROFILE%\AppData\Local\Temp\OnboardLogs"\RTDC4044\2017-11-01 &amp; aws s3 cp s3://rtdc.mdm.uploadarchive.raw/RTDC4044/ "%USERPROFILE%\AppData\Local\Temp\OnboardLogs"\RTDC4044\2017-11-02 --exclude "*" --recursive --include "*20171102*" &amp; "%USERPROFILE%\Documents\GitHub\mrs-test-scripts\Headless Mode &amp; Sideloading\WalkAndUnGZ.bat" "%USERPROFILE%\AppData\Local\Temp\OnboardLogs"\RTDC4044\2017-11-02</v>
      </c>
      <c r="AF39" s="74" t="str">
        <f t="shared" si="12"/>
        <v>"C:\Program Files (x86)\AstroGrep\AstroGrep.exe" /e /r /s /spath="%USERPROFILE%\AppData\Local\Temp\OnboardLogs" /stypes="app*4044*20171101*" /stext=" 13:.+((SYSTEM_STATE.+slice.+state.+changed )|(ment ac)|(multiple cpu faults)|(system.+state.+changed )|(\[timeout)|(PRM\|1\|D)|(kpr)|(kdp)|(train st.+moving)|(\|lc)|(penalty))"</v>
      </c>
      <c r="AG39" s="182" t="str">
        <f t="shared" si="13"/>
        <v>EC</v>
      </c>
      <c r="AH39" s="78" t="str">
        <f t="shared" si="19"/>
        <v>"%USERPROFILE%\Documents\GitHub\eaglep3\Utilities\RefineRTDCRunTimes.py" --tripid 127-01 --locoid 4044 --swversion DE.1.0.9.0 --startMP 204:453 --initTime 2017-11-01T06:55:33 --startdatetime 2017-11-01T07:00:21 --delay 55 --endMP 204:233293 --enddatetime 2017-11-01T07:36:47 --enforcementcount 0 &gt;&gt;%USERPROFILE%\Documents\GitHub\eaglep3-reporting\EC\2017-11-01-refined-times.txt</v>
      </c>
      <c r="AI39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{"issue":{"subject":"","project_id":79,"tracker_id":40,"status_id":1,"priority_id":2,"assigned_to_id":338,"start_date":"2017-11-01","description":"","custom_fields":[{"id":1,"name":"Subdivision","value":"EC"},{"id":4,"name":"Milepost","value":"23.3293"},{"id":17,"name":"Train ID","value":"127-01"},{"id":16,"name":"Locomotive ID","value":"4044"},{"id":130,"name":"Impact","value":""},{"id":150,"name":"Time of Event (Mountain Time)","value":"07:36:47"},{"id":151,"name":"Denver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0"/>
      <c r="AK39" s="47"/>
      <c r="AL39" s="47"/>
      <c r="AM39" s="142" t="str">
        <f t="shared" si="21"/>
        <v>start /low /b %USERPROFILE%\Documents\GitHub\eaglep3\Utilities\DownloadLogsFromS3.py --loco 4044 --day 2017-11-01</v>
      </c>
      <c r="AN39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13:36:47"},{"id":29,"name":"Sharepoint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23"/>
        <v>https://d0f6bd738d7f1b3e5a7ca70fe4ff75f0.us-east-1.aws.found.io/app/kibana#/discover/Steve-Slow-Train-Analysis-(2080s-and-2083s)?_g=(refreshInterval:(display:Off,pause:!f,section:0,value:0),time:(from:'2017-11-01T05:55:33-0600',mode:absolute,to:'2017-11-01T08:36:47-0600'))&amp;_a=(columns:!('Message%20ID',Summary),filters:!(),index:'emp_*',interval:auto,query:(query_string:(analyze_wildcard:!t,query:'%22rtdc.l.rtdc.4044%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707</v>
      </c>
      <c r="B40" s="7">
        <v>4043</v>
      </c>
      <c r="C40" s="21" t="s">
        <v>194</v>
      </c>
      <c r="D40" s="21" t="s">
        <v>560</v>
      </c>
      <c r="E40" s="13">
        <v>43040.328680555554</v>
      </c>
      <c r="F40" s="13">
        <v>43040.331388888888</v>
      </c>
      <c r="G40" s="7">
        <v>63</v>
      </c>
      <c r="H40" s="21" t="s">
        <v>353</v>
      </c>
      <c r="I40" s="13">
        <v>43040.357893518521</v>
      </c>
      <c r="J40" s="7">
        <v>0</v>
      </c>
      <c r="K40" s="89" t="str">
        <f t="shared" si="0"/>
        <v>4043/4044</v>
      </c>
      <c r="L40" s="185" t="str">
        <f>VLOOKUP(A40,'Trips&amp;Operators'!$C$1:$G$99911,5,FALSE)</f>
        <v>AUSTIN THOMPSON</v>
      </c>
      <c r="M40" s="6">
        <f t="shared" si="1"/>
        <v>2.6504629633564036E-2</v>
      </c>
      <c r="N40" s="7">
        <f t="shared" si="2"/>
        <v>38.166666672332212</v>
      </c>
      <c r="O40" s="7"/>
      <c r="P40" s="7"/>
      <c r="Q40" s="22"/>
      <c r="R40" s="174"/>
      <c r="S40" s="221">
        <f t="shared" si="3"/>
        <v>1</v>
      </c>
      <c r="T40" s="174" t="str">
        <f t="shared" si="4"/>
        <v>Southbound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 t="shared" si="5"/>
        <v>https://d0f6bd738d7f1b3e5a7ca70fe4ff75f0.us-east-1.aws.found.io/app/kibana#/discover/Steve-Slow-Train-Analysis-(2080s-and-2083s)?_g=(refreshInterval:(display:Off,pause:!f,section:0,value:0),time:(from:'2017-11-01T06:53:18-0600',mode:absolute,to:'2017-11-01T09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0" s="204" t="str">
        <f>IF(AA40&lt;VLOOKUP(AG40,Variables!$AC$3:$AD$8,2,FALSE),"Y","N")</f>
        <v>N</v>
      </c>
      <c r="X40" s="204">
        <f t="shared" si="6"/>
        <v>1</v>
      </c>
      <c r="Y40" s="204">
        <f t="shared" si="7"/>
        <v>23.297699999999999</v>
      </c>
      <c r="Z40" s="204">
        <f t="shared" si="8"/>
        <v>1.54E-2</v>
      </c>
      <c r="AA40" s="204">
        <f t="shared" si="9"/>
        <v>23.282299999999999</v>
      </c>
      <c r="AB40" s="54" t="e">
        <f>VLOOKUP(A40,Enforcements!$C$7:$K$10,8,0)</f>
        <v>#N/A</v>
      </c>
      <c r="AC40" s="51" t="e">
        <f>VLOOKUP(A40,Enforcements!$C$7:$E$10,3,0)</f>
        <v>#N/A</v>
      </c>
      <c r="AD40" s="179">
        <f t="shared" si="10"/>
        <v>128</v>
      </c>
      <c r="AE40" s="77" t="str">
        <f t="shared" si="11"/>
        <v>aws s3 cp s3://rtdc.mdm.uploadarchive.raw/RTDC4043/ "%USERPROFILE%\AppData\Local\Temp\OnboardLogs"\RTDC4043\2017-11-01 --exclude "*" --recursive --include "*20171101*" &amp; "%USERPROFILE%\Documents\GitHub\mrs-test-scripts\Headless Mode &amp; Sideloading\WalkAndUnGZ.bat" "%USERPROFILE%\AppData\Local\Temp\OnboardLogs"\RTDC4043\2017-11-01 &amp; aws s3 cp s3://rtdc.mdm.uploadarchive.raw/RTDC4043/ "%USERPROFILE%\AppData\Local\Temp\OnboardLogs"\RTDC4043\2017-11-02 --exclude "*" --recursive --include "*20171102*" &amp; "%USERPROFILE%\Documents\GitHub\mrs-test-scripts\Headless Mode &amp; Sideloading\WalkAndUnGZ.bat" "%USERPROFILE%\AppData\Local\Temp\OnboardLogs"\RTDC4043\2017-11-02</v>
      </c>
      <c r="AF40" s="74" t="str">
        <f t="shared" si="12"/>
        <v>"C:\Program Files (x86)\AstroGrep\AstroGrep.exe" /e /r /s /spath="%USERPROFILE%\AppData\Local\Temp\OnboardLogs" /stypes="app*4043*20171101*" /stext=" 14:.+((SYSTEM_STATE.+slice.+state.+changed )|(ment ac)|(multiple cpu faults)|(system.+state.+changed )|(\[timeout)|(PRM\|1\|D)|(kpr)|(kdp)|(train st.+moving)|(\|lc)|(penalty))"</v>
      </c>
      <c r="AG40" s="182" t="str">
        <f t="shared" si="13"/>
        <v>EC</v>
      </c>
      <c r="AH40" s="78" t="str">
        <f t="shared" si="19"/>
        <v>"%USERPROFILE%\Documents\GitHub\eaglep3\Utilities\RefineRTDCRunTimes.py" --tripid 128-01 --locoid 4043 --swversion DE.1.0.9.0 --startMP 204:232977 --initTime 2017-11-01T07:53:18 --startdatetime 2017-11-01T07:57:12 --delay 63 --endMP 204:154 --enddatetime 2017-11-01T08:35:22 --enforcementcount 0 &gt;&gt;%USERPROFILE%\Documents\GitHub\eaglep3-reporting\EC\2017-11-01-refined-times.txt</v>
      </c>
      <c r="AI40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{"issue":{"subject":"","project_id":79,"tracker_id":40,"status_id":1,"priority_id":2,"assigned_to_id":338,"start_date":"2017-11-01","description":"","custom_fields":[{"id":1,"name":"Subdivision","value":"EC"},{"id":4,"name":"Milepost","value":"0.0154"},{"id":17,"name":"Train ID","value":"128-01"},{"id":16,"name":"Locomotive ID","value":"4043"},{"id":130,"name":"Impact","value":""},{"id":150,"name":"Time of Event (Mountain Time)","value":"08:35:22"},{"id":151,"name":"Denver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0"/>
      <c r="AK40" s="47"/>
      <c r="AL40" s="47"/>
      <c r="AM40" s="142" t="str">
        <f t="shared" si="21"/>
        <v>start /low /b %USERPROFILE%\Documents\GitHub\eaglep3\Utilities\DownloadLogsFromS3.py --loco 4043 --day 2017-11-01</v>
      </c>
      <c r="AN40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14:35:22"},{"id":29,"name":"Sharepoint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23"/>
        <v>https://d0f6bd738d7f1b3e5a7ca70fe4ff75f0.us-east-1.aws.found.io/app/kibana#/discover/Steve-Slow-Train-Analysis-(2080s-and-2083s)?_g=(refreshInterval:(display:Off,pause:!f,section:0,value:0),time:(from:'2017-11-01T06:53:18-0600',mode:absolute,to:'2017-11-01T09:35:22-0600'))&amp;_a=(columns:!('Message%20ID',Summary),filters:!(),index:'emp_*',interval:auto,query:(query_string:(analyze_wildcard:!t,query:'%22rtdc.l.rtdc.4043%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702</v>
      </c>
      <c r="B41" s="7">
        <v>4014</v>
      </c>
      <c r="C41" s="21" t="s">
        <v>194</v>
      </c>
      <c r="D41" s="21" t="s">
        <v>887</v>
      </c>
      <c r="E41" s="13">
        <v>43040.29959490741</v>
      </c>
      <c r="F41" s="13">
        <v>43040.302337962959</v>
      </c>
      <c r="G41" s="7">
        <v>55</v>
      </c>
      <c r="H41" s="21" t="s">
        <v>565</v>
      </c>
      <c r="I41" s="13">
        <v>43040.326597222222</v>
      </c>
      <c r="J41" s="7">
        <v>0</v>
      </c>
      <c r="K41" s="89" t="str">
        <f t="shared" si="0"/>
        <v>4013/4014</v>
      </c>
      <c r="L41" s="185" t="str">
        <f>VLOOKUP(A41,'Trips&amp;Operators'!$C$1:$G$99911,5,FALSE)</f>
        <v>THOMPSON LESTER</v>
      </c>
      <c r="M41" s="6">
        <f t="shared" si="1"/>
        <v>2.4259259262180422E-2</v>
      </c>
      <c r="N41" s="7">
        <f t="shared" si="2"/>
        <v>34.933333337539807</v>
      </c>
      <c r="O41" s="7"/>
      <c r="P41" s="7"/>
      <c r="Q41" s="22"/>
      <c r="R41" s="174"/>
      <c r="S41" s="221">
        <f t="shared" si="3"/>
        <v>1</v>
      </c>
      <c r="T41" s="174" t="str">
        <f t="shared" si="4"/>
        <v>NorthBound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 t="shared" si="5"/>
        <v>https://d0f6bd738d7f1b3e5a7ca70fe4ff75f0.us-east-1.aws.found.io/app/kibana#/discover/Steve-Slow-Train-Analysis-(2080s-and-2083s)?_g=(refreshInterval:(display:Off,pause:!f,section:0,value:0),time:(from:'2017-11-01T06:11:25-0600',mode:absolute,to:'2017-11-01T08:50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1" s="204" t="str">
        <f>IF(AA41&lt;VLOOKUP(AG41,Variables!$AC$3:$AD$8,2,FALSE),"Y","N")</f>
        <v>N</v>
      </c>
      <c r="X41" s="204">
        <f t="shared" si="6"/>
        <v>1</v>
      </c>
      <c r="Y41" s="204">
        <f t="shared" si="7"/>
        <v>4.4900000000000002E-2</v>
      </c>
      <c r="Z41" s="204">
        <f t="shared" si="8"/>
        <v>23.3293</v>
      </c>
      <c r="AA41" s="204">
        <f t="shared" si="9"/>
        <v>23.284400000000002</v>
      </c>
      <c r="AB41" s="54" t="e">
        <f>VLOOKUP(A41,Enforcements!$C$7:$K$10,8,0)</f>
        <v>#N/A</v>
      </c>
      <c r="AC41" s="51" t="e">
        <f>VLOOKUP(A41,Enforcements!$C$7:$E$10,3,0)</f>
        <v>#N/A</v>
      </c>
      <c r="AD41" s="179">
        <f t="shared" si="10"/>
        <v>129</v>
      </c>
      <c r="AE41" s="77" t="str">
        <f t="shared" si="11"/>
        <v>aws s3 cp s3://rtdc.mdm.uploadarchive.raw/RTDC4014/ "%USERPROFILE%\AppData\Local\Temp\OnboardLogs"\RTDC4014\2017-11-01 --exclude "*" --recursive --include "*20171101*" &amp; "%USERPROFILE%\Documents\GitHub\mrs-test-scripts\Headless Mode &amp; Sideloading\WalkAndUnGZ.bat" "%USERPROFILE%\AppData\Local\Temp\OnboardLogs"\RTDC4014\2017-11-01 &amp; aws s3 cp s3://rtdc.mdm.uploadarchive.raw/RTDC4014/ "%USERPROFILE%\AppData\Local\Temp\OnboardLogs"\RTDC4014\2017-11-02 --exclude "*" --recursive --include "*20171102*" &amp; "%USERPROFILE%\Documents\GitHub\mrs-test-scripts\Headless Mode &amp; Sideloading\WalkAndUnGZ.bat" "%USERPROFILE%\AppData\Local\Temp\OnboardLogs"\RTDC4014\2017-11-02</v>
      </c>
      <c r="AF41" s="74" t="str">
        <f t="shared" si="12"/>
        <v>"C:\Program Files (x86)\AstroGrep\AstroGrep.exe" /e /r /s /spath="%USERPROFILE%\AppData\Local\Temp\OnboardLogs" /stypes="app*4014*20171101*" /stext=" 13:.+((SYSTEM_STATE.+slice.+state.+changed )|(ment ac)|(multiple cpu faults)|(system.+state.+changed )|(\[timeout)|(PRM\|1\|D)|(kpr)|(kdp)|(train st.+moving)|(\|lc)|(penalty))"</v>
      </c>
      <c r="AG41" s="182" t="str">
        <f t="shared" si="13"/>
        <v>EC</v>
      </c>
      <c r="AH41" s="78" t="str">
        <f t="shared" si="19"/>
        <v>"%USERPROFILE%\Documents\GitHub\eaglep3\Utilities\RefineRTDCRunTimes.py" --tripid 129-01 --locoid 4014 --swversion DE.1.0.9.0 --startMP 204:449 --initTime 2017-11-01T07:11:25 --startdatetime 2017-11-01T07:15:22 --delay 55 --endMP 204:233293 --enddatetime 2017-11-01T07:50:18 --enforcementcount 0 &gt;&gt;%USERPROFILE%\Documents\GitHub\eaglep3-reporting\EC\2017-11-01-refined-times.txt</v>
      </c>
      <c r="AI41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{"issue":{"subject":"","project_id":79,"tracker_id":40,"status_id":1,"priority_id":2,"assigned_to_id":338,"start_date":"2017-11-01","description":"","custom_fields":[{"id":1,"name":"Subdivision","value":"EC"},{"id":4,"name":"Milepost","value":"23.3293"},{"id":17,"name":"Train ID","value":"129-01"},{"id":16,"name":"Locomotive ID","value":"4014"},{"id":130,"name":"Impact","value":""},{"id":150,"name":"Time of Event (Mountain Time)","value":"07:50:18"},{"id":151,"name":"Denver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0"/>
      <c r="AK41" s="47"/>
      <c r="AL41" s="47"/>
      <c r="AM41" s="142" t="str">
        <f t="shared" si="21"/>
        <v>start /low /b %USERPROFILE%\Documents\GitHub\eaglep3\Utilities\DownloadLogsFromS3.py --loco 4014 --day 2017-11-01</v>
      </c>
      <c r="AN41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13:50:18"},{"id":29,"name":"Sharepoint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23"/>
        <v>https://d0f6bd738d7f1b3e5a7ca70fe4ff75f0.us-east-1.aws.found.io/app/kibana#/discover/Steve-Slow-Train-Analysis-(2080s-and-2083s)?_g=(refreshInterval:(display:Off,pause:!f,section:0,value:0),time:(from:'2017-11-01T06:11:25-0600',mode:absolute,to:'2017-11-01T08:50:18-0600'))&amp;_a=(columns:!('Message%20ID',Summary),filters:!(),index:'emp_*',interval:auto,query:(query_string:(analyze_wildcard:!t,query:'%22rtdc.l.rtdc.4014%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620</v>
      </c>
      <c r="B42" s="7">
        <v>4013</v>
      </c>
      <c r="C42" s="21" t="s">
        <v>194</v>
      </c>
      <c r="D42" s="21" t="s">
        <v>893</v>
      </c>
      <c r="E42" s="13">
        <v>43040.340277777781</v>
      </c>
      <c r="F42" s="13">
        <v>43040.341863425929</v>
      </c>
      <c r="G42" s="7">
        <v>65</v>
      </c>
      <c r="H42" s="21" t="s">
        <v>334</v>
      </c>
      <c r="I42" s="13">
        <v>43040.369189814817</v>
      </c>
      <c r="J42" s="7">
        <v>0</v>
      </c>
      <c r="K42" s="89" t="str">
        <f t="shared" si="0"/>
        <v>4013/4014</v>
      </c>
      <c r="L42" s="185" t="str">
        <f>VLOOKUP(A42,'Trips&amp;Operators'!$C$1:$G$99911,5,FALSE)</f>
        <v>THOMPSON LESTER</v>
      </c>
      <c r="M42" s="6">
        <f t="shared" si="1"/>
        <v>2.73263888884685E-2</v>
      </c>
      <c r="N42" s="7">
        <f t="shared" si="2"/>
        <v>39.34999999939464</v>
      </c>
      <c r="O42" s="7"/>
      <c r="P42" s="7"/>
      <c r="Q42" s="22"/>
      <c r="R42" s="174" t="s">
        <v>1107</v>
      </c>
      <c r="S42" s="221">
        <f t="shared" si="3"/>
        <v>1</v>
      </c>
      <c r="T42" s="174" t="str">
        <f t="shared" si="4"/>
        <v>Southbound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 t="shared" si="5"/>
        <v>https://d0f6bd738d7f1b3e5a7ca70fe4ff75f0.us-east-1.aws.found.io/app/kibana#/discover/Steve-Slow-Train-Analysis-(2080s-and-2083s)?_g=(refreshInterval:(display:Off,pause:!f,section:0,value:0),time:(from:'2017-11-01T07:10:00-0600',mode:absolute,to:'2017-11-01T09:51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2" s="204" t="str">
        <f>IF(AA42&lt;VLOOKUP(AG42,Variables!$AC$3:$AD$8,2,FALSE),"Y","N")</f>
        <v>N</v>
      </c>
      <c r="X42" s="204">
        <f t="shared" si="6"/>
        <v>1</v>
      </c>
      <c r="Y42" s="204">
        <f t="shared" si="7"/>
        <v>23.2973</v>
      </c>
      <c r="Z42" s="204">
        <f t="shared" si="8"/>
        <v>1.4999999999999999E-2</v>
      </c>
      <c r="AA42" s="204">
        <f t="shared" si="9"/>
        <v>23.282299999999999</v>
      </c>
      <c r="AB42" s="54" t="e">
        <f>VLOOKUP(A42,Enforcements!$C$7:$K$10,8,0)</f>
        <v>#N/A</v>
      </c>
      <c r="AC42" s="51" t="e">
        <f>VLOOKUP(A42,Enforcements!$C$7:$E$10,3,0)</f>
        <v>#N/A</v>
      </c>
      <c r="AD42" s="179">
        <f t="shared" si="10"/>
        <v>130</v>
      </c>
      <c r="AE42" s="77" t="str">
        <f t="shared" si="11"/>
        <v>aws s3 cp s3://rtdc.mdm.uploadarchive.raw/RTDC4013/ "%USERPROFILE%\AppData\Local\Temp\OnboardLogs"\RTDC4013\2017-11-01 --exclude "*" --recursive --include "*20171101*" &amp; "%USERPROFILE%\Documents\GitHub\mrs-test-scripts\Headless Mode &amp; Sideloading\WalkAndUnGZ.bat" "%USERPROFILE%\AppData\Local\Temp\OnboardLogs"\RTDC4013\2017-11-01 &amp; aws s3 cp s3://rtdc.mdm.uploadarchive.raw/RTDC4013/ "%USERPROFILE%\AppData\Local\Temp\OnboardLogs"\RTDC4013\2017-11-02 --exclude "*" --recursive --include "*20171102*" &amp; "%USERPROFILE%\Documents\GitHub\mrs-test-scripts\Headless Mode &amp; Sideloading\WalkAndUnGZ.bat" "%USERPROFILE%\AppData\Local\Temp\OnboardLogs"\RTDC4013\2017-11-02</v>
      </c>
      <c r="AF42" s="74" t="str">
        <f t="shared" si="12"/>
        <v>"C:\Program Files (x86)\AstroGrep\AstroGrep.exe" /e /r /s /spath="%USERPROFILE%\AppData\Local\Temp\OnboardLogs" /stypes="app*4013*20171101*" /stext=" 14:.+((SYSTEM_STATE.+slice.+state.+changed )|(ment ac)|(multiple cpu faults)|(system.+state.+changed )|(\[timeout)|(PRM\|1\|D)|(kpr)|(kdp)|(train st.+moving)|(\|lc)|(penalty))"</v>
      </c>
      <c r="AG42" s="182" t="str">
        <f t="shared" si="13"/>
        <v>EC</v>
      </c>
      <c r="AH42" s="78" t="str">
        <f t="shared" si="19"/>
        <v>"%USERPROFILE%\Documents\GitHub\eaglep3\Utilities\RefineRTDCRunTimes.py" --tripid 130-01 --locoid 4013 --swversion DE.1.0.9.0 --startMP 204:232973 --initTime 2017-11-01T08:10:00 --startdatetime 2017-11-01T08:12:17 --delay 65 --endMP 204:150 --enddatetime 2017-11-01T08:51:38 --enforcementcount 0 &gt;&gt;%USERPROFILE%\Documents\GitHub\eaglep3-reporting\EC\2017-11-01-refined-times.txt</v>
      </c>
      <c r="AI42" s="96" t="str">
        <f t="shared" si="20"/>
        <v>echo {"issue":{"subject":"Observed unhealthy xing at Chambers due to 40th station stop","project_id":79,"tracker_id":40,"status_id":1,"priority_id":2,"assigned_to_id":338,"start_date":"2017-11-01","description":"","custom_fields":[{"id":1,"name":"Subdivision","value":"EC"},{"id":4,"name":"Milepost","value":"0.015"},{"id":17,"name":"Train ID","value":"130-01"},{"id":16,"name":"Locomotive ID","value":"4013"},{"id":130,"name":"Impact","value":""},{"id":150,"name":"Time of Event (Mountain Time)","value":"08:51:38"},{"id":151,"name":"Denver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0"/>
      <c r="AK42" s="47"/>
      <c r="AL42" s="47"/>
      <c r="AM42" s="142" t="str">
        <f t="shared" si="21"/>
        <v>start /low /b %USERPROFILE%\Documents\GitHub\eaglep3\Utilities\DownloadLogsFromS3.py --loco 4013 --day 2017-11-01</v>
      </c>
      <c r="AN42" s="151" t="str">
        <f t="shared" si="22"/>
        <v>echo {"issue":{"subject":"Observed unhealthy xing at Chambers due to 40th station stop","project_id":30,"tracker_id":4,"status_id":1,"priority_id":1,"assigned_to_id":10,"start_date":"2017-11-01","description":"","custom_fields":[{"id":30,"name":"Category","value":"Issue"},{"id":3,"name":"Functional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14:51:38"},{"id":29,"name":"Sharepoint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23"/>
        <v>https://d0f6bd738d7f1b3e5a7ca70fe4ff75f0.us-east-1.aws.found.io/app/kibana#/discover/Steve-Slow-Train-Analysis-(2080s-and-2083s)?_g=(refreshInterval:(display:Off,pause:!f,section:0,value:0),time:(from:'2017-11-01T07:10:00-0600',mode:absolute,to:'2017-11-01T09:51:38-0600'))&amp;_a=(columns:!('Message%20ID',Summary),filters:!(),index:'emp_*',interval:auto,query:(query_string:(analyze_wildcard:!t,query:'%22rtdc.l.rtdc.4013%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703</v>
      </c>
      <c r="B43" s="7">
        <v>4042</v>
      </c>
      <c r="C43" s="21" t="s">
        <v>194</v>
      </c>
      <c r="D43" s="21" t="s">
        <v>894</v>
      </c>
      <c r="E43" s="13">
        <v>43040.307071759256</v>
      </c>
      <c r="F43" s="13">
        <v>43040.312650462962</v>
      </c>
      <c r="G43" s="7">
        <v>120</v>
      </c>
      <c r="H43" s="21" t="s">
        <v>895</v>
      </c>
      <c r="I43" s="13">
        <v>43040.336944444447</v>
      </c>
      <c r="J43" s="7">
        <v>0</v>
      </c>
      <c r="K43" s="89" t="str">
        <f t="shared" si="0"/>
        <v>4041/4042</v>
      </c>
      <c r="L43" s="185" t="str">
        <f>VLOOKUP(A43,'Trips&amp;Operators'!$C$1:$G$99911,5,FALSE)</f>
        <v>ROMERO CHAD</v>
      </c>
      <c r="M43" s="6">
        <f t="shared" si="1"/>
        <v>2.4293981485243421E-2</v>
      </c>
      <c r="N43" s="7">
        <f t="shared" si="2"/>
        <v>34.983333338750526</v>
      </c>
      <c r="O43" s="7"/>
      <c r="P43" s="7"/>
      <c r="Q43" s="22"/>
      <c r="R43" s="174"/>
      <c r="S43" s="221">
        <f t="shared" si="3"/>
        <v>1</v>
      </c>
      <c r="T43" s="174" t="str">
        <f t="shared" si="4"/>
        <v>NorthBound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 t="shared" si="5"/>
        <v>https://d0f6bd738d7f1b3e5a7ca70fe4ff75f0.us-east-1.aws.found.io/app/kibana#/discover/Steve-Slow-Train-Analysis-(2080s-and-2083s)?_g=(refreshInterval:(display:Off,pause:!f,section:0,value:0),time:(from:'2017-11-01T06:22:11-0600',mode:absolute,to:'2017-11-01T09:05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3" s="204" t="str">
        <f>IF(AA43&lt;VLOOKUP(AG43,Variables!$AC$3:$AD$8,2,FALSE),"Y","N")</f>
        <v>N</v>
      </c>
      <c r="X43" s="204">
        <f t="shared" si="6"/>
        <v>1</v>
      </c>
      <c r="Y43" s="204">
        <f t="shared" si="7"/>
        <v>4.24E-2</v>
      </c>
      <c r="Z43" s="204">
        <f t="shared" si="8"/>
        <v>23.332699999999999</v>
      </c>
      <c r="AA43" s="204">
        <f t="shared" si="9"/>
        <v>23.290299999999998</v>
      </c>
      <c r="AB43" s="54" t="e">
        <f>VLOOKUP(A43,Enforcements!$C$7:$K$10,8,0)</f>
        <v>#N/A</v>
      </c>
      <c r="AC43" s="51" t="e">
        <f>VLOOKUP(A43,Enforcements!$C$7:$E$10,3,0)</f>
        <v>#N/A</v>
      </c>
      <c r="AD43" s="179">
        <f t="shared" si="10"/>
        <v>131</v>
      </c>
      <c r="AE43" s="77" t="str">
        <f t="shared" si="11"/>
        <v>aws s3 cp s3://rtdc.mdm.uploadarchive.raw/RTDC4042/ "%USERPROFILE%\AppData\Local\Temp\OnboardLogs"\RTDC4042\2017-11-01 --exclude "*" --recursive --include "*20171101*" &amp; "%USERPROFILE%\Documents\GitHub\mrs-test-scripts\Headless Mode &amp; Sideloading\WalkAndUnGZ.bat" "%USERPROFILE%\AppData\Local\Temp\OnboardLogs"\RTDC4042\2017-11-01 &amp; aws s3 cp s3://rtdc.mdm.uploadarchive.raw/RTDC4042/ "%USERPROFILE%\AppData\Local\Temp\OnboardLogs"\RTDC4042\2017-11-02 --exclude "*" --recursive --include "*20171102*" &amp; "%USERPROFILE%\Documents\GitHub\mrs-test-scripts\Headless Mode &amp; Sideloading\WalkAndUnGZ.bat" "%USERPROFILE%\AppData\Local\Temp\OnboardLogs"\RTDC4042\2017-11-02</v>
      </c>
      <c r="AF43" s="74" t="str">
        <f t="shared" si="12"/>
        <v>"C:\Program Files (x86)\AstroGrep\AstroGrep.exe" /e /r /s /spath="%USERPROFILE%\AppData\Local\Temp\OnboardLogs" /stypes="app*4042*20171101*" /stext=" 14:.+((SYSTEM_STATE.+slice.+state.+changed )|(ment ac)|(multiple cpu faults)|(system.+state.+changed )|(\[timeout)|(PRM\|1\|D)|(kpr)|(kdp)|(train st.+moving)|(\|lc)|(penalty))"</v>
      </c>
      <c r="AG43" s="182" t="str">
        <f t="shared" si="13"/>
        <v>EC</v>
      </c>
      <c r="AH43" s="78" t="str">
        <f t="shared" si="19"/>
        <v>"%USERPROFILE%\Documents\GitHub\eaglep3\Utilities\RefineRTDCRunTimes.py" --tripid 131-01 --locoid 4042 --swversion DE.1.0.9.0 --startMP 204:424 --initTime 2017-11-01T07:22:11 --startdatetime 2017-11-01T07:30:13 --delay 120 --endMP 204:233327 --enddatetime 2017-11-01T08:05:12 --enforcementcount 0 &gt;&gt;%USERPROFILE%\Documents\GitHub\eaglep3-reporting\EC\2017-11-01-refined-times.txt</v>
      </c>
      <c r="AI43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{"issue":{"subject":"","project_id":79,"tracker_id":40,"status_id":1,"priority_id":2,"assigned_to_id":338,"start_date":"2017-11-01","description":"","custom_fields":[{"id":1,"name":"Subdivision","value":"EC"},{"id":4,"name":"Milepost","value":"23.3327"},{"id":17,"name":"Train ID","value":"131-01"},{"id":16,"name":"Locomotive ID","value":"4042"},{"id":130,"name":"Impact","value":""},{"id":150,"name":"Time of Event (Mountain Time)","value":"08:05:12"},{"id":151,"name":"Denver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0"/>
      <c r="AK43" s="47"/>
      <c r="AL43" s="47"/>
      <c r="AM43" s="142" t="str">
        <f t="shared" si="21"/>
        <v>start /low /b %USERPROFILE%\Documents\GitHub\eaglep3\Utilities\DownloadLogsFromS3.py --loco 4042 --day 2017-11-01</v>
      </c>
      <c r="AN43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14:05:12"},{"id":29,"name":"Sharepoint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23"/>
        <v>https://d0f6bd738d7f1b3e5a7ca70fe4ff75f0.us-east-1.aws.found.io/app/kibana#/discover/Steve-Slow-Train-Analysis-(2080s-and-2083s)?_g=(refreshInterval:(display:Off,pause:!f,section:0,value:0),time:(from:'2017-11-01T06:22:11-0600',mode:absolute,to:'2017-11-01T09:05:12-0600'))&amp;_a=(columns:!('Message%20ID',Summary),filters:!(),index:'emp_*',interval:auto,query:(query_string:(analyze_wildcard:!t,query:'%22rtdc.l.rtdc.4042%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622</v>
      </c>
      <c r="B44" s="7">
        <v>4041</v>
      </c>
      <c r="C44" s="21" t="s">
        <v>194</v>
      </c>
      <c r="D44" s="21" t="s">
        <v>574</v>
      </c>
      <c r="E44" s="13">
        <v>43040.344317129631</v>
      </c>
      <c r="F44" s="13">
        <v>43040.352210648147</v>
      </c>
      <c r="G44" s="7">
        <v>62</v>
      </c>
      <c r="H44" s="21" t="s">
        <v>896</v>
      </c>
      <c r="I44" s="13">
        <v>43040.380127314813</v>
      </c>
      <c r="J44" s="7">
        <v>0</v>
      </c>
      <c r="K44" s="89" t="str">
        <f t="shared" si="0"/>
        <v>4041/4042</v>
      </c>
      <c r="L44" s="185" t="str">
        <f>VLOOKUP(A44,'Trips&amp;Operators'!$C$1:$G$99911,5,FALSE)</f>
        <v>BROWN JACOB</v>
      </c>
      <c r="M44" s="6">
        <f t="shared" si="1"/>
        <v>2.7916666665987577E-2</v>
      </c>
      <c r="N44" s="7">
        <f t="shared" si="2"/>
        <v>40.199999999022111</v>
      </c>
      <c r="O44" s="7"/>
      <c r="P44" s="7"/>
      <c r="Q44" s="22"/>
      <c r="R44" s="174"/>
      <c r="S44" s="221">
        <f t="shared" si="3"/>
        <v>1</v>
      </c>
      <c r="T44" s="174" t="str">
        <f t="shared" si="4"/>
        <v>Southbound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 t="shared" si="5"/>
        <v>https://d0f6bd738d7f1b3e5a7ca70fe4ff75f0.us-east-1.aws.found.io/app/kibana#/discover/Steve-Slow-Train-Analysis-(2080s-and-2083s)?_g=(refreshInterval:(display:Off,pause:!f,section:0,value:0),time:(from:'2017-11-01T07:15:49-0600',mode:absolute,to:'2017-11-01T10:07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4" s="204" t="str">
        <f>IF(AA44&lt;VLOOKUP(AG44,Variables!$AC$3:$AD$8,2,FALSE),"Y","N")</f>
        <v>N</v>
      </c>
      <c r="X44" s="204">
        <f t="shared" si="6"/>
        <v>1</v>
      </c>
      <c r="Y44" s="204">
        <f t="shared" si="7"/>
        <v>23.301100000000002</v>
      </c>
      <c r="Z44" s="204">
        <f t="shared" si="8"/>
        <v>1.8100000000000002E-2</v>
      </c>
      <c r="AA44" s="204">
        <f t="shared" si="9"/>
        <v>23.283000000000001</v>
      </c>
      <c r="AB44" s="54" t="e">
        <f>VLOOKUP(A44,Enforcements!$C$7:$K$10,8,0)</f>
        <v>#N/A</v>
      </c>
      <c r="AC44" s="51" t="e">
        <f>VLOOKUP(A44,Enforcements!$C$7:$E$10,3,0)</f>
        <v>#N/A</v>
      </c>
      <c r="AD44" s="179">
        <f t="shared" si="10"/>
        <v>132</v>
      </c>
      <c r="AE44" s="77" t="str">
        <f t="shared" si="11"/>
        <v>aws s3 cp s3://rtdc.mdm.uploadarchive.raw/RTDC4041/ "%USERPROFILE%\AppData\Local\Temp\OnboardLogs"\RTDC4041\2017-11-01 --exclude "*" --recursive --include "*20171101*" &amp; "%USERPROFILE%\Documents\GitHub\mrs-test-scripts\Headless Mode &amp; Sideloading\WalkAndUnGZ.bat" "%USERPROFILE%\AppData\Local\Temp\OnboardLogs"\RTDC4041\2017-11-01 &amp; aws s3 cp s3://rtdc.mdm.uploadarchive.raw/RTDC4041/ "%USERPROFILE%\AppData\Local\Temp\OnboardLogs"\RTDC4041\2017-11-02 --exclude "*" --recursive --include "*20171102*" &amp; "%USERPROFILE%\Documents\GitHub\mrs-test-scripts\Headless Mode &amp; Sideloading\WalkAndUnGZ.bat" "%USERPROFILE%\AppData\Local\Temp\OnboardLogs"\RTDC4041\2017-11-02</v>
      </c>
      <c r="AF44" s="74" t="str">
        <f t="shared" si="12"/>
        <v>"C:\Program Files (x86)\AstroGrep\AstroGrep.exe" /e /r /s /spath="%USERPROFILE%\AppData\Local\Temp\OnboardLogs" /stypes="app*4041*20171101*" /stext=" 15:.+((SYSTEM_STATE.+slice.+state.+changed )|(ment ac)|(multiple cpu faults)|(system.+state.+changed )|(\[timeout)|(PRM\|1\|D)|(kpr)|(kdp)|(train st.+moving)|(\|lc)|(penalty))"</v>
      </c>
      <c r="AG44" s="182" t="str">
        <f t="shared" si="13"/>
        <v>EC</v>
      </c>
      <c r="AH44" s="78" t="str">
        <f t="shared" si="19"/>
        <v>"%USERPROFILE%\Documents\GitHub\eaglep3\Utilities\RefineRTDCRunTimes.py" --tripid 132-01 --locoid 4041 --swversion DE.1.0.9.0 --startMP 204:233011 --initTime 2017-11-01T08:15:49 --startdatetime 2017-11-01T08:27:11 --delay 62 --endMP 204:181 --enddatetime 2017-11-01T09:07:23 --enforcementcount 0 &gt;&gt;%USERPROFILE%\Documents\GitHub\eaglep3-reporting\EC\2017-11-01-refined-times.txt</v>
      </c>
      <c r="AI44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{"issue":{"subject":"","project_id":79,"tracker_id":40,"status_id":1,"priority_id":2,"assigned_to_id":338,"start_date":"2017-11-01","description":"","custom_fields":[{"id":1,"name":"Subdivision","value":"EC"},{"id":4,"name":"Milepost","value":"0.0181"},{"id":17,"name":"Train ID","value":"132-01"},{"id":16,"name":"Locomotive ID","value":"4041"},{"id":130,"name":"Impact","value":""},{"id":150,"name":"Time of Event (Mountain Time)","value":"09:07:23"},{"id":151,"name":"Denver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0"/>
      <c r="AK44" s="47"/>
      <c r="AL44" s="47"/>
      <c r="AM44" s="142" t="str">
        <f t="shared" si="21"/>
        <v>start /low /b %USERPROFILE%\Documents\GitHub\eaglep3\Utilities\DownloadLogsFromS3.py --loco 4041 --day 2017-11-01</v>
      </c>
      <c r="AN44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15:07:23"},{"id":29,"name":"Sharepoint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23"/>
        <v>https://d0f6bd738d7f1b3e5a7ca70fe4ff75f0.us-east-1.aws.found.io/app/kibana#/discover/Steve-Slow-Train-Analysis-(2080s-and-2083s)?_g=(refreshInterval:(display:Off,pause:!f,section:0,value:0),time:(from:'2017-11-01T07:15:49-0600',mode:absolute,to:'2017-11-01T10:07:23-0600'))&amp;_a=(columns:!('Message%20ID',Summary),filters:!(),index:'emp_*',interval:auto,query:(query_string:(analyze_wildcard:!t,query:'%22rtdc.l.rtdc.4041%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706</v>
      </c>
      <c r="B45" s="7">
        <v>4050</v>
      </c>
      <c r="C45" s="21" t="s">
        <v>194</v>
      </c>
      <c r="D45" s="21" t="s">
        <v>434</v>
      </c>
      <c r="E45" s="13">
        <v>43040.317187499997</v>
      </c>
      <c r="F45" s="13">
        <v>43040.323217592595</v>
      </c>
      <c r="G45" s="7">
        <v>52</v>
      </c>
      <c r="H45" s="21" t="s">
        <v>565</v>
      </c>
      <c r="I45" s="13">
        <v>43040.347314814811</v>
      </c>
      <c r="J45" s="7">
        <v>0</v>
      </c>
      <c r="K45" s="89" t="str">
        <f t="shared" si="0"/>
        <v>4049/4050</v>
      </c>
      <c r="L45" s="185" t="str">
        <f>VLOOKUP(A45,'Trips&amp;Operators'!$C$1:$G$99911,5,FALSE)</f>
        <v>YORK EDGAR</v>
      </c>
      <c r="M45" s="6">
        <f t="shared" si="1"/>
        <v>2.4097222216369119E-2</v>
      </c>
      <c r="N45" s="7">
        <f t="shared" ref="N45:N69" si="24">24*60*SUM($M45:$M45)</f>
        <v>34.699999991571531</v>
      </c>
      <c r="O45" s="7"/>
      <c r="P45" s="7"/>
      <c r="Q45" s="22"/>
      <c r="R45" s="174"/>
      <c r="S45" s="221">
        <f t="shared" si="3"/>
        <v>1</v>
      </c>
      <c r="T45" s="174" t="str">
        <f t="shared" si="4"/>
        <v>NorthBound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 t="shared" si="5"/>
        <v>https://d0f6bd738d7f1b3e5a7ca70fe4ff75f0.us-east-1.aws.found.io/app/kibana#/discover/Steve-Slow-Train-Analysis-(2080s-and-2083s)?_g=(refreshInterval:(display:Off,pause:!f,section:0,value:0),time:(from:'2017-11-01T06:36:45-0600',mode:absolute,to:'2017-11-01T09:20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45" s="204" t="str">
        <f>IF(AA45&lt;VLOOKUP(AG45,Variables!$AC$3:$AD$8,2,FALSE),"Y","N")</f>
        <v>N</v>
      </c>
      <c r="X45" s="204">
        <f t="shared" ref="X45:X76" si="25">VALUE(LEFT(AD45,4))-VALUE(LEFT(AD44,4))</f>
        <v>1</v>
      </c>
      <c r="Y45" s="204">
        <f t="shared" ref="Y45:Y76" si="26">RIGHT(D45,LEN(D45)-4)/10000</f>
        <v>4.6399999999999997E-2</v>
      </c>
      <c r="Z45" s="204">
        <f t="shared" ref="Z45:Z76" si="27">RIGHT(H45,LEN(H45)-4)/10000</f>
        <v>23.3293</v>
      </c>
      <c r="AA45" s="204">
        <f t="shared" si="9"/>
        <v>23.282900000000001</v>
      </c>
      <c r="AB45" s="54" t="e">
        <f>VLOOKUP(A45,Enforcements!$C$7:$K$10,8,0)</f>
        <v>#N/A</v>
      </c>
      <c r="AC45" s="51" t="e">
        <f>VLOOKUP(A45,Enforcements!$C$7:$E$10,3,0)</f>
        <v>#N/A</v>
      </c>
      <c r="AD45" s="179">
        <f t="shared" si="10"/>
        <v>133</v>
      </c>
      <c r="AE45" s="77" t="str">
        <f t="shared" si="11"/>
        <v>aws s3 cp s3://rtdc.mdm.uploadarchive.raw/RTDC4050/ "%USERPROFILE%\AppData\Local\Temp\OnboardLogs"\RTDC4050\2017-11-01 --exclude "*" --recursive --include "*20171101*" &amp; "%USERPROFILE%\Documents\GitHub\mrs-test-scripts\Headless Mode &amp; Sideloading\WalkAndUnGZ.bat" "%USERPROFILE%\AppData\Local\Temp\OnboardLogs"\RTDC4050\2017-11-01 &amp; aws s3 cp s3://rtdc.mdm.uploadarchive.raw/RTDC4050/ "%USERPROFILE%\AppData\Local\Temp\OnboardLogs"\RTDC4050\2017-11-02 --exclude "*" --recursive --include "*20171102*" &amp; "%USERPROFILE%\Documents\GitHub\mrs-test-scripts\Headless Mode &amp; Sideloading\WalkAndUnGZ.bat" "%USERPROFILE%\AppData\Local\Temp\OnboardLogs"\RTDC4050\2017-11-02</v>
      </c>
      <c r="AF45" s="74" t="str">
        <f t="shared" si="12"/>
        <v>"C:\Program Files (x86)\AstroGrep\AstroGrep.exe" /e /r /s /spath="%USERPROFILE%\AppData\Local\Temp\OnboardLogs" /stypes="app*4050*20171101*" /stext=" 14:.+((SYSTEM_STATE.+slice.+state.+changed )|(ment ac)|(multiple cpu faults)|(system.+state.+changed )|(\[timeout)|(PRM\|1\|D)|(kpr)|(kdp)|(train st.+moving)|(\|lc)|(penalty))"</v>
      </c>
      <c r="AG45" s="182" t="str">
        <f t="shared" si="13"/>
        <v>EC</v>
      </c>
      <c r="AH45" s="78" t="str">
        <f t="shared" si="19"/>
        <v>"%USERPROFILE%\Documents\GitHub\eaglep3\Utilities\RefineRTDCRunTimes.py" --tripid 133-01 --locoid 4050 --swversion DE.1.0.9.0 --startMP 204:464 --initTime 2017-11-01T07:36:45 --startdatetime 2017-11-01T07:45:26 --delay 52 --endMP 204:233293 --enddatetime 2017-11-01T08:20:08 --enforcementcount 0 &gt;&gt;%USERPROFILE%\Documents\GitHub\eaglep3-reporting\EC\2017-11-01-refined-times.txt</v>
      </c>
      <c r="AI45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{"issue":{"subject":"","project_id":79,"tracker_id":40,"status_id":1,"priority_id":2,"assigned_to_id":338,"start_date":"2017-11-01","description":"","custom_fields":[{"id":1,"name":"Subdivision","value":"EC"},{"id":4,"name":"Milepost","value":"23.3293"},{"id":17,"name":"Train ID","value":"133-01"},{"id":16,"name":"Locomotive ID","value":"4050"},{"id":130,"name":"Impact","value":""},{"id":150,"name":"Time of Event (Mountain Time)","value":"08:20:08"},{"id":151,"name":"Denver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0"/>
      <c r="AK45" s="47"/>
      <c r="AL45" s="47"/>
      <c r="AM45" s="142" t="str">
        <f t="shared" si="21"/>
        <v>start /low /b %USERPROFILE%\Documents\GitHub\eaglep3\Utilities\DownloadLogsFromS3.py --loco 4050 --day 2017-11-01</v>
      </c>
      <c r="AN45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14:20:08"},{"id":29,"name":"Sharepoint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23"/>
        <v>https://d0f6bd738d7f1b3e5a7ca70fe4ff75f0.us-east-1.aws.found.io/app/kibana#/discover/Steve-Slow-Train-Analysis-(2080s-and-2083s)?_g=(refreshInterval:(display:Off,pause:!f,section:0,value:0),time:(from:'2017-11-01T06:36:45-0600',mode:absolute,to:'2017-11-01T09:20:08-0600'))&amp;_a=(columns:!('Message%20ID',Summary),filters:!(),index:'emp_*',interval:auto,query:(query_string:(analyze_wildcard:!t,query:'%22rtdc.l.rtdc.4050%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715</v>
      </c>
      <c r="B46" s="7">
        <v>4049</v>
      </c>
      <c r="C46" s="21" t="s">
        <v>194</v>
      </c>
      <c r="D46" s="21" t="s">
        <v>876</v>
      </c>
      <c r="E46" s="13">
        <v>43040.348356481481</v>
      </c>
      <c r="F46" s="13">
        <v>43040.362824074073</v>
      </c>
      <c r="G46" s="7">
        <v>123</v>
      </c>
      <c r="H46" s="21" t="s">
        <v>348</v>
      </c>
      <c r="I46" s="13">
        <v>43040.390451388892</v>
      </c>
      <c r="J46" s="7">
        <v>0</v>
      </c>
      <c r="K46" s="89" t="str">
        <f t="shared" si="0"/>
        <v>4049/4050</v>
      </c>
      <c r="L46" s="185" t="str">
        <f>VLOOKUP(A46,'Trips&amp;Operators'!$C$1:$G$99911,5,FALSE)</f>
        <v>YORK EDGAR</v>
      </c>
      <c r="M46" s="6">
        <f t="shared" si="1"/>
        <v>2.7627314819255844E-2</v>
      </c>
      <c r="N46" s="7">
        <f t="shared" si="24"/>
        <v>39.783333339728415</v>
      </c>
      <c r="O46" s="7"/>
      <c r="P46" s="7"/>
      <c r="Q46" s="22"/>
      <c r="R46" s="174"/>
      <c r="S46" s="221">
        <f t="shared" si="3"/>
        <v>1</v>
      </c>
      <c r="T46" s="174" t="str">
        <f t="shared" si="4"/>
        <v>Southbound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 t="shared" si="5"/>
        <v>https://d0f6bd738d7f1b3e5a7ca70fe4ff75f0.us-east-1.aws.found.io/app/kibana#/discover/Steve-Slow-Train-Analysis-(2080s-and-2083s)?_g=(refreshInterval:(display:Off,pause:!f,section:0,value:0),time:(from:'2017-11-01T07:21:38-0600',mode:absolute,to:'2017-11-01T10:22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46" s="204" t="str">
        <f>IF(AA46&lt;VLOOKUP(AG46,Variables!$AC$3:$AD$8,2,FALSE),"Y","N")</f>
        <v>N</v>
      </c>
      <c r="X46" s="204">
        <f t="shared" si="25"/>
        <v>1</v>
      </c>
      <c r="Y46" s="204">
        <f t="shared" si="26"/>
        <v>23.296099999999999</v>
      </c>
      <c r="Z46" s="204">
        <f t="shared" si="27"/>
        <v>1.4500000000000001E-2</v>
      </c>
      <c r="AA46" s="204">
        <f t="shared" si="9"/>
        <v>23.281599999999997</v>
      </c>
      <c r="AB46" s="54" t="e">
        <f>VLOOKUP(A46,Enforcements!$C$7:$K$10,8,0)</f>
        <v>#N/A</v>
      </c>
      <c r="AC46" s="51" t="e">
        <f>VLOOKUP(A46,Enforcements!$C$7:$E$10,3,0)</f>
        <v>#N/A</v>
      </c>
      <c r="AD46" s="179">
        <f t="shared" si="10"/>
        <v>134</v>
      </c>
      <c r="AE46" s="77" t="str">
        <f t="shared" si="11"/>
        <v>aws s3 cp s3://rtdc.mdm.uploadarchive.raw/RTDC4049/ "%USERPROFILE%\AppData\Local\Temp\OnboardLogs"\RTDC4049\2017-11-01 --exclude "*" --recursive --include "*20171101*" &amp; "%USERPROFILE%\Documents\GitHub\mrs-test-scripts\Headless Mode &amp; Sideloading\WalkAndUnGZ.bat" "%USERPROFILE%\AppData\Local\Temp\OnboardLogs"\RTDC4049\2017-11-01 &amp; aws s3 cp s3://rtdc.mdm.uploadarchive.raw/RTDC4049/ "%USERPROFILE%\AppData\Local\Temp\OnboardLogs"\RTDC4049\2017-11-02 --exclude "*" --recursive --include "*20171102*" &amp; "%USERPROFILE%\Documents\GitHub\mrs-test-scripts\Headless Mode &amp; Sideloading\WalkAndUnGZ.bat" "%USERPROFILE%\AppData\Local\Temp\OnboardLogs"\RTDC4049\2017-11-02</v>
      </c>
      <c r="AF46" s="74" t="str">
        <f t="shared" si="12"/>
        <v>"C:\Program Files (x86)\AstroGrep\AstroGrep.exe" /e /r /s /spath="%USERPROFILE%\AppData\Local\Temp\OnboardLogs" /stypes="app*4049*20171101*" /stext=" 15:.+((SYSTEM_STATE.+slice.+state.+changed )|(ment ac)|(multiple cpu faults)|(system.+state.+changed )|(\[timeout)|(PRM\|1\|D)|(kpr)|(kdp)|(train st.+moving)|(\|lc)|(penalty))"</v>
      </c>
      <c r="AG46" s="182" t="str">
        <f t="shared" si="13"/>
        <v>EC</v>
      </c>
      <c r="AH46" s="78" t="str">
        <f t="shared" si="19"/>
        <v>"%USERPROFILE%\Documents\GitHub\eaglep3\Utilities\RefineRTDCRunTimes.py" --tripid 134-01 --locoid 4049 --swversion DE.1.0.9.0 --startMP 204:232961 --initTime 2017-11-01T08:21:38 --startdatetime 2017-11-01T08:42:28 --delay 123 --endMP 204:145 --enddatetime 2017-11-01T09:22:15 --enforcementcount 0 &gt;&gt;%USERPROFILE%\Documents\GitHub\eaglep3-reporting\EC\2017-11-01-refined-times.txt</v>
      </c>
      <c r="AI46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{"issue":{"subject":"","project_id":79,"tracker_id":40,"status_id":1,"priority_id":2,"assigned_to_id":338,"start_date":"2017-11-01","description":"","custom_fields":[{"id":1,"name":"Subdivision","value":"EC"},{"id":4,"name":"Milepost","value":"0.0145"},{"id":17,"name":"Train ID","value":"134-01"},{"id":16,"name":"Locomotive ID","value":"4049"},{"id":130,"name":"Impact","value":""},{"id":150,"name":"Time of Event (Mountain Time)","value":"09:22:15"},{"id":151,"name":"Denver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0"/>
      <c r="AK46" s="47"/>
      <c r="AL46" s="47"/>
      <c r="AM46" s="142" t="str">
        <f t="shared" si="21"/>
        <v>start /low /b %USERPROFILE%\Documents\GitHub\eaglep3\Utilities\DownloadLogsFromS3.py --loco 4049 --day 2017-11-01</v>
      </c>
      <c r="AN46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15:22:15"},{"id":29,"name":"Sharepoint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23"/>
        <v>https://d0f6bd738d7f1b3e5a7ca70fe4ff75f0.us-east-1.aws.found.io/app/kibana#/discover/Steve-Slow-Train-Analysis-(2080s-and-2083s)?_g=(refreshInterval:(display:Off,pause:!f,section:0,value:0),time:(from:'2017-11-01T07:21:38-0600',mode:absolute,to:'2017-11-01T10:22:15-0600'))&amp;_a=(columns:!('Message%20ID',Summary),filters:!(),index:'emp_*',interval:auto,query:(query_string:(analyze_wildcard:!t,query:'%22rtdc.l.rtdc.4049%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708</v>
      </c>
      <c r="B47" s="7">
        <v>4026</v>
      </c>
      <c r="C47" s="21" t="s">
        <v>194</v>
      </c>
      <c r="D47" s="21" t="s">
        <v>433</v>
      </c>
      <c r="E47" s="13">
        <v>43040.330370370371</v>
      </c>
      <c r="F47" s="13">
        <v>43040.33384259259</v>
      </c>
      <c r="G47" s="7">
        <v>62</v>
      </c>
      <c r="H47" s="21" t="s">
        <v>897</v>
      </c>
      <c r="I47" s="13">
        <v>43040.358171296299</v>
      </c>
      <c r="J47" s="7">
        <v>0</v>
      </c>
      <c r="K47" s="89" t="str">
        <f t="shared" si="0"/>
        <v>4025/4026</v>
      </c>
      <c r="L47" s="185" t="str">
        <f>VLOOKUP(A47,'Trips&amp;Operators'!$C$1:$G$99911,5,FALSE)</f>
        <v>BEAM ROSS</v>
      </c>
      <c r="M47" s="6">
        <f t="shared" si="1"/>
        <v>2.4328703708306421E-2</v>
      </c>
      <c r="N47" s="7">
        <f t="shared" si="24"/>
        <v>35.033333339961246</v>
      </c>
      <c r="O47" s="7"/>
      <c r="P47" s="7"/>
      <c r="Q47" s="22"/>
      <c r="R47" s="174"/>
      <c r="S47" s="221">
        <f t="shared" si="3"/>
        <v>1</v>
      </c>
      <c r="T47" s="174" t="str">
        <f t="shared" si="4"/>
        <v>NorthBound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 t="shared" si="5"/>
        <v>https://d0f6bd738d7f1b3e5a7ca70fe4ff75f0.us-east-1.aws.found.io/app/kibana#/discover/Steve-Slow-Train-Analysis-(2080s-and-2083s)?_g=(refreshInterval:(display:Off,pause:!f,section:0,value:0),time:(from:'2017-11-01T06:55:44-0600',mode:absolute,to:'2017-11-01T09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7" s="204" t="str">
        <f>IF(AA47&lt;VLOOKUP(AG47,Variables!$AC$3:$AD$8,2,FALSE),"Y","N")</f>
        <v>N</v>
      </c>
      <c r="X47" s="204">
        <f t="shared" si="25"/>
        <v>1</v>
      </c>
      <c r="Y47" s="204">
        <f t="shared" si="26"/>
        <v>4.53E-2</v>
      </c>
      <c r="Z47" s="204">
        <f t="shared" si="27"/>
        <v>23.331</v>
      </c>
      <c r="AA47" s="204">
        <f t="shared" si="9"/>
        <v>23.285699999999999</v>
      </c>
      <c r="AB47" s="54" t="e">
        <f>VLOOKUP(A47,Enforcements!$C$7:$K$10,8,0)</f>
        <v>#N/A</v>
      </c>
      <c r="AC47" s="51" t="e">
        <f>VLOOKUP(A47,Enforcements!$C$7:$E$10,3,0)</f>
        <v>#N/A</v>
      </c>
      <c r="AD47" s="179">
        <f t="shared" si="10"/>
        <v>135</v>
      </c>
      <c r="AE47" s="77" t="str">
        <f t="shared" si="11"/>
        <v>aws s3 cp s3://rtdc.mdm.uploadarchive.raw/RTDC4026/ "%USERPROFILE%\AppData\Local\Temp\OnboardLogs"\RTDC4026\2017-11-01 --exclude "*" --recursive --include "*20171101*" &amp; "%USERPROFILE%\Documents\GitHub\mrs-test-scripts\Headless Mode &amp; Sideloading\WalkAndUnGZ.bat" "%USERPROFILE%\AppData\Local\Temp\OnboardLogs"\RTDC4026\2017-11-01 &amp; aws s3 cp s3://rtdc.mdm.uploadarchive.raw/RTDC4026/ "%USERPROFILE%\AppData\Local\Temp\OnboardLogs"\RTDC4026\2017-11-02 --exclude "*" --recursive --include "*20171102*" &amp; "%USERPROFILE%\Documents\GitHub\mrs-test-scripts\Headless Mode &amp; Sideloading\WalkAndUnGZ.bat" "%USERPROFILE%\AppData\Local\Temp\OnboardLogs"\RTDC4026\2017-11-02</v>
      </c>
      <c r="AF47" s="74" t="str">
        <f t="shared" si="12"/>
        <v>"C:\Program Files (x86)\AstroGrep\AstroGrep.exe" /e /r /s /spath="%USERPROFILE%\AppData\Local\Temp\OnboardLogs" /stypes="app*4026*20171101*" /stext=" 14:.+((SYSTEM_STATE.+slice.+state.+changed )|(ment ac)|(multiple cpu faults)|(system.+state.+changed )|(\[timeout)|(PRM\|1\|D)|(kpr)|(kdp)|(train st.+moving)|(\|lc)|(penalty))"</v>
      </c>
      <c r="AG47" s="182" t="str">
        <f t="shared" si="13"/>
        <v>EC</v>
      </c>
      <c r="AH47" s="78" t="str">
        <f t="shared" si="19"/>
        <v>"%USERPROFILE%\Documents\GitHub\eaglep3\Utilities\RefineRTDCRunTimes.py" --tripid 135-01 --locoid 4026 --swversion DE.1.0.9.0 --startMP 204:453 --initTime 2017-11-01T07:55:44 --startdatetime 2017-11-01T08:00:44 --delay 62 --endMP 204:233310 --enddatetime 2017-11-01T08:35:46 --enforcementcount 0 &gt;&gt;%USERPROFILE%\Documents\GitHub\eaglep3-reporting\EC\2017-11-01-refined-times.txt</v>
      </c>
      <c r="AI47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{"issue":{"subject":"","project_id":79,"tracker_id":40,"status_id":1,"priority_id":2,"assigned_to_id":338,"start_date":"2017-11-01","description":"","custom_fields":[{"id":1,"name":"Subdivision","value":"EC"},{"id":4,"name":"Milepost","value":"23.331"},{"id":17,"name":"Train ID","value":"135-01"},{"id":16,"name":"Locomotive ID","value":"4026"},{"id":130,"name":"Impact","value":""},{"id":150,"name":"Time of Event (Mountain Time)","value":"08:35:46"},{"id":151,"name":"Denver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0"/>
      <c r="AK47" s="47"/>
      <c r="AL47" s="47"/>
      <c r="AM47" s="142" t="str">
        <f t="shared" si="21"/>
        <v>start /low /b %USERPROFILE%\Documents\GitHub\eaglep3\Utilities\DownloadLogsFromS3.py --loco 4026 --day 2017-11-01</v>
      </c>
      <c r="AN47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14:35:46"},{"id":29,"name":"Sharepoint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23"/>
        <v>https://d0f6bd738d7f1b3e5a7ca70fe4ff75f0.us-east-1.aws.found.io/app/kibana#/discover/Steve-Slow-Train-Analysis-(2080s-and-2083s)?_g=(refreshInterval:(display:Off,pause:!f,section:0,value:0),time:(from:'2017-11-01T06:55:44-0600',mode:absolute,to:'2017-11-01T09:35:46-0600'))&amp;_a=(columns:!('Message%20ID',Summary),filters:!(),index:'emp_*',interval:auto,query:(query_string:(analyze_wildcard:!t,query:'%22rtdc.l.rtdc.4026%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717</v>
      </c>
      <c r="B48" s="7">
        <v>4025</v>
      </c>
      <c r="C48" s="21" t="s">
        <v>194</v>
      </c>
      <c r="D48" s="21" t="s">
        <v>571</v>
      </c>
      <c r="E48" s="13">
        <v>43040.359502314815</v>
      </c>
      <c r="F48" s="13">
        <v>43040.373090277775</v>
      </c>
      <c r="G48" s="7">
        <v>51</v>
      </c>
      <c r="H48" s="21" t="s">
        <v>380</v>
      </c>
      <c r="I48" s="13">
        <v>43040.399212962962</v>
      </c>
      <c r="J48" s="7">
        <v>0</v>
      </c>
      <c r="K48" s="89" t="str">
        <f t="shared" si="0"/>
        <v>4025/4026</v>
      </c>
      <c r="L48" s="185" t="str">
        <f>VLOOKUP(A48,'Trips&amp;Operators'!$C$1:$G$99911,5,FALSE)</f>
        <v>BEAM ROSS</v>
      </c>
      <c r="M48" s="6">
        <f t="shared" si="1"/>
        <v>2.6122685187146999E-2</v>
      </c>
      <c r="N48" s="7">
        <f t="shared" si="24"/>
        <v>37.616666669491678</v>
      </c>
      <c r="O48" s="7"/>
      <c r="P48" s="7"/>
      <c r="Q48" s="22"/>
      <c r="R48" s="174"/>
      <c r="S48" s="221">
        <f t="shared" si="3"/>
        <v>1</v>
      </c>
      <c r="T48" s="174" t="str">
        <f t="shared" si="4"/>
        <v>Southbound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 t="shared" si="5"/>
        <v>https://d0f6bd738d7f1b3e5a7ca70fe4ff75f0.us-east-1.aws.found.io/app/kibana#/discover/Steve-Slow-Train-Analysis-(2080s-and-2083s)?_g=(refreshInterval:(display:Off,pause:!f,section:0,value:0),time:(from:'2017-11-01T07:37:41-0600',mode:absolute,to:'2017-11-01T10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8" s="204" t="str">
        <f>IF(AA48&lt;VLOOKUP(AG48,Variables!$AC$3:$AD$8,2,FALSE),"Y","N")</f>
        <v>N</v>
      </c>
      <c r="X48" s="204">
        <f t="shared" si="25"/>
        <v>1</v>
      </c>
      <c r="Y48" s="204">
        <f t="shared" si="26"/>
        <v>23.298100000000002</v>
      </c>
      <c r="Z48" s="204">
        <f t="shared" si="27"/>
        <v>1.6E-2</v>
      </c>
      <c r="AA48" s="204">
        <f t="shared" si="9"/>
        <v>23.282100000000003</v>
      </c>
      <c r="AB48" s="54" t="e">
        <f>VLOOKUP(A48,Enforcements!$C$7:$K$10,8,0)</f>
        <v>#N/A</v>
      </c>
      <c r="AC48" s="51" t="e">
        <f>VLOOKUP(A48,Enforcements!$C$7:$E$10,3,0)</f>
        <v>#N/A</v>
      </c>
      <c r="AD48" s="179">
        <f t="shared" si="10"/>
        <v>136</v>
      </c>
      <c r="AE48" s="77" t="str">
        <f t="shared" si="11"/>
        <v>aws s3 cp s3://rtdc.mdm.uploadarchive.raw/RTDC4025/ "%USERPROFILE%\AppData\Local\Temp\OnboardLogs"\RTDC4025\2017-11-01 --exclude "*" --recursive --include "*20171101*" &amp; "%USERPROFILE%\Documents\GitHub\mrs-test-scripts\Headless Mode &amp; Sideloading\WalkAndUnGZ.bat" "%USERPROFILE%\AppData\Local\Temp\OnboardLogs"\RTDC4025\2017-11-01 &amp; aws s3 cp s3://rtdc.mdm.uploadarchive.raw/RTDC4025/ "%USERPROFILE%\AppData\Local\Temp\OnboardLogs"\RTDC4025\2017-11-02 --exclude "*" --recursive --include "*20171102*" &amp; "%USERPROFILE%\Documents\GitHub\mrs-test-scripts\Headless Mode &amp; Sideloading\WalkAndUnGZ.bat" "%USERPROFILE%\AppData\Local\Temp\OnboardLogs"\RTDC4025\2017-11-02</v>
      </c>
      <c r="AF48" s="74" t="str">
        <f t="shared" si="12"/>
        <v>"C:\Program Files (x86)\AstroGrep\AstroGrep.exe" /e /r /s /spath="%USERPROFILE%\AppData\Local\Temp\OnboardLogs" /stypes="app*4025*20171101*" /stext=" 15:.+((SYSTEM_STATE.+slice.+state.+changed )|(ment ac)|(multiple cpu faults)|(system.+state.+changed )|(\[timeout)|(PRM\|1\|D)|(kpr)|(kdp)|(train st.+moving)|(\|lc)|(penalty))"</v>
      </c>
      <c r="AG48" s="182" t="str">
        <f t="shared" si="13"/>
        <v>EC</v>
      </c>
      <c r="AH48" s="78" t="str">
        <f t="shared" si="19"/>
        <v>"%USERPROFILE%\Documents\GitHub\eaglep3\Utilities\RefineRTDCRunTimes.py" --tripid 136-01 --locoid 4025 --swversion DE.1.0.9.0 --startMP 204:232981 --initTime 2017-11-01T08:37:41 --startdatetime 2017-11-01T08:57:15 --delay 51 --endMP 204:160 --enddatetime 2017-11-01T09:34:52 --enforcementcount 0 &gt;&gt;%USERPROFILE%\Documents\GitHub\eaglep3-reporting\EC\2017-11-01-refined-times.txt</v>
      </c>
      <c r="AI48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{"issue":{"subject":"","project_id":79,"tracker_id":40,"status_id":1,"priority_id":2,"assigned_to_id":338,"start_date":"2017-11-01","description":"","custom_fields":[{"id":1,"name":"Subdivision","value":"EC"},{"id":4,"name":"Milepost","value":"0.016"},{"id":17,"name":"Train ID","value":"136-01"},{"id":16,"name":"Locomotive ID","value":"4025"},{"id":130,"name":"Impact","value":""},{"id":150,"name":"Time of Event (Mountain Time)","value":"09:34:52"},{"id":151,"name":"Denver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0"/>
      <c r="AK48" s="47"/>
      <c r="AL48" s="47"/>
      <c r="AM48" s="142" t="str">
        <f t="shared" si="21"/>
        <v>start /low /b %USERPROFILE%\Documents\GitHub\eaglep3\Utilities\DownloadLogsFromS3.py --loco 4025 --day 2017-11-01</v>
      </c>
      <c r="AN48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15:34:52"},{"id":29,"name":"Sharepoint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23"/>
        <v>https://d0f6bd738d7f1b3e5a7ca70fe4ff75f0.us-east-1.aws.found.io/app/kibana#/discover/Steve-Slow-Train-Analysis-(2080s-and-2083s)?_g=(refreshInterval:(display:Off,pause:!f,section:0,value:0),time:(from:'2017-11-01T07:37:41-0600',mode:absolute,to:'2017-11-01T10:34:52-0600'))&amp;_a=(columns:!('Message%20ID',Summary),filters:!(),index:'emp_*',interval:auto,query:(query_string:(analyze_wildcard:!t,query:'%22rtdc.l.rtdc.4025%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711</v>
      </c>
      <c r="B49" s="7">
        <v>4002</v>
      </c>
      <c r="C49" s="21" t="s">
        <v>194</v>
      </c>
      <c r="D49" s="21" t="s">
        <v>887</v>
      </c>
      <c r="E49" s="13">
        <v>43040.339930555558</v>
      </c>
      <c r="F49" s="13">
        <v>43040.344293981485</v>
      </c>
      <c r="G49" s="7">
        <v>105</v>
      </c>
      <c r="H49" s="21" t="s">
        <v>567</v>
      </c>
      <c r="I49" s="13">
        <v>43040.371469907404</v>
      </c>
      <c r="J49" s="7">
        <v>0</v>
      </c>
      <c r="K49" s="89" t="str">
        <f t="shared" si="0"/>
        <v>4001/4002</v>
      </c>
      <c r="L49" s="185" t="str">
        <f>VLOOKUP(A49,'Trips&amp;Operators'!$C$1:$G$99911,5,FALSE)</f>
        <v>STARKS ANGELINA</v>
      </c>
      <c r="M49" s="6">
        <f t="shared" si="1"/>
        <v>2.717592591943685E-2</v>
      </c>
      <c r="N49" s="7">
        <f t="shared" si="24"/>
        <v>39.133333323989064</v>
      </c>
      <c r="O49" s="7"/>
      <c r="P49" s="7"/>
      <c r="Q49" s="22"/>
      <c r="R49" s="174"/>
      <c r="S49" s="221">
        <f t="shared" si="3"/>
        <v>1</v>
      </c>
      <c r="T49" s="174" t="str">
        <f t="shared" si="4"/>
        <v>NorthBound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 t="shared" si="5"/>
        <v>https://d0f6bd738d7f1b3e5a7ca70fe4ff75f0.us-east-1.aws.found.io/app/kibana#/discover/Steve-Slow-Train-Analysis-(2080s-and-2083s)?_g=(refreshInterval:(display:Off,pause:!f,section:0,value:0),time:(from:'2017-11-01T07:09:30-0600',mode:absolute,to:'2017-11-01T09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9" s="204" t="str">
        <f>IF(AA49&lt;VLOOKUP(AG49,Variables!$AC$3:$AD$8,2,FALSE),"Y","N")</f>
        <v>N</v>
      </c>
      <c r="X49" s="204">
        <f t="shared" si="25"/>
        <v>1</v>
      </c>
      <c r="Y49" s="204">
        <f t="shared" si="26"/>
        <v>4.4900000000000002E-2</v>
      </c>
      <c r="Z49" s="204">
        <f t="shared" si="27"/>
        <v>23.330500000000001</v>
      </c>
      <c r="AA49" s="204">
        <f t="shared" si="9"/>
        <v>23.285600000000002</v>
      </c>
      <c r="AB49" s="54" t="e">
        <f>VLOOKUP(A49,Enforcements!$C$7:$K$10,8,0)</f>
        <v>#N/A</v>
      </c>
      <c r="AC49" s="51" t="e">
        <f>VLOOKUP(A49,Enforcements!$C$7:$E$10,3,0)</f>
        <v>#N/A</v>
      </c>
      <c r="AD49" s="179">
        <f t="shared" si="10"/>
        <v>137</v>
      </c>
      <c r="AE49" s="77" t="str">
        <f t="shared" si="11"/>
        <v>aws s3 cp s3://rtdc.mdm.uploadarchive.raw/RTDC4002/ "%USERPROFILE%\AppData\Local\Temp\OnboardLogs"\RTDC4002\2017-11-01 --exclude "*" --recursive --include "*20171101*" &amp; "%USERPROFILE%\Documents\GitHub\mrs-test-scripts\Headless Mode &amp; Sideloading\WalkAndUnGZ.bat" "%USERPROFILE%\AppData\Local\Temp\OnboardLogs"\RTDC4002\2017-11-01 &amp; aws s3 cp s3://rtdc.mdm.uploadarchive.raw/RTDC4002/ "%USERPROFILE%\AppData\Local\Temp\OnboardLogs"\RTDC4002\2017-11-02 --exclude "*" --recursive --include "*20171102*" &amp; "%USERPROFILE%\Documents\GitHub\mrs-test-scripts\Headless Mode &amp; Sideloading\WalkAndUnGZ.bat" "%USERPROFILE%\AppData\Local\Temp\OnboardLogs"\RTDC4002\2017-11-02</v>
      </c>
      <c r="AF49" s="74" t="str">
        <f t="shared" si="12"/>
        <v>"C:\Program Files (x86)\AstroGrep\AstroGrep.exe" /e /r /s /spath="%USERPROFILE%\AppData\Local\Temp\OnboardLogs" /stypes="app*4002*20171101*" /stext=" 14:.+((SYSTEM_STATE.+slice.+state.+changed )|(ment ac)|(multiple cpu faults)|(system.+state.+changed )|(\[timeout)|(PRM\|1\|D)|(kpr)|(kdp)|(train st.+moving)|(\|lc)|(penalty))"</v>
      </c>
      <c r="AG49" s="182" t="str">
        <f t="shared" si="13"/>
        <v>EC</v>
      </c>
      <c r="AH49" s="78" t="str">
        <f t="shared" si="19"/>
        <v>"%USERPROFILE%\Documents\GitHub\eaglep3\Utilities\RefineRTDCRunTimes.py" --tripid 137-01 --locoid 4002 --swversion DE.1.0.9.0 --startMP 204:449 --initTime 2017-11-01T08:09:30 --startdatetime 2017-11-01T08:15:47 --delay 105 --endMP 204:233305 --enddatetime 2017-11-01T08:54:55 --enforcementcount 0 &gt;&gt;%USERPROFILE%\Documents\GitHub\eaglep3-reporting\EC\2017-11-01-refined-times.txt</v>
      </c>
      <c r="AI49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{"issue":{"subject":"","project_id":79,"tracker_id":40,"status_id":1,"priority_id":2,"assigned_to_id":338,"start_date":"2017-11-01","description":"","custom_fields":[{"id":1,"name":"Subdivision","value":"EC"},{"id":4,"name":"Milepost","value":"23.3305"},{"id":17,"name":"Train ID","value":"137-01"},{"id":16,"name":"Locomotive ID","value":"4002"},{"id":130,"name":"Impact","value":""},{"id":150,"name":"Time of Event (Mountain Time)","value":"08:54:55"},{"id":151,"name":"Denver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0"/>
      <c r="AK49" s="47"/>
      <c r="AL49" s="47"/>
      <c r="AM49" s="142" t="str">
        <f t="shared" si="21"/>
        <v>start /low /b %USERPROFILE%\Documents\GitHub\eaglep3\Utilities\DownloadLogsFromS3.py --loco 4002 --day 2017-11-01</v>
      </c>
      <c r="AN49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14:54:55"},{"id":29,"name":"Sharepoint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23"/>
        <v>https://d0f6bd738d7f1b3e5a7ca70fe4ff75f0.us-east-1.aws.found.io/app/kibana#/discover/Steve-Slow-Train-Analysis-(2080s-and-2083s)?_g=(refreshInterval:(display:Off,pause:!f,section:0,value:0),time:(from:'2017-11-01T07:09:30-0600',mode:absolute,to:'2017-11-01T09:54:55-0600'))&amp;_a=(columns:!('Message%20ID',Summary),filters:!(),index:'emp_*',interval:auto,query:(query_string:(analyze_wildcard:!t,query:'%22rtdc.l.rtdc.4002%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721</v>
      </c>
      <c r="B50" s="7">
        <v>4001</v>
      </c>
      <c r="C50" s="21" t="s">
        <v>194</v>
      </c>
      <c r="D50" s="21" t="s">
        <v>396</v>
      </c>
      <c r="E50" s="13">
        <v>43040.380937499998</v>
      </c>
      <c r="F50" s="13">
        <v>43040.38354166667</v>
      </c>
      <c r="G50" s="7">
        <v>79</v>
      </c>
      <c r="H50" s="21" t="s">
        <v>568</v>
      </c>
      <c r="I50" s="13">
        <v>43040.410787037035</v>
      </c>
      <c r="J50" s="7">
        <v>0</v>
      </c>
      <c r="K50" s="89" t="str">
        <f t="shared" si="0"/>
        <v>4001/4002</v>
      </c>
      <c r="L50" s="185" t="str">
        <f>VLOOKUP(A50,'Trips&amp;Operators'!$C$1:$G$99911,5,FALSE)</f>
        <v>STARKS ANGELINA</v>
      </c>
      <c r="M50" s="6">
        <f t="shared" si="1"/>
        <v>2.7245370365562849E-2</v>
      </c>
      <c r="N50" s="7">
        <f t="shared" si="24"/>
        <v>39.233333326410502</v>
      </c>
      <c r="O50" s="7"/>
      <c r="P50" s="7"/>
      <c r="Q50" s="22"/>
      <c r="R50" s="174"/>
      <c r="S50" s="221">
        <f t="shared" si="3"/>
        <v>1</v>
      </c>
      <c r="T50" s="174" t="str">
        <f t="shared" si="4"/>
        <v>Southbound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 t="shared" si="5"/>
        <v>https://d0f6bd738d7f1b3e5a7ca70fe4ff75f0.us-east-1.aws.found.io/app/kibana#/discover/Steve-Slow-Train-Analysis-(2080s-and-2083s)?_g=(refreshInterval:(display:Off,pause:!f,section:0,value:0),time:(from:'2017-11-01T08:08:33-0600',mode:absolute,to:'2017-11-01T10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0" s="204" t="str">
        <f>IF(AA50&lt;VLOOKUP(AG50,Variables!$AC$3:$AD$8,2,FALSE),"Y","N")</f>
        <v>N</v>
      </c>
      <c r="X50" s="204">
        <f t="shared" si="25"/>
        <v>1</v>
      </c>
      <c r="Y50" s="204">
        <f t="shared" si="26"/>
        <v>23.296900000000001</v>
      </c>
      <c r="Z50" s="204">
        <f t="shared" si="27"/>
        <v>1.41E-2</v>
      </c>
      <c r="AA50" s="204">
        <f t="shared" si="9"/>
        <v>23.282800000000002</v>
      </c>
      <c r="AB50" s="54" t="e">
        <f>VLOOKUP(A50,Enforcements!$C$7:$K$10,8,0)</f>
        <v>#N/A</v>
      </c>
      <c r="AC50" s="51" t="e">
        <f>VLOOKUP(A50,Enforcements!$C$7:$E$10,3,0)</f>
        <v>#N/A</v>
      </c>
      <c r="AD50" s="179">
        <f t="shared" si="10"/>
        <v>138</v>
      </c>
      <c r="AE50" s="77" t="str">
        <f t="shared" si="11"/>
        <v>aws s3 cp s3://rtdc.mdm.uploadarchive.raw/RTDC4001/ "%USERPROFILE%\AppData\Local\Temp\OnboardLogs"\RTDC4001\2017-11-01 --exclude "*" --recursive --include "*20171101*" &amp; "%USERPROFILE%\Documents\GitHub\mrs-test-scripts\Headless Mode &amp; Sideloading\WalkAndUnGZ.bat" "%USERPROFILE%\AppData\Local\Temp\OnboardLogs"\RTDC4001\2017-11-01 &amp; aws s3 cp s3://rtdc.mdm.uploadarchive.raw/RTDC4001/ "%USERPROFILE%\AppData\Local\Temp\OnboardLogs"\RTDC4001\2017-11-02 --exclude "*" --recursive --include "*20171102*" &amp; "%USERPROFILE%\Documents\GitHub\mrs-test-scripts\Headless Mode &amp; Sideloading\WalkAndUnGZ.bat" "%USERPROFILE%\AppData\Local\Temp\OnboardLogs"\RTDC4001\2017-11-02</v>
      </c>
      <c r="AF50" s="74" t="str">
        <f t="shared" si="12"/>
        <v>"C:\Program Files (x86)\AstroGrep\AstroGrep.exe" /e /r /s /spath="%USERPROFILE%\AppData\Local\Temp\OnboardLogs" /stypes="app*4001*20171101*" /stext=" 15:.+((SYSTEM_STATE.+slice.+state.+changed )|(ment ac)|(multiple cpu faults)|(system.+state.+changed )|(\[timeout)|(PRM\|1\|D)|(kpr)|(kdp)|(train st.+moving)|(\|lc)|(penalty))"</v>
      </c>
      <c r="AG50" s="182" t="str">
        <f t="shared" si="13"/>
        <v>EC</v>
      </c>
      <c r="AH50" s="78" t="str">
        <f t="shared" si="19"/>
        <v>"%USERPROFILE%\Documents\GitHub\eaglep3\Utilities\RefineRTDCRunTimes.py" --tripid 138-01 --locoid 4001 --swversion DE.1.0.9.0 --startMP 204:232969 --initTime 2017-11-01T09:08:33 --startdatetime 2017-11-01T09:12:18 --delay 79 --endMP 204:141 --enddatetime 2017-11-01T09:51:32 --enforcementcount 0 &gt;&gt;%USERPROFILE%\Documents\GitHub\eaglep3-reporting\EC\2017-11-01-refined-times.txt</v>
      </c>
      <c r="AI50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{"issue":{"subject":"","project_id":79,"tracker_id":40,"status_id":1,"priority_id":2,"assigned_to_id":338,"start_date":"2017-11-01","description":"","custom_fields":[{"id":1,"name":"Subdivision","value":"EC"},{"id":4,"name":"Milepost","value":"0.0141"},{"id":17,"name":"Train ID","value":"138-01"},{"id":16,"name":"Locomotive ID","value":"4001"},{"id":130,"name":"Impact","value":""},{"id":150,"name":"Time of Event (Mountain Time)","value":"09:51:32"},{"id":151,"name":"Denver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0"/>
      <c r="AK50" s="47"/>
      <c r="AL50" s="47"/>
      <c r="AM50" s="142" t="str">
        <f t="shared" si="21"/>
        <v>start /low /b %USERPROFILE%\Documents\GitHub\eaglep3\Utilities\DownloadLogsFromS3.py --loco 4001 --day 2017-11-01</v>
      </c>
      <c r="AN50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15:51:32"},{"id":29,"name":"Sharepoint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23"/>
        <v>https://d0f6bd738d7f1b3e5a7ca70fe4ff75f0.us-east-1.aws.found.io/app/kibana#/discover/Steve-Slow-Train-Analysis-(2080s-and-2083s)?_g=(refreshInterval:(display:Off,pause:!f,section:0,value:0),time:(from:'2017-11-01T08:08:33-0600',mode:absolute,to:'2017-11-01T10:51:32-0600'))&amp;_a=(columns:!('Message%20ID',Summary),filters:!(),index:'emp_*',interval:auto,query:(query_string:(analyze_wildcard:!t,query:'%22rtdc.l.rtdc.4001%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714</v>
      </c>
      <c r="B51" s="7">
        <v>4064</v>
      </c>
      <c r="C51" s="21" t="s">
        <v>194</v>
      </c>
      <c r="D51" s="21" t="s">
        <v>898</v>
      </c>
      <c r="E51" s="13">
        <v>43040.349166666667</v>
      </c>
      <c r="F51" s="13">
        <v>43040.354803240742</v>
      </c>
      <c r="G51" s="7">
        <v>50</v>
      </c>
      <c r="H51" s="21" t="s">
        <v>899</v>
      </c>
      <c r="I51" s="13">
        <v>43040.38008101852</v>
      </c>
      <c r="J51" s="7">
        <v>0</v>
      </c>
      <c r="K51" s="89" t="str">
        <f t="shared" si="0"/>
        <v>4063/4064</v>
      </c>
      <c r="L51" s="185" t="str">
        <f>VLOOKUP(A51,'Trips&amp;Operators'!$C$1:$G$99911,5,FALSE)</f>
        <v>BONDS REYNALDO</v>
      </c>
      <c r="M51" s="6">
        <f t="shared" si="1"/>
        <v>2.527777777868323E-2</v>
      </c>
      <c r="N51" s="7">
        <f t="shared" si="24"/>
        <v>36.400000001303852</v>
      </c>
      <c r="O51" s="7"/>
      <c r="P51" s="7"/>
      <c r="Q51" s="22"/>
      <c r="R51" s="174"/>
      <c r="S51" s="221">
        <f t="shared" si="3"/>
        <v>1</v>
      </c>
      <c r="T51" s="174" t="str">
        <f t="shared" si="4"/>
        <v>NorthBound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 t="shared" si="5"/>
        <v>https://d0f6bd738d7f1b3e5a7ca70fe4ff75f0.us-east-1.aws.found.io/app/kibana#/discover/Steve-Slow-Train-Analysis-(2080s-and-2083s)?_g=(refreshInterval:(display:Off,pause:!f,section:0,value:0),time:(from:'2017-11-01T07:22:48-0600',mode:absolute,to:'2017-11-01T10:07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51" s="204" t="str">
        <f>IF(AA51&lt;VLOOKUP(AG51,Variables!$AC$3:$AD$8,2,FALSE),"Y","N")</f>
        <v>N</v>
      </c>
      <c r="X51" s="204">
        <f t="shared" si="25"/>
        <v>1</v>
      </c>
      <c r="Y51" s="204">
        <f t="shared" si="26"/>
        <v>0.05</v>
      </c>
      <c r="Z51" s="204">
        <f t="shared" si="27"/>
        <v>23.3291</v>
      </c>
      <c r="AA51" s="204">
        <f t="shared" si="9"/>
        <v>23.2791</v>
      </c>
      <c r="AB51" s="54" t="e">
        <f>VLOOKUP(A51,Enforcements!$C$7:$K$10,8,0)</f>
        <v>#N/A</v>
      </c>
      <c r="AC51" s="51" t="e">
        <f>VLOOKUP(A51,Enforcements!$C$7:$E$10,3,0)</f>
        <v>#N/A</v>
      </c>
      <c r="AD51" s="179">
        <f t="shared" si="10"/>
        <v>139</v>
      </c>
      <c r="AE51" s="77" t="str">
        <f t="shared" si="11"/>
        <v>aws s3 cp s3://rtdc.mdm.uploadarchive.raw/RTDC4064/ "%USERPROFILE%\AppData\Local\Temp\OnboardLogs"\RTDC4064\2017-11-01 --exclude "*" --recursive --include "*20171101*" &amp; "%USERPROFILE%\Documents\GitHub\mrs-test-scripts\Headless Mode &amp; Sideloading\WalkAndUnGZ.bat" "%USERPROFILE%\AppData\Local\Temp\OnboardLogs"\RTDC4064\2017-11-01 &amp; aws s3 cp s3://rtdc.mdm.uploadarchive.raw/RTDC4064/ "%USERPROFILE%\AppData\Local\Temp\OnboardLogs"\RTDC4064\2017-11-02 --exclude "*" --recursive --include "*20171102*" &amp; "%USERPROFILE%\Documents\GitHub\mrs-test-scripts\Headless Mode &amp; Sideloading\WalkAndUnGZ.bat" "%USERPROFILE%\AppData\Local\Temp\OnboardLogs"\RTDC4064\2017-11-02</v>
      </c>
      <c r="AF51" s="74" t="str">
        <f t="shared" si="12"/>
        <v>"C:\Program Files (x86)\AstroGrep\AstroGrep.exe" /e /r /s /spath="%USERPROFILE%\AppData\Local\Temp\OnboardLogs" /stypes="app*4064*20171101*" /stext=" 15:.+((SYSTEM_STATE.+slice.+state.+changed )|(ment ac)|(multiple cpu faults)|(system.+state.+changed )|(\[timeout)|(PRM\|1\|D)|(kpr)|(kdp)|(train st.+moving)|(\|lc)|(penalty))"</v>
      </c>
      <c r="AG51" s="182" t="str">
        <f t="shared" si="13"/>
        <v>EC</v>
      </c>
      <c r="AH51" s="78" t="str">
        <f t="shared" si="19"/>
        <v>"%USERPROFILE%\Documents\GitHub\eaglep3\Utilities\RefineRTDCRunTimes.py" --tripid 139-01 --locoid 4064 --swversion DE.1.0.9.0 --startMP 204:500 --initTime 2017-11-01T08:22:48 --startdatetime 2017-11-01T08:30:55 --delay 50 --endMP 204:233291 --enddatetime 2017-11-01T09:07:19 --enforcementcount 0 &gt;&gt;%USERPROFILE%\Documents\GitHub\eaglep3-reporting\EC\2017-11-01-refined-times.txt</v>
      </c>
      <c r="AI51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{"issue":{"subject":"","project_id":79,"tracker_id":40,"status_id":1,"priority_id":2,"assigned_to_id":338,"start_date":"2017-11-01","description":"","custom_fields":[{"id":1,"name":"Subdivision","value":"EC"},{"id":4,"name":"Milepost","value":"23.3291"},{"id":17,"name":"Train ID","value":"139-01"},{"id":16,"name":"Locomotive ID","value":"4064"},{"id":130,"name":"Impact","value":""},{"id":150,"name":"Time of Event (Mountain Time)","value":"09:07:19"},{"id":151,"name":"Denver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0"/>
      <c r="AK51" s="47"/>
      <c r="AL51" s="47"/>
      <c r="AM51" s="142" t="str">
        <f t="shared" si="21"/>
        <v>start /low /b %USERPROFILE%\Documents\GitHub\eaglep3\Utilities\DownloadLogsFromS3.py --loco 4064 --day 2017-11-01</v>
      </c>
      <c r="AN51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15:07:19"},{"id":29,"name":"Sharepoint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23"/>
        <v>https://d0f6bd738d7f1b3e5a7ca70fe4ff75f0.us-east-1.aws.found.io/app/kibana#/discover/Steve-Slow-Train-Analysis-(2080s-and-2083s)?_g=(refreshInterval:(display:Off,pause:!f,section:0,value:0),time:(from:'2017-11-01T07:22:48-0600',mode:absolute,to:'2017-11-01T10:07:19-0600'))&amp;_a=(columns:!('Message%20ID',Summary),filters:!(),index:'emp_*',interval:auto,query:(query_string:(analyze_wildcard:!t,query:'%22rtdc.l.rtdc.4064%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623</v>
      </c>
      <c r="B52" s="7">
        <v>4063</v>
      </c>
      <c r="C52" s="21" t="s">
        <v>194</v>
      </c>
      <c r="D52" s="21" t="s">
        <v>562</v>
      </c>
      <c r="E52" s="13">
        <v>43040.390289351853</v>
      </c>
      <c r="F52" s="13">
        <v>43040.394328703704</v>
      </c>
      <c r="G52" s="7">
        <v>58</v>
      </c>
      <c r="H52" s="21" t="s">
        <v>884</v>
      </c>
      <c r="I52" s="13">
        <v>43040.421122685184</v>
      </c>
      <c r="J52" s="7">
        <v>0</v>
      </c>
      <c r="K52" s="89" t="str">
        <f t="shared" si="0"/>
        <v>4063/4064</v>
      </c>
      <c r="L52" s="185" t="str">
        <f>VLOOKUP(A52,'Trips&amp;Operators'!$C$1:$G$99911,5,FALSE)</f>
        <v>BONDS REYNALDO</v>
      </c>
      <c r="M52" s="6">
        <f t="shared" si="1"/>
        <v>2.679398148029577E-2</v>
      </c>
      <c r="N52" s="7">
        <f t="shared" si="24"/>
        <v>38.583333331625909</v>
      </c>
      <c r="O52" s="7"/>
      <c r="P52" s="7"/>
      <c r="Q52" s="22"/>
      <c r="R52" s="174"/>
      <c r="S52" s="221">
        <f t="shared" si="3"/>
        <v>1</v>
      </c>
      <c r="T52" s="174" t="str">
        <f t="shared" si="4"/>
        <v>Southbound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 t="shared" si="5"/>
        <v>https://d0f6bd738d7f1b3e5a7ca70fe4ff75f0.us-east-1.aws.found.io/app/kibana#/discover/Steve-Slow-Train-Analysis-(2080s-and-2083s)?_g=(refreshInterval:(display:Off,pause:!f,section:0,value:0),time:(from:'2017-11-01T08:22:01-0600',mode:absolute,to:'2017-11-01T11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52" s="204" t="str">
        <f>IF(AA52&lt;VLOOKUP(AG52,Variables!$AC$3:$AD$8,2,FALSE),"Y","N")</f>
        <v>N</v>
      </c>
      <c r="X52" s="204">
        <f t="shared" si="25"/>
        <v>1</v>
      </c>
      <c r="Y52" s="204">
        <f t="shared" si="26"/>
        <v>23.297599999999999</v>
      </c>
      <c r="Z52" s="204">
        <f t="shared" si="27"/>
        <v>1.47E-2</v>
      </c>
      <c r="AA52" s="204">
        <f t="shared" si="9"/>
        <v>23.282899999999998</v>
      </c>
      <c r="AB52" s="54" t="e">
        <f>VLOOKUP(A52,Enforcements!$C$7:$K$10,8,0)</f>
        <v>#N/A</v>
      </c>
      <c r="AC52" s="51" t="e">
        <f>VLOOKUP(A52,Enforcements!$C$7:$E$10,3,0)</f>
        <v>#N/A</v>
      </c>
      <c r="AD52" s="179">
        <f t="shared" si="10"/>
        <v>140</v>
      </c>
      <c r="AE52" s="77" t="str">
        <f t="shared" si="11"/>
        <v>aws s3 cp s3://rtdc.mdm.uploadarchive.raw/RTDC4063/ "%USERPROFILE%\AppData\Local\Temp\OnboardLogs"\RTDC4063\2017-11-01 --exclude "*" --recursive --include "*20171101*" &amp; "%USERPROFILE%\Documents\GitHub\mrs-test-scripts\Headless Mode &amp; Sideloading\WalkAndUnGZ.bat" "%USERPROFILE%\AppData\Local\Temp\OnboardLogs"\RTDC4063\2017-11-01 &amp; aws s3 cp s3://rtdc.mdm.uploadarchive.raw/RTDC4063/ "%USERPROFILE%\AppData\Local\Temp\OnboardLogs"\RTDC4063\2017-11-02 --exclude "*" --recursive --include "*20171102*" &amp; "%USERPROFILE%\Documents\GitHub\mrs-test-scripts\Headless Mode &amp; Sideloading\WalkAndUnGZ.bat" "%USERPROFILE%\AppData\Local\Temp\OnboardLogs"\RTDC4063\2017-11-02</v>
      </c>
      <c r="AF52" s="74" t="str">
        <f t="shared" si="12"/>
        <v>"C:\Program Files (x86)\AstroGrep\AstroGrep.exe" /e /r /s /spath="%USERPROFILE%\AppData\Local\Temp\OnboardLogs" /stypes="app*4063*20171101*" /stext=" 16:.+((SYSTEM_STATE.+slice.+state.+changed )|(ment ac)|(multiple cpu faults)|(system.+state.+changed )|(\[timeout)|(PRM\|1\|D)|(kpr)|(kdp)|(train st.+moving)|(\|lc)|(penalty))"</v>
      </c>
      <c r="AG52" s="182" t="str">
        <f t="shared" si="13"/>
        <v>EC</v>
      </c>
      <c r="AH52" s="78" t="str">
        <f t="shared" si="19"/>
        <v>"%USERPROFILE%\Documents\GitHub\eaglep3\Utilities\RefineRTDCRunTimes.py" --tripid 140-01 --locoid 4063 --swversion DE.1.0.9.0 --startMP 204:232976 --initTime 2017-11-01T09:22:01 --startdatetime 2017-11-01T09:27:50 --delay 58 --endMP 204:147 --enddatetime 2017-11-01T10:06:25 --enforcementcount 0 &gt;&gt;%USERPROFILE%\Documents\GitHub\eaglep3-reporting\EC\2017-11-01-refined-times.txt</v>
      </c>
      <c r="AI52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{"issue":{"subject":"","project_id":79,"tracker_id":40,"status_id":1,"priority_id":2,"assigned_to_id":338,"start_date":"2017-11-01","description":"","custom_fields":[{"id":1,"name":"Subdivision","value":"EC"},{"id":4,"name":"Milepost","value":"0.0147"},{"id":17,"name":"Train ID","value":"140-01"},{"id":16,"name":"Locomotive ID","value":"4063"},{"id":130,"name":"Impact","value":""},{"id":150,"name":"Time of Event (Mountain Time)","value":"10:06:25"},{"id":151,"name":"Denver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0"/>
      <c r="AK52" s="47"/>
      <c r="AL52" s="47"/>
      <c r="AM52" s="142" t="str">
        <f t="shared" si="21"/>
        <v>start /low /b %USERPROFILE%\Documents\GitHub\eaglep3\Utilities\DownloadLogsFromS3.py --loco 4063 --day 2017-11-01</v>
      </c>
      <c r="AN52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16:06:25"},{"id":29,"name":"Sharepoint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23"/>
        <v>https://d0f6bd738d7f1b3e5a7ca70fe4ff75f0.us-east-1.aws.found.io/app/kibana#/discover/Steve-Slow-Train-Analysis-(2080s-and-2083s)?_g=(refreshInterval:(display:Off,pause:!f,section:0,value:0),time:(from:'2017-11-01T08:22:01-0600',mode:absolute,to:'2017-11-01T11:06:25-0600'))&amp;_a=(columns:!('Message%20ID',Summary),filters:!(),index:'emp_*',interval:auto,query:(query_string:(analyze_wildcard:!t,query:'%22rtdc.l.rtdc.4063%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718</v>
      </c>
      <c r="B53" s="7">
        <v>4044</v>
      </c>
      <c r="C53" s="21" t="s">
        <v>194</v>
      </c>
      <c r="D53" s="21" t="s">
        <v>900</v>
      </c>
      <c r="E53" s="13">
        <v>43040.359907407408</v>
      </c>
      <c r="F53" s="13">
        <v>43040.364803240744</v>
      </c>
      <c r="G53" s="7">
        <v>76</v>
      </c>
      <c r="H53" s="21" t="s">
        <v>901</v>
      </c>
      <c r="I53" s="13">
        <v>43040.389305555553</v>
      </c>
      <c r="J53" s="7">
        <v>0</v>
      </c>
      <c r="K53" s="89" t="str">
        <f t="shared" si="0"/>
        <v>4043/4044</v>
      </c>
      <c r="L53" s="185" t="str">
        <f>VLOOKUP(A53,'Trips&amp;Operators'!$C$1:$G$99911,5,FALSE)</f>
        <v>AUSTIN THOMPSON</v>
      </c>
      <c r="M53" s="6">
        <f t="shared" si="1"/>
        <v>2.4502314809069503E-2</v>
      </c>
      <c r="N53" s="7">
        <f t="shared" si="24"/>
        <v>35.283333325060084</v>
      </c>
      <c r="O53" s="7"/>
      <c r="P53" s="7"/>
      <c r="Q53" s="22"/>
      <c r="R53" s="174"/>
      <c r="S53" s="221">
        <f t="shared" si="3"/>
        <v>1</v>
      </c>
      <c r="T53" s="174" t="str">
        <f t="shared" si="4"/>
        <v>NorthBound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 t="shared" si="5"/>
        <v>https://d0f6bd738d7f1b3e5a7ca70fe4ff75f0.us-east-1.aws.found.io/app/kibana#/discover/Steve-Slow-Train-Analysis-(2080s-and-2083s)?_g=(refreshInterval:(display:Off,pause:!f,section:0,value:0),time:(from:'2017-11-01T07:38:16-0600',mode:absolute,to:'2017-11-01T10:20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3" s="204" t="str">
        <f>IF(AA53&lt;VLOOKUP(AG53,Variables!$AC$3:$AD$8,2,FALSE),"Y","N")</f>
        <v>N</v>
      </c>
      <c r="X53" s="204">
        <f t="shared" si="25"/>
        <v>1</v>
      </c>
      <c r="Y53" s="204">
        <f t="shared" si="26"/>
        <v>4.5999999999999999E-2</v>
      </c>
      <c r="Z53" s="204">
        <f t="shared" si="27"/>
        <v>23.3245</v>
      </c>
      <c r="AA53" s="204">
        <f t="shared" si="9"/>
        <v>23.278500000000001</v>
      </c>
      <c r="AB53" s="54" t="e">
        <f>VLOOKUP(A53,Enforcements!$C$7:$K$10,8,0)</f>
        <v>#N/A</v>
      </c>
      <c r="AC53" s="51" t="e">
        <f>VLOOKUP(A53,Enforcements!$C$7:$E$10,3,0)</f>
        <v>#N/A</v>
      </c>
      <c r="AD53" s="179">
        <f t="shared" si="10"/>
        <v>141</v>
      </c>
      <c r="AE53" s="77" t="str">
        <f t="shared" si="11"/>
        <v>aws s3 cp s3://rtdc.mdm.uploadarchive.raw/RTDC4044/ "%USERPROFILE%\AppData\Local\Temp\OnboardLogs"\RTDC4044\2017-11-01 --exclude "*" --recursive --include "*20171101*" &amp; "%USERPROFILE%\Documents\GitHub\mrs-test-scripts\Headless Mode &amp; Sideloading\WalkAndUnGZ.bat" "%USERPROFILE%\AppData\Local\Temp\OnboardLogs"\RTDC4044\2017-11-01 &amp; aws s3 cp s3://rtdc.mdm.uploadarchive.raw/RTDC4044/ "%USERPROFILE%\AppData\Local\Temp\OnboardLogs"\RTDC4044\2017-11-02 --exclude "*" --recursive --include "*20171102*" &amp; "%USERPROFILE%\Documents\GitHub\mrs-test-scripts\Headless Mode &amp; Sideloading\WalkAndUnGZ.bat" "%USERPROFILE%\AppData\Local\Temp\OnboardLogs"\RTDC4044\2017-11-02</v>
      </c>
      <c r="AF53" s="74" t="str">
        <f t="shared" si="12"/>
        <v>"C:\Program Files (x86)\AstroGrep\AstroGrep.exe" /e /r /s /spath="%USERPROFILE%\AppData\Local\Temp\OnboardLogs" /stypes="app*4044*20171101*" /stext=" 15:.+((SYSTEM_STATE.+slice.+state.+changed )|(ment ac)|(multiple cpu faults)|(system.+state.+changed )|(\[timeout)|(PRM\|1\|D)|(kpr)|(kdp)|(train st.+moving)|(\|lc)|(penalty))"</v>
      </c>
      <c r="AG53" s="182" t="str">
        <f t="shared" si="13"/>
        <v>EC</v>
      </c>
      <c r="AH53" s="78" t="str">
        <f t="shared" si="19"/>
        <v>"%USERPROFILE%\Documents\GitHub\eaglep3\Utilities\RefineRTDCRunTimes.py" --tripid 141-01 --locoid 4044 --swversion DE.1.0.9.0 --startMP 204:460 --initTime 2017-11-01T08:38:16 --startdatetime 2017-11-01T08:45:19 --delay 76 --endMP 204:233245 --enddatetime 2017-11-01T09:20:36 --enforcementcount 0 &gt;&gt;%USERPROFILE%\Documents\GitHub\eaglep3-reporting\EC\2017-11-01-refined-times.txt</v>
      </c>
      <c r="AI53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{"issue":{"subject":"","project_id":79,"tracker_id":40,"status_id":1,"priority_id":2,"assigned_to_id":338,"start_date":"2017-11-01","description":"","custom_fields":[{"id":1,"name":"Subdivision","value":"EC"},{"id":4,"name":"Milepost","value":"23.3245"},{"id":17,"name":"Train ID","value":"141-01"},{"id":16,"name":"Locomotive ID","value":"4044"},{"id":130,"name":"Impact","value":""},{"id":150,"name":"Time of Event (Mountain Time)","value":"09:20:36"},{"id":151,"name":"Denver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0"/>
      <c r="AK53" s="47"/>
      <c r="AL53" s="47"/>
      <c r="AM53" s="142" t="str">
        <f t="shared" si="21"/>
        <v>start /low /b %USERPROFILE%\Documents\GitHub\eaglep3\Utilities\DownloadLogsFromS3.py --loco 4044 --day 2017-11-01</v>
      </c>
      <c r="AN53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15:20:36"},{"id":29,"name":"Sharepoint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23"/>
        <v>https://d0f6bd738d7f1b3e5a7ca70fe4ff75f0.us-east-1.aws.found.io/app/kibana#/discover/Steve-Slow-Train-Analysis-(2080s-and-2083s)?_g=(refreshInterval:(display:Off,pause:!f,section:0,value:0),time:(from:'2017-11-01T07:38:16-0600',mode:absolute,to:'2017-11-01T10:20:36-0600'))&amp;_a=(columns:!('Message%20ID',Summary),filters:!(),index:'emp_*',interval:auto,query:(query_string:(analyze_wildcard:!t,query:'%22rtdc.l.rtdc.4044%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625</v>
      </c>
      <c r="B54" s="7">
        <v>4043</v>
      </c>
      <c r="C54" s="21" t="s">
        <v>194</v>
      </c>
      <c r="D54" s="21" t="s">
        <v>902</v>
      </c>
      <c r="E54" s="13">
        <v>43040.400393518517</v>
      </c>
      <c r="F54" s="13">
        <v>43040.404374999998</v>
      </c>
      <c r="G54" s="7">
        <v>69</v>
      </c>
      <c r="H54" s="21" t="s">
        <v>392</v>
      </c>
      <c r="I54" s="13">
        <v>43040.431493055556</v>
      </c>
      <c r="J54" s="7">
        <v>0</v>
      </c>
      <c r="K54" s="89" t="str">
        <f t="shared" si="0"/>
        <v>4043/4044</v>
      </c>
      <c r="L54" s="185" t="str">
        <f>VLOOKUP(A54,'Trips&amp;Operators'!$C$1:$G$99911,5,FALSE)</f>
        <v>AUSTIN THOMPSON</v>
      </c>
      <c r="M54" s="6">
        <f t="shared" si="1"/>
        <v>2.7118055557366461E-2</v>
      </c>
      <c r="N54" s="7">
        <f t="shared" si="24"/>
        <v>39.050000002607703</v>
      </c>
      <c r="O54" s="7"/>
      <c r="P54" s="7"/>
      <c r="Q54" s="22"/>
      <c r="R54" s="174"/>
      <c r="S54" s="221">
        <f t="shared" si="3"/>
        <v>1</v>
      </c>
      <c r="T54" s="174" t="str">
        <f t="shared" si="4"/>
        <v>Southbound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 t="shared" si="5"/>
        <v>https://d0f6bd738d7f1b3e5a7ca70fe4ff75f0.us-east-1.aws.found.io/app/kibana#/discover/Steve-Slow-Train-Analysis-(2080s-and-2083s)?_g=(refreshInterval:(display:Off,pause:!f,section:0,value:0),time:(from:'2017-11-01T08:36:34-0600',mode:absolute,to:'2017-11-01T11:21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4" s="204" t="str">
        <f>IF(AA54&lt;VLOOKUP(AG54,Variables!$AC$3:$AD$8,2,FALSE),"Y","N")</f>
        <v>N</v>
      </c>
      <c r="X54" s="204">
        <f t="shared" si="25"/>
        <v>1</v>
      </c>
      <c r="Y54" s="204">
        <f t="shared" si="26"/>
        <v>23.295000000000002</v>
      </c>
      <c r="Z54" s="204">
        <f t="shared" si="27"/>
        <v>1.61E-2</v>
      </c>
      <c r="AA54" s="204">
        <f t="shared" si="9"/>
        <v>23.2789</v>
      </c>
      <c r="AB54" s="54" t="str">
        <f>VLOOKUP(A54,Enforcements!$C$7:$K$10,8,0)</f>
        <v>Bulletin (2)</v>
      </c>
      <c r="AC54" s="51" t="str">
        <f>VLOOKUP(A54,Enforcements!$C$7:$E$10,3,0)</f>
        <v>GRADE CROSSING</v>
      </c>
      <c r="AD54" s="179">
        <f t="shared" si="10"/>
        <v>142</v>
      </c>
      <c r="AE54" s="77" t="str">
        <f t="shared" si="11"/>
        <v>aws s3 cp s3://rtdc.mdm.uploadarchive.raw/RTDC4043/ "%USERPROFILE%\AppData\Local\Temp\OnboardLogs"\RTDC4043\2017-11-01 --exclude "*" --recursive --include "*20171101*" &amp; "%USERPROFILE%\Documents\GitHub\mrs-test-scripts\Headless Mode &amp; Sideloading\WalkAndUnGZ.bat" "%USERPROFILE%\AppData\Local\Temp\OnboardLogs"\RTDC4043\2017-11-01 &amp; aws s3 cp s3://rtdc.mdm.uploadarchive.raw/RTDC4043/ "%USERPROFILE%\AppData\Local\Temp\OnboardLogs"\RTDC4043\2017-11-02 --exclude "*" --recursive --include "*20171102*" &amp; "%USERPROFILE%\Documents\GitHub\mrs-test-scripts\Headless Mode &amp; Sideloading\WalkAndUnGZ.bat" "%USERPROFILE%\AppData\Local\Temp\OnboardLogs"\RTDC4043\2017-11-02</v>
      </c>
      <c r="AF54" s="74" t="str">
        <f t="shared" si="12"/>
        <v>"C:\Program Files (x86)\AstroGrep\AstroGrep.exe" /e /r /s /spath="%USERPROFILE%\AppData\Local\Temp\OnboardLogs" /stypes="app*4043*20171101*" /stext=" 16:.+((SYSTEM_STATE.+slice.+state.+changed )|(ment ac)|(multiple cpu faults)|(system.+state.+changed )|(\[timeout)|(PRM\|1\|D)|(kpr)|(kdp)|(train st.+moving)|(\|lc)|(penalty))"</v>
      </c>
      <c r="AG54" s="182" t="str">
        <f t="shared" si="13"/>
        <v>EC</v>
      </c>
      <c r="AH54" s="78" t="str">
        <f t="shared" si="19"/>
        <v>"%USERPROFILE%\Documents\GitHub\eaglep3\Utilities\RefineRTDCRunTimes.py" --tripid 142-01 --locoid 4043 --swversion DE.1.0.9.0 --startMP 204:232950 --initTime 2017-11-01T09:36:34 --startdatetime 2017-11-01T09:42:18 --delay 69 --endMP 204:161 --enddatetime 2017-11-01T10:21:21 --enforcementcount 0 &gt;&gt;%USERPROFILE%\Documents\GitHub\eaglep3-reporting\EC\2017-11-01-refined-times.txt</v>
      </c>
      <c r="AI54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{"issue":{"subject":"","project_id":79,"tracker_id":40,"status_id":1,"priority_id":2,"assigned_to_id":338,"start_date":"2017-11-01","description":"","custom_fields":[{"id":1,"name":"Subdivision","value":"EC"},{"id":4,"name":"Milepost","value":"0.0161"},{"id":17,"name":"Train ID","value":"142-01"},{"id":16,"name":"Locomotive ID","value":"4043"},{"id":130,"name":"Impact","value":""},{"id":150,"name":"Time of Event (Mountain Time)","value":"10:21:21"},{"id":151,"name":"Denver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0"/>
      <c r="AK54" s="47"/>
      <c r="AL54" s="47"/>
      <c r="AM54" s="142" t="str">
        <f t="shared" si="21"/>
        <v>start /low /b %USERPROFILE%\Documents\GitHub\eaglep3\Utilities\DownloadLogsFromS3.py --loco 4043 --day 2017-11-01</v>
      </c>
      <c r="AN54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16:21:21"},{"id":29,"name":"Sharepoint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23"/>
        <v>https://d0f6bd738d7f1b3e5a7ca70fe4ff75f0.us-east-1.aws.found.io/app/kibana#/discover/Steve-Slow-Train-Analysis-(2080s-and-2083s)?_g=(refreshInterval:(display:Off,pause:!f,section:0,value:0),time:(from:'2017-11-01T08:36:34-0600',mode:absolute,to:'2017-11-01T11:21:21-0600'))&amp;_a=(columns:!('Message%20ID',Summary),filters:!(),index:'emp_*',interval:auto,query:(query_string:(analyze_wildcard:!t,query:'%22rtdc.l.rtdc.4043%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719</v>
      </c>
      <c r="B55" s="7">
        <v>4014</v>
      </c>
      <c r="C55" s="21" t="s">
        <v>194</v>
      </c>
      <c r="D55" s="21" t="s">
        <v>419</v>
      </c>
      <c r="E55" s="13">
        <v>43040.373124999998</v>
      </c>
      <c r="F55" s="13">
        <v>43040.375289351854</v>
      </c>
      <c r="G55" s="7">
        <v>52</v>
      </c>
      <c r="H55" s="21" t="s">
        <v>589</v>
      </c>
      <c r="I55" s="13">
        <v>43040.400775462964</v>
      </c>
      <c r="J55" s="7">
        <v>0</v>
      </c>
      <c r="K55" s="89" t="str">
        <f t="shared" si="0"/>
        <v>4013/4014</v>
      </c>
      <c r="L55" s="185" t="str">
        <f>VLOOKUP(A55,'Trips&amp;Operators'!$C$1:$G$99911,5,FALSE)</f>
        <v>THOMPSON LESTER</v>
      </c>
      <c r="M55" s="6">
        <f t="shared" si="1"/>
        <v>2.548611110978527E-2</v>
      </c>
      <c r="N55" s="7">
        <f t="shared" si="24"/>
        <v>36.699999998090789</v>
      </c>
      <c r="O55" s="7"/>
      <c r="P55" s="7"/>
      <c r="Q55" s="22"/>
      <c r="R55" s="174"/>
      <c r="S55" s="221">
        <f t="shared" si="3"/>
        <v>1</v>
      </c>
      <c r="T55" s="174" t="str">
        <f t="shared" si="4"/>
        <v>NorthBound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 t="shared" si="5"/>
        <v>https://d0f6bd738d7f1b3e5a7ca70fe4ff75f0.us-east-1.aws.found.io/app/kibana#/discover/Steve-Slow-Train-Analysis-(2080s-and-2083s)?_g=(refreshInterval:(display:Off,pause:!f,section:0,value:0),time:(from:'2017-11-01T07:57:18-0600',mode:absolute,to:'2017-11-01T10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5" s="204" t="str">
        <f>IF(AA55&lt;VLOOKUP(AG55,Variables!$AC$3:$AD$8,2,FALSE),"Y","N")</f>
        <v>N</v>
      </c>
      <c r="X55" s="204">
        <f t="shared" si="25"/>
        <v>1</v>
      </c>
      <c r="Y55" s="204">
        <f t="shared" si="26"/>
        <v>4.5499999999999999E-2</v>
      </c>
      <c r="Z55" s="204">
        <f t="shared" si="27"/>
        <v>23.330400000000001</v>
      </c>
      <c r="AA55" s="204">
        <f t="shared" si="9"/>
        <v>23.2849</v>
      </c>
      <c r="AB55" s="54" t="e">
        <f>VLOOKUP(A55,Enforcements!$C$7:$K$10,8,0)</f>
        <v>#N/A</v>
      </c>
      <c r="AC55" s="51" t="e">
        <f>VLOOKUP(A55,Enforcements!$C$7:$E$10,3,0)</f>
        <v>#N/A</v>
      </c>
      <c r="AD55" s="179">
        <f t="shared" si="10"/>
        <v>143</v>
      </c>
      <c r="AE55" s="77" t="str">
        <f t="shared" si="11"/>
        <v>aws s3 cp s3://rtdc.mdm.uploadarchive.raw/RTDC4014/ "%USERPROFILE%\AppData\Local\Temp\OnboardLogs"\RTDC4014\2017-11-01 --exclude "*" --recursive --include "*20171101*" &amp; "%USERPROFILE%\Documents\GitHub\mrs-test-scripts\Headless Mode &amp; Sideloading\WalkAndUnGZ.bat" "%USERPROFILE%\AppData\Local\Temp\OnboardLogs"\RTDC4014\2017-11-01 &amp; aws s3 cp s3://rtdc.mdm.uploadarchive.raw/RTDC4014/ "%USERPROFILE%\AppData\Local\Temp\OnboardLogs"\RTDC4014\2017-11-02 --exclude "*" --recursive --include "*20171102*" &amp; "%USERPROFILE%\Documents\GitHub\mrs-test-scripts\Headless Mode &amp; Sideloading\WalkAndUnGZ.bat" "%USERPROFILE%\AppData\Local\Temp\OnboardLogs"\RTDC4014\2017-11-02</v>
      </c>
      <c r="AF55" s="74" t="str">
        <f t="shared" si="12"/>
        <v>"C:\Program Files (x86)\AstroGrep\AstroGrep.exe" /e /r /s /spath="%USERPROFILE%\AppData\Local\Temp\OnboardLogs" /stypes="app*4014*20171101*" /stext=" 15:.+((SYSTEM_STATE.+slice.+state.+changed )|(ment ac)|(multiple cpu faults)|(system.+state.+changed )|(\[timeout)|(PRM\|1\|D)|(kpr)|(kdp)|(train st.+moving)|(\|lc)|(penalty))"</v>
      </c>
      <c r="AG55" s="182" t="str">
        <f t="shared" si="13"/>
        <v>EC</v>
      </c>
      <c r="AH55" s="78" t="str">
        <f t="shared" si="19"/>
        <v>"%USERPROFILE%\Documents\GitHub\eaglep3\Utilities\RefineRTDCRunTimes.py" --tripid 143-01 --locoid 4014 --swversion DE.1.0.9.0 --startMP 204:455 --initTime 2017-11-01T08:57:18 --startdatetime 2017-11-01T09:00:25 --delay 52 --endMP 204:233304 --enddatetime 2017-11-01T09:37:07 --enforcementcount 0 &gt;&gt;%USERPROFILE%\Documents\GitHub\eaglep3-reporting\EC\2017-11-01-refined-times.txt</v>
      </c>
      <c r="AI55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{"issue":{"subject":"","project_id":79,"tracker_id":40,"status_id":1,"priority_id":2,"assigned_to_id":338,"start_date":"2017-11-01","description":"","custom_fields":[{"id":1,"name":"Subdivision","value":"EC"},{"id":4,"name":"Milepost","value":"23.3304"},{"id":17,"name":"Train ID","value":"143-01"},{"id":16,"name":"Locomotive ID","value":"4014"},{"id":130,"name":"Impact","value":""},{"id":150,"name":"Time of Event (Mountain Time)","value":"09:37:07"},{"id":151,"name":"Denver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0"/>
      <c r="AK55" s="47"/>
      <c r="AL55" s="47"/>
      <c r="AM55" s="142" t="str">
        <f t="shared" si="21"/>
        <v>start /low /b %USERPROFILE%\Documents\GitHub\eaglep3\Utilities\DownloadLogsFromS3.py --loco 4014 --day 2017-11-01</v>
      </c>
      <c r="AN55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15:37:07"},{"id":29,"name":"Sharepoint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23"/>
        <v>https://d0f6bd738d7f1b3e5a7ca70fe4ff75f0.us-east-1.aws.found.io/app/kibana#/discover/Steve-Slow-Train-Analysis-(2080s-and-2083s)?_g=(refreshInterval:(display:Off,pause:!f,section:0,value:0),time:(from:'2017-11-01T07:57:18-0600',mode:absolute,to:'2017-11-01T10:37:07-0600'))&amp;_a=(columns:!('Message%20ID',Summary),filters:!(),index:'emp_*',interval:auto,query:(query_string:(analyze_wildcard:!t,query:'%22rtdc.l.rtdc.4014%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626</v>
      </c>
      <c r="B56" s="7">
        <v>4013</v>
      </c>
      <c r="C56" s="21" t="s">
        <v>194</v>
      </c>
      <c r="D56" s="21" t="s">
        <v>879</v>
      </c>
      <c r="E56" s="13">
        <v>43040.411851851852</v>
      </c>
      <c r="F56" s="13">
        <v>43040.41474537037</v>
      </c>
      <c r="G56" s="7">
        <v>48</v>
      </c>
      <c r="H56" s="21" t="s">
        <v>903</v>
      </c>
      <c r="I56" s="13">
        <v>43040.442372685182</v>
      </c>
      <c r="J56" s="7">
        <v>0</v>
      </c>
      <c r="K56" s="89" t="str">
        <f t="shared" si="0"/>
        <v>4013/4014</v>
      </c>
      <c r="L56" s="185" t="str">
        <f>VLOOKUP(A56,'Trips&amp;Operators'!$C$1:$G$99911,5,FALSE)</f>
        <v>THOMPSON LESTER</v>
      </c>
      <c r="M56" s="6">
        <f t="shared" si="1"/>
        <v>2.7627314811979886E-2</v>
      </c>
      <c r="N56" s="7">
        <f t="shared" si="24"/>
        <v>39.783333329251036</v>
      </c>
      <c r="O56" s="7"/>
      <c r="P56" s="7"/>
      <c r="Q56" s="22"/>
      <c r="R56" s="174"/>
      <c r="S56" s="221">
        <f t="shared" si="3"/>
        <v>1</v>
      </c>
      <c r="T56" s="174" t="str">
        <f t="shared" si="4"/>
        <v>Southbound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 t="shared" si="5"/>
        <v>https://d0f6bd738d7f1b3e5a7ca70fe4ff75f0.us-east-1.aws.found.io/app/kibana#/discover/Steve-Slow-Train-Analysis-(2080s-and-2083s)?_g=(refreshInterval:(display:Off,pause:!f,section:0,value:0),time:(from:'2017-11-01T08:53:04-0600',mode:absolute,to:'2017-11-01T11:37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6" s="204" t="str">
        <f>IF(AA56&lt;VLOOKUP(AG56,Variables!$AC$3:$AD$8,2,FALSE),"Y","N")</f>
        <v>N</v>
      </c>
      <c r="X56" s="204">
        <f t="shared" si="25"/>
        <v>1</v>
      </c>
      <c r="Y56" s="204">
        <f t="shared" si="26"/>
        <v>23.2987</v>
      </c>
      <c r="Z56" s="204">
        <f t="shared" si="27"/>
        <v>1.7399999999999999E-2</v>
      </c>
      <c r="AA56" s="204">
        <f t="shared" si="9"/>
        <v>23.281300000000002</v>
      </c>
      <c r="AB56" s="54" t="e">
        <f>VLOOKUP(A56,Enforcements!$C$7:$K$10,8,0)</f>
        <v>#N/A</v>
      </c>
      <c r="AC56" s="51" t="e">
        <f>VLOOKUP(A56,Enforcements!$C$7:$E$10,3,0)</f>
        <v>#N/A</v>
      </c>
      <c r="AD56" s="179">
        <f t="shared" si="10"/>
        <v>144</v>
      </c>
      <c r="AE56" s="77" t="str">
        <f t="shared" si="11"/>
        <v>aws s3 cp s3://rtdc.mdm.uploadarchive.raw/RTDC4013/ "%USERPROFILE%\AppData\Local\Temp\OnboardLogs"\RTDC4013\2017-11-01 --exclude "*" --recursive --include "*20171101*" &amp; "%USERPROFILE%\Documents\GitHub\mrs-test-scripts\Headless Mode &amp; Sideloading\WalkAndUnGZ.bat" "%USERPROFILE%\AppData\Local\Temp\OnboardLogs"\RTDC4013\2017-11-01 &amp; aws s3 cp s3://rtdc.mdm.uploadarchive.raw/RTDC4013/ "%USERPROFILE%\AppData\Local\Temp\OnboardLogs"\RTDC4013\2017-11-02 --exclude "*" --recursive --include "*20171102*" &amp; "%USERPROFILE%\Documents\GitHub\mrs-test-scripts\Headless Mode &amp; Sideloading\WalkAndUnGZ.bat" "%USERPROFILE%\AppData\Local\Temp\OnboardLogs"\RTDC4013\2017-11-02</v>
      </c>
      <c r="AF56" s="74" t="str">
        <f t="shared" si="12"/>
        <v>"C:\Program Files (x86)\AstroGrep\AstroGrep.exe" /e /r /s /spath="%USERPROFILE%\AppData\Local\Temp\OnboardLogs" /stypes="app*4013*20171101*" /stext=" 16:.+((SYSTEM_STATE.+slice.+state.+changed )|(ment ac)|(multiple cpu faults)|(system.+state.+changed )|(\[timeout)|(PRM\|1\|D)|(kpr)|(kdp)|(train st.+moving)|(\|lc)|(penalty))"</v>
      </c>
      <c r="AG56" s="182" t="str">
        <f t="shared" si="13"/>
        <v>EC</v>
      </c>
      <c r="AH56" s="78" t="str">
        <f t="shared" si="19"/>
        <v>"%USERPROFILE%\Documents\GitHub\eaglep3\Utilities\RefineRTDCRunTimes.py" --tripid 144-01 --locoid 4013 --swversion DE.1.0.9.0 --startMP 204:232987 --initTime 2017-11-01T09:53:04 --startdatetime 2017-11-01T09:57:14 --delay 48 --endMP 204:174 --enddatetime 2017-11-01T10:37:01 --enforcementcount 0 &gt;&gt;%USERPROFILE%\Documents\GitHub\eaglep3-reporting\EC\2017-11-01-refined-times.txt</v>
      </c>
      <c r="AI56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{"issue":{"subject":"","project_id":79,"tracker_id":40,"status_id":1,"priority_id":2,"assigned_to_id":338,"start_date":"2017-11-01","description":"","custom_fields":[{"id":1,"name":"Subdivision","value":"EC"},{"id":4,"name":"Milepost","value":"0.0174"},{"id":17,"name":"Train ID","value":"144-01"},{"id":16,"name":"Locomotive ID","value":"4013"},{"id":130,"name":"Impact","value":""},{"id":150,"name":"Time of Event (Mountain Time)","value":"10:37:01"},{"id":151,"name":"Denver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0"/>
      <c r="AK56" s="47"/>
      <c r="AL56" s="47"/>
      <c r="AM56" s="142" t="str">
        <f t="shared" si="21"/>
        <v>start /low /b %USERPROFILE%\Documents\GitHub\eaglep3\Utilities\DownloadLogsFromS3.py --loco 4013 --day 2017-11-01</v>
      </c>
      <c r="AN56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16:37:01"},{"id":29,"name":"Sharepoint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23"/>
        <v>https://d0f6bd738d7f1b3e5a7ca70fe4ff75f0.us-east-1.aws.found.io/app/kibana#/discover/Steve-Slow-Train-Analysis-(2080s-and-2083s)?_g=(refreshInterval:(display:Off,pause:!f,section:0,value:0),time:(from:'2017-11-01T08:53:04-0600',mode:absolute,to:'2017-11-01T11:37:01-0600'))&amp;_a=(columns:!('Message%20ID',Summary),filters:!(),index:'emp_*',interval:auto,query:(query_string:(analyze_wildcard:!t,query:'%22rtdc.l.rtdc.4013%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722</v>
      </c>
      <c r="B57" s="7">
        <v>4042</v>
      </c>
      <c r="C57" s="21" t="s">
        <v>194</v>
      </c>
      <c r="D57" s="21" t="s">
        <v>904</v>
      </c>
      <c r="E57" s="13">
        <v>43040.382233796299</v>
      </c>
      <c r="F57" s="13">
        <v>43040.385567129626</v>
      </c>
      <c r="G57" s="7">
        <v>58</v>
      </c>
      <c r="H57" s="21" t="s">
        <v>888</v>
      </c>
      <c r="I57" s="13">
        <v>43040.409004629626</v>
      </c>
      <c r="J57" s="7">
        <v>0</v>
      </c>
      <c r="K57" s="89" t="str">
        <f t="shared" si="0"/>
        <v>4041/4042</v>
      </c>
      <c r="L57" s="185" t="str">
        <f>VLOOKUP(A57,'Trips&amp;Operators'!$C$1:$G$99911,5,FALSE)</f>
        <v>ROMERO CHAD</v>
      </c>
      <c r="M57" s="6">
        <f t="shared" si="1"/>
        <v>2.34375E-2</v>
      </c>
      <c r="N57" s="7">
        <f t="shared" si="24"/>
        <v>33.75</v>
      </c>
      <c r="O57" s="7"/>
      <c r="P57" s="7"/>
      <c r="Q57" s="22"/>
      <c r="R57" s="174"/>
      <c r="S57" s="221">
        <f t="shared" si="3"/>
        <v>1</v>
      </c>
      <c r="T57" s="174" t="str">
        <f t="shared" si="4"/>
        <v>NorthBound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 t="shared" si="5"/>
        <v>https://d0f6bd738d7f1b3e5a7ca70fe4ff75f0.us-east-1.aws.found.io/app/kibana#/discover/Steve-Slow-Train-Analysis-(2080s-and-2083s)?_g=(refreshInterval:(display:Off,pause:!f,section:0,value:0),time:(from:'2017-11-01T08:10:25-0600',mode:absolute,to:'2017-11-01T10:48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7" s="204" t="str">
        <f>IF(AA57&lt;VLOOKUP(AG57,Variables!$AC$3:$AD$8,2,FALSE),"Y","N")</f>
        <v>N</v>
      </c>
      <c r="X57" s="204">
        <f t="shared" si="25"/>
        <v>1</v>
      </c>
      <c r="Y57" s="204">
        <f t="shared" si="26"/>
        <v>4.6899999999999997E-2</v>
      </c>
      <c r="Z57" s="204">
        <f t="shared" si="27"/>
        <v>23.3322</v>
      </c>
      <c r="AA57" s="204">
        <f t="shared" si="9"/>
        <v>23.285299999999999</v>
      </c>
      <c r="AB57" s="54" t="e">
        <f>VLOOKUP(A57,Enforcements!$C$7:$K$10,8,0)</f>
        <v>#N/A</v>
      </c>
      <c r="AC57" s="51" t="e">
        <f>VLOOKUP(A57,Enforcements!$C$7:$E$10,3,0)</f>
        <v>#N/A</v>
      </c>
      <c r="AD57" s="179">
        <f t="shared" si="10"/>
        <v>145</v>
      </c>
      <c r="AE57" s="77" t="str">
        <f t="shared" si="11"/>
        <v>aws s3 cp s3://rtdc.mdm.uploadarchive.raw/RTDC4042/ "%USERPROFILE%\AppData\Local\Temp\OnboardLogs"\RTDC4042\2017-11-01 --exclude "*" --recursive --include "*20171101*" &amp; "%USERPROFILE%\Documents\GitHub\mrs-test-scripts\Headless Mode &amp; Sideloading\WalkAndUnGZ.bat" "%USERPROFILE%\AppData\Local\Temp\OnboardLogs"\RTDC4042\2017-11-01 &amp; aws s3 cp s3://rtdc.mdm.uploadarchive.raw/RTDC4042/ "%USERPROFILE%\AppData\Local\Temp\OnboardLogs"\RTDC4042\2017-11-02 --exclude "*" --recursive --include "*20171102*" &amp; "%USERPROFILE%\Documents\GitHub\mrs-test-scripts\Headless Mode &amp; Sideloading\WalkAndUnGZ.bat" "%USERPROFILE%\AppData\Local\Temp\OnboardLogs"\RTDC4042\2017-11-02</v>
      </c>
      <c r="AF57" s="74" t="str">
        <f t="shared" si="12"/>
        <v>"C:\Program Files (x86)\AstroGrep\AstroGrep.exe" /e /r /s /spath="%USERPROFILE%\AppData\Local\Temp\OnboardLogs" /stypes="app*4042*20171101*" /stext=" 15:.+((SYSTEM_STATE.+slice.+state.+changed )|(ment ac)|(multiple cpu faults)|(system.+state.+changed )|(\[timeout)|(PRM\|1\|D)|(kpr)|(kdp)|(train st.+moving)|(\|lc)|(penalty))"</v>
      </c>
      <c r="AG57" s="182" t="str">
        <f t="shared" si="13"/>
        <v>EC</v>
      </c>
      <c r="AH57" s="78" t="str">
        <f t="shared" si="19"/>
        <v>"%USERPROFILE%\Documents\GitHub\eaglep3\Utilities\RefineRTDCRunTimes.py" --tripid 145-01 --locoid 4042 --swversion DE.1.0.9.0 --startMP 204:469 --initTime 2017-11-01T09:10:25 --startdatetime 2017-11-01T09:15:13 --delay 58 --endMP 204:233322 --enddatetime 2017-11-01T09:48:58 --enforcementcount 0 &gt;&gt;%USERPROFILE%\Documents\GitHub\eaglep3-reporting\EC\2017-11-01-refined-times.txt</v>
      </c>
      <c r="AI57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{"issue":{"subject":"","project_id":79,"tracker_id":40,"status_id":1,"priority_id":2,"assigned_to_id":338,"start_date":"2017-11-01","description":"","custom_fields":[{"id":1,"name":"Subdivision","value":"EC"},{"id":4,"name":"Milepost","value":"23.3322"},{"id":17,"name":"Train ID","value":"145-01"},{"id":16,"name":"Locomotive ID","value":"4042"},{"id":130,"name":"Impact","value":""},{"id":150,"name":"Time of Event (Mountain Time)","value":"09:48:58"},{"id":151,"name":"Denver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0"/>
      <c r="AK57" s="47"/>
      <c r="AL57" s="47"/>
      <c r="AM57" s="142" t="str">
        <f t="shared" si="21"/>
        <v>start /low /b %USERPROFILE%\Documents\GitHub\eaglep3\Utilities\DownloadLogsFromS3.py --loco 4042 --day 2017-11-01</v>
      </c>
      <c r="AN57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15:48:58"},{"id":29,"name":"Sharepoint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23"/>
        <v>https://d0f6bd738d7f1b3e5a7ca70fe4ff75f0.us-east-1.aws.found.io/app/kibana#/discover/Steve-Slow-Train-Analysis-(2080s-and-2083s)?_g=(refreshInterval:(display:Off,pause:!f,section:0,value:0),time:(from:'2017-11-01T08:10:25-0600',mode:absolute,to:'2017-11-01T10:48:58-0600'))&amp;_a=(columns:!('Message%20ID',Summary),filters:!(),index:'emp_*',interval:auto,query:(query_string:(analyze_wildcard:!t,query:'%22rtdc.l.rtdc.4042%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726</v>
      </c>
      <c r="B58" s="7">
        <v>4041</v>
      </c>
      <c r="C58" s="21" t="s">
        <v>194</v>
      </c>
      <c r="D58" s="21" t="s">
        <v>905</v>
      </c>
      <c r="E58" s="13">
        <v>43040.410300925927</v>
      </c>
      <c r="F58" s="13">
        <v>43040.425138888888</v>
      </c>
      <c r="G58" s="7">
        <v>87</v>
      </c>
      <c r="H58" s="21" t="s">
        <v>886</v>
      </c>
      <c r="I58" s="13">
        <v>43040.450115740743</v>
      </c>
      <c r="J58" s="7">
        <v>0</v>
      </c>
      <c r="K58" s="89" t="str">
        <f t="shared" si="0"/>
        <v>4041/4042</v>
      </c>
      <c r="L58" s="185" t="str">
        <f>VLOOKUP(A58,'Trips&amp;Operators'!$C$1:$G$99911,5,FALSE)</f>
        <v>ROMERO CHAD</v>
      </c>
      <c r="M58" s="6">
        <f t="shared" si="1"/>
        <v>2.4976851855171844E-2</v>
      </c>
      <c r="N58" s="7">
        <f t="shared" si="24"/>
        <v>35.966666671447456</v>
      </c>
      <c r="O58" s="7"/>
      <c r="P58" s="7"/>
      <c r="Q58" s="22"/>
      <c r="R58" s="174"/>
      <c r="S58" s="221">
        <f t="shared" si="3"/>
        <v>1</v>
      </c>
      <c r="T58" s="174" t="str">
        <f t="shared" si="4"/>
        <v>Southbound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 t="shared" si="5"/>
        <v>https://d0f6bd738d7f1b3e5a7ca70fe4ff75f0.us-east-1.aws.found.io/app/kibana#/discover/Steve-Slow-Train-Analysis-(2080s-and-2083s)?_g=(refreshInterval:(display:Off,pause:!f,section:0,value:0),time:(from:'2017-11-01T08:50:50-0600',mode:absolute,to:'2017-11-01T11:48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8" s="204" t="str">
        <f>IF(AA58&lt;VLOOKUP(AG58,Variables!$AC$3:$AD$8,2,FALSE),"Y","N")</f>
        <v>N</v>
      </c>
      <c r="X58" s="204">
        <f t="shared" si="25"/>
        <v>1</v>
      </c>
      <c r="Y58" s="204">
        <f t="shared" si="26"/>
        <v>23.299399999999999</v>
      </c>
      <c r="Z58" s="204">
        <f t="shared" si="27"/>
        <v>1.49E-2</v>
      </c>
      <c r="AA58" s="204">
        <f t="shared" si="9"/>
        <v>23.284499999999998</v>
      </c>
      <c r="AB58" s="54" t="e">
        <f>VLOOKUP(A58,Enforcements!$C$7:$K$10,8,0)</f>
        <v>#N/A</v>
      </c>
      <c r="AC58" s="51" t="e">
        <f>VLOOKUP(A58,Enforcements!$C$7:$E$10,3,0)</f>
        <v>#N/A</v>
      </c>
      <c r="AD58" s="179">
        <f t="shared" si="10"/>
        <v>146</v>
      </c>
      <c r="AE58" s="77" t="str">
        <f t="shared" si="11"/>
        <v>aws s3 cp s3://rtdc.mdm.uploadarchive.raw/RTDC4041/ "%USERPROFILE%\AppData\Local\Temp\OnboardLogs"\RTDC4041\2017-11-01 --exclude "*" --recursive --include "*20171101*" &amp; "%USERPROFILE%\Documents\GitHub\mrs-test-scripts\Headless Mode &amp; Sideloading\WalkAndUnGZ.bat" "%USERPROFILE%\AppData\Local\Temp\OnboardLogs"\RTDC4041\2017-11-01 &amp; aws s3 cp s3://rtdc.mdm.uploadarchive.raw/RTDC4041/ "%USERPROFILE%\AppData\Local\Temp\OnboardLogs"\RTDC4041\2017-11-02 --exclude "*" --recursive --include "*20171102*" &amp; "%USERPROFILE%\Documents\GitHub\mrs-test-scripts\Headless Mode &amp; Sideloading\WalkAndUnGZ.bat" "%USERPROFILE%\AppData\Local\Temp\OnboardLogs"\RTDC4041\2017-11-02</v>
      </c>
      <c r="AF58" s="74" t="str">
        <f t="shared" si="12"/>
        <v>"C:\Program Files (x86)\AstroGrep\AstroGrep.exe" /e /r /s /spath="%USERPROFILE%\AppData\Local\Temp\OnboardLogs" /stypes="app*4041*20171101*" /stext=" 16:.+((SYSTEM_STATE.+slice.+state.+changed )|(ment ac)|(multiple cpu faults)|(system.+state.+changed )|(\[timeout)|(PRM\|1\|D)|(kpr)|(kdp)|(train st.+moving)|(\|lc)|(penalty))"</v>
      </c>
      <c r="AG58" s="182" t="str">
        <f t="shared" si="13"/>
        <v>EC</v>
      </c>
      <c r="AH58" s="78" t="str">
        <f t="shared" si="19"/>
        <v>"%USERPROFILE%\Documents\GitHub\eaglep3\Utilities\RefineRTDCRunTimes.py" --tripid 146-01 --locoid 4041 --swversion DE.1.0.9.0 --startMP 204:232994 --initTime 2017-11-01T09:50:50 --startdatetime 2017-11-01T10:12:12 --delay 87 --endMP 204:149 --enddatetime 2017-11-01T10:48:10 --enforcementcount 0 &gt;&gt;%USERPROFILE%\Documents\GitHub\eaglep3-reporting\EC\2017-11-01-refined-times.txt</v>
      </c>
      <c r="AI58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{"issue":{"subject":"","project_id":79,"tracker_id":40,"status_id":1,"priority_id":2,"assigned_to_id":338,"start_date":"2017-11-01","description":"","custom_fields":[{"id":1,"name":"Subdivision","value":"EC"},{"id":4,"name":"Milepost","value":"0.0149"},{"id":17,"name":"Train ID","value":"146-01"},{"id":16,"name":"Locomotive ID","value":"4041"},{"id":130,"name":"Impact","value":""},{"id":150,"name":"Time of Event (Mountain Time)","value":"10:48:10"},{"id":151,"name":"Denver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0"/>
      <c r="AK58" s="47"/>
      <c r="AL58" s="47"/>
      <c r="AM58" s="142" t="str">
        <f t="shared" si="21"/>
        <v>start /low /b %USERPROFILE%\Documents\GitHub\eaglep3\Utilities\DownloadLogsFromS3.py --loco 4041 --day 2017-11-01</v>
      </c>
      <c r="AN58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16:48:10"},{"id":29,"name":"Sharepoint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23"/>
        <v>https://d0f6bd738d7f1b3e5a7ca70fe4ff75f0.us-east-1.aws.found.io/app/kibana#/discover/Steve-Slow-Train-Analysis-(2080s-and-2083s)?_g=(refreshInterval:(display:Off,pause:!f,section:0,value:0),time:(from:'2017-11-01T08:50:50-0600',mode:absolute,to:'2017-11-01T11:48:10-0600'))&amp;_a=(columns:!('Message%20ID',Summary),filters:!(),index:'emp_*',interval:auto,query:(query_string:(analyze_wildcard:!t,query:'%22rtdc.l.rtdc.4041%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723</v>
      </c>
      <c r="B59" s="7">
        <v>4050</v>
      </c>
      <c r="C59" s="21" t="s">
        <v>194</v>
      </c>
      <c r="D59" s="21" t="s">
        <v>393</v>
      </c>
      <c r="E59" s="13">
        <v>43040.391481481478</v>
      </c>
      <c r="F59" s="13">
        <v>43040.396319444444</v>
      </c>
      <c r="G59" s="7">
        <v>42</v>
      </c>
      <c r="H59" s="21" t="s">
        <v>897</v>
      </c>
      <c r="I59" s="13">
        <v>43040.422314814816</v>
      </c>
      <c r="J59" s="7">
        <v>0</v>
      </c>
      <c r="K59" s="89" t="str">
        <f t="shared" si="0"/>
        <v>4049/4050</v>
      </c>
      <c r="L59" s="185" t="str">
        <f>VLOOKUP(A59,'Trips&amp;Operators'!$C$1:$G$99911,5,FALSE)</f>
        <v>YORK EDGAR</v>
      </c>
      <c r="M59" s="6">
        <f t="shared" si="1"/>
        <v>2.5995370371674653E-2</v>
      </c>
      <c r="N59" s="7">
        <f t="shared" si="24"/>
        <v>37.433333335211501</v>
      </c>
      <c r="O59" s="7"/>
      <c r="P59" s="7"/>
      <c r="Q59" s="22"/>
      <c r="R59" s="174"/>
      <c r="S59" s="221">
        <f t="shared" si="3"/>
        <v>1</v>
      </c>
      <c r="T59" s="174" t="str">
        <f t="shared" si="4"/>
        <v>NorthBound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 t="shared" si="5"/>
        <v>https://d0f6bd738d7f1b3e5a7ca70fe4ff75f0.us-east-1.aws.found.io/app/kibana#/discover/Steve-Slow-Train-Analysis-(2080s-and-2083s)?_g=(refreshInterval:(display:Off,pause:!f,section:0,value:0),time:(from:'2017-11-01T08:23:44-0600',mode:absolute,to:'2017-11-01T11:08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59" s="204" t="str">
        <f>IF(AA59&lt;VLOOKUP(AG59,Variables!$AC$3:$AD$8,2,FALSE),"Y","N")</f>
        <v>N</v>
      </c>
      <c r="X59" s="204">
        <f t="shared" si="25"/>
        <v>1</v>
      </c>
      <c r="Y59" s="204">
        <f t="shared" si="26"/>
        <v>4.5100000000000001E-2</v>
      </c>
      <c r="Z59" s="204">
        <f t="shared" si="27"/>
        <v>23.331</v>
      </c>
      <c r="AA59" s="204">
        <f t="shared" si="9"/>
        <v>23.285899999999998</v>
      </c>
      <c r="AB59" s="54" t="e">
        <f>VLOOKUP(A59,Enforcements!$C$7:$K$10,8,0)</f>
        <v>#N/A</v>
      </c>
      <c r="AC59" s="51" t="e">
        <f>VLOOKUP(A59,Enforcements!$C$7:$E$10,3,0)</f>
        <v>#N/A</v>
      </c>
      <c r="AD59" s="179">
        <f t="shared" si="10"/>
        <v>147</v>
      </c>
      <c r="AE59" s="77" t="str">
        <f t="shared" si="11"/>
        <v>aws s3 cp s3://rtdc.mdm.uploadarchive.raw/RTDC4050/ "%USERPROFILE%\AppData\Local\Temp\OnboardLogs"\RTDC4050\2017-11-01 --exclude "*" --recursive --include "*20171101*" &amp; "%USERPROFILE%\Documents\GitHub\mrs-test-scripts\Headless Mode &amp; Sideloading\WalkAndUnGZ.bat" "%USERPROFILE%\AppData\Local\Temp\OnboardLogs"\RTDC4050\2017-11-01 &amp; aws s3 cp s3://rtdc.mdm.uploadarchive.raw/RTDC4050/ "%USERPROFILE%\AppData\Local\Temp\OnboardLogs"\RTDC4050\2017-11-02 --exclude "*" --recursive --include "*20171102*" &amp; "%USERPROFILE%\Documents\GitHub\mrs-test-scripts\Headless Mode &amp; Sideloading\WalkAndUnGZ.bat" "%USERPROFILE%\AppData\Local\Temp\OnboardLogs"\RTDC4050\2017-11-02</v>
      </c>
      <c r="AF59" s="74" t="str">
        <f t="shared" si="12"/>
        <v>"C:\Program Files (x86)\AstroGrep\AstroGrep.exe" /e /r /s /spath="%USERPROFILE%\AppData\Local\Temp\OnboardLogs" /stypes="app*4050*20171101*" /stext=" 16:.+((SYSTEM_STATE.+slice.+state.+changed )|(ment ac)|(multiple cpu faults)|(system.+state.+changed )|(\[timeout)|(PRM\|1\|D)|(kpr)|(kdp)|(train st.+moving)|(\|lc)|(penalty))"</v>
      </c>
      <c r="AG59" s="182" t="str">
        <f t="shared" si="13"/>
        <v>EC</v>
      </c>
      <c r="AH59" s="78" t="str">
        <f t="shared" si="19"/>
        <v>"%USERPROFILE%\Documents\GitHub\eaglep3\Utilities\RefineRTDCRunTimes.py" --tripid 147-01 --locoid 4050 --swversion DE.1.0.9.0 --startMP 204:451 --initTime 2017-11-01T09:23:44 --startdatetime 2017-11-01T09:30:42 --delay 42 --endMP 204:233310 --enddatetime 2017-11-01T10:08:08 --enforcementcount 0 &gt;&gt;%USERPROFILE%\Documents\GitHub\eaglep3-reporting\EC\2017-11-01-refined-times.txt</v>
      </c>
      <c r="AI59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{"issue":{"subject":"","project_id":79,"tracker_id":40,"status_id":1,"priority_id":2,"assigned_to_id":338,"start_date":"2017-11-01","description":"","custom_fields":[{"id":1,"name":"Subdivision","value":"EC"},{"id":4,"name":"Milepost","value":"23.331"},{"id":17,"name":"Train ID","value":"147-01"},{"id":16,"name":"Locomotive ID","value":"4050"},{"id":130,"name":"Impact","value":""},{"id":150,"name":"Time of Event (Mountain Time)","value":"10:08:08"},{"id":151,"name":"Denver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0"/>
      <c r="AK59" s="47"/>
      <c r="AL59" s="47"/>
      <c r="AM59" s="142" t="str">
        <f t="shared" si="21"/>
        <v>start /low /b %USERPROFILE%\Documents\GitHub\eaglep3\Utilities\DownloadLogsFromS3.py --loco 4050 --day 2017-11-01</v>
      </c>
      <c r="AN59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16:08:08"},{"id":29,"name":"Sharepoint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23"/>
        <v>https://d0f6bd738d7f1b3e5a7ca70fe4ff75f0.us-east-1.aws.found.io/app/kibana#/discover/Steve-Slow-Train-Analysis-(2080s-and-2083s)?_g=(refreshInterval:(display:Off,pause:!f,section:0,value:0),time:(from:'2017-11-01T08:23:44-0600',mode:absolute,to:'2017-11-01T11:08:08-0600'))&amp;_a=(columns:!('Message%20ID',Summary),filters:!(),index:'emp_*',interval:auto,query:(query_string:(analyze_wildcard:!t,query:'%22rtdc.l.rtdc.4050%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730</v>
      </c>
      <c r="B60" s="7">
        <v>4049</v>
      </c>
      <c r="C60" s="21" t="s">
        <v>194</v>
      </c>
      <c r="D60" s="21" t="s">
        <v>890</v>
      </c>
      <c r="E60" s="13">
        <v>43040.424583333333</v>
      </c>
      <c r="F60" s="13">
        <v>43040.436157407406</v>
      </c>
      <c r="G60" s="7">
        <v>58</v>
      </c>
      <c r="H60" s="21" t="s">
        <v>389</v>
      </c>
      <c r="I60" s="13">
        <v>43040.461678240739</v>
      </c>
      <c r="J60" s="7">
        <v>0</v>
      </c>
      <c r="K60" s="89" t="str">
        <f t="shared" si="0"/>
        <v>4049/4050</v>
      </c>
      <c r="L60" s="185" t="str">
        <f>VLOOKUP(A60,'Trips&amp;Operators'!$C$1:$G$99911,5,FALSE)</f>
        <v>YORK EDGAR</v>
      </c>
      <c r="M60" s="6">
        <f t="shared" si="1"/>
        <v>2.5520833332848269E-2</v>
      </c>
      <c r="N60" s="7">
        <f t="shared" si="24"/>
        <v>36.749999999301508</v>
      </c>
      <c r="O60" s="7"/>
      <c r="P60" s="7"/>
      <c r="Q60" s="22"/>
      <c r="R60" s="174"/>
      <c r="S60" s="221">
        <f t="shared" si="3"/>
        <v>1</v>
      </c>
      <c r="T60" s="174" t="str">
        <f t="shared" si="4"/>
        <v>Southbound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 t="shared" si="5"/>
        <v>https://d0f6bd738d7f1b3e5a7ca70fe4ff75f0.us-east-1.aws.found.io/app/kibana#/discover/Steve-Slow-Train-Analysis-(2080s-and-2083s)?_g=(refreshInterval:(display:Off,pause:!f,section:0,value:0),time:(from:'2017-11-01T09:11:24-0600',mode:absolute,to:'2017-11-01T12:04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60" s="204" t="str">
        <f>IF(AA60&lt;VLOOKUP(AG60,Variables!$AC$3:$AD$8,2,FALSE),"Y","N")</f>
        <v>N</v>
      </c>
      <c r="X60" s="204">
        <f t="shared" si="25"/>
        <v>1</v>
      </c>
      <c r="Y60" s="204">
        <f t="shared" si="26"/>
        <v>23.298300000000001</v>
      </c>
      <c r="Z60" s="204">
        <f t="shared" si="27"/>
        <v>1.5599999999999999E-2</v>
      </c>
      <c r="AA60" s="204">
        <f t="shared" si="9"/>
        <v>23.282700000000002</v>
      </c>
      <c r="AB60" s="54" t="e">
        <f>VLOOKUP(A60,Enforcements!$C$7:$K$10,8,0)</f>
        <v>#N/A</v>
      </c>
      <c r="AC60" s="51" t="e">
        <f>VLOOKUP(A60,Enforcements!$C$7:$E$10,3,0)</f>
        <v>#N/A</v>
      </c>
      <c r="AD60" s="179">
        <f t="shared" si="10"/>
        <v>148</v>
      </c>
      <c r="AE60" s="77" t="str">
        <f t="shared" si="11"/>
        <v>aws s3 cp s3://rtdc.mdm.uploadarchive.raw/RTDC4049/ "%USERPROFILE%\AppData\Local\Temp\OnboardLogs"\RTDC4049\2017-11-01 --exclude "*" --recursive --include "*20171101*" &amp; "%USERPROFILE%\Documents\GitHub\mrs-test-scripts\Headless Mode &amp; Sideloading\WalkAndUnGZ.bat" "%USERPROFILE%\AppData\Local\Temp\OnboardLogs"\RTDC4049\2017-11-01 &amp; aws s3 cp s3://rtdc.mdm.uploadarchive.raw/RTDC4049/ "%USERPROFILE%\AppData\Local\Temp\OnboardLogs"\RTDC4049\2017-11-02 --exclude "*" --recursive --include "*20171102*" &amp; "%USERPROFILE%\Documents\GitHub\mrs-test-scripts\Headless Mode &amp; Sideloading\WalkAndUnGZ.bat" "%USERPROFILE%\AppData\Local\Temp\OnboardLogs"\RTDC4049\2017-11-02</v>
      </c>
      <c r="AF60" s="74" t="str">
        <f t="shared" si="12"/>
        <v>"C:\Program Files (x86)\AstroGrep\AstroGrep.exe" /e /r /s /spath="%USERPROFILE%\AppData\Local\Temp\OnboardLogs" /stypes="app*4049*20171101*" /stext=" 17:.+((SYSTEM_STATE.+slice.+state.+changed )|(ment ac)|(multiple cpu faults)|(system.+state.+changed )|(\[timeout)|(PRM\|1\|D)|(kpr)|(kdp)|(train st.+moving)|(\|lc)|(penalty))"</v>
      </c>
      <c r="AG60" s="182" t="str">
        <f t="shared" si="13"/>
        <v>EC</v>
      </c>
      <c r="AH60" s="78" t="str">
        <f t="shared" si="19"/>
        <v>"%USERPROFILE%\Documents\GitHub\eaglep3\Utilities\RefineRTDCRunTimes.py" --tripid 148-01 --locoid 4049 --swversion DE.1.0.9.0 --startMP 204:232983 --initTime 2017-11-01T10:11:24 --startdatetime 2017-11-01T10:28:04 --delay 58 --endMP 204:156 --enddatetime 2017-11-01T11:04:49 --enforcementcount 0 &gt;&gt;%USERPROFILE%\Documents\GitHub\eaglep3-reporting\EC\2017-11-01-refined-times.txt</v>
      </c>
      <c r="AI60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{"issue":{"subject":"","project_id":79,"tracker_id":40,"status_id":1,"priority_id":2,"assigned_to_id":338,"start_date":"2017-11-01","description":"","custom_fields":[{"id":1,"name":"Subdivision","value":"EC"},{"id":4,"name":"Milepost","value":"0.0156"},{"id":17,"name":"Train ID","value":"148-01"},{"id":16,"name":"Locomotive ID","value":"4049"},{"id":130,"name":"Impact","value":""},{"id":150,"name":"Time of Event (Mountain Time)","value":"11:04:49"},{"id":151,"name":"Denver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0"/>
      <c r="AK60" s="47"/>
      <c r="AL60" s="47"/>
      <c r="AM60" s="142" t="str">
        <f t="shared" si="21"/>
        <v>start /low /b %USERPROFILE%\Documents\GitHub\eaglep3\Utilities\DownloadLogsFromS3.py --loco 4049 --day 2017-11-01</v>
      </c>
      <c r="AN60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17:04:49"},{"id":29,"name":"Sharepoint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23"/>
        <v>https://d0f6bd738d7f1b3e5a7ca70fe4ff75f0.us-east-1.aws.found.io/app/kibana#/discover/Steve-Slow-Train-Analysis-(2080s-and-2083s)?_g=(refreshInterval:(display:Off,pause:!f,section:0,value:0),time:(from:'2017-11-01T09:11:24-0600',mode:absolute,to:'2017-11-01T12:04:49-0600'))&amp;_a=(columns:!('Message%20ID',Summary),filters:!(),index:'emp_*',interval:auto,query:(query_string:(analyze_wildcard:!t,query:'%22rtdc.l.rtdc.4049%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725</v>
      </c>
      <c r="B61" s="7">
        <v>4026</v>
      </c>
      <c r="C61" s="21" t="s">
        <v>194</v>
      </c>
      <c r="D61" s="21" t="s">
        <v>347</v>
      </c>
      <c r="E61" s="13">
        <v>43040.402789351851</v>
      </c>
      <c r="F61" s="13">
        <v>43040.406458333331</v>
      </c>
      <c r="G61" s="7">
        <v>63</v>
      </c>
      <c r="H61" s="21" t="s">
        <v>567</v>
      </c>
      <c r="I61" s="13">
        <v>43040.430196759262</v>
      </c>
      <c r="J61" s="7">
        <v>0</v>
      </c>
      <c r="K61" s="89" t="str">
        <f t="shared" si="0"/>
        <v>4025/4026</v>
      </c>
      <c r="L61" s="185" t="str">
        <f>VLOOKUP(A61,'Trips&amp;Operators'!$C$1:$G$99911,5,FALSE)</f>
        <v>BEAM ROSS</v>
      </c>
      <c r="M61" s="6">
        <f t="shared" si="1"/>
        <v>2.3738425930787344E-2</v>
      </c>
      <c r="N61" s="7">
        <f t="shared" si="24"/>
        <v>34.183333340333775</v>
      </c>
      <c r="O61" s="7"/>
      <c r="P61" s="7"/>
      <c r="Q61" s="22"/>
      <c r="R61" s="174"/>
      <c r="S61" s="221">
        <f t="shared" si="3"/>
        <v>1</v>
      </c>
      <c r="T61" s="174" t="str">
        <f t="shared" si="4"/>
        <v>NorthBound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 t="shared" si="5"/>
        <v>https://d0f6bd738d7f1b3e5a7ca70fe4ff75f0.us-east-1.aws.found.io/app/kibana#/discover/Steve-Slow-Train-Analysis-(2080s-and-2083s)?_g=(refreshInterval:(display:Off,pause:!f,section:0,value:0),time:(from:'2017-11-01T08:40:01-0600',mode:absolute,to:'2017-11-01T11:19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1" s="204" t="str">
        <f>IF(AA61&lt;VLOOKUP(AG61,Variables!$AC$3:$AD$8,2,FALSE),"Y","N")</f>
        <v>N</v>
      </c>
      <c r="X61" s="204">
        <f t="shared" si="25"/>
        <v>1</v>
      </c>
      <c r="Y61" s="204">
        <f t="shared" si="26"/>
        <v>4.58E-2</v>
      </c>
      <c r="Z61" s="204">
        <f t="shared" si="27"/>
        <v>23.330500000000001</v>
      </c>
      <c r="AA61" s="204">
        <f t="shared" si="9"/>
        <v>23.284700000000001</v>
      </c>
      <c r="AB61" s="54" t="e">
        <f>VLOOKUP(A61,Enforcements!$C$7:$K$10,8,0)</f>
        <v>#N/A</v>
      </c>
      <c r="AC61" s="51" t="e">
        <f>VLOOKUP(A61,Enforcements!$C$7:$E$10,3,0)</f>
        <v>#N/A</v>
      </c>
      <c r="AD61" s="179">
        <f t="shared" si="10"/>
        <v>149</v>
      </c>
      <c r="AE61" s="77" t="str">
        <f t="shared" si="11"/>
        <v>aws s3 cp s3://rtdc.mdm.uploadarchive.raw/RTDC4026/ "%USERPROFILE%\AppData\Local\Temp\OnboardLogs"\RTDC4026\2017-11-01 --exclude "*" --recursive --include "*20171101*" &amp; "%USERPROFILE%\Documents\GitHub\mrs-test-scripts\Headless Mode &amp; Sideloading\WalkAndUnGZ.bat" "%USERPROFILE%\AppData\Local\Temp\OnboardLogs"\RTDC4026\2017-11-01 &amp; aws s3 cp s3://rtdc.mdm.uploadarchive.raw/RTDC4026/ "%USERPROFILE%\AppData\Local\Temp\OnboardLogs"\RTDC4026\2017-11-02 --exclude "*" --recursive --include "*20171102*" &amp; "%USERPROFILE%\Documents\GitHub\mrs-test-scripts\Headless Mode &amp; Sideloading\WalkAndUnGZ.bat" "%USERPROFILE%\AppData\Local\Temp\OnboardLogs"\RTDC4026\2017-11-02</v>
      </c>
      <c r="AF61" s="74" t="str">
        <f t="shared" si="12"/>
        <v>"C:\Program Files (x86)\AstroGrep\AstroGrep.exe" /e /r /s /spath="%USERPROFILE%\AppData\Local\Temp\OnboardLogs" /stypes="app*4026*20171101*" /stext=" 16:.+((SYSTEM_STATE.+slice.+state.+changed )|(ment ac)|(multiple cpu faults)|(system.+state.+changed )|(\[timeout)|(PRM\|1\|D)|(kpr)|(kdp)|(train st.+moving)|(\|lc)|(penalty))"</v>
      </c>
      <c r="AG61" s="182" t="str">
        <f t="shared" si="13"/>
        <v>EC</v>
      </c>
      <c r="AH61" s="78" t="str">
        <f t="shared" si="19"/>
        <v>"%USERPROFILE%\Documents\GitHub\eaglep3\Utilities\RefineRTDCRunTimes.py" --tripid 149-01 --locoid 4026 --swversion DE.1.0.9.0 --startMP 204:458 --initTime 2017-11-01T09:40:01 --startdatetime 2017-11-01T09:45:18 --delay 63 --endMP 204:233305 --enddatetime 2017-11-01T10:19:29 --enforcementcount 0 &gt;&gt;%USERPROFILE%\Documents\GitHub\eaglep3-reporting\EC\2017-11-01-refined-times.txt</v>
      </c>
      <c r="AI61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{"issue":{"subject":"","project_id":79,"tracker_id":40,"status_id":1,"priority_id":2,"assigned_to_id":338,"start_date":"2017-11-01","description":"","custom_fields":[{"id":1,"name":"Subdivision","value":"EC"},{"id":4,"name":"Milepost","value":"23.3305"},{"id":17,"name":"Train ID","value":"149-01"},{"id":16,"name":"Locomotive ID","value":"4026"},{"id":130,"name":"Impact","value":""},{"id":150,"name":"Time of Event (Mountain Time)","value":"10:19:29"},{"id":151,"name":"Denver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0"/>
      <c r="AK61" s="47"/>
      <c r="AL61" s="47"/>
      <c r="AM61" s="142" t="str">
        <f t="shared" si="21"/>
        <v>start /low /b %USERPROFILE%\Documents\GitHub\eaglep3\Utilities\DownloadLogsFromS3.py --loco 4026 --day 2017-11-01</v>
      </c>
      <c r="AN61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16:19:29"},{"id":29,"name":"Sharepoint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23"/>
        <v>https://d0f6bd738d7f1b3e5a7ca70fe4ff75f0.us-east-1.aws.found.io/app/kibana#/discover/Steve-Slow-Train-Analysis-(2080s-and-2083s)?_g=(refreshInterval:(display:Off,pause:!f,section:0,value:0),time:(from:'2017-11-01T08:40:01-0600',mode:absolute,to:'2017-11-01T11:19:29-0600'))&amp;_a=(columns:!('Message%20ID',Summary),filters:!(),index:'emp_*',interval:auto,query:(query_string:(analyze_wildcard:!t,query:'%22rtdc.l.rtdc.4026%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630</v>
      </c>
      <c r="B62" s="7">
        <v>4025</v>
      </c>
      <c r="C62" s="21" t="s">
        <v>194</v>
      </c>
      <c r="D62" s="21" t="s">
        <v>560</v>
      </c>
      <c r="E62" s="13">
        <v>43040.431226851855</v>
      </c>
      <c r="F62" s="13">
        <v>43040.446238425924</v>
      </c>
      <c r="G62" s="7">
        <v>53</v>
      </c>
      <c r="H62" s="21" t="s">
        <v>451</v>
      </c>
      <c r="I62" s="13">
        <v>43040.472881944443</v>
      </c>
      <c r="J62" s="7">
        <v>0</v>
      </c>
      <c r="K62" s="89" t="str">
        <f t="shared" si="0"/>
        <v>4025/4026</v>
      </c>
      <c r="L62" s="185" t="str">
        <f>VLOOKUP(A62,'Trips&amp;Operators'!$C$1:$G$99911,5,FALSE)</f>
        <v>BEAM ROSS</v>
      </c>
      <c r="M62" s="6">
        <f t="shared" si="1"/>
        <v>2.6643518518540077E-2</v>
      </c>
      <c r="N62" s="7">
        <f t="shared" si="24"/>
        <v>38.366666666697711</v>
      </c>
      <c r="O62" s="7"/>
      <c r="P62" s="7"/>
      <c r="Q62" s="22"/>
      <c r="R62" s="174"/>
      <c r="S62" s="221">
        <f t="shared" si="3"/>
        <v>1</v>
      </c>
      <c r="T62" s="174" t="str">
        <f t="shared" si="4"/>
        <v>Southbound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 t="shared" si="5"/>
        <v>https://d0f6bd738d7f1b3e5a7ca70fe4ff75f0.us-east-1.aws.found.io/app/kibana#/discover/Steve-Slow-Train-Analysis-(2080s-and-2083s)?_g=(refreshInterval:(display:Off,pause:!f,section:0,value:0),time:(from:'2017-11-01T09:20:58-0600',mode:absolute,to:'2017-11-01T12:20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2" s="204" t="str">
        <f>IF(AA62&lt;VLOOKUP(AG62,Variables!$AC$3:$AD$8,2,FALSE),"Y","N")</f>
        <v>N</v>
      </c>
      <c r="X62" s="204">
        <f t="shared" si="25"/>
        <v>1</v>
      </c>
      <c r="Y62" s="204">
        <f t="shared" si="26"/>
        <v>23.297699999999999</v>
      </c>
      <c r="Z62" s="204">
        <f t="shared" si="27"/>
        <v>1.52E-2</v>
      </c>
      <c r="AA62" s="204">
        <f t="shared" si="9"/>
        <v>23.282499999999999</v>
      </c>
      <c r="AB62" s="54" t="e">
        <f>VLOOKUP(A62,Enforcements!$C$7:$K$10,8,0)</f>
        <v>#N/A</v>
      </c>
      <c r="AC62" s="51" t="e">
        <f>VLOOKUP(A62,Enforcements!$C$7:$E$10,3,0)</f>
        <v>#N/A</v>
      </c>
      <c r="AD62" s="179">
        <f t="shared" si="10"/>
        <v>150</v>
      </c>
      <c r="AE62" s="77" t="str">
        <f t="shared" si="11"/>
        <v>aws s3 cp s3://rtdc.mdm.uploadarchive.raw/RTDC4025/ "%USERPROFILE%\AppData\Local\Temp\OnboardLogs"\RTDC4025\2017-11-01 --exclude "*" --recursive --include "*20171101*" &amp; "%USERPROFILE%\Documents\GitHub\mrs-test-scripts\Headless Mode &amp; Sideloading\WalkAndUnGZ.bat" "%USERPROFILE%\AppData\Local\Temp\OnboardLogs"\RTDC4025\2017-11-01 &amp; aws s3 cp s3://rtdc.mdm.uploadarchive.raw/RTDC4025/ "%USERPROFILE%\AppData\Local\Temp\OnboardLogs"\RTDC4025\2017-11-02 --exclude "*" --recursive --include "*20171102*" &amp; "%USERPROFILE%\Documents\GitHub\mrs-test-scripts\Headless Mode &amp; Sideloading\WalkAndUnGZ.bat" "%USERPROFILE%\AppData\Local\Temp\OnboardLogs"\RTDC4025\2017-11-02</v>
      </c>
      <c r="AF62" s="74" t="str">
        <f t="shared" si="12"/>
        <v>"C:\Program Files (x86)\AstroGrep\AstroGrep.exe" /e /r /s /spath="%USERPROFILE%\AppData\Local\Temp\OnboardLogs" /stypes="app*4025*20171101*" /stext=" 17:.+((SYSTEM_STATE.+slice.+state.+changed )|(ment ac)|(multiple cpu faults)|(system.+state.+changed )|(\[timeout)|(PRM\|1\|D)|(kpr)|(kdp)|(train st.+moving)|(\|lc)|(penalty))"</v>
      </c>
      <c r="AG62" s="182" t="str">
        <f t="shared" si="13"/>
        <v>EC</v>
      </c>
      <c r="AH62" s="78" t="str">
        <f t="shared" si="19"/>
        <v>"%USERPROFILE%\Documents\GitHub\eaglep3\Utilities\RefineRTDCRunTimes.py" --tripid 150-01 --locoid 4025 --swversion DE.1.0.9.0 --startMP 204:232977 --initTime 2017-11-01T10:20:58 --startdatetime 2017-11-01T10:42:35 --delay 53 --endMP 204:152 --enddatetime 2017-11-01T11:20:57 --enforcementcount 0 &gt;&gt;%USERPROFILE%\Documents\GitHub\eaglep3-reporting\EC\2017-11-01-refined-times.txt</v>
      </c>
      <c r="AI62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{"issue":{"subject":"","project_id":79,"tracker_id":40,"status_id":1,"priority_id":2,"assigned_to_id":338,"start_date":"2017-11-01","description":"","custom_fields":[{"id":1,"name":"Subdivision","value":"EC"},{"id":4,"name":"Milepost","value":"0.0152"},{"id":17,"name":"Train ID","value":"150-01"},{"id":16,"name":"Locomotive ID","value":"4025"},{"id":130,"name":"Impact","value":""},{"id":150,"name":"Time of Event (Mountain Time)","value":"11:20:57"},{"id":151,"name":"Denver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0"/>
      <c r="AK62" s="47"/>
      <c r="AL62" s="47"/>
      <c r="AM62" s="142" t="str">
        <f t="shared" si="21"/>
        <v>start /low /b %USERPROFILE%\Documents\GitHub\eaglep3\Utilities\DownloadLogsFromS3.py --loco 4025 --day 2017-11-01</v>
      </c>
      <c r="AN62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17:20:57"},{"id":29,"name":"Sharepoint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23"/>
        <v>https://d0f6bd738d7f1b3e5a7ca70fe4ff75f0.us-east-1.aws.found.io/app/kibana#/discover/Steve-Slow-Train-Analysis-(2080s-and-2083s)?_g=(refreshInterval:(display:Off,pause:!f,section:0,value:0),time:(from:'2017-11-01T09:20:58-0600',mode:absolute,to:'2017-11-01T12:20:57-0600'))&amp;_a=(columns:!('Message%20ID',Summary),filters:!(),index:'emp_*',interval:auto,query:(query_string:(analyze_wildcard:!t,query:'%22rtdc.l.rtdc.4025%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727</v>
      </c>
      <c r="B63" s="7">
        <v>4002</v>
      </c>
      <c r="C63" s="21" t="s">
        <v>194</v>
      </c>
      <c r="D63" s="21" t="s">
        <v>900</v>
      </c>
      <c r="E63" s="13">
        <v>43040.414803240739</v>
      </c>
      <c r="F63" s="13">
        <v>43040.417511574073</v>
      </c>
      <c r="G63" s="7">
        <v>70</v>
      </c>
      <c r="H63" s="21" t="s">
        <v>565</v>
      </c>
      <c r="I63" s="13">
        <v>43040.44327546296</v>
      </c>
      <c r="J63" s="7">
        <v>0</v>
      </c>
      <c r="K63" s="89" t="str">
        <f t="shared" si="0"/>
        <v>4001/4002</v>
      </c>
      <c r="L63" s="185" t="str">
        <f>VLOOKUP(A63,'Trips&amp;Operators'!$C$1:$G$99911,5,FALSE)</f>
        <v>STARKS ANGELINA</v>
      </c>
      <c r="M63" s="6">
        <f t="shared" si="1"/>
        <v>2.5763888887013309E-2</v>
      </c>
      <c r="N63" s="7">
        <f t="shared" si="24"/>
        <v>37.099999997299165</v>
      </c>
      <c r="O63" s="7"/>
      <c r="P63" s="7"/>
      <c r="Q63" s="22"/>
      <c r="R63" s="174"/>
      <c r="S63" s="221">
        <f t="shared" si="3"/>
        <v>1</v>
      </c>
      <c r="T63" s="174" t="str">
        <f t="shared" si="4"/>
        <v>NorthBound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 t="shared" si="5"/>
        <v>https://d0f6bd738d7f1b3e5a7ca70fe4ff75f0.us-east-1.aws.found.io/app/kibana#/discover/Steve-Slow-Train-Analysis-(2080s-and-2083s)?_g=(refreshInterval:(display:Off,pause:!f,section:0,value:0),time:(from:'2017-11-01T08:57:19-0600',mode:absolute,to:'2017-11-01T11:38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3" s="204" t="str">
        <f>IF(AA63&lt;VLOOKUP(AG63,Variables!$AC$3:$AD$8,2,FALSE),"Y","N")</f>
        <v>N</v>
      </c>
      <c r="X63" s="204">
        <f t="shared" si="25"/>
        <v>1</v>
      </c>
      <c r="Y63" s="204">
        <f t="shared" si="26"/>
        <v>4.5999999999999999E-2</v>
      </c>
      <c r="Z63" s="204">
        <f t="shared" si="27"/>
        <v>23.3293</v>
      </c>
      <c r="AA63" s="204">
        <f t="shared" si="9"/>
        <v>23.283300000000001</v>
      </c>
      <c r="AB63" s="54" t="e">
        <f>VLOOKUP(A63,Enforcements!$C$7:$K$10,8,0)</f>
        <v>#N/A</v>
      </c>
      <c r="AC63" s="51" t="e">
        <f>VLOOKUP(A63,Enforcements!$C$7:$E$10,3,0)</f>
        <v>#N/A</v>
      </c>
      <c r="AD63" s="179">
        <f t="shared" si="10"/>
        <v>151</v>
      </c>
      <c r="AE63" s="77" t="str">
        <f t="shared" si="11"/>
        <v>aws s3 cp s3://rtdc.mdm.uploadarchive.raw/RTDC4002/ "%USERPROFILE%\AppData\Local\Temp\OnboardLogs"\RTDC4002\2017-11-01 --exclude "*" --recursive --include "*20171101*" &amp; "%USERPROFILE%\Documents\GitHub\mrs-test-scripts\Headless Mode &amp; Sideloading\WalkAndUnGZ.bat" "%USERPROFILE%\AppData\Local\Temp\OnboardLogs"\RTDC4002\2017-11-01 &amp; aws s3 cp s3://rtdc.mdm.uploadarchive.raw/RTDC4002/ "%USERPROFILE%\AppData\Local\Temp\OnboardLogs"\RTDC4002\2017-11-02 --exclude "*" --recursive --include "*20171102*" &amp; "%USERPROFILE%\Documents\GitHub\mrs-test-scripts\Headless Mode &amp; Sideloading\WalkAndUnGZ.bat" "%USERPROFILE%\AppData\Local\Temp\OnboardLogs"\RTDC4002\2017-11-02</v>
      </c>
      <c r="AF63" s="74" t="str">
        <f t="shared" si="12"/>
        <v>"C:\Program Files (x86)\AstroGrep\AstroGrep.exe" /e /r /s /spath="%USERPROFILE%\AppData\Local\Temp\OnboardLogs" /stypes="app*4002*20171101*" /stext=" 16:.+((SYSTEM_STATE.+slice.+state.+changed )|(ment ac)|(multiple cpu faults)|(system.+state.+changed )|(\[timeout)|(PRM\|1\|D)|(kpr)|(kdp)|(train st.+moving)|(\|lc)|(penalty))"</v>
      </c>
      <c r="AG63" s="182" t="str">
        <f t="shared" si="13"/>
        <v>EC</v>
      </c>
      <c r="AH63" s="78" t="str">
        <f t="shared" si="19"/>
        <v>"%USERPROFILE%\Documents\GitHub\eaglep3\Utilities\RefineRTDCRunTimes.py" --tripid 151-01 --locoid 4002 --swversion DE.1.0.9.0 --startMP 204:460 --initTime 2017-11-01T09:57:19 --startdatetime 2017-11-01T10:01:13 --delay 70 --endMP 204:233293 --enddatetime 2017-11-01T10:38:19 --enforcementcount 0 &gt;&gt;%USERPROFILE%\Documents\GitHub\eaglep3-reporting\EC\2017-11-01-refined-times.txt</v>
      </c>
      <c r="AI63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{"issue":{"subject":"","project_id":79,"tracker_id":40,"status_id":1,"priority_id":2,"assigned_to_id":338,"start_date":"2017-11-01","description":"","custom_fields":[{"id":1,"name":"Subdivision","value":"EC"},{"id":4,"name":"Milepost","value":"23.3293"},{"id":17,"name":"Train ID","value":"151-01"},{"id":16,"name":"Locomotive ID","value":"4002"},{"id":130,"name":"Impact","value":""},{"id":150,"name":"Time of Event (Mountain Time)","value":"10:38:19"},{"id":151,"name":"Denver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0"/>
      <c r="AK63" s="47"/>
      <c r="AL63" s="47"/>
      <c r="AM63" s="142" t="str">
        <f t="shared" si="21"/>
        <v>start /low /b %USERPROFILE%\Documents\GitHub\eaglep3\Utilities\DownloadLogsFromS3.py --loco 4002 --day 2017-11-01</v>
      </c>
      <c r="AN63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16:38:19"},{"id":29,"name":"Sharepoint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23"/>
        <v>https://d0f6bd738d7f1b3e5a7ca70fe4ff75f0.us-east-1.aws.found.io/app/kibana#/discover/Steve-Slow-Train-Analysis-(2080s-and-2083s)?_g=(refreshInterval:(display:Off,pause:!f,section:0,value:0),time:(from:'2017-11-01T08:57:19-0600',mode:absolute,to:'2017-11-01T11:38:19-0600'))&amp;_a=(columns:!('Message%20ID',Summary),filters:!(),index:'emp_*',interval:auto,query:(query_string:(analyze_wildcard:!t,query:'%22rtdc.l.rtdc.4002%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631</v>
      </c>
      <c r="B64" s="7">
        <v>4001</v>
      </c>
      <c r="C64" s="21" t="s">
        <v>194</v>
      </c>
      <c r="D64" s="21" t="s">
        <v>906</v>
      </c>
      <c r="E64" s="13">
        <v>43040.445532407408</v>
      </c>
      <c r="F64" s="13">
        <v>43040.456423611111</v>
      </c>
      <c r="G64" s="7">
        <v>56</v>
      </c>
      <c r="H64" s="21" t="s">
        <v>352</v>
      </c>
      <c r="I64" s="13">
        <v>43040.484074074076</v>
      </c>
      <c r="J64" s="7">
        <v>0</v>
      </c>
      <c r="K64" s="89" t="str">
        <f t="shared" si="0"/>
        <v>4001/4002</v>
      </c>
      <c r="L64" s="185" t="str">
        <f>VLOOKUP(A64,'Trips&amp;Operators'!$C$1:$G$99911,5,FALSE)</f>
        <v>STARKS ANGELINA</v>
      </c>
      <c r="M64" s="6">
        <f t="shared" si="1"/>
        <v>2.7650462965539191E-2</v>
      </c>
      <c r="N64" s="7">
        <f t="shared" si="24"/>
        <v>39.816666670376435</v>
      </c>
      <c r="O64" s="7"/>
      <c r="P64" s="7"/>
      <c r="Q64" s="22"/>
      <c r="R64" s="174"/>
      <c r="S64" s="221">
        <f t="shared" si="3"/>
        <v>1</v>
      </c>
      <c r="T64" s="174" t="str">
        <f t="shared" si="4"/>
        <v>Southbound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 t="shared" si="5"/>
        <v>https://d0f6bd738d7f1b3e5a7ca70fe4ff75f0.us-east-1.aws.found.io/app/kibana#/discover/Steve-Slow-Train-Analysis-(2080s-and-2083s)?_g=(refreshInterval:(display:Off,pause:!f,section:0,value:0),time:(from:'2017-11-01T09:41:34-0600',mode:absolute,to:'2017-11-01T12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4" s="204" t="str">
        <f>IF(AA64&lt;VLOOKUP(AG64,Variables!$AC$3:$AD$8,2,FALSE),"Y","N")</f>
        <v>N</v>
      </c>
      <c r="X64" s="204">
        <f t="shared" si="25"/>
        <v>1</v>
      </c>
      <c r="Y64" s="204">
        <f t="shared" si="26"/>
        <v>23.299299999999999</v>
      </c>
      <c r="Z64" s="204">
        <f t="shared" si="27"/>
        <v>1.5800000000000002E-2</v>
      </c>
      <c r="AA64" s="204">
        <f t="shared" si="9"/>
        <v>23.2835</v>
      </c>
      <c r="AB64" s="54" t="e">
        <f>VLOOKUP(A64,Enforcements!$C$7:$K$10,8,0)</f>
        <v>#N/A</v>
      </c>
      <c r="AC64" s="51" t="e">
        <f>VLOOKUP(A64,Enforcements!$C$7:$E$10,3,0)</f>
        <v>#N/A</v>
      </c>
      <c r="AD64" s="179">
        <f t="shared" si="10"/>
        <v>152</v>
      </c>
      <c r="AE64" s="77" t="str">
        <f t="shared" si="11"/>
        <v>aws s3 cp s3://rtdc.mdm.uploadarchive.raw/RTDC4001/ "%USERPROFILE%\AppData\Local\Temp\OnboardLogs"\RTDC4001\2017-11-01 --exclude "*" --recursive --include "*20171101*" &amp; "%USERPROFILE%\Documents\GitHub\mrs-test-scripts\Headless Mode &amp; Sideloading\WalkAndUnGZ.bat" "%USERPROFILE%\AppData\Local\Temp\OnboardLogs"\RTDC4001\2017-11-01 &amp; aws s3 cp s3://rtdc.mdm.uploadarchive.raw/RTDC4001/ "%USERPROFILE%\AppData\Local\Temp\OnboardLogs"\RTDC4001\2017-11-02 --exclude "*" --recursive --include "*20171102*" &amp; "%USERPROFILE%\Documents\GitHub\mrs-test-scripts\Headless Mode &amp; Sideloading\WalkAndUnGZ.bat" "%USERPROFILE%\AppData\Local\Temp\OnboardLogs"\RTDC4001\2017-11-02</v>
      </c>
      <c r="AF64" s="74" t="str">
        <f t="shared" si="12"/>
        <v>"C:\Program Files (x86)\AstroGrep\AstroGrep.exe" /e /r /s /spath="%USERPROFILE%\AppData\Local\Temp\OnboardLogs" /stypes="app*4001*20171101*" /stext=" 17:.+((SYSTEM_STATE.+slice.+state.+changed )|(ment ac)|(multiple cpu faults)|(system.+state.+changed )|(\[timeout)|(PRM\|1\|D)|(kpr)|(kdp)|(train st.+moving)|(\|lc)|(penalty))"</v>
      </c>
      <c r="AG64" s="182" t="str">
        <f t="shared" si="13"/>
        <v>EC</v>
      </c>
      <c r="AH64" s="78" t="str">
        <f t="shared" si="19"/>
        <v>"%USERPROFILE%\Documents\GitHub\eaglep3\Utilities\RefineRTDCRunTimes.py" --tripid 152-01 --locoid 4001 --swversion DE.1.0.9.0 --startMP 204:232993 --initTime 2017-11-01T10:41:34 --startdatetime 2017-11-01T10:57:15 --delay 56 --endMP 204:158 --enddatetime 2017-11-01T11:37:04 --enforcementcount 0 &gt;&gt;%USERPROFILE%\Documents\GitHub\eaglep3-reporting\EC\2017-11-01-refined-times.txt</v>
      </c>
      <c r="AI64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{"issue":{"subject":"","project_id":79,"tracker_id":40,"status_id":1,"priority_id":2,"assigned_to_id":338,"start_date":"2017-11-01","description":"","custom_fields":[{"id":1,"name":"Subdivision","value":"EC"},{"id":4,"name":"Milepost","value":"0.0158"},{"id":17,"name":"Train ID","value":"152-01"},{"id":16,"name":"Locomotive ID","value":"4001"},{"id":130,"name":"Impact","value":""},{"id":150,"name":"Time of Event (Mountain Time)","value":"11:37:04"},{"id":151,"name":"Denver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0"/>
      <c r="AK64" s="47"/>
      <c r="AL64" s="47"/>
      <c r="AM64" s="142" t="str">
        <f t="shared" si="21"/>
        <v>start /low /b %USERPROFILE%\Documents\GitHub\eaglep3\Utilities\DownloadLogsFromS3.py --loco 4001 --day 2017-11-01</v>
      </c>
      <c r="AN64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17:37:04"},{"id":29,"name":"Sharepoint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23"/>
        <v>https://d0f6bd738d7f1b3e5a7ca70fe4ff75f0.us-east-1.aws.found.io/app/kibana#/discover/Steve-Slow-Train-Analysis-(2080s-and-2083s)?_g=(refreshInterval:(display:Off,pause:!f,section:0,value:0),time:(from:'2017-11-01T09:41:34-0600',mode:absolute,to:'2017-11-01T12:37:04-0600'))&amp;_a=(columns:!('Message%20ID',Summary),filters:!(),index:'emp_*',interval:auto,query:(query_string:(analyze_wildcard:!t,query:'%22rtdc.l.rtdc.4001%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729</v>
      </c>
      <c r="B65" s="7">
        <v>4064</v>
      </c>
      <c r="C65" s="21" t="s">
        <v>194</v>
      </c>
      <c r="D65" s="21" t="s">
        <v>433</v>
      </c>
      <c r="E65" s="13">
        <v>43040.423692129632</v>
      </c>
      <c r="F65" s="13">
        <v>43040.427847222221</v>
      </c>
      <c r="G65" s="7">
        <v>73</v>
      </c>
      <c r="H65" s="21" t="s">
        <v>880</v>
      </c>
      <c r="I65" s="13">
        <v>43040.451388888891</v>
      </c>
      <c r="J65" s="7">
        <v>0</v>
      </c>
      <c r="K65" s="89" t="str">
        <f t="shared" si="0"/>
        <v>4063/4064</v>
      </c>
      <c r="L65" s="185" t="str">
        <f>VLOOKUP(A65,'Trips&amp;Operators'!$C$1:$G$99911,5,FALSE)</f>
        <v>LAMAR NEKESHA</v>
      </c>
      <c r="M65" s="6">
        <f t="shared" si="1"/>
        <v>2.3541666669188999E-2</v>
      </c>
      <c r="N65" s="7">
        <f t="shared" si="24"/>
        <v>33.900000003632158</v>
      </c>
      <c r="O65" s="7"/>
      <c r="P65" s="7"/>
      <c r="Q65" s="22"/>
      <c r="R65" s="174"/>
      <c r="S65" s="221">
        <f t="shared" si="3"/>
        <v>1</v>
      </c>
      <c r="T65" s="174" t="str">
        <f t="shared" si="4"/>
        <v>NorthBound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 t="shared" si="5"/>
        <v>https://d0f6bd738d7f1b3e5a7ca70fe4ff75f0.us-east-1.aws.found.io/app/kibana#/discover/Steve-Slow-Train-Analysis-(2080s-and-2083s)?_g=(refreshInterval:(display:Off,pause:!f,section:0,value:0),time:(from:'2017-11-01T09:10:07-0600',mode:absolute,to:'2017-11-01T11:50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65" s="204" t="str">
        <f>IF(AA65&lt;VLOOKUP(AG65,Variables!$AC$3:$AD$8,2,FALSE),"Y","N")</f>
        <v>N</v>
      </c>
      <c r="X65" s="204">
        <f t="shared" si="25"/>
        <v>1</v>
      </c>
      <c r="Y65" s="204">
        <f t="shared" si="26"/>
        <v>4.53E-2</v>
      </c>
      <c r="Z65" s="204">
        <f t="shared" si="27"/>
        <v>23.328900000000001</v>
      </c>
      <c r="AA65" s="204">
        <f t="shared" si="9"/>
        <v>23.2836</v>
      </c>
      <c r="AB65" s="54" t="e">
        <f>VLOOKUP(A65,Enforcements!$C$7:$K$10,8,0)</f>
        <v>#N/A</v>
      </c>
      <c r="AC65" s="51" t="e">
        <f>VLOOKUP(A65,Enforcements!$C$7:$E$10,3,0)</f>
        <v>#N/A</v>
      </c>
      <c r="AD65" s="179">
        <f t="shared" si="10"/>
        <v>153</v>
      </c>
      <c r="AE65" s="77" t="str">
        <f t="shared" si="11"/>
        <v>aws s3 cp s3://rtdc.mdm.uploadarchive.raw/RTDC4064/ "%USERPROFILE%\AppData\Local\Temp\OnboardLogs"\RTDC4064\2017-11-01 --exclude "*" --recursive --include "*20171101*" &amp; "%USERPROFILE%\Documents\GitHub\mrs-test-scripts\Headless Mode &amp; Sideloading\WalkAndUnGZ.bat" "%USERPROFILE%\AppData\Local\Temp\OnboardLogs"\RTDC4064\2017-11-01 &amp; aws s3 cp s3://rtdc.mdm.uploadarchive.raw/RTDC4064/ "%USERPROFILE%\AppData\Local\Temp\OnboardLogs"\RTDC4064\2017-11-02 --exclude "*" --recursive --include "*20171102*" &amp; "%USERPROFILE%\Documents\GitHub\mrs-test-scripts\Headless Mode &amp; Sideloading\WalkAndUnGZ.bat" "%USERPROFILE%\AppData\Local\Temp\OnboardLogs"\RTDC4064\2017-11-02</v>
      </c>
      <c r="AF65" s="74" t="str">
        <f t="shared" si="12"/>
        <v>"C:\Program Files (x86)\AstroGrep\AstroGrep.exe" /e /r /s /spath="%USERPROFILE%\AppData\Local\Temp\OnboardLogs" /stypes="app*4064*20171101*" /stext=" 16:.+((SYSTEM_STATE.+slice.+state.+changed )|(ment ac)|(multiple cpu faults)|(system.+state.+changed )|(\[timeout)|(PRM\|1\|D)|(kpr)|(kdp)|(train st.+moving)|(\|lc)|(penalty))"</v>
      </c>
      <c r="AG65" s="182" t="str">
        <f t="shared" si="13"/>
        <v>EC</v>
      </c>
      <c r="AH65" s="78" t="str">
        <f t="shared" si="19"/>
        <v>"%USERPROFILE%\Documents\GitHub\eaglep3\Utilities\RefineRTDCRunTimes.py" --tripid 153-01 --locoid 4064 --swversion DE.1.0.9.0 --startMP 204:453 --initTime 2017-11-01T10:10:07 --startdatetime 2017-11-01T10:16:06 --delay 73 --endMP 204:233289 --enddatetime 2017-11-01T10:50:00 --enforcementcount 0 &gt;&gt;%USERPROFILE%\Documents\GitHub\eaglep3-reporting\EC\2017-11-01-refined-times.txt</v>
      </c>
      <c r="AI65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{"issue":{"subject":"","project_id":79,"tracker_id":40,"status_id":1,"priority_id":2,"assigned_to_id":338,"start_date":"2017-11-01","description":"","custom_fields":[{"id":1,"name":"Subdivision","value":"EC"},{"id":4,"name":"Milepost","value":"23.3289"},{"id":17,"name":"Train ID","value":"153-01"},{"id":16,"name":"Locomotive ID","value":"4064"},{"id":130,"name":"Impact","value":""},{"id":150,"name":"Time of Event (Mountain Time)","value":"10:50:00"},{"id":151,"name":"Denver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0"/>
      <c r="AK65" s="47"/>
      <c r="AL65" s="47"/>
      <c r="AM65" s="142" t="str">
        <f t="shared" si="21"/>
        <v>start /low /b %USERPROFILE%\Documents\GitHub\eaglep3\Utilities\DownloadLogsFromS3.py --loco 4064 --day 2017-11-01</v>
      </c>
      <c r="AN65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16:50:00"},{"id":29,"name":"Sharepoint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23"/>
        <v>https://d0f6bd738d7f1b3e5a7ca70fe4ff75f0.us-east-1.aws.found.io/app/kibana#/discover/Steve-Slow-Train-Analysis-(2080s-and-2083s)?_g=(refreshInterval:(display:Off,pause:!f,section:0,value:0),time:(from:'2017-11-01T09:10:07-0600',mode:absolute,to:'2017-11-01T11:50:00-0600'))&amp;_a=(columns:!('Message%20ID',Summary),filters:!(),index:'emp_*',interval:auto,query:(query_string:(analyze_wildcard:!t,query:'%22rtdc.l.rtdc.4064%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738</v>
      </c>
      <c r="B66" s="7">
        <v>4063</v>
      </c>
      <c r="C66" s="21" t="s">
        <v>194</v>
      </c>
      <c r="D66" s="21" t="s">
        <v>396</v>
      </c>
      <c r="E66" s="13">
        <v>43040.46503472222</v>
      </c>
      <c r="F66" s="13">
        <v>43040.466898148145</v>
      </c>
      <c r="G66" s="7">
        <v>74</v>
      </c>
      <c r="H66" s="21" t="s">
        <v>352</v>
      </c>
      <c r="I66" s="13">
        <v>43040.493125000001</v>
      </c>
      <c r="J66" s="7">
        <v>0</v>
      </c>
      <c r="K66" s="89" t="str">
        <f t="shared" si="0"/>
        <v>4063/4064</v>
      </c>
      <c r="L66" s="185" t="str">
        <f>VLOOKUP(A66,'Trips&amp;Operators'!$C$1:$G$99911,5,FALSE)</f>
        <v>LAMAR NEKESHA</v>
      </c>
      <c r="M66" s="6">
        <f t="shared" si="1"/>
        <v>2.6226851856335998E-2</v>
      </c>
      <c r="N66" s="7">
        <f t="shared" si="24"/>
        <v>37.766666673123837</v>
      </c>
      <c r="O66" s="7"/>
      <c r="P66" s="7"/>
      <c r="Q66" s="22"/>
      <c r="R66" s="174"/>
      <c r="S66" s="221">
        <f t="shared" si="3"/>
        <v>1</v>
      </c>
      <c r="T66" s="174" t="str">
        <f t="shared" si="4"/>
        <v>Southbound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 t="shared" si="5"/>
        <v>https://d0f6bd738d7f1b3e5a7ca70fe4ff75f0.us-east-1.aws.found.io/app/kibana#/discover/Steve-Slow-Train-Analysis-(2080s-and-2083s)?_g=(refreshInterval:(display:Off,pause:!f,section:0,value:0),time:(from:'2017-11-01T10:09:39-0600',mode:absolute,to:'2017-11-01T12:50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66" s="204" t="str">
        <f>IF(AA66&lt;VLOOKUP(AG66,Variables!$AC$3:$AD$8,2,FALSE),"Y","N")</f>
        <v>N</v>
      </c>
      <c r="X66" s="204">
        <f t="shared" si="25"/>
        <v>1</v>
      </c>
      <c r="Y66" s="204">
        <f t="shared" si="26"/>
        <v>23.296900000000001</v>
      </c>
      <c r="Z66" s="204">
        <f t="shared" si="27"/>
        <v>1.5800000000000002E-2</v>
      </c>
      <c r="AA66" s="204">
        <f t="shared" si="9"/>
        <v>23.281100000000002</v>
      </c>
      <c r="AB66" s="54" t="e">
        <f>VLOOKUP(A66,Enforcements!$C$7:$K$10,8,0)</f>
        <v>#N/A</v>
      </c>
      <c r="AC66" s="51" t="e">
        <f>VLOOKUP(A66,Enforcements!$C$7:$E$10,3,0)</f>
        <v>#N/A</v>
      </c>
      <c r="AD66" s="179">
        <f t="shared" si="10"/>
        <v>154</v>
      </c>
      <c r="AE66" s="77" t="str">
        <f t="shared" si="11"/>
        <v>aws s3 cp s3://rtdc.mdm.uploadarchive.raw/RTDC4063/ "%USERPROFILE%\AppData\Local\Temp\OnboardLogs"\RTDC4063\2017-11-01 --exclude "*" --recursive --include "*20171101*" &amp; "%USERPROFILE%\Documents\GitHub\mrs-test-scripts\Headless Mode &amp; Sideloading\WalkAndUnGZ.bat" "%USERPROFILE%\AppData\Local\Temp\OnboardLogs"\RTDC4063\2017-11-01 &amp; aws s3 cp s3://rtdc.mdm.uploadarchive.raw/RTDC4063/ "%USERPROFILE%\AppData\Local\Temp\OnboardLogs"\RTDC4063\2017-11-02 --exclude "*" --recursive --include "*20171102*" &amp; "%USERPROFILE%\Documents\GitHub\mrs-test-scripts\Headless Mode &amp; Sideloading\WalkAndUnGZ.bat" "%USERPROFILE%\AppData\Local\Temp\OnboardLogs"\RTDC4063\2017-11-02</v>
      </c>
      <c r="AF66" s="74" t="str">
        <f t="shared" si="12"/>
        <v>"C:\Program Files (x86)\AstroGrep\AstroGrep.exe" /e /r /s /spath="%USERPROFILE%\AppData\Local\Temp\OnboardLogs" /stypes="app*4063*20171101*" /stext=" 17:.+((SYSTEM_STATE.+slice.+state.+changed )|(ment ac)|(multiple cpu faults)|(system.+state.+changed )|(\[timeout)|(PRM\|1\|D)|(kpr)|(kdp)|(train st.+moving)|(\|lc)|(penalty))"</v>
      </c>
      <c r="AG66" s="182" t="str">
        <f t="shared" si="13"/>
        <v>EC</v>
      </c>
      <c r="AH66" s="78" t="str">
        <f t="shared" si="19"/>
        <v>"%USERPROFILE%\Documents\GitHub\eaglep3\Utilities\RefineRTDCRunTimes.py" --tripid 154-01 --locoid 4063 --swversion DE.1.0.9.0 --startMP 204:232969 --initTime 2017-11-01T11:09:39 --startdatetime 2017-11-01T11:12:20 --delay 74 --endMP 204:158 --enddatetime 2017-11-01T11:50:06 --enforcementcount 0 &gt;&gt;%USERPROFILE%\Documents\GitHub\eaglep3-reporting\EC\2017-11-01-refined-times.txt</v>
      </c>
      <c r="AI66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{"issue":{"subject":"","project_id":79,"tracker_id":40,"status_id":1,"priority_id":2,"assigned_to_id":338,"start_date":"2017-11-01","description":"","custom_fields":[{"id":1,"name":"Subdivision","value":"EC"},{"id":4,"name":"Milepost","value":"0.0158"},{"id":17,"name":"Train ID","value":"154-01"},{"id":16,"name":"Locomotive ID","value":"4063"},{"id":130,"name":"Impact","value":""},{"id":150,"name":"Time of Event (Mountain Time)","value":"11:50:06"},{"id":151,"name":"Denver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0"/>
      <c r="AK66" s="47"/>
      <c r="AL66" s="47"/>
      <c r="AM66" s="142" t="str">
        <f t="shared" si="21"/>
        <v>start /low /b %USERPROFILE%\Documents\GitHub\eaglep3\Utilities\DownloadLogsFromS3.py --loco 4063 --day 2017-11-01</v>
      </c>
      <c r="AN66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17:50:06"},{"id":29,"name":"Sharepoint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23"/>
        <v>https://d0f6bd738d7f1b3e5a7ca70fe4ff75f0.us-east-1.aws.found.io/app/kibana#/discover/Steve-Slow-Train-Analysis-(2080s-and-2083s)?_g=(refreshInterval:(display:Off,pause:!f,section:0,value:0),time:(from:'2017-11-01T10:09:39-0600',mode:absolute,to:'2017-11-01T12:50:06-0600'))&amp;_a=(columns:!('Message%20ID',Summary),filters:!(),index:'emp_*',interval:auto,query:(query_string:(analyze_wildcard:!t,query:'%22rtdc.l.rtdc.4063%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731</v>
      </c>
      <c r="B67" s="7">
        <v>4044</v>
      </c>
      <c r="C67" s="21" t="s">
        <v>194</v>
      </c>
      <c r="D67" s="21" t="s">
        <v>561</v>
      </c>
      <c r="E67" s="13">
        <v>43040.434803240743</v>
      </c>
      <c r="F67" s="13">
        <v>43040.437662037039</v>
      </c>
      <c r="G67" s="7">
        <v>65</v>
      </c>
      <c r="H67" s="21" t="s">
        <v>875</v>
      </c>
      <c r="I67" s="13">
        <v>43040.463726851849</v>
      </c>
      <c r="J67" s="7">
        <v>0</v>
      </c>
      <c r="K67" s="89" t="str">
        <f t="shared" si="0"/>
        <v>4043/4044</v>
      </c>
      <c r="L67" s="185" t="str">
        <f>VLOOKUP(A67,'Trips&amp;Operators'!$C$1:$G$99911,5,FALSE)</f>
        <v>AUSTIN THOMPSON</v>
      </c>
      <c r="M67" s="6">
        <f t="shared" si="1"/>
        <v>2.6064814810524695E-2</v>
      </c>
      <c r="N67" s="7">
        <f t="shared" si="24"/>
        <v>37.53333332715556</v>
      </c>
      <c r="O67" s="7"/>
      <c r="P67" s="7"/>
      <c r="Q67" s="22"/>
      <c r="R67" s="174"/>
      <c r="S67" s="221">
        <f t="shared" si="3"/>
        <v>1</v>
      </c>
      <c r="T67" s="174" t="str">
        <f t="shared" si="4"/>
        <v>NorthBound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 t="shared" si="5"/>
        <v>https://d0f6bd738d7f1b3e5a7ca70fe4ff75f0.us-east-1.aws.found.io/app/kibana#/discover/Steve-Slow-Train-Analysis-(2080s-and-2083s)?_g=(refreshInterval:(display:Off,pause:!f,section:0,value:0),time:(from:'2017-11-01T09:26:07-0600',mode:absolute,to:'2017-11-01T12:07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7" s="204" t="str">
        <f>IF(AA67&lt;VLOOKUP(AG67,Variables!$AC$3:$AD$8,2,FALSE),"Y","N")</f>
        <v>N</v>
      </c>
      <c r="X67" s="204">
        <f t="shared" si="25"/>
        <v>1</v>
      </c>
      <c r="Y67" s="204">
        <f t="shared" si="26"/>
        <v>4.6199999999999998E-2</v>
      </c>
      <c r="Z67" s="204">
        <f t="shared" si="27"/>
        <v>23.328099999999999</v>
      </c>
      <c r="AA67" s="204">
        <f t="shared" si="9"/>
        <v>23.2819</v>
      </c>
      <c r="AB67" s="54" t="e">
        <f>VLOOKUP(A67,Enforcements!$C$7:$K$10,8,0)</f>
        <v>#N/A</v>
      </c>
      <c r="AC67" s="51" t="e">
        <f>VLOOKUP(A67,Enforcements!$C$7:$E$10,3,0)</f>
        <v>#N/A</v>
      </c>
      <c r="AD67" s="179">
        <f t="shared" si="10"/>
        <v>155</v>
      </c>
      <c r="AE67" s="77" t="str">
        <f t="shared" si="11"/>
        <v>aws s3 cp s3://rtdc.mdm.uploadarchive.raw/RTDC4044/ "%USERPROFILE%\AppData\Local\Temp\OnboardLogs"\RTDC4044\2017-11-01 --exclude "*" --recursive --include "*20171101*" &amp; "%USERPROFILE%\Documents\GitHub\mrs-test-scripts\Headless Mode &amp; Sideloading\WalkAndUnGZ.bat" "%USERPROFILE%\AppData\Local\Temp\OnboardLogs"\RTDC4044\2017-11-01 &amp; aws s3 cp s3://rtdc.mdm.uploadarchive.raw/RTDC4044/ "%USERPROFILE%\AppData\Local\Temp\OnboardLogs"\RTDC4044\2017-11-02 --exclude "*" --recursive --include "*20171102*" &amp; "%USERPROFILE%\Documents\GitHub\mrs-test-scripts\Headless Mode &amp; Sideloading\WalkAndUnGZ.bat" "%USERPROFILE%\AppData\Local\Temp\OnboardLogs"\RTDC4044\2017-11-02</v>
      </c>
      <c r="AF67" s="74" t="str">
        <f t="shared" si="12"/>
        <v>"C:\Program Files (x86)\AstroGrep\AstroGrep.exe" /e /r /s /spath="%USERPROFILE%\AppData\Local\Temp\OnboardLogs" /stypes="app*4044*20171101*" /stext=" 17:.+((SYSTEM_STATE.+slice.+state.+changed )|(ment ac)|(multiple cpu faults)|(system.+state.+changed )|(\[timeout)|(PRM\|1\|D)|(kpr)|(kdp)|(train st.+moving)|(\|lc)|(penalty))"</v>
      </c>
      <c r="AG67" s="182" t="str">
        <f t="shared" si="13"/>
        <v>EC</v>
      </c>
      <c r="AH67" s="78" t="str">
        <f t="shared" si="19"/>
        <v>"%USERPROFILE%\Documents\GitHub\eaglep3\Utilities\RefineRTDCRunTimes.py" --tripid 155-01 --locoid 4044 --swversion DE.1.0.9.0 --startMP 204:462 --initTime 2017-11-01T10:26:07 --startdatetime 2017-11-01T10:30:14 --delay 65 --endMP 204:233281 --enddatetime 2017-11-01T11:07:46 --enforcementcount 0 &gt;&gt;%USERPROFILE%\Documents\GitHub\eaglep3-reporting\EC\2017-11-01-refined-times.txt</v>
      </c>
      <c r="AI67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{"issue":{"subject":"","project_id":79,"tracker_id":40,"status_id":1,"priority_id":2,"assigned_to_id":338,"start_date":"2017-11-01","description":"","custom_fields":[{"id":1,"name":"Subdivision","value":"EC"},{"id":4,"name":"Milepost","value":"23.3281"},{"id":17,"name":"Train ID","value":"155-01"},{"id":16,"name":"Locomotive ID","value":"4044"},{"id":130,"name":"Impact","value":""},{"id":150,"name":"Time of Event (Mountain Time)","value":"11:07:46"},{"id":151,"name":"Denver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0"/>
      <c r="AK67" s="47"/>
      <c r="AL67" s="47"/>
      <c r="AM67" s="142" t="str">
        <f t="shared" si="21"/>
        <v>start /low /b %USERPROFILE%\Documents\GitHub\eaglep3\Utilities\DownloadLogsFromS3.py --loco 4044 --day 2017-11-01</v>
      </c>
      <c r="AN67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17:07:46"},{"id":29,"name":"Sharepoint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23"/>
        <v>https://d0f6bd738d7f1b3e5a7ca70fe4ff75f0.us-east-1.aws.found.io/app/kibana#/discover/Steve-Slow-Train-Analysis-(2080s-and-2083s)?_g=(refreshInterval:(display:Off,pause:!f,section:0,value:0),time:(from:'2017-11-01T09:26:07-0600',mode:absolute,to:'2017-11-01T12:07:46-0600'))&amp;_a=(columns:!('Message%20ID',Summary),filters:!(),index:'emp_*',interval:auto,query:(query_string:(analyze_wildcard:!t,query:'%22rtdc.l.rtdc.4044%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737</v>
      </c>
      <c r="B68" s="7">
        <v>4043</v>
      </c>
      <c r="C68" s="21" t="s">
        <v>194</v>
      </c>
      <c r="D68" s="21" t="s">
        <v>395</v>
      </c>
      <c r="E68" s="13">
        <v>43040.464895833335</v>
      </c>
      <c r="F68" s="13">
        <v>43040.47724537037</v>
      </c>
      <c r="G68" s="7">
        <v>50</v>
      </c>
      <c r="H68" s="21" t="s">
        <v>352</v>
      </c>
      <c r="I68" s="13">
        <v>43040.503229166665</v>
      </c>
      <c r="J68" s="7">
        <v>0</v>
      </c>
      <c r="K68" s="89" t="str">
        <f t="shared" si="0"/>
        <v>4043/4044</v>
      </c>
      <c r="L68" s="185" t="str">
        <f>VLOOKUP(A68,'Trips&amp;Operators'!$C$1:$G$99911,5,FALSE)</f>
        <v>AUSTIN THOMPSON</v>
      </c>
      <c r="M68" s="6">
        <f t="shared" si="1"/>
        <v>2.5983796294895001E-2</v>
      </c>
      <c r="N68" s="7">
        <f t="shared" si="24"/>
        <v>37.416666664648801</v>
      </c>
      <c r="O68" s="7"/>
      <c r="P68" s="7"/>
      <c r="Q68" s="22"/>
      <c r="R68" s="174"/>
      <c r="S68" s="221">
        <f t="shared" si="3"/>
        <v>1</v>
      </c>
      <c r="T68" s="174" t="str">
        <f t="shared" si="4"/>
        <v>Southbound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 t="shared" si="5"/>
        <v>https://d0f6bd738d7f1b3e5a7ca70fe4ff75f0.us-east-1.aws.found.io/app/kibana#/discover/Steve-Slow-Train-Analysis-(2080s-and-2083s)?_g=(refreshInterval:(display:Off,pause:!f,section:0,value:0),time:(from:'2017-11-01T10:09:27-0600',mode:absolute,to:'2017-11-01T13:04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8" s="204" t="str">
        <f>IF(AA68&lt;VLOOKUP(AG68,Variables!$AC$3:$AD$8,2,FALSE),"Y","N")</f>
        <v>N</v>
      </c>
      <c r="X68" s="204">
        <f t="shared" si="25"/>
        <v>1</v>
      </c>
      <c r="Y68" s="204">
        <f t="shared" si="26"/>
        <v>23.296800000000001</v>
      </c>
      <c r="Z68" s="204">
        <f t="shared" si="27"/>
        <v>1.5800000000000002E-2</v>
      </c>
      <c r="AA68" s="204">
        <f t="shared" si="9"/>
        <v>23.281000000000002</v>
      </c>
      <c r="AB68" s="54" t="e">
        <f>VLOOKUP(A68,Enforcements!$C$7:$K$10,8,0)</f>
        <v>#N/A</v>
      </c>
      <c r="AC68" s="51" t="e">
        <f>VLOOKUP(A68,Enforcements!$C$7:$E$10,3,0)</f>
        <v>#N/A</v>
      </c>
      <c r="AD68" s="179">
        <f t="shared" si="10"/>
        <v>156</v>
      </c>
      <c r="AE68" s="77" t="str">
        <f t="shared" si="11"/>
        <v>aws s3 cp s3://rtdc.mdm.uploadarchive.raw/RTDC4043/ "%USERPROFILE%\AppData\Local\Temp\OnboardLogs"\RTDC4043\2017-11-01 --exclude "*" --recursive --include "*20171101*" &amp; "%USERPROFILE%\Documents\GitHub\mrs-test-scripts\Headless Mode &amp; Sideloading\WalkAndUnGZ.bat" "%USERPROFILE%\AppData\Local\Temp\OnboardLogs"\RTDC4043\2017-11-01 &amp; aws s3 cp s3://rtdc.mdm.uploadarchive.raw/RTDC4043/ "%USERPROFILE%\AppData\Local\Temp\OnboardLogs"\RTDC4043\2017-11-02 --exclude "*" --recursive --include "*20171102*" &amp; "%USERPROFILE%\Documents\GitHub\mrs-test-scripts\Headless Mode &amp; Sideloading\WalkAndUnGZ.bat" "%USERPROFILE%\AppData\Local\Temp\OnboardLogs"\RTDC4043\2017-11-02</v>
      </c>
      <c r="AF68" s="74" t="str">
        <f t="shared" si="12"/>
        <v>"C:\Program Files (x86)\AstroGrep\AstroGrep.exe" /e /r /s /spath="%USERPROFILE%\AppData\Local\Temp\OnboardLogs" /stypes="app*4043*20171101*" /stext=" 18:.+((SYSTEM_STATE.+slice.+state.+changed )|(ment ac)|(multiple cpu faults)|(system.+state.+changed )|(\[timeout)|(PRM\|1\|D)|(kpr)|(kdp)|(train st.+moving)|(\|lc)|(penalty))"</v>
      </c>
      <c r="AG68" s="182" t="str">
        <f t="shared" si="13"/>
        <v>EC</v>
      </c>
      <c r="AH68" s="78" t="str">
        <f t="shared" si="19"/>
        <v>"%USERPROFILE%\Documents\GitHub\eaglep3\Utilities\RefineRTDCRunTimes.py" --tripid 156-01 --locoid 4043 --swversion DE.1.0.9.0 --startMP 204:232968 --initTime 2017-11-01T11:09:27 --startdatetime 2017-11-01T11:27:14 --delay 50 --endMP 204:158 --enddatetime 2017-11-01T12:04:39 --enforcementcount 0 &gt;&gt;%USERPROFILE%\Documents\GitHub\eaglep3-reporting\EC\2017-11-01-refined-times.txt</v>
      </c>
      <c r="AI68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{"issue":{"subject":"","project_id":79,"tracker_id":40,"status_id":1,"priority_id":2,"assigned_to_id":338,"start_date":"2017-11-01","description":"","custom_fields":[{"id":1,"name":"Subdivision","value":"EC"},{"id":4,"name":"Milepost","value":"0.0158"},{"id":17,"name":"Train ID","value":"156-01"},{"id":16,"name":"Locomotive ID","value":"4043"},{"id":130,"name":"Impact","value":""},{"id":150,"name":"Time of Event (Mountain Time)","value":"12:04:39"},{"id":151,"name":"Denver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0"/>
      <c r="AK68" s="47"/>
      <c r="AL68" s="47"/>
      <c r="AM68" s="142" t="str">
        <f t="shared" si="21"/>
        <v>start /low /b %USERPROFILE%\Documents\GitHub\eaglep3\Utilities\DownloadLogsFromS3.py --loco 4043 --day 2017-11-01</v>
      </c>
      <c r="AN68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18:04:39"},{"id":29,"name":"Sharepoint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23"/>
        <v>https://d0f6bd738d7f1b3e5a7ca70fe4ff75f0.us-east-1.aws.found.io/app/kibana#/discover/Steve-Slow-Train-Analysis-(2080s-and-2083s)?_g=(refreshInterval:(display:Off,pause:!f,section:0,value:0),time:(from:'2017-11-01T10:09:27-0600',mode:absolute,to:'2017-11-01T13:04:39-0600'))&amp;_a=(columns:!('Message%20ID',Summary),filters:!(),index:'emp_*',interval:auto,query:(query_string:(analyze_wildcard:!t,query:'%22rtdc.l.rtdc.4043%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734</v>
      </c>
      <c r="B69" s="7">
        <v>4014</v>
      </c>
      <c r="C69" s="21" t="s">
        <v>194</v>
      </c>
      <c r="D69" s="21" t="s">
        <v>439</v>
      </c>
      <c r="E69" s="13">
        <v>43040.4455787037</v>
      </c>
      <c r="F69" s="13">
        <v>43040.44835648148</v>
      </c>
      <c r="G69" s="7">
        <v>132</v>
      </c>
      <c r="H69" s="21" t="s">
        <v>907</v>
      </c>
      <c r="I69" s="13">
        <v>43040.473414351851</v>
      </c>
      <c r="J69" s="7">
        <v>0</v>
      </c>
      <c r="K69" s="89" t="str">
        <f t="shared" si="0"/>
        <v>4013/4014</v>
      </c>
      <c r="L69" s="185" t="str">
        <f>VLOOKUP(A69,'Trips&amp;Operators'!$C$1:$G$99911,5,FALSE)</f>
        <v>DAVIS MICHAEL</v>
      </c>
      <c r="M69" s="6">
        <f t="shared" si="1"/>
        <v>2.5057870370801538E-2</v>
      </c>
      <c r="N69" s="7">
        <f t="shared" si="24"/>
        <v>36.083333333954215</v>
      </c>
      <c r="O69" s="7"/>
      <c r="P69" s="7"/>
      <c r="Q69" s="22"/>
      <c r="R69" s="174"/>
      <c r="S69" s="221">
        <f t="shared" si="3"/>
        <v>1</v>
      </c>
      <c r="T69" s="174" t="str">
        <f t="shared" si="4"/>
        <v>NorthBound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 t="shared" si="5"/>
        <v>https://d0f6bd738d7f1b3e5a7ca70fe4ff75f0.us-east-1.aws.found.io/app/kibana#/discover/Steve-Slow-Train-Analysis-(2080s-and-2083s)?_g=(refreshInterval:(display:Off,pause:!f,section:0,value:0),time:(from:'2017-11-01T09:41:38-0600',mode:absolute,to:'2017-11-01T12:21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9" s="204" t="str">
        <f>IF(AA69&lt;VLOOKUP(AG69,Variables!$AC$3:$AD$8,2,FALSE),"Y","N")</f>
        <v>N</v>
      </c>
      <c r="X69" s="204">
        <f t="shared" si="25"/>
        <v>1</v>
      </c>
      <c r="Y69" s="204">
        <f t="shared" si="26"/>
        <v>4.6600000000000003E-2</v>
      </c>
      <c r="Z69" s="204">
        <f t="shared" si="27"/>
        <v>23.324300000000001</v>
      </c>
      <c r="AA69" s="204">
        <f t="shared" si="9"/>
        <v>23.277699999999999</v>
      </c>
      <c r="AB69" s="54" t="e">
        <f>VLOOKUP(A69,Enforcements!$C$7:$K$10,8,0)</f>
        <v>#N/A</v>
      </c>
      <c r="AC69" s="51" t="e">
        <f>VLOOKUP(A69,Enforcements!$C$7:$E$10,3,0)</f>
        <v>#N/A</v>
      </c>
      <c r="AD69" s="179">
        <f t="shared" si="10"/>
        <v>157</v>
      </c>
      <c r="AE69" s="77" t="str">
        <f t="shared" si="11"/>
        <v>aws s3 cp s3://rtdc.mdm.uploadarchive.raw/RTDC4014/ "%USERPROFILE%\AppData\Local\Temp\OnboardLogs"\RTDC4014\2017-11-01 --exclude "*" --recursive --include "*20171101*" &amp; "%USERPROFILE%\Documents\GitHub\mrs-test-scripts\Headless Mode &amp; Sideloading\WalkAndUnGZ.bat" "%USERPROFILE%\AppData\Local\Temp\OnboardLogs"\RTDC4014\2017-11-01 &amp; aws s3 cp s3://rtdc.mdm.uploadarchive.raw/RTDC4014/ "%USERPROFILE%\AppData\Local\Temp\OnboardLogs"\RTDC4014\2017-11-02 --exclude "*" --recursive --include "*20171102*" &amp; "%USERPROFILE%\Documents\GitHub\mrs-test-scripts\Headless Mode &amp; Sideloading\WalkAndUnGZ.bat" "%USERPROFILE%\AppData\Local\Temp\OnboardLogs"\RTDC4014\2017-11-02</v>
      </c>
      <c r="AF69" s="74" t="str">
        <f t="shared" si="12"/>
        <v>"C:\Program Files (x86)\AstroGrep\AstroGrep.exe" /e /r /s /spath="%USERPROFILE%\AppData\Local\Temp\OnboardLogs" /stypes="app*4014*20171101*" /stext=" 17:.+((SYSTEM_STATE.+slice.+state.+changed )|(ment ac)|(multiple cpu faults)|(system.+state.+changed )|(\[timeout)|(PRM\|1\|D)|(kpr)|(kdp)|(train st.+moving)|(\|lc)|(penalty))"</v>
      </c>
      <c r="AG69" s="182" t="str">
        <f t="shared" si="13"/>
        <v>EC</v>
      </c>
      <c r="AH69" s="78" t="str">
        <f t="shared" si="19"/>
        <v>"%USERPROFILE%\Documents\GitHub\eaglep3\Utilities\RefineRTDCRunTimes.py" --tripid 157-01 --locoid 4014 --swversion DE.1.0.9.0 --startMP 204:466 --initTime 2017-11-01T10:41:38 --startdatetime 2017-11-01T10:45:38 --delay 132 --endMP 204:233243 --enddatetime 2017-11-01T11:21:43 --enforcementcount 0 &gt;&gt;%USERPROFILE%\Documents\GitHub\eaglep3-reporting\EC\2017-11-01-refined-times.txt</v>
      </c>
      <c r="AI69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{"issue":{"subject":"","project_id":79,"tracker_id":40,"status_id":1,"priority_id":2,"assigned_to_id":338,"start_date":"2017-11-01","description":"","custom_fields":[{"id":1,"name":"Subdivision","value":"EC"},{"id":4,"name":"Milepost","value":"23.3243"},{"id":17,"name":"Train ID","value":"157-01"},{"id":16,"name":"Locomotive ID","value":"4014"},{"id":130,"name":"Impact","value":""},{"id":150,"name":"Time of Event (Mountain Time)","value":"11:21:43"},{"id":151,"name":"Denver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0"/>
      <c r="AK69" s="47"/>
      <c r="AL69" s="47"/>
      <c r="AM69" s="142" t="str">
        <f t="shared" si="21"/>
        <v>start /low /b %USERPROFILE%\Documents\GitHub\eaglep3\Utilities\DownloadLogsFromS3.py --loco 4014 --day 2017-11-01</v>
      </c>
      <c r="AN69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17:21:43"},{"id":29,"name":"Sharepoint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23"/>
        <v>https://d0f6bd738d7f1b3e5a7ca70fe4ff75f0.us-east-1.aws.found.io/app/kibana#/discover/Steve-Slow-Train-Analysis-(2080s-and-2083s)?_g=(refreshInterval:(display:Off,pause:!f,section:0,value:0),time:(from:'2017-11-01T09:41:38-0600',mode:absolute,to:'2017-11-01T12:21:43-0600'))&amp;_a=(columns:!('Message%20ID',Summary),filters:!(),index:'emp_*',interval:auto,query:(query_string:(analyze_wildcard:!t,query:'%22rtdc.l.rtdc.4014%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747</v>
      </c>
      <c r="B70" s="7">
        <v>4013</v>
      </c>
      <c r="C70" s="21" t="s">
        <v>194</v>
      </c>
      <c r="D70" s="21" t="s">
        <v>580</v>
      </c>
      <c r="E70" s="13">
        <v>43040.485798611109</v>
      </c>
      <c r="F70" s="13">
        <v>43040.487997685188</v>
      </c>
      <c r="G70" s="7">
        <v>82</v>
      </c>
      <c r="H70" s="21" t="s">
        <v>908</v>
      </c>
      <c r="I70" s="13">
        <v>43040.488483796296</v>
      </c>
      <c r="J70" s="7">
        <v>0</v>
      </c>
      <c r="K70" s="89" t="str">
        <f t="shared" si="0"/>
        <v>4013/4014</v>
      </c>
      <c r="L70" s="185" t="str">
        <f>VLOOKUP(A70,'Trips&amp;Operators'!$C$1:$G$99911,5,FALSE)</f>
        <v>DAVIS MICHAEL</v>
      </c>
      <c r="M70" s="6">
        <f t="shared" si="1"/>
        <v>4.8611110833007842E-4</v>
      </c>
      <c r="N70" s="7"/>
      <c r="O70" s="7"/>
      <c r="P70" s="7">
        <f>24*60*SUM($M70:$M70)</f>
        <v>0.69999999599531293</v>
      </c>
      <c r="Q70" s="22"/>
      <c r="R70" s="174" t="s">
        <v>364</v>
      </c>
      <c r="S70" s="221">
        <f t="shared" si="3"/>
        <v>0</v>
      </c>
      <c r="T70" s="174" t="str">
        <f t="shared" si="4"/>
        <v>Southbound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0</v>
      </c>
      <c r="V70" s="216" t="str">
        <f t="shared" si="5"/>
        <v>https://d0f6bd738d7f1b3e5a7ca70fe4ff75f0.us-east-1.aws.found.io/app/kibana#/discover/Steve-Slow-Train-Analysis-(2080s-and-2083s)?_g=(refreshInterval:(display:Off,pause:!f,section:0,value:0),time:(from:'2017-11-01T10:39:33-0600',mode:absolute,to:'2017-11-01T12:43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0" s="204" t="str">
        <f>IF(AA70&lt;VLOOKUP(AG70,Variables!$AC$3:$AD$8,2,FALSE),"Y","N")</f>
        <v>Y</v>
      </c>
      <c r="X70" s="204">
        <f t="shared" si="25"/>
        <v>1</v>
      </c>
      <c r="Y70" s="204">
        <f t="shared" si="26"/>
        <v>23.295200000000001</v>
      </c>
      <c r="Z70" s="204">
        <f t="shared" si="27"/>
        <v>23.175599999999999</v>
      </c>
      <c r="AA70" s="204">
        <f t="shared" si="9"/>
        <v>0.11960000000000193</v>
      </c>
      <c r="AB70" s="54" t="e">
        <f>VLOOKUP(A70,Enforcements!$C$7:$K$10,8,0)</f>
        <v>#N/A</v>
      </c>
      <c r="AC70" s="51" t="e">
        <f>VLOOKUP(A70,Enforcements!$C$7:$E$10,3,0)</f>
        <v>#N/A</v>
      </c>
      <c r="AD70" s="179">
        <f t="shared" si="10"/>
        <v>158</v>
      </c>
      <c r="AE70" s="77" t="str">
        <f t="shared" si="11"/>
        <v>aws s3 cp s3://rtdc.mdm.uploadarchive.raw/RTDC4013/ "%USERPROFILE%\AppData\Local\Temp\OnboardLogs"\RTDC4013\2017-11-01 --exclude "*" --recursive --include "*20171101*" &amp; "%USERPROFILE%\Documents\GitHub\mrs-test-scripts\Headless Mode &amp; Sideloading\WalkAndUnGZ.bat" "%USERPROFILE%\AppData\Local\Temp\OnboardLogs"\RTDC4013\2017-11-01 &amp; aws s3 cp s3://rtdc.mdm.uploadarchive.raw/RTDC4013/ "%USERPROFILE%\AppData\Local\Temp\OnboardLogs"\RTDC4013\2017-11-02 --exclude "*" --recursive --include "*20171102*" &amp; "%USERPROFILE%\Documents\GitHub\mrs-test-scripts\Headless Mode &amp; Sideloading\WalkAndUnGZ.bat" "%USERPROFILE%\AppData\Local\Temp\OnboardLogs"\RTDC4013\2017-11-02</v>
      </c>
      <c r="AF70" s="74" t="str">
        <f t="shared" si="12"/>
        <v>"C:\Program Files (x86)\AstroGrep\AstroGrep.exe" /e /r /s /spath="%USERPROFILE%\AppData\Local\Temp\OnboardLogs" /stypes="app*4013*20171101*" /stext=" 17:.+((SYSTEM_STATE.+slice.+state.+changed )|(ment ac)|(multiple cpu faults)|(system.+state.+changed )|(\[timeout)|(PRM\|1\|D)|(kpr)|(kdp)|(train st.+moving)|(\|lc)|(penalty))"</v>
      </c>
      <c r="AG70" s="182" t="str">
        <f t="shared" si="13"/>
        <v>EC</v>
      </c>
      <c r="AH70" s="78" t="str">
        <f t="shared" si="19"/>
        <v>"%USERPROFILE%\Documents\GitHub\eaglep3\Utilities\RefineRTDCRunTimes.py" --tripid 158-01 --locoid 4013 --swversion DE.1.0.9.0 --startMP 204:232952 --initTime 2017-11-01T11:39:33 --startdatetime 2017-11-01T11:42:43 --delay 82 --endMP 204:231756 --enddatetime 2017-11-01T11:43:25 --enforcementcount 0 &gt;&gt;%USERPROFILE%\Documents\GitHub\eaglep3-reporting\EC\2017-11-01-refined-times.txt</v>
      </c>
      <c r="AI70" s="96" t="str">
        <f t="shared" si="20"/>
        <v>echo {"issue":{"subject":"Wi-MAX data drop","project_id":79,"tracker_id":40,"status_id":1,"priority_id":2,"assigned_to_id":338,"start_date":"2017-11-01","description":"","custom_fields":[{"id":1,"name":"Subdivision","value":"EC"},{"id":4,"name":"Milepost","value":"23.1756"},{"id":17,"name":"Train ID","value":"158-01"},{"id":16,"name":"Locomotive ID","value":"4013"},{"id":130,"name":"Impact","value":""},{"id":150,"name":"Time of Event (Mountain Time)","value":"11:43:25"},{"id":151,"name":"Denver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0"/>
      <c r="AK70" s="47"/>
      <c r="AL70" s="47"/>
      <c r="AM70" s="142" t="str">
        <f t="shared" si="21"/>
        <v>start /low /b %USERPROFILE%\Documents\GitHub\eaglep3\Utilities\DownloadLogsFromS3.py --loco 4013 --day 2017-11-01</v>
      </c>
      <c r="AN70" s="151" t="str">
        <f t="shared" si="22"/>
        <v>echo {"issue":{"subject":"Wi-MAX data drop","project_id":30,"tracker_id":4,"status_id":1,"priority_id":1,"assigned_to_id":10,"start_date":"2017-11-01","description":"","custom_fields":[{"id":30,"name":"Category","value":"Issue"},{"id":3,"name":"Functional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17:43:25"},{"id":29,"name":"Sharepoint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23"/>
        <v>https://d0f6bd738d7f1b3e5a7ca70fe4ff75f0.us-east-1.aws.found.io/app/kibana#/discover/Steve-Slow-Train-Analysis-(2080s-and-2083s)?_g=(refreshInterval:(display:Off,pause:!f,section:0,value:0),time:(from:'2017-11-01T10:39:33-0600',mode:absolute,to:'2017-11-01T12:43:25-0600'))&amp;_a=(columns:!('Message%20ID',Summary),filters:!(),index:'emp_*',interval:auto,query:(query_string:(analyze_wildcard:!t,query:'%22rtdc.l.rtdc.4013%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735</v>
      </c>
      <c r="B71" s="7">
        <v>4042</v>
      </c>
      <c r="C71" s="21" t="s">
        <v>194</v>
      </c>
      <c r="D71" s="21" t="s">
        <v>347</v>
      </c>
      <c r="E71" s="13">
        <v>43040.452141203707</v>
      </c>
      <c r="F71" s="13">
        <v>43040.458506944444</v>
      </c>
      <c r="G71" s="7">
        <v>148</v>
      </c>
      <c r="H71" s="21" t="s">
        <v>909</v>
      </c>
      <c r="I71" s="13">
        <v>43040.483587962961</v>
      </c>
      <c r="J71" s="7">
        <v>0</v>
      </c>
      <c r="K71" s="89" t="str">
        <f t="shared" si="0"/>
        <v>4041/4042</v>
      </c>
      <c r="L71" s="185" t="str">
        <f>VLOOKUP(A71,'Trips&amp;Operators'!$C$1:$G$99911,5,FALSE)</f>
        <v>DELGADO DIANAH</v>
      </c>
      <c r="M71" s="6">
        <f t="shared" si="1"/>
        <v>2.5081018517084885E-2</v>
      </c>
      <c r="N71" s="7">
        <f t="shared" ref="N71:N82" si="28">24*60*SUM($M71:$M71)</f>
        <v>36.116666664602235</v>
      </c>
      <c r="O71" s="7"/>
      <c r="P71" s="7"/>
      <c r="Q71" s="22"/>
      <c r="R71" s="174"/>
      <c r="S71" s="221">
        <f t="shared" si="3"/>
        <v>1</v>
      </c>
      <c r="T71" s="174" t="str">
        <f t="shared" si="4"/>
        <v>NorthBound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 t="shared" si="5"/>
        <v>https://d0f6bd738d7f1b3e5a7ca70fe4ff75f0.us-east-1.aws.found.io/app/kibana#/discover/Steve-Slow-Train-Analysis-(2080s-and-2083s)?_g=(refreshInterval:(display:Off,pause:!f,section:0,value:0),time:(from:'2017-11-01T09:51:05-0600',mode:absolute,to:'2017-11-01T12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1" s="204" t="str">
        <f>IF(AA71&lt;VLOOKUP(AG71,Variables!$AC$3:$AD$8,2,FALSE),"Y","N")</f>
        <v>N</v>
      </c>
      <c r="X71" s="204">
        <f t="shared" si="25"/>
        <v>1</v>
      </c>
      <c r="Y71" s="204">
        <f t="shared" si="26"/>
        <v>4.58E-2</v>
      </c>
      <c r="Z71" s="204">
        <f t="shared" si="27"/>
        <v>23.3325</v>
      </c>
      <c r="AA71" s="204">
        <f t="shared" si="9"/>
        <v>23.2867</v>
      </c>
      <c r="AB71" s="54" t="e">
        <f>VLOOKUP(A71,Enforcements!$C$7:$K$10,8,0)</f>
        <v>#N/A</v>
      </c>
      <c r="AC71" s="51" t="e">
        <f>VLOOKUP(A71,Enforcements!$C$7:$E$10,3,0)</f>
        <v>#N/A</v>
      </c>
      <c r="AD71" s="179">
        <f t="shared" si="10"/>
        <v>159</v>
      </c>
      <c r="AE71" s="77" t="str">
        <f t="shared" si="11"/>
        <v>aws s3 cp s3://rtdc.mdm.uploadarchive.raw/RTDC4042/ "%USERPROFILE%\AppData\Local\Temp\OnboardLogs"\RTDC4042\2017-11-01 --exclude "*" --recursive --include "*20171101*" &amp; "%USERPROFILE%\Documents\GitHub\mrs-test-scripts\Headless Mode &amp; Sideloading\WalkAndUnGZ.bat" "%USERPROFILE%\AppData\Local\Temp\OnboardLogs"\RTDC4042\2017-11-01 &amp; aws s3 cp s3://rtdc.mdm.uploadarchive.raw/RTDC4042/ "%USERPROFILE%\AppData\Local\Temp\OnboardLogs"\RTDC4042\2017-11-02 --exclude "*" --recursive --include "*20171102*" &amp; "%USERPROFILE%\Documents\GitHub\mrs-test-scripts\Headless Mode &amp; Sideloading\WalkAndUnGZ.bat" "%USERPROFILE%\AppData\Local\Temp\OnboardLogs"\RTDC4042\2017-11-02</v>
      </c>
      <c r="AF71" s="74" t="str">
        <f t="shared" si="12"/>
        <v>"C:\Program Files (x86)\AstroGrep\AstroGrep.exe" /e /r /s /spath="%USERPROFILE%\AppData\Local\Temp\OnboardLogs" /stypes="app*4042*20171101*" /stext=" 17:.+((SYSTEM_STATE.+slice.+state.+changed )|(ment ac)|(multiple cpu faults)|(system.+state.+changed )|(\[timeout)|(PRM\|1\|D)|(kpr)|(kdp)|(train st.+moving)|(\|lc)|(penalty))"</v>
      </c>
      <c r="AG71" s="182" t="str">
        <f t="shared" si="13"/>
        <v>EC</v>
      </c>
      <c r="AH71" s="78" t="str">
        <f t="shared" si="19"/>
        <v>"%USERPROFILE%\Documents\GitHub\eaglep3\Utilities\RefineRTDCRunTimes.py" --tripid 159-01 --locoid 4042 --swversion DE.1.0.9.0 --startMP 204:458 --initTime 2017-11-01T10:51:05 --startdatetime 2017-11-01T11:00:15 --delay 148 --endMP 204:233325 --enddatetime 2017-11-01T11:36:22 --enforcementcount 0 &gt;&gt;%USERPROFILE%\Documents\GitHub\eaglep3-reporting\EC\2017-11-01-refined-times.txt</v>
      </c>
      <c r="AI71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{"issue":{"subject":"","project_id":79,"tracker_id":40,"status_id":1,"priority_id":2,"assigned_to_id":338,"start_date":"2017-11-01","description":"","custom_fields":[{"id":1,"name":"Subdivision","value":"EC"},{"id":4,"name":"Milepost","value":"23.3325"},{"id":17,"name":"Train ID","value":"159-01"},{"id":16,"name":"Locomotive ID","value":"4042"},{"id":130,"name":"Impact","value":""},{"id":150,"name":"Time of Event (Mountain Time)","value":"11:36:22"},{"id":151,"name":"Denver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0"/>
      <c r="AK71" s="47"/>
      <c r="AL71" s="47"/>
      <c r="AM71" s="142" t="str">
        <f t="shared" si="21"/>
        <v>start /low /b %USERPROFILE%\Documents\GitHub\eaglep3\Utilities\DownloadLogsFromS3.py --loco 4042 --day 2017-11-01</v>
      </c>
      <c r="AN71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17:36:22"},{"id":29,"name":"Sharepoint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23"/>
        <v>https://d0f6bd738d7f1b3e5a7ca70fe4ff75f0.us-east-1.aws.found.io/app/kibana#/discover/Steve-Slow-Train-Analysis-(2080s-and-2083s)?_g=(refreshInterval:(display:Off,pause:!f,section:0,value:0),time:(from:'2017-11-01T09:51:05-0600',mode:absolute,to:'2017-11-01T12:36:22-0600'))&amp;_a=(columns:!('Message%20ID',Summary),filters:!(),index:'emp_*',interval:auto,query:(query_string:(analyze_wildcard:!t,query:'%22rtdc.l.rtdc.4042%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748</v>
      </c>
      <c r="B72" s="7">
        <v>4041</v>
      </c>
      <c r="C72" s="21" t="s">
        <v>194</v>
      </c>
      <c r="D72" s="21" t="s">
        <v>562</v>
      </c>
      <c r="E72" s="13">
        <v>43040.486111111109</v>
      </c>
      <c r="F72" s="13">
        <v>43040.498078703706</v>
      </c>
      <c r="G72" s="7">
        <v>55</v>
      </c>
      <c r="H72" s="21" t="s">
        <v>442</v>
      </c>
      <c r="I72" s="13">
        <v>43040.52679398148</v>
      </c>
      <c r="J72" s="7">
        <v>0</v>
      </c>
      <c r="K72" s="89" t="str">
        <f t="shared" si="0"/>
        <v>4041/4042</v>
      </c>
      <c r="L72" s="185" t="str">
        <f>VLOOKUP(A72,'Trips&amp;Operators'!$C$1:$G$99911,5,FALSE)</f>
        <v>DELGADO DIANAH</v>
      </c>
      <c r="M72" s="6">
        <f t="shared" si="1"/>
        <v>2.8715277774608694E-2</v>
      </c>
      <c r="N72" s="7">
        <f t="shared" si="28"/>
        <v>41.349999995436519</v>
      </c>
      <c r="O72" s="7"/>
      <c r="P72" s="7"/>
      <c r="Q72" s="22"/>
      <c r="R72" s="174"/>
      <c r="S72" s="221">
        <f t="shared" si="3"/>
        <v>1</v>
      </c>
      <c r="T72" s="174" t="str">
        <f t="shared" si="4"/>
        <v>Southbound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 t="shared" si="5"/>
        <v>https://d0f6bd738d7f1b3e5a7ca70fe4ff75f0.us-east-1.aws.found.io/app/kibana#/discover/Steve-Slow-Train-Analysis-(2080s-and-2083s)?_g=(refreshInterval:(display:Off,pause:!f,section:0,value:0),time:(from:'2017-11-01T10:40:00-0600',mode:absolute,to:'2017-11-01T13:38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2" s="204" t="str">
        <f>IF(AA72&lt;VLOOKUP(AG72,Variables!$AC$3:$AD$8,2,FALSE),"Y","N")</f>
        <v>N</v>
      </c>
      <c r="X72" s="204">
        <f t="shared" si="25"/>
        <v>1</v>
      </c>
      <c r="Y72" s="204">
        <f t="shared" si="26"/>
        <v>23.297599999999999</v>
      </c>
      <c r="Z72" s="204">
        <f t="shared" si="27"/>
        <v>2.01E-2</v>
      </c>
      <c r="AA72" s="204">
        <f t="shared" si="9"/>
        <v>23.2775</v>
      </c>
      <c r="AB72" s="54" t="e">
        <f>VLOOKUP(A72,Enforcements!$C$7:$K$10,8,0)</f>
        <v>#N/A</v>
      </c>
      <c r="AC72" s="51" t="e">
        <f>VLOOKUP(A72,Enforcements!$C$7:$E$10,3,0)</f>
        <v>#N/A</v>
      </c>
      <c r="AD72" s="179">
        <f t="shared" si="10"/>
        <v>160</v>
      </c>
      <c r="AE72" s="77" t="str">
        <f t="shared" si="11"/>
        <v>aws s3 cp s3://rtdc.mdm.uploadarchive.raw/RTDC4041/ "%USERPROFILE%\AppData\Local\Temp\OnboardLogs"\RTDC4041\2017-11-01 --exclude "*" --recursive --include "*20171101*" &amp; "%USERPROFILE%\Documents\GitHub\mrs-test-scripts\Headless Mode &amp; Sideloading\WalkAndUnGZ.bat" "%USERPROFILE%\AppData\Local\Temp\OnboardLogs"\RTDC4041\2017-11-01 &amp; aws s3 cp s3://rtdc.mdm.uploadarchive.raw/RTDC4041/ "%USERPROFILE%\AppData\Local\Temp\OnboardLogs"\RTDC4041\2017-11-02 --exclude "*" --recursive --include "*20171102*" &amp; "%USERPROFILE%\Documents\GitHub\mrs-test-scripts\Headless Mode &amp; Sideloading\WalkAndUnGZ.bat" "%USERPROFILE%\AppData\Local\Temp\OnboardLogs"\RTDC4041\2017-11-02</v>
      </c>
      <c r="AF72" s="74" t="str">
        <f t="shared" si="12"/>
        <v>"C:\Program Files (x86)\AstroGrep\AstroGrep.exe" /e /r /s /spath="%USERPROFILE%\AppData\Local\Temp\OnboardLogs" /stypes="app*4041*20171101*" /stext=" 18:.+((SYSTEM_STATE.+slice.+state.+changed )|(ment ac)|(multiple cpu faults)|(system.+state.+changed )|(\[timeout)|(PRM\|1\|D)|(kpr)|(kdp)|(train st.+moving)|(\|lc)|(penalty))"</v>
      </c>
      <c r="AG72" s="182" t="str">
        <f t="shared" si="13"/>
        <v>EC</v>
      </c>
      <c r="AH72" s="78" t="str">
        <f t="shared" si="19"/>
        <v>"%USERPROFILE%\Documents\GitHub\eaglep3\Utilities\RefineRTDCRunTimes.py" --tripid 160-01 --locoid 4041 --swversion DE.1.0.9.0 --startMP 204:232976 --initTime 2017-11-01T11:40:00 --startdatetime 2017-11-01T11:57:14 --delay 55 --endMP 204:201 --enddatetime 2017-11-01T12:38:35 --enforcementcount 0 &gt;&gt;%USERPROFILE%\Documents\GitHub\eaglep3-reporting\EC\2017-11-01-refined-times.txt</v>
      </c>
      <c r="AI72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{"issue":{"subject":"","project_id":79,"tracker_id":40,"status_id":1,"priority_id":2,"assigned_to_id":338,"start_date":"2017-11-01","description":"","custom_fields":[{"id":1,"name":"Subdivision","value":"EC"},{"id":4,"name":"Milepost","value":"0.0201"},{"id":17,"name":"Train ID","value":"160-01"},{"id":16,"name":"Locomotive ID","value":"4041"},{"id":130,"name":"Impact","value":""},{"id":150,"name":"Time of Event (Mountain Time)","value":"12:38:35"},{"id":151,"name":"Denver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0"/>
      <c r="AK72" s="47"/>
      <c r="AL72" s="47"/>
      <c r="AM72" s="142" t="str">
        <f t="shared" si="21"/>
        <v>start /low /b %USERPROFILE%\Documents\GitHub\eaglep3\Utilities\DownloadLogsFromS3.py --loco 4041 --day 2017-11-01</v>
      </c>
      <c r="AN72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18:38:35"},{"id":29,"name":"Sharepoint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23"/>
        <v>https://d0f6bd738d7f1b3e5a7ca70fe4ff75f0.us-east-1.aws.found.io/app/kibana#/discover/Steve-Slow-Train-Analysis-(2080s-and-2083s)?_g=(refreshInterval:(display:Off,pause:!f,section:0,value:0),time:(from:'2017-11-01T10:40:00-0600',mode:absolute,to:'2017-11-01T13:38:35-0600'))&amp;_a=(columns:!('Message%20ID',Summary),filters:!(),index:'emp_*',interval:auto,query:(query_string:(analyze_wildcard:!t,query:'%22rtdc.l.rtdc.4041%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739</v>
      </c>
      <c r="B73" s="7">
        <v>4050</v>
      </c>
      <c r="C73" s="21" t="s">
        <v>194</v>
      </c>
      <c r="D73" s="21" t="s">
        <v>419</v>
      </c>
      <c r="E73" s="13">
        <v>43040.465694444443</v>
      </c>
      <c r="F73" s="13">
        <v>43040.468923611108</v>
      </c>
      <c r="G73" s="7">
        <v>89</v>
      </c>
      <c r="H73" s="21" t="s">
        <v>910</v>
      </c>
      <c r="I73" s="13">
        <v>43040.493287037039</v>
      </c>
      <c r="J73" s="7">
        <v>0</v>
      </c>
      <c r="K73" s="89" t="str">
        <f t="shared" si="0"/>
        <v>4049/4050</v>
      </c>
      <c r="L73" s="185" t="str">
        <f>VLOOKUP(A73,'Trips&amp;Operators'!$C$1:$G$99911,5,FALSE)</f>
        <v>BRUDER RICHARD</v>
      </c>
      <c r="M73" s="6">
        <f t="shared" si="1"/>
        <v>2.436342593136942E-2</v>
      </c>
      <c r="N73" s="7">
        <f t="shared" si="28"/>
        <v>35.083333341171965</v>
      </c>
      <c r="O73" s="7"/>
      <c r="P73" s="7"/>
      <c r="Q73" s="22"/>
      <c r="R73" s="174"/>
      <c r="S73" s="221">
        <f t="shared" si="3"/>
        <v>1</v>
      </c>
      <c r="T73" s="174" t="str">
        <f t="shared" si="4"/>
        <v>NorthBound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 t="shared" si="5"/>
        <v>https://d0f6bd738d7f1b3e5a7ca70fe4ff75f0.us-east-1.aws.found.io/app/kibana#/discover/Steve-Slow-Train-Analysis-(2080s-and-2083s)?_g=(refreshInterval:(display:Off,pause:!f,section:0,value:0),time:(from:'2017-11-01T10:10:36-0600',mode:absolute,to:'2017-11-01T12:50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73" s="204" t="str">
        <f>IF(AA73&lt;VLOOKUP(AG73,Variables!$AC$3:$AD$8,2,FALSE),"Y","N")</f>
        <v>N</v>
      </c>
      <c r="X73" s="204">
        <f t="shared" si="25"/>
        <v>1</v>
      </c>
      <c r="Y73" s="204">
        <f t="shared" si="26"/>
        <v>4.5499999999999999E-2</v>
      </c>
      <c r="Z73" s="204">
        <f t="shared" si="27"/>
        <v>23.320499999999999</v>
      </c>
      <c r="AA73" s="204">
        <f t="shared" si="9"/>
        <v>23.274999999999999</v>
      </c>
      <c r="AB73" s="54" t="e">
        <f>VLOOKUP(A73,Enforcements!$C$7:$K$10,8,0)</f>
        <v>#N/A</v>
      </c>
      <c r="AC73" s="51" t="e">
        <f>VLOOKUP(A73,Enforcements!$C$7:$E$10,3,0)</f>
        <v>#N/A</v>
      </c>
      <c r="AD73" s="179">
        <f t="shared" si="10"/>
        <v>161</v>
      </c>
      <c r="AE73" s="77" t="str">
        <f t="shared" si="11"/>
        <v>aws s3 cp s3://rtdc.mdm.uploadarchive.raw/RTDC4050/ "%USERPROFILE%\AppData\Local\Temp\OnboardLogs"\RTDC4050\2017-11-01 --exclude "*" --recursive --include "*20171101*" &amp; "%USERPROFILE%\Documents\GitHub\mrs-test-scripts\Headless Mode &amp; Sideloading\WalkAndUnGZ.bat" "%USERPROFILE%\AppData\Local\Temp\OnboardLogs"\RTDC4050\2017-11-01 &amp; aws s3 cp s3://rtdc.mdm.uploadarchive.raw/RTDC4050/ "%USERPROFILE%\AppData\Local\Temp\OnboardLogs"\RTDC4050\2017-11-02 --exclude "*" --recursive --include "*20171102*" &amp; "%USERPROFILE%\Documents\GitHub\mrs-test-scripts\Headless Mode &amp; Sideloading\WalkAndUnGZ.bat" "%USERPROFILE%\AppData\Local\Temp\OnboardLogs"\RTDC4050\2017-11-02</v>
      </c>
      <c r="AF73" s="74" t="str">
        <f t="shared" si="12"/>
        <v>"C:\Program Files (x86)\AstroGrep\AstroGrep.exe" /e /r /s /spath="%USERPROFILE%\AppData\Local\Temp\OnboardLogs" /stypes="app*4050*20171101*" /stext=" 17:.+((SYSTEM_STATE.+slice.+state.+changed )|(ment ac)|(multiple cpu faults)|(system.+state.+changed )|(\[timeout)|(PRM\|1\|D)|(kpr)|(kdp)|(train st.+moving)|(\|lc)|(penalty))"</v>
      </c>
      <c r="AG73" s="182" t="str">
        <f t="shared" si="13"/>
        <v>EC</v>
      </c>
      <c r="AH73" s="78" t="str">
        <f t="shared" si="19"/>
        <v>"%USERPROFILE%\Documents\GitHub\eaglep3\Utilities\RefineRTDCRunTimes.py" --tripid 161-01 --locoid 4050 --swversion DE.1.0.9.0 --startMP 204:455 --initTime 2017-11-01T11:10:36 --startdatetime 2017-11-01T11:15:15 --delay 89 --endMP 204:233205 --enddatetime 2017-11-01T11:50:20 --enforcementcount 0 &gt;&gt;%USERPROFILE%\Documents\GitHub\eaglep3-reporting\EC\2017-11-01-refined-times.txt</v>
      </c>
      <c r="AI73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{"issue":{"subject":"","project_id":79,"tracker_id":40,"status_id":1,"priority_id":2,"assigned_to_id":338,"start_date":"2017-11-01","description":"","custom_fields":[{"id":1,"name":"Subdivision","value":"EC"},{"id":4,"name":"Milepost","value":"23.3205"},{"id":17,"name":"Train ID","value":"161-01"},{"id":16,"name":"Locomotive ID","value":"4050"},{"id":130,"name":"Impact","value":""},{"id":150,"name":"Time of Event (Mountain Time)","value":"11:50:20"},{"id":151,"name":"Denver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0"/>
      <c r="AK73" s="47"/>
      <c r="AL73" s="47"/>
      <c r="AM73" s="142" t="str">
        <f t="shared" si="21"/>
        <v>start /low /b %USERPROFILE%\Documents\GitHub\eaglep3\Utilities\DownloadLogsFromS3.py --loco 4050 --day 2017-11-01</v>
      </c>
      <c r="AN73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17:50:20"},{"id":29,"name":"Sharepoint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23"/>
        <v>https://d0f6bd738d7f1b3e5a7ca70fe4ff75f0.us-east-1.aws.found.io/app/kibana#/discover/Steve-Slow-Train-Analysis-(2080s-and-2083s)?_g=(refreshInterval:(display:Off,pause:!f,section:0,value:0),time:(from:'2017-11-01T10:10:36-0600',mode:absolute,to:'2017-11-01T12:50:20-0600'))&amp;_a=(columns:!('Message%20ID',Summary),filters:!(),index:'emp_*',interval:auto,query:(query_string:(analyze_wildcard:!t,query:'%22rtdc.l.rtdc.4050%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754</v>
      </c>
      <c r="B74" s="7">
        <v>4049</v>
      </c>
      <c r="C74" s="21" t="s">
        <v>194</v>
      </c>
      <c r="D74" s="21" t="s">
        <v>911</v>
      </c>
      <c r="E74" s="13">
        <v>43040.504340277781</v>
      </c>
      <c r="F74" s="13">
        <v>43040.508576388886</v>
      </c>
      <c r="G74" s="7">
        <v>138</v>
      </c>
      <c r="H74" s="21" t="s">
        <v>585</v>
      </c>
      <c r="I74" s="13">
        <v>43040.534641203703</v>
      </c>
      <c r="J74" s="7">
        <v>0</v>
      </c>
      <c r="K74" s="89" t="str">
        <f t="shared" si="0"/>
        <v>4049/4050</v>
      </c>
      <c r="L74" s="185" t="str">
        <f>VLOOKUP(A74,'Trips&amp;Operators'!$C$1:$G$99911,5,FALSE)</f>
        <v>BRUDER RICHARD</v>
      </c>
      <c r="M74" s="6">
        <f t="shared" si="1"/>
        <v>2.6064814817800652E-2</v>
      </c>
      <c r="N74" s="7">
        <f t="shared" si="28"/>
        <v>37.533333337632939</v>
      </c>
      <c r="O74" s="7"/>
      <c r="P74" s="7"/>
      <c r="Q74" s="22"/>
      <c r="R74" s="174"/>
      <c r="S74" s="221">
        <f t="shared" si="3"/>
        <v>1</v>
      </c>
      <c r="T74" s="174" t="str">
        <f t="shared" si="4"/>
        <v>Southbound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 t="shared" si="5"/>
        <v>https://d0f6bd738d7f1b3e5a7ca70fe4ff75f0.us-east-1.aws.found.io/app/kibana#/discover/Steve-Slow-Train-Analysis-(2080s-and-2083s)?_g=(refreshInterval:(display:Off,pause:!f,section:0,value:0),time:(from:'2017-11-01T11:06:15-0600',mode:absolute,to:'2017-11-01T13:49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74" s="204" t="str">
        <f>IF(AA74&lt;VLOOKUP(AG74,Variables!$AC$3:$AD$8,2,FALSE),"Y","N")</f>
        <v>N</v>
      </c>
      <c r="X74" s="204">
        <f t="shared" si="25"/>
        <v>1</v>
      </c>
      <c r="Y74" s="204">
        <f t="shared" si="26"/>
        <v>23.287700000000001</v>
      </c>
      <c r="Z74" s="204">
        <f t="shared" si="27"/>
        <v>2.3400000000000001E-2</v>
      </c>
      <c r="AA74" s="204">
        <f t="shared" si="9"/>
        <v>23.264300000000002</v>
      </c>
      <c r="AB74" s="54" t="e">
        <f>VLOOKUP(A74,Enforcements!$C$7:$K$10,8,0)</f>
        <v>#N/A</v>
      </c>
      <c r="AC74" s="51" t="e">
        <f>VLOOKUP(A74,Enforcements!$C$7:$E$10,3,0)</f>
        <v>#N/A</v>
      </c>
      <c r="AD74" s="179">
        <f t="shared" si="10"/>
        <v>162</v>
      </c>
      <c r="AE74" s="77" t="str">
        <f t="shared" si="11"/>
        <v>aws s3 cp s3://rtdc.mdm.uploadarchive.raw/RTDC4049/ "%USERPROFILE%\AppData\Local\Temp\OnboardLogs"\RTDC4049\2017-11-01 --exclude "*" --recursive --include "*20171101*" &amp; "%USERPROFILE%\Documents\GitHub\mrs-test-scripts\Headless Mode &amp; Sideloading\WalkAndUnGZ.bat" "%USERPROFILE%\AppData\Local\Temp\OnboardLogs"\RTDC4049\2017-11-01 &amp; aws s3 cp s3://rtdc.mdm.uploadarchive.raw/RTDC4049/ "%USERPROFILE%\AppData\Local\Temp\OnboardLogs"\RTDC4049\2017-11-02 --exclude "*" --recursive --include "*20171102*" &amp; "%USERPROFILE%\Documents\GitHub\mrs-test-scripts\Headless Mode &amp; Sideloading\WalkAndUnGZ.bat" "%USERPROFILE%\AppData\Local\Temp\OnboardLogs"\RTDC4049\2017-11-02</v>
      </c>
      <c r="AF74" s="74" t="str">
        <f t="shared" si="12"/>
        <v>"C:\Program Files (x86)\AstroGrep\AstroGrep.exe" /e /r /s /spath="%USERPROFILE%\AppData\Local\Temp\OnboardLogs" /stypes="app*4049*20171101*" /stext=" 18:.+((SYSTEM_STATE.+slice.+state.+changed )|(ment ac)|(multiple cpu faults)|(system.+state.+changed )|(\[timeout)|(PRM\|1\|D)|(kpr)|(kdp)|(train st.+moving)|(\|lc)|(penalty))"</v>
      </c>
      <c r="AG74" s="182" t="str">
        <f t="shared" si="13"/>
        <v>EC</v>
      </c>
      <c r="AH74" s="78" t="str">
        <f t="shared" si="19"/>
        <v>"%USERPROFILE%\Documents\GitHub\eaglep3\Utilities\RefineRTDCRunTimes.py" --tripid 162-01 --locoid 4049 --swversion DE.1.0.9.0 --startMP 204:232877 --initTime 2017-11-01T12:06:15 --startdatetime 2017-11-01T12:12:21 --delay 138 --endMP 204:234 --enddatetime 2017-11-01T12:49:53 --enforcementcount 0 &gt;&gt;%USERPROFILE%\Documents\GitHub\eaglep3-reporting\EC\2017-11-01-refined-times.txt</v>
      </c>
      <c r="AI74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{"issue":{"subject":"","project_id":79,"tracker_id":40,"status_id":1,"priority_id":2,"assigned_to_id":338,"start_date":"2017-11-01","description":"","custom_fields":[{"id":1,"name":"Subdivision","value":"EC"},{"id":4,"name":"Milepost","value":"0.0234"},{"id":17,"name":"Train ID","value":"162-01"},{"id":16,"name":"Locomotive ID","value":"4049"},{"id":130,"name":"Impact","value":""},{"id":150,"name":"Time of Event (Mountain Time)","value":"12:49:53"},{"id":151,"name":"Denver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0"/>
      <c r="AK74" s="47"/>
      <c r="AL74" s="47"/>
      <c r="AM74" s="142" t="str">
        <f t="shared" si="21"/>
        <v>start /low /b %USERPROFILE%\Documents\GitHub\eaglep3\Utilities\DownloadLogsFromS3.py --loco 4049 --day 2017-11-01</v>
      </c>
      <c r="AN74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18:49:53"},{"id":29,"name":"Sharepoint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23"/>
        <v>https://d0f6bd738d7f1b3e5a7ca70fe4ff75f0.us-east-1.aws.found.io/app/kibana#/discover/Steve-Slow-Train-Analysis-(2080s-and-2083s)?_g=(refreshInterval:(display:Off,pause:!f,section:0,value:0),time:(from:'2017-11-01T11:06:15-0600',mode:absolute,to:'2017-11-01T13:49:53-0600'))&amp;_a=(columns:!('Message%20ID',Summary),filters:!(),index:'emp_*',interval:auto,query:(query_string:(analyze_wildcard:!t,query:'%22rtdc.l.rtdc.4049%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740</v>
      </c>
      <c r="B75" s="7">
        <v>4026</v>
      </c>
      <c r="C75" s="21" t="s">
        <v>194</v>
      </c>
      <c r="D75" s="21" t="s">
        <v>347</v>
      </c>
      <c r="E75" s="13">
        <v>43040.475335648145</v>
      </c>
      <c r="F75" s="13">
        <v>43040.479513888888</v>
      </c>
      <c r="G75" s="7">
        <v>67</v>
      </c>
      <c r="H75" s="21" t="s">
        <v>447</v>
      </c>
      <c r="I75" s="13">
        <v>43040.504641203705</v>
      </c>
      <c r="J75" s="7">
        <v>0</v>
      </c>
      <c r="K75" s="89" t="str">
        <f t="shared" si="0"/>
        <v>4025/4026</v>
      </c>
      <c r="L75" s="185" t="str">
        <f>VLOOKUP(A75,'Trips&amp;Operators'!$C$1:$G$99911,5,FALSE)</f>
        <v>STEWART MICHAEL</v>
      </c>
      <c r="M75" s="6">
        <f t="shared" si="1"/>
        <v>2.5127314816927537E-2</v>
      </c>
      <c r="N75" s="7">
        <f t="shared" si="28"/>
        <v>36.183333336375654</v>
      </c>
      <c r="O75" s="7"/>
      <c r="P75" s="7"/>
      <c r="Q75" s="22"/>
      <c r="R75" s="174"/>
      <c r="S75" s="221">
        <f t="shared" si="3"/>
        <v>1</v>
      </c>
      <c r="T75" s="174" t="str">
        <f t="shared" si="4"/>
        <v>NorthBound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 t="shared" si="5"/>
        <v>https://d0f6bd738d7f1b3e5a7ca70fe4ff75f0.us-east-1.aws.found.io/app/kibana#/discover/Steve-Slow-Train-Analysis-(2080s-and-2083s)?_g=(refreshInterval:(display:Off,pause:!f,section:0,value:0),time:(from:'2017-11-01T10:24:29-0600',mode:absolute,to:'2017-11-01T13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5" s="204" t="str">
        <f>IF(AA75&lt;VLOOKUP(AG75,Variables!$AC$3:$AD$8,2,FALSE),"Y","N")</f>
        <v>N</v>
      </c>
      <c r="X75" s="204">
        <f t="shared" si="25"/>
        <v>1</v>
      </c>
      <c r="Y75" s="204">
        <f t="shared" si="26"/>
        <v>4.58E-2</v>
      </c>
      <c r="Z75" s="204">
        <f t="shared" si="27"/>
        <v>23.319299999999998</v>
      </c>
      <c r="AA75" s="204">
        <f t="shared" si="9"/>
        <v>23.273499999999999</v>
      </c>
      <c r="AB75" s="54" t="e">
        <f>VLOOKUP(A75,Enforcements!$C$7:$K$10,8,0)</f>
        <v>#N/A</v>
      </c>
      <c r="AC75" s="51" t="e">
        <f>VLOOKUP(A75,Enforcements!$C$7:$E$10,3,0)</f>
        <v>#N/A</v>
      </c>
      <c r="AD75" s="179">
        <f t="shared" si="10"/>
        <v>163</v>
      </c>
      <c r="AE75" s="77" t="str">
        <f t="shared" si="11"/>
        <v>aws s3 cp s3://rtdc.mdm.uploadarchive.raw/RTDC4026/ "%USERPROFILE%\AppData\Local\Temp\OnboardLogs"\RTDC4026\2017-11-01 --exclude "*" --recursive --include "*20171101*" &amp; "%USERPROFILE%\Documents\GitHub\mrs-test-scripts\Headless Mode &amp; Sideloading\WalkAndUnGZ.bat" "%USERPROFILE%\AppData\Local\Temp\OnboardLogs"\RTDC4026\2017-11-01 &amp; aws s3 cp s3://rtdc.mdm.uploadarchive.raw/RTDC4026/ "%USERPROFILE%\AppData\Local\Temp\OnboardLogs"\RTDC4026\2017-11-02 --exclude "*" --recursive --include "*20171102*" &amp; "%USERPROFILE%\Documents\GitHub\mrs-test-scripts\Headless Mode &amp; Sideloading\WalkAndUnGZ.bat" "%USERPROFILE%\AppData\Local\Temp\OnboardLogs"\RTDC4026\2017-11-02</v>
      </c>
      <c r="AF75" s="74" t="str">
        <f t="shared" si="12"/>
        <v>"C:\Program Files (x86)\AstroGrep\AstroGrep.exe" /e /r /s /spath="%USERPROFILE%\AppData\Local\Temp\OnboardLogs" /stypes="app*4026*20171101*" /stext=" 18:.+((SYSTEM_STATE.+slice.+state.+changed )|(ment ac)|(multiple cpu faults)|(system.+state.+changed )|(\[timeout)|(PRM\|1\|D)|(kpr)|(kdp)|(train st.+moving)|(\|lc)|(penalty))"</v>
      </c>
      <c r="AG75" s="182" t="str">
        <f t="shared" si="13"/>
        <v>EC</v>
      </c>
      <c r="AH75" s="78" t="str">
        <f t="shared" si="19"/>
        <v>"%USERPROFILE%\Documents\GitHub\eaglep3\Utilities\RefineRTDCRunTimes.py" --tripid 163-01 --locoid 4026 --swversion DE.1.0.9.0 --startMP 204:458 --initTime 2017-11-01T11:24:29 --startdatetime 2017-11-01T11:30:30 --delay 67 --endMP 204:233193 --enddatetime 2017-11-01T12:06:41 --enforcementcount 0 &gt;&gt;%USERPROFILE%\Documents\GitHub\eaglep3-reporting\EC\2017-11-01-refined-times.txt</v>
      </c>
      <c r="AI75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{"issue":{"subject":"","project_id":79,"tracker_id":40,"status_id":1,"priority_id":2,"assigned_to_id":338,"start_date":"2017-11-01","description":"","custom_fields":[{"id":1,"name":"Subdivision","value":"EC"},{"id":4,"name":"Milepost","value":"23.3193"},{"id":17,"name":"Train ID","value":"163-01"},{"id":16,"name":"Locomotive ID","value":"4026"},{"id":130,"name":"Impact","value":""},{"id":150,"name":"Time of Event (Mountain Time)","value":"12:06:41"},{"id":151,"name":"Denver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0"/>
      <c r="AK75" s="47"/>
      <c r="AL75" s="47"/>
      <c r="AM75" s="142" t="str">
        <f t="shared" si="21"/>
        <v>start /low /b %USERPROFILE%\Documents\GitHub\eaglep3\Utilities\DownloadLogsFromS3.py --loco 4026 --day 2017-11-01</v>
      </c>
      <c r="AN75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18:06:41"},{"id":29,"name":"Sharepoint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23"/>
        <v>https://d0f6bd738d7f1b3e5a7ca70fe4ff75f0.us-east-1.aws.found.io/app/kibana#/discover/Steve-Slow-Train-Analysis-(2080s-and-2083s)?_g=(refreshInterval:(display:Off,pause:!f,section:0,value:0),time:(from:'2017-11-01T10:24:29-0600',mode:absolute,to:'2017-11-01T13:06:41-0600'))&amp;_a=(columns:!('Message%20ID',Summary),filters:!(),index:'emp_*',interval:auto,query:(query_string:(analyze_wildcard:!t,query:'%22rtdc.l.rtdc.4026%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758</v>
      </c>
      <c r="B76" s="7">
        <v>4025</v>
      </c>
      <c r="C76" s="21" t="s">
        <v>194</v>
      </c>
      <c r="D76" s="21" t="s">
        <v>912</v>
      </c>
      <c r="E76" s="13">
        <v>43040.514537037037</v>
      </c>
      <c r="F76" s="13">
        <v>43040.519189814811</v>
      </c>
      <c r="G76" s="7">
        <v>70</v>
      </c>
      <c r="H76" s="21" t="s">
        <v>913</v>
      </c>
      <c r="I76" s="13">
        <v>43040.545775462961</v>
      </c>
      <c r="J76" s="7">
        <v>0</v>
      </c>
      <c r="K76" s="89" t="str">
        <f t="shared" si="0"/>
        <v>4025/4026</v>
      </c>
      <c r="L76" s="185" t="str">
        <f>VLOOKUP(A76,'Trips&amp;Operators'!$C$1:$G$99911,5,FALSE)</f>
        <v>STEWART MICHAEL</v>
      </c>
      <c r="M76" s="6">
        <f t="shared" si="1"/>
        <v>2.658564814919373E-2</v>
      </c>
      <c r="N76" s="7">
        <f t="shared" si="28"/>
        <v>38.283333334838971</v>
      </c>
      <c r="O76" s="7"/>
      <c r="P76" s="7"/>
      <c r="Q76" s="22"/>
      <c r="R76" s="174"/>
      <c r="S76" s="221">
        <f t="shared" si="3"/>
        <v>1</v>
      </c>
      <c r="T76" s="174" t="str">
        <f t="shared" si="4"/>
        <v>Southbound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 t="shared" si="5"/>
        <v>https://d0f6bd738d7f1b3e5a7ca70fe4ff75f0.us-east-1.aws.found.io/app/kibana#/discover/Steve-Slow-Train-Analysis-(2080s-and-2083s)?_g=(refreshInterval:(display:Off,pause:!f,section:0,value:0),time:(from:'2017-11-01T11:20:56-0600',mode:absolute,to:'2017-11-01T14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6" s="204" t="str">
        <f>IF(AA76&lt;VLOOKUP(AG76,Variables!$AC$3:$AD$8,2,FALSE),"Y","N")</f>
        <v>N</v>
      </c>
      <c r="X76" s="204">
        <f t="shared" si="25"/>
        <v>1</v>
      </c>
      <c r="Y76" s="204">
        <f t="shared" si="26"/>
        <v>23.2883</v>
      </c>
      <c r="Z76" s="204">
        <f t="shared" si="27"/>
        <v>2.7400000000000001E-2</v>
      </c>
      <c r="AA76" s="204">
        <f t="shared" si="9"/>
        <v>23.260899999999999</v>
      </c>
      <c r="AB76" s="54" t="e">
        <f>VLOOKUP(A76,Enforcements!$C$7:$K$10,8,0)</f>
        <v>#N/A</v>
      </c>
      <c r="AC76" s="51" t="e">
        <f>VLOOKUP(A76,Enforcements!$C$7:$E$10,3,0)</f>
        <v>#N/A</v>
      </c>
      <c r="AD76" s="179">
        <f t="shared" si="10"/>
        <v>164</v>
      </c>
      <c r="AE76" s="77" t="str">
        <f t="shared" si="11"/>
        <v>aws s3 cp s3://rtdc.mdm.uploadarchive.raw/RTDC4025/ "%USERPROFILE%\AppData\Local\Temp\OnboardLogs"\RTDC4025\2017-11-01 --exclude "*" --recursive --include "*20171101*" &amp; "%USERPROFILE%\Documents\GitHub\mrs-test-scripts\Headless Mode &amp; Sideloading\WalkAndUnGZ.bat" "%USERPROFILE%\AppData\Local\Temp\OnboardLogs"\RTDC4025\2017-11-01 &amp; aws s3 cp s3://rtdc.mdm.uploadarchive.raw/RTDC4025/ "%USERPROFILE%\AppData\Local\Temp\OnboardLogs"\RTDC4025\2017-11-02 --exclude "*" --recursive --include "*20171102*" &amp; "%USERPROFILE%\Documents\GitHub\mrs-test-scripts\Headless Mode &amp; Sideloading\WalkAndUnGZ.bat" "%USERPROFILE%\AppData\Local\Temp\OnboardLogs"\RTDC4025\2017-11-02</v>
      </c>
      <c r="AF76" s="74" t="str">
        <f t="shared" si="12"/>
        <v>"C:\Program Files (x86)\AstroGrep\AstroGrep.exe" /e /r /s /spath="%USERPROFILE%\AppData\Local\Temp\OnboardLogs" /stypes="app*4025*20171101*" /stext=" 19:.+((SYSTEM_STATE.+slice.+state.+changed )|(ment ac)|(multiple cpu faults)|(system.+state.+changed )|(\[timeout)|(PRM\|1\|D)|(kpr)|(kdp)|(train st.+moving)|(\|lc)|(penalty))"</v>
      </c>
      <c r="AG76" s="182" t="str">
        <f t="shared" si="13"/>
        <v>EC</v>
      </c>
      <c r="AH76" s="78" t="str">
        <f t="shared" si="19"/>
        <v>"%USERPROFILE%\Documents\GitHub\eaglep3\Utilities\RefineRTDCRunTimes.py" --tripid 164-01 --locoid 4025 --swversion DE.1.0.9.0 --startMP 204:232883 --initTime 2017-11-01T12:20:56 --startdatetime 2017-11-01T12:27:38 --delay 70 --endMP 204:274 --enddatetime 2017-11-01T13:05:55 --enforcementcount 0 &gt;&gt;%USERPROFILE%\Documents\GitHub\eaglep3-reporting\EC\2017-11-01-refined-times.txt</v>
      </c>
      <c r="AI76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{"issue":{"subject":"","project_id":79,"tracker_id":40,"status_id":1,"priority_id":2,"assigned_to_id":338,"start_date":"2017-11-01","description":"","custom_fields":[{"id":1,"name":"Subdivision","value":"EC"},{"id":4,"name":"Milepost","value":"0.0274"},{"id":17,"name":"Train ID","value":"164-01"},{"id":16,"name":"Locomotive ID","value":"4025"},{"id":130,"name":"Impact","value":""},{"id":150,"name":"Time of Event (Mountain Time)","value":"13:05:55"},{"id":151,"name":"Denver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0"/>
      <c r="AK76" s="47"/>
      <c r="AL76" s="47"/>
      <c r="AM76" s="142" t="str">
        <f t="shared" si="21"/>
        <v>start /low /b %USERPROFILE%\Documents\GitHub\eaglep3\Utilities\DownloadLogsFromS3.py --loco 4025 --day 2017-11-01</v>
      </c>
      <c r="AN76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19:05:55"},{"id":29,"name":"Sharepoint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23"/>
        <v>https://d0f6bd738d7f1b3e5a7ca70fe4ff75f0.us-east-1.aws.found.io/app/kibana#/discover/Steve-Slow-Train-Analysis-(2080s-and-2083s)?_g=(refreshInterval:(display:Off,pause:!f,section:0,value:0),time:(from:'2017-11-01T11:20:56-0600',mode:absolute,to:'2017-11-01T14:05:55-0600'))&amp;_a=(columns:!('Message%20ID',Summary),filters:!(),index:'emp_*',interval:auto,query:(query_string:(analyze_wildcard:!t,query:'%22rtdc.l.rtdc.4025%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746</v>
      </c>
      <c r="B77" s="7">
        <v>4002</v>
      </c>
      <c r="C77" s="21" t="s">
        <v>194</v>
      </c>
      <c r="D77" s="21" t="s">
        <v>383</v>
      </c>
      <c r="E77" s="13">
        <v>43040.485578703701</v>
      </c>
      <c r="F77" s="13">
        <v>43040.489733796298</v>
      </c>
      <c r="G77" s="7">
        <v>69</v>
      </c>
      <c r="H77" s="21" t="s">
        <v>447</v>
      </c>
      <c r="I77" s="13">
        <v>43040.51358796296</v>
      </c>
      <c r="J77" s="7">
        <v>0</v>
      </c>
      <c r="K77" s="89" t="str">
        <f t="shared" ref="K77:K150" si="29">IF(ISEVEN(B77),(B77-1)&amp;"/"&amp;B77,B77&amp;"/"&amp;(B77+1))</f>
        <v>4001/4002</v>
      </c>
      <c r="L77" s="185" t="str">
        <f>VLOOKUP(A77,'Trips&amp;Operators'!$C$1:$G$99911,5,FALSE)</f>
        <v>GUZMAN DANNY</v>
      </c>
      <c r="M77" s="6">
        <f t="shared" ref="M77:M150" si="30">I77-F77</f>
        <v>2.3854166662204079E-2</v>
      </c>
      <c r="N77" s="7">
        <f t="shared" si="28"/>
        <v>34.349999993573874</v>
      </c>
      <c r="O77" s="7"/>
      <c r="P77" s="7"/>
      <c r="Q77" s="22"/>
      <c r="R77" s="174"/>
      <c r="S77" s="221">
        <f t="shared" ref="S77:S150" si="31">1/IF(AG77="EC",12,1)*SUM(U77:U77)</f>
        <v>1</v>
      </c>
      <c r="T77" s="174" t="str">
        <f t="shared" ref="T77:T150" si="32">IF(ISEVEN(LEFT(AD77,4)),"Southbound","NorthBound")</f>
        <v>NorthBound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 t="shared" ref="V77:V150" si="33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-11-01T10:39:14-0600',mode:absolute,to:'2017-11-01T13:19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7" s="204" t="str">
        <f>IF(AA77&lt;VLOOKUP(AG77,Variables!$AC$3:$AD$8,2,FALSE),"Y","N")</f>
        <v>N</v>
      </c>
      <c r="X77" s="204">
        <f t="shared" ref="X77:X83" si="34">VALUE(LEFT(AD77,4))-VALUE(LEFT(AD76,4))</f>
        <v>1</v>
      </c>
      <c r="Y77" s="204">
        <f t="shared" ref="Y77:Y82" si="35">RIGHT(D77,LEN(D77)-4)/10000</f>
        <v>4.4400000000000002E-2</v>
      </c>
      <c r="Z77" s="204">
        <f t="shared" ref="Z77:Z82" si="36">RIGHT(H77,LEN(H77)-4)/10000</f>
        <v>23.319299999999998</v>
      </c>
      <c r="AA77" s="204">
        <f t="shared" ref="AA77:AA150" si="37">ABS(Z77-Y77)</f>
        <v>23.274899999999999</v>
      </c>
      <c r="AB77" s="54" t="e">
        <f>VLOOKUP(A77,Enforcements!$C$7:$K$10,8,0)</f>
        <v>#N/A</v>
      </c>
      <c r="AC77" s="51" t="e">
        <f>VLOOKUP(A77,Enforcements!$C$7:$E$10,3,0)</f>
        <v>#N/A</v>
      </c>
      <c r="AD77" s="179">
        <f t="shared" ref="AD77:AD150" si="38">VALUE(LEFT(A77,LEN(A77)-3))</f>
        <v>165</v>
      </c>
      <c r="AE77" s="77" t="str">
        <f t="shared" ref="AE77:AE150" si="39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s3://rtdc.mdm.uploadarchive.raw/RTDC4002/ "%USERPROFILE%\AppData\Local\Temp\OnboardLogs"\RTDC4002\2017-11-01 --exclude "*" --recursive --include "*20171101*" &amp; "%USERPROFILE%\Documents\GitHub\mrs-test-scripts\Headless Mode &amp; Sideloading\WalkAndUnGZ.bat" "%USERPROFILE%\AppData\Local\Temp\OnboardLogs"\RTDC4002\2017-11-01 &amp; aws s3 cp s3://rtdc.mdm.uploadarchive.raw/RTDC4002/ "%USERPROFILE%\AppData\Local\Temp\OnboardLogs"\RTDC4002\2017-11-02 --exclude "*" --recursive --include "*20171102*" &amp; "%USERPROFILE%\Documents\GitHub\mrs-test-scripts\Headless Mode &amp; Sideloading\WalkAndUnGZ.bat" "%USERPROFILE%\AppData\Local\Temp\OnboardLogs"\RTDC4002\2017-11-02</v>
      </c>
      <c r="AF77" s="74" t="str">
        <f t="shared" ref="AF77:AF150" si="40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/stypes="app*4002*20171101*" /stext=" 18:.+((SYSTEM_STATE.+slice.+state.+changed )|(ment ac)|(multiple cpu faults)|(system.+state.+changed )|(\[timeout)|(PRM\|1\|D)|(kpr)|(kdp)|(train st.+moving)|(\|lc)|(penalty))"</v>
      </c>
      <c r="AG77" s="182" t="str">
        <f t="shared" ref="AG77:AG150" si="41">DetSubdiv(A77)</f>
        <v>EC</v>
      </c>
      <c r="AH77" s="78" t="str">
        <f t="shared" si="19"/>
        <v>"%USERPROFILE%\Documents\GitHub\eaglep3\Utilities\RefineRTDCRunTimes.py" --tripid 165-01 --locoid 4002 --swversion DE.1.0.9.0 --startMP 204:444 --initTime 2017-11-01T11:39:14 --startdatetime 2017-11-01T11:45:13 --delay 69 --endMP 204:233193 --enddatetime 2017-11-01T12:19:34 --enforcementcount 0 &gt;&gt;%USERPROFILE%\Documents\GitHub\eaglep3-reporting\EC\2017-11-01-refined-times.txt</v>
      </c>
      <c r="AI77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{"issue":{"subject":"","project_id":79,"tracker_id":40,"status_id":1,"priority_id":2,"assigned_to_id":338,"start_date":"2017-11-01","description":"","custom_fields":[{"id":1,"name":"Subdivision","value":"EC"},{"id":4,"name":"Milepost","value":"23.3193"},{"id":17,"name":"Train ID","value":"165-01"},{"id":16,"name":"Locomotive ID","value":"4002"},{"id":130,"name":"Impact","value":""},{"id":150,"name":"Time of Event (Mountain Time)","value":"12:19:34"},{"id":151,"name":"Denver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0"/>
      <c r="AK77" s="47"/>
      <c r="AL77" s="47"/>
      <c r="AM77" s="142" t="str">
        <f t="shared" si="21"/>
        <v>start /low /b %USERPROFILE%\Documents\GitHub\eaglep3\Utilities\DownloadLogsFromS3.py --loco 4002 --day 2017-11-01</v>
      </c>
      <c r="AN77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18:19:34"},{"id":29,"name":"Sharepoint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si="23"/>
        <v>https://d0f6bd738d7f1b3e5a7ca70fe4ff75f0.us-east-1.aws.found.io/app/kibana#/discover/Steve-Slow-Train-Analysis-(2080s-and-2083s)?_g=(refreshInterval:(display:Off,pause:!f,section:0,value:0),time:(from:'2017-11-01T10:39:14-0600',mode:absolute,to:'2017-11-01T13:19:34-0600'))&amp;_a=(columns:!('Message%20ID',Summary),filters:!(),index:'emp_*',interval:auto,query:(query_string:(analyze_wildcard:!t,query:'%22rtdc.l.rtdc.4002%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759</v>
      </c>
      <c r="B78" s="7">
        <v>4001</v>
      </c>
      <c r="C78" s="21" t="s">
        <v>194</v>
      </c>
      <c r="D78" s="21" t="s">
        <v>435</v>
      </c>
      <c r="E78" s="13">
        <v>43040.515393518515</v>
      </c>
      <c r="F78" s="13">
        <v>43040.529409722221</v>
      </c>
      <c r="G78" s="7">
        <v>58</v>
      </c>
      <c r="H78" s="21" t="s">
        <v>595</v>
      </c>
      <c r="I78" s="13">
        <v>43040.55574074074</v>
      </c>
      <c r="J78" s="7">
        <v>0</v>
      </c>
      <c r="K78" s="89" t="str">
        <f t="shared" si="29"/>
        <v>4001/4002</v>
      </c>
      <c r="L78" s="185" t="str">
        <f>VLOOKUP(A78,'Trips&amp;Operators'!$C$1:$G$99911,5,FALSE)</f>
        <v>GUZMAN DANNY</v>
      </c>
      <c r="M78" s="6">
        <f t="shared" si="30"/>
        <v>2.6331018518249039E-2</v>
      </c>
      <c r="N78" s="7">
        <f t="shared" si="28"/>
        <v>37.916666666278616</v>
      </c>
      <c r="O78" s="7"/>
      <c r="P78" s="7"/>
      <c r="Q78" s="22"/>
      <c r="R78" s="174"/>
      <c r="S78" s="221">
        <f t="shared" si="31"/>
        <v>1</v>
      </c>
      <c r="T78" s="174" t="str">
        <f t="shared" si="32"/>
        <v>Southbound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 t="shared" si="33"/>
        <v>https://d0f6bd738d7f1b3e5a7ca70fe4ff75f0.us-east-1.aws.found.io/app/kibana#/discover/Steve-Slow-Train-Analysis-(2080s-and-2083s)?_g=(refreshInterval:(display:Off,pause:!f,section:0,value:0),time:(from:'2017-11-01T11:22:10-0600',mode:absolute,to:'2017-11-01T14:20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8" s="204" t="str">
        <f>IF(AA78&lt;VLOOKUP(AG78,Variables!$AC$3:$AD$8,2,FALSE),"Y","N")</f>
        <v>N</v>
      </c>
      <c r="X78" s="204">
        <f t="shared" si="34"/>
        <v>1</v>
      </c>
      <c r="Y78" s="204">
        <f t="shared" si="35"/>
        <v>23.287099999999999</v>
      </c>
      <c r="Z78" s="204">
        <f t="shared" si="36"/>
        <v>2.3599999999999999E-2</v>
      </c>
      <c r="AA78" s="204">
        <f t="shared" si="37"/>
        <v>23.263500000000001</v>
      </c>
      <c r="AB78" s="54" t="e">
        <f>VLOOKUP(A78,Enforcements!$C$7:$K$10,8,0)</f>
        <v>#N/A</v>
      </c>
      <c r="AC78" s="51" t="e">
        <f>VLOOKUP(A78,Enforcements!$C$7:$E$10,3,0)</f>
        <v>#N/A</v>
      </c>
      <c r="AD78" s="179">
        <f t="shared" si="38"/>
        <v>166</v>
      </c>
      <c r="AE78" s="77" t="str">
        <f t="shared" si="39"/>
        <v>aws s3 cp s3://rtdc.mdm.uploadarchive.raw/RTDC4001/ "%USERPROFILE%\AppData\Local\Temp\OnboardLogs"\RTDC4001\2017-11-01 --exclude "*" --recursive --include "*20171101*" &amp; "%USERPROFILE%\Documents\GitHub\mrs-test-scripts\Headless Mode &amp; Sideloading\WalkAndUnGZ.bat" "%USERPROFILE%\AppData\Local\Temp\OnboardLogs"\RTDC4001\2017-11-01 &amp; aws s3 cp s3://rtdc.mdm.uploadarchive.raw/RTDC4001/ "%USERPROFILE%\AppData\Local\Temp\OnboardLogs"\RTDC4001\2017-11-02 --exclude "*" --recursive --include "*20171102*" &amp; "%USERPROFILE%\Documents\GitHub\mrs-test-scripts\Headless Mode &amp; Sideloading\WalkAndUnGZ.bat" "%USERPROFILE%\AppData\Local\Temp\OnboardLogs"\RTDC4001\2017-11-02</v>
      </c>
      <c r="AF78" s="74" t="str">
        <f t="shared" si="40"/>
        <v>"C:\Program Files (x86)\AstroGrep\AstroGrep.exe" /e /r /s /spath="%USERPROFILE%\AppData\Local\Temp\OnboardLogs" /stypes="app*4001*20171101*" /stext=" 19:.+((SYSTEM_STATE.+slice.+state.+changed )|(ment ac)|(multiple cpu faults)|(system.+state.+changed )|(\[timeout)|(PRM\|1\|D)|(kpr)|(kdp)|(train st.+moving)|(\|lc)|(penalty))"</v>
      </c>
      <c r="AG78" s="182" t="str">
        <f t="shared" si="41"/>
        <v>EC</v>
      </c>
      <c r="AH78" s="78" t="str">
        <f t="shared" ref="AH78:AH154" si="42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166-01 --locoid 4001 --swversion DE.1.0.9.0 --startMP 204:232871 --initTime 2017-11-01T12:22:10 --startdatetime 2017-11-01T12:42:21 --delay 58 --endMP 204:236 --enddatetime 2017-11-01T13:20:16 --enforcementcount 0 &gt;&gt;%USERPROFILE%\Documents\GitHub\eaglep3-reporting\EC\2017-11-01-refined-times.txt</v>
      </c>
      <c r="AI78" s="96" t="str">
        <f t="shared" ref="AI78:AI154" si="43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{"issue":{"subject":"","project_id":79,"tracker_id":40,"status_id":1,"priority_id":2,"assigned_to_id":338,"start_date":"2017-11-01","description":"","custom_fields":[{"id":1,"name":"Subdivision","value":"EC"},{"id":4,"name":"Milepost","value":"0.0236"},{"id":17,"name":"Train ID","value":"166-01"},{"id":16,"name":"Locomotive ID","value":"4001"},{"id":130,"name":"Impact","value":""},{"id":150,"name":"Time of Event (Mountain Time)","value":"13:20:16"},{"id":151,"name":"Denver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0"/>
      <c r="AK78" s="47"/>
      <c r="AL78" s="47"/>
      <c r="AM78" s="142" t="str">
        <f t="shared" ref="AM78:AM154" si="44">"start /low /b "&amp;dls3logs&amp;" --loco "&amp;B78&amp;" --day "&amp;TEXT(F78,"YYYY-MM-DD")</f>
        <v>start /low /b %USERPROFILE%\Documents\GitHub\eaglep3\Utilities\DownloadLogsFromS3.py --loco 4001 --day 2017-11-01</v>
      </c>
      <c r="AN78" s="151" t="str">
        <f t="shared" ref="AN78:AN154" si="45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19:20:16"},{"id":29,"name":"Sharepoint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ref="AO78:AO154" si="46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-11-01T11:22:10-0600',mode:absolute,to:'2017-11-01T14:20:16-0600'))&amp;_a=(columns:!('Message%20ID',Summary),filters:!(),index:'emp_*',interval:auto,query:(query_string:(analyze_wildcard:!t,query:'%22rtdc.l.rtdc.4001%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749</v>
      </c>
      <c r="B79" s="7">
        <v>4064</v>
      </c>
      <c r="C79" s="21" t="s">
        <v>194</v>
      </c>
      <c r="D79" s="21" t="s">
        <v>417</v>
      </c>
      <c r="E79" s="13">
        <v>43040.496365740742</v>
      </c>
      <c r="F79" s="13">
        <v>43040.5002662037</v>
      </c>
      <c r="G79" s="7">
        <v>72</v>
      </c>
      <c r="H79" s="21" t="s">
        <v>572</v>
      </c>
      <c r="I79" s="13">
        <v>43040.525914351849</v>
      </c>
      <c r="J79" s="7">
        <v>0</v>
      </c>
      <c r="K79" s="89" t="str">
        <f t="shared" si="29"/>
        <v>4063/4064</v>
      </c>
      <c r="L79" s="185" t="str">
        <f>VLOOKUP(A79,'Trips&amp;Operators'!$C$1:$G$99911,5,FALSE)</f>
        <v>LEVIN SCOTT</v>
      </c>
      <c r="M79" s="6">
        <f t="shared" si="30"/>
        <v>2.5648148148320615E-2</v>
      </c>
      <c r="N79" s="7">
        <f t="shared" si="28"/>
        <v>36.933333333581686</v>
      </c>
      <c r="O79" s="7"/>
      <c r="P79" s="7"/>
      <c r="Q79" s="22"/>
      <c r="R79" s="174"/>
      <c r="S79" s="221">
        <f t="shared" si="31"/>
        <v>1</v>
      </c>
      <c r="T79" s="174" t="str">
        <f t="shared" si="32"/>
        <v>NorthBound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 t="shared" si="33"/>
        <v>https://d0f6bd738d7f1b3e5a7ca70fe4ff75f0.us-east-1.aws.found.io/app/kibana#/discover/Steve-Slow-Train-Analysis-(2080s-and-2083s)?_g=(refreshInterval:(display:Off,pause:!f,section:0,value:0),time:(from:'2017-11-01T10:54:46-0600',mode:absolute,to:'2017-11-01T13:37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79" s="204" t="str">
        <f>IF(AA79&lt;VLOOKUP(AG79,Variables!$AC$3:$AD$8,2,FALSE),"Y","N")</f>
        <v>N</v>
      </c>
      <c r="X79" s="204">
        <f t="shared" si="34"/>
        <v>1</v>
      </c>
      <c r="Y79" s="204">
        <f t="shared" si="35"/>
        <v>4.6699999999999998E-2</v>
      </c>
      <c r="Z79" s="204">
        <f t="shared" si="36"/>
        <v>23.329699999999999</v>
      </c>
      <c r="AA79" s="204">
        <f t="shared" si="37"/>
        <v>23.282999999999998</v>
      </c>
      <c r="AB79" s="54" t="e">
        <f>VLOOKUP(A79,Enforcements!$C$7:$K$10,8,0)</f>
        <v>#N/A</v>
      </c>
      <c r="AC79" s="51" t="e">
        <f>VLOOKUP(A79,Enforcements!$C$7:$E$10,3,0)</f>
        <v>#N/A</v>
      </c>
      <c r="AD79" s="179">
        <f t="shared" si="38"/>
        <v>167</v>
      </c>
      <c r="AE79" s="77" t="str">
        <f t="shared" si="39"/>
        <v>aws s3 cp s3://rtdc.mdm.uploadarchive.raw/RTDC4064/ "%USERPROFILE%\AppData\Local\Temp\OnboardLogs"\RTDC4064\2017-11-01 --exclude "*" --recursive --include "*20171101*" &amp; "%USERPROFILE%\Documents\GitHub\mrs-test-scripts\Headless Mode &amp; Sideloading\WalkAndUnGZ.bat" "%USERPROFILE%\AppData\Local\Temp\OnboardLogs"\RTDC4064\2017-11-01 &amp; aws s3 cp s3://rtdc.mdm.uploadarchive.raw/RTDC4064/ "%USERPROFILE%\AppData\Local\Temp\OnboardLogs"\RTDC4064\2017-11-02 --exclude "*" --recursive --include "*20171102*" &amp; "%USERPROFILE%\Documents\GitHub\mrs-test-scripts\Headless Mode &amp; Sideloading\WalkAndUnGZ.bat" "%USERPROFILE%\AppData\Local\Temp\OnboardLogs"\RTDC4064\2017-11-02</v>
      </c>
      <c r="AF79" s="74" t="str">
        <f t="shared" si="40"/>
        <v>"C:\Program Files (x86)\AstroGrep\AstroGrep.exe" /e /r /s /spath="%USERPROFILE%\AppData\Local\Temp\OnboardLogs" /stypes="app*4064*20171101*" /stext=" 18:.+((SYSTEM_STATE.+slice.+state.+changed )|(ment ac)|(multiple cpu faults)|(system.+state.+changed )|(\[timeout)|(PRM\|1\|D)|(kpr)|(kdp)|(train st.+moving)|(\|lc)|(penalty))"</v>
      </c>
      <c r="AG79" s="182" t="str">
        <f t="shared" si="41"/>
        <v>EC</v>
      </c>
      <c r="AH79" s="78" t="str">
        <f t="shared" si="42"/>
        <v>"%USERPROFILE%\Documents\GitHub\eaglep3\Utilities\RefineRTDCRunTimes.py" --tripid 167-01 --locoid 4064 --swversion DE.1.0.9.0 --startMP 204:467 --initTime 2017-11-01T11:54:46 --startdatetime 2017-11-01T12:00:23 --delay 72 --endMP 204:233297 --enddatetime 2017-11-01T12:37:19 --enforcementcount 0 &gt;&gt;%USERPROFILE%\Documents\GitHub\eaglep3-reporting\EC\2017-11-01-refined-times.txt</v>
      </c>
      <c r="AI79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{"issue":{"subject":"","project_id":79,"tracker_id":40,"status_id":1,"priority_id":2,"assigned_to_id":338,"start_date":"2017-11-01","description":"","custom_fields":[{"id":1,"name":"Subdivision","value":"EC"},{"id":4,"name":"Milepost","value":"23.3297"},{"id":17,"name":"Train ID","value":"167-01"},{"id":16,"name":"Locomotive ID","value":"4064"},{"id":130,"name":"Impact","value":""},{"id":150,"name":"Time of Event (Mountain Time)","value":"12:37:19"},{"id":151,"name":"Denver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0"/>
      <c r="AK79" s="47"/>
      <c r="AL79" s="47"/>
      <c r="AM79" s="142" t="str">
        <f t="shared" si="44"/>
        <v>start /low /b %USERPROFILE%\Documents\GitHub\eaglep3\Utilities\DownloadLogsFromS3.py --loco 4064 --day 2017-11-01</v>
      </c>
      <c r="AN79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18:37:19"},{"id":29,"name":"Sharepoint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si="46"/>
        <v>https://d0f6bd738d7f1b3e5a7ca70fe4ff75f0.us-east-1.aws.found.io/app/kibana#/discover/Steve-Slow-Train-Analysis-(2080s-and-2083s)?_g=(refreshInterval:(display:Off,pause:!f,section:0,value:0),time:(from:'2017-11-01T10:54:46-0600',mode:absolute,to:'2017-11-01T13:37:19-0600'))&amp;_a=(columns:!('Message%20ID',Summary),filters:!(),index:'emp_*',interval:auto,query:(query_string:(analyze_wildcard:!t,query:'%22rtdc.l.rtdc.4064%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766</v>
      </c>
      <c r="B80" s="7">
        <v>4063</v>
      </c>
      <c r="C80" s="21" t="s">
        <v>194</v>
      </c>
      <c r="D80" s="21" t="s">
        <v>436</v>
      </c>
      <c r="E80" s="13">
        <v>43040.53800925926</v>
      </c>
      <c r="F80" s="13">
        <v>43040.539803240739</v>
      </c>
      <c r="G80" s="7">
        <v>61</v>
      </c>
      <c r="H80" s="21" t="s">
        <v>593</v>
      </c>
      <c r="I80" s="13">
        <v>43040.566921296297</v>
      </c>
      <c r="J80" s="7">
        <v>0</v>
      </c>
      <c r="K80" s="89" t="str">
        <f t="shared" si="29"/>
        <v>4063/4064</v>
      </c>
      <c r="L80" s="185" t="str">
        <f>VLOOKUP(A80,'Trips&amp;Operators'!$C$1:$G$99911,5,FALSE)</f>
        <v>LEVIN SCOTT</v>
      </c>
      <c r="M80" s="6">
        <f t="shared" si="30"/>
        <v>2.7118055557366461E-2</v>
      </c>
      <c r="N80" s="7">
        <f t="shared" si="28"/>
        <v>39.050000002607703</v>
      </c>
      <c r="O80" s="7"/>
      <c r="P80" s="7"/>
      <c r="Q80" s="22"/>
      <c r="R80" s="174"/>
      <c r="S80" s="221">
        <f t="shared" si="31"/>
        <v>1</v>
      </c>
      <c r="T80" s="174" t="str">
        <f t="shared" si="32"/>
        <v>Southbound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 t="shared" si="33"/>
        <v>https://d0f6bd738d7f1b3e5a7ca70fe4ff75f0.us-east-1.aws.found.io/app/kibana#/discover/Steve-Slow-Train-Analysis-(2080s-and-2083s)?_g=(refreshInterval:(display:Off,pause:!f,section:0,value:0),time:(from:'2017-11-01T11:54:44-0600',mode:absolute,to:'2017-11-01T14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80" s="204" t="str">
        <f>IF(AA80&lt;VLOOKUP(AG80,Variables!$AC$3:$AD$8,2,FALSE),"Y","N")</f>
        <v>N</v>
      </c>
      <c r="X80" s="204">
        <f t="shared" si="34"/>
        <v>1</v>
      </c>
      <c r="Y80" s="204">
        <f t="shared" si="35"/>
        <v>23.298500000000001</v>
      </c>
      <c r="Z80" s="204">
        <f t="shared" si="36"/>
        <v>1.7000000000000001E-2</v>
      </c>
      <c r="AA80" s="204">
        <f t="shared" si="37"/>
        <v>23.281500000000001</v>
      </c>
      <c r="AB80" s="54" t="e">
        <f>VLOOKUP(A80,Enforcements!$C$7:$K$10,8,0)</f>
        <v>#N/A</v>
      </c>
      <c r="AC80" s="51" t="e">
        <f>VLOOKUP(A80,Enforcements!$C$7:$E$10,3,0)</f>
        <v>#N/A</v>
      </c>
      <c r="AD80" s="179">
        <f t="shared" si="38"/>
        <v>168</v>
      </c>
      <c r="AE80" s="77" t="str">
        <f t="shared" si="39"/>
        <v>aws s3 cp s3://rtdc.mdm.uploadarchive.raw/RTDC4063/ "%USERPROFILE%\AppData\Local\Temp\OnboardLogs"\RTDC4063\2017-11-01 --exclude "*" --recursive --include "*20171101*" &amp; "%USERPROFILE%\Documents\GitHub\mrs-test-scripts\Headless Mode &amp; Sideloading\WalkAndUnGZ.bat" "%USERPROFILE%\AppData\Local\Temp\OnboardLogs"\RTDC4063\2017-11-01 &amp; aws s3 cp s3://rtdc.mdm.uploadarchive.raw/RTDC4063/ "%USERPROFILE%\AppData\Local\Temp\OnboardLogs"\RTDC4063\2017-11-02 --exclude "*" --recursive --include "*20171102*" &amp; "%USERPROFILE%\Documents\GitHub\mrs-test-scripts\Headless Mode &amp; Sideloading\WalkAndUnGZ.bat" "%USERPROFILE%\AppData\Local\Temp\OnboardLogs"\RTDC4063\2017-11-02</v>
      </c>
      <c r="AF80" s="74" t="str">
        <f t="shared" si="40"/>
        <v>"C:\Program Files (x86)\AstroGrep\AstroGrep.exe" /e /r /s /spath="%USERPROFILE%\AppData\Local\Temp\OnboardLogs" /stypes="app*4063*20171101*" /stext=" 19:.+((SYSTEM_STATE.+slice.+state.+changed )|(ment ac)|(multiple cpu faults)|(system.+state.+changed )|(\[timeout)|(PRM\|1\|D)|(kpr)|(kdp)|(train st.+moving)|(\|lc)|(penalty))"</v>
      </c>
      <c r="AG80" s="182" t="str">
        <f t="shared" si="41"/>
        <v>EC</v>
      </c>
      <c r="AH80" s="78" t="str">
        <f t="shared" si="42"/>
        <v>"%USERPROFILE%\Documents\GitHub\eaglep3\Utilities\RefineRTDCRunTimes.py" --tripid 168-01 --locoid 4063 --swversion DE.1.0.9.0 --startMP 204:232985 --initTime 2017-11-01T12:54:44 --startdatetime 2017-11-01T12:57:19 --delay 61 --endMP 204:170 --enddatetime 2017-11-01T13:36:22 --enforcementcount 0 &gt;&gt;%USERPROFILE%\Documents\GitHub\eaglep3-reporting\EC\2017-11-01-refined-times.txt</v>
      </c>
      <c r="AI80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{"issue":{"subject":"","project_id":79,"tracker_id":40,"status_id":1,"priority_id":2,"assigned_to_id":338,"start_date":"2017-11-01","description":"","custom_fields":[{"id":1,"name":"Subdivision","value":"EC"},{"id":4,"name":"Milepost","value":"0.017"},{"id":17,"name":"Train ID","value":"168-01"},{"id":16,"name":"Locomotive ID","value":"4063"},{"id":130,"name":"Impact","value":""},{"id":150,"name":"Time of Event (Mountain Time)","value":"13:36:22"},{"id":151,"name":"Denver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0"/>
      <c r="AK80" s="47"/>
      <c r="AL80" s="47"/>
      <c r="AM80" s="142" t="str">
        <f t="shared" si="44"/>
        <v>start /low /b %USERPROFILE%\Documents\GitHub\eaglep3\Utilities\DownloadLogsFromS3.py --loco 4063 --day 2017-11-01</v>
      </c>
      <c r="AN80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19:36:22"},{"id":29,"name":"Sharepoint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46"/>
        <v>https://d0f6bd738d7f1b3e5a7ca70fe4ff75f0.us-east-1.aws.found.io/app/kibana#/discover/Steve-Slow-Train-Analysis-(2080s-and-2083s)?_g=(refreshInterval:(display:Off,pause:!f,section:0,value:0),time:(from:'2017-11-01T11:54:44-0600',mode:absolute,to:'2017-11-01T14:36:22-0600'))&amp;_a=(columns:!('Message%20ID',Summary),filters:!(),index:'emp_*',interval:auto,query:(query_string:(analyze_wildcard:!t,query:'%22rtdc.l.rtdc.4063%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755</v>
      </c>
      <c r="B81" s="7">
        <v>4044</v>
      </c>
      <c r="C81" s="21" t="s">
        <v>194</v>
      </c>
      <c r="D81" s="21" t="s">
        <v>419</v>
      </c>
      <c r="E81" s="13">
        <v>43040.50509259259</v>
      </c>
      <c r="F81" s="13">
        <v>43040.510567129626</v>
      </c>
      <c r="G81" s="7">
        <v>79</v>
      </c>
      <c r="H81" s="21" t="s">
        <v>444</v>
      </c>
      <c r="I81" s="13">
        <v>43040.535752314812</v>
      </c>
      <c r="J81" s="7">
        <v>0</v>
      </c>
      <c r="K81" s="89" t="str">
        <f t="shared" si="29"/>
        <v>4043/4044</v>
      </c>
      <c r="L81" s="185" t="str">
        <f>VLOOKUP(A81,'Trips&amp;Operators'!$C$1:$G$99911,5,FALSE)</f>
        <v>BERLING GARY</v>
      </c>
      <c r="M81" s="6">
        <f t="shared" si="30"/>
        <v>2.5185185186273884E-2</v>
      </c>
      <c r="N81" s="7">
        <f t="shared" si="28"/>
        <v>36.266666668234393</v>
      </c>
      <c r="O81" s="7"/>
      <c r="P81" s="7"/>
      <c r="Q81" s="22"/>
      <c r="R81" s="174"/>
      <c r="S81" s="221">
        <f t="shared" si="31"/>
        <v>1</v>
      </c>
      <c r="T81" s="174" t="str">
        <f t="shared" si="32"/>
        <v>NorthBound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 t="shared" si="33"/>
        <v>https://d0f6bd738d7f1b3e5a7ca70fe4ff75f0.us-east-1.aws.found.io/app/kibana#/discover/Steve-Slow-Train-Analysis-(2080s-and-2083s)?_g=(refreshInterval:(display:Off,pause:!f,section:0,value:0),time:(from:'2017-11-01T11:07:20-0600',mode:absolute,to:'2017-11-01T13:51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1" s="204" t="str">
        <f>IF(AA81&lt;VLOOKUP(AG81,Variables!$AC$3:$AD$8,2,FALSE),"Y","N")</f>
        <v>N</v>
      </c>
      <c r="X81" s="204">
        <f t="shared" si="34"/>
        <v>1</v>
      </c>
      <c r="Y81" s="204">
        <f t="shared" si="35"/>
        <v>4.5499999999999999E-2</v>
      </c>
      <c r="Z81" s="204">
        <f t="shared" si="36"/>
        <v>23.3263</v>
      </c>
      <c r="AA81" s="204">
        <f t="shared" si="37"/>
        <v>23.280799999999999</v>
      </c>
      <c r="AB81" s="54" t="e">
        <f>VLOOKUP(A81,Enforcements!$C$7:$K$10,8,0)</f>
        <v>#N/A</v>
      </c>
      <c r="AC81" s="51" t="e">
        <f>VLOOKUP(A81,Enforcements!$C$7:$E$10,3,0)</f>
        <v>#N/A</v>
      </c>
      <c r="AD81" s="179">
        <f t="shared" si="38"/>
        <v>169</v>
      </c>
      <c r="AE81" s="77" t="str">
        <f t="shared" si="39"/>
        <v>aws s3 cp s3://rtdc.mdm.uploadarchive.raw/RTDC4044/ "%USERPROFILE%\AppData\Local\Temp\OnboardLogs"\RTDC4044\2017-11-01 --exclude "*" --recursive --include "*20171101*" &amp; "%USERPROFILE%\Documents\GitHub\mrs-test-scripts\Headless Mode &amp; Sideloading\WalkAndUnGZ.bat" "%USERPROFILE%\AppData\Local\Temp\OnboardLogs"\RTDC4044\2017-11-01 &amp; aws s3 cp s3://rtdc.mdm.uploadarchive.raw/RTDC4044/ "%USERPROFILE%\AppData\Local\Temp\OnboardLogs"\RTDC4044\2017-11-02 --exclude "*" --recursive --include "*20171102*" &amp; "%USERPROFILE%\Documents\GitHub\mrs-test-scripts\Headless Mode &amp; Sideloading\WalkAndUnGZ.bat" "%USERPROFILE%\AppData\Local\Temp\OnboardLogs"\RTDC4044\2017-11-02</v>
      </c>
      <c r="AF81" s="74" t="str">
        <f t="shared" si="40"/>
        <v>"C:\Program Files (x86)\AstroGrep\AstroGrep.exe" /e /r /s /spath="%USERPROFILE%\AppData\Local\Temp\OnboardLogs" /stypes="app*4044*20171101*" /stext=" 18:.+((SYSTEM_STATE.+slice.+state.+changed )|(ment ac)|(multiple cpu faults)|(system.+state.+changed )|(\[timeout)|(PRM\|1\|D)|(kpr)|(kdp)|(train st.+moving)|(\|lc)|(penalty))"</v>
      </c>
      <c r="AG81" s="182" t="str">
        <f t="shared" si="41"/>
        <v>EC</v>
      </c>
      <c r="AH81" s="78" t="str">
        <f t="shared" si="42"/>
        <v>"%USERPROFILE%\Documents\GitHub\eaglep3\Utilities\RefineRTDCRunTimes.py" --tripid 169-01 --locoid 4044 --swversion DE.1.0.9.0 --startMP 204:455 --initTime 2017-11-01T12:07:20 --startdatetime 2017-11-01T12:15:13 --delay 79 --endMP 204:233263 --enddatetime 2017-11-01T12:51:29 --enforcementcount 0 &gt;&gt;%USERPROFILE%\Documents\GitHub\eaglep3-reporting\EC\2017-11-01-refined-times.txt</v>
      </c>
      <c r="AI81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{"issue":{"subject":"","project_id":79,"tracker_id":40,"status_id":1,"priority_id":2,"assigned_to_id":338,"start_date":"2017-11-01","description":"","custom_fields":[{"id":1,"name":"Subdivision","value":"EC"},{"id":4,"name":"Milepost","value":"23.3263"},{"id":17,"name":"Train ID","value":"169-01"},{"id":16,"name":"Locomotive ID","value":"4044"},{"id":130,"name":"Impact","value":""},{"id":150,"name":"Time of Event (Mountain Time)","value":"12:51:29"},{"id":151,"name":"Denver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0"/>
      <c r="AK81" s="47"/>
      <c r="AL81" s="47"/>
      <c r="AM81" s="142" t="str">
        <f t="shared" si="44"/>
        <v>start /low /b %USERPROFILE%\Documents\GitHub\eaglep3\Utilities\DownloadLogsFromS3.py --loco 4044 --day 2017-11-01</v>
      </c>
      <c r="AN81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18:51:29"},{"id":29,"name":"Sharepoint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46"/>
        <v>https://d0f6bd738d7f1b3e5a7ca70fe4ff75f0.us-east-1.aws.found.io/app/kibana#/discover/Steve-Slow-Train-Analysis-(2080s-and-2083s)?_g=(refreshInterval:(display:Off,pause:!f,section:0,value:0),time:(from:'2017-11-01T11:07:20-0600',mode:absolute,to:'2017-11-01T13:51:29-0600'))&amp;_a=(columns:!('Message%20ID',Summary),filters:!(),index:'emp_*',interval:auto,query:(query_string:(analyze_wildcard:!t,query:'%22rtdc.l.rtdc.4044%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768</v>
      </c>
      <c r="B82" s="7">
        <v>4043</v>
      </c>
      <c r="C82" s="21" t="s">
        <v>194</v>
      </c>
      <c r="D82" s="21" t="s">
        <v>914</v>
      </c>
      <c r="E82" s="13">
        <v>43040.545555555553</v>
      </c>
      <c r="F82" s="13">
        <v>43040.550185185188</v>
      </c>
      <c r="G82" s="7">
        <v>94</v>
      </c>
      <c r="H82" s="21" t="s">
        <v>915</v>
      </c>
      <c r="I82" s="13">
        <v>43040.57744212963</v>
      </c>
      <c r="J82" s="7">
        <v>0</v>
      </c>
      <c r="K82" s="89" t="str">
        <f t="shared" si="29"/>
        <v>4043/4044</v>
      </c>
      <c r="L82" s="185" t="str">
        <f>VLOOKUP(A82,'Trips&amp;Operators'!$C$1:$G$99911,5,FALSE)</f>
        <v>BERLING GARY</v>
      </c>
      <c r="M82" s="6">
        <f t="shared" si="30"/>
        <v>2.7256944442342501E-2</v>
      </c>
      <c r="N82" s="7">
        <f t="shared" si="28"/>
        <v>39.249999996973202</v>
      </c>
      <c r="O82" s="7"/>
      <c r="P82" s="7"/>
      <c r="Q82" s="22"/>
      <c r="R82" s="174"/>
      <c r="S82" s="221">
        <f t="shared" si="31"/>
        <v>1</v>
      </c>
      <c r="T82" s="174" t="str">
        <f t="shared" si="32"/>
        <v>Southbound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 t="shared" si="33"/>
        <v>https://d0f6bd738d7f1b3e5a7ca70fe4ff75f0.us-east-1.aws.found.io/app/kibana#/discover/Steve-Slow-Train-Analysis-(2080s-and-2083s)?_g=(refreshInterval:(display:Off,pause:!f,section:0,value:0),time:(from:'2017-11-01T12:05:36-0600',mode:absolute,to:'2017-11-01T14:51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2" s="204" t="str">
        <f>IF(AA82&lt;VLOOKUP(AG82,Variables!$AC$3:$AD$8,2,FALSE),"Y","N")</f>
        <v>N</v>
      </c>
      <c r="X82" s="204">
        <f t="shared" si="34"/>
        <v>1</v>
      </c>
      <c r="Y82" s="204">
        <f t="shared" si="35"/>
        <v>23.2942</v>
      </c>
      <c r="Z82" s="204">
        <f t="shared" si="36"/>
        <v>3.2000000000000001E-2</v>
      </c>
      <c r="AA82" s="204">
        <f t="shared" si="37"/>
        <v>23.2622</v>
      </c>
      <c r="AB82" s="54" t="e">
        <f>VLOOKUP(A82,Enforcements!$C$7:$K$10,8,0)</f>
        <v>#N/A</v>
      </c>
      <c r="AC82" s="51" t="e">
        <f>VLOOKUP(A82,Enforcements!$C$7:$E$10,3,0)</f>
        <v>#N/A</v>
      </c>
      <c r="AD82" s="179">
        <f t="shared" si="38"/>
        <v>170</v>
      </c>
      <c r="AE82" s="77" t="str">
        <f t="shared" si="39"/>
        <v>aws s3 cp s3://rtdc.mdm.uploadarchive.raw/RTDC4043/ "%USERPROFILE%\AppData\Local\Temp\OnboardLogs"\RTDC4043\2017-11-01 --exclude "*" --recursive --include "*20171101*" &amp; "%USERPROFILE%\Documents\GitHub\mrs-test-scripts\Headless Mode &amp; Sideloading\WalkAndUnGZ.bat" "%USERPROFILE%\AppData\Local\Temp\OnboardLogs"\RTDC4043\2017-11-01 &amp; aws s3 cp s3://rtdc.mdm.uploadarchive.raw/RTDC4043/ "%USERPROFILE%\AppData\Local\Temp\OnboardLogs"\RTDC4043\2017-11-02 --exclude "*" --recursive --include "*20171102*" &amp; "%USERPROFILE%\Documents\GitHub\mrs-test-scripts\Headless Mode &amp; Sideloading\WalkAndUnGZ.bat" "%USERPROFILE%\AppData\Local\Temp\OnboardLogs"\RTDC4043\2017-11-02</v>
      </c>
      <c r="AF82" s="74" t="str">
        <f t="shared" si="40"/>
        <v>"C:\Program Files (x86)\AstroGrep\AstroGrep.exe" /e /r /s /spath="%USERPROFILE%\AppData\Local\Temp\OnboardLogs" /stypes="app*4043*20171101*" /stext=" 19:.+((SYSTEM_STATE.+slice.+state.+changed )|(ment ac)|(multiple cpu faults)|(system.+state.+changed )|(\[timeout)|(PRM\|1\|D)|(kpr)|(kdp)|(train st.+moving)|(\|lc)|(penalty))"</v>
      </c>
      <c r="AG82" s="182" t="str">
        <f t="shared" si="41"/>
        <v>EC</v>
      </c>
      <c r="AH82" s="78" t="str">
        <f t="shared" si="42"/>
        <v>"%USERPROFILE%\Documents\GitHub\eaglep3\Utilities\RefineRTDCRunTimes.py" --tripid 170-01 --locoid 4043 --swversion DE.1.0.9.0 --startMP 204:232942 --initTime 2017-11-01T13:05:36 --startdatetime 2017-11-01T13:12:16 --delay 94 --endMP 204:320 --enddatetime 2017-11-01T13:51:31 --enforcementcount 0 &gt;&gt;%USERPROFILE%\Documents\GitHub\eaglep3-reporting\EC\2017-11-01-refined-times.txt</v>
      </c>
      <c r="AI82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{"issue":{"subject":"","project_id":79,"tracker_id":40,"status_id":1,"priority_id":2,"assigned_to_id":338,"start_date":"2017-11-01","description":"","custom_fields":[{"id":1,"name":"Subdivision","value":"EC"},{"id":4,"name":"Milepost","value":"0.032"},{"id":17,"name":"Train ID","value":"170-01"},{"id":16,"name":"Locomotive ID","value":"4043"},{"id":130,"name":"Impact","value":""},{"id":150,"name":"Time of Event (Mountain Time)","value":"13:51:31"},{"id":151,"name":"Denver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0"/>
      <c r="AK82" s="47"/>
      <c r="AL82" s="47"/>
      <c r="AM82" s="142" t="str">
        <f t="shared" si="44"/>
        <v>start /low /b %USERPROFILE%\Documents\GitHub\eaglep3\Utilities\DownloadLogsFromS3.py --loco 4043 --day 2017-11-01</v>
      </c>
      <c r="AN82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19:51:31"},{"id":29,"name":"Sharepoint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46"/>
        <v>https://d0f6bd738d7f1b3e5a7ca70fe4ff75f0.us-east-1.aws.found.io/app/kibana#/discover/Steve-Slow-Train-Analysis-(2080s-and-2083s)?_g=(refreshInterval:(display:Off,pause:!f,section:0,value:0),time:(from:'2017-11-01T12:05:36-0600',mode:absolute,to:'2017-11-01T14:51:31-0600'))&amp;_a=(columns:!('Message%20ID',Summary),filters:!(),index:'emp_*',interval:auto,query:(query_string:(analyze_wildcard:!t,query:'%22rtdc.l.rtdc.4043%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632</v>
      </c>
      <c r="B83" s="7">
        <v>4004</v>
      </c>
      <c r="C83" s="21" t="s">
        <v>194</v>
      </c>
      <c r="D83" s="21" t="s">
        <v>914</v>
      </c>
      <c r="E83" s="13">
        <v>43040.545555555553</v>
      </c>
      <c r="F83" s="13">
        <v>43040.522743055553</v>
      </c>
      <c r="G83" s="7">
        <v>94</v>
      </c>
      <c r="H83" s="21" t="s">
        <v>915</v>
      </c>
      <c r="I83" s="13">
        <v>43040.539780092593</v>
      </c>
      <c r="J83" s="7">
        <v>0</v>
      </c>
      <c r="K83" s="89" t="str">
        <f t="shared" si="29"/>
        <v>4003/4004</v>
      </c>
      <c r="L83" s="185" t="str">
        <f>VLOOKUP(A83,'Trips&amp;Operators'!$C$1:$G$99911,5,FALSE)</f>
        <v>NEWELL JAMES</v>
      </c>
      <c r="M83" s="6">
        <f t="shared" si="30"/>
        <v>1.7037037039699499E-2</v>
      </c>
      <c r="N83" s="7"/>
      <c r="O83" s="7"/>
      <c r="P83" s="7">
        <f>24*60*SUM($M83:$M83)</f>
        <v>24.533333337167278</v>
      </c>
      <c r="Q83" s="22"/>
      <c r="R83" s="174" t="s">
        <v>1099</v>
      </c>
      <c r="S83" s="221">
        <f t="shared" si="31"/>
        <v>1</v>
      </c>
      <c r="T83" s="174" t="str">
        <f t="shared" si="32"/>
        <v>NorthBound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 t="shared" si="33"/>
        <v>https://d0f6bd738d7f1b3e5a7ca70fe4ff75f0.us-east-1.aws.found.io/app/kibana#/discover/Steve-Slow-Train-Analysis-(2080s-and-2083s)?_g=(refreshInterval:(display:Off,pause:!f,section:0,value:0),time:(from:'2017-11-01T12:05:36-0600',mode:absolute,to:'2017-11-01T13:57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3" s="204" t="str">
        <f>IF(AA83&lt;VLOOKUP(AG83,Variables!$AC$3:$AD$8,2,FALSE),"Y","N")</f>
        <v>Y</v>
      </c>
      <c r="X83" s="204">
        <f t="shared" si="34"/>
        <v>1</v>
      </c>
      <c r="Y83" s="204">
        <v>4.5499999999999999E-2</v>
      </c>
      <c r="Z83" s="204">
        <v>15.025</v>
      </c>
      <c r="AA83" s="204">
        <f t="shared" si="37"/>
        <v>14.9795</v>
      </c>
      <c r="AB83" s="54" t="e">
        <f>VLOOKUP(A83,Enforcements!$C$7:$K$10,8,0)</f>
        <v>#N/A</v>
      </c>
      <c r="AC83" s="51" t="e">
        <f>VLOOKUP(A83,Enforcements!$C$7:$E$10,3,0)</f>
        <v>#N/A</v>
      </c>
      <c r="AD83" s="179">
        <f t="shared" si="38"/>
        <v>171</v>
      </c>
      <c r="AE83" s="77" t="str">
        <f t="shared" si="39"/>
        <v>aws s3 cp s3://rtdc.mdm.uploadarchive.raw/RTDC4004/ "%USERPROFILE%\AppData\Local\Temp\OnboardLogs"\RTDC4004\2017-11-01 --exclude "*" --recursive --include "*20171101*" &amp; "%USERPROFILE%\Documents\GitHub\mrs-test-scripts\Headless Mode &amp; Sideloading\WalkAndUnGZ.bat" "%USERPROFILE%\AppData\Local\Temp\OnboardLogs"\RTDC4004\2017-11-01 &amp; aws s3 cp s3://rtdc.mdm.uploadarchive.raw/RTDC4004/ "%USERPROFILE%\AppData\Local\Temp\OnboardLogs"\RTDC4004\2017-11-02 --exclude "*" --recursive --include "*20171102*" &amp; "%USERPROFILE%\Documents\GitHub\mrs-test-scripts\Headless Mode &amp; Sideloading\WalkAndUnGZ.bat" "%USERPROFILE%\AppData\Local\Temp\OnboardLogs"\RTDC4004\2017-11-02</v>
      </c>
      <c r="AF83" s="74" t="str">
        <f t="shared" si="40"/>
        <v>"C:\Program Files (x86)\AstroGrep\AstroGrep.exe" /e /r /s /spath="%USERPROFILE%\AppData\Local\Temp\OnboardLogs" /stypes="app*4004*20171101*" /stext=" 18:.+((SYSTEM_STATE.+slice.+state.+changed )|(ment ac)|(multiple cpu faults)|(system.+state.+changed )|(\[timeout)|(PRM\|1\|D)|(kpr)|(kdp)|(train st.+moving)|(\|lc)|(penalty))"</v>
      </c>
      <c r="AG83" s="182" t="str">
        <f t="shared" si="41"/>
        <v>EC</v>
      </c>
      <c r="AH83" s="78" t="str">
        <f t="shared" ref="AH83" si="47">refinertdcruntimes&amp;" --tripid "&amp;A83&amp;" --locoid "&amp;B83&amp;" --swversion "&amp;C83&amp;" --startMP "&amp;D83&amp;" --initTime "&amp;TEXT(E83,"yyyy-mm-ddTHH:MM:SS")&amp;" --startdatetime "&amp;TEXT(F83,"yyyy-mm-ddTHH:MM:SS")&amp;" --delay "&amp;G83&amp;" --endMP "&amp;H83&amp;" --enddatetime "&amp;TEXT(I83,"yyyy-mm-ddTHH:MM:SS")&amp;" --enforcementcount "&amp;J83&amp;IF(outputrefinedruntimes," &gt;&gt;"&amp;RefinedRTDCRunTimesOutputFile,"")</f>
        <v>"%USERPROFILE%\Documents\GitHub\eaglep3\Utilities\RefineRTDCRunTimes.py" --tripid 171-01 --locoid 4004 --swversion DE.1.0.9.0 --startMP 204:232942 --initTime 2017-11-01T13:05:36 --startdatetime 2017-11-01T12:32:45 --delay 94 --endMP 204:320 --enddatetime 2017-11-01T12:57:17 --enforcementcount 0 &gt;&gt;%USERPROFILE%\Documents\GitHub\eaglep3-reporting\EC\2017-11-01-refined-times.txt</v>
      </c>
      <c r="AI83" s="96" t="str">
        <f t="shared" ref="AI83" si="48">"echo {""issue"":{""subject"":"""&amp;R83&amp;""",""project_id"":79,""tracker_id"":40,""status_id"":"&amp;redmine_status&amp;",""priority_id"":"&amp;redmine_priority&amp;",""assigned_to_id"":"&amp;redmine_assignee&amp;",""start_date"":"""&amp;TEXT(I83,"YYYY-mm-dd")&amp;""",""description"":"""&amp;AJ83&amp;""",""custom_fields"":[{""id"":1,""name"":""Subdivision"",""value"":"""&amp;AG83&amp;"""},{""id"":4,""name"":""Milepost"",""value"":"""&amp;Z83&amp;"""},{""id"":17,""name"":""Train ID"",""value"":"""&amp;A83&amp;"""},{""id"":16,""name"":""Locomotive ID"",""value"":"""&amp;B83&amp;"""},{""id"":130,""name"":""Impact"",""value"":"""&amp;AK83&amp;"""},{""id"":150,""name"":""Time of Event (Mountain Time)"",""value"":"""&amp;TEXT(I83,"hh:mm:ss")&amp;"""},{""id"":151,""name"":""Denver Issue ID"",""value"":"""&amp;"""},{""id"":178,""name"":""Operational Impact"",""value"":"""&amp;redmine_op_impact&amp;"""},{""id"":179,""name"":""Denver Segment Assigned"",""value"":"""&amp;AL83&amp;"""}]}}"&amp;" | curl --insecure -X POST -H ""Content-Type: application/json"" -H ""X-Redmine-API-Key: "&amp;redm_api_key&amp;""" "&amp;redm_url&amp;" --data @-"</f>
        <v>echo {"issue":{"subject":"Wi-MAX data drop (referred to as Trip 166/4001 in Incident Report 56438)","project_id":79,"tracker_id":40,"status_id":1,"priority_id":2,"assigned_to_id":338,"start_date":"2017-11-01","description":"","custom_fields":[{"id":1,"name":"Subdivision","value":"EC"},{"id":4,"name":"Milepost","value":"15.025"},{"id":17,"name":"Train ID","value":"171-01"},{"id":16,"name":"Locomotive ID","value":"4004"},{"id":130,"name":"Impact","value":""},{"id":150,"name":"Time of Event (Mountain Time)","value":"12:57:17"},{"id":151,"name":"Denver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0"/>
      <c r="AK83" s="47"/>
      <c r="AL83" s="47"/>
      <c r="AM83" s="142" t="str">
        <f t="shared" ref="AM83" si="49">"start /low /b "&amp;dls3logs&amp;" --loco "&amp;B83&amp;" --day "&amp;TEXT(F83,"YYYY-MM-DD")</f>
        <v>start /low /b %USERPROFILE%\Documents\GitHub\eaglep3\Utilities\DownloadLogsFromS3.py --loco 4004 --day 2017-11-01</v>
      </c>
      <c r="AN83" s="151" t="str">
        <f t="shared" ref="AN83" si="50">"echo {""issue"":{""subject"":"""&amp;R83&amp;""",""project_id"":30,""tracker_id"":4,""status_id"":"&amp;redmine_status_wcr&amp;",""priority_id"":"&amp;redmine_priority_wcr&amp;",""assigned_to_id"":"&amp;redmine_assignee_wcr&amp;",""start_date"":"""&amp;TEXT(I83-utc_offset/24,"YYYY-mm-dd")&amp;""",""description"":"""&amp;AJ83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{"issue":{"subject":"Wi-MAX data drop (referred to as Trip 166/4001 in Incident Report 56438)","project_id":30,"tracker_id":4,"status_id":1,"priority_id":1,"assigned_to_id":10,"start_date":"2017-11-01","description":"","custom_fields":[{"id":30,"name":"Category","value":"Issue"},{"id":3,"name":"Functional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18:57:17"},{"id":29,"name":"Sharepoint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ref="AO83" si="51"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Message%20ID',Summary),filters:!(),index:'emp_*',interval:auto,query:"&amp;"(query_string:(analyze_wildcard:!t,query:'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-11-01T12:05:36-0600',mode:absolute,to:'2017-11-01T13:57:17-0600'))&amp;_a=(columns:!('Message%20ID',Summary),filters:!(),index:'emp_*',interval:auto,query:(query_string:(analyze_wildcard:!t,query:'%22rtdc.l.rtdc.4004%22')),sort:!(Time.ISO8601,asc))</v>
      </c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0"/>
      <c r="BI83" s="20"/>
      <c r="BJ83" s="20"/>
      <c r="BK83" s="20"/>
      <c r="BL83" s="20"/>
      <c r="BM83" s="20"/>
      <c r="BN83" s="20"/>
      <c r="BO83" s="20"/>
      <c r="BP83" s="20"/>
      <c r="BQ83" s="20"/>
      <c r="BR83" s="20"/>
      <c r="BS83" s="20"/>
      <c r="BT83" s="20"/>
      <c r="BU83" s="20"/>
      <c r="BV83" s="20"/>
      <c r="BW83" s="20"/>
      <c r="BX83" s="20"/>
      <c r="BY83" s="20"/>
      <c r="BZ83" s="20"/>
      <c r="CA83" s="20"/>
      <c r="CB83" s="20"/>
      <c r="CC83" s="20"/>
      <c r="CD83" s="20"/>
      <c r="CE83" s="20"/>
      <c r="CF83" s="20"/>
      <c r="CG83" s="20"/>
      <c r="CH83" s="20"/>
      <c r="CI83" s="20"/>
      <c r="CJ83" s="20"/>
      <c r="CK83" s="20"/>
      <c r="CL83" s="20"/>
      <c r="CM83" s="20"/>
    </row>
    <row r="84" spans="1:91" s="1" customFormat="1" x14ac:dyDescent="0.25">
      <c r="A84" s="32" t="s">
        <v>769</v>
      </c>
      <c r="B84" s="7">
        <v>4003</v>
      </c>
      <c r="C84" s="21" t="s">
        <v>194</v>
      </c>
      <c r="D84" s="21" t="s">
        <v>914</v>
      </c>
      <c r="E84" s="13">
        <v>43040.545555555553</v>
      </c>
      <c r="F84" s="13">
        <v>43040.560555555552</v>
      </c>
      <c r="G84" s="7">
        <v>94</v>
      </c>
      <c r="H84" s="21" t="s">
        <v>915</v>
      </c>
      <c r="I84" s="13">
        <v>43040.588368055556</v>
      </c>
      <c r="J84" s="7">
        <v>0</v>
      </c>
      <c r="K84" s="89" t="str">
        <f t="shared" si="29"/>
        <v>4003/4004</v>
      </c>
      <c r="L84" s="185" t="str">
        <f>VLOOKUP(A84,'Trips&amp;Operators'!$C$1:$G$99911,5,FALSE)</f>
        <v>NEWELL JAMES</v>
      </c>
      <c r="M84" s="6">
        <f t="shared" si="30"/>
        <v>2.7812500004074536E-2</v>
      </c>
      <c r="N84" s="7">
        <f t="shared" ref="N84:P117" si="52">24*60*SUM($M84:$M84)</f>
        <v>40.050000005867332</v>
      </c>
      <c r="O84" s="7"/>
      <c r="P84" s="7"/>
      <c r="Q84" s="22"/>
      <c r="R84" s="174"/>
      <c r="S84" s="221">
        <f t="shared" si="31"/>
        <v>1</v>
      </c>
      <c r="T84" s="174" t="str">
        <f t="shared" si="32"/>
        <v>Southbound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 t="shared" si="33"/>
        <v>https://d0f6bd738d7f1b3e5a7ca70fe4ff75f0.us-east-1.aws.found.io/app/kibana#/discover/Steve-Slow-Train-Analysis-(2080s-and-2083s)?_g=(refreshInterval:(display:Off,pause:!f,section:0,value:0),time:(from:'2017-11-01T12:05:36-0600',mode:absolute,to:'2017-11-01T15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4" s="204" t="str">
        <f>IF(AA84&lt;VLOOKUP(AG84,Variables!$AC$3:$AD$8,2,FALSE),"Y","N")</f>
        <v>N</v>
      </c>
      <c r="X84" s="204">
        <f t="shared" ref="X84:X87" si="53">VALUE(LEFT(AD84,4))-VALUE(LEFT(AD83,4))</f>
        <v>1</v>
      </c>
      <c r="Y84" s="204">
        <f t="shared" ref="Y84:Y117" si="54">RIGHT(D84,LEN(D84)-4)/10000</f>
        <v>23.2942</v>
      </c>
      <c r="Z84" s="204">
        <f t="shared" ref="Z84:Z117" si="55">RIGHT(H84,LEN(H84)-4)/10000</f>
        <v>3.2000000000000001E-2</v>
      </c>
      <c r="AA84" s="204">
        <f t="shared" si="37"/>
        <v>23.2622</v>
      </c>
      <c r="AB84" s="54" t="e">
        <f>VLOOKUP(A84,Enforcements!$C$7:$K$10,8,0)</f>
        <v>#N/A</v>
      </c>
      <c r="AC84" s="51" t="e">
        <f>VLOOKUP(A84,Enforcements!$C$7:$E$10,3,0)</f>
        <v>#N/A</v>
      </c>
      <c r="AD84" s="179">
        <f t="shared" si="38"/>
        <v>172</v>
      </c>
      <c r="AE84" s="77" t="str">
        <f t="shared" si="39"/>
        <v>aws s3 cp s3://rtdc.mdm.uploadarchive.raw/RTDC4003/ "%USERPROFILE%\AppData\Local\Temp\OnboardLogs"\RTDC4003\2017-11-01 --exclude "*" --recursive --include "*20171101*" &amp; "%USERPROFILE%\Documents\GitHub\mrs-test-scripts\Headless Mode &amp; Sideloading\WalkAndUnGZ.bat" "%USERPROFILE%\AppData\Local\Temp\OnboardLogs"\RTDC4003\2017-11-01 &amp; aws s3 cp s3://rtdc.mdm.uploadarchive.raw/RTDC4003/ "%USERPROFILE%\AppData\Local\Temp\OnboardLogs"\RTDC4003\2017-11-02 --exclude "*" --recursive --include "*20171102*" &amp; "%USERPROFILE%\Documents\GitHub\mrs-test-scripts\Headless Mode &amp; Sideloading\WalkAndUnGZ.bat" "%USERPROFILE%\AppData\Local\Temp\OnboardLogs"\RTDC4003\2017-11-02</v>
      </c>
      <c r="AF84" s="74" t="str">
        <f t="shared" si="40"/>
        <v>"C:\Program Files (x86)\AstroGrep\AstroGrep.exe" /e /r /s /spath="%USERPROFILE%\AppData\Local\Temp\OnboardLogs" /stypes="app*4003*20171101*" /stext=" 20:.+((SYSTEM_STATE.+slice.+state.+changed )|(ment ac)|(multiple cpu faults)|(system.+state.+changed )|(\[timeout)|(PRM\|1\|D)|(kpr)|(kdp)|(train st.+moving)|(\|lc)|(penalty))"</v>
      </c>
      <c r="AG84" s="182" t="str">
        <f t="shared" si="41"/>
        <v>EC</v>
      </c>
      <c r="AH84" s="78" t="str">
        <f t="shared" ref="AH84" si="56">refinertdcruntimes&amp;" --tripid "&amp;A84&amp;" --locoid "&amp;B84&amp;" --swversion "&amp;C84&amp;" --startMP "&amp;D84&amp;" --initTime "&amp;TEXT(E84,"yyyy-mm-ddTHH:MM:SS")&amp;" --startdatetime "&amp;TEXT(F84,"yyyy-mm-ddTHH:MM:SS")&amp;" --delay "&amp;G84&amp;" --endMP "&amp;H84&amp;" --enddatetime "&amp;TEXT(I84,"yyyy-mm-ddTHH:MM:SS")&amp;" --enforcementcount "&amp;J84&amp;IF(outputrefinedruntimes," &gt;&gt;"&amp;RefinedRTDCRunTimesOutputFile,"")</f>
        <v>"%USERPROFILE%\Documents\GitHub\eaglep3\Utilities\RefineRTDCRunTimes.py" --tripid 172-01 --locoid 4003 --swversion DE.1.0.9.0 --startMP 204:232942 --initTime 2017-11-01T13:05:36 --startdatetime 2017-11-01T13:27:12 --delay 94 --endMP 204:320 --enddatetime 2017-11-01T14:07:15 --enforcementcount 0 &gt;&gt;%USERPROFILE%\Documents\GitHub\eaglep3-reporting\EC\2017-11-01-refined-times.txt</v>
      </c>
      <c r="AI84" s="96" t="str">
        <f t="shared" ref="AI84" si="57">"echo {""issue"":{""subject"":"""&amp;R84&amp;""",""project_id"":79,""tracker_id"":40,""status_id"":"&amp;redmine_status&amp;",""priority_id"":"&amp;redmine_priority&amp;",""assigned_to_id"":"&amp;redmine_assignee&amp;",""start_date"":"""&amp;TEXT(I84,"YYYY-mm-dd")&amp;""",""description"":"""&amp;AJ84&amp;""",""custom_fields"":[{""id"":1,""name"":""Subdivision"",""value"":"""&amp;AG84&amp;"""},{""id"":4,""name"":""Milepost"",""value"":"""&amp;Z84&amp;"""},{""id"":17,""name"":""Train ID"",""value"":"""&amp;A84&amp;"""},{""id"":16,""name"":""Locomotive ID"",""value"":"""&amp;B84&amp;"""},{""id"":130,""name"":""Impact"",""value"":"""&amp;AK84&amp;"""},{""id"":150,""name"":""Time of Event (Mountain Time)"",""value"":"""&amp;TEXT(I84,"hh:mm:ss")&amp;"""},{""id"":151,""name"":""Denver Issue ID"",""value"":"""&amp;"""},{""id"":178,""name"":""Operational Impact"",""value"":"""&amp;redmine_op_impact&amp;"""},{""id"":179,""name"":""Denver Segment Assigned"",""value"":"""&amp;AL84&amp;"""}]}}"&amp;"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{"issue":{"subject":"","project_id":79,"tracker_id":40,"status_id":1,"priority_id":2,"assigned_to_id":338,"start_date":"2017-11-01","description":"","custom_fields":[{"id":1,"name":"Subdivision","value":"EC"},{"id":4,"name":"Milepost","value":"0.032"},{"id":17,"name":"Train ID","value":"172-01"},{"id":16,"name":"Locomotive ID","value":"4003"},{"id":130,"name":"Impact","value":""},{"id":150,"name":"Time of Event (Mountain Time)","value":"14:07:15"},{"id":151,"name":"Denver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0"/>
      <c r="AK84" s="47"/>
      <c r="AL84" s="47"/>
      <c r="AM84" s="142" t="str">
        <f t="shared" ref="AM84" si="58">"start /low /b "&amp;dls3logs&amp;" --loco "&amp;B84&amp;" --day "&amp;TEXT(F84,"YYYY-MM-DD")</f>
        <v>start /low /b %USERPROFILE%\Documents\GitHub\eaglep3\Utilities\DownloadLogsFromS3.py --loco 4003 --day 2017-11-01</v>
      </c>
      <c r="AN84" s="151" t="str">
        <f t="shared" ref="AN84" si="59">"echo {""issue"":{""subject"":"""&amp;R84&amp;""",""project_id"":30,""tracker_id"":4,""status_id"":"&amp;redmine_status_wcr&amp;",""priority_id"":"&amp;redmine_priority_wcr&amp;",""assigned_to_id"":"&amp;redmine_assignee_wcr&amp;",""start_date"":"""&amp;TEXT(I84-utc_offset/24,"YYYY-mm-dd")&amp;""",""description"":"""&amp;AJ84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20:07:15"},{"id":29,"name":"Sharepoint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ref="AO84" si="60"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Message%20ID',Summary),filters:!(),index:'emp_*',interval:auto,query:"&amp;"(query_string:(analyze_wildcard:!t,query:'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-11-01T12:05:36-0600',mode:absolute,to:'2017-11-01T15:07:15-0600'))&amp;_a=(columns:!('Message%20ID',Summary),filters:!(),index:'emp_*',interval:auto,query:(query_string:(analyze_wildcard:!t,query:'%22rtdc.l.rtdc.4003%22')),sort:!(Time.ISO8601,asc))</v>
      </c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0"/>
      <c r="BI84" s="20"/>
      <c r="BJ84" s="20"/>
      <c r="BK84" s="20"/>
      <c r="BL84" s="20"/>
      <c r="BM84" s="20"/>
      <c r="BN84" s="20"/>
      <c r="BO84" s="20"/>
      <c r="BP84" s="20"/>
      <c r="BQ84" s="20"/>
      <c r="BR84" s="20"/>
      <c r="BS84" s="20"/>
      <c r="BT84" s="20"/>
      <c r="BU84" s="20"/>
      <c r="BV84" s="20"/>
      <c r="BW84" s="20"/>
      <c r="BX84" s="20"/>
      <c r="BY84" s="20"/>
      <c r="BZ84" s="20"/>
      <c r="CA84" s="20"/>
      <c r="CB84" s="20"/>
      <c r="CC84" s="20"/>
      <c r="CD84" s="20"/>
      <c r="CE84" s="20"/>
      <c r="CF84" s="20"/>
      <c r="CG84" s="20"/>
      <c r="CH84" s="20"/>
      <c r="CI84" s="20"/>
      <c r="CJ84" s="20"/>
      <c r="CK84" s="20"/>
      <c r="CL84" s="20"/>
      <c r="CM84" s="20"/>
    </row>
    <row r="85" spans="1:91" s="1" customFormat="1" x14ac:dyDescent="0.25">
      <c r="A85" s="32" t="s">
        <v>761</v>
      </c>
      <c r="B85" s="7">
        <v>4042</v>
      </c>
      <c r="C85" s="21" t="s">
        <v>194</v>
      </c>
      <c r="D85" s="21" t="s">
        <v>448</v>
      </c>
      <c r="E85" s="13">
        <v>43040.529629629629</v>
      </c>
      <c r="F85" s="13">
        <v>43040.531458333331</v>
      </c>
      <c r="G85" s="7">
        <v>62</v>
      </c>
      <c r="H85" s="21" t="s">
        <v>916</v>
      </c>
      <c r="I85" s="13">
        <v>43040.555451388886</v>
      </c>
      <c r="J85" s="7">
        <v>0</v>
      </c>
      <c r="K85" s="89" t="str">
        <f t="shared" si="29"/>
        <v>4041/4042</v>
      </c>
      <c r="L85" s="185" t="str">
        <f>VLOOKUP(A85,'Trips&amp;Operators'!$C$1:$G$99911,5,FALSE)</f>
        <v>HOLCOMB KAMDEN</v>
      </c>
      <c r="M85" s="6">
        <f t="shared" si="30"/>
        <v>2.3993055554456078E-2</v>
      </c>
      <c r="N85" s="7">
        <f t="shared" si="52"/>
        <v>34.549999998416752</v>
      </c>
      <c r="O85" s="7"/>
      <c r="P85" s="7"/>
      <c r="Q85" s="22"/>
      <c r="R85" s="174"/>
      <c r="S85" s="221">
        <f t="shared" si="31"/>
        <v>1</v>
      </c>
      <c r="T85" s="174" t="str">
        <f t="shared" si="32"/>
        <v>NorthBound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 t="shared" si="33"/>
        <v>https://d0f6bd738d7f1b3e5a7ca70fe4ff75f0.us-east-1.aws.found.io/app/kibana#/discover/Steve-Slow-Train-Analysis-(2080s-and-2083s)?_g=(refreshInterval:(display:Off,pause:!f,section:0,value:0),time:(from:'2017-11-01T11:42:40-0600',mode:absolute,to:'2017-11-01T14:19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5" s="204" t="str">
        <f>IF(AA85&lt;VLOOKUP(AG85,Variables!$AC$3:$AD$8,2,FALSE),"Y","N")</f>
        <v>N</v>
      </c>
      <c r="X85" s="204">
        <f t="shared" si="53"/>
        <v>1</v>
      </c>
      <c r="Y85" s="204">
        <f t="shared" si="54"/>
        <v>4.9700000000000001E-2</v>
      </c>
      <c r="Z85" s="204">
        <f t="shared" si="55"/>
        <v>23.309200000000001</v>
      </c>
      <c r="AA85" s="204">
        <f t="shared" si="37"/>
        <v>23.259499999999999</v>
      </c>
      <c r="AB85" s="54" t="e">
        <f>VLOOKUP(A85,Enforcements!$C$7:$K$10,8,0)</f>
        <v>#N/A</v>
      </c>
      <c r="AC85" s="51" t="e">
        <f>VLOOKUP(A85,Enforcements!$C$7:$E$10,3,0)</f>
        <v>#N/A</v>
      </c>
      <c r="AD85" s="179">
        <f t="shared" si="38"/>
        <v>173</v>
      </c>
      <c r="AE85" s="77" t="str">
        <f t="shared" si="39"/>
        <v>aws s3 cp s3://rtdc.mdm.uploadarchive.raw/RTDC4042/ "%USERPROFILE%\AppData\Local\Temp\OnboardLogs"\RTDC4042\2017-11-01 --exclude "*" --recursive --include "*20171101*" &amp; "%USERPROFILE%\Documents\GitHub\mrs-test-scripts\Headless Mode &amp; Sideloading\WalkAndUnGZ.bat" "%USERPROFILE%\AppData\Local\Temp\OnboardLogs"\RTDC4042\2017-11-01 &amp; aws s3 cp s3://rtdc.mdm.uploadarchive.raw/RTDC4042/ "%USERPROFILE%\AppData\Local\Temp\OnboardLogs"\RTDC4042\2017-11-02 --exclude "*" --recursive --include "*20171102*" &amp; "%USERPROFILE%\Documents\GitHub\mrs-test-scripts\Headless Mode &amp; Sideloading\WalkAndUnGZ.bat" "%USERPROFILE%\AppData\Local\Temp\OnboardLogs"\RTDC4042\2017-11-02</v>
      </c>
      <c r="AF85" s="74" t="str">
        <f t="shared" si="40"/>
        <v>"C:\Program Files (x86)\AstroGrep\AstroGrep.exe" /e /r /s /spath="%USERPROFILE%\AppData\Local\Temp\OnboardLogs" /stypes="app*4042*20171101*" /stext=" 19:.+((SYSTEM_STATE.+slice.+state.+changed )|(ment ac)|(multiple cpu faults)|(system.+state.+changed )|(\[timeout)|(PRM\|1\|D)|(kpr)|(kdp)|(train st.+moving)|(\|lc)|(penalty))"</v>
      </c>
      <c r="AG85" s="182" t="str">
        <f t="shared" si="41"/>
        <v>EC</v>
      </c>
      <c r="AH85" s="78" t="str">
        <f t="shared" si="42"/>
        <v>"%USERPROFILE%\Documents\GitHub\eaglep3\Utilities\RefineRTDCRunTimes.py" --tripid 173-01 --locoid 4042 --swversion DE.1.0.9.0 --startMP 204:497 --initTime 2017-11-01T12:42:40 --startdatetime 2017-11-01T12:45:18 --delay 62 --endMP 204:233092 --enddatetime 2017-11-01T13:19:51 --enforcementcount 0 &gt;&gt;%USERPROFILE%\Documents\GitHub\eaglep3-reporting\EC\2017-11-01-refined-times.txt</v>
      </c>
      <c r="AI85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{"issue":{"subject":"","project_id":79,"tracker_id":40,"status_id":1,"priority_id":2,"assigned_to_id":338,"start_date":"2017-11-01","description":"","custom_fields":[{"id":1,"name":"Subdivision","value":"EC"},{"id":4,"name":"Milepost","value":"23.3092"},{"id":17,"name":"Train ID","value":"173-01"},{"id":16,"name":"Locomotive ID","value":"4042"},{"id":130,"name":"Impact","value":""},{"id":150,"name":"Time of Event (Mountain Time)","value":"13:19:51"},{"id":151,"name":"Denver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0"/>
      <c r="AK85" s="47"/>
      <c r="AL85" s="47"/>
      <c r="AM85" s="142" t="str">
        <f t="shared" si="44"/>
        <v>start /low /b %USERPROFILE%\Documents\GitHub\eaglep3\Utilities\DownloadLogsFromS3.py --loco 4042 --day 2017-11-01</v>
      </c>
      <c r="AN85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19:19:51"},{"id":29,"name":"Sharepoint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46"/>
        <v>https://d0f6bd738d7f1b3e5a7ca70fe4ff75f0.us-east-1.aws.found.io/app/kibana#/discover/Steve-Slow-Train-Analysis-(2080s-and-2083s)?_g=(refreshInterval:(display:Off,pause:!f,section:0,value:0),time:(from:'2017-11-01T11:42:40-0600',mode:absolute,to:'2017-11-01T14:19:51-0600'))&amp;_a=(columns:!('Message%20ID',Summary),filters:!(),index:'emp_*',interval:auto,query:(query_string:(analyze_wildcard:!t,query:'%22rtdc.l.rtdc.4042%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771</v>
      </c>
      <c r="B86" s="7">
        <v>4041</v>
      </c>
      <c r="C86" s="21" t="s">
        <v>194</v>
      </c>
      <c r="D86" s="21" t="s">
        <v>917</v>
      </c>
      <c r="E86" s="13">
        <v>43040.567673611113</v>
      </c>
      <c r="F86" s="13">
        <v>43040.571168981478</v>
      </c>
      <c r="G86" s="7">
        <v>118</v>
      </c>
      <c r="H86" s="21" t="s">
        <v>591</v>
      </c>
      <c r="I86" s="13">
        <v>43040.597638888888</v>
      </c>
      <c r="J86" s="7">
        <v>0</v>
      </c>
      <c r="K86" s="89" t="str">
        <f t="shared" si="29"/>
        <v>4041/4042</v>
      </c>
      <c r="L86" s="185" t="str">
        <f>VLOOKUP(A86,'Trips&amp;Operators'!$C$1:$G$99911,5,FALSE)</f>
        <v>HOLCOMB KAMDEN</v>
      </c>
      <c r="M86" s="6">
        <f t="shared" si="30"/>
        <v>2.6469907410501037E-2</v>
      </c>
      <c r="N86" s="7">
        <f t="shared" si="52"/>
        <v>38.116666671121493</v>
      </c>
      <c r="O86" s="7"/>
      <c r="P86" s="7"/>
      <c r="Q86" s="22"/>
      <c r="R86" s="174"/>
      <c r="S86" s="221">
        <f t="shared" si="31"/>
        <v>1</v>
      </c>
      <c r="T86" s="174" t="str">
        <f t="shared" si="32"/>
        <v>Southbound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 t="shared" si="33"/>
        <v>https://d0f6bd738d7f1b3e5a7ca70fe4ff75f0.us-east-1.aws.found.io/app/kibana#/discover/Steve-Slow-Train-Analysis-(2080s-and-2083s)?_g=(refreshInterval:(display:Off,pause:!f,section:0,value:0),time:(from:'2017-11-01T12:37:27-0600',mode:absolute,to:'2017-11-01T15:20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6" s="204" t="str">
        <f>IF(AA86&lt;VLOOKUP(AG86,Variables!$AC$3:$AD$8,2,FALSE),"Y","N")</f>
        <v>N</v>
      </c>
      <c r="X86" s="204">
        <f t="shared" si="53"/>
        <v>1</v>
      </c>
      <c r="Y86" s="204">
        <f t="shared" si="54"/>
        <v>23.278500000000001</v>
      </c>
      <c r="Z86" s="204">
        <f t="shared" si="55"/>
        <v>2.3800000000000002E-2</v>
      </c>
      <c r="AA86" s="204">
        <f t="shared" si="37"/>
        <v>23.2547</v>
      </c>
      <c r="AB86" s="54" t="e">
        <f>VLOOKUP(A86,Enforcements!$C$7:$K$10,8,0)</f>
        <v>#N/A</v>
      </c>
      <c r="AC86" s="51" t="e">
        <f>VLOOKUP(A86,Enforcements!$C$7:$E$10,3,0)</f>
        <v>#N/A</v>
      </c>
      <c r="AD86" s="179">
        <f t="shared" si="38"/>
        <v>174</v>
      </c>
      <c r="AE86" s="77" t="str">
        <f t="shared" si="39"/>
        <v>aws s3 cp s3://rtdc.mdm.uploadarchive.raw/RTDC4041/ "%USERPROFILE%\AppData\Local\Temp\OnboardLogs"\RTDC4041\2017-11-01 --exclude "*" --recursive --include "*20171101*" &amp; "%USERPROFILE%\Documents\GitHub\mrs-test-scripts\Headless Mode &amp; Sideloading\WalkAndUnGZ.bat" "%USERPROFILE%\AppData\Local\Temp\OnboardLogs"\RTDC4041\2017-11-01 &amp; aws s3 cp s3://rtdc.mdm.uploadarchive.raw/RTDC4041/ "%USERPROFILE%\AppData\Local\Temp\OnboardLogs"\RTDC4041\2017-11-02 --exclude "*" --recursive --include "*20171102*" &amp; "%USERPROFILE%\Documents\GitHub\mrs-test-scripts\Headless Mode &amp; Sideloading\WalkAndUnGZ.bat" "%USERPROFILE%\AppData\Local\Temp\OnboardLogs"\RTDC4041\2017-11-02</v>
      </c>
      <c r="AF86" s="74" t="str">
        <f t="shared" si="40"/>
        <v>"C:\Program Files (x86)\AstroGrep\AstroGrep.exe" /e /r /s /spath="%USERPROFILE%\AppData\Local\Temp\OnboardLogs" /stypes="app*4041*20171101*" /stext=" 20:.+((SYSTEM_STATE.+slice.+state.+changed )|(ment ac)|(multiple cpu faults)|(system.+state.+changed )|(\[timeout)|(PRM\|1\|D)|(kpr)|(kdp)|(train st.+moving)|(\|lc)|(penalty))"</v>
      </c>
      <c r="AG86" s="182" t="str">
        <f t="shared" si="41"/>
        <v>EC</v>
      </c>
      <c r="AH86" s="78" t="str">
        <f t="shared" si="42"/>
        <v>"%USERPROFILE%\Documents\GitHub\eaglep3\Utilities\RefineRTDCRunTimes.py" --tripid 174-01 --locoid 4041 --swversion DE.1.0.9.0 --startMP 204:232785 --initTime 2017-11-01T13:37:27 --startdatetime 2017-11-01T13:42:29 --delay 118 --endMP 204:238 --enddatetime 2017-11-01T14:20:36 --enforcementcount 0 &gt;&gt;%USERPROFILE%\Documents\GitHub\eaglep3-reporting\EC\2017-11-01-refined-times.txt</v>
      </c>
      <c r="AI86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{"issue":{"subject":"","project_id":79,"tracker_id":40,"status_id":1,"priority_id":2,"assigned_to_id":338,"start_date":"2017-11-01","description":"","custom_fields":[{"id":1,"name":"Subdivision","value":"EC"},{"id":4,"name":"Milepost","value":"0.0238"},{"id":17,"name":"Train ID","value":"174-01"},{"id":16,"name":"Locomotive ID","value":"4041"},{"id":130,"name":"Impact","value":""},{"id":150,"name":"Time of Event (Mountain Time)","value":"14:20:36"},{"id":151,"name":"Denver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0"/>
      <c r="AK86" s="47"/>
      <c r="AL86" s="47"/>
      <c r="AM86" s="142" t="str">
        <f t="shared" si="44"/>
        <v>start /low /b %USERPROFILE%\Documents\GitHub\eaglep3\Utilities\DownloadLogsFromS3.py --loco 4041 --day 2017-11-01</v>
      </c>
      <c r="AN86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20:20:36"},{"id":29,"name":"Sharepoint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46"/>
        <v>https://d0f6bd738d7f1b3e5a7ca70fe4ff75f0.us-east-1.aws.found.io/app/kibana#/discover/Steve-Slow-Train-Analysis-(2080s-and-2083s)?_g=(refreshInterval:(display:Off,pause:!f,section:0,value:0),time:(from:'2017-11-01T12:37:27-0600',mode:absolute,to:'2017-11-01T15:20:36-0600'))&amp;_a=(columns:!('Message%20ID',Summary),filters:!(),index:'emp_*',interval:auto,query:(query_string:(analyze_wildcard:!t,query:'%22rtdc.l.rtdc.4041%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765</v>
      </c>
      <c r="B87" s="7">
        <v>4050</v>
      </c>
      <c r="C87" s="21" t="s">
        <v>194</v>
      </c>
      <c r="D87" s="21" t="s">
        <v>420</v>
      </c>
      <c r="E87" s="13">
        <v>43040.537523148145</v>
      </c>
      <c r="F87" s="13">
        <v>43040.54184027778</v>
      </c>
      <c r="G87" s="7">
        <v>65</v>
      </c>
      <c r="H87" s="21" t="s">
        <v>918</v>
      </c>
      <c r="I87" s="13">
        <v>43040.566817129627</v>
      </c>
      <c r="J87" s="7">
        <v>0</v>
      </c>
      <c r="K87" s="89" t="str">
        <f t="shared" si="29"/>
        <v>4049/4050</v>
      </c>
      <c r="L87" s="185" t="str">
        <f>VLOOKUP(A87,'Trips&amp;Operators'!$C$1:$G$99911,5,FALSE)</f>
        <v>BRUDER RICHARD</v>
      </c>
      <c r="M87" s="6">
        <f t="shared" si="30"/>
        <v>2.4976851847895887E-2</v>
      </c>
      <c r="N87" s="7">
        <f t="shared" si="52"/>
        <v>35.966666660970077</v>
      </c>
      <c r="O87" s="7"/>
      <c r="P87" s="7"/>
      <c r="Q87" s="22"/>
      <c r="R87" s="174"/>
      <c r="S87" s="221">
        <f t="shared" si="31"/>
        <v>1</v>
      </c>
      <c r="T87" s="174" t="str">
        <f t="shared" si="32"/>
        <v>NorthBound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 t="shared" si="33"/>
        <v>https://d0f6bd738d7f1b3e5a7ca70fe4ff75f0.us-east-1.aws.found.io/app/kibana#/discover/Steve-Slow-Train-Analysis-(2080s-and-2083s)?_g=(refreshInterval:(display:Off,pause:!f,section:0,value:0),time:(from:'2017-11-01T11:54:02-0600',mode:absolute,to:'2017-11-01T14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87" s="204" t="str">
        <f>IF(AA87&lt;VLOOKUP(AG87,Variables!$AC$3:$AD$8,2,FALSE),"Y","N")</f>
        <v>N</v>
      </c>
      <c r="X87" s="204">
        <f t="shared" si="53"/>
        <v>1</v>
      </c>
      <c r="Y87" s="204">
        <f t="shared" si="54"/>
        <v>5.5500000000000001E-2</v>
      </c>
      <c r="Z87" s="204">
        <f t="shared" si="55"/>
        <v>23.321200000000001</v>
      </c>
      <c r="AA87" s="204">
        <f t="shared" si="37"/>
        <v>23.265700000000002</v>
      </c>
      <c r="AB87" s="54" t="e">
        <f>VLOOKUP(A87,Enforcements!$C$7:$K$10,8,0)</f>
        <v>#N/A</v>
      </c>
      <c r="AC87" s="51" t="e">
        <f>VLOOKUP(A87,Enforcements!$C$7:$E$10,3,0)</f>
        <v>#N/A</v>
      </c>
      <c r="AD87" s="179">
        <f t="shared" si="38"/>
        <v>175</v>
      </c>
      <c r="AE87" s="77" t="str">
        <f t="shared" si="39"/>
        <v>aws s3 cp s3://rtdc.mdm.uploadarchive.raw/RTDC4050/ "%USERPROFILE%\AppData\Local\Temp\OnboardLogs"\RTDC4050\2017-11-01 --exclude "*" --recursive --include "*20171101*" &amp; "%USERPROFILE%\Documents\GitHub\mrs-test-scripts\Headless Mode &amp; Sideloading\WalkAndUnGZ.bat" "%USERPROFILE%\AppData\Local\Temp\OnboardLogs"\RTDC4050\2017-11-01 &amp; aws s3 cp s3://rtdc.mdm.uploadarchive.raw/RTDC4050/ "%USERPROFILE%\AppData\Local\Temp\OnboardLogs"\RTDC4050\2017-11-02 --exclude "*" --recursive --include "*20171102*" &amp; "%USERPROFILE%\Documents\GitHub\mrs-test-scripts\Headless Mode &amp; Sideloading\WalkAndUnGZ.bat" "%USERPROFILE%\AppData\Local\Temp\OnboardLogs"\RTDC4050\2017-11-02</v>
      </c>
      <c r="AF87" s="74" t="str">
        <f t="shared" si="40"/>
        <v>"C:\Program Files (x86)\AstroGrep\AstroGrep.exe" /e /r /s /spath="%USERPROFILE%\AppData\Local\Temp\OnboardLogs" /stypes="app*4050*20171101*" /stext=" 19:.+((SYSTEM_STATE.+slice.+state.+changed )|(ment ac)|(multiple cpu faults)|(system.+state.+changed )|(\[timeout)|(PRM\|1\|D)|(kpr)|(kdp)|(train st.+moving)|(\|lc)|(penalty))"</v>
      </c>
      <c r="AG87" s="182" t="str">
        <f t="shared" si="41"/>
        <v>EC</v>
      </c>
      <c r="AH87" s="78" t="str">
        <f t="shared" si="42"/>
        <v>"%USERPROFILE%\Documents\GitHub\eaglep3\Utilities\RefineRTDCRunTimes.py" --tripid 175-01 --locoid 4050 --swversion DE.1.0.9.0 --startMP 204:555 --initTime 2017-11-01T12:54:02 --startdatetime 2017-11-01T13:00:15 --delay 65 --endMP 204:233212 --enddatetime 2017-11-01T13:36:13 --enforcementcount 0 &gt;&gt;%USERPROFILE%\Documents\GitHub\eaglep3-reporting\EC\2017-11-01-refined-times.txt</v>
      </c>
      <c r="AI87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{"issue":{"subject":"","project_id":79,"tracker_id":40,"status_id":1,"priority_id":2,"assigned_to_id":338,"start_date":"2017-11-01","description":"","custom_fields":[{"id":1,"name":"Subdivision","value":"EC"},{"id":4,"name":"Milepost","value":"23.3212"},{"id":17,"name":"Train ID","value":"175-01"},{"id":16,"name":"Locomotive ID","value":"4050"},{"id":130,"name":"Impact","value":""},{"id":150,"name":"Time of Event (Mountain Time)","value":"13:36:13"},{"id":151,"name":"Denver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0"/>
      <c r="AK87" s="47"/>
      <c r="AL87" s="47"/>
      <c r="AM87" s="142" t="str">
        <f t="shared" si="44"/>
        <v>start /low /b %USERPROFILE%\Documents\GitHub\eaglep3\Utilities\DownloadLogsFromS3.py --loco 4050 --day 2017-11-01</v>
      </c>
      <c r="AN87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19:36:13"},{"id":29,"name":"Sharepoint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46"/>
        <v>https://d0f6bd738d7f1b3e5a7ca70fe4ff75f0.us-east-1.aws.found.io/app/kibana#/discover/Steve-Slow-Train-Analysis-(2080s-and-2083s)?_g=(refreshInterval:(display:Off,pause:!f,section:0,value:0),time:(from:'2017-11-01T11:54:02-0600',mode:absolute,to:'2017-11-01T14:36:13-0600'))&amp;_a=(columns:!('Message%20ID',Summary),filters:!(),index:'emp_*',interval:auto,query:(query_string:(analyze_wildcard:!t,query:'%22rtdc.l.rtdc.4050%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773</v>
      </c>
      <c r="B88" s="7">
        <v>4049</v>
      </c>
      <c r="C88" s="21" t="s">
        <v>194</v>
      </c>
      <c r="D88" s="21" t="s">
        <v>919</v>
      </c>
      <c r="E88" s="13">
        <v>43040.577962962961</v>
      </c>
      <c r="F88" s="13">
        <v>43040.581493055557</v>
      </c>
      <c r="G88" s="7">
        <v>61</v>
      </c>
      <c r="H88" s="21" t="s">
        <v>440</v>
      </c>
      <c r="I88" s="13">
        <v>43040.607071759259</v>
      </c>
      <c r="J88" s="7">
        <v>0</v>
      </c>
      <c r="K88" s="89" t="str">
        <f t="shared" si="29"/>
        <v>4049/4050</v>
      </c>
      <c r="L88" s="185" t="str">
        <f>VLOOKUP(A88,'Trips&amp;Operators'!$C$1:$G$99911,5,FALSE)</f>
        <v>BRUDER RICHARD</v>
      </c>
      <c r="M88" s="6">
        <f t="shared" si="30"/>
        <v>2.5578703702194616E-2</v>
      </c>
      <c r="N88" s="7">
        <f t="shared" si="52"/>
        <v>36.833333331160247</v>
      </c>
      <c r="O88" s="7"/>
      <c r="P88" s="7"/>
      <c r="Q88" s="22"/>
      <c r="R88" s="174"/>
      <c r="S88" s="221">
        <f t="shared" si="31"/>
        <v>1</v>
      </c>
      <c r="T88" s="174" t="str">
        <f t="shared" si="32"/>
        <v>Southbound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 t="shared" si="33"/>
        <v>https://d0f6bd738d7f1b3e5a7ca70fe4ff75f0.us-east-1.aws.found.io/app/kibana#/discover/Steve-Slow-Train-Analysis-(2080s-and-2083s)?_g=(refreshInterval:(display:Off,pause:!f,section:0,value:0),time:(from:'2017-11-01T12:52:16-0600',mode:absolute,to:'2017-11-01T15:34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8" s="204" t="str">
        <f>IF(AA88&lt;VLOOKUP(AG88,Variables!$AC$3:$AD$8,2,FALSE),"Y","N")</f>
        <v>N</v>
      </c>
      <c r="X88" s="204">
        <f t="shared" ref="X88:X121" si="61">VALUE(LEFT(AD88,4))-VALUE(LEFT(AD87,4))</f>
        <v>1</v>
      </c>
      <c r="Y88" s="204">
        <f t="shared" si="54"/>
        <v>23.2898</v>
      </c>
      <c r="Z88" s="204">
        <f t="shared" si="55"/>
        <v>2.2499999999999999E-2</v>
      </c>
      <c r="AA88" s="204">
        <f t="shared" si="37"/>
        <v>23.267299999999999</v>
      </c>
      <c r="AB88" s="54" t="e">
        <f>VLOOKUP(A88,Enforcements!$C$7:$K$10,8,0)</f>
        <v>#N/A</v>
      </c>
      <c r="AC88" s="51" t="e">
        <f>VLOOKUP(A88,Enforcements!$C$7:$E$10,3,0)</f>
        <v>#N/A</v>
      </c>
      <c r="AD88" s="179">
        <f t="shared" si="38"/>
        <v>176</v>
      </c>
      <c r="AE88" s="77" t="str">
        <f t="shared" si="39"/>
        <v>aws s3 cp s3://rtdc.mdm.uploadarchive.raw/RTDC4049/ "%USERPROFILE%\AppData\Local\Temp\OnboardLogs"\RTDC4049\2017-11-01 --exclude "*" --recursive --include "*20171101*" &amp; "%USERPROFILE%\Documents\GitHub\mrs-test-scripts\Headless Mode &amp; Sideloading\WalkAndUnGZ.bat" "%USERPROFILE%\AppData\Local\Temp\OnboardLogs"\RTDC4049\2017-11-01 &amp; aws s3 cp s3://rtdc.mdm.uploadarchive.raw/RTDC4049/ "%USERPROFILE%\AppData\Local\Temp\OnboardLogs"\RTDC4049\2017-11-02 --exclude "*" --recursive --include "*20171102*" &amp; "%USERPROFILE%\Documents\GitHub\mrs-test-scripts\Headless Mode &amp; Sideloading\WalkAndUnGZ.bat" "%USERPROFILE%\AppData\Local\Temp\OnboardLogs"\RTDC4049\2017-11-02</v>
      </c>
      <c r="AF88" s="74" t="str">
        <f t="shared" si="40"/>
        <v>"C:\Program Files (x86)\AstroGrep\AstroGrep.exe" /e /r /s /spath="%USERPROFILE%\AppData\Local\Temp\OnboardLogs" /stypes="app*4049*20171101*" /stext=" 20:.+((SYSTEM_STATE.+slice.+state.+changed )|(ment ac)|(multiple cpu faults)|(system.+state.+changed )|(\[timeout)|(PRM\|1\|D)|(kpr)|(kdp)|(train st.+moving)|(\|lc)|(penalty))"</v>
      </c>
      <c r="AG88" s="182" t="str">
        <f t="shared" si="41"/>
        <v>EC</v>
      </c>
      <c r="AH88" s="78" t="str">
        <f t="shared" si="42"/>
        <v>"%USERPROFILE%\Documents\GitHub\eaglep3\Utilities\RefineRTDCRunTimes.py" --tripid 176-01 --locoid 4049 --swversion DE.1.0.9.0 --startMP 204:232898 --initTime 2017-11-01T13:52:16 --startdatetime 2017-11-01T13:57:21 --delay 61 --endMP 204:225 --enddatetime 2017-11-01T14:34:11 --enforcementcount 0 &gt;&gt;%USERPROFILE%\Documents\GitHub\eaglep3-reporting\EC\2017-11-01-refined-times.txt</v>
      </c>
      <c r="AI88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{"issue":{"subject":"","project_id":79,"tracker_id":40,"status_id":1,"priority_id":2,"assigned_to_id":338,"start_date":"2017-11-01","description":"","custom_fields":[{"id":1,"name":"Subdivision","value":"EC"},{"id":4,"name":"Milepost","value":"0.0225"},{"id":17,"name":"Train ID","value":"176-01"},{"id":16,"name":"Locomotive ID","value":"4049"},{"id":130,"name":"Impact","value":""},{"id":150,"name":"Time of Event (Mountain Time)","value":"14:34:11"},{"id":151,"name":"Denver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0"/>
      <c r="AK88" s="47"/>
      <c r="AL88" s="47"/>
      <c r="AM88" s="142" t="str">
        <f t="shared" si="44"/>
        <v>start /low /b %USERPROFILE%\Documents\GitHub\eaglep3\Utilities\DownloadLogsFromS3.py --loco 4049 --day 2017-11-01</v>
      </c>
      <c r="AN88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20:34:11"},{"id":29,"name":"Sharepoint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46"/>
        <v>https://d0f6bd738d7f1b3e5a7ca70fe4ff75f0.us-east-1.aws.found.io/app/kibana#/discover/Steve-Slow-Train-Analysis-(2080s-and-2083s)?_g=(refreshInterval:(display:Off,pause:!f,section:0,value:0),time:(from:'2017-11-01T12:52:16-0600',mode:absolute,to:'2017-11-01T15:34:11-0600'))&amp;_a=(columns:!('Message%20ID',Summary),filters:!(),index:'emp_*',interval:auto,query:(query_string:(analyze_wildcard:!t,query:'%22rtdc.l.rtdc.4049%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633</v>
      </c>
      <c r="B89" s="7">
        <v>4026</v>
      </c>
      <c r="C89" s="21" t="s">
        <v>194</v>
      </c>
      <c r="D89" s="21" t="s">
        <v>398</v>
      </c>
      <c r="E89" s="13">
        <v>43040.549016203702</v>
      </c>
      <c r="F89" s="13">
        <v>43040.552291666667</v>
      </c>
      <c r="G89" s="7">
        <v>87</v>
      </c>
      <c r="H89" s="21" t="s">
        <v>920</v>
      </c>
      <c r="I89" s="13">
        <v>43040.577511574076</v>
      </c>
      <c r="J89" s="7">
        <v>0</v>
      </c>
      <c r="K89" s="89" t="str">
        <f t="shared" si="29"/>
        <v>4025/4026</v>
      </c>
      <c r="L89" s="185" t="str">
        <f>VLOOKUP(A89,'Trips&amp;Operators'!$C$1:$G$99911,5,FALSE)</f>
        <v>STEWART MICHAEL</v>
      </c>
      <c r="M89" s="6">
        <f t="shared" si="30"/>
        <v>2.5219907409336884E-2</v>
      </c>
      <c r="N89" s="7">
        <f t="shared" si="52"/>
        <v>36.316666669445112</v>
      </c>
      <c r="O89" s="7"/>
      <c r="P89" s="7"/>
      <c r="Q89" s="22"/>
      <c r="R89" s="174"/>
      <c r="S89" s="221">
        <f t="shared" si="31"/>
        <v>1</v>
      </c>
      <c r="T89" s="174" t="str">
        <f t="shared" si="32"/>
        <v>NorthBound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 t="shared" si="33"/>
        <v>https://d0f6bd738d7f1b3e5a7ca70fe4ff75f0.us-east-1.aws.found.io/app/kibana#/discover/Steve-Slow-Train-Analysis-(2080s-and-2083s)?_g=(refreshInterval:(display:Off,pause:!f,section:0,value:0),time:(from:'2017-11-01T12:10:35-0600',mode:absolute,to:'2017-11-01T14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9" s="204" t="str">
        <f>IF(AA89&lt;VLOOKUP(AG89,Variables!$AC$3:$AD$8,2,FALSE),"Y","N")</f>
        <v>N</v>
      </c>
      <c r="X89" s="204">
        <f t="shared" si="61"/>
        <v>1</v>
      </c>
      <c r="Y89" s="204">
        <f t="shared" si="54"/>
        <v>5.7299999999999997E-2</v>
      </c>
      <c r="Z89" s="204">
        <f t="shared" si="55"/>
        <v>23.3216</v>
      </c>
      <c r="AA89" s="204">
        <f t="shared" si="37"/>
        <v>23.264299999999999</v>
      </c>
      <c r="AB89" s="54" t="e">
        <f>VLOOKUP(A89,Enforcements!$C$7:$K$10,8,0)</f>
        <v>#N/A</v>
      </c>
      <c r="AC89" s="51" t="e">
        <f>VLOOKUP(A89,Enforcements!$C$7:$E$10,3,0)</f>
        <v>#N/A</v>
      </c>
      <c r="AD89" s="179">
        <f t="shared" si="38"/>
        <v>177</v>
      </c>
      <c r="AE89" s="77" t="str">
        <f t="shared" si="39"/>
        <v>aws s3 cp s3://rtdc.mdm.uploadarchive.raw/RTDC4026/ "%USERPROFILE%\AppData\Local\Temp\OnboardLogs"\RTDC4026\2017-11-01 --exclude "*" --recursive --include "*20171101*" &amp; "%USERPROFILE%\Documents\GitHub\mrs-test-scripts\Headless Mode &amp; Sideloading\WalkAndUnGZ.bat" "%USERPROFILE%\AppData\Local\Temp\OnboardLogs"\RTDC4026\2017-11-01 &amp; aws s3 cp s3://rtdc.mdm.uploadarchive.raw/RTDC4026/ "%USERPROFILE%\AppData\Local\Temp\OnboardLogs"\RTDC4026\2017-11-02 --exclude "*" --recursive --include "*20171102*" &amp; "%USERPROFILE%\Documents\GitHub\mrs-test-scripts\Headless Mode &amp; Sideloading\WalkAndUnGZ.bat" "%USERPROFILE%\AppData\Local\Temp\OnboardLogs"\RTDC4026\2017-11-02</v>
      </c>
      <c r="AF89" s="74" t="str">
        <f t="shared" si="40"/>
        <v>"C:\Program Files (x86)\AstroGrep\AstroGrep.exe" /e /r /s /spath="%USERPROFILE%\AppData\Local\Temp\OnboardLogs" /stypes="app*4026*20171101*" /stext=" 19:.+((SYSTEM_STATE.+slice.+state.+changed )|(ment ac)|(multiple cpu faults)|(system.+state.+changed )|(\[timeout)|(PRM\|1\|D)|(kpr)|(kdp)|(train st.+moving)|(\|lc)|(penalty))"</v>
      </c>
      <c r="AG89" s="182" t="str">
        <f t="shared" si="41"/>
        <v>EC</v>
      </c>
      <c r="AH89" s="78" t="str">
        <f t="shared" si="42"/>
        <v>"%USERPROFILE%\Documents\GitHub\eaglep3\Utilities\RefineRTDCRunTimes.py" --tripid 177-01 --locoid 4026 --swversion DE.1.0.9.0 --startMP 204:573 --initTime 2017-11-01T13:10:35 --startdatetime 2017-11-01T13:15:18 --delay 87 --endMP 204:233216 --enddatetime 2017-11-01T13:51:37 --enforcementcount 0 &gt;&gt;%USERPROFILE%\Documents\GitHub\eaglep3-reporting\EC\2017-11-01-refined-times.txt</v>
      </c>
      <c r="AI89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{"issue":{"subject":"","project_id":79,"tracker_id":40,"status_id":1,"priority_id":2,"assigned_to_id":338,"start_date":"2017-11-01","description":"","custom_fields":[{"id":1,"name":"Subdivision","value":"EC"},{"id":4,"name":"Milepost","value":"23.3216"},{"id":17,"name":"Train ID","value":"177-01"},{"id":16,"name":"Locomotive ID","value":"4026"},{"id":130,"name":"Impact","value":""},{"id":150,"name":"Time of Event (Mountain Time)","value":"13:51:37"},{"id":151,"name":"Denver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0"/>
      <c r="AK89" s="47"/>
      <c r="AL89" s="47"/>
      <c r="AM89" s="142" t="str">
        <f t="shared" si="44"/>
        <v>start /low /b %USERPROFILE%\Documents\GitHub\eaglep3\Utilities\DownloadLogsFromS3.py --loco 4026 --day 2017-11-01</v>
      </c>
      <c r="AN89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19:51:37"},{"id":29,"name":"Sharepoint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46"/>
        <v>https://d0f6bd738d7f1b3e5a7ca70fe4ff75f0.us-east-1.aws.found.io/app/kibana#/discover/Steve-Slow-Train-Analysis-(2080s-and-2083s)?_g=(refreshInterval:(display:Off,pause:!f,section:0,value:0),time:(from:'2017-11-01T12:10:35-0600',mode:absolute,to:'2017-11-01T14:51:37-0600'))&amp;_a=(columns:!('Message%20ID',Summary),filters:!(),index:'emp_*',interval:auto,query:(query_string:(analyze_wildcard:!t,query:'%22rtdc.l.rtdc.4026%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637</v>
      </c>
      <c r="B90" s="7">
        <v>4025</v>
      </c>
      <c r="C90" s="21" t="s">
        <v>194</v>
      </c>
      <c r="D90" s="21" t="s">
        <v>921</v>
      </c>
      <c r="E90" s="13">
        <v>43040.59165509259</v>
      </c>
      <c r="F90" s="13">
        <v>43040.592951388891</v>
      </c>
      <c r="G90" s="7">
        <v>55</v>
      </c>
      <c r="H90" s="21" t="s">
        <v>581</v>
      </c>
      <c r="I90" s="13">
        <v>43040.619652777779</v>
      </c>
      <c r="J90" s="7">
        <v>0</v>
      </c>
      <c r="K90" s="89" t="str">
        <f t="shared" si="29"/>
        <v>4025/4026</v>
      </c>
      <c r="L90" s="185" t="str">
        <f>VLOOKUP(A90,'Trips&amp;Operators'!$C$1:$G$99911,5,FALSE)</f>
        <v>STEWART MICHAEL</v>
      </c>
      <c r="M90" s="6">
        <f t="shared" si="30"/>
        <v>2.6701388887886424E-2</v>
      </c>
      <c r="N90" s="7">
        <f t="shared" si="52"/>
        <v>38.44999999855645</v>
      </c>
      <c r="O90" s="7"/>
      <c r="P90" s="7"/>
      <c r="Q90" s="22"/>
      <c r="R90" s="174"/>
      <c r="S90" s="221">
        <f t="shared" si="31"/>
        <v>1</v>
      </c>
      <c r="T90" s="174" t="str">
        <f t="shared" si="32"/>
        <v>Southbound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 t="shared" si="33"/>
        <v>https://d0f6bd738d7f1b3e5a7ca70fe4ff75f0.us-east-1.aws.found.io/app/kibana#/discover/Steve-Slow-Train-Analysis-(2080s-and-2083s)?_g=(refreshInterval:(display:Off,pause:!f,section:0,value:0),time:(from:'2017-11-01T13:11:59-0600',mode:absolute,to:'2017-11-01T15:52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0" s="204" t="str">
        <f>IF(AA90&lt;VLOOKUP(AG90,Variables!$AC$3:$AD$8,2,FALSE),"Y","N")</f>
        <v>N</v>
      </c>
      <c r="X90" s="204">
        <f t="shared" si="61"/>
        <v>1</v>
      </c>
      <c r="Y90" s="204">
        <f t="shared" si="54"/>
        <v>23.288599999999999</v>
      </c>
      <c r="Z90" s="204">
        <f t="shared" si="55"/>
        <v>3.0700000000000002E-2</v>
      </c>
      <c r="AA90" s="204">
        <f t="shared" si="37"/>
        <v>23.257899999999999</v>
      </c>
      <c r="AB90" s="54" t="e">
        <f>VLOOKUP(A90,Enforcements!$C$7:$K$10,8,0)</f>
        <v>#N/A</v>
      </c>
      <c r="AC90" s="51" t="e">
        <f>VLOOKUP(A90,Enforcements!$C$7:$E$10,3,0)</f>
        <v>#N/A</v>
      </c>
      <c r="AD90" s="179">
        <f t="shared" si="38"/>
        <v>178</v>
      </c>
      <c r="AE90" s="77" t="str">
        <f t="shared" si="39"/>
        <v>aws s3 cp s3://rtdc.mdm.uploadarchive.raw/RTDC4025/ "%USERPROFILE%\AppData\Local\Temp\OnboardLogs"\RTDC4025\2017-11-01 --exclude "*" --recursive --include "*20171101*" &amp; "%USERPROFILE%\Documents\GitHub\mrs-test-scripts\Headless Mode &amp; Sideloading\WalkAndUnGZ.bat" "%USERPROFILE%\AppData\Local\Temp\OnboardLogs"\RTDC4025\2017-11-01 &amp; aws s3 cp s3://rtdc.mdm.uploadarchive.raw/RTDC4025/ "%USERPROFILE%\AppData\Local\Temp\OnboardLogs"\RTDC4025\2017-11-02 --exclude "*" --recursive --include "*20171102*" &amp; "%USERPROFILE%\Documents\GitHub\mrs-test-scripts\Headless Mode &amp; Sideloading\WalkAndUnGZ.bat" "%USERPROFILE%\AppData\Local\Temp\OnboardLogs"\RTDC4025\2017-11-02</v>
      </c>
      <c r="AF90" s="74" t="str">
        <f t="shared" si="40"/>
        <v>"C:\Program Files (x86)\AstroGrep\AstroGrep.exe" /e /r /s /spath="%USERPROFILE%\AppData\Local\Temp\OnboardLogs" /stypes="app*4025*20171101*" /stext=" 20:.+((SYSTEM_STATE.+slice.+state.+changed )|(ment ac)|(multiple cpu faults)|(system.+state.+changed )|(\[timeout)|(PRM\|1\|D)|(kpr)|(kdp)|(train st.+moving)|(\|lc)|(penalty))"</v>
      </c>
      <c r="AG90" s="182" t="str">
        <f t="shared" si="41"/>
        <v>EC</v>
      </c>
      <c r="AH90" s="78" t="str">
        <f t="shared" si="42"/>
        <v>"%USERPROFILE%\Documents\GitHub\eaglep3\Utilities\RefineRTDCRunTimes.py" --tripid 178-01 --locoid 4025 --swversion DE.1.0.9.0 --startMP 204:232886 --initTime 2017-11-01T14:11:59 --startdatetime 2017-11-01T14:13:51 --delay 55 --endMP 204:307 --enddatetime 2017-11-01T14:52:18 --enforcementcount 0 &gt;&gt;%USERPROFILE%\Documents\GitHub\eaglep3-reporting\EC\2017-11-01-refined-times.txt</v>
      </c>
      <c r="AI90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{"issue":{"subject":"","project_id":79,"tracker_id":40,"status_id":1,"priority_id":2,"assigned_to_id":338,"start_date":"2017-11-01","description":"","custom_fields":[{"id":1,"name":"Subdivision","value":"EC"},{"id":4,"name":"Milepost","value":"0.0307"},{"id":17,"name":"Train ID","value":"178-01"},{"id":16,"name":"Locomotive ID","value":"4025"},{"id":130,"name":"Impact","value":""},{"id":150,"name":"Time of Event (Mountain Time)","value":"14:52:18"},{"id":151,"name":"Denver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0"/>
      <c r="AK90" s="47"/>
      <c r="AL90" s="47"/>
      <c r="AM90" s="142" t="str">
        <f t="shared" si="44"/>
        <v>start /low /b %USERPROFILE%\Documents\GitHub\eaglep3\Utilities\DownloadLogsFromS3.py --loco 4025 --day 2017-11-01</v>
      </c>
      <c r="AN90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20:52:18"},{"id":29,"name":"Sharepoint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46"/>
        <v>https://d0f6bd738d7f1b3e5a7ca70fe4ff75f0.us-east-1.aws.found.io/app/kibana#/discover/Steve-Slow-Train-Analysis-(2080s-and-2083s)?_g=(refreshInterval:(display:Off,pause:!f,section:0,value:0),time:(from:'2017-11-01T13:11:59-0600',mode:absolute,to:'2017-11-01T15:52:18-0600'))&amp;_a=(columns:!('Message%20ID',Summary),filters:!(),index:'emp_*',interval:auto,query:(query_string:(analyze_wildcard:!t,query:'%22rtdc.l.rtdc.4025%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770</v>
      </c>
      <c r="B91" s="7">
        <v>4002</v>
      </c>
      <c r="C91" s="21" t="s">
        <v>194</v>
      </c>
      <c r="D91" s="21" t="s">
        <v>582</v>
      </c>
      <c r="E91" s="13">
        <v>43040.558229166665</v>
      </c>
      <c r="F91" s="13">
        <v>43040.562835648147</v>
      </c>
      <c r="G91" s="7">
        <v>47</v>
      </c>
      <c r="H91" s="21" t="s">
        <v>596</v>
      </c>
      <c r="I91" s="13">
        <v>43040.587361111109</v>
      </c>
      <c r="J91" s="7">
        <v>0</v>
      </c>
      <c r="K91" s="89" t="str">
        <f t="shared" si="29"/>
        <v>4001/4002</v>
      </c>
      <c r="L91" s="185" t="str">
        <f>VLOOKUP(A91,'Trips&amp;Operators'!$C$1:$G$99911,5,FALSE)</f>
        <v>GUZMAN DANNY</v>
      </c>
      <c r="M91" s="6">
        <f t="shared" si="30"/>
        <v>2.4525462962628808E-2</v>
      </c>
      <c r="N91" s="7">
        <f t="shared" si="52"/>
        <v>35.316666666185483</v>
      </c>
      <c r="O91" s="7"/>
      <c r="P91" s="7"/>
      <c r="Q91" s="22"/>
      <c r="R91" s="174"/>
      <c r="S91" s="221">
        <f t="shared" si="31"/>
        <v>1</v>
      </c>
      <c r="T91" s="174" t="str">
        <f t="shared" si="32"/>
        <v>NorthBound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 t="shared" si="33"/>
        <v>https://d0f6bd738d7f1b3e5a7ca70fe4ff75f0.us-east-1.aws.found.io/app/kibana#/discover/Steve-Slow-Train-Analysis-(2080s-and-2083s)?_g=(refreshInterval:(display:Off,pause:!f,section:0,value:0),time:(from:'2017-11-01T12:23:51-0600',mode:absolute,to:'2017-11-01T15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1" s="204" t="str">
        <f>IF(AA91&lt;VLOOKUP(AG91,Variables!$AC$3:$AD$8,2,FALSE),"Y","N")</f>
        <v>N</v>
      </c>
      <c r="X91" s="204">
        <f t="shared" si="61"/>
        <v>1</v>
      </c>
      <c r="Y91" s="204">
        <f t="shared" si="54"/>
        <v>5.5899999999999998E-2</v>
      </c>
      <c r="Z91" s="204">
        <f t="shared" si="55"/>
        <v>23.320599999999999</v>
      </c>
      <c r="AA91" s="204">
        <f t="shared" si="37"/>
        <v>23.264699999999998</v>
      </c>
      <c r="AB91" s="54" t="e">
        <f>VLOOKUP(A91,Enforcements!$C$7:$K$10,8,0)</f>
        <v>#N/A</v>
      </c>
      <c r="AC91" s="51" t="e">
        <f>VLOOKUP(A91,Enforcements!$C$7:$E$10,3,0)</f>
        <v>#N/A</v>
      </c>
      <c r="AD91" s="179">
        <f t="shared" si="38"/>
        <v>179</v>
      </c>
      <c r="AE91" s="77" t="str">
        <f t="shared" si="39"/>
        <v>aws s3 cp s3://rtdc.mdm.uploadarchive.raw/RTDC4002/ "%USERPROFILE%\AppData\Local\Temp\OnboardLogs"\RTDC4002\2017-11-01 --exclude "*" --recursive --include "*20171101*" &amp; "%USERPROFILE%\Documents\GitHub\mrs-test-scripts\Headless Mode &amp; Sideloading\WalkAndUnGZ.bat" "%USERPROFILE%\AppData\Local\Temp\OnboardLogs"\RTDC4002\2017-11-01 &amp; aws s3 cp s3://rtdc.mdm.uploadarchive.raw/RTDC4002/ "%USERPROFILE%\AppData\Local\Temp\OnboardLogs"\RTDC4002\2017-11-02 --exclude "*" --recursive --include "*20171102*" &amp; "%USERPROFILE%\Documents\GitHub\mrs-test-scripts\Headless Mode &amp; Sideloading\WalkAndUnGZ.bat" "%USERPROFILE%\AppData\Local\Temp\OnboardLogs"\RTDC4002\2017-11-02</v>
      </c>
      <c r="AF91" s="74" t="str">
        <f t="shared" si="40"/>
        <v>"C:\Program Files (x86)\AstroGrep\AstroGrep.exe" /e /r /s /spath="%USERPROFILE%\AppData\Local\Temp\OnboardLogs" /stypes="app*4002*20171101*" /stext=" 20:.+((SYSTEM_STATE.+slice.+state.+changed )|(ment ac)|(multiple cpu faults)|(system.+state.+changed )|(\[timeout)|(PRM\|1\|D)|(kpr)|(kdp)|(train st.+moving)|(\|lc)|(penalty))"</v>
      </c>
      <c r="AG91" s="182" t="str">
        <f t="shared" si="41"/>
        <v>EC</v>
      </c>
      <c r="AH91" s="78" t="str">
        <f t="shared" si="42"/>
        <v>"%USERPROFILE%\Documents\GitHub\eaglep3\Utilities\RefineRTDCRunTimes.py" --tripid 179-01 --locoid 4002 --swversion DE.1.0.9.0 --startMP 204:559 --initTime 2017-11-01T13:23:51 --startdatetime 2017-11-01T13:30:29 --delay 47 --endMP 204:233206 --enddatetime 2017-11-01T14:05:48 --enforcementcount 0 &gt;&gt;%USERPROFILE%\Documents\GitHub\eaglep3-reporting\EC\2017-11-01-refined-times.txt</v>
      </c>
      <c r="AI91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{"issue":{"subject":"","project_id":79,"tracker_id":40,"status_id":1,"priority_id":2,"assigned_to_id":338,"start_date":"2017-11-01","description":"","custom_fields":[{"id":1,"name":"Subdivision","value":"EC"},{"id":4,"name":"Milepost","value":"23.3206"},{"id":17,"name":"Train ID","value":"179-01"},{"id":16,"name":"Locomotive ID","value":"4002"},{"id":130,"name":"Impact","value":""},{"id":150,"name":"Time of Event (Mountain Time)","value":"14:05:48"},{"id":151,"name":"Denver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0"/>
      <c r="AK91" s="47"/>
      <c r="AL91" s="47"/>
      <c r="AM91" s="142" t="str">
        <f t="shared" si="44"/>
        <v>start /low /b %USERPROFILE%\Documents\GitHub\eaglep3\Utilities\DownloadLogsFromS3.py --loco 4002 --day 2017-11-01</v>
      </c>
      <c r="AN91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20:05:48"},{"id":29,"name":"Sharepoint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46"/>
        <v>https://d0f6bd738d7f1b3e5a7ca70fe4ff75f0.us-east-1.aws.found.io/app/kibana#/discover/Steve-Slow-Train-Analysis-(2080s-and-2083s)?_g=(refreshInterval:(display:Off,pause:!f,section:0,value:0),time:(from:'2017-11-01T12:23:51-0600',mode:absolute,to:'2017-11-01T15:05:48-0600'))&amp;_a=(columns:!('Message%20ID',Summary),filters:!(),index:'emp_*',interval:auto,query:(query_string:(analyze_wildcard:!t,query:'%22rtdc.l.rtdc.4002%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777</v>
      </c>
      <c r="B92" s="7">
        <v>4001</v>
      </c>
      <c r="C92" s="21" t="s">
        <v>194</v>
      </c>
      <c r="D92" s="21" t="s">
        <v>922</v>
      </c>
      <c r="E92" s="13">
        <v>43040.591203703705</v>
      </c>
      <c r="F92" s="13">
        <v>43040.602256944447</v>
      </c>
      <c r="G92" s="7">
        <v>60</v>
      </c>
      <c r="H92" s="21" t="s">
        <v>427</v>
      </c>
      <c r="I92" s="13">
        <v>43040.628194444442</v>
      </c>
      <c r="J92" s="7">
        <v>0</v>
      </c>
      <c r="K92" s="89" t="str">
        <f t="shared" si="29"/>
        <v>4001/4002</v>
      </c>
      <c r="L92" s="185" t="str">
        <f>VLOOKUP(A92,'Trips&amp;Operators'!$C$1:$G$99911,5,FALSE)</f>
        <v>GUZMAN DANNY</v>
      </c>
      <c r="M92" s="6">
        <f t="shared" si="30"/>
        <v>2.5937499995052349E-2</v>
      </c>
      <c r="N92" s="7">
        <f t="shared" si="52"/>
        <v>37.349999992875382</v>
      </c>
      <c r="O92" s="7"/>
      <c r="P92" s="7"/>
      <c r="Q92" s="22"/>
      <c r="R92" s="174"/>
      <c r="S92" s="221">
        <f t="shared" si="31"/>
        <v>1</v>
      </c>
      <c r="T92" s="174" t="str">
        <f t="shared" si="32"/>
        <v>Southbound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 t="shared" si="33"/>
        <v>https://d0f6bd738d7f1b3e5a7ca70fe4ff75f0.us-east-1.aws.found.io/app/kibana#/discover/Steve-Slow-Train-Analysis-(2080s-and-2083s)?_g=(refreshInterval:(display:Off,pause:!f,section:0,value:0),time:(from:'2017-11-01T13:11:20-0600',mode:absolute,to:'2017-11-01T16:04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2" s="204" t="str">
        <f>IF(AA92&lt;VLOOKUP(AG92,Variables!$AC$3:$AD$8,2,FALSE),"Y","N")</f>
        <v>N</v>
      </c>
      <c r="X92" s="204">
        <f t="shared" si="61"/>
        <v>1</v>
      </c>
      <c r="Y92" s="204">
        <f t="shared" si="54"/>
        <v>23.289100000000001</v>
      </c>
      <c r="Z92" s="204">
        <f t="shared" si="55"/>
        <v>2.58E-2</v>
      </c>
      <c r="AA92" s="204">
        <f t="shared" si="37"/>
        <v>23.263300000000001</v>
      </c>
      <c r="AB92" s="54" t="e">
        <f>VLOOKUP(A92,Enforcements!$C$7:$K$10,8,0)</f>
        <v>#N/A</v>
      </c>
      <c r="AC92" s="51" t="e">
        <f>VLOOKUP(A92,Enforcements!$C$7:$E$10,3,0)</f>
        <v>#N/A</v>
      </c>
      <c r="AD92" s="179">
        <f t="shared" si="38"/>
        <v>180</v>
      </c>
      <c r="AE92" s="77" t="str">
        <f t="shared" si="39"/>
        <v>aws s3 cp s3://rtdc.mdm.uploadarchive.raw/RTDC4001/ "%USERPROFILE%\AppData\Local\Temp\OnboardLogs"\RTDC4001\2017-11-01 --exclude "*" --recursive --include "*20171101*" &amp; "%USERPROFILE%\Documents\GitHub\mrs-test-scripts\Headless Mode &amp; Sideloading\WalkAndUnGZ.bat" "%USERPROFILE%\AppData\Local\Temp\OnboardLogs"\RTDC4001\2017-11-01 &amp; aws s3 cp s3://rtdc.mdm.uploadarchive.raw/RTDC4001/ "%USERPROFILE%\AppData\Local\Temp\OnboardLogs"\RTDC4001\2017-11-02 --exclude "*" --recursive --include "*20171102*" &amp; "%USERPROFILE%\Documents\GitHub\mrs-test-scripts\Headless Mode &amp; Sideloading\WalkAndUnGZ.bat" "%USERPROFILE%\AppData\Local\Temp\OnboardLogs"\RTDC4001\2017-11-02</v>
      </c>
      <c r="AF92" s="74" t="str">
        <f t="shared" si="40"/>
        <v>"C:\Program Files (x86)\AstroGrep\AstroGrep.exe" /e /r /s /spath="%USERPROFILE%\AppData\Local\Temp\OnboardLogs" /stypes="app*4001*20171101*" /stext=" 21:.+((SYSTEM_STATE.+slice.+state.+changed )|(ment ac)|(multiple cpu faults)|(system.+state.+changed )|(\[timeout)|(PRM\|1\|D)|(kpr)|(kdp)|(train st.+moving)|(\|lc)|(penalty))"</v>
      </c>
      <c r="AG92" s="182" t="str">
        <f t="shared" si="41"/>
        <v>EC</v>
      </c>
      <c r="AH92" s="78" t="str">
        <f t="shared" si="42"/>
        <v>"%USERPROFILE%\Documents\GitHub\eaglep3\Utilities\RefineRTDCRunTimes.py" --tripid 180-01 --locoid 4001 --swversion DE.1.0.9.0 --startMP 204:232891 --initTime 2017-11-01T14:11:20 --startdatetime 2017-11-01T14:27:15 --delay 60 --endMP 204:258 --enddatetime 2017-11-01T15:04:36 --enforcementcount 0 &gt;&gt;%USERPROFILE%\Documents\GitHub\eaglep3-reporting\EC\2017-11-01-refined-times.txt</v>
      </c>
      <c r="AI92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{"issue":{"subject":"","project_id":79,"tracker_id":40,"status_id":1,"priority_id":2,"assigned_to_id":338,"start_date":"2017-11-01","description":"","custom_fields":[{"id":1,"name":"Subdivision","value":"EC"},{"id":4,"name":"Milepost","value":"0.0258"},{"id":17,"name":"Train ID","value":"180-01"},{"id":16,"name":"Locomotive ID","value":"4001"},{"id":130,"name":"Impact","value":""},{"id":150,"name":"Time of Event (Mountain Time)","value":"15:04:36"},{"id":151,"name":"Denver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0"/>
      <c r="AK92" s="47"/>
      <c r="AL92" s="47"/>
      <c r="AM92" s="142" t="str">
        <f t="shared" si="44"/>
        <v>start /low /b %USERPROFILE%\Documents\GitHub\eaglep3\Utilities\DownloadLogsFromS3.py --loco 4001 --day 2017-11-01</v>
      </c>
      <c r="AN92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21:04:36"},{"id":29,"name":"Sharepoint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46"/>
        <v>https://d0f6bd738d7f1b3e5a7ca70fe4ff75f0.us-east-1.aws.found.io/app/kibana#/discover/Steve-Slow-Train-Analysis-(2080s-and-2083s)?_g=(refreshInterval:(display:Off,pause:!f,section:0,value:0),time:(from:'2017-11-01T13:11:20-0600',mode:absolute,to:'2017-11-01T16:04:36-0600'))&amp;_a=(columns:!('Message%20ID',Summary),filters:!(),index:'emp_*',interval:auto,query:(query_string:(analyze_wildcard:!t,query:'%22rtdc.l.rtdc.4001%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772</v>
      </c>
      <c r="B93" s="7">
        <v>4064</v>
      </c>
      <c r="C93" s="21" t="s">
        <v>194</v>
      </c>
      <c r="D93" s="21" t="s">
        <v>923</v>
      </c>
      <c r="E93" s="13">
        <v>43040.568738425929</v>
      </c>
      <c r="F93" s="13">
        <v>43040.573229166665</v>
      </c>
      <c r="G93" s="7">
        <v>57</v>
      </c>
      <c r="H93" s="21" t="s">
        <v>567</v>
      </c>
      <c r="I93" s="13">
        <v>43040.597430555557</v>
      </c>
      <c r="J93" s="7">
        <v>0</v>
      </c>
      <c r="K93" s="89" t="str">
        <f t="shared" si="29"/>
        <v>4063/4064</v>
      </c>
      <c r="L93" s="185" t="str">
        <f>VLOOKUP(A93,'Trips&amp;Operators'!$C$1:$G$99911,5,FALSE)</f>
        <v>LEVIN SCOTT</v>
      </c>
      <c r="M93" s="6">
        <f t="shared" si="30"/>
        <v>2.4201388892834075E-2</v>
      </c>
      <c r="N93" s="7">
        <f t="shared" si="52"/>
        <v>34.850000005681068</v>
      </c>
      <c r="O93" s="7"/>
      <c r="P93" s="7"/>
      <c r="Q93" s="22"/>
      <c r="R93" s="174"/>
      <c r="S93" s="221">
        <f t="shared" si="31"/>
        <v>1</v>
      </c>
      <c r="T93" s="174" t="str">
        <f t="shared" si="32"/>
        <v>NorthBound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 t="shared" si="33"/>
        <v>https://d0f6bd738d7f1b3e5a7ca70fe4ff75f0.us-east-1.aws.found.io/app/kibana#/discover/Steve-Slow-Train-Analysis-(2080s-and-2083s)?_g=(refreshInterval:(display:Off,pause:!f,section:0,value:0),time:(from:'2017-11-01T12:38:59-0600',mode:absolute,to:'2017-11-01T15:20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93" s="204" t="str">
        <f>IF(AA93&lt;VLOOKUP(AG93,Variables!$AC$3:$AD$8,2,FALSE),"Y","N")</f>
        <v>N</v>
      </c>
      <c r="X93" s="204">
        <f t="shared" si="61"/>
        <v>1</v>
      </c>
      <c r="Y93" s="204">
        <f t="shared" si="54"/>
        <v>4.9299999999999997E-2</v>
      </c>
      <c r="Z93" s="204">
        <f t="shared" si="55"/>
        <v>23.330500000000001</v>
      </c>
      <c r="AA93" s="204">
        <f t="shared" si="37"/>
        <v>23.281200000000002</v>
      </c>
      <c r="AB93" s="54" t="e">
        <f>VLOOKUP(A93,Enforcements!$C$7:$K$10,8,0)</f>
        <v>#N/A</v>
      </c>
      <c r="AC93" s="51" t="e">
        <f>VLOOKUP(A93,Enforcements!$C$7:$E$10,3,0)</f>
        <v>#N/A</v>
      </c>
      <c r="AD93" s="179">
        <f t="shared" si="38"/>
        <v>181</v>
      </c>
      <c r="AE93" s="77" t="str">
        <f t="shared" si="39"/>
        <v>aws s3 cp s3://rtdc.mdm.uploadarchive.raw/RTDC4064/ "%USERPROFILE%\AppData\Local\Temp\OnboardLogs"\RTDC4064\2017-11-01 --exclude "*" --recursive --include "*20171101*" &amp; "%USERPROFILE%\Documents\GitHub\mrs-test-scripts\Headless Mode &amp; Sideloading\WalkAndUnGZ.bat" "%USERPROFILE%\AppData\Local\Temp\OnboardLogs"\RTDC4064\2017-11-01 &amp; aws s3 cp s3://rtdc.mdm.uploadarchive.raw/RTDC4064/ "%USERPROFILE%\AppData\Local\Temp\OnboardLogs"\RTDC4064\2017-11-02 --exclude "*" --recursive --include "*20171102*" &amp; "%USERPROFILE%\Documents\GitHub\mrs-test-scripts\Headless Mode &amp; Sideloading\WalkAndUnGZ.bat" "%USERPROFILE%\AppData\Local\Temp\OnboardLogs"\RTDC4064\2017-11-02</v>
      </c>
      <c r="AF93" s="74" t="str">
        <f t="shared" si="40"/>
        <v>"C:\Program Files (x86)\AstroGrep\AstroGrep.exe" /e /r /s /spath="%USERPROFILE%\AppData\Local\Temp\OnboardLogs" /stypes="app*4064*20171101*" /stext=" 20:.+((SYSTEM_STATE.+slice.+state.+changed )|(ment ac)|(multiple cpu faults)|(system.+state.+changed )|(\[timeout)|(PRM\|1\|D)|(kpr)|(kdp)|(train st.+moving)|(\|lc)|(penalty))"</v>
      </c>
      <c r="AG93" s="182" t="str">
        <f t="shared" si="41"/>
        <v>EC</v>
      </c>
      <c r="AH93" s="78" t="str">
        <f t="shared" si="42"/>
        <v>"%USERPROFILE%\Documents\GitHub\eaglep3\Utilities\RefineRTDCRunTimes.py" --tripid 181-01 --locoid 4064 --swversion DE.1.0.9.0 --startMP 204:493 --initTime 2017-11-01T13:38:59 --startdatetime 2017-11-01T13:45:27 --delay 57 --endMP 204:233305 --enddatetime 2017-11-01T14:20:18 --enforcementcount 0 &gt;&gt;%USERPROFILE%\Documents\GitHub\eaglep3-reporting\EC\2017-11-01-refined-times.txt</v>
      </c>
      <c r="AI93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{"issue":{"subject":"","project_id":79,"tracker_id":40,"status_id":1,"priority_id":2,"assigned_to_id":338,"start_date":"2017-11-01","description":"","custom_fields":[{"id":1,"name":"Subdivision","value":"EC"},{"id":4,"name":"Milepost","value":"23.3305"},{"id":17,"name":"Train ID","value":"181-01"},{"id":16,"name":"Locomotive ID","value":"4064"},{"id":130,"name":"Impact","value":""},{"id":150,"name":"Time of Event (Mountain Time)","value":"14:20:18"},{"id":151,"name":"Denver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0"/>
      <c r="AK93" s="47"/>
      <c r="AL93" s="47"/>
      <c r="AM93" s="142" t="str">
        <f t="shared" si="44"/>
        <v>start /low /b %USERPROFILE%\Documents\GitHub\eaglep3\Utilities\DownloadLogsFromS3.py --loco 4064 --day 2017-11-01</v>
      </c>
      <c r="AN93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20:20:18"},{"id":29,"name":"Sharepoint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46"/>
        <v>https://d0f6bd738d7f1b3e5a7ca70fe4ff75f0.us-east-1.aws.found.io/app/kibana#/discover/Steve-Slow-Train-Analysis-(2080s-and-2083s)?_g=(refreshInterval:(display:Off,pause:!f,section:0,value:0),time:(from:'2017-11-01T12:38:59-0600',mode:absolute,to:'2017-11-01T15:20:18-0600'))&amp;_a=(columns:!('Message%20ID',Summary),filters:!(),index:'emp_*',interval:auto,query:(query_string:(analyze_wildcard:!t,query:'%22rtdc.l.rtdc.4064%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638</v>
      </c>
      <c r="B94" s="7">
        <v>4063</v>
      </c>
      <c r="C94" s="21" t="s">
        <v>194</v>
      </c>
      <c r="D94" s="21" t="s">
        <v>566</v>
      </c>
      <c r="E94" s="13">
        <v>43040.603530092594</v>
      </c>
      <c r="F94" s="13">
        <v>43040.612708333334</v>
      </c>
      <c r="G94" s="7">
        <v>48</v>
      </c>
      <c r="H94" s="21" t="s">
        <v>903</v>
      </c>
      <c r="I94" s="13">
        <v>43040.640011574076</v>
      </c>
      <c r="J94" s="7">
        <v>0</v>
      </c>
      <c r="K94" s="89" t="str">
        <f t="shared" si="29"/>
        <v>4063/4064</v>
      </c>
      <c r="L94" s="185" t="str">
        <f>VLOOKUP(A94,'Trips&amp;Operators'!$C$1:$G$99911,5,FALSE)</f>
        <v>LEVIN SCOTT</v>
      </c>
      <c r="M94" s="6">
        <f t="shared" si="30"/>
        <v>2.7303240742185153E-2</v>
      </c>
      <c r="N94" s="7">
        <f t="shared" si="52"/>
        <v>39.31666666874662</v>
      </c>
      <c r="O94" s="7"/>
      <c r="P94" s="7"/>
      <c r="Q94" s="22"/>
      <c r="R94" s="174"/>
      <c r="S94" s="221">
        <f t="shared" si="31"/>
        <v>1</v>
      </c>
      <c r="T94" s="174" t="str">
        <f t="shared" si="32"/>
        <v>Southbound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 t="shared" si="33"/>
        <v>https://d0f6bd738d7f1b3e5a7ca70fe4ff75f0.us-east-1.aws.found.io/app/kibana#/discover/Steve-Slow-Train-Analysis-(2080s-and-2083s)?_g=(refreshInterval:(display:Off,pause:!f,section:0,value:0),time:(from:'2017-11-01T13:29:05-0600',mode:absolute,to:'2017-11-01T16:21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94" s="204" t="str">
        <f>IF(AA94&lt;VLOOKUP(AG94,Variables!$AC$3:$AD$8,2,FALSE),"Y","N")</f>
        <v>N</v>
      </c>
      <c r="X94" s="204">
        <f t="shared" si="61"/>
        <v>1</v>
      </c>
      <c r="Y94" s="204">
        <f t="shared" si="54"/>
        <v>23.297499999999999</v>
      </c>
      <c r="Z94" s="204">
        <f t="shared" si="55"/>
        <v>1.7399999999999999E-2</v>
      </c>
      <c r="AA94" s="204">
        <f t="shared" si="37"/>
        <v>23.280100000000001</v>
      </c>
      <c r="AB94" s="54" t="e">
        <f>VLOOKUP(A94,Enforcements!$C$7:$K$10,8,0)</f>
        <v>#N/A</v>
      </c>
      <c r="AC94" s="51" t="e">
        <f>VLOOKUP(A94,Enforcements!$C$7:$E$10,3,0)</f>
        <v>#N/A</v>
      </c>
      <c r="AD94" s="179">
        <f t="shared" si="38"/>
        <v>182</v>
      </c>
      <c r="AE94" s="77" t="str">
        <f t="shared" si="39"/>
        <v>aws s3 cp s3://rtdc.mdm.uploadarchive.raw/RTDC4063/ "%USERPROFILE%\AppData\Local\Temp\OnboardLogs"\RTDC4063\2017-11-01 --exclude "*" --recursive --include "*20171101*" &amp; "%USERPROFILE%\Documents\GitHub\mrs-test-scripts\Headless Mode &amp; Sideloading\WalkAndUnGZ.bat" "%USERPROFILE%\AppData\Local\Temp\OnboardLogs"\RTDC4063\2017-11-01 &amp; aws s3 cp s3://rtdc.mdm.uploadarchive.raw/RTDC4063/ "%USERPROFILE%\AppData\Local\Temp\OnboardLogs"\RTDC4063\2017-11-02 --exclude "*" --recursive --include "*20171102*" &amp; "%USERPROFILE%\Documents\GitHub\mrs-test-scripts\Headless Mode &amp; Sideloading\WalkAndUnGZ.bat" "%USERPROFILE%\AppData\Local\Temp\OnboardLogs"\RTDC4063\2017-11-02</v>
      </c>
      <c r="AF94" s="74" t="str">
        <f t="shared" si="40"/>
        <v>"C:\Program Files (x86)\AstroGrep\AstroGrep.exe" /e /r /s /spath="%USERPROFILE%\AppData\Local\Temp\OnboardLogs" /stypes="app*4063*20171101*" /stext=" 21:.+((SYSTEM_STATE.+slice.+state.+changed )|(ment ac)|(multiple cpu faults)|(system.+state.+changed )|(\[timeout)|(PRM\|1\|D)|(kpr)|(kdp)|(train st.+moving)|(\|lc)|(penalty))"</v>
      </c>
      <c r="AG94" s="182" t="str">
        <f t="shared" si="41"/>
        <v>EC</v>
      </c>
      <c r="AH94" s="78" t="str">
        <f t="shared" si="42"/>
        <v>"%USERPROFILE%\Documents\GitHub\eaglep3\Utilities\RefineRTDCRunTimes.py" --tripid 182-01 --locoid 4063 --swversion DE.1.0.9.0 --startMP 204:232975 --initTime 2017-11-01T14:29:05 --startdatetime 2017-11-01T14:42:18 --delay 48 --endMP 204:174 --enddatetime 2017-11-01T15:21:37 --enforcementcount 0 &gt;&gt;%USERPROFILE%\Documents\GitHub\eaglep3-reporting\EC\2017-11-01-refined-times.txt</v>
      </c>
      <c r="AI94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{"issue":{"subject":"","project_id":79,"tracker_id":40,"status_id":1,"priority_id":2,"assigned_to_id":338,"start_date":"2017-11-01","description":"","custom_fields":[{"id":1,"name":"Subdivision","value":"EC"},{"id":4,"name":"Milepost","value":"0.0174"},{"id":17,"name":"Train ID","value":"182-01"},{"id":16,"name":"Locomotive ID","value":"4063"},{"id":130,"name":"Impact","value":""},{"id":150,"name":"Time of Event (Mountain Time)","value":"15:21:37"},{"id":151,"name":"Denver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0"/>
      <c r="AK94" s="47"/>
      <c r="AL94" s="47"/>
      <c r="AM94" s="142" t="str">
        <f t="shared" si="44"/>
        <v>start /low /b %USERPROFILE%\Documents\GitHub\eaglep3\Utilities\DownloadLogsFromS3.py --loco 4063 --day 2017-11-01</v>
      </c>
      <c r="AN94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21:21:37"},{"id":29,"name":"Sharepoint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46"/>
        <v>https://d0f6bd738d7f1b3e5a7ca70fe4ff75f0.us-east-1.aws.found.io/app/kibana#/discover/Steve-Slow-Train-Analysis-(2080s-and-2083s)?_g=(refreshInterval:(display:Off,pause:!f,section:0,value:0),time:(from:'2017-11-01T13:29:05-0600',mode:absolute,to:'2017-11-01T16:21:37-0600'))&amp;_a=(columns:!('Message%20ID',Summary),filters:!(),index:'emp_*',interval:auto,query:(query_string:(analyze_wildcard:!t,query:'%22rtdc.l.rtdc.4063%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774</v>
      </c>
      <c r="B95" s="7">
        <v>4044</v>
      </c>
      <c r="C95" s="21" t="s">
        <v>194</v>
      </c>
      <c r="D95" s="21" t="s">
        <v>924</v>
      </c>
      <c r="E95" s="13">
        <v>43040.579548611109</v>
      </c>
      <c r="F95" s="13">
        <v>43040.583495370367</v>
      </c>
      <c r="G95" s="7">
        <v>83</v>
      </c>
      <c r="H95" s="21" t="s">
        <v>579</v>
      </c>
      <c r="I95" s="13">
        <v>43040.608900462961</v>
      </c>
      <c r="J95" s="7">
        <v>0</v>
      </c>
      <c r="K95" s="89" t="str">
        <f t="shared" si="29"/>
        <v>4043/4044</v>
      </c>
      <c r="L95" s="185" t="str">
        <f>VLOOKUP(A95,'Trips&amp;Operators'!$C$1:$G$99911,5,FALSE)</f>
        <v>BERLING GARY</v>
      </c>
      <c r="M95" s="6">
        <f t="shared" si="30"/>
        <v>2.5405092594155576E-2</v>
      </c>
      <c r="N95" s="7">
        <f t="shared" si="52"/>
        <v>36.58333333558403</v>
      </c>
      <c r="O95" s="7"/>
      <c r="P95" s="7"/>
      <c r="Q95" s="22"/>
      <c r="R95" s="174"/>
      <c r="S95" s="221">
        <f t="shared" si="31"/>
        <v>1</v>
      </c>
      <c r="T95" s="174" t="str">
        <f t="shared" si="32"/>
        <v>NorthBound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 t="shared" si="33"/>
        <v>https://d0f6bd738d7f1b3e5a7ca70fe4ff75f0.us-east-1.aws.found.io/app/kibana#/discover/Steve-Slow-Train-Analysis-(2080s-and-2083s)?_g=(refreshInterval:(display:Off,pause:!f,section:0,value:0),time:(from:'2017-11-01T12:54:33-0600',mode:absolute,to:'2017-11-01T15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5" s="204" t="str">
        <f>IF(AA95&lt;VLOOKUP(AG95,Variables!$AC$3:$AD$8,2,FALSE),"Y","N")</f>
        <v>N</v>
      </c>
      <c r="X95" s="204">
        <f t="shared" si="61"/>
        <v>1</v>
      </c>
      <c r="Y95" s="204">
        <f t="shared" si="54"/>
        <v>6.4799999999999996E-2</v>
      </c>
      <c r="Z95" s="204">
        <f t="shared" si="55"/>
        <v>23.326799999999999</v>
      </c>
      <c r="AA95" s="204">
        <f t="shared" si="37"/>
        <v>23.261999999999997</v>
      </c>
      <c r="AB95" s="54" t="e">
        <f>VLOOKUP(A95,Enforcements!$C$7:$K$10,8,0)</f>
        <v>#N/A</v>
      </c>
      <c r="AC95" s="51" t="e">
        <f>VLOOKUP(A95,Enforcements!$C$7:$E$10,3,0)</f>
        <v>#N/A</v>
      </c>
      <c r="AD95" s="179">
        <f t="shared" si="38"/>
        <v>183</v>
      </c>
      <c r="AE95" s="77" t="str">
        <f t="shared" si="39"/>
        <v>aws s3 cp s3://rtdc.mdm.uploadarchive.raw/RTDC4044/ "%USERPROFILE%\AppData\Local\Temp\OnboardLogs"\RTDC4044\2017-11-01 --exclude "*" --recursive --include "*20171101*" &amp; "%USERPROFILE%\Documents\GitHub\mrs-test-scripts\Headless Mode &amp; Sideloading\WalkAndUnGZ.bat" "%USERPROFILE%\AppData\Local\Temp\OnboardLogs"\RTDC4044\2017-11-01 &amp; aws s3 cp s3://rtdc.mdm.uploadarchive.raw/RTDC4044/ "%USERPROFILE%\AppData\Local\Temp\OnboardLogs"\RTDC4044\2017-11-02 --exclude "*" --recursive --include "*20171102*" &amp; "%USERPROFILE%\Documents\GitHub\mrs-test-scripts\Headless Mode &amp; Sideloading\WalkAndUnGZ.bat" "%USERPROFILE%\AppData\Local\Temp\OnboardLogs"\RTDC4044\2017-11-02</v>
      </c>
      <c r="AF95" s="74" t="str">
        <f t="shared" si="40"/>
        <v>"C:\Program Files (x86)\AstroGrep\AstroGrep.exe" /e /r /s /spath="%USERPROFILE%\AppData\Local\Temp\OnboardLogs" /stypes="app*4044*20171101*" /stext=" 20:.+((SYSTEM_STATE.+slice.+state.+changed )|(ment ac)|(multiple cpu faults)|(system.+state.+changed )|(\[timeout)|(PRM\|1\|D)|(kpr)|(kdp)|(train st.+moving)|(\|lc)|(penalty))"</v>
      </c>
      <c r="AG95" s="182" t="str">
        <f t="shared" si="41"/>
        <v>EC</v>
      </c>
      <c r="AH95" s="78" t="str">
        <f t="shared" si="42"/>
        <v>"%USERPROFILE%\Documents\GitHub\eaglep3\Utilities\RefineRTDCRunTimes.py" --tripid 183-01 --locoid 4044 --swversion DE.1.0.9.0 --startMP 204:648 --initTime 2017-11-01T13:54:33 --startdatetime 2017-11-01T14:00:14 --delay 83 --endMP 204:233268 --enddatetime 2017-11-01T14:36:49 --enforcementcount 0 &gt;&gt;%USERPROFILE%\Documents\GitHub\eaglep3-reporting\EC\2017-11-01-refined-times.txt</v>
      </c>
      <c r="AI95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{"issue":{"subject":"","project_id":79,"tracker_id":40,"status_id":1,"priority_id":2,"assigned_to_id":338,"start_date":"2017-11-01","description":"","custom_fields":[{"id":1,"name":"Subdivision","value":"EC"},{"id":4,"name":"Milepost","value":"23.3268"},{"id":17,"name":"Train ID","value":"183-01"},{"id":16,"name":"Locomotive ID","value":"4044"},{"id":130,"name":"Impact","value":""},{"id":150,"name":"Time of Event (Mountain Time)","value":"14:36:49"},{"id":151,"name":"Denver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0"/>
      <c r="AK95" s="47"/>
      <c r="AL95" s="47"/>
      <c r="AM95" s="142" t="str">
        <f t="shared" si="44"/>
        <v>start /low /b %USERPROFILE%\Documents\GitHub\eaglep3\Utilities\DownloadLogsFromS3.py --loco 4044 --day 2017-11-01</v>
      </c>
      <c r="AN95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20:36:49"},{"id":29,"name":"Sharepoint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46"/>
        <v>https://d0f6bd738d7f1b3e5a7ca70fe4ff75f0.us-east-1.aws.found.io/app/kibana#/discover/Steve-Slow-Train-Analysis-(2080s-and-2083s)?_g=(refreshInterval:(display:Off,pause:!f,section:0,value:0),time:(from:'2017-11-01T12:54:33-0600',mode:absolute,to:'2017-11-01T15:36:49-0600'))&amp;_a=(columns:!('Message%20ID',Summary),filters:!(),index:'emp_*',interval:auto,query:(query_string:(analyze_wildcard:!t,query:'%22rtdc.l.rtdc.4044%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780</v>
      </c>
      <c r="B96" s="7">
        <v>4043</v>
      </c>
      <c r="C96" s="21" t="s">
        <v>194</v>
      </c>
      <c r="D96" s="21" t="s">
        <v>925</v>
      </c>
      <c r="E96" s="13">
        <v>43040.61681712963</v>
      </c>
      <c r="F96" s="13">
        <v>43040.623240740744</v>
      </c>
      <c r="G96" s="7">
        <v>76</v>
      </c>
      <c r="H96" s="21" t="s">
        <v>926</v>
      </c>
      <c r="I96" s="13">
        <v>43040.650011574071</v>
      </c>
      <c r="J96" s="7">
        <v>0</v>
      </c>
      <c r="K96" s="89" t="str">
        <f t="shared" si="29"/>
        <v>4043/4044</v>
      </c>
      <c r="L96" s="185" t="str">
        <f>VLOOKUP(A96,'Trips&amp;Operators'!$C$1:$G$99911,5,FALSE)</f>
        <v>BERLING GARY</v>
      </c>
      <c r="M96" s="6">
        <f t="shared" si="30"/>
        <v>2.6770833326736465E-2</v>
      </c>
      <c r="N96" s="7">
        <f t="shared" si="52"/>
        <v>38.54999999050051</v>
      </c>
      <c r="O96" s="7"/>
      <c r="P96" s="7"/>
      <c r="Q96" s="22"/>
      <c r="R96" s="174"/>
      <c r="S96" s="221">
        <f t="shared" si="31"/>
        <v>1</v>
      </c>
      <c r="T96" s="174" t="str">
        <f t="shared" si="32"/>
        <v>Southbound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 t="shared" si="33"/>
        <v>https://d0f6bd738d7f1b3e5a7ca70fe4ff75f0.us-east-1.aws.found.io/app/kibana#/discover/Steve-Slow-Train-Analysis-(2080s-and-2083s)?_g=(refreshInterval:(display:Off,pause:!f,section:0,value:0),time:(from:'2017-11-01T13:48:13-0600',mode:absolute,to:'2017-11-01T16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6" s="204" t="str">
        <f>IF(AA96&lt;VLOOKUP(AG96,Variables!$AC$3:$AD$8,2,FALSE),"Y","N")</f>
        <v>N</v>
      </c>
      <c r="X96" s="204">
        <f t="shared" si="61"/>
        <v>1</v>
      </c>
      <c r="Y96" s="204">
        <f t="shared" si="54"/>
        <v>23.294699999999999</v>
      </c>
      <c r="Z96" s="204">
        <f t="shared" si="55"/>
        <v>3.1399999999999997E-2</v>
      </c>
      <c r="AA96" s="204">
        <f t="shared" si="37"/>
        <v>23.263299999999997</v>
      </c>
      <c r="AB96" s="54" t="e">
        <f>VLOOKUP(A96,Enforcements!$C$7:$K$10,8,0)</f>
        <v>#N/A</v>
      </c>
      <c r="AC96" s="51" t="e">
        <f>VLOOKUP(A96,Enforcements!$C$7:$E$10,3,0)</f>
        <v>#N/A</v>
      </c>
      <c r="AD96" s="179">
        <f t="shared" si="38"/>
        <v>184</v>
      </c>
      <c r="AE96" s="77" t="str">
        <f t="shared" si="39"/>
        <v>aws s3 cp s3://rtdc.mdm.uploadarchive.raw/RTDC4043/ "%USERPROFILE%\AppData\Local\Temp\OnboardLogs"\RTDC4043\2017-11-01 --exclude "*" --recursive --include "*20171101*" &amp; "%USERPROFILE%\Documents\GitHub\mrs-test-scripts\Headless Mode &amp; Sideloading\WalkAndUnGZ.bat" "%USERPROFILE%\AppData\Local\Temp\OnboardLogs"\RTDC4043\2017-11-01 &amp; aws s3 cp s3://rtdc.mdm.uploadarchive.raw/RTDC4043/ "%USERPROFILE%\AppData\Local\Temp\OnboardLogs"\RTDC4043\2017-11-02 --exclude "*" --recursive --include "*20171102*" &amp; "%USERPROFILE%\Documents\GitHub\mrs-test-scripts\Headless Mode &amp; Sideloading\WalkAndUnGZ.bat" "%USERPROFILE%\AppData\Local\Temp\OnboardLogs"\RTDC4043\2017-11-02</v>
      </c>
      <c r="AF96" s="74" t="str">
        <f t="shared" si="40"/>
        <v>"C:\Program Files (x86)\AstroGrep\AstroGrep.exe" /e /r /s /spath="%USERPROFILE%\AppData\Local\Temp\OnboardLogs" /stypes="app*4043*20171101*" /stext=" 21:.+((SYSTEM_STATE.+slice.+state.+changed )|(ment ac)|(multiple cpu faults)|(system.+state.+changed )|(\[timeout)|(PRM\|1\|D)|(kpr)|(kdp)|(train st.+moving)|(\|lc)|(penalty))"</v>
      </c>
      <c r="AG96" s="182" t="str">
        <f t="shared" si="41"/>
        <v>EC</v>
      </c>
      <c r="AH96" s="78" t="str">
        <f t="shared" si="42"/>
        <v>"%USERPROFILE%\Documents\GitHub\eaglep3\Utilities\RefineRTDCRunTimes.py" --tripid 184-01 --locoid 4043 --swversion DE.1.0.9.0 --startMP 204:232947 --initTime 2017-11-01T14:48:13 --startdatetime 2017-11-01T14:57:28 --delay 76 --endMP 204:314 --enddatetime 2017-11-01T15:36:01 --enforcementcount 0 &gt;&gt;%USERPROFILE%\Documents\GitHub\eaglep3-reporting\EC\2017-11-01-refined-times.txt</v>
      </c>
      <c r="AI96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{"issue":{"subject":"","project_id":79,"tracker_id":40,"status_id":1,"priority_id":2,"assigned_to_id":338,"start_date":"2017-11-01","description":"","custom_fields":[{"id":1,"name":"Subdivision","value":"EC"},{"id":4,"name":"Milepost","value":"0.0314"},{"id":17,"name":"Train ID","value":"184-01"},{"id":16,"name":"Locomotive ID","value":"4043"},{"id":130,"name":"Impact","value":""},{"id":150,"name":"Time of Event (Mountain Time)","value":"15:36:01"},{"id":151,"name":"Denver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0"/>
      <c r="AK96" s="47"/>
      <c r="AL96" s="47"/>
      <c r="AM96" s="142" t="str">
        <f t="shared" si="44"/>
        <v>start /low /b %USERPROFILE%\Documents\GitHub\eaglep3\Utilities\DownloadLogsFromS3.py --loco 4043 --day 2017-11-01</v>
      </c>
      <c r="AN96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21:36:01"},{"id":29,"name":"Sharepoint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46"/>
        <v>https://d0f6bd738d7f1b3e5a7ca70fe4ff75f0.us-east-1.aws.found.io/app/kibana#/discover/Steve-Slow-Train-Analysis-(2080s-and-2083s)?_g=(refreshInterval:(display:Off,pause:!f,section:0,value:0),time:(from:'2017-11-01T13:48:13-0600',mode:absolute,to:'2017-11-01T16:36:01-0600'))&amp;_a=(columns:!('Message%20ID',Summary),filters:!(),index:'emp_*',interval:auto,query:(query_string:(analyze_wildcard:!t,query:'%22rtdc.l.rtdc.4043%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776</v>
      </c>
      <c r="B97" s="7">
        <v>4004</v>
      </c>
      <c r="C97" s="21" t="s">
        <v>194</v>
      </c>
      <c r="D97" s="21" t="s">
        <v>583</v>
      </c>
      <c r="E97" s="13">
        <v>43040.590578703705</v>
      </c>
      <c r="F97" s="13">
        <v>43040.594097222223</v>
      </c>
      <c r="G97" s="7">
        <v>78</v>
      </c>
      <c r="H97" s="21" t="s">
        <v>927</v>
      </c>
      <c r="I97" s="13">
        <v>43040.619641203702</v>
      </c>
      <c r="J97" s="7">
        <v>0</v>
      </c>
      <c r="K97" s="89" t="str">
        <f t="shared" si="29"/>
        <v>4003/4004</v>
      </c>
      <c r="L97" s="185" t="str">
        <f>VLOOKUP(A97,'Trips&amp;Operators'!$C$1:$G$99911,5,FALSE)</f>
        <v>DAVIS MICHAEL</v>
      </c>
      <c r="M97" s="6">
        <f t="shared" si="30"/>
        <v>2.5543981479131617E-2</v>
      </c>
      <c r="N97" s="7">
        <f t="shared" si="52"/>
        <v>36.783333329949528</v>
      </c>
      <c r="O97" s="7"/>
      <c r="P97" s="7"/>
      <c r="Q97" s="22"/>
      <c r="R97" s="174"/>
      <c r="S97" s="221">
        <f t="shared" si="31"/>
        <v>1</v>
      </c>
      <c r="T97" s="174" t="str">
        <f t="shared" si="32"/>
        <v>NorthBound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 t="shared" si="33"/>
        <v>https://d0f6bd738d7f1b3e5a7ca70fe4ff75f0.us-east-1.aws.found.io/app/kibana#/discover/Steve-Slow-Train-Analysis-(2080s-and-2083s)?_g=(refreshInterval:(display:Off,pause:!f,section:0,value:0),time:(from:'2017-11-01T13:10:26-0600',mode:absolute,to:'2017-11-01T15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7" s="204" t="str">
        <f>IF(AA97&lt;VLOOKUP(AG97,Variables!$AC$3:$AD$8,2,FALSE),"Y","N")</f>
        <v>N</v>
      </c>
      <c r="X97" s="204">
        <f t="shared" si="61"/>
        <v>1</v>
      </c>
      <c r="Y97" s="204">
        <f t="shared" si="54"/>
        <v>6.3299999999999995E-2</v>
      </c>
      <c r="Z97" s="204">
        <f t="shared" si="55"/>
        <v>23.3215</v>
      </c>
      <c r="AA97" s="204">
        <f t="shared" si="37"/>
        <v>23.258199999999999</v>
      </c>
      <c r="AB97" s="54" t="e">
        <f>VLOOKUP(A97,Enforcements!$C$7:$K$10,8,0)</f>
        <v>#N/A</v>
      </c>
      <c r="AC97" s="51" t="e">
        <f>VLOOKUP(A97,Enforcements!$C$7:$E$10,3,0)</f>
        <v>#N/A</v>
      </c>
      <c r="AD97" s="179">
        <f t="shared" si="38"/>
        <v>185</v>
      </c>
      <c r="AE97" s="77" t="str">
        <f t="shared" si="39"/>
        <v>aws s3 cp s3://rtdc.mdm.uploadarchive.raw/RTDC4004/ "%USERPROFILE%\AppData\Local\Temp\OnboardLogs"\RTDC4004\2017-11-01 --exclude "*" --recursive --include "*20171101*" &amp; "%USERPROFILE%\Documents\GitHub\mrs-test-scripts\Headless Mode &amp; Sideloading\WalkAndUnGZ.bat" "%USERPROFILE%\AppData\Local\Temp\OnboardLogs"\RTDC4004\2017-11-01 &amp; aws s3 cp s3://rtdc.mdm.uploadarchive.raw/RTDC4004/ "%USERPROFILE%\AppData\Local\Temp\OnboardLogs"\RTDC4004\2017-11-02 --exclude "*" --recursive --include "*20171102*" &amp; "%USERPROFILE%\Documents\GitHub\mrs-test-scripts\Headless Mode &amp; Sideloading\WalkAndUnGZ.bat" "%USERPROFILE%\AppData\Local\Temp\OnboardLogs"\RTDC4004\2017-11-02</v>
      </c>
      <c r="AF97" s="74" t="str">
        <f t="shared" si="40"/>
        <v>"C:\Program Files (x86)\AstroGrep\AstroGrep.exe" /e /r /s /spath="%USERPROFILE%\AppData\Local\Temp\OnboardLogs" /stypes="app*4004*20171101*" /stext=" 20:.+((SYSTEM_STATE.+slice.+state.+changed )|(ment ac)|(multiple cpu faults)|(system.+state.+changed )|(\[timeout)|(PRM\|1\|D)|(kpr)|(kdp)|(train st.+moving)|(\|lc)|(penalty))"</v>
      </c>
      <c r="AG97" s="182" t="str">
        <f t="shared" si="41"/>
        <v>EC</v>
      </c>
      <c r="AH97" s="78" t="str">
        <f t="shared" si="42"/>
        <v>"%USERPROFILE%\Documents\GitHub\eaglep3\Utilities\RefineRTDCRunTimes.py" --tripid 185-01 --locoid 4004 --swversion DE.1.0.9.0 --startMP 204:633 --initTime 2017-11-01T14:10:26 --startdatetime 2017-11-01T14:15:30 --delay 78 --endMP 204:233215 --enddatetime 2017-11-01T14:52:17 --enforcementcount 0 &gt;&gt;%USERPROFILE%\Documents\GitHub\eaglep3-reporting\EC\2017-11-01-refined-times.txt</v>
      </c>
      <c r="AI97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{"issue":{"subject":"","project_id":79,"tracker_id":40,"status_id":1,"priority_id":2,"assigned_to_id":338,"start_date":"2017-11-01","description":"","custom_fields":[{"id":1,"name":"Subdivision","value":"EC"},{"id":4,"name":"Milepost","value":"23.3215"},{"id":17,"name":"Train ID","value":"185-01"},{"id":16,"name":"Locomotive ID","value":"4004"},{"id":130,"name":"Impact","value":""},{"id":150,"name":"Time of Event (Mountain Time)","value":"14:52:17"},{"id":151,"name":"Denver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0"/>
      <c r="AK97" s="47"/>
      <c r="AL97" s="47"/>
      <c r="AM97" s="142" t="str">
        <f t="shared" si="44"/>
        <v>start /low /b %USERPROFILE%\Documents\GitHub\eaglep3\Utilities\DownloadLogsFromS3.py --loco 4004 --day 2017-11-01</v>
      </c>
      <c r="AN97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20:52:17"},{"id":29,"name":"Sharepoint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46"/>
        <v>https://d0f6bd738d7f1b3e5a7ca70fe4ff75f0.us-east-1.aws.found.io/app/kibana#/discover/Steve-Slow-Train-Analysis-(2080s-and-2083s)?_g=(refreshInterval:(display:Off,pause:!f,section:0,value:0),time:(from:'2017-11-01T13:10:26-0600',mode:absolute,to:'2017-11-01T15:52:17-0600'))&amp;_a=(columns:!('Message%20ID',Summary),filters:!(),index:'emp_*',interval:auto,query:(query_string:(analyze_wildcard:!t,query:'%22rtdc.l.rtdc.4004%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2" t="s">
        <v>783</v>
      </c>
      <c r="B98" s="7">
        <v>4003</v>
      </c>
      <c r="C98" s="21" t="s">
        <v>194</v>
      </c>
      <c r="D98" s="21" t="s">
        <v>584</v>
      </c>
      <c r="E98" s="13">
        <v>43040.632094907407</v>
      </c>
      <c r="F98" s="13">
        <v>43040.634027777778</v>
      </c>
      <c r="G98" s="7">
        <v>86</v>
      </c>
      <c r="H98" s="21" t="s">
        <v>397</v>
      </c>
      <c r="I98" s="13">
        <v>43040.662164351852</v>
      </c>
      <c r="J98" s="7">
        <v>0</v>
      </c>
      <c r="K98" s="89" t="str">
        <f t="shared" si="29"/>
        <v>4003/4004</v>
      </c>
      <c r="L98" s="185" t="str">
        <f>VLOOKUP(A98,'Trips&amp;Operators'!$C$1:$G$99911,5,FALSE)</f>
        <v>DAVIS MICHAEL</v>
      </c>
      <c r="M98" s="6">
        <f t="shared" si="30"/>
        <v>2.8136574073869269E-2</v>
      </c>
      <c r="N98" s="7">
        <f t="shared" si="52"/>
        <v>40.516666666371748</v>
      </c>
      <c r="O98" s="7"/>
      <c r="P98" s="7"/>
      <c r="Q98" s="22"/>
      <c r="R98" s="174"/>
      <c r="S98" s="221">
        <f t="shared" si="31"/>
        <v>1</v>
      </c>
      <c r="T98" s="174" t="str">
        <f t="shared" si="32"/>
        <v>Southbound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 t="shared" si="33"/>
        <v>https://d0f6bd738d7f1b3e5a7ca70fe4ff75f0.us-east-1.aws.found.io/app/kibana#/discover/Steve-Slow-Train-Analysis-(2080s-and-2083s)?_g=(refreshInterval:(display:Off,pause:!f,section:0,value:0),time:(from:'2017-11-01T14:10:13-0600',mode:absolute,to:'2017-11-01T16:53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8" s="204" t="str">
        <f>IF(AA98&lt;VLOOKUP(AG98,Variables!$AC$3:$AD$8,2,FALSE),"Y","N")</f>
        <v>N</v>
      </c>
      <c r="X98" s="204">
        <f t="shared" si="61"/>
        <v>1</v>
      </c>
      <c r="Y98" s="204">
        <f t="shared" si="54"/>
        <v>23.293399999999998</v>
      </c>
      <c r="Z98" s="204">
        <f t="shared" si="55"/>
        <v>2.1999999999999999E-2</v>
      </c>
      <c r="AA98" s="204">
        <f t="shared" si="37"/>
        <v>23.2714</v>
      </c>
      <c r="AB98" s="54" t="e">
        <f>VLOOKUP(A98,Enforcements!$C$7:$K$10,8,0)</f>
        <v>#N/A</v>
      </c>
      <c r="AC98" s="51" t="e">
        <f>VLOOKUP(A98,Enforcements!$C$7:$E$10,3,0)</f>
        <v>#N/A</v>
      </c>
      <c r="AD98" s="179">
        <f t="shared" si="38"/>
        <v>186</v>
      </c>
      <c r="AE98" s="77" t="str">
        <f t="shared" si="39"/>
        <v>aws s3 cp s3://rtdc.mdm.uploadarchive.raw/RTDC4003/ "%USERPROFILE%\AppData\Local\Temp\OnboardLogs"\RTDC4003\2017-11-01 --exclude "*" --recursive --include "*20171101*" &amp; "%USERPROFILE%\Documents\GitHub\mrs-test-scripts\Headless Mode &amp; Sideloading\WalkAndUnGZ.bat" "%USERPROFILE%\AppData\Local\Temp\OnboardLogs"\RTDC4003\2017-11-01 &amp; aws s3 cp s3://rtdc.mdm.uploadarchive.raw/RTDC4003/ "%USERPROFILE%\AppData\Local\Temp\OnboardLogs"\RTDC4003\2017-11-02 --exclude "*" --recursive --include "*20171102*" &amp; "%USERPROFILE%\Documents\GitHub\mrs-test-scripts\Headless Mode &amp; Sideloading\WalkAndUnGZ.bat" "%USERPROFILE%\AppData\Local\Temp\OnboardLogs"\RTDC4003\2017-11-02</v>
      </c>
      <c r="AF98" s="74" t="str">
        <f t="shared" si="40"/>
        <v>"C:\Program Files (x86)\AstroGrep\AstroGrep.exe" /e /r /s /spath="%USERPROFILE%\AppData\Local\Temp\OnboardLogs" /stypes="app*4003*20171101*" /stext=" 21:.+((SYSTEM_STATE.+slice.+state.+changed )|(ment ac)|(multiple cpu faults)|(system.+state.+changed )|(\[timeout)|(PRM\|1\|D)|(kpr)|(kdp)|(train st.+moving)|(\|lc)|(penalty))"</v>
      </c>
      <c r="AG98" s="182" t="str">
        <f t="shared" si="41"/>
        <v>EC</v>
      </c>
      <c r="AH98" s="78" t="str">
        <f t="shared" si="42"/>
        <v>"%USERPROFILE%\Documents\GitHub\eaglep3\Utilities\RefineRTDCRunTimes.py" --tripid 186-01 --locoid 4003 --swversion DE.1.0.9.0 --startMP 204:232934 --initTime 2017-11-01T15:10:13 --startdatetime 2017-11-01T15:13:00 --delay 86 --endMP 204:220 --enddatetime 2017-11-01T15:53:31 --enforcementcount 0 &gt;&gt;%USERPROFILE%\Documents\GitHub\eaglep3-reporting\EC\2017-11-01-refined-times.txt</v>
      </c>
      <c r="AI98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{"issue":{"subject":"","project_id":79,"tracker_id":40,"status_id":1,"priority_id":2,"assigned_to_id":338,"start_date":"2017-11-01","description":"","custom_fields":[{"id":1,"name":"Subdivision","value":"EC"},{"id":4,"name":"Milepost","value":"0.022"},{"id":17,"name":"Train ID","value":"186-01"},{"id":16,"name":"Locomotive ID","value":"4003"},{"id":130,"name":"Impact","value":""},{"id":150,"name":"Time of Event (Mountain Time)","value":"15:53:31"},{"id":151,"name":"Denver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0"/>
      <c r="AK98" s="47"/>
      <c r="AL98" s="47"/>
      <c r="AM98" s="142" t="str">
        <f t="shared" si="44"/>
        <v>start /low /b %USERPROFILE%\Documents\GitHub\eaglep3\Utilities\DownloadLogsFromS3.py --loco 4003 --day 2017-11-01</v>
      </c>
      <c r="AN98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21:53:31"},{"id":29,"name":"Sharepoint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46"/>
        <v>https://d0f6bd738d7f1b3e5a7ca70fe4ff75f0.us-east-1.aws.found.io/app/kibana#/discover/Steve-Slow-Train-Analysis-(2080s-and-2083s)?_g=(refreshInterval:(display:Off,pause:!f,section:0,value:0),time:(from:'2017-11-01T14:10:13-0600',mode:absolute,to:'2017-11-01T16:53:31-0600'))&amp;_a=(columns:!('Message%20ID',Summary),filters:!(),index:'emp_*',interval:auto,query:(query_string:(analyze_wildcard:!t,query:'%22rtdc.l.rtdc.4003%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32" t="s">
        <v>636</v>
      </c>
      <c r="B99" s="7">
        <v>4042</v>
      </c>
      <c r="C99" s="21" t="s">
        <v>194</v>
      </c>
      <c r="D99" s="21" t="s">
        <v>928</v>
      </c>
      <c r="E99" s="13">
        <v>43040.600659722222</v>
      </c>
      <c r="F99" s="13">
        <v>43040.604456018518</v>
      </c>
      <c r="G99" s="7">
        <v>59</v>
      </c>
      <c r="H99" s="21" t="s">
        <v>929</v>
      </c>
      <c r="I99" s="13">
        <v>43040.629907407405</v>
      </c>
      <c r="J99" s="7">
        <v>0</v>
      </c>
      <c r="K99" s="89" t="str">
        <f t="shared" si="29"/>
        <v>4041/4042</v>
      </c>
      <c r="L99" s="185" t="str">
        <f>VLOOKUP(A99,'Trips&amp;Operators'!$C$1:$G$99911,5,FALSE)</f>
        <v>HOLCOMB KAMDEN</v>
      </c>
      <c r="M99" s="6">
        <f t="shared" si="30"/>
        <v>2.545138888672227E-2</v>
      </c>
      <c r="N99" s="7">
        <f t="shared" si="52"/>
        <v>36.649999996880069</v>
      </c>
      <c r="O99" s="7"/>
      <c r="P99" s="7"/>
      <c r="Q99" s="22"/>
      <c r="R99" s="174"/>
      <c r="S99" s="221">
        <f t="shared" si="31"/>
        <v>1</v>
      </c>
      <c r="T99" s="174" t="str">
        <f t="shared" si="32"/>
        <v>NorthBound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 t="shared" si="33"/>
        <v>https://d0f6bd738d7f1b3e5a7ca70fe4ff75f0.us-east-1.aws.found.io/app/kibana#/discover/Steve-Slow-Train-Analysis-(2080s-and-2083s)?_g=(refreshInterval:(display:Off,pause:!f,section:0,value:0),time:(from:'2017-11-01T13:24:57-0600',mode:absolute,to:'2017-11-01T16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9" s="204" t="str">
        <f>IF(AA99&lt;VLOOKUP(AG99,Variables!$AC$3:$AD$8,2,FALSE),"Y","N")</f>
        <v>N</v>
      </c>
      <c r="X99" s="204">
        <f t="shared" si="61"/>
        <v>1</v>
      </c>
      <c r="Y99" s="204">
        <f t="shared" si="54"/>
        <v>5.2200000000000003E-2</v>
      </c>
      <c r="Z99" s="204">
        <f t="shared" si="55"/>
        <v>23.314499999999999</v>
      </c>
      <c r="AA99" s="204">
        <f t="shared" si="37"/>
        <v>23.2623</v>
      </c>
      <c r="AB99" s="54" t="e">
        <f>VLOOKUP(A99,Enforcements!$C$7:$K$10,8,0)</f>
        <v>#N/A</v>
      </c>
      <c r="AC99" s="51" t="e">
        <f>VLOOKUP(A99,Enforcements!$C$7:$E$10,3,0)</f>
        <v>#N/A</v>
      </c>
      <c r="AD99" s="179">
        <f t="shared" si="38"/>
        <v>187</v>
      </c>
      <c r="AE99" s="77" t="str">
        <f t="shared" si="39"/>
        <v>aws s3 cp s3://rtdc.mdm.uploadarchive.raw/RTDC4042/ "%USERPROFILE%\AppData\Local\Temp\OnboardLogs"\RTDC4042\2017-11-01 --exclude "*" --recursive --include "*20171101*" &amp; "%USERPROFILE%\Documents\GitHub\mrs-test-scripts\Headless Mode &amp; Sideloading\WalkAndUnGZ.bat" "%USERPROFILE%\AppData\Local\Temp\OnboardLogs"\RTDC4042\2017-11-01 &amp; aws s3 cp s3://rtdc.mdm.uploadarchive.raw/RTDC4042/ "%USERPROFILE%\AppData\Local\Temp\OnboardLogs"\RTDC4042\2017-11-02 --exclude "*" --recursive --include "*20171102*" &amp; "%USERPROFILE%\Documents\GitHub\mrs-test-scripts\Headless Mode &amp; Sideloading\WalkAndUnGZ.bat" "%USERPROFILE%\AppData\Local\Temp\OnboardLogs"\RTDC4042\2017-11-02</v>
      </c>
      <c r="AF99" s="74" t="str">
        <f t="shared" si="40"/>
        <v>"C:\Program Files (x86)\AstroGrep\AstroGrep.exe" /e /r /s /spath="%USERPROFILE%\AppData\Local\Temp\OnboardLogs" /stypes="app*4042*20171101*" /stext=" 21:.+((SYSTEM_STATE.+slice.+state.+changed )|(ment ac)|(multiple cpu faults)|(system.+state.+changed )|(\[timeout)|(PRM\|1\|D)|(kpr)|(kdp)|(train st.+moving)|(\|lc)|(penalty))"</v>
      </c>
      <c r="AG99" s="182" t="str">
        <f t="shared" si="41"/>
        <v>EC</v>
      </c>
      <c r="AH99" s="78" t="str">
        <f t="shared" si="42"/>
        <v>"%USERPROFILE%\Documents\GitHub\eaglep3\Utilities\RefineRTDCRunTimes.py" --tripid 187-01 --locoid 4042 --swversion DE.1.0.9.0 --startMP 204:522 --initTime 2017-11-01T14:24:57 --startdatetime 2017-11-01T14:30:25 --delay 59 --endMP 204:233145 --enddatetime 2017-11-01T15:07:04 --enforcementcount 0 &gt;&gt;%USERPROFILE%\Documents\GitHub\eaglep3-reporting\EC\2017-11-01-refined-times.txt</v>
      </c>
      <c r="AI99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{"issue":{"subject":"","project_id":79,"tracker_id":40,"status_id":1,"priority_id":2,"assigned_to_id":338,"start_date":"2017-11-01","description":"","custom_fields":[{"id":1,"name":"Subdivision","value":"EC"},{"id":4,"name":"Milepost","value":"23.3145"},{"id":17,"name":"Train ID","value":"187-01"},{"id":16,"name":"Locomotive ID","value":"4042"},{"id":130,"name":"Impact","value":""},{"id":150,"name":"Time of Event (Mountain Time)","value":"15:07:04"},{"id":151,"name":"Denver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0"/>
      <c r="AK99" s="47"/>
      <c r="AL99" s="47"/>
      <c r="AM99" s="142" t="str">
        <f t="shared" si="44"/>
        <v>start /low /b %USERPROFILE%\Documents\GitHub\eaglep3\Utilities\DownloadLogsFromS3.py --loco 4042 --day 2017-11-01</v>
      </c>
      <c r="AN99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21:07:04"},{"id":29,"name":"Sharepoint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46"/>
        <v>https://d0f6bd738d7f1b3e5a7ca70fe4ff75f0.us-east-1.aws.found.io/app/kibana#/discover/Steve-Slow-Train-Analysis-(2080s-and-2083s)?_g=(refreshInterval:(display:Off,pause:!f,section:0,value:0),time:(from:'2017-11-01T13:24:57-0600',mode:absolute,to:'2017-11-01T16:07:04-0600'))&amp;_a=(columns:!('Message%20ID',Summary),filters:!(),index:'emp_*',interval:auto,query:(query_string:(analyze_wildcard:!t,query:'%22rtdc.l.rtdc.4042%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32" t="s">
        <v>785</v>
      </c>
      <c r="B100" s="7">
        <v>4041</v>
      </c>
      <c r="C100" s="21" t="s">
        <v>194</v>
      </c>
      <c r="D100" s="21" t="s">
        <v>930</v>
      </c>
      <c r="E100" s="13">
        <v>43040.640902777777</v>
      </c>
      <c r="F100" s="13">
        <v>43040.644120370373</v>
      </c>
      <c r="G100" s="7">
        <v>84</v>
      </c>
      <c r="H100" s="21" t="s">
        <v>931</v>
      </c>
      <c r="I100" s="13">
        <v>43040.670428240737</v>
      </c>
      <c r="J100" s="7">
        <v>0</v>
      </c>
      <c r="K100" s="89" t="str">
        <f t="shared" si="29"/>
        <v>4041/4042</v>
      </c>
      <c r="L100" s="185" t="str">
        <f>VLOOKUP(A100,'Trips&amp;Operators'!$C$1:$G$99911,5,FALSE)</f>
        <v>HOLCOMB KAMDEN</v>
      </c>
      <c r="M100" s="6">
        <f t="shared" si="30"/>
        <v>2.6307870364689734E-2</v>
      </c>
      <c r="N100" s="7">
        <f t="shared" si="52"/>
        <v>37.883333325153217</v>
      </c>
      <c r="O100" s="7"/>
      <c r="P100" s="7"/>
      <c r="Q100" s="22"/>
      <c r="R100" s="174"/>
      <c r="S100" s="221">
        <f t="shared" si="31"/>
        <v>1</v>
      </c>
      <c r="T100" s="174" t="str">
        <f t="shared" si="32"/>
        <v>Southbound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 t="shared" si="33"/>
        <v>https://d0f6bd738d7f1b3e5a7ca70fe4ff75f0.us-east-1.aws.found.io/app/kibana#/discover/Steve-Slow-Train-Analysis-(2080s-and-2083s)?_g=(refreshInterval:(display:Off,pause:!f,section:0,value:0),time:(from:'2017-11-01T14:22:54-0600',mode:absolute,to:'2017-11-01T17:05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0" s="204" t="str">
        <f>IF(AA100&lt;VLOOKUP(AG100,Variables!$AC$3:$AD$8,2,FALSE),"Y","N")</f>
        <v>N</v>
      </c>
      <c r="X100" s="204">
        <f t="shared" si="61"/>
        <v>1</v>
      </c>
      <c r="Y100" s="204">
        <f t="shared" si="54"/>
        <v>23.282399999999999</v>
      </c>
      <c r="Z100" s="204">
        <f t="shared" si="55"/>
        <v>2.6499999999999999E-2</v>
      </c>
      <c r="AA100" s="204">
        <f t="shared" si="37"/>
        <v>23.2559</v>
      </c>
      <c r="AB100" s="54" t="e">
        <f>VLOOKUP(A100,Enforcements!$C$7:$K$10,8,0)</f>
        <v>#N/A</v>
      </c>
      <c r="AC100" s="51" t="e">
        <f>VLOOKUP(A100,Enforcements!$C$7:$E$10,3,0)</f>
        <v>#N/A</v>
      </c>
      <c r="AD100" s="179">
        <f t="shared" si="38"/>
        <v>188</v>
      </c>
      <c r="AE100" s="77" t="str">
        <f t="shared" si="39"/>
        <v>aws s3 cp s3://rtdc.mdm.uploadarchive.raw/RTDC4041/ "%USERPROFILE%\AppData\Local\Temp\OnboardLogs"\RTDC4041\2017-11-01 --exclude "*" --recursive --include "*20171101*" &amp; "%USERPROFILE%\Documents\GitHub\mrs-test-scripts\Headless Mode &amp; Sideloading\WalkAndUnGZ.bat" "%USERPROFILE%\AppData\Local\Temp\OnboardLogs"\RTDC4041\2017-11-01 &amp; aws s3 cp s3://rtdc.mdm.uploadarchive.raw/RTDC4041/ "%USERPROFILE%\AppData\Local\Temp\OnboardLogs"\RTDC4041\2017-11-02 --exclude "*" --recursive --include "*20171102*" &amp; "%USERPROFILE%\Documents\GitHub\mrs-test-scripts\Headless Mode &amp; Sideloading\WalkAndUnGZ.bat" "%USERPROFILE%\AppData\Local\Temp\OnboardLogs"\RTDC4041\2017-11-02</v>
      </c>
      <c r="AF100" s="74" t="str">
        <f t="shared" si="40"/>
        <v>"C:\Program Files (x86)\AstroGrep\AstroGrep.exe" /e /r /s /spath="%USERPROFILE%\AppData\Local\Temp\OnboardLogs" /stypes="app*4041*20171101*" /stext=" 22:.+((SYSTEM_STATE.+slice.+state.+changed )|(ment ac)|(multiple cpu faults)|(system.+state.+changed )|(\[timeout)|(PRM\|1\|D)|(kpr)|(kdp)|(train st.+moving)|(\|lc)|(penalty))"</v>
      </c>
      <c r="AG100" s="182" t="str">
        <f t="shared" si="41"/>
        <v>EC</v>
      </c>
      <c r="AH100" s="78" t="str">
        <f t="shared" si="42"/>
        <v>"%USERPROFILE%\Documents\GitHub\eaglep3\Utilities\RefineRTDCRunTimes.py" --tripid 188-01 --locoid 4041 --swversion DE.1.0.9.0 --startMP 204:232824 --initTime 2017-11-01T15:22:54 --startdatetime 2017-11-01T15:27:32 --delay 84 --endMP 204:265 --enddatetime 2017-11-01T16:05:25 --enforcementcount 0 &gt;&gt;%USERPROFILE%\Documents\GitHub\eaglep3-reporting\EC\2017-11-01-refined-times.txt</v>
      </c>
      <c r="AI100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{"issue":{"subject":"","project_id":79,"tracker_id":40,"status_id":1,"priority_id":2,"assigned_to_id":338,"start_date":"2017-11-01","description":"","custom_fields":[{"id":1,"name":"Subdivision","value":"EC"},{"id":4,"name":"Milepost","value":"0.0265"},{"id":17,"name":"Train ID","value":"188-01"},{"id":16,"name":"Locomotive ID","value":"4041"},{"id":130,"name":"Impact","value":""},{"id":150,"name":"Time of Event (Mountain Time)","value":"16:05:25"},{"id":151,"name":"Denver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0"/>
      <c r="AK100" s="47"/>
      <c r="AL100" s="47"/>
      <c r="AM100" s="142" t="str">
        <f t="shared" si="44"/>
        <v>start /low /b %USERPROFILE%\Documents\GitHub\eaglep3\Utilities\DownloadLogsFromS3.py --loco 4041 --day 2017-11-01</v>
      </c>
      <c r="AN100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22:05:25"},{"id":29,"name":"Sharepoint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46"/>
        <v>https://d0f6bd738d7f1b3e5a7ca70fe4ff75f0.us-east-1.aws.found.io/app/kibana#/discover/Steve-Slow-Train-Analysis-(2080s-and-2083s)?_g=(refreshInterval:(display:Off,pause:!f,section:0,value:0),time:(from:'2017-11-01T14:22:54-0600',mode:absolute,to:'2017-11-01T17:05:25-0600'))&amp;_a=(columns:!('Message%20ID',Summary),filters:!(),index:'emp_*',interval:auto,query:(query_string:(analyze_wildcard:!t,query:'%22rtdc.l.rtdc.4041%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25">
      <c r="A101" s="32" t="s">
        <v>779</v>
      </c>
      <c r="B101" s="7">
        <v>4050</v>
      </c>
      <c r="C101" s="21" t="s">
        <v>194</v>
      </c>
      <c r="D101" s="21" t="s">
        <v>446</v>
      </c>
      <c r="E101" s="13">
        <v>43040.610300925924</v>
      </c>
      <c r="F101" s="13">
        <v>43040.614756944444</v>
      </c>
      <c r="G101" s="7">
        <v>90</v>
      </c>
      <c r="H101" s="21" t="s">
        <v>578</v>
      </c>
      <c r="I101" s="13">
        <v>43040.63863425926</v>
      </c>
      <c r="J101" s="7">
        <v>0</v>
      </c>
      <c r="K101" s="89" t="str">
        <f t="shared" si="29"/>
        <v>4049/4050</v>
      </c>
      <c r="L101" s="185" t="str">
        <f>VLOOKUP(A101,'Trips&amp;Operators'!$C$1:$G$99911,5,FALSE)</f>
        <v>BRUDER RICHARD</v>
      </c>
      <c r="M101" s="6">
        <f t="shared" si="30"/>
        <v>2.3877314815763384E-2</v>
      </c>
      <c r="N101" s="7">
        <f t="shared" si="52"/>
        <v>34.383333334699273</v>
      </c>
      <c r="O101" s="7"/>
      <c r="P101" s="7"/>
      <c r="Q101" s="22"/>
      <c r="R101" s="174"/>
      <c r="S101" s="221">
        <f t="shared" si="31"/>
        <v>1</v>
      </c>
      <c r="T101" s="174" t="str">
        <f t="shared" si="32"/>
        <v>NorthBound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 t="shared" si="33"/>
        <v>https://d0f6bd738d7f1b3e5a7ca70fe4ff75f0.us-east-1.aws.found.io/app/kibana#/discover/Steve-Slow-Train-Analysis-(2080s-and-2083s)?_g=(refreshInterval:(display:Off,pause:!f,section:0,value:0),time:(from:'2017-11-01T13:38:50-0600',mode:absolute,to:'2017-11-01T16:19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01" s="204" t="str">
        <f>IF(AA101&lt;VLOOKUP(AG101,Variables!$AC$3:$AD$8,2,FALSE),"Y","N")</f>
        <v>N</v>
      </c>
      <c r="X101" s="204">
        <f t="shared" si="61"/>
        <v>1</v>
      </c>
      <c r="Y101" s="204">
        <f t="shared" si="54"/>
        <v>5.4199999999999998E-2</v>
      </c>
      <c r="Z101" s="204">
        <f t="shared" si="55"/>
        <v>23.3218</v>
      </c>
      <c r="AA101" s="204">
        <f t="shared" si="37"/>
        <v>23.267599999999998</v>
      </c>
      <c r="AB101" s="54" t="e">
        <f>VLOOKUP(A101,Enforcements!$C$7:$K$10,8,0)</f>
        <v>#N/A</v>
      </c>
      <c r="AC101" s="51" t="e">
        <f>VLOOKUP(A101,Enforcements!$C$7:$E$10,3,0)</f>
        <v>#N/A</v>
      </c>
      <c r="AD101" s="179">
        <f t="shared" si="38"/>
        <v>189</v>
      </c>
      <c r="AE101" s="77" t="str">
        <f t="shared" si="39"/>
        <v>aws s3 cp s3://rtdc.mdm.uploadarchive.raw/RTDC4050/ "%USERPROFILE%\AppData\Local\Temp\OnboardLogs"\RTDC4050\2017-11-01 --exclude "*" --recursive --include "*20171101*" &amp; "%USERPROFILE%\Documents\GitHub\mrs-test-scripts\Headless Mode &amp; Sideloading\WalkAndUnGZ.bat" "%USERPROFILE%\AppData\Local\Temp\OnboardLogs"\RTDC4050\2017-11-01 &amp; aws s3 cp s3://rtdc.mdm.uploadarchive.raw/RTDC4050/ "%USERPROFILE%\AppData\Local\Temp\OnboardLogs"\RTDC4050\2017-11-02 --exclude "*" --recursive --include "*20171102*" &amp; "%USERPROFILE%\Documents\GitHub\mrs-test-scripts\Headless Mode &amp; Sideloading\WalkAndUnGZ.bat" "%USERPROFILE%\AppData\Local\Temp\OnboardLogs"\RTDC4050\2017-11-02</v>
      </c>
      <c r="AF101" s="74" t="str">
        <f t="shared" si="40"/>
        <v>"C:\Program Files (x86)\AstroGrep\AstroGrep.exe" /e /r /s /spath="%USERPROFILE%\AppData\Local\Temp\OnboardLogs" /stypes="app*4050*20171101*" /stext=" 21:.+((SYSTEM_STATE.+slice.+state.+changed )|(ment ac)|(multiple cpu faults)|(system.+state.+changed )|(\[timeout)|(PRM\|1\|D)|(kpr)|(kdp)|(train st.+moving)|(\|lc)|(penalty))"</v>
      </c>
      <c r="AG101" s="182" t="str">
        <f t="shared" si="41"/>
        <v>EC</v>
      </c>
      <c r="AH101" s="78" t="str">
        <f t="shared" si="42"/>
        <v>"%USERPROFILE%\Documents\GitHub\eaglep3\Utilities\RefineRTDCRunTimes.py" --tripid 189-01 --locoid 4050 --swversion DE.1.0.9.0 --startMP 204:542 --initTime 2017-11-01T14:38:50 --startdatetime 2017-11-01T14:45:15 --delay 90 --endMP 204:233218 --enddatetime 2017-11-01T15:19:38 --enforcementcount 0 &gt;&gt;%USERPROFILE%\Documents\GitHub\eaglep3-reporting\EC\2017-11-01-refined-times.txt</v>
      </c>
      <c r="AI101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{"issue":{"subject":"","project_id":79,"tracker_id":40,"status_id":1,"priority_id":2,"assigned_to_id":338,"start_date":"2017-11-01","description":"","custom_fields":[{"id":1,"name":"Subdivision","value":"EC"},{"id":4,"name":"Milepost","value":"23.3218"},{"id":17,"name":"Train ID","value":"189-01"},{"id":16,"name":"Locomotive ID","value":"4050"},{"id":130,"name":"Impact","value":""},{"id":150,"name":"Time of Event (Mountain Time)","value":"15:19:38"},{"id":151,"name":"Denver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0"/>
      <c r="AK101" s="47"/>
      <c r="AL101" s="47"/>
      <c r="AM101" s="142" t="str">
        <f t="shared" si="44"/>
        <v>start /low /b %USERPROFILE%\Documents\GitHub\eaglep3\Utilities\DownloadLogsFromS3.py --loco 4050 --day 2017-11-01</v>
      </c>
      <c r="AN101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21:19:38"},{"id":29,"name":"Sharepoint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46"/>
        <v>https://d0f6bd738d7f1b3e5a7ca70fe4ff75f0.us-east-1.aws.found.io/app/kibana#/discover/Steve-Slow-Train-Analysis-(2080s-and-2083s)?_g=(refreshInterval:(display:Off,pause:!f,section:0,value:0),time:(from:'2017-11-01T13:38:50-0600',mode:absolute,to:'2017-11-01T16:19:38-0600'))&amp;_a=(columns:!('Message%20ID',Summary),filters:!(),index:'emp_*',interval:auto,query:(query_string:(analyze_wildcard:!t,query:'%22rtdc.l.rtdc.4050%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x14ac:dyDescent="0.25">
      <c r="A102" s="32" t="s">
        <v>788</v>
      </c>
      <c r="B102" s="7">
        <v>4049</v>
      </c>
      <c r="C102" s="21" t="s">
        <v>194</v>
      </c>
      <c r="D102" s="21" t="s">
        <v>449</v>
      </c>
      <c r="E102" s="13">
        <v>43040.651122685187</v>
      </c>
      <c r="F102" s="13">
        <v>43040.654351851852</v>
      </c>
      <c r="G102" s="7">
        <v>55</v>
      </c>
      <c r="H102" s="21" t="s">
        <v>932</v>
      </c>
      <c r="I102" s="13">
        <v>43040.680532407408</v>
      </c>
      <c r="J102" s="7">
        <v>0</v>
      </c>
      <c r="K102" s="89" t="str">
        <f t="shared" si="29"/>
        <v>4049/4050</v>
      </c>
      <c r="L102" s="185" t="str">
        <f>VLOOKUP(A102,'Trips&amp;Operators'!$C$1:$G$99911,5,FALSE)</f>
        <v>BRUDER RICHARD</v>
      </c>
      <c r="M102" s="6">
        <f t="shared" si="30"/>
        <v>2.6180555556493346E-2</v>
      </c>
      <c r="N102" s="7">
        <f t="shared" si="52"/>
        <v>37.700000001350418</v>
      </c>
      <c r="O102" s="7"/>
      <c r="P102" s="7"/>
      <c r="Q102" s="22"/>
      <c r="R102" s="174"/>
      <c r="S102" s="221">
        <f t="shared" si="31"/>
        <v>1</v>
      </c>
      <c r="T102" s="174" t="str">
        <f t="shared" si="32"/>
        <v>Southbound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 t="shared" si="33"/>
        <v>https://d0f6bd738d7f1b3e5a7ca70fe4ff75f0.us-east-1.aws.found.io/app/kibana#/discover/Steve-Slow-Train-Analysis-(2080s-and-2083s)?_g=(refreshInterval:(display:Off,pause:!f,section:0,value:0),time:(from:'2017-11-01T14:37:37-0600',mode:absolute,to:'2017-11-01T17:19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2" s="204" t="str">
        <f>IF(AA102&lt;VLOOKUP(AG102,Variables!$AC$3:$AD$8,2,FALSE),"Y","N")</f>
        <v>N</v>
      </c>
      <c r="X102" s="204">
        <f t="shared" si="61"/>
        <v>1</v>
      </c>
      <c r="Y102" s="204">
        <f t="shared" si="54"/>
        <v>23.288799999999998</v>
      </c>
      <c r="Z102" s="204">
        <f t="shared" si="55"/>
        <v>2.2100000000000002E-2</v>
      </c>
      <c r="AA102" s="204">
        <f t="shared" si="37"/>
        <v>23.2667</v>
      </c>
      <c r="AB102" s="54" t="e">
        <f>VLOOKUP(A102,Enforcements!$C$7:$K$10,8,0)</f>
        <v>#N/A</v>
      </c>
      <c r="AC102" s="51" t="e">
        <f>VLOOKUP(A102,Enforcements!$C$7:$E$10,3,0)</f>
        <v>#N/A</v>
      </c>
      <c r="AD102" s="179">
        <f t="shared" si="38"/>
        <v>190</v>
      </c>
      <c r="AE102" s="77" t="str">
        <f t="shared" si="39"/>
        <v>aws s3 cp s3://rtdc.mdm.uploadarchive.raw/RTDC4049/ "%USERPROFILE%\AppData\Local\Temp\OnboardLogs"\RTDC4049\2017-11-01 --exclude "*" --recursive --include "*20171101*" &amp; "%USERPROFILE%\Documents\GitHub\mrs-test-scripts\Headless Mode &amp; Sideloading\WalkAndUnGZ.bat" "%USERPROFILE%\AppData\Local\Temp\OnboardLogs"\RTDC4049\2017-11-01 &amp; aws s3 cp s3://rtdc.mdm.uploadarchive.raw/RTDC4049/ "%USERPROFILE%\AppData\Local\Temp\OnboardLogs"\RTDC4049\2017-11-02 --exclude "*" --recursive --include "*20171102*" &amp; "%USERPROFILE%\Documents\GitHub\mrs-test-scripts\Headless Mode &amp; Sideloading\WalkAndUnGZ.bat" "%USERPROFILE%\AppData\Local\Temp\OnboardLogs"\RTDC4049\2017-11-02</v>
      </c>
      <c r="AF102" s="74" t="str">
        <f t="shared" si="40"/>
        <v>"C:\Program Files (x86)\AstroGrep\AstroGrep.exe" /e /r /s /spath="%USERPROFILE%\AppData\Local\Temp\OnboardLogs" /stypes="app*4049*20171101*" /stext=" 22:.+((SYSTEM_STATE.+slice.+state.+changed )|(ment ac)|(multiple cpu faults)|(system.+state.+changed )|(\[timeout)|(PRM\|1\|D)|(kpr)|(kdp)|(train st.+moving)|(\|lc)|(penalty))"</v>
      </c>
      <c r="AG102" s="182" t="str">
        <f t="shared" si="41"/>
        <v>EC</v>
      </c>
      <c r="AH102" s="78" t="str">
        <f t="shared" si="42"/>
        <v>"%USERPROFILE%\Documents\GitHub\eaglep3\Utilities\RefineRTDCRunTimes.py" --tripid 190-01 --locoid 4049 --swversion DE.1.0.9.0 --startMP 204:232888 --initTime 2017-11-01T15:37:37 --startdatetime 2017-11-01T15:42:16 --delay 55 --endMP 204:221 --enddatetime 2017-11-01T16:19:58 --enforcementcount 0 &gt;&gt;%USERPROFILE%\Documents\GitHub\eaglep3-reporting\EC\2017-11-01-refined-times.txt</v>
      </c>
      <c r="AI102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{"issue":{"subject":"","project_id":79,"tracker_id":40,"status_id":1,"priority_id":2,"assigned_to_id":338,"start_date":"2017-11-01","description":"","custom_fields":[{"id":1,"name":"Subdivision","value":"EC"},{"id":4,"name":"Milepost","value":"0.0221"},{"id":17,"name":"Train ID","value":"190-01"},{"id":16,"name":"Locomotive ID","value":"4049"},{"id":130,"name":"Impact","value":""},{"id":150,"name":"Time of Event (Mountain Time)","value":"16:19:58"},{"id":151,"name":"Denver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0"/>
      <c r="AK102" s="47"/>
      <c r="AL102" s="47"/>
      <c r="AM102" s="142" t="str">
        <f t="shared" si="44"/>
        <v>start /low /b %USERPROFILE%\Documents\GitHub\eaglep3\Utilities\DownloadLogsFromS3.py --loco 4049 --day 2017-11-01</v>
      </c>
      <c r="AN102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22:19:58"},{"id":29,"name":"Sharepoint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46"/>
        <v>https://d0f6bd738d7f1b3e5a7ca70fe4ff75f0.us-east-1.aws.found.io/app/kibana#/discover/Steve-Slow-Train-Analysis-(2080s-and-2083s)?_g=(refreshInterval:(display:Off,pause:!f,section:0,value:0),time:(from:'2017-11-01T14:37:37-0600',mode:absolute,to:'2017-11-01T17:19:58-0600'))&amp;_a=(columns:!('Message%20ID',Summary),filters:!(),index:'emp_*',interval:auto,query:(query_string:(analyze_wildcard:!t,query:'%22rtdc.l.rtdc.4049%22')),sort:!(Time.ISO8601,asc))</v>
      </c>
    </row>
    <row r="103" spans="1:91" s="20" customFormat="1" x14ac:dyDescent="0.25">
      <c r="A103" s="32" t="s">
        <v>639</v>
      </c>
      <c r="B103" s="7">
        <v>4026</v>
      </c>
      <c r="C103" s="21" t="s">
        <v>194</v>
      </c>
      <c r="D103" s="21" t="s">
        <v>933</v>
      </c>
      <c r="E103" s="13">
        <v>43040.623576388891</v>
      </c>
      <c r="F103" s="13">
        <v>43040.625300925924</v>
      </c>
      <c r="G103" s="7">
        <v>51</v>
      </c>
      <c r="H103" s="21" t="s">
        <v>450</v>
      </c>
      <c r="I103" s="13">
        <v>43040.650671296295</v>
      </c>
      <c r="J103" s="7">
        <v>0</v>
      </c>
      <c r="K103" s="89" t="str">
        <f t="shared" si="29"/>
        <v>4025/4026</v>
      </c>
      <c r="L103" s="185" t="str">
        <f>VLOOKUP(A103,'Trips&amp;Operators'!$C$1:$G$99911,5,FALSE)</f>
        <v>STEWART MICHAEL</v>
      </c>
      <c r="M103" s="6">
        <f t="shared" si="30"/>
        <v>2.5370370371092577E-2</v>
      </c>
      <c r="N103" s="7">
        <f t="shared" si="52"/>
        <v>36.53333333437331</v>
      </c>
      <c r="O103" s="7"/>
      <c r="P103" s="7"/>
      <c r="Q103" s="22"/>
      <c r="R103" s="174"/>
      <c r="S103" s="221">
        <f t="shared" si="31"/>
        <v>1</v>
      </c>
      <c r="T103" s="174" t="str">
        <f t="shared" si="32"/>
        <v>NorthBound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 t="shared" si="33"/>
        <v>https://d0f6bd738d7f1b3e5a7ca70fe4ff75f0.us-east-1.aws.found.io/app/kibana#/discover/Steve-Slow-Train-Analysis-(2080s-and-2083s)?_g=(refreshInterval:(display:Off,pause:!f,section:0,value:0),time:(from:'2017-11-01T13:57:57-0600',mode:absolute,to:'2017-11-01T16:36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3" s="204" t="str">
        <f>IF(AA103&lt;VLOOKUP(AG103,Variables!$AC$3:$AD$8,2,FALSE),"Y","N")</f>
        <v>N</v>
      </c>
      <c r="X103" s="204">
        <f t="shared" si="61"/>
        <v>1</v>
      </c>
      <c r="Y103" s="204">
        <f t="shared" si="54"/>
        <v>5.9499999999999997E-2</v>
      </c>
      <c r="Z103" s="204">
        <f t="shared" si="55"/>
        <v>23.321899999999999</v>
      </c>
      <c r="AA103" s="204">
        <f t="shared" si="37"/>
        <v>23.2624</v>
      </c>
      <c r="AB103" s="54" t="e">
        <f>VLOOKUP(A103,Enforcements!$C$7:$K$10,8,0)</f>
        <v>#N/A</v>
      </c>
      <c r="AC103" s="51" t="e">
        <f>VLOOKUP(A103,Enforcements!$C$7:$E$10,3,0)</f>
        <v>#N/A</v>
      </c>
      <c r="AD103" s="179">
        <f t="shared" si="38"/>
        <v>191</v>
      </c>
      <c r="AE103" s="77" t="str">
        <f t="shared" si="39"/>
        <v>aws s3 cp s3://rtdc.mdm.uploadarchive.raw/RTDC4026/ "%USERPROFILE%\AppData\Local\Temp\OnboardLogs"\RTDC4026\2017-11-01 --exclude "*" --recursive --include "*20171101*" &amp; "%USERPROFILE%\Documents\GitHub\mrs-test-scripts\Headless Mode &amp; Sideloading\WalkAndUnGZ.bat" "%USERPROFILE%\AppData\Local\Temp\OnboardLogs"\RTDC4026\2017-11-01 &amp; aws s3 cp s3://rtdc.mdm.uploadarchive.raw/RTDC4026/ "%USERPROFILE%\AppData\Local\Temp\OnboardLogs"\RTDC4026\2017-11-02 --exclude "*" --recursive --include "*20171102*" &amp; "%USERPROFILE%\Documents\GitHub\mrs-test-scripts\Headless Mode &amp; Sideloading\WalkAndUnGZ.bat" "%USERPROFILE%\AppData\Local\Temp\OnboardLogs"\RTDC4026\2017-11-02</v>
      </c>
      <c r="AF103" s="74" t="str">
        <f t="shared" si="40"/>
        <v>"C:\Program Files (x86)\AstroGrep\AstroGrep.exe" /e /r /s /spath="%USERPROFILE%\AppData\Local\Temp\OnboardLogs" /stypes="app*4026*20171101*" /stext=" 21:.+((SYSTEM_STATE.+slice.+state.+changed )|(ment ac)|(multiple cpu faults)|(system.+state.+changed )|(\[timeout)|(PRM\|1\|D)|(kpr)|(kdp)|(train st.+moving)|(\|lc)|(penalty))"</v>
      </c>
      <c r="AG103" s="182" t="str">
        <f t="shared" si="41"/>
        <v>EC</v>
      </c>
      <c r="AH103" s="78" t="str">
        <f t="shared" si="42"/>
        <v>"%USERPROFILE%\Documents\GitHub\eaglep3\Utilities\RefineRTDCRunTimes.py" --tripid 191-01 --locoid 4026 --swversion DE.1.0.9.0 --startMP 204:595 --initTime 2017-11-01T14:57:57 --startdatetime 2017-11-01T15:00:26 --delay 51 --endMP 204:233219 --enddatetime 2017-11-01T15:36:58 --enforcementcount 0 &gt;&gt;%USERPROFILE%\Documents\GitHub\eaglep3-reporting\EC\2017-11-01-refined-times.txt</v>
      </c>
      <c r="AI103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{"issue":{"subject":"","project_id":79,"tracker_id":40,"status_id":1,"priority_id":2,"assigned_to_id":338,"start_date":"2017-11-01","description":"","custom_fields":[{"id":1,"name":"Subdivision","value":"EC"},{"id":4,"name":"Milepost","value":"23.3219"},{"id":17,"name":"Train ID","value":"191-01"},{"id":16,"name":"Locomotive ID","value":"4026"},{"id":130,"name":"Impact","value":""},{"id":150,"name":"Time of Event (Mountain Time)","value":"15:36:58"},{"id":151,"name":"Denver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3" s="47"/>
      <c r="AL103" s="47"/>
      <c r="AM103" s="142" t="str">
        <f t="shared" si="44"/>
        <v>start /low /b %USERPROFILE%\Documents\GitHub\eaglep3\Utilities\DownloadLogsFromS3.py --loco 4026 --day 2017-11-01</v>
      </c>
      <c r="AN103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21:36:58"},{"id":29,"name":"Sharepoint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46"/>
        <v>https://d0f6bd738d7f1b3e5a7ca70fe4ff75f0.us-east-1.aws.found.io/app/kibana#/discover/Steve-Slow-Train-Analysis-(2080s-and-2083s)?_g=(refreshInterval:(display:Off,pause:!f,section:0,value:0),time:(from:'2017-11-01T13:57:57-0600',mode:absolute,to:'2017-11-01T16:36:58-0600'))&amp;_a=(columns:!('Message%20ID',Summary),filters:!(),index:'emp_*',interval:auto,query:(query_string:(analyze_wildcard:!t,query:'%22rtdc.l.rtdc.4026%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642</v>
      </c>
      <c r="B104" s="7">
        <v>4025</v>
      </c>
      <c r="C104" s="21" t="s">
        <v>194</v>
      </c>
      <c r="D104" s="21" t="s">
        <v>912</v>
      </c>
      <c r="E104" s="13">
        <v>43040.663761574076</v>
      </c>
      <c r="F104" s="13">
        <v>43040.698819444442</v>
      </c>
      <c r="G104" s="7">
        <v>53</v>
      </c>
      <c r="H104" s="21" t="s">
        <v>934</v>
      </c>
      <c r="I104" s="13">
        <v>43040.724687499998</v>
      </c>
      <c r="J104" s="7">
        <v>0</v>
      </c>
      <c r="K104" s="89" t="str">
        <f t="shared" si="29"/>
        <v>4025/4026</v>
      </c>
      <c r="L104" s="185" t="str">
        <f>VLOOKUP(A104,'Trips&amp;Operators'!$C$1:$G$99911,5,FALSE)</f>
        <v>STEWART MICHAEL</v>
      </c>
      <c r="M104" s="6">
        <f t="shared" si="30"/>
        <v>2.5868055556202307E-2</v>
      </c>
      <c r="N104" s="7">
        <f t="shared" si="52"/>
        <v>37.250000000931323</v>
      </c>
      <c r="O104" s="7"/>
      <c r="P104" s="7"/>
      <c r="Q104" s="22"/>
      <c r="R104" s="174"/>
      <c r="S104" s="221">
        <f t="shared" si="31"/>
        <v>1</v>
      </c>
      <c r="T104" s="174" t="str">
        <f t="shared" si="32"/>
        <v>Southbound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 t="shared" si="33"/>
        <v>https://d0f6bd738d7f1b3e5a7ca70fe4ff75f0.us-east-1.aws.found.io/app/kibana#/discover/Steve-Slow-Train-Analysis-(2080s-and-2083s)?_g=(refreshInterval:(display:Off,pause:!f,section:0,value:0),time:(from:'2017-11-01T14:55:49-0600',mode:absolute,to:'2017-11-01T18:23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4" s="204" t="str">
        <f>IF(AA104&lt;VLOOKUP(AG104,Variables!$AC$3:$AD$8,2,FALSE),"Y","N")</f>
        <v>N</v>
      </c>
      <c r="X104" s="204">
        <f t="shared" si="61"/>
        <v>1</v>
      </c>
      <c r="Y104" s="204">
        <f t="shared" si="54"/>
        <v>23.2883</v>
      </c>
      <c r="Z104" s="204">
        <f t="shared" si="55"/>
        <v>0.12870000000000001</v>
      </c>
      <c r="AA104" s="204">
        <f t="shared" si="37"/>
        <v>23.159600000000001</v>
      </c>
      <c r="AB104" s="54" t="e">
        <f>VLOOKUP(A104,Enforcements!$C$7:$K$10,8,0)</f>
        <v>#N/A</v>
      </c>
      <c r="AC104" s="51" t="e">
        <f>VLOOKUP(A104,Enforcements!$C$7:$E$10,3,0)</f>
        <v>#N/A</v>
      </c>
      <c r="AD104" s="179">
        <f t="shared" si="38"/>
        <v>192</v>
      </c>
      <c r="AE104" s="77" t="str">
        <f t="shared" si="39"/>
        <v>aws s3 cp s3://rtdc.mdm.uploadarchive.raw/RTDC4025/ "%USERPROFILE%\AppData\Local\Temp\OnboardLogs"\RTDC4025\2017-11-01 --exclude "*" --recursive --include "*20171101*" &amp; "%USERPROFILE%\Documents\GitHub\mrs-test-scripts\Headless Mode &amp; Sideloading\WalkAndUnGZ.bat" "%USERPROFILE%\AppData\Local\Temp\OnboardLogs"\RTDC4025\2017-11-01 &amp; aws s3 cp s3://rtdc.mdm.uploadarchive.raw/RTDC4025/ "%USERPROFILE%\AppData\Local\Temp\OnboardLogs"\RTDC4025\2017-11-02 --exclude "*" --recursive --include "*20171102*" &amp; "%USERPROFILE%\Documents\GitHub\mrs-test-scripts\Headless Mode &amp; Sideloading\WalkAndUnGZ.bat" "%USERPROFILE%\AppData\Local\Temp\OnboardLogs"\RTDC4025\2017-11-02</v>
      </c>
      <c r="AF104" s="74" t="str">
        <f t="shared" si="40"/>
        <v>"C:\Program Files (x86)\AstroGrep\AstroGrep.exe" /e /r /s /spath="%USERPROFILE%\AppData\Local\Temp\OnboardLogs" /stypes="app*4025*20171101*" /stext=" 23:.+((SYSTEM_STATE.+slice.+state.+changed )|(ment ac)|(multiple cpu faults)|(system.+state.+changed )|(\[timeout)|(PRM\|1\|D)|(kpr)|(kdp)|(train st.+moving)|(\|lc)|(penalty))"</v>
      </c>
      <c r="AG104" s="182" t="str">
        <f t="shared" si="41"/>
        <v>EC</v>
      </c>
      <c r="AH104" s="78" t="str">
        <f t="shared" si="42"/>
        <v>"%USERPROFILE%\Documents\GitHub\eaglep3\Utilities\RefineRTDCRunTimes.py" --tripid 192-01 --locoid 4025 --swversion DE.1.0.9.0 --startMP 204:232883 --initTime 2017-11-01T15:55:49 --startdatetime 2017-11-01T16:46:18 --delay 53 --endMP 204:1287 --enddatetime 2017-11-01T17:23:33 --enforcementcount 0 &gt;&gt;%USERPROFILE%\Documents\GitHub\eaglep3-reporting\EC\2017-11-01-refined-times.txt</v>
      </c>
      <c r="AI104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{"issue":{"subject":"","project_id":79,"tracker_id":40,"status_id":1,"priority_id":2,"assigned_to_id":338,"start_date":"2017-11-01","description":"","custom_fields":[{"id":1,"name":"Subdivision","value":"EC"},{"id":4,"name":"Milepost","value":"0.1287"},{"id":17,"name":"Train ID","value":"192-01"},{"id":16,"name":"Locomotive ID","value":"4025"},{"id":130,"name":"Impact","value":""},{"id":150,"name":"Time of Event (Mountain Time)","value":"17:23:33"},{"id":151,"name":"Denver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4" s="47"/>
      <c r="AL104" s="47"/>
      <c r="AM104" s="142" t="str">
        <f t="shared" si="44"/>
        <v>start /low /b %USERPROFILE%\Documents\GitHub\eaglep3\Utilities\DownloadLogsFromS3.py --loco 4025 --day 2017-11-01</v>
      </c>
      <c r="AN104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23:23:33"},{"id":29,"name":"Sharepoint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46"/>
        <v>https://d0f6bd738d7f1b3e5a7ca70fe4ff75f0.us-east-1.aws.found.io/app/kibana#/discover/Steve-Slow-Train-Analysis-(2080s-and-2083s)?_g=(refreshInterval:(display:Off,pause:!f,section:0,value:0),time:(from:'2017-11-01T14:55:49-0600',mode:absolute,to:'2017-11-01T18:23:33-0600'))&amp;_a=(columns:!('Message%20ID',Summary),filters:!(),index:'emp_*',interval:auto,query:(query_string:(analyze_wildcard:!t,query:'%22rtdc.l.rtdc.4025%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782</v>
      </c>
      <c r="B105" s="7">
        <v>4002</v>
      </c>
      <c r="C105" s="21" t="s">
        <v>194</v>
      </c>
      <c r="D105" s="21" t="s">
        <v>935</v>
      </c>
      <c r="E105" s="13">
        <v>43040.63212962963</v>
      </c>
      <c r="F105" s="13">
        <v>43040.635578703703</v>
      </c>
      <c r="G105" s="7">
        <v>52</v>
      </c>
      <c r="H105" s="21" t="s">
        <v>576</v>
      </c>
      <c r="I105" s="13">
        <v>43040.659675925926</v>
      </c>
      <c r="J105" s="7">
        <v>0</v>
      </c>
      <c r="K105" s="89" t="str">
        <f t="shared" si="29"/>
        <v>4001/4002</v>
      </c>
      <c r="L105" s="185" t="str">
        <f>VLOOKUP(A105,'Trips&amp;Operators'!$C$1:$G$99911,5,FALSE)</f>
        <v>GUZMAN DANNY</v>
      </c>
      <c r="M105" s="6">
        <f t="shared" si="30"/>
        <v>2.4097222223645076E-2</v>
      </c>
      <c r="N105" s="7">
        <f t="shared" si="52"/>
        <v>34.70000000204891</v>
      </c>
      <c r="O105" s="7"/>
      <c r="P105" s="7"/>
      <c r="Q105" s="22"/>
      <c r="R105" s="174"/>
      <c r="S105" s="221">
        <f t="shared" si="31"/>
        <v>1</v>
      </c>
      <c r="T105" s="174" t="str">
        <f t="shared" si="32"/>
        <v>NorthBound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 t="shared" si="33"/>
        <v>https://d0f6bd738d7f1b3e5a7ca70fe4ff75f0.us-east-1.aws.found.io/app/kibana#/discover/Steve-Slow-Train-Analysis-(2080s-and-2083s)?_g=(refreshInterval:(display:Off,pause:!f,section:0,value:0),time:(from:'2017-11-01T14:10:16-0600',mode:absolute,to:'2017-11-01T16:49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5" s="204" t="str">
        <f>IF(AA105&lt;VLOOKUP(AG105,Variables!$AC$3:$AD$8,2,FALSE),"Y","N")</f>
        <v>N</v>
      </c>
      <c r="X105" s="204">
        <f t="shared" si="61"/>
        <v>1</v>
      </c>
      <c r="Y105" s="204">
        <f t="shared" si="54"/>
        <v>5.8799999999999998E-2</v>
      </c>
      <c r="Z105" s="204">
        <f t="shared" si="55"/>
        <v>23.3201</v>
      </c>
      <c r="AA105" s="204">
        <f t="shared" si="37"/>
        <v>23.261299999999999</v>
      </c>
      <c r="AB105" s="54" t="e">
        <f>VLOOKUP(A105,Enforcements!$C$7:$K$10,8,0)</f>
        <v>#N/A</v>
      </c>
      <c r="AC105" s="51" t="e">
        <f>VLOOKUP(A105,Enforcements!$C$7:$E$10,3,0)</f>
        <v>#N/A</v>
      </c>
      <c r="AD105" s="179">
        <f t="shared" si="38"/>
        <v>193</v>
      </c>
      <c r="AE105" s="77" t="str">
        <f t="shared" si="39"/>
        <v>aws s3 cp s3://rtdc.mdm.uploadarchive.raw/RTDC4002/ "%USERPROFILE%\AppData\Local\Temp\OnboardLogs"\RTDC4002\2017-11-01 --exclude "*" --recursive --include "*20171101*" &amp; "%USERPROFILE%\Documents\GitHub\mrs-test-scripts\Headless Mode &amp; Sideloading\WalkAndUnGZ.bat" "%USERPROFILE%\AppData\Local\Temp\OnboardLogs"\RTDC4002\2017-11-01 &amp; aws s3 cp s3://rtdc.mdm.uploadarchive.raw/RTDC4002/ "%USERPROFILE%\AppData\Local\Temp\OnboardLogs"\RTDC4002\2017-11-02 --exclude "*" --recursive --include "*20171102*" &amp; "%USERPROFILE%\Documents\GitHub\mrs-test-scripts\Headless Mode &amp; Sideloading\WalkAndUnGZ.bat" "%USERPROFILE%\AppData\Local\Temp\OnboardLogs"\RTDC4002\2017-11-02</v>
      </c>
      <c r="AF105" s="74" t="str">
        <f t="shared" si="40"/>
        <v>"C:\Program Files (x86)\AstroGrep\AstroGrep.exe" /e /r /s /spath="%USERPROFILE%\AppData\Local\Temp\OnboardLogs" /stypes="app*4002*20171101*" /stext=" 21:.+((SYSTEM_STATE.+slice.+state.+changed )|(ment ac)|(multiple cpu faults)|(system.+state.+changed )|(\[timeout)|(PRM\|1\|D)|(kpr)|(kdp)|(train st.+moving)|(\|lc)|(penalty))"</v>
      </c>
      <c r="AG105" s="182" t="str">
        <f t="shared" si="41"/>
        <v>EC</v>
      </c>
      <c r="AH105" s="78" t="str">
        <f t="shared" si="42"/>
        <v>"%USERPROFILE%\Documents\GitHub\eaglep3\Utilities\RefineRTDCRunTimes.py" --tripid 193-01 --locoid 4002 --swversion DE.1.0.9.0 --startMP 204:588 --initTime 2017-11-01T15:10:16 --startdatetime 2017-11-01T15:15:14 --delay 52 --endMP 204:233201 --enddatetime 2017-11-01T15:49:56 --enforcementcount 0 &gt;&gt;%USERPROFILE%\Documents\GitHub\eaglep3-reporting\EC\2017-11-01-refined-times.txt</v>
      </c>
      <c r="AI105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{"issue":{"subject":"","project_id":79,"tracker_id":40,"status_id":1,"priority_id":2,"assigned_to_id":338,"start_date":"2017-11-01","description":"","custom_fields":[{"id":1,"name":"Subdivision","value":"EC"},{"id":4,"name":"Milepost","value":"23.3201"},{"id":17,"name":"Train ID","value":"193-01"},{"id":16,"name":"Locomotive ID","value":"4002"},{"id":130,"name":"Impact","value":""},{"id":150,"name":"Time of Event (Mountain Time)","value":"15:49:56"},{"id":151,"name":"Denver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5" s="47"/>
      <c r="AL105" s="47"/>
      <c r="AM105" s="142" t="str">
        <f t="shared" si="44"/>
        <v>start /low /b %USERPROFILE%\Documents\GitHub\eaglep3\Utilities\DownloadLogsFromS3.py --loco 4002 --day 2017-11-01</v>
      </c>
      <c r="AN105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21:49:56"},{"id":29,"name":"Sharepoint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46"/>
        <v>https://d0f6bd738d7f1b3e5a7ca70fe4ff75f0.us-east-1.aws.found.io/app/kibana#/discover/Steve-Slow-Train-Analysis-(2080s-and-2083s)?_g=(refreshInterval:(display:Off,pause:!f,section:0,value:0),time:(from:'2017-11-01T14:10:16-0600',mode:absolute,to:'2017-11-01T16:49:56-0600'))&amp;_a=(columns:!('Message%20ID',Summary),filters:!(),index:'emp_*',interval:auto,query:(query_string:(analyze_wildcard:!t,query:'%22rtdc.l.rtdc.4002%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790</v>
      </c>
      <c r="B106" s="7">
        <v>4001</v>
      </c>
      <c r="C106" s="21" t="s">
        <v>194</v>
      </c>
      <c r="D106" s="21" t="s">
        <v>936</v>
      </c>
      <c r="E106" s="13">
        <v>43040.661747685182</v>
      </c>
      <c r="F106" s="13">
        <v>43040.675358796296</v>
      </c>
      <c r="G106" s="7">
        <v>46</v>
      </c>
      <c r="H106" s="21" t="s">
        <v>894</v>
      </c>
      <c r="I106" s="13">
        <v>43040.702511574076</v>
      </c>
      <c r="J106" s="7">
        <v>0</v>
      </c>
      <c r="K106" s="89" t="str">
        <f t="shared" si="29"/>
        <v>4001/4002</v>
      </c>
      <c r="L106" s="185" t="str">
        <f>VLOOKUP(A106,'Trips&amp;Operators'!$C$1:$G$99911,5,FALSE)</f>
        <v>GUZMAN DANNY</v>
      </c>
      <c r="M106" s="6">
        <f t="shared" si="30"/>
        <v>2.715277778042946E-2</v>
      </c>
      <c r="N106" s="7">
        <f t="shared" si="52"/>
        <v>39.100000003818423</v>
      </c>
      <c r="O106" s="7"/>
      <c r="P106" s="7"/>
      <c r="Q106" s="22"/>
      <c r="R106" s="174"/>
      <c r="S106" s="221">
        <f t="shared" si="31"/>
        <v>1</v>
      </c>
      <c r="T106" s="174" t="str">
        <f t="shared" si="32"/>
        <v>Southbound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 t="shared" si="33"/>
        <v>https://d0f6bd738d7f1b3e5a7ca70fe4ff75f0.us-east-1.aws.found.io/app/kibana#/discover/Steve-Slow-Train-Analysis-(2080s-and-2083s)?_g=(refreshInterval:(display:Off,pause:!f,section:0,value:0),time:(from:'2017-11-01T14:52:55-0600',mode:absolute,to:'2017-11-01T17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6" s="204" t="str">
        <f>IF(AA106&lt;VLOOKUP(AG106,Variables!$AC$3:$AD$8,2,FALSE),"Y","N")</f>
        <v>N</v>
      </c>
      <c r="X106" s="204">
        <f t="shared" si="61"/>
        <v>1</v>
      </c>
      <c r="Y106" s="204">
        <f t="shared" si="54"/>
        <v>23.286899999999999</v>
      </c>
      <c r="Z106" s="204">
        <f t="shared" si="55"/>
        <v>4.24E-2</v>
      </c>
      <c r="AA106" s="204">
        <f t="shared" si="37"/>
        <v>23.244499999999999</v>
      </c>
      <c r="AB106" s="54" t="e">
        <f>VLOOKUP(A106,Enforcements!$C$7:$K$10,8,0)</f>
        <v>#N/A</v>
      </c>
      <c r="AC106" s="51" t="e">
        <f>VLOOKUP(A106,Enforcements!$C$7:$E$10,3,0)</f>
        <v>#N/A</v>
      </c>
      <c r="AD106" s="179">
        <f t="shared" si="38"/>
        <v>194</v>
      </c>
      <c r="AE106" s="77" t="str">
        <f t="shared" si="39"/>
        <v>aws s3 cp s3://rtdc.mdm.uploadarchive.raw/RTDC4001/ "%USERPROFILE%\AppData\Local\Temp\OnboardLogs"\RTDC4001\2017-11-01 --exclude "*" --recursive --include "*20171101*" &amp; "%USERPROFILE%\Documents\GitHub\mrs-test-scripts\Headless Mode &amp; Sideloading\WalkAndUnGZ.bat" "%USERPROFILE%\AppData\Local\Temp\OnboardLogs"\RTDC4001\2017-11-01 &amp; aws s3 cp s3://rtdc.mdm.uploadarchive.raw/RTDC4001/ "%USERPROFILE%\AppData\Local\Temp\OnboardLogs"\RTDC4001\2017-11-02 --exclude "*" --recursive --include "*20171102*" &amp; "%USERPROFILE%\Documents\GitHub\mrs-test-scripts\Headless Mode &amp; Sideloading\WalkAndUnGZ.bat" "%USERPROFILE%\AppData\Local\Temp\OnboardLogs"\RTDC4001\2017-11-02</v>
      </c>
      <c r="AF106" s="74" t="str">
        <f t="shared" si="40"/>
        <v>"C:\Program Files (x86)\AstroGrep\AstroGrep.exe" /e /r /s /spath="%USERPROFILE%\AppData\Local\Temp\OnboardLogs" /stypes="app*4001*20171101*" /stext=" 22:.+((SYSTEM_STATE.+slice.+state.+changed )|(ment ac)|(multiple cpu faults)|(system.+state.+changed )|(\[timeout)|(PRM\|1\|D)|(kpr)|(kdp)|(train st.+moving)|(\|lc)|(penalty))"</v>
      </c>
      <c r="AG106" s="182" t="str">
        <f t="shared" si="41"/>
        <v>EC</v>
      </c>
      <c r="AH106" s="78" t="str">
        <f t="shared" si="42"/>
        <v>"%USERPROFILE%\Documents\GitHub\eaglep3\Utilities\RefineRTDCRunTimes.py" --tripid 194-01 --locoid 4001 --swversion DE.1.0.9.0 --startMP 204:232869 --initTime 2017-11-01T15:52:55 --startdatetime 2017-11-01T16:12:31 --delay 46 --endMP 204:424 --enddatetime 2017-11-01T16:51:37 --enforcementcount 0 &gt;&gt;%USERPROFILE%\Documents\GitHub\eaglep3-reporting\EC\2017-11-01-refined-times.txt</v>
      </c>
      <c r="AI106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{"issue":{"subject":"","project_id":79,"tracker_id":40,"status_id":1,"priority_id":2,"assigned_to_id":338,"start_date":"2017-11-01","description":"","custom_fields":[{"id":1,"name":"Subdivision","value":"EC"},{"id":4,"name":"Milepost","value":"0.0424"},{"id":17,"name":"Train ID","value":"194-01"},{"id":16,"name":"Locomotive ID","value":"4001"},{"id":130,"name":"Impact","value":""},{"id":150,"name":"Time of Event (Mountain Time)","value":"16:51:37"},{"id":151,"name":"Denver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47"/>
      <c r="AL106" s="47"/>
      <c r="AM106" s="142" t="str">
        <f t="shared" si="44"/>
        <v>start /low /b %USERPROFILE%\Documents\GitHub\eaglep3\Utilities\DownloadLogsFromS3.py --loco 4001 --day 2017-11-01</v>
      </c>
      <c r="AN106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22:51:37"},{"id":29,"name":"Sharepoint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46"/>
        <v>https://d0f6bd738d7f1b3e5a7ca70fe4ff75f0.us-east-1.aws.found.io/app/kibana#/discover/Steve-Slow-Train-Analysis-(2080s-and-2083s)?_g=(refreshInterval:(display:Off,pause:!f,section:0,value:0),time:(from:'2017-11-01T14:52:55-0600',mode:absolute,to:'2017-11-01T17:51:37-0600'))&amp;_a=(columns:!('Message%20ID',Summary),filters:!(),index:'emp_*',interval:auto,query:(query_string:(analyze_wildcard:!t,query:'%22rtdc.l.rtdc.4001%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641</v>
      </c>
      <c r="B107" s="7">
        <v>4064</v>
      </c>
      <c r="C107" s="21" t="s">
        <v>194</v>
      </c>
      <c r="D107" s="21" t="s">
        <v>937</v>
      </c>
      <c r="E107" s="13">
        <v>43040.644490740742</v>
      </c>
      <c r="F107" s="13">
        <v>43040.646018518521</v>
      </c>
      <c r="G107" s="7">
        <v>57</v>
      </c>
      <c r="H107" s="21" t="s">
        <v>938</v>
      </c>
      <c r="I107" s="13">
        <v>43040.672060185185</v>
      </c>
      <c r="J107" s="7">
        <v>0</v>
      </c>
      <c r="K107" s="89" t="str">
        <f t="shared" si="29"/>
        <v>4063/4064</v>
      </c>
      <c r="L107" s="185" t="str">
        <f>VLOOKUP(A107,'Trips&amp;Operators'!$C$1:$G$99911,5,FALSE)</f>
        <v>LEVIN SCOTT</v>
      </c>
      <c r="M107" s="6">
        <f t="shared" si="30"/>
        <v>2.6041666664241347E-2</v>
      </c>
      <c r="N107" s="7">
        <f t="shared" si="52"/>
        <v>37.49999999650754</v>
      </c>
      <c r="O107" s="7"/>
      <c r="P107" s="7"/>
      <c r="Q107" s="22"/>
      <c r="R107" s="174"/>
      <c r="S107" s="221">
        <f t="shared" si="31"/>
        <v>1</v>
      </c>
      <c r="T107" s="174" t="str">
        <f t="shared" si="32"/>
        <v>NorthBound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 t="shared" si="33"/>
        <v>https://d0f6bd738d7f1b3e5a7ca70fe4ff75f0.us-east-1.aws.found.io/app/kibana#/discover/Steve-Slow-Train-Analysis-(2080s-and-2083s)?_g=(refreshInterval:(display:Off,pause:!f,section:0,value:0),time:(from:'2017-11-01T14:28:04-0600',mode:absolute,to:'2017-11-01T17:07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07" s="204" t="str">
        <f>IF(AA107&lt;VLOOKUP(AG107,Variables!$AC$3:$AD$8,2,FALSE),"Y","N")</f>
        <v>N</v>
      </c>
      <c r="X107" s="204">
        <f t="shared" si="61"/>
        <v>1</v>
      </c>
      <c r="Y107" s="204">
        <f t="shared" si="54"/>
        <v>4.7100000000000003E-2</v>
      </c>
      <c r="Z107" s="204">
        <f t="shared" si="55"/>
        <v>23.325299999999999</v>
      </c>
      <c r="AA107" s="204">
        <f t="shared" si="37"/>
        <v>23.278199999999998</v>
      </c>
      <c r="AB107" s="54" t="e">
        <f>VLOOKUP(A107,Enforcements!$C$7:$K$10,8,0)</f>
        <v>#N/A</v>
      </c>
      <c r="AC107" s="51" t="e">
        <f>VLOOKUP(A107,Enforcements!$C$7:$E$10,3,0)</f>
        <v>#N/A</v>
      </c>
      <c r="AD107" s="179">
        <f t="shared" si="38"/>
        <v>195</v>
      </c>
      <c r="AE107" s="77" t="str">
        <f t="shared" si="39"/>
        <v>aws s3 cp s3://rtdc.mdm.uploadarchive.raw/RTDC4064/ "%USERPROFILE%\AppData\Local\Temp\OnboardLogs"\RTDC4064\2017-11-01 --exclude "*" --recursive --include "*20171101*" &amp; "%USERPROFILE%\Documents\GitHub\mrs-test-scripts\Headless Mode &amp; Sideloading\WalkAndUnGZ.bat" "%USERPROFILE%\AppData\Local\Temp\OnboardLogs"\RTDC4064\2017-11-01 &amp; aws s3 cp s3://rtdc.mdm.uploadarchive.raw/RTDC4064/ "%USERPROFILE%\AppData\Local\Temp\OnboardLogs"\RTDC4064\2017-11-02 --exclude "*" --recursive --include "*20171102*" &amp; "%USERPROFILE%\Documents\GitHub\mrs-test-scripts\Headless Mode &amp; Sideloading\WalkAndUnGZ.bat" "%USERPROFILE%\AppData\Local\Temp\OnboardLogs"\RTDC4064\2017-11-02</v>
      </c>
      <c r="AF107" s="74" t="str">
        <f t="shared" si="40"/>
        <v>"C:\Program Files (x86)\AstroGrep\AstroGrep.exe" /e /r /s /spath="%USERPROFILE%\AppData\Local\Temp\OnboardLogs" /stypes="app*4064*20171101*" /stext=" 22:.+((SYSTEM_STATE.+slice.+state.+changed )|(ment ac)|(multiple cpu faults)|(system.+state.+changed )|(\[timeout)|(PRM\|1\|D)|(kpr)|(kdp)|(train st.+moving)|(\|lc)|(penalty))"</v>
      </c>
      <c r="AG107" s="182" t="str">
        <f t="shared" si="41"/>
        <v>EC</v>
      </c>
      <c r="AH107" s="78" t="str">
        <f t="shared" si="42"/>
        <v>"%USERPROFILE%\Documents\GitHub\eaglep3\Utilities\RefineRTDCRunTimes.py" --tripid 195-01 --locoid 4064 --swversion DE.1.0.9.0 --startMP 204:471 --initTime 2017-11-01T15:28:04 --startdatetime 2017-11-01T15:30:16 --delay 57 --endMP 204:233253 --enddatetime 2017-11-01T16:07:46 --enforcementcount 0 &gt;&gt;%USERPROFILE%\Documents\GitHub\eaglep3-reporting\EC\2017-11-01-refined-times.txt</v>
      </c>
      <c r="AI107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{"issue":{"subject":"","project_id":79,"tracker_id":40,"status_id":1,"priority_id":2,"assigned_to_id":338,"start_date":"2017-11-01","description":"","custom_fields":[{"id":1,"name":"Subdivision","value":"EC"},{"id":4,"name":"Milepost","value":"23.3253"},{"id":17,"name":"Train ID","value":"195-01"},{"id":16,"name":"Locomotive ID","value":"4064"},{"id":130,"name":"Impact","value":""},{"id":150,"name":"Time of Event (Mountain Time)","value":"16:07:46"},{"id":151,"name":"Denver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7" s="47"/>
      <c r="AL107" s="47"/>
      <c r="AM107" s="142" t="str">
        <f t="shared" si="44"/>
        <v>start /low /b %USERPROFILE%\Documents\GitHub\eaglep3\Utilities\DownloadLogsFromS3.py --loco 4064 --day 2017-11-01</v>
      </c>
      <c r="AN107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22:07:46"},{"id":29,"name":"Sharepoint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46"/>
        <v>https://d0f6bd738d7f1b3e5a7ca70fe4ff75f0.us-east-1.aws.found.io/app/kibana#/discover/Steve-Slow-Train-Analysis-(2080s-and-2083s)?_g=(refreshInterval:(display:Off,pause:!f,section:0,value:0),time:(from:'2017-11-01T14:28:04-0600',mode:absolute,to:'2017-11-01T17:07:46-0600'))&amp;_a=(columns:!('Message%20ID',Summary),filters:!(),index:'emp_*',interval:auto,query:(query_string:(analyze_wildcard:!t,query:'%22rtdc.l.rtdc.4064%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796</v>
      </c>
      <c r="B108" s="7">
        <v>4063</v>
      </c>
      <c r="C108" s="21" t="s">
        <v>194</v>
      </c>
      <c r="D108" s="21" t="s">
        <v>914</v>
      </c>
      <c r="E108" s="13">
        <v>43040.681898148148</v>
      </c>
      <c r="F108" s="13">
        <v>43040.685671296298</v>
      </c>
      <c r="G108" s="7">
        <v>76</v>
      </c>
      <c r="H108" s="21" t="s">
        <v>445</v>
      </c>
      <c r="I108" s="13">
        <v>43040.712881944448</v>
      </c>
      <c r="J108" s="7">
        <v>0</v>
      </c>
      <c r="K108" s="89" t="str">
        <f t="shared" si="29"/>
        <v>4063/4064</v>
      </c>
      <c r="L108" s="185" t="str">
        <f>VLOOKUP(A108,'Trips&amp;Operators'!$C$1:$G$99911,5,FALSE)</f>
        <v>LEVIN SCOTT</v>
      </c>
      <c r="M108" s="6">
        <f t="shared" si="30"/>
        <v>2.7210648149775807E-2</v>
      </c>
      <c r="N108" s="7">
        <f t="shared" si="52"/>
        <v>39.183333335677162</v>
      </c>
      <c r="O108" s="7"/>
      <c r="P108" s="7"/>
      <c r="Q108" s="22"/>
      <c r="R108" s="174"/>
      <c r="S108" s="221">
        <f t="shared" si="31"/>
        <v>1</v>
      </c>
      <c r="T108" s="174" t="str">
        <f t="shared" si="32"/>
        <v>Southbound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 t="shared" si="33"/>
        <v>https://d0f6bd738d7f1b3e5a7ca70fe4ff75f0.us-east-1.aws.found.io/app/kibana#/discover/Steve-Slow-Train-Analysis-(2080s-and-2083s)?_g=(refreshInterval:(display:Off,pause:!f,section:0,value:0),time:(from:'2017-11-01T15:21:56-0600',mode:absolute,to:'2017-11-01T18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08" s="204" t="str">
        <f>IF(AA108&lt;VLOOKUP(AG108,Variables!$AC$3:$AD$8,2,FALSE),"Y","N")</f>
        <v>N</v>
      </c>
      <c r="X108" s="204">
        <f t="shared" si="61"/>
        <v>1</v>
      </c>
      <c r="Y108" s="204">
        <f t="shared" si="54"/>
        <v>23.2942</v>
      </c>
      <c r="Z108" s="204">
        <f t="shared" si="55"/>
        <v>2.52E-2</v>
      </c>
      <c r="AA108" s="204">
        <f t="shared" si="37"/>
        <v>23.268999999999998</v>
      </c>
      <c r="AB108" s="54" t="e">
        <f>VLOOKUP(A108,Enforcements!$C$7:$K$10,8,0)</f>
        <v>#N/A</v>
      </c>
      <c r="AC108" s="51" t="e">
        <f>VLOOKUP(A108,Enforcements!$C$7:$E$10,3,0)</f>
        <v>#N/A</v>
      </c>
      <c r="AD108" s="179">
        <f t="shared" si="38"/>
        <v>196</v>
      </c>
      <c r="AE108" s="77" t="str">
        <f t="shared" si="39"/>
        <v>aws s3 cp s3://rtdc.mdm.uploadarchive.raw/RTDC4063/ "%USERPROFILE%\AppData\Local\Temp\OnboardLogs"\RTDC4063\2017-11-01 --exclude "*" --recursive --include "*20171101*" &amp; "%USERPROFILE%\Documents\GitHub\mrs-test-scripts\Headless Mode &amp; Sideloading\WalkAndUnGZ.bat" "%USERPROFILE%\AppData\Local\Temp\OnboardLogs"\RTDC4063\2017-11-01 &amp; aws s3 cp s3://rtdc.mdm.uploadarchive.raw/RTDC4063/ "%USERPROFILE%\AppData\Local\Temp\OnboardLogs"\RTDC4063\2017-11-02 --exclude "*" --recursive --include "*20171102*" &amp; "%USERPROFILE%\Documents\GitHub\mrs-test-scripts\Headless Mode &amp; Sideloading\WalkAndUnGZ.bat" "%USERPROFILE%\AppData\Local\Temp\OnboardLogs"\RTDC4063\2017-11-02</v>
      </c>
      <c r="AF108" s="74" t="str">
        <f t="shared" si="40"/>
        <v>"C:\Program Files (x86)\AstroGrep\AstroGrep.exe" /e /r /s /spath="%USERPROFILE%\AppData\Local\Temp\OnboardLogs" /stypes="app*4063*20171101*" /stext=" 23:.+((SYSTEM_STATE.+slice.+state.+changed )|(ment ac)|(multiple cpu faults)|(system.+state.+changed )|(\[timeout)|(PRM\|1\|D)|(kpr)|(kdp)|(train st.+moving)|(\|lc)|(penalty))"</v>
      </c>
      <c r="AG108" s="182" t="str">
        <f t="shared" si="41"/>
        <v>EC</v>
      </c>
      <c r="AH108" s="78" t="str">
        <f t="shared" si="42"/>
        <v>"%USERPROFILE%\Documents\GitHub\eaglep3\Utilities\RefineRTDCRunTimes.py" --tripid 196-01 --locoid 4063 --swversion DE.1.0.9.0 --startMP 204:232942 --initTime 2017-11-01T16:21:56 --startdatetime 2017-11-01T16:27:22 --delay 76 --endMP 204:252 --enddatetime 2017-11-01T17:06:33 --enforcementcount 0 &gt;&gt;%USERPROFILE%\Documents\GitHub\eaglep3-reporting\EC\2017-11-01-refined-times.txt</v>
      </c>
      <c r="AI108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{"issue":{"subject":"","project_id":79,"tracker_id":40,"status_id":1,"priority_id":2,"assigned_to_id":338,"start_date":"2017-11-01","description":"","custom_fields":[{"id":1,"name":"Subdivision","value":"EC"},{"id":4,"name":"Milepost","value":"0.0252"},{"id":17,"name":"Train ID","value":"196-01"},{"id":16,"name":"Locomotive ID","value":"4063"},{"id":130,"name":"Impact","value":""},{"id":150,"name":"Time of Event (Mountain Time)","value":"17:06:33"},{"id":151,"name":"Denver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8" s="47"/>
      <c r="AL108" s="47"/>
      <c r="AM108" s="142" t="str">
        <f t="shared" si="44"/>
        <v>start /low /b %USERPROFILE%\Documents\GitHub\eaglep3\Utilities\DownloadLogsFromS3.py --loco 4063 --day 2017-11-01</v>
      </c>
      <c r="AN108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23:06:33"},{"id":29,"name":"Sharepoint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46"/>
        <v>https://d0f6bd738d7f1b3e5a7ca70fe4ff75f0.us-east-1.aws.found.io/app/kibana#/discover/Steve-Slow-Train-Analysis-(2080s-and-2083s)?_g=(refreshInterval:(display:Off,pause:!f,section:0,value:0),time:(from:'2017-11-01T15:21:56-0600',mode:absolute,to:'2017-11-01T18:06:33-0600'))&amp;_a=(columns:!('Message%20ID',Summary),filters:!(),index:'emp_*',interval:auto,query:(query_string:(analyze_wildcard:!t,query:'%22rtdc.l.rtdc.4063%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789</v>
      </c>
      <c r="B109" s="7">
        <v>4044</v>
      </c>
      <c r="C109" s="21" t="s">
        <v>194</v>
      </c>
      <c r="D109" s="21" t="s">
        <v>588</v>
      </c>
      <c r="E109" s="13">
        <v>43040.653414351851</v>
      </c>
      <c r="F109" s="13">
        <v>43040.656527777777</v>
      </c>
      <c r="G109" s="7">
        <v>114</v>
      </c>
      <c r="H109" s="21" t="s">
        <v>422</v>
      </c>
      <c r="I109" s="13">
        <v>43040.681539351855</v>
      </c>
      <c r="J109" s="7">
        <v>0</v>
      </c>
      <c r="K109" s="89" t="str">
        <f t="shared" si="29"/>
        <v>4043/4044</v>
      </c>
      <c r="L109" s="185" t="str">
        <f>VLOOKUP(A109,'Trips&amp;Operators'!$C$1:$G$99911,5,FALSE)</f>
        <v>BERLING GARY</v>
      </c>
      <c r="M109" s="6">
        <f t="shared" si="30"/>
        <v>2.5011574078234844E-2</v>
      </c>
      <c r="N109" s="7">
        <f t="shared" si="52"/>
        <v>36.016666672658175</v>
      </c>
      <c r="O109" s="7"/>
      <c r="P109" s="7"/>
      <c r="Q109" s="22"/>
      <c r="R109" s="174"/>
      <c r="S109" s="221">
        <f t="shared" si="31"/>
        <v>1</v>
      </c>
      <c r="T109" s="174" t="str">
        <f t="shared" si="32"/>
        <v>NorthBound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 t="shared" si="33"/>
        <v>https://d0f6bd738d7f1b3e5a7ca70fe4ff75f0.us-east-1.aws.found.io/app/kibana#/discover/Steve-Slow-Train-Analysis-(2080s-and-2083s)?_g=(refreshInterval:(display:Off,pause:!f,section:0,value:0),time:(from:'2017-11-01T14:40:55-0600',mode:absolute,to:'2017-11-01T17:21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9" s="204" t="str">
        <f>IF(AA109&lt;VLOOKUP(AG109,Variables!$AC$3:$AD$8,2,FALSE),"Y","N")</f>
        <v>N</v>
      </c>
      <c r="X109" s="204">
        <f t="shared" si="61"/>
        <v>1</v>
      </c>
      <c r="Y109" s="204">
        <f t="shared" si="54"/>
        <v>5.8000000000000003E-2</v>
      </c>
      <c r="Z109" s="204">
        <f t="shared" si="55"/>
        <v>23.323599999999999</v>
      </c>
      <c r="AA109" s="204">
        <f t="shared" si="37"/>
        <v>23.265599999999999</v>
      </c>
      <c r="AB109" s="54" t="e">
        <f>VLOOKUP(A109,Enforcements!$C$7:$K$10,8,0)</f>
        <v>#N/A</v>
      </c>
      <c r="AC109" s="51" t="e">
        <f>VLOOKUP(A109,Enforcements!$C$7:$E$10,3,0)</f>
        <v>#N/A</v>
      </c>
      <c r="AD109" s="179">
        <f t="shared" si="38"/>
        <v>197</v>
      </c>
      <c r="AE109" s="77" t="str">
        <f t="shared" si="39"/>
        <v>aws s3 cp s3://rtdc.mdm.uploadarchive.raw/RTDC4044/ "%USERPROFILE%\AppData\Local\Temp\OnboardLogs"\RTDC4044\2017-11-01 --exclude "*" --recursive --include "*20171101*" &amp; "%USERPROFILE%\Documents\GitHub\mrs-test-scripts\Headless Mode &amp; Sideloading\WalkAndUnGZ.bat" "%USERPROFILE%\AppData\Local\Temp\OnboardLogs"\RTDC4044\2017-11-01 &amp; aws s3 cp s3://rtdc.mdm.uploadarchive.raw/RTDC4044/ "%USERPROFILE%\AppData\Local\Temp\OnboardLogs"\RTDC4044\2017-11-02 --exclude "*" --recursive --include "*20171102*" &amp; "%USERPROFILE%\Documents\GitHub\mrs-test-scripts\Headless Mode &amp; Sideloading\WalkAndUnGZ.bat" "%USERPROFILE%\AppData\Local\Temp\OnboardLogs"\RTDC4044\2017-11-02</v>
      </c>
      <c r="AF109" s="74" t="str">
        <f t="shared" si="40"/>
        <v>"C:\Program Files (x86)\AstroGrep\AstroGrep.exe" /e /r /s /spath="%USERPROFILE%\AppData\Local\Temp\OnboardLogs" /stypes="app*4044*20171101*" /stext=" 22:.+((SYSTEM_STATE.+slice.+state.+changed )|(ment ac)|(multiple cpu faults)|(system.+state.+changed )|(\[timeout)|(PRM\|1\|D)|(kpr)|(kdp)|(train st.+moving)|(\|lc)|(penalty))"</v>
      </c>
      <c r="AG109" s="182" t="str">
        <f t="shared" si="41"/>
        <v>EC</v>
      </c>
      <c r="AH109" s="78" t="str">
        <f t="shared" si="42"/>
        <v>"%USERPROFILE%\Documents\GitHub\eaglep3\Utilities\RefineRTDCRunTimes.py" --tripid 197-01 --locoid 4044 --swversion DE.1.0.9.0 --startMP 204:580 --initTime 2017-11-01T15:40:55 --startdatetime 2017-11-01T15:45:24 --delay 114 --endMP 204:233236 --enddatetime 2017-11-01T16:21:25 --enforcementcount 0 &gt;&gt;%USERPROFILE%\Documents\GitHub\eaglep3-reporting\EC\2017-11-01-refined-times.txt</v>
      </c>
      <c r="AI109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{"issue":{"subject":"","project_id":79,"tracker_id":40,"status_id":1,"priority_id":2,"assigned_to_id":338,"start_date":"2017-11-01","description":"","custom_fields":[{"id":1,"name":"Subdivision","value":"EC"},{"id":4,"name":"Milepost","value":"23.3236"},{"id":17,"name":"Train ID","value":"197-01"},{"id":16,"name":"Locomotive ID","value":"4044"},{"id":130,"name":"Impact","value":""},{"id":150,"name":"Time of Event (Mountain Time)","value":"16:21:25"},{"id":151,"name":"Denver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47"/>
      <c r="AL109" s="47"/>
      <c r="AM109" s="142" t="str">
        <f t="shared" si="44"/>
        <v>start /low /b %USERPROFILE%\Documents\GitHub\eaglep3\Utilities\DownloadLogsFromS3.py --loco 4044 --day 2017-11-01</v>
      </c>
      <c r="AN109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22:21:25"},{"id":29,"name":"Sharepoint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46"/>
        <v>https://d0f6bd738d7f1b3e5a7ca70fe4ff75f0.us-east-1.aws.found.io/app/kibana#/discover/Steve-Slow-Train-Analysis-(2080s-and-2083s)?_g=(refreshInterval:(display:Off,pause:!f,section:0,value:0),time:(from:'2017-11-01T14:40:55-0600',mode:absolute,to:'2017-11-01T17:21:25-0600'))&amp;_a=(columns:!('Message%20ID',Summary),filters:!(),index:'emp_*',interval:auto,query:(query_string:(analyze_wildcard:!t,query:'%22rtdc.l.rtdc.4044%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803</v>
      </c>
      <c r="B110" s="7">
        <v>4043</v>
      </c>
      <c r="C110" s="21" t="s">
        <v>194</v>
      </c>
      <c r="D110" s="21" t="s">
        <v>873</v>
      </c>
      <c r="E110" s="13">
        <v>43040.692662037036</v>
      </c>
      <c r="F110" s="13">
        <v>43040.695972222224</v>
      </c>
      <c r="G110" s="7">
        <v>64</v>
      </c>
      <c r="H110" s="21" t="s">
        <v>939</v>
      </c>
      <c r="I110" s="13">
        <v>43040.727511574078</v>
      </c>
      <c r="J110" s="7">
        <v>0</v>
      </c>
      <c r="K110" s="89" t="str">
        <f t="shared" si="29"/>
        <v>4043/4044</v>
      </c>
      <c r="L110" s="185" t="str">
        <f>VLOOKUP(A110,'Trips&amp;Operators'!$C$1:$G$99911,5,FALSE)</f>
        <v>BERLING GARY</v>
      </c>
      <c r="M110" s="6">
        <f t="shared" si="30"/>
        <v>3.1539351854007691E-2</v>
      </c>
      <c r="N110" s="7">
        <f t="shared" si="52"/>
        <v>45.416666669771075</v>
      </c>
      <c r="O110" s="7"/>
      <c r="P110" s="7"/>
      <c r="Q110" s="22"/>
      <c r="R110" s="174"/>
      <c r="S110" s="221">
        <f t="shared" si="31"/>
        <v>1</v>
      </c>
      <c r="T110" s="174" t="str">
        <f t="shared" si="32"/>
        <v>Southbound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 t="shared" si="33"/>
        <v>https://d0f6bd738d7f1b3e5a7ca70fe4ff75f0.us-east-1.aws.found.io/app/kibana#/discover/Steve-Slow-Train-Analysis-(2080s-and-2083s)?_g=(refreshInterval:(display:Off,pause:!f,section:0,value:0),time:(from:'2017-11-01T15:37:26-0600',mode:absolute,to:'2017-11-01T18:27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0" s="204" t="str">
        <f>IF(AA110&lt;VLOOKUP(AG110,Variables!$AC$3:$AD$8,2,FALSE),"Y","N")</f>
        <v>N</v>
      </c>
      <c r="X110" s="204">
        <f t="shared" si="61"/>
        <v>1</v>
      </c>
      <c r="Y110" s="204">
        <f t="shared" si="54"/>
        <v>23.294</v>
      </c>
      <c r="Z110" s="204">
        <f t="shared" si="55"/>
        <v>3.2899999999999999E-2</v>
      </c>
      <c r="AA110" s="204">
        <f t="shared" si="37"/>
        <v>23.261099999999999</v>
      </c>
      <c r="AB110" s="54" t="e">
        <f>VLOOKUP(A110,Enforcements!$C$7:$K$10,8,0)</f>
        <v>#N/A</v>
      </c>
      <c r="AC110" s="51" t="e">
        <f>VLOOKUP(A110,Enforcements!$C$7:$E$10,3,0)</f>
        <v>#N/A</v>
      </c>
      <c r="AD110" s="179">
        <f t="shared" si="38"/>
        <v>198</v>
      </c>
      <c r="AE110" s="77" t="str">
        <f t="shared" si="39"/>
        <v>aws s3 cp s3://rtdc.mdm.uploadarchive.raw/RTDC4043/ "%USERPROFILE%\AppData\Local\Temp\OnboardLogs"\RTDC4043\2017-11-01 --exclude "*" --recursive --include "*20171101*" &amp; "%USERPROFILE%\Documents\GitHub\mrs-test-scripts\Headless Mode &amp; Sideloading\WalkAndUnGZ.bat" "%USERPROFILE%\AppData\Local\Temp\OnboardLogs"\RTDC4043\2017-11-01 &amp; aws s3 cp s3://rtdc.mdm.uploadarchive.raw/RTDC4043/ "%USERPROFILE%\AppData\Local\Temp\OnboardLogs"\RTDC4043\2017-11-02 --exclude "*" --recursive --include "*20171102*" &amp; "%USERPROFILE%\Documents\GitHub\mrs-test-scripts\Headless Mode &amp; Sideloading\WalkAndUnGZ.bat" "%USERPROFILE%\AppData\Local\Temp\OnboardLogs"\RTDC4043\2017-11-02</v>
      </c>
      <c r="AF110" s="74" t="str">
        <f t="shared" si="40"/>
        <v>"C:\Program Files (x86)\AstroGrep\AstroGrep.exe" /e /r /s /spath="%USERPROFILE%\AppData\Local\Temp\OnboardLogs" /stypes="app*4043*20171101*" /stext=" 23:.+((SYSTEM_STATE.+slice.+state.+changed )|(ment ac)|(multiple cpu faults)|(system.+state.+changed )|(\[timeout)|(PRM\|1\|D)|(kpr)|(kdp)|(train st.+moving)|(\|lc)|(penalty))"</v>
      </c>
      <c r="AG110" s="182" t="str">
        <f t="shared" si="41"/>
        <v>EC</v>
      </c>
      <c r="AH110" s="78" t="str">
        <f t="shared" si="42"/>
        <v>"%USERPROFILE%\Documents\GitHub\eaglep3\Utilities\RefineRTDCRunTimes.py" --tripid 198-01 --locoid 4043 --swversion DE.1.0.9.0 --startMP 204:232940 --initTime 2017-11-01T16:37:26 --startdatetime 2017-11-01T16:42:12 --delay 64 --endMP 204:329 --enddatetime 2017-11-01T17:27:37 --enforcementcount 0 &gt;&gt;%USERPROFILE%\Documents\GitHub\eaglep3-reporting\EC\2017-11-01-refined-times.txt</v>
      </c>
      <c r="AI110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{"issue":{"subject":"","project_id":79,"tracker_id":40,"status_id":1,"priority_id":2,"assigned_to_id":338,"start_date":"2017-11-01","description":"","custom_fields":[{"id":1,"name":"Subdivision","value":"EC"},{"id":4,"name":"Milepost","value":"0.0329"},{"id":17,"name":"Train ID","value":"198-01"},{"id":16,"name":"Locomotive ID","value":"4043"},{"id":130,"name":"Impact","value":""},{"id":150,"name":"Time of Event (Mountain Time)","value":"17:27:37"},{"id":151,"name":"Denver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0" s="47"/>
      <c r="AL110" s="47"/>
      <c r="AM110" s="142" t="str">
        <f t="shared" si="44"/>
        <v>start /low /b %USERPROFILE%\Documents\GitHub\eaglep3\Utilities\DownloadLogsFromS3.py --loco 4043 --day 2017-11-01</v>
      </c>
      <c r="AN110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23:27:37"},{"id":29,"name":"Sharepoint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46"/>
        <v>https://d0f6bd738d7f1b3e5a7ca70fe4ff75f0.us-east-1.aws.found.io/app/kibana#/discover/Steve-Slow-Train-Analysis-(2080s-and-2083s)?_g=(refreshInterval:(display:Off,pause:!f,section:0,value:0),time:(from:'2017-11-01T15:37:26-0600',mode:absolute,to:'2017-11-01T18:27:37-0600'))&amp;_a=(columns:!('Message%20ID',Summary),filters:!(),index:'emp_*',interval:auto,query:(query_string:(analyze_wildcard:!t,query:'%22rtdc.l.rtdc.4043%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791</v>
      </c>
      <c r="B111" s="7">
        <v>4004</v>
      </c>
      <c r="C111" s="21" t="s">
        <v>194</v>
      </c>
      <c r="D111" s="21" t="s">
        <v>873</v>
      </c>
      <c r="E111" s="13">
        <v>43040.692662037036</v>
      </c>
      <c r="F111" s="13">
        <v>43040.667141203703</v>
      </c>
      <c r="G111" s="7">
        <v>64</v>
      </c>
      <c r="H111" s="21" t="s">
        <v>939</v>
      </c>
      <c r="I111" s="13">
        <v>43040.695115740738</v>
      </c>
      <c r="J111" s="7">
        <v>0</v>
      </c>
      <c r="K111" s="89" t="str">
        <f t="shared" ref="K111" si="62">IF(ISEVEN(B111),(B111-1)&amp;"/"&amp;B111,B111&amp;"/"&amp;(B111+1))</f>
        <v>4003/4004</v>
      </c>
      <c r="L111" s="185" t="str">
        <f>VLOOKUP(A111,'Trips&amp;Operators'!$C$1:$G$99911,5,FALSE)</f>
        <v>DAVIS MICHAEL</v>
      </c>
      <c r="M111" s="6">
        <f t="shared" ref="M111" si="63">I111-F111</f>
        <v>2.7974537035333924E-2</v>
      </c>
      <c r="N111" s="7">
        <f t="shared" si="52"/>
        <v>40.283333330880851</v>
      </c>
      <c r="O111" s="7"/>
      <c r="P111" s="7"/>
      <c r="Q111" s="22"/>
      <c r="R111" s="174"/>
      <c r="S111" s="221">
        <f t="shared" ref="S111" si="64">1/IF(AG111="EC",12,1)*SUM(U111:U111)</f>
        <v>1</v>
      </c>
      <c r="T111" s="174" t="str">
        <f t="shared" ref="T111" si="65">IF(ISEVEN(LEFT(AD111,4)),"Southbound","NorthBound")</f>
        <v>NorthBound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 t="shared" ref="V111" si="66"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-11-01T15:37:26-0600',mode:absolute,to:'2017-11-01T17:40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1" s="204" t="str">
        <f>IF(AA111&lt;VLOOKUP(AG111,Variables!$AC$3:$AD$8,2,FALSE),"Y","N")</f>
        <v>N</v>
      </c>
      <c r="X111" s="204">
        <f t="shared" ref="X111:X114" si="67">VALUE(LEFT(AD111,4))-VALUE(LEFT(AD110,4))</f>
        <v>1</v>
      </c>
      <c r="Y111" s="204">
        <v>5.8000000000000003E-2</v>
      </c>
      <c r="Z111" s="204">
        <v>23.323599999999999</v>
      </c>
      <c r="AA111" s="204">
        <f t="shared" ref="AA111" si="68">ABS(Z111-Y111)</f>
        <v>23.265599999999999</v>
      </c>
      <c r="AB111" s="54" t="e">
        <f>VLOOKUP(A111,Enforcements!$C$7:$K$10,8,0)</f>
        <v>#N/A</v>
      </c>
      <c r="AC111" s="51" t="e">
        <f>VLOOKUP(A111,Enforcements!$C$7:$E$10,3,0)</f>
        <v>#N/A</v>
      </c>
      <c r="AD111" s="179">
        <f t="shared" ref="AD111" si="69">VALUE(LEFT(A111,LEN(A111)-3))</f>
        <v>199</v>
      </c>
      <c r="AE111" s="77" t="str">
        <f t="shared" ref="AE111" si="70"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s3://rtdc.mdm.uploadarchive.raw/RTDC4004/ "%USERPROFILE%\AppData\Local\Temp\OnboardLogs"\RTDC4004\2017-11-01 --exclude "*" --recursive --include "*20171101*" &amp; "%USERPROFILE%\Documents\GitHub\mrs-test-scripts\Headless Mode &amp; Sideloading\WalkAndUnGZ.bat" "%USERPROFILE%\AppData\Local\Temp\OnboardLogs"\RTDC4004\2017-11-01 &amp; aws s3 cp s3://rtdc.mdm.uploadarchive.raw/RTDC4004/ "%USERPROFILE%\AppData\Local\Temp\OnboardLogs"\RTDC4004\2017-11-02 --exclude "*" --recursive --include "*20171102*" &amp; "%USERPROFILE%\Documents\GitHub\mrs-test-scripts\Headless Mode &amp; Sideloading\WalkAndUnGZ.bat" "%USERPROFILE%\AppData\Local\Temp\OnboardLogs"\RTDC4004\2017-11-02</v>
      </c>
      <c r="AF111" s="74" t="str">
        <f t="shared" ref="AF111" si="71"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/stypes="app*4004*20171101*" /stext=" 22:.+((SYSTEM_STATE.+slice.+state.+changed )|(ment ac)|(multiple cpu faults)|(system.+state.+changed )|(\[timeout)|(PRM\|1\|D)|(kpr)|(kdp)|(train st.+moving)|(\|lc)|(penalty))"</v>
      </c>
      <c r="AG111" s="182" t="str">
        <f t="shared" ref="AG111" si="72">DetSubdiv(A111)</f>
        <v>EC</v>
      </c>
      <c r="AH111" s="78" t="str">
        <f t="shared" ref="AH111" si="73">refinertdcruntimes&amp;" --tripid "&amp;A111&amp;" --locoid "&amp;B111&amp;" --swversion "&amp;C111&amp;" --startMP "&amp;D111&amp;" --initTime "&amp;TEXT(E111,"yyyy-mm-ddTHH:MM:SS")&amp;" --startdatetime "&amp;TEXT(F111,"yyyy-mm-ddTHH:MM:SS")&amp;" --delay "&amp;G111&amp;" --endMP "&amp;H111&amp;" --enddatetime "&amp;TEXT(I111,"yyyy-mm-ddTHH:MM:SS")&amp;" --enforcementcount "&amp;J111&amp;IF(outputrefinedruntimes," &gt;&gt;"&amp;RefinedRTDCRunTimesOutputFile,"")</f>
        <v>"%USERPROFILE%\Documents\GitHub\eaglep3\Utilities\RefineRTDCRunTimes.py" --tripid 199-01 --locoid 4004 --swversion DE.1.0.9.0 --startMP 204:232940 --initTime 2017-11-01T16:37:26 --startdatetime 2017-11-01T16:00:41 --delay 64 --endMP 204:329 --enddatetime 2017-11-01T16:40:58 --enforcementcount 0 &gt;&gt;%USERPROFILE%\Documents\GitHub\eaglep3-reporting\EC\2017-11-01-refined-times.txt</v>
      </c>
      <c r="AI111" s="96" t="str">
        <f t="shared" ref="AI111" si="74">"echo {""issue"":{""subject"":"""&amp;R111&amp;""",""project_id"":79,""tracker_id"":40,""status_id"":"&amp;redmine_status&amp;",""priority_id"":"&amp;redmine_priority&amp;",""assigned_to_id"":"&amp;redmine_assignee&amp;",""start_date"":"""&amp;TEXT(I111,"YYYY-mm-dd")&amp;""",""description"":"""&amp;AJ111&amp;""",""custom_fields"":[{""id"":1,""name"":""Subdivision"",""value"":"""&amp;AG111&amp;"""},{""id"":4,""name"":""Milepost"",""value"":"""&amp;Z111&amp;"""},{""id"":17,""name"":""Train ID"",""value"":"""&amp;A111&amp;"""},{""id"":16,""name"":""Locomotive ID"",""value"":"""&amp;B111&amp;"""},{""id"":130,""name"":""Impact"",""value"":"""&amp;AK111&amp;"""},{""id"":150,""name"":""Time of Event (Mountain Time)"",""value"":"""&amp;TEXT(I111,"hh:mm:ss")&amp;"""},{""id"":151,""name"":""Denver Issue ID"",""value"":"""&amp;"""},{""id"":178,""name"":""Operational Impact"",""value"":"""&amp;redmine_op_impact&amp;"""},{""id"":179,""name"":""Denver Segment Assigned"",""value"":"""&amp;AL111&amp;"""}]}}"&amp;"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{"issue":{"subject":"","project_id":79,"tracker_id":40,"status_id":1,"priority_id":2,"assigned_to_id":338,"start_date":"2017-11-01","description":"","custom_fields":[{"id":1,"name":"Subdivision","value":"EC"},{"id":4,"name":"Milepost","value":"23.3236"},{"id":17,"name":"Train ID","value":"199-01"},{"id":16,"name":"Locomotive ID","value":"4004"},{"id":130,"name":"Impact","value":""},{"id":150,"name":"Time of Event (Mountain Time)","value":"16:40:58"},{"id":151,"name":"Denver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1" s="47"/>
      <c r="AL111" s="47"/>
      <c r="AM111" s="142" t="str">
        <f t="shared" ref="AM111" si="75">"start /low /b "&amp;dls3logs&amp;" --loco "&amp;B111&amp;" --day "&amp;TEXT(F111,"YYYY-MM-DD")</f>
        <v>start /low /b %USERPROFILE%\Documents\GitHub\eaglep3\Utilities\DownloadLogsFromS3.py --loco 4004 --day 2017-11-01</v>
      </c>
      <c r="AN111" s="151" t="str">
        <f t="shared" ref="AN111" si="76">"echo {""issue"":{""subject"":"""&amp;R111&amp;""",""project_id"":30,""tracker_id"":4,""status_id"":"&amp;redmine_status_wcr&amp;",""priority_id"":"&amp;redmine_priority_wcr&amp;",""assigned_to_id"":"&amp;redmine_assignee_wcr&amp;",""start_date"":"""&amp;TEXT(I111-utc_offset/24,"YYYY-mm-dd")&amp;""",""description"":"""&amp;AJ111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22:40:58"},{"id":29,"name":"Sharepoint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ref="AO111" si="77"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Message%20ID',Summary),filters:!(),index:'emp_*',interval:auto,query:"&amp;"(query_string:(analyze_wildcard:!t,query:'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-11-01T15:37:26-0600',mode:absolute,to:'2017-11-01T17:40:58-0600'))&amp;_a=(columns:!('Message%20ID',Summary),filters:!(),index:'emp_*',interval:auto,query:(query_string:(analyze_wildcard:!t,query:'%22rtdc.l.rtdc.4004%22')),sort:!(Time.ISO8601,asc))</v>
      </c>
    </row>
    <row r="112" spans="1:91" s="20" customFormat="1" x14ac:dyDescent="0.25">
      <c r="A112" s="32" t="s">
        <v>805</v>
      </c>
      <c r="B112" s="7">
        <v>4003</v>
      </c>
      <c r="C112" s="21" t="s">
        <v>194</v>
      </c>
      <c r="D112" s="21" t="s">
        <v>873</v>
      </c>
      <c r="E112" s="13">
        <v>43040.692662037036</v>
      </c>
      <c r="F112" s="13">
        <v>43040.706620370373</v>
      </c>
      <c r="G112" s="7">
        <v>64</v>
      </c>
      <c r="H112" s="21" t="s">
        <v>939</v>
      </c>
      <c r="I112" s="13">
        <v>43040.735000000001</v>
      </c>
      <c r="J112" s="7">
        <v>0</v>
      </c>
      <c r="K112" s="89" t="str">
        <f t="shared" ref="K112" si="78">IF(ISEVEN(B112),(B112-1)&amp;"/"&amp;B112,B112&amp;"/"&amp;(B112+1))</f>
        <v>4003/4004</v>
      </c>
      <c r="L112" s="185" t="str">
        <f>VLOOKUP(A112,'Trips&amp;Operators'!$C$1:$G$99911,5,FALSE)</f>
        <v>DAVIS MICHAEL</v>
      </c>
      <c r="M112" s="6">
        <f t="shared" ref="M112" si="79">I112-F112</f>
        <v>2.8379629628034309E-2</v>
      </c>
      <c r="N112" s="7">
        <f t="shared" si="52"/>
        <v>40.866666664369404</v>
      </c>
      <c r="O112" s="7"/>
      <c r="P112" s="7"/>
      <c r="Q112" s="22"/>
      <c r="R112" s="174"/>
      <c r="S112" s="221">
        <f t="shared" ref="S112" si="80">1/IF(AG112="EC",12,1)*SUM(U112:U112)</f>
        <v>1</v>
      </c>
      <c r="T112" s="174" t="str">
        <f t="shared" ref="T112" si="81">IF(ISEVEN(LEFT(AD112,4)),"Southbound","NorthBound")</f>
        <v>Southbound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 t="shared" ref="V112" si="82"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-11-01T15:37:26-0600',mode:absolute,to:'2017-11-01T18:38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2" s="204" t="str">
        <f>IF(AA112&lt;VLOOKUP(AG112,Variables!$AC$3:$AD$8,2,FALSE),"Y","N")</f>
        <v>N</v>
      </c>
      <c r="X112" s="204">
        <f t="shared" si="67"/>
        <v>1</v>
      </c>
      <c r="Y112" s="204">
        <v>23.294</v>
      </c>
      <c r="Z112" s="204">
        <v>3.2899999999999999E-2</v>
      </c>
      <c r="AA112" s="204">
        <f t="shared" ref="AA112" si="83">ABS(Z112-Y112)</f>
        <v>23.261099999999999</v>
      </c>
      <c r="AB112" s="54" t="e">
        <f>VLOOKUP(A112,Enforcements!$C$7:$K$10,8,0)</f>
        <v>#N/A</v>
      </c>
      <c r="AC112" s="51" t="e">
        <f>VLOOKUP(A112,Enforcements!$C$7:$E$10,3,0)</f>
        <v>#N/A</v>
      </c>
      <c r="AD112" s="179">
        <f t="shared" ref="AD112" si="84">VALUE(LEFT(A112,LEN(A112)-3))</f>
        <v>200</v>
      </c>
      <c r="AE112" s="77" t="str">
        <f t="shared" ref="AE112" si="85"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s3://rtdc.mdm.uploadarchive.raw/RTDC4003/ "%USERPROFILE%\AppData\Local\Temp\OnboardLogs"\RTDC4003\2017-11-01 --exclude "*" --recursive --include "*20171101*" &amp; "%USERPROFILE%\Documents\GitHub\mrs-test-scripts\Headless Mode &amp; Sideloading\WalkAndUnGZ.bat" "%USERPROFILE%\AppData\Local\Temp\OnboardLogs"\RTDC4003\2017-11-01 &amp; aws s3 cp s3://rtdc.mdm.uploadarchive.raw/RTDC4003/ "%USERPROFILE%\AppData\Local\Temp\OnboardLogs"\RTDC4003\2017-11-02 --exclude "*" --recursive --include "*20171102*" &amp; "%USERPROFILE%\Documents\GitHub\mrs-test-scripts\Headless Mode &amp; Sideloading\WalkAndUnGZ.bat" "%USERPROFILE%\AppData\Local\Temp\OnboardLogs"\RTDC4003\2017-11-02</v>
      </c>
      <c r="AF112" s="74" t="str">
        <f t="shared" ref="AF112" si="86"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/stypes="app*4003*20171101*" /stext=" 23:.+((SYSTEM_STATE.+slice.+state.+changed )|(ment ac)|(multiple cpu faults)|(system.+state.+changed )|(\[timeout)|(PRM\|1\|D)|(kpr)|(kdp)|(train st.+moving)|(\|lc)|(penalty))"</v>
      </c>
      <c r="AG112" s="182" t="str">
        <f t="shared" ref="AG112" si="87">DetSubdiv(A112)</f>
        <v>EC</v>
      </c>
      <c r="AH112" s="78" t="str">
        <f t="shared" ref="AH112" si="88">refinertdcruntimes&amp;" --tripid "&amp;A112&amp;" --locoid "&amp;B112&amp;" --swversion "&amp;C112&amp;" --startMP "&amp;D112&amp;" --initTime "&amp;TEXT(E112,"yyyy-mm-ddTHH:MM:SS")&amp;" --startdatetime "&amp;TEXT(F112,"yyyy-mm-ddTHH:MM:SS")&amp;" --delay "&amp;G112&amp;" --endMP "&amp;H112&amp;" --enddatetime "&amp;TEXT(I112,"yyyy-mm-ddTHH:MM:SS")&amp;" --enforcementcount "&amp;J112&amp;IF(outputrefinedruntimes," &gt;&gt;"&amp;RefinedRTDCRunTimesOutputFile,"")</f>
        <v>"%USERPROFILE%\Documents\GitHub\eaglep3\Utilities\RefineRTDCRunTimes.py" --tripid 200-01 --locoid 4003 --swversion DE.1.0.9.0 --startMP 204:232940 --initTime 2017-11-01T16:37:26 --startdatetime 2017-11-01T16:57:32 --delay 64 --endMP 204:329 --enddatetime 2017-11-01T17:38:24 --enforcementcount 0 &gt;&gt;%USERPROFILE%\Documents\GitHub\eaglep3-reporting\EC\2017-11-01-refined-times.txt</v>
      </c>
      <c r="AI112" s="96" t="str">
        <f t="shared" ref="AI112" si="89">"echo {""issue"":{""subject"":"""&amp;R112&amp;""",""project_id"":79,""tracker_id"":40,""status_id"":"&amp;redmine_status&amp;",""priority_id"":"&amp;redmine_priority&amp;",""assigned_to_id"":"&amp;redmine_assignee&amp;",""start_date"":"""&amp;TEXT(I112,"YYYY-mm-dd")&amp;""",""description"":"""&amp;AJ112&amp;""",""custom_fields"":[{""id"":1,""name"":""Subdivision"",""value"":"""&amp;AG112&amp;"""},{""id"":4,""name"":""Milepost"",""value"":"""&amp;Z112&amp;"""},{""id"":17,""name"":""Train ID"",""value"":"""&amp;A112&amp;"""},{""id"":16,""name"":""Locomotive ID"",""value"":"""&amp;B112&amp;"""},{""id"":130,""name"":""Impact"",""value"":"""&amp;AK112&amp;"""},{""id"":150,""name"":""Time of Event (Mountain Time)"",""value"":"""&amp;TEXT(I112,"hh:mm:ss")&amp;"""},{""id"":151,""name"":""Denver Issue ID"",""value"":"""&amp;"""},{""id"":178,""name"":""Operational Impact"",""value"":"""&amp;redmine_op_impact&amp;"""},{""id"":179,""name"":""Denver Segment Assigned"",""value"":"""&amp;AL112&amp;"""}]}}"&amp;"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{"issue":{"subject":"","project_id":79,"tracker_id":40,"status_id":1,"priority_id":2,"assigned_to_id":338,"start_date":"2017-11-01","description":"","custom_fields":[{"id":1,"name":"Subdivision","value":"EC"},{"id":4,"name":"Milepost","value":"0.0329"},{"id":17,"name":"Train ID","value":"200-01"},{"id":16,"name":"Locomotive ID","value":"4003"},{"id":130,"name":"Impact","value":""},{"id":150,"name":"Time of Event (Mountain Time)","value":"17:38:24"},{"id":151,"name":"Denver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47"/>
      <c r="AL112" s="47"/>
      <c r="AM112" s="142" t="str">
        <f t="shared" ref="AM112" si="90">"start /low /b "&amp;dls3logs&amp;" --loco "&amp;B112&amp;" --day "&amp;TEXT(F112,"YYYY-MM-DD")</f>
        <v>start /low /b %USERPROFILE%\Documents\GitHub\eaglep3\Utilities\DownloadLogsFromS3.py --loco 4003 --day 2017-11-01</v>
      </c>
      <c r="AN112" s="151" t="str">
        <f t="shared" ref="AN112" si="91">"echo {""issue"":{""subject"":"""&amp;R112&amp;""",""project_id"":30,""tracker_id"":4,""status_id"":"&amp;redmine_status_wcr&amp;",""priority_id"":"&amp;redmine_priority_wcr&amp;",""assigned_to_id"":"&amp;redmine_assignee_wcr&amp;",""start_date"":"""&amp;TEXT(I112-utc_offset/24,"YYYY-mm-dd")&amp;""",""description"":"""&amp;AJ112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23:38:24"},{"id":29,"name":"Sharepoint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ref="AO112" si="92"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Message%20ID',Summary),filters:!(),index:'emp_*',interval:auto,query:"&amp;"(query_string:(analyze_wildcard:!t,query:'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-11-01T15:37:26-0600',mode:absolute,to:'2017-11-01T18:38:24-0600'))&amp;_a=(columns:!('Message%20ID',Summary),filters:!(),index:'emp_*',interval:auto,query:(query_string:(analyze_wildcard:!t,query:'%22rtdc.l.rtdc.4003%22')),sort:!(Time.ISO8601,asc))</v>
      </c>
    </row>
    <row r="113" spans="1:91" s="20" customFormat="1" x14ac:dyDescent="0.25">
      <c r="A113" s="32" t="s">
        <v>794</v>
      </c>
      <c r="B113" s="7">
        <v>4042</v>
      </c>
      <c r="C113" s="21" t="s">
        <v>194</v>
      </c>
      <c r="D113" s="21" t="s">
        <v>940</v>
      </c>
      <c r="E113" s="13">
        <v>43040.671863425923</v>
      </c>
      <c r="F113" s="13">
        <v>43040.677442129629</v>
      </c>
      <c r="G113" s="7">
        <v>61</v>
      </c>
      <c r="H113" s="21" t="s">
        <v>941</v>
      </c>
      <c r="I113" s="13">
        <v>43040.702314814815</v>
      </c>
      <c r="J113" s="7">
        <v>0</v>
      </c>
      <c r="K113" s="89" t="str">
        <f t="shared" si="29"/>
        <v>4041/4042</v>
      </c>
      <c r="L113" s="185" t="str">
        <f>VLOOKUP(A113,'Trips&amp;Operators'!$C$1:$G$99911,5,FALSE)</f>
        <v>HOLCOMB KAMDEN</v>
      </c>
      <c r="M113" s="6">
        <f t="shared" si="30"/>
        <v>2.4872685185982846E-2</v>
      </c>
      <c r="N113" s="7">
        <f t="shared" si="52"/>
        <v>35.816666667815298</v>
      </c>
      <c r="O113" s="7"/>
      <c r="P113" s="7"/>
      <c r="Q113" s="22"/>
      <c r="R113" s="174"/>
      <c r="S113" s="221">
        <f t="shared" si="31"/>
        <v>1</v>
      </c>
      <c r="T113" s="174" t="str">
        <f t="shared" si="32"/>
        <v>NorthBound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 t="shared" si="33"/>
        <v>https://d0f6bd738d7f1b3e5a7ca70fe4ff75f0.us-east-1.aws.found.io/app/kibana#/discover/Steve-Slow-Train-Analysis-(2080s-and-2083s)?_g=(refreshInterval:(display:Off,pause:!f,section:0,value:0),time:(from:'2017-11-01T15:07:29-0600',mode:absolute,to:'2017-11-01T17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3" s="204" t="str">
        <f>IF(AA113&lt;VLOOKUP(AG113,Variables!$AC$3:$AD$8,2,FALSE),"Y","N")</f>
        <v>N</v>
      </c>
      <c r="X113" s="204">
        <f t="shared" si="67"/>
        <v>1</v>
      </c>
      <c r="Y113" s="204">
        <f t="shared" si="54"/>
        <v>5.5100000000000003E-2</v>
      </c>
      <c r="Z113" s="204">
        <f t="shared" si="55"/>
        <v>23.316800000000001</v>
      </c>
      <c r="AA113" s="204">
        <f t="shared" si="37"/>
        <v>23.261700000000001</v>
      </c>
      <c r="AB113" s="54" t="e">
        <f>VLOOKUP(A113,Enforcements!$C$7:$K$10,8,0)</f>
        <v>#N/A</v>
      </c>
      <c r="AC113" s="51" t="e">
        <f>VLOOKUP(A113,Enforcements!$C$7:$E$10,3,0)</f>
        <v>#N/A</v>
      </c>
      <c r="AD113" s="179">
        <f t="shared" si="38"/>
        <v>201</v>
      </c>
      <c r="AE113" s="77" t="str">
        <f t="shared" si="39"/>
        <v>aws s3 cp s3://rtdc.mdm.uploadarchive.raw/RTDC4042/ "%USERPROFILE%\AppData\Local\Temp\OnboardLogs"\RTDC4042\2017-11-01 --exclude "*" --recursive --include "*20171101*" &amp; "%USERPROFILE%\Documents\GitHub\mrs-test-scripts\Headless Mode &amp; Sideloading\WalkAndUnGZ.bat" "%USERPROFILE%\AppData\Local\Temp\OnboardLogs"\RTDC4042\2017-11-01 &amp; aws s3 cp s3://rtdc.mdm.uploadarchive.raw/RTDC4042/ "%USERPROFILE%\AppData\Local\Temp\OnboardLogs"\RTDC4042\2017-11-02 --exclude "*" --recursive --include "*20171102*" &amp; "%USERPROFILE%\Documents\GitHub\mrs-test-scripts\Headless Mode &amp; Sideloading\WalkAndUnGZ.bat" "%USERPROFILE%\AppData\Local\Temp\OnboardLogs"\RTDC4042\2017-11-02</v>
      </c>
      <c r="AF113" s="74" t="str">
        <f t="shared" si="40"/>
        <v>"C:\Program Files (x86)\AstroGrep\AstroGrep.exe" /e /r /s /spath="%USERPROFILE%\AppData\Local\Temp\OnboardLogs" /stypes="app*4042*20171101*" /stext=" 22:.+((SYSTEM_STATE.+slice.+state.+changed )|(ment ac)|(multiple cpu faults)|(system.+state.+changed )|(\[timeout)|(PRM\|1\|D)|(kpr)|(kdp)|(train st.+moving)|(\|lc)|(penalty))"</v>
      </c>
      <c r="AG113" s="182" t="str">
        <f t="shared" si="41"/>
        <v>EC</v>
      </c>
      <c r="AH113" s="78" t="str">
        <f t="shared" si="42"/>
        <v>"%USERPROFILE%\Documents\GitHub\eaglep3\Utilities\RefineRTDCRunTimes.py" --tripid 201-01 --locoid 4042 --swversion DE.1.0.9.0 --startMP 204:551 --initTime 2017-11-01T16:07:29 --startdatetime 2017-11-01T16:15:31 --delay 61 --endMP 204:233168 --enddatetime 2017-11-01T16:51:20 --enforcementcount 0 &gt;&gt;%USERPROFILE%\Documents\GitHub\eaglep3-reporting\EC\2017-11-01-refined-times.txt</v>
      </c>
      <c r="AI113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{"issue":{"subject":"","project_id":79,"tracker_id":40,"status_id":1,"priority_id":2,"assigned_to_id":338,"start_date":"2017-11-01","description":"","custom_fields":[{"id":1,"name":"Subdivision","value":"EC"},{"id":4,"name":"Milepost","value":"23.3168"},{"id":17,"name":"Train ID","value":"201-01"},{"id":16,"name":"Locomotive ID","value":"4042"},{"id":130,"name":"Impact","value":""},{"id":150,"name":"Time of Event (Mountain Time)","value":"16:51:20"},{"id":151,"name":"Denver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47"/>
      <c r="AL113" s="47"/>
      <c r="AM113" s="142" t="str">
        <f t="shared" si="44"/>
        <v>start /low /b %USERPROFILE%\Documents\GitHub\eaglep3\Utilities\DownloadLogsFromS3.py --loco 4042 --day 2017-11-01</v>
      </c>
      <c r="AN113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22:51:20"},{"id":29,"name":"Sharepoint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46"/>
        <v>https://d0f6bd738d7f1b3e5a7ca70fe4ff75f0.us-east-1.aws.found.io/app/kibana#/discover/Steve-Slow-Train-Analysis-(2080s-and-2083s)?_g=(refreshInterval:(display:Off,pause:!f,section:0,value:0),time:(from:'2017-11-01T15:07:29-0600',mode:absolute,to:'2017-11-01T17:51:20-0600'))&amp;_a=(columns:!('Message%20ID',Summary),filters:!(),index:'emp_*',interval:auto,query:(query_string:(analyze_wildcard:!t,query:'%22rtdc.l.rtdc.4042%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644</v>
      </c>
      <c r="B114" s="7">
        <v>4041</v>
      </c>
      <c r="C114" s="21" t="s">
        <v>194</v>
      </c>
      <c r="D114" s="21" t="s">
        <v>942</v>
      </c>
      <c r="E114" s="13">
        <v>43040.714594907404</v>
      </c>
      <c r="F114" s="13">
        <v>43040.716990740744</v>
      </c>
      <c r="G114" s="7">
        <v>44</v>
      </c>
      <c r="H114" s="21" t="s">
        <v>943</v>
      </c>
      <c r="I114" s="13">
        <v>43040.745636574073</v>
      </c>
      <c r="J114" s="7">
        <v>0</v>
      </c>
      <c r="K114" s="89" t="str">
        <f t="shared" si="29"/>
        <v>4041/4042</v>
      </c>
      <c r="L114" s="185" t="str">
        <f>VLOOKUP(A114,'Trips&amp;Operators'!$C$1:$G$99911,5,FALSE)</f>
        <v>HOLCOMB KAMDEN</v>
      </c>
      <c r="M114" s="6">
        <f t="shared" si="30"/>
        <v>2.8645833328482695E-2</v>
      </c>
      <c r="N114" s="7">
        <f t="shared" si="52"/>
        <v>41.249999993015081</v>
      </c>
      <c r="O114" s="7"/>
      <c r="P114" s="7"/>
      <c r="Q114" s="22"/>
      <c r="R114" s="174" t="s">
        <v>1107</v>
      </c>
      <c r="S114" s="221">
        <f t="shared" si="31"/>
        <v>1</v>
      </c>
      <c r="T114" s="174" t="str">
        <f t="shared" si="32"/>
        <v>Southbound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 t="shared" si="33"/>
        <v>https://d0f6bd738d7f1b3e5a7ca70fe4ff75f0.us-east-1.aws.found.io/app/kibana#/discover/Steve-Slow-Train-Analysis-(2080s-and-2083s)?_g=(refreshInterval:(display:Off,pause:!f,section:0,value:0),time:(from:'2017-11-01T16:09:01-0600',mode:absolute,to:'2017-11-01T18:53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4" s="204" t="str">
        <f>IF(AA114&lt;VLOOKUP(AG114,Variables!$AC$3:$AD$8,2,FALSE),"Y","N")</f>
        <v>N</v>
      </c>
      <c r="X114" s="204">
        <f t="shared" si="67"/>
        <v>1</v>
      </c>
      <c r="Y114" s="204">
        <f t="shared" si="54"/>
        <v>23.284800000000001</v>
      </c>
      <c r="Z114" s="204">
        <f t="shared" si="55"/>
        <v>2.1399999999999999E-2</v>
      </c>
      <c r="AA114" s="204">
        <f t="shared" si="37"/>
        <v>23.263400000000001</v>
      </c>
      <c r="AB114" s="54" t="e">
        <f>VLOOKUP(A114,Enforcements!$C$7:$K$10,8,0)</f>
        <v>#N/A</v>
      </c>
      <c r="AC114" s="51" t="e">
        <f>VLOOKUP(A114,Enforcements!$C$7:$E$10,3,0)</f>
        <v>#N/A</v>
      </c>
      <c r="AD114" s="179">
        <f t="shared" si="38"/>
        <v>202</v>
      </c>
      <c r="AE114" s="77" t="str">
        <f t="shared" si="39"/>
        <v>aws s3 cp s3://rtdc.mdm.uploadarchive.raw/RTDC4041/ "%USERPROFILE%\AppData\Local\Temp\OnboardLogs"\RTDC4041\2017-11-01 --exclude "*" --recursive --include "*20171101*" &amp; "%USERPROFILE%\Documents\GitHub\mrs-test-scripts\Headless Mode &amp; Sideloading\WalkAndUnGZ.bat" "%USERPROFILE%\AppData\Local\Temp\OnboardLogs"\RTDC4041\2017-11-01 &amp; aws s3 cp s3://rtdc.mdm.uploadarchive.raw/RTDC4041/ "%USERPROFILE%\AppData\Local\Temp\OnboardLogs"\RTDC4041\2017-11-02 --exclude "*" --recursive --include "*20171102*" &amp; "%USERPROFILE%\Documents\GitHub\mrs-test-scripts\Headless Mode &amp; Sideloading\WalkAndUnGZ.bat" "%USERPROFILE%\AppData\Local\Temp\OnboardLogs"\RTDC4041\2017-11-02</v>
      </c>
      <c r="AF114" s="74" t="str">
        <f t="shared" si="40"/>
        <v>"C:\Program Files (x86)\AstroGrep\AstroGrep.exe" /e /r /s /spath="%USERPROFILE%\AppData\Local\Temp\OnboardLogs" /stypes="app*4041*20171101*" /stext=" 23:.+((SYSTEM_STATE.+slice.+state.+changed )|(ment ac)|(multiple cpu faults)|(system.+state.+changed )|(\[timeout)|(PRM\|1\|D)|(kpr)|(kdp)|(train st.+moving)|(\|lc)|(penalty))"</v>
      </c>
      <c r="AG114" s="182" t="str">
        <f t="shared" si="41"/>
        <v>EC</v>
      </c>
      <c r="AH114" s="78" t="str">
        <f t="shared" si="42"/>
        <v>"%USERPROFILE%\Documents\GitHub\eaglep3\Utilities\RefineRTDCRunTimes.py" --tripid 202-01 --locoid 4041 --swversion DE.1.0.9.0 --startMP 204:232848 --initTime 2017-11-01T17:09:01 --startdatetime 2017-11-01T17:12:28 --delay 44 --endMP 204:214 --enddatetime 2017-11-01T17:53:43 --enforcementcount 0 &gt;&gt;%USERPROFILE%\Documents\GitHub\eaglep3-reporting\EC\2017-11-01-refined-times.txt</v>
      </c>
      <c r="AI114" s="96" t="str">
        <f t="shared" si="43"/>
        <v>echo {"issue":{"subject":"Observed unhealthy xing at Chambers due to 40th station stop","project_id":79,"tracker_id":40,"status_id":1,"priority_id":2,"assigned_to_id":338,"start_date":"2017-11-01","description":"","custom_fields":[{"id":1,"name":"Subdivision","value":"EC"},{"id":4,"name":"Milepost","value":"0.0214"},{"id":17,"name":"Train ID","value":"202-01"},{"id":16,"name":"Locomotive ID","value":"4041"},{"id":130,"name":"Impact","value":""},{"id":150,"name":"Time of Event (Mountain Time)","value":"17:53:43"},{"id":151,"name":"Denver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47"/>
      <c r="AL114" s="47"/>
      <c r="AM114" s="142" t="str">
        <f t="shared" si="44"/>
        <v>start /low /b %USERPROFILE%\Documents\GitHub\eaglep3\Utilities\DownloadLogsFromS3.py --loco 4041 --day 2017-11-01</v>
      </c>
      <c r="AN114" s="151" t="str">
        <f t="shared" si="45"/>
        <v>echo {"issue":{"subject":"Observed unhealthy xing at Chambers due to 40th station stop","project_id":30,"tracker_id":4,"status_id":1,"priority_id":1,"assigned_to_id":10,"start_date":"2017-11-01","description":"","custom_fields":[{"id":30,"name":"Category","value":"Issue"},{"id":3,"name":"Functional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23:53:43"},{"id":29,"name":"Sharepoint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46"/>
        <v>https://d0f6bd738d7f1b3e5a7ca70fe4ff75f0.us-east-1.aws.found.io/app/kibana#/discover/Steve-Slow-Train-Analysis-(2080s-and-2083s)?_g=(refreshInterval:(display:Off,pause:!f,section:0,value:0),time:(from:'2017-11-01T16:09:01-0600',mode:absolute,to:'2017-11-01T18:53:43-0600'))&amp;_a=(columns:!('Message%20ID',Summary),filters:!(),index:'emp_*',interval:auto,query:(query_string:(analyze_wildcard:!t,query:'%22rtdc.l.rtdc.4041%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643</v>
      </c>
      <c r="B115" s="7">
        <v>4050</v>
      </c>
      <c r="C115" s="21" t="s">
        <v>194</v>
      </c>
      <c r="D115" s="21" t="s">
        <v>944</v>
      </c>
      <c r="E115" s="13">
        <v>43040.69635416667</v>
      </c>
      <c r="F115" s="13">
        <v>43040.697245370371</v>
      </c>
      <c r="G115" s="7">
        <v>39</v>
      </c>
      <c r="H115" s="21" t="s">
        <v>927</v>
      </c>
      <c r="I115" s="13">
        <v>43040.720289351855</v>
      </c>
      <c r="J115" s="7">
        <v>0</v>
      </c>
      <c r="K115" s="89" t="str">
        <f t="shared" si="29"/>
        <v>4049/4050</v>
      </c>
      <c r="L115" s="185" t="str">
        <f>VLOOKUP(A115,'Trips&amp;Operators'!$C$1:$G$99911,5,FALSE)</f>
        <v>BRUDER RICHARD</v>
      </c>
      <c r="M115" s="6">
        <f t="shared" si="30"/>
        <v>2.3043981484079268E-2</v>
      </c>
      <c r="N115" s="7"/>
      <c r="O115" s="7"/>
      <c r="P115" s="7">
        <f t="shared" si="52"/>
        <v>33.183333337074146</v>
      </c>
      <c r="Q115" s="22"/>
      <c r="R115" s="174" t="s">
        <v>364</v>
      </c>
      <c r="S115" s="221">
        <f t="shared" si="31"/>
        <v>1</v>
      </c>
      <c r="T115" s="174" t="str">
        <f t="shared" si="32"/>
        <v>NorthBound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 t="shared" si="33"/>
        <v>https://d0f6bd738d7f1b3e5a7ca70fe4ff75f0.us-east-1.aws.found.io/app/kibana#/discover/Steve-Slow-Train-Analysis-(2080s-and-2083s)?_g=(refreshInterval:(display:Off,pause:!f,section:0,value:0),time:(from:'2017-11-01T15:42:45-0600',mode:absolute,to:'2017-11-01T18:17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5" s="204" t="str">
        <f>IF(AA115&lt;VLOOKUP(AG115,Variables!$AC$3:$AD$8,2,FALSE),"Y","N")</f>
        <v>Y</v>
      </c>
      <c r="X115" s="204">
        <f t="shared" si="61"/>
        <v>1</v>
      </c>
      <c r="Y115" s="204">
        <f t="shared" si="54"/>
        <v>1.9133</v>
      </c>
      <c r="Z115" s="204">
        <f t="shared" si="55"/>
        <v>23.3215</v>
      </c>
      <c r="AA115" s="204">
        <f t="shared" si="37"/>
        <v>21.408200000000001</v>
      </c>
      <c r="AB115" s="54" t="e">
        <f>VLOOKUP(A115,Enforcements!$C$7:$K$10,8,0)</f>
        <v>#N/A</v>
      </c>
      <c r="AC115" s="51" t="e">
        <f>VLOOKUP(A115,Enforcements!$C$7:$E$10,3,0)</f>
        <v>#N/A</v>
      </c>
      <c r="AD115" s="179">
        <f t="shared" si="38"/>
        <v>203</v>
      </c>
      <c r="AE115" s="77" t="str">
        <f t="shared" si="39"/>
        <v>aws s3 cp s3://rtdc.mdm.uploadarchive.raw/RTDC4050/ "%USERPROFILE%\AppData\Local\Temp\OnboardLogs"\RTDC4050\2017-11-01 --exclude "*" --recursive --include "*20171101*" &amp; "%USERPROFILE%\Documents\GitHub\mrs-test-scripts\Headless Mode &amp; Sideloading\WalkAndUnGZ.bat" "%USERPROFILE%\AppData\Local\Temp\OnboardLogs"\RTDC4050\2017-11-01 &amp; aws s3 cp s3://rtdc.mdm.uploadarchive.raw/RTDC4050/ "%USERPROFILE%\AppData\Local\Temp\OnboardLogs"\RTDC4050\2017-11-02 --exclude "*" --recursive --include "*20171102*" &amp; "%USERPROFILE%\Documents\GitHub\mrs-test-scripts\Headless Mode &amp; Sideloading\WalkAndUnGZ.bat" "%USERPROFILE%\AppData\Local\Temp\OnboardLogs"\RTDC4050\2017-11-02</v>
      </c>
      <c r="AF115" s="74" t="str">
        <f t="shared" si="40"/>
        <v>"C:\Program Files (x86)\AstroGrep\AstroGrep.exe" /e /r /s /spath="%USERPROFILE%\AppData\Local\Temp\OnboardLogs" /stypes="app*4050*20171101*" /stext=" 23:.+((SYSTEM_STATE.+slice.+state.+changed )|(ment ac)|(multiple cpu faults)|(system.+state.+changed )|(\[timeout)|(PRM\|1\|D)|(kpr)|(kdp)|(train st.+moving)|(\|lc)|(penalty))"</v>
      </c>
      <c r="AG115" s="182" t="str">
        <f t="shared" si="41"/>
        <v>EC</v>
      </c>
      <c r="AH115" s="78" t="str">
        <f t="shared" si="42"/>
        <v>"%USERPROFILE%\Documents\GitHub\eaglep3\Utilities\RefineRTDCRunTimes.py" --tripid 203-01 --locoid 4050 --swversion DE.1.0.9.0 --startMP 204:19133 --initTime 2017-11-01T16:42:45 --startdatetime 2017-11-01T16:44:02 --delay 39 --endMP 204:233215 --enddatetime 2017-11-01T17:17:13 --enforcementcount 0 &gt;&gt;%USERPROFILE%\Documents\GitHub\eaglep3-reporting\EC\2017-11-01-refined-times.txt</v>
      </c>
      <c r="AI115" s="96" t="str">
        <f t="shared" si="43"/>
        <v>echo {"issue":{"subject":"Wi-MAX data drop","project_id":79,"tracker_id":40,"status_id":1,"priority_id":2,"assigned_to_id":338,"start_date":"2017-11-01","description":"","custom_fields":[{"id":1,"name":"Subdivision","value":"EC"},{"id":4,"name":"Milepost","value":"23.3215"},{"id":17,"name":"Train ID","value":"203-01"},{"id":16,"name":"Locomotive ID","value":"4050"},{"id":130,"name":"Impact","value":""},{"id":150,"name":"Time of Event (Mountain Time)","value":"17:17:13"},{"id":151,"name":"Denver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47"/>
      <c r="AL115" s="47"/>
      <c r="AM115" s="142" t="str">
        <f t="shared" si="44"/>
        <v>start /low /b %USERPROFILE%\Documents\GitHub\eaglep3\Utilities\DownloadLogsFromS3.py --loco 4050 --day 2017-11-01</v>
      </c>
      <c r="AN115" s="151" t="str">
        <f t="shared" si="45"/>
        <v>echo {"issue":{"subject":"Wi-MAX data drop","project_id":30,"tracker_id":4,"status_id":1,"priority_id":1,"assigned_to_id":10,"start_date":"2017-11-01","description":"","custom_fields":[{"id":30,"name":"Category","value":"Issue"},{"id":3,"name":"Functional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23:17:13"},{"id":29,"name":"Sharepoint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46"/>
        <v>https://d0f6bd738d7f1b3e5a7ca70fe4ff75f0.us-east-1.aws.found.io/app/kibana#/discover/Steve-Slow-Train-Analysis-(2080s-and-2083s)?_g=(refreshInterval:(display:Off,pause:!f,section:0,value:0),time:(from:'2017-11-01T15:42:45-0600',mode:absolute,to:'2017-11-01T18:17:13-0600'))&amp;_a=(columns:!('Message%20ID',Summary),filters:!(),index:'emp_*',interval:auto,query:(query_string:(analyze_wildcard:!t,query:'%22rtdc.l.rtdc.4050%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643</v>
      </c>
      <c r="B116" s="7">
        <v>4050</v>
      </c>
      <c r="C116" s="21" t="s">
        <v>194</v>
      </c>
      <c r="D116" s="21" t="s">
        <v>945</v>
      </c>
      <c r="E116" s="13">
        <v>43040.683796296296</v>
      </c>
      <c r="F116" s="13">
        <v>43040.697245370371</v>
      </c>
      <c r="G116" s="7">
        <v>93</v>
      </c>
      <c r="H116" s="21" t="s">
        <v>946</v>
      </c>
      <c r="I116" s="13">
        <v>43040.720289351855</v>
      </c>
      <c r="J116" s="7">
        <v>0</v>
      </c>
      <c r="K116" s="89" t="str">
        <f t="shared" si="29"/>
        <v>4049/4050</v>
      </c>
      <c r="L116" s="185" t="str">
        <f>VLOOKUP(A116,'Trips&amp;Operators'!$C$1:$G$99911,5,FALSE)</f>
        <v>BRUDER RICHARD</v>
      </c>
      <c r="M116" s="6">
        <f t="shared" si="30"/>
        <v>2.3043981484079268E-2</v>
      </c>
      <c r="N116" s="7"/>
      <c r="O116" s="7"/>
      <c r="P116" s="7"/>
      <c r="Q116" s="22"/>
      <c r="R116" s="174"/>
      <c r="S116" s="221"/>
      <c r="T116" s="174" t="str">
        <f t="shared" si="32"/>
        <v>NorthBound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0</v>
      </c>
      <c r="V116" s="216" t="str">
        <f t="shared" si="33"/>
        <v>https://d0f6bd738d7f1b3e5a7ca70fe4ff75f0.us-east-1.aws.found.io/app/kibana#/discover/Steve-Slow-Train-Analysis-(2080s-and-2083s)?_g=(refreshInterval:(display:Off,pause:!f,section:0,value:0),time:(from:'2017-11-01T15:24:40-0600',mode:absolute,to:'2017-11-01T18:17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6" s="204" t="str">
        <f>IF(AA116&lt;VLOOKUP(AG116,Variables!$AC$3:$AD$8,2,FALSE),"Y","N")</f>
        <v>Y</v>
      </c>
      <c r="X116" s="204">
        <f t="shared" si="61"/>
        <v>0</v>
      </c>
      <c r="Y116" s="204">
        <f t="shared" si="54"/>
        <v>5.3999999999999999E-2</v>
      </c>
      <c r="Z116" s="204">
        <f t="shared" si="55"/>
        <v>0.26729999999999998</v>
      </c>
      <c r="AA116" s="204">
        <f t="shared" si="37"/>
        <v>0.21329999999999999</v>
      </c>
      <c r="AB116" s="54" t="e">
        <f>VLOOKUP(A116,Enforcements!$C$7:$K$10,8,0)</f>
        <v>#N/A</v>
      </c>
      <c r="AC116" s="51" t="e">
        <f>VLOOKUP(A116,Enforcements!$C$7:$E$10,3,0)</f>
        <v>#N/A</v>
      </c>
      <c r="AD116" s="179">
        <f t="shared" si="38"/>
        <v>203</v>
      </c>
      <c r="AE116" s="77" t="str">
        <f t="shared" si="39"/>
        <v>aws s3 cp s3://rtdc.mdm.uploadarchive.raw/RTDC4050/ "%USERPROFILE%\AppData\Local\Temp\OnboardLogs"\RTDC4050\2017-11-01 --exclude "*" --recursive --include "*20171101*" &amp; "%USERPROFILE%\Documents\GitHub\mrs-test-scripts\Headless Mode &amp; Sideloading\WalkAndUnGZ.bat" "%USERPROFILE%\AppData\Local\Temp\OnboardLogs"\RTDC4050\2017-11-01 &amp; aws s3 cp s3://rtdc.mdm.uploadarchive.raw/RTDC4050/ "%USERPROFILE%\AppData\Local\Temp\OnboardLogs"\RTDC4050\2017-11-02 --exclude "*" --recursive --include "*20171102*" &amp; "%USERPROFILE%\Documents\GitHub\mrs-test-scripts\Headless Mode &amp; Sideloading\WalkAndUnGZ.bat" "%USERPROFILE%\AppData\Local\Temp\OnboardLogs"\RTDC4050\2017-11-02</v>
      </c>
      <c r="AF116" s="74" t="str">
        <f t="shared" si="40"/>
        <v>"C:\Program Files (x86)\AstroGrep\AstroGrep.exe" /e /r /s /spath="%USERPROFILE%\AppData\Local\Temp\OnboardLogs" /stypes="app*4050*20171101*" /stext=" 23:.+((SYSTEM_STATE.+slice.+state.+changed )|(ment ac)|(multiple cpu faults)|(system.+state.+changed )|(\[timeout)|(PRM\|1\|D)|(kpr)|(kdp)|(train st.+moving)|(\|lc)|(penalty))"</v>
      </c>
      <c r="AG116" s="182" t="str">
        <f t="shared" si="41"/>
        <v>EC</v>
      </c>
      <c r="AH116" s="78" t="str">
        <f t="shared" si="42"/>
        <v>"%USERPROFILE%\Documents\GitHub\eaglep3\Utilities\RefineRTDCRunTimes.py" --tripid 203-01 --locoid 4050 --swversion DE.1.0.9.0 --startMP 204:540 --initTime 2017-11-01T16:24:40 --startdatetime 2017-11-01T16:44:02 --delay 93 --endMP 204:2673 --enddatetime 2017-11-01T17:17:13 --enforcementcount 0 &gt;&gt;%USERPROFILE%\Documents\GitHub\eaglep3-reporting\EC\2017-11-01-refined-times.txt</v>
      </c>
      <c r="AI116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{"issue":{"subject":"","project_id":79,"tracker_id":40,"status_id":1,"priority_id":2,"assigned_to_id":338,"start_date":"2017-11-01","description":"","custom_fields":[{"id":1,"name":"Subdivision","value":"EC"},{"id":4,"name":"Milepost","value":"0.2673"},{"id":17,"name":"Train ID","value":"203-01"},{"id":16,"name":"Locomotive ID","value":"4050"},{"id":130,"name":"Impact","value":""},{"id":150,"name":"Time of Event (Mountain Time)","value":"17:17:13"},{"id":151,"name":"Denver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47"/>
      <c r="AL116" s="47"/>
      <c r="AM116" s="142" t="str">
        <f t="shared" si="44"/>
        <v>start /low /b %USERPROFILE%\Documents\GitHub\eaglep3\Utilities\DownloadLogsFromS3.py --loco 4050 --day 2017-11-01</v>
      </c>
      <c r="AN116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23:17:13"},{"id":29,"name":"Sharepoint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46"/>
        <v>https://d0f6bd738d7f1b3e5a7ca70fe4ff75f0.us-east-1.aws.found.io/app/kibana#/discover/Steve-Slow-Train-Analysis-(2080s-and-2083s)?_g=(refreshInterval:(display:Off,pause:!f,section:0,value:0),time:(from:'2017-11-01T15:24:40-0600',mode:absolute,to:'2017-11-01T18:17:13-0600'))&amp;_a=(columns:!('Message%20ID',Summary),filters:!(),index:'emp_*',interval:auto,query:(query_string:(analyze_wildcard:!t,query:'%22rtdc.l.rtdc.4050%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812</v>
      </c>
      <c r="B117" s="7">
        <v>4049</v>
      </c>
      <c r="C117" s="21" t="s">
        <v>194</v>
      </c>
      <c r="D117" s="21" t="s">
        <v>919</v>
      </c>
      <c r="E117" s="13">
        <v>43040.723958333336</v>
      </c>
      <c r="F117" s="13">
        <v>43040.727268518516</v>
      </c>
      <c r="G117" s="7">
        <v>58</v>
      </c>
      <c r="H117" s="21" t="s">
        <v>595</v>
      </c>
      <c r="I117" s="13">
        <v>43040.752962962964</v>
      </c>
      <c r="J117" s="7">
        <v>0</v>
      </c>
      <c r="K117" s="89" t="str">
        <f t="shared" si="29"/>
        <v>4049/4050</v>
      </c>
      <c r="L117" s="185" t="str">
        <f>VLOOKUP(A117,'Trips&amp;Operators'!$C$1:$G$99911,5,FALSE)</f>
        <v>BRUDER RICHARD</v>
      </c>
      <c r="M117" s="6">
        <f t="shared" si="30"/>
        <v>2.5694444448163267E-2</v>
      </c>
      <c r="N117" s="7">
        <f t="shared" si="52"/>
        <v>37.000000005355105</v>
      </c>
      <c r="O117" s="7"/>
      <c r="P117" s="7"/>
      <c r="Q117" s="22"/>
      <c r="R117" s="174"/>
      <c r="S117" s="221">
        <f t="shared" si="31"/>
        <v>1</v>
      </c>
      <c r="T117" s="174" t="str">
        <f t="shared" si="32"/>
        <v>Southbound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 t="shared" si="33"/>
        <v>https://d0f6bd738d7f1b3e5a7ca70fe4ff75f0.us-east-1.aws.found.io/app/kibana#/discover/Steve-Slow-Train-Analysis-(2080s-and-2083s)?_g=(refreshInterval:(display:Off,pause:!f,section:0,value:0),time:(from:'2017-11-01T16:22:30-0600',mode:absolute,to:'2017-11-01T19:04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17" s="204" t="str">
        <f>IF(AA117&lt;VLOOKUP(AG117,Variables!$AC$3:$AD$8,2,FALSE),"Y","N")</f>
        <v>N</v>
      </c>
      <c r="X117" s="204">
        <f t="shared" si="61"/>
        <v>1</v>
      </c>
      <c r="Y117" s="204">
        <f t="shared" si="54"/>
        <v>23.2898</v>
      </c>
      <c r="Z117" s="204">
        <f t="shared" si="55"/>
        <v>2.3599999999999999E-2</v>
      </c>
      <c r="AA117" s="204">
        <f t="shared" si="37"/>
        <v>23.266200000000001</v>
      </c>
      <c r="AB117" s="54" t="e">
        <f>VLOOKUP(A117,Enforcements!$C$7:$K$10,8,0)</f>
        <v>#N/A</v>
      </c>
      <c r="AC117" s="51" t="e">
        <f>VLOOKUP(A117,Enforcements!$C$7:$E$10,3,0)</f>
        <v>#N/A</v>
      </c>
      <c r="AD117" s="179">
        <f t="shared" si="38"/>
        <v>204</v>
      </c>
      <c r="AE117" s="77" t="str">
        <f t="shared" si="39"/>
        <v>aws s3 cp s3://rtdc.mdm.uploadarchive.raw/RTDC4049/ "%USERPROFILE%\AppData\Local\Temp\OnboardLogs"\RTDC4049\2017-11-01 --exclude "*" --recursive --include "*20171101*" &amp; "%USERPROFILE%\Documents\GitHub\mrs-test-scripts\Headless Mode &amp; Sideloading\WalkAndUnGZ.bat" "%USERPROFILE%\AppData\Local\Temp\OnboardLogs"\RTDC4049\2017-11-01 &amp; aws s3 cp s3://rtdc.mdm.uploadarchive.raw/RTDC4049/ "%USERPROFILE%\AppData\Local\Temp\OnboardLogs"\RTDC4049\2017-11-02 --exclude "*" --recursive --include "*20171102*" &amp; "%USERPROFILE%\Documents\GitHub\mrs-test-scripts\Headless Mode &amp; Sideloading\WalkAndUnGZ.bat" "%USERPROFILE%\AppData\Local\Temp\OnboardLogs"\RTDC4049\2017-11-02</v>
      </c>
      <c r="AF117" s="74" t="str">
        <f t="shared" si="40"/>
        <v>"C:\Program Files (x86)\AstroGrep\AstroGrep.exe" /e /r /s /spath="%USERPROFILE%\AppData\Local\Temp\OnboardLogs" /stypes="app*4049*20171102*" /stext=" 00:.+((SYSTEM_STATE.+slice.+state.+changed )|(ment ac)|(multiple cpu faults)|(system.+state.+changed )|(\[timeout)|(PRM\|1\|D)|(kpr)|(kdp)|(train st.+moving)|(\|lc)|(penalty))"</v>
      </c>
      <c r="AG117" s="182" t="str">
        <f t="shared" si="41"/>
        <v>EC</v>
      </c>
      <c r="AH117" s="78" t="str">
        <f t="shared" si="42"/>
        <v>"%USERPROFILE%\Documents\GitHub\eaglep3\Utilities\RefineRTDCRunTimes.py" --tripid 204-01 --locoid 4049 --swversion DE.1.0.9.0 --startMP 204:232898 --initTime 2017-11-01T17:22:30 --startdatetime 2017-11-01T17:27:16 --delay 58 --endMP 204:236 --enddatetime 2017-11-01T18:04:16 --enforcementcount 0 &gt;&gt;%USERPROFILE%\Documents\GitHub\eaglep3-reporting\EC\2017-11-01-refined-times.txt</v>
      </c>
      <c r="AI117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{"issue":{"subject":"","project_id":79,"tracker_id":40,"status_id":1,"priority_id":2,"assigned_to_id":338,"start_date":"2017-11-01","description":"","custom_fields":[{"id":1,"name":"Subdivision","value":"EC"},{"id":4,"name":"Milepost","value":"0.0236"},{"id":17,"name":"Train ID","value":"204-01"},{"id":16,"name":"Locomotive ID","value":"4049"},{"id":130,"name":"Impact","value":""},{"id":150,"name":"Time of Event (Mountain Time)","value":"18:04:16"},{"id":151,"name":"Denver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47"/>
      <c r="AL117" s="47"/>
      <c r="AM117" s="142" t="str">
        <f t="shared" si="44"/>
        <v>start /low /b %USERPROFILE%\Documents\GitHub\eaglep3\Utilities\DownloadLogsFromS3.py --loco 4049 --day 2017-11-01</v>
      </c>
      <c r="AN117" s="151" t="str">
        <f t="shared" si="45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00:04:16"},{"id":29,"name":"Sharepoint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46"/>
        <v>https://d0f6bd738d7f1b3e5a7ca70fe4ff75f0.us-east-1.aws.found.io/app/kibana#/discover/Steve-Slow-Train-Analysis-(2080s-and-2083s)?_g=(refreshInterval:(display:Off,pause:!f,section:0,value:0),time:(from:'2017-11-01T16:22:30-0600',mode:absolute,to:'2017-11-01T19:04:16-0600'))&amp;_a=(columns:!('Message%20ID',Summary),filters:!(),index:'emp_*',interval:auto,query:(query_string:(analyze_wildcard:!t,query:'%22rtdc.l.rtdc.4049%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802</v>
      </c>
      <c r="B118" s="7">
        <v>4054</v>
      </c>
      <c r="C118" s="21" t="s">
        <v>194</v>
      </c>
      <c r="D118" s="21" t="s">
        <v>947</v>
      </c>
      <c r="E118" s="13">
        <v>43040.69158564815</v>
      </c>
      <c r="F118" s="13">
        <v>43040.698819444442</v>
      </c>
      <c r="G118" s="7">
        <v>66</v>
      </c>
      <c r="H118" s="21" t="s">
        <v>576</v>
      </c>
      <c r="I118" s="13">
        <v>43040.724687499998</v>
      </c>
      <c r="J118" s="7">
        <v>0</v>
      </c>
      <c r="K118" s="89" t="str">
        <f t="shared" si="29"/>
        <v>4053/4054</v>
      </c>
      <c r="L118" s="185" t="str">
        <f>VLOOKUP(A118,'Trips&amp;Operators'!$C$1:$G$99911,5,FALSE)</f>
        <v>STEWART MICHAEL</v>
      </c>
      <c r="M118" s="6">
        <f t="shared" si="30"/>
        <v>2.5868055556202307E-2</v>
      </c>
      <c r="N118" s="7">
        <f t="shared" ref="N118:P159" si="93">24*60*SUM($M118:$M118)</f>
        <v>37.250000000931323</v>
      </c>
      <c r="O118" s="7"/>
      <c r="P118" s="7"/>
      <c r="Q118" s="22"/>
      <c r="R118" s="174"/>
      <c r="S118" s="221">
        <f t="shared" si="31"/>
        <v>1</v>
      </c>
      <c r="T118" s="174" t="str">
        <f t="shared" si="32"/>
        <v>NorthBound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 t="shared" si="33"/>
        <v>https://d0f6bd738d7f1b3e5a7ca70fe4ff75f0.us-east-1.aws.found.io/app/kibana#/discover/Steve-Slow-Train-Analysis-(2080s-and-2083s)?_g=(refreshInterval:(display:Off,pause:!f,section:0,value:0),time:(from:'2017-11-01T15:35:53-0600',mode:absolute,to:'2017-11-01T18:23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8" s="204" t="str">
        <f>IF(AA118&lt;VLOOKUP(AG118,Variables!$AC$3:$AD$8,2,FALSE),"Y","N")</f>
        <v>N</v>
      </c>
      <c r="X118" s="204">
        <f t="shared" si="61"/>
        <v>1</v>
      </c>
      <c r="Y118" s="204">
        <f t="shared" ref="Y118:Y159" si="94">RIGHT(D118,LEN(D118)-4)/10000</f>
        <v>0.1152</v>
      </c>
      <c r="Z118" s="204">
        <f t="shared" ref="Z118:Z159" si="95">RIGHT(H118,LEN(H118)-4)/10000</f>
        <v>23.3201</v>
      </c>
      <c r="AA118" s="204">
        <f t="shared" si="37"/>
        <v>23.204899999999999</v>
      </c>
      <c r="AB118" s="54" t="e">
        <f>VLOOKUP(A118,Enforcements!$C$7:$K$10,8,0)</f>
        <v>#N/A</v>
      </c>
      <c r="AC118" s="51" t="e">
        <f>VLOOKUP(A118,Enforcements!$C$7:$E$10,3,0)</f>
        <v>#N/A</v>
      </c>
      <c r="AD118" s="179">
        <f t="shared" si="38"/>
        <v>205</v>
      </c>
      <c r="AE118" s="77" t="str">
        <f t="shared" si="39"/>
        <v>aws s3 cp s3://rtdc.mdm.uploadarchive.raw/RTDC4054/ "%USERPROFILE%\AppData\Local\Temp\OnboardLogs"\RTDC4054\2017-11-01 --exclude "*" --recursive --include "*20171101*" &amp; "%USERPROFILE%\Documents\GitHub\mrs-test-scripts\Headless Mode &amp; Sideloading\WalkAndUnGZ.bat" "%USERPROFILE%\AppData\Local\Temp\OnboardLogs"\RTDC4054\2017-11-01 &amp; aws s3 cp s3://rtdc.mdm.uploadarchive.raw/RTDC4054/ "%USERPROFILE%\AppData\Local\Temp\OnboardLogs"\RTDC4054\2017-11-02 --exclude "*" --recursive --include "*20171102*" &amp; "%USERPROFILE%\Documents\GitHub\mrs-test-scripts\Headless Mode &amp; Sideloading\WalkAndUnGZ.bat" "%USERPROFILE%\AppData\Local\Temp\OnboardLogs"\RTDC4054\2017-11-02</v>
      </c>
      <c r="AF118" s="74" t="str">
        <f t="shared" si="40"/>
        <v>"C:\Program Files (x86)\AstroGrep\AstroGrep.exe" /e /r /s /spath="%USERPROFILE%\AppData\Local\Temp\OnboardLogs" /stypes="app*4054*20171101*" /stext=" 23:.+((SYSTEM_STATE.+slice.+state.+changed )|(ment ac)|(multiple cpu faults)|(system.+state.+changed )|(\[timeout)|(PRM\|1\|D)|(kpr)|(kdp)|(train st.+moving)|(\|lc)|(penalty))"</v>
      </c>
      <c r="AG118" s="182" t="str">
        <f t="shared" si="41"/>
        <v>EC</v>
      </c>
      <c r="AH118" s="78" t="str">
        <f t="shared" si="42"/>
        <v>"%USERPROFILE%\Documents\GitHub\eaglep3\Utilities\RefineRTDCRunTimes.py" --tripid 205-01 --locoid 4054 --swversion DE.1.0.9.0 --startMP 204:1152 --initTime 2017-11-01T16:35:53 --startdatetime 2017-11-01T16:46:18 --delay 66 --endMP 204:233201 --enddatetime 2017-11-01T17:23:33 --enforcementcount 0 &gt;&gt;%USERPROFILE%\Documents\GitHub\eaglep3-reporting\EC\2017-11-01-refined-times.txt</v>
      </c>
      <c r="AI118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{"issue":{"subject":"","project_id":79,"tracker_id":40,"status_id":1,"priority_id":2,"assigned_to_id":338,"start_date":"2017-11-01","description":"","custom_fields":[{"id":1,"name":"Subdivision","value":"EC"},{"id":4,"name":"Milepost","value":"23.3201"},{"id":17,"name":"Train ID","value":"205-01"},{"id":16,"name":"Locomotive ID","value":"4054"},{"id":130,"name":"Impact","value":""},{"id":150,"name":"Time of Event (Mountain Time)","value":"17:23:33"},{"id":151,"name":"Denver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47"/>
      <c r="AL118" s="47"/>
      <c r="AM118" s="142" t="str">
        <f t="shared" si="44"/>
        <v>start /low /b %USERPROFILE%\Documents\GitHub\eaglep3\Utilities\DownloadLogsFromS3.py --loco 4054 --day 2017-11-01</v>
      </c>
      <c r="AN118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23:23:33"},{"id":29,"name":"Sharepoint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46"/>
        <v>https://d0f6bd738d7f1b3e5a7ca70fe4ff75f0.us-east-1.aws.found.io/app/kibana#/discover/Steve-Slow-Train-Analysis-(2080s-and-2083s)?_g=(refreshInterval:(display:Off,pause:!f,section:0,value:0),time:(from:'2017-11-01T15:35:53-0600',mode:absolute,to:'2017-11-01T18:23:33-0600'))&amp;_a=(columns:!('Message%20ID',Summary),filters:!(),index:'emp_*',interval:auto,query:(query_string:(analyze_wildcard:!t,query:'%22rtdc.l.rtdc.4054%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815</v>
      </c>
      <c r="B119" s="7">
        <v>4053</v>
      </c>
      <c r="C119" s="21" t="s">
        <v>194</v>
      </c>
      <c r="D119" s="21" t="s">
        <v>948</v>
      </c>
      <c r="E119" s="13">
        <v>43040.733252314814</v>
      </c>
      <c r="F119" s="13">
        <v>43040.737708333334</v>
      </c>
      <c r="G119" s="7">
        <v>75</v>
      </c>
      <c r="H119" s="21" t="s">
        <v>949</v>
      </c>
      <c r="I119" s="13">
        <v>43040.764016203706</v>
      </c>
      <c r="J119" s="7">
        <v>0</v>
      </c>
      <c r="K119" s="89" t="str">
        <f t="shared" si="29"/>
        <v>4053/4054</v>
      </c>
      <c r="L119" s="185" t="str">
        <f>VLOOKUP(A119,'Trips&amp;Operators'!$C$1:$G$99911,5,FALSE)</f>
        <v>STEWART MICHAEL</v>
      </c>
      <c r="M119" s="6">
        <f t="shared" si="30"/>
        <v>2.6307870371965691E-2</v>
      </c>
      <c r="N119" s="7">
        <f t="shared" si="93"/>
        <v>37.883333335630596</v>
      </c>
      <c r="O119" s="7"/>
      <c r="P119" s="7"/>
      <c r="Q119" s="22"/>
      <c r="R119" s="174"/>
      <c r="S119" s="221">
        <f t="shared" si="31"/>
        <v>1</v>
      </c>
      <c r="T119" s="174" t="str">
        <f t="shared" si="32"/>
        <v>Southbound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 t="shared" si="33"/>
        <v>https://d0f6bd738d7f1b3e5a7ca70fe4ff75f0.us-east-1.aws.found.io/app/kibana#/discover/Steve-Slow-Train-Analysis-(2080s-and-2083s)?_g=(refreshInterval:(display:Off,pause:!f,section:0,value:0),time:(from:'2017-11-01T16:35:53-0600',mode:absolute,to:'2017-11-01T19:20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9" s="204" t="str">
        <f>IF(AA119&lt;VLOOKUP(AG119,Variables!$AC$3:$AD$8,2,FALSE),"Y","N")</f>
        <v>N</v>
      </c>
      <c r="X119" s="204">
        <f t="shared" si="61"/>
        <v>1</v>
      </c>
      <c r="Y119" s="204">
        <f t="shared" si="94"/>
        <v>23.289000000000001</v>
      </c>
      <c r="Z119" s="204">
        <f t="shared" si="95"/>
        <v>2.9100000000000001E-2</v>
      </c>
      <c r="AA119" s="204">
        <f t="shared" si="37"/>
        <v>23.259900000000002</v>
      </c>
      <c r="AB119" s="54" t="e">
        <f>VLOOKUP(A119,Enforcements!$C$7:$K$10,8,0)</f>
        <v>#N/A</v>
      </c>
      <c r="AC119" s="51" t="e">
        <f>VLOOKUP(A119,Enforcements!$C$7:$E$10,3,0)</f>
        <v>#N/A</v>
      </c>
      <c r="AD119" s="179">
        <f t="shared" si="38"/>
        <v>206</v>
      </c>
      <c r="AE119" s="77" t="str">
        <f t="shared" si="39"/>
        <v>aws s3 cp s3://rtdc.mdm.uploadarchive.raw/RTDC4053/ "%USERPROFILE%\AppData\Local\Temp\OnboardLogs"\RTDC4053\2017-11-01 --exclude "*" --recursive --include "*20171101*" &amp; "%USERPROFILE%\Documents\GitHub\mrs-test-scripts\Headless Mode &amp; Sideloading\WalkAndUnGZ.bat" "%USERPROFILE%\AppData\Local\Temp\OnboardLogs"\RTDC4053\2017-11-01 &amp; aws s3 cp s3://rtdc.mdm.uploadarchive.raw/RTDC4053/ "%USERPROFILE%\AppData\Local\Temp\OnboardLogs"\RTDC4053\2017-11-02 --exclude "*" --recursive --include "*20171102*" &amp; "%USERPROFILE%\Documents\GitHub\mrs-test-scripts\Headless Mode &amp; Sideloading\WalkAndUnGZ.bat" "%USERPROFILE%\AppData\Local\Temp\OnboardLogs"\RTDC4053\2017-11-02</v>
      </c>
      <c r="AF119" s="74" t="str">
        <f t="shared" si="40"/>
        <v>"C:\Program Files (x86)\AstroGrep\AstroGrep.exe" /e /r /s /spath="%USERPROFILE%\AppData\Local\Temp\OnboardLogs" /stypes="app*4053*20171102*" /stext=" 00:.+((SYSTEM_STATE.+slice.+state.+changed )|(ment ac)|(multiple cpu faults)|(system.+state.+changed )|(\[timeout)|(PRM\|1\|D)|(kpr)|(kdp)|(train st.+moving)|(\|lc)|(penalty))"</v>
      </c>
      <c r="AG119" s="182" t="str">
        <f t="shared" si="41"/>
        <v>EC</v>
      </c>
      <c r="AH119" s="78" t="str">
        <f t="shared" si="42"/>
        <v>"%USERPROFILE%\Documents\GitHub\eaglep3\Utilities\RefineRTDCRunTimes.py" --tripid 206-01 --locoid 4053 --swversion DE.1.0.9.0 --startMP 204:232890 --initTime 2017-11-01T17:35:53 --startdatetime 2017-11-01T17:42:18 --delay 75 --endMP 204:291 --enddatetime 2017-11-01T18:20:11 --enforcementcount 0 &gt;&gt;%USERPROFILE%\Documents\GitHub\eaglep3-reporting\EC\2017-11-01-refined-times.txt</v>
      </c>
      <c r="AI119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{"issue":{"subject":"","project_id":79,"tracker_id":40,"status_id":1,"priority_id":2,"assigned_to_id":338,"start_date":"2017-11-01","description":"","custom_fields":[{"id":1,"name":"Subdivision","value":"EC"},{"id":4,"name":"Milepost","value":"0.0291"},{"id":17,"name":"Train ID","value":"206-01"},{"id":16,"name":"Locomotive ID","value":"4053"},{"id":130,"name":"Impact","value":""},{"id":150,"name":"Time of Event (Mountain Time)","value":"18:20:11"},{"id":151,"name":"Denver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47"/>
      <c r="AL119" s="47"/>
      <c r="AM119" s="142" t="str">
        <f t="shared" si="44"/>
        <v>start /low /b %USERPROFILE%\Documents\GitHub\eaglep3\Utilities\DownloadLogsFromS3.py --loco 4053 --day 2017-11-01</v>
      </c>
      <c r="AN119" s="151" t="str">
        <f t="shared" si="45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00:20:11"},{"id":29,"name":"Sharepoint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46"/>
        <v>https://d0f6bd738d7f1b3e5a7ca70fe4ff75f0.us-east-1.aws.found.io/app/kibana#/discover/Steve-Slow-Train-Analysis-(2080s-and-2083s)?_g=(refreshInterval:(display:Off,pause:!f,section:0,value:0),time:(from:'2017-11-01T16:35:53-0600',mode:absolute,to:'2017-11-01T19:20:11-0600'))&amp;_a=(columns:!('Message%20ID',Summary),filters:!(),index:'emp_*',interval:auto,query:(query_string:(analyze_wildcard:!t,query:'%22rtdc.l.rtdc.4053%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806</v>
      </c>
      <c r="B120" s="7">
        <v>4002</v>
      </c>
      <c r="C120" s="21" t="s">
        <v>194</v>
      </c>
      <c r="D120" s="21" t="s">
        <v>950</v>
      </c>
      <c r="E120" s="13">
        <v>43040.704710648148</v>
      </c>
      <c r="F120" s="13">
        <v>43040.70888888889</v>
      </c>
      <c r="G120" s="7">
        <v>47</v>
      </c>
      <c r="H120" s="21" t="s">
        <v>450</v>
      </c>
      <c r="I120" s="13">
        <v>43040.733449074076</v>
      </c>
      <c r="J120" s="7">
        <v>0</v>
      </c>
      <c r="K120" s="89" t="str">
        <f t="shared" si="29"/>
        <v>4001/4002</v>
      </c>
      <c r="L120" s="185" t="str">
        <f>VLOOKUP(A120,'Trips&amp;Operators'!$C$1:$G$99911,5,FALSE)</f>
        <v>GUZMAN DANNY</v>
      </c>
      <c r="M120" s="6">
        <f t="shared" si="30"/>
        <v>2.4560185185691807E-2</v>
      </c>
      <c r="N120" s="7">
        <f t="shared" si="93"/>
        <v>35.366666667396203</v>
      </c>
      <c r="O120" s="7"/>
      <c r="P120" s="7"/>
      <c r="Q120" s="22"/>
      <c r="R120" s="174"/>
      <c r="S120" s="221">
        <f t="shared" si="31"/>
        <v>1</v>
      </c>
      <c r="T120" s="174" t="str">
        <f t="shared" si="32"/>
        <v>NorthBound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 t="shared" si="33"/>
        <v>https://d0f6bd738d7f1b3e5a7ca70fe4ff75f0.us-east-1.aws.found.io/app/kibana#/discover/Steve-Slow-Train-Analysis-(2080s-and-2083s)?_g=(refreshInterval:(display:Off,pause:!f,section:0,value:0),time:(from:'2017-11-01T15:54:47-0600',mode:absolute,to:'2017-11-01T18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0" s="204" t="str">
        <f>IF(AA120&lt;VLOOKUP(AG120,Variables!$AC$3:$AD$8,2,FALSE),"Y","N")</f>
        <v>N</v>
      </c>
      <c r="X120" s="204">
        <f t="shared" si="61"/>
        <v>1</v>
      </c>
      <c r="Y120" s="204">
        <f t="shared" si="94"/>
        <v>6.93E-2</v>
      </c>
      <c r="Z120" s="204">
        <f t="shared" si="95"/>
        <v>23.321899999999999</v>
      </c>
      <c r="AA120" s="204">
        <f t="shared" si="37"/>
        <v>23.252600000000001</v>
      </c>
      <c r="AB120" s="54" t="e">
        <f>VLOOKUP(A120,Enforcements!$C$7:$K$10,8,0)</f>
        <v>#N/A</v>
      </c>
      <c r="AC120" s="51" t="e">
        <f>VLOOKUP(A120,Enforcements!$C$7:$E$10,3,0)</f>
        <v>#N/A</v>
      </c>
      <c r="AD120" s="179">
        <f t="shared" si="38"/>
        <v>207</v>
      </c>
      <c r="AE120" s="77" t="str">
        <f t="shared" si="39"/>
        <v>aws s3 cp s3://rtdc.mdm.uploadarchive.raw/RTDC4002/ "%USERPROFILE%\AppData\Local\Temp\OnboardLogs"\RTDC4002\2017-11-01 --exclude "*" --recursive --include "*20171101*" &amp; "%USERPROFILE%\Documents\GitHub\mrs-test-scripts\Headless Mode &amp; Sideloading\WalkAndUnGZ.bat" "%USERPROFILE%\AppData\Local\Temp\OnboardLogs"\RTDC4002\2017-11-01 &amp; aws s3 cp s3://rtdc.mdm.uploadarchive.raw/RTDC4002/ "%USERPROFILE%\AppData\Local\Temp\OnboardLogs"\RTDC4002\2017-11-02 --exclude "*" --recursive --include "*20171102*" &amp; "%USERPROFILE%\Documents\GitHub\mrs-test-scripts\Headless Mode &amp; Sideloading\WalkAndUnGZ.bat" "%USERPROFILE%\AppData\Local\Temp\OnboardLogs"\RTDC4002\2017-11-02</v>
      </c>
      <c r="AF120" s="74" t="str">
        <f t="shared" si="40"/>
        <v>"C:\Program Files (x86)\AstroGrep\AstroGrep.exe" /e /r /s /spath="%USERPROFILE%\AppData\Local\Temp\OnboardLogs" /stypes="app*4002*20171101*" /stext=" 23:.+((SYSTEM_STATE.+slice.+state.+changed )|(ment ac)|(multiple cpu faults)|(system.+state.+changed )|(\[timeout)|(PRM\|1\|D)|(kpr)|(kdp)|(train st.+moving)|(\|lc)|(penalty))"</v>
      </c>
      <c r="AG120" s="182" t="str">
        <f t="shared" si="41"/>
        <v>EC</v>
      </c>
      <c r="AH120" s="78" t="str">
        <f t="shared" si="42"/>
        <v>"%USERPROFILE%\Documents\GitHub\eaglep3\Utilities\RefineRTDCRunTimes.py" --tripid 207-01 --locoid 4002 --swversion DE.1.0.9.0 --startMP 204:693 --initTime 2017-11-01T16:54:47 --startdatetime 2017-11-01T17:00:48 --delay 47 --endMP 204:233219 --enddatetime 2017-11-01T17:36:10 --enforcementcount 0 &gt;&gt;%USERPROFILE%\Documents\GitHub\eaglep3-reporting\EC\2017-11-01-refined-times.txt</v>
      </c>
      <c r="AI120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{"issue":{"subject":"","project_id":79,"tracker_id":40,"status_id":1,"priority_id":2,"assigned_to_id":338,"start_date":"2017-11-01","description":"","custom_fields":[{"id":1,"name":"Subdivision","value":"EC"},{"id":4,"name":"Milepost","value":"23.3219"},{"id":17,"name":"Train ID","value":"207-01"},{"id":16,"name":"Locomotive ID","value":"4002"},{"id":130,"name":"Impact","value":""},{"id":150,"name":"Time of Event (Mountain Time)","value":"17:36:10"},{"id":151,"name":"Denver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47"/>
      <c r="AL120" s="47"/>
      <c r="AM120" s="142" t="str">
        <f t="shared" si="44"/>
        <v>start /low /b %USERPROFILE%\Documents\GitHub\eaglep3\Utilities\DownloadLogsFromS3.py --loco 4002 --day 2017-11-01</v>
      </c>
      <c r="AN120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23:36:10"},{"id":29,"name":"Sharepoint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46"/>
        <v>https://d0f6bd738d7f1b3e5a7ca70fe4ff75f0.us-east-1.aws.found.io/app/kibana#/discover/Steve-Slow-Train-Analysis-(2080s-and-2083s)?_g=(refreshInterval:(display:Off,pause:!f,section:0,value:0),time:(from:'2017-11-01T15:54:47-0600',mode:absolute,to:'2017-11-01T18:36:10-0600'))&amp;_a=(columns:!('Message%20ID',Summary),filters:!(),index:'emp_*',interval:auto,query:(query_string:(analyze_wildcard:!t,query:'%22rtdc.l.rtdc.4002%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817</v>
      </c>
      <c r="B121" s="7">
        <v>4001</v>
      </c>
      <c r="C121" s="21" t="s">
        <v>194</v>
      </c>
      <c r="D121" s="21" t="s">
        <v>577</v>
      </c>
      <c r="E121" s="13">
        <v>43040.73605324074</v>
      </c>
      <c r="F121" s="13">
        <v>43040.748298611114</v>
      </c>
      <c r="G121" s="7">
        <v>48</v>
      </c>
      <c r="H121" s="21" t="s">
        <v>575</v>
      </c>
      <c r="I121" s="13">
        <v>43040.77449074074</v>
      </c>
      <c r="J121" s="7">
        <v>0</v>
      </c>
      <c r="K121" s="89" t="str">
        <f t="shared" si="29"/>
        <v>4001/4002</v>
      </c>
      <c r="L121" s="185" t="str">
        <f>VLOOKUP(A121,'Trips&amp;Operators'!$C$1:$G$99911,5,FALSE)</f>
        <v>GUZMAN DANNY</v>
      </c>
      <c r="M121" s="6">
        <f t="shared" si="30"/>
        <v>2.619212962599704E-2</v>
      </c>
      <c r="N121" s="7">
        <f t="shared" si="93"/>
        <v>37.716666661435738</v>
      </c>
      <c r="O121" s="7"/>
      <c r="P121" s="7"/>
      <c r="Q121" s="22"/>
      <c r="R121" s="174"/>
      <c r="S121" s="221">
        <f t="shared" si="31"/>
        <v>1</v>
      </c>
      <c r="T121" s="174" t="str">
        <f t="shared" si="32"/>
        <v>Southbound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 t="shared" si="33"/>
        <v>https://d0f6bd738d7f1b3e5a7ca70fe4ff75f0.us-east-1.aws.found.io/app/kibana#/discover/Steve-Slow-Train-Analysis-(2080s-and-2083s)?_g=(refreshInterval:(display:Off,pause:!f,section:0,value:0),time:(from:'2017-11-01T16:39:55-0600',mode:absolute,to:'2017-11-01T19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1" s="204" t="str">
        <f>IF(AA121&lt;VLOOKUP(AG121,Variables!$AC$3:$AD$8,2,FALSE),"Y","N")</f>
        <v>N</v>
      </c>
      <c r="X121" s="204">
        <f t="shared" si="61"/>
        <v>1</v>
      </c>
      <c r="Y121" s="204">
        <f t="shared" si="94"/>
        <v>23.290199999999999</v>
      </c>
      <c r="Z121" s="204">
        <f t="shared" si="95"/>
        <v>2.6200000000000001E-2</v>
      </c>
      <c r="AA121" s="204">
        <f t="shared" si="37"/>
        <v>23.263999999999999</v>
      </c>
      <c r="AB121" s="54" t="e">
        <f>VLOOKUP(A121,Enforcements!$C$7:$K$10,8,0)</f>
        <v>#N/A</v>
      </c>
      <c r="AC121" s="51" t="e">
        <f>VLOOKUP(A121,Enforcements!$C$7:$E$10,3,0)</f>
        <v>#N/A</v>
      </c>
      <c r="AD121" s="179">
        <f t="shared" si="38"/>
        <v>208</v>
      </c>
      <c r="AE121" s="77" t="str">
        <f t="shared" si="39"/>
        <v>aws s3 cp s3://rtdc.mdm.uploadarchive.raw/RTDC4001/ "%USERPROFILE%\AppData\Local\Temp\OnboardLogs"\RTDC4001\2017-11-01 --exclude "*" --recursive --include "*20171101*" &amp; "%USERPROFILE%\Documents\GitHub\mrs-test-scripts\Headless Mode &amp; Sideloading\WalkAndUnGZ.bat" "%USERPROFILE%\AppData\Local\Temp\OnboardLogs"\RTDC4001\2017-11-01 &amp; aws s3 cp s3://rtdc.mdm.uploadarchive.raw/RTDC4001/ "%USERPROFILE%\AppData\Local\Temp\OnboardLogs"\RTDC4001\2017-11-02 --exclude "*" --recursive --include "*20171102*" &amp; "%USERPROFILE%\Documents\GitHub\mrs-test-scripts\Headless Mode &amp; Sideloading\WalkAndUnGZ.bat" "%USERPROFILE%\AppData\Local\Temp\OnboardLogs"\RTDC4001\2017-11-02</v>
      </c>
      <c r="AF121" s="74" t="str">
        <f t="shared" si="40"/>
        <v>"C:\Program Files (x86)\AstroGrep\AstroGrep.exe" /e /r /s /spath="%USERPROFILE%\AppData\Local\Temp\OnboardLogs" /stypes="app*4001*20171102*" /stext=" 00:.+((SYSTEM_STATE.+slice.+state.+changed )|(ment ac)|(multiple cpu faults)|(system.+state.+changed )|(\[timeout)|(PRM\|1\|D)|(kpr)|(kdp)|(train st.+moving)|(\|lc)|(penalty))"</v>
      </c>
      <c r="AG121" s="182" t="str">
        <f t="shared" si="41"/>
        <v>EC</v>
      </c>
      <c r="AH121" s="78" t="str">
        <f t="shared" si="42"/>
        <v>"%USERPROFILE%\Documents\GitHub\eaglep3\Utilities\RefineRTDCRunTimes.py" --tripid 208-01 --locoid 4001 --swversion DE.1.0.9.0 --startMP 204:232902 --initTime 2017-11-01T17:39:55 --startdatetime 2017-11-01T17:57:33 --delay 48 --endMP 204:262 --enddatetime 2017-11-01T18:35:16 --enforcementcount 0 &gt;&gt;%USERPROFILE%\Documents\GitHub\eaglep3-reporting\EC\2017-11-01-refined-times.txt</v>
      </c>
      <c r="AI121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{"issue":{"subject":"","project_id":79,"tracker_id":40,"status_id":1,"priority_id":2,"assigned_to_id":338,"start_date":"2017-11-01","description":"","custom_fields":[{"id":1,"name":"Subdivision","value":"EC"},{"id":4,"name":"Milepost","value":"0.0262"},{"id":17,"name":"Train ID","value":"208-01"},{"id":16,"name":"Locomotive ID","value":"4001"},{"id":130,"name":"Impact","value":""},{"id":150,"name":"Time of Event (Mountain Time)","value":"18:35:16"},{"id":151,"name":"Denver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47"/>
      <c r="AL121" s="47"/>
      <c r="AM121" s="142" t="str">
        <f t="shared" si="44"/>
        <v>start /low /b %USERPROFILE%\Documents\GitHub\eaglep3\Utilities\DownloadLogsFromS3.py --loco 4001 --day 2017-11-01</v>
      </c>
      <c r="AN121" s="151" t="str">
        <f t="shared" si="45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00:35:16"},{"id":29,"name":"Sharepoint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46"/>
        <v>https://d0f6bd738d7f1b3e5a7ca70fe4ff75f0.us-east-1.aws.found.io/app/kibana#/discover/Steve-Slow-Train-Analysis-(2080s-and-2083s)?_g=(refreshInterval:(display:Off,pause:!f,section:0,value:0),time:(from:'2017-11-01T16:39:55-0600',mode:absolute,to:'2017-11-01T19:35:16-0600'))&amp;_a=(columns:!('Message%20ID',Summary),filters:!(),index:'emp_*',interval:auto,query:(query_string:(analyze_wildcard:!t,query:'%22rtdc.l.rtdc.4001%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811</v>
      </c>
      <c r="B122" s="7">
        <v>4064</v>
      </c>
      <c r="C122" s="21" t="s">
        <v>194</v>
      </c>
      <c r="D122" s="21" t="s">
        <v>951</v>
      </c>
      <c r="E122" s="13">
        <v>43040.714201388888</v>
      </c>
      <c r="F122" s="13">
        <v>43040.718935185185</v>
      </c>
      <c r="G122" s="7">
        <v>66</v>
      </c>
      <c r="H122" s="21" t="s">
        <v>952</v>
      </c>
      <c r="I122" s="13">
        <v>43040.744143518517</v>
      </c>
      <c r="J122" s="7">
        <v>0</v>
      </c>
      <c r="K122" s="89" t="str">
        <f t="shared" si="29"/>
        <v>4063/4064</v>
      </c>
      <c r="L122" s="185" t="str">
        <f>VLOOKUP(A122,'Trips&amp;Operators'!$C$1:$G$99911,5,FALSE)</f>
        <v>LEVIN SCOTT</v>
      </c>
      <c r="M122" s="6">
        <f t="shared" si="30"/>
        <v>2.5208333332557231E-2</v>
      </c>
      <c r="N122" s="7">
        <f t="shared" si="93"/>
        <v>36.299999998882413</v>
      </c>
      <c r="O122" s="7"/>
      <c r="P122" s="7"/>
      <c r="Q122" s="22"/>
      <c r="R122" s="174"/>
      <c r="S122" s="221">
        <f t="shared" si="31"/>
        <v>1</v>
      </c>
      <c r="T122" s="174" t="str">
        <f t="shared" si="32"/>
        <v>NorthBound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 t="shared" si="33"/>
        <v>https://d0f6bd738d7f1b3e5a7ca70fe4ff75f0.us-east-1.aws.found.io/app/kibana#/discover/Steve-Slow-Train-Analysis-(2080s-and-2083s)?_g=(refreshInterval:(display:Off,pause:!f,section:0,value:0),time:(from:'2017-11-01T16:08:27-0600',mode:absolute,to:'2017-11-01T18:51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22" s="204" t="str">
        <f>IF(AA122&lt;VLOOKUP(AG122,Variables!$AC$3:$AD$8,2,FALSE),"Y","N")</f>
        <v>N</v>
      </c>
      <c r="X122" s="204">
        <f t="shared" ref="X122:X163" si="96">VALUE(LEFT(AD122,4))-VALUE(LEFT(AD121,4))</f>
        <v>1</v>
      </c>
      <c r="Y122" s="204">
        <f t="shared" si="94"/>
        <v>5.4399999999999997E-2</v>
      </c>
      <c r="Z122" s="204">
        <f t="shared" si="95"/>
        <v>23.328399999999998</v>
      </c>
      <c r="AA122" s="204">
        <f t="shared" si="37"/>
        <v>23.273999999999997</v>
      </c>
      <c r="AB122" s="54" t="e">
        <f>VLOOKUP(A122,Enforcements!$C$7:$K$10,8,0)</f>
        <v>#N/A</v>
      </c>
      <c r="AC122" s="51" t="e">
        <f>VLOOKUP(A122,Enforcements!$C$7:$E$10,3,0)</f>
        <v>#N/A</v>
      </c>
      <c r="AD122" s="179">
        <f t="shared" si="38"/>
        <v>209</v>
      </c>
      <c r="AE122" s="77" t="str">
        <f t="shared" si="39"/>
        <v>aws s3 cp s3://rtdc.mdm.uploadarchive.raw/RTDC4064/ "%USERPROFILE%\AppData\Local\Temp\OnboardLogs"\RTDC4064\2017-11-01 --exclude "*" --recursive --include "*20171101*" &amp; "%USERPROFILE%\Documents\GitHub\mrs-test-scripts\Headless Mode &amp; Sideloading\WalkAndUnGZ.bat" "%USERPROFILE%\AppData\Local\Temp\OnboardLogs"\RTDC4064\2017-11-01 &amp; aws s3 cp s3://rtdc.mdm.uploadarchive.raw/RTDC4064/ "%USERPROFILE%\AppData\Local\Temp\OnboardLogs"\RTDC4064\2017-11-02 --exclude "*" --recursive --include "*20171102*" &amp; "%USERPROFILE%\Documents\GitHub\mrs-test-scripts\Headless Mode &amp; Sideloading\WalkAndUnGZ.bat" "%USERPROFILE%\AppData\Local\Temp\OnboardLogs"\RTDC4064\2017-11-02</v>
      </c>
      <c r="AF122" s="74" t="str">
        <f t="shared" si="40"/>
        <v>"C:\Program Files (x86)\AstroGrep\AstroGrep.exe" /e /r /s /spath="%USERPROFILE%\AppData\Local\Temp\OnboardLogs" /stypes="app*4064*20171101*" /stext=" 23:.+((SYSTEM_STATE.+slice.+state.+changed )|(ment ac)|(multiple cpu faults)|(system.+state.+changed )|(\[timeout)|(PRM\|1\|D)|(kpr)|(kdp)|(train st.+moving)|(\|lc)|(penalty))"</v>
      </c>
      <c r="AG122" s="182" t="str">
        <f t="shared" si="41"/>
        <v>EC</v>
      </c>
      <c r="AH122" s="78" t="str">
        <f t="shared" si="42"/>
        <v>"%USERPROFILE%\Documents\GitHub\eaglep3\Utilities\RefineRTDCRunTimes.py" --tripid 209-01 --locoid 4064 --swversion DE.1.0.9.0 --startMP 204:544 --initTime 2017-11-01T17:08:27 --startdatetime 2017-11-01T17:15:16 --delay 66 --endMP 204:233284 --enddatetime 2017-11-01T17:51:34 --enforcementcount 0 &gt;&gt;%USERPROFILE%\Documents\GitHub\eaglep3-reporting\EC\2017-11-01-refined-times.txt</v>
      </c>
      <c r="AI122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{"issue":{"subject":"","project_id":79,"tracker_id":40,"status_id":1,"priority_id":2,"assigned_to_id":338,"start_date":"2017-11-01","description":"","custom_fields":[{"id":1,"name":"Subdivision","value":"EC"},{"id":4,"name":"Milepost","value":"23.3284"},{"id":17,"name":"Train ID","value":"209-01"},{"id":16,"name":"Locomotive ID","value":"4064"},{"id":130,"name":"Impact","value":""},{"id":150,"name":"Time of Event (Mountain Time)","value":"17:51:34"},{"id":151,"name":"Denver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47"/>
      <c r="AL122" s="47"/>
      <c r="AM122" s="142" t="str">
        <f t="shared" si="44"/>
        <v>start /low /b %USERPROFILE%\Documents\GitHub\eaglep3\Utilities\DownloadLogsFromS3.py --loco 4064 --day 2017-11-01</v>
      </c>
      <c r="AN122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23:51:34"},{"id":29,"name":"Sharepoint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46"/>
        <v>https://d0f6bd738d7f1b3e5a7ca70fe4ff75f0.us-east-1.aws.found.io/app/kibana#/discover/Steve-Slow-Train-Analysis-(2080s-and-2083s)?_g=(refreshInterval:(display:Off,pause:!f,section:0,value:0),time:(from:'2017-11-01T16:08:27-0600',mode:absolute,to:'2017-11-01T18:51:34-0600'))&amp;_a=(columns:!('Message%20ID',Summary),filters:!(),index:'emp_*',interval:auto,query:(query_string:(analyze_wildcard:!t,query:'%22rtdc.l.rtdc.4064%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821</v>
      </c>
      <c r="B123" s="7">
        <v>4063</v>
      </c>
      <c r="C123" s="21" t="s">
        <v>194</v>
      </c>
      <c r="D123" s="21" t="s">
        <v>953</v>
      </c>
      <c r="E123" s="13">
        <v>43040.748831018522</v>
      </c>
      <c r="F123" s="13">
        <v>43040.758645833332</v>
      </c>
      <c r="G123" s="7">
        <v>53</v>
      </c>
      <c r="H123" s="21" t="s">
        <v>564</v>
      </c>
      <c r="I123" s="13">
        <v>43040.78466435185</v>
      </c>
      <c r="J123" s="7">
        <v>0</v>
      </c>
      <c r="K123" s="89" t="str">
        <f t="shared" si="29"/>
        <v>4063/4064</v>
      </c>
      <c r="L123" s="185" t="str">
        <f>VLOOKUP(A123,'Trips&amp;Operators'!$C$1:$G$99911,5,FALSE)</f>
        <v>LEVIN SCOTT</v>
      </c>
      <c r="M123" s="6">
        <f t="shared" si="30"/>
        <v>2.6018518517958E-2</v>
      </c>
      <c r="N123" s="7">
        <f t="shared" si="93"/>
        <v>37.46666666585952</v>
      </c>
      <c r="O123" s="7"/>
      <c r="P123" s="7"/>
      <c r="Q123" s="22"/>
      <c r="R123" s="174"/>
      <c r="S123" s="221">
        <f t="shared" si="31"/>
        <v>1</v>
      </c>
      <c r="T123" s="174" t="str">
        <f t="shared" si="32"/>
        <v>Southbound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 t="shared" si="33"/>
        <v>https://d0f6bd738d7f1b3e5a7ca70fe4ff75f0.us-east-1.aws.found.io/app/kibana#/discover/Steve-Slow-Train-Analysis-(2080s-and-2083s)?_g=(refreshInterval:(display:Off,pause:!f,section:0,value:0),time:(from:'2017-11-01T16:58:19-0600',mode:absolute,to:'2017-11-01T19:49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23" s="204" t="str">
        <f>IF(AA123&lt;VLOOKUP(AG123,Variables!$AC$3:$AD$8,2,FALSE),"Y","N")</f>
        <v>N</v>
      </c>
      <c r="X123" s="204">
        <f t="shared" si="96"/>
        <v>1</v>
      </c>
      <c r="Y123" s="204">
        <f t="shared" si="94"/>
        <v>23.297799999999999</v>
      </c>
      <c r="Z123" s="204">
        <f t="shared" si="95"/>
        <v>1.9599999999999999E-2</v>
      </c>
      <c r="AA123" s="204">
        <f t="shared" si="37"/>
        <v>23.278199999999998</v>
      </c>
      <c r="AB123" s="54" t="e">
        <f>VLOOKUP(A123,Enforcements!$C$7:$K$10,8,0)</f>
        <v>#N/A</v>
      </c>
      <c r="AC123" s="51" t="e">
        <f>VLOOKUP(A123,Enforcements!$C$7:$E$10,3,0)</f>
        <v>#N/A</v>
      </c>
      <c r="AD123" s="179">
        <f t="shared" si="38"/>
        <v>210</v>
      </c>
      <c r="AE123" s="77" t="str">
        <f t="shared" si="39"/>
        <v>aws s3 cp s3://rtdc.mdm.uploadarchive.raw/RTDC4063/ "%USERPROFILE%\AppData\Local\Temp\OnboardLogs"\RTDC4063\2017-11-01 --exclude "*" --recursive --include "*20171101*" &amp; "%USERPROFILE%\Documents\GitHub\mrs-test-scripts\Headless Mode &amp; Sideloading\WalkAndUnGZ.bat" "%USERPROFILE%\AppData\Local\Temp\OnboardLogs"\RTDC4063\2017-11-01 &amp; aws s3 cp s3://rtdc.mdm.uploadarchive.raw/RTDC4063/ "%USERPROFILE%\AppData\Local\Temp\OnboardLogs"\RTDC4063\2017-11-02 --exclude "*" --recursive --include "*20171102*" &amp; "%USERPROFILE%\Documents\GitHub\mrs-test-scripts\Headless Mode &amp; Sideloading\WalkAndUnGZ.bat" "%USERPROFILE%\AppData\Local\Temp\OnboardLogs"\RTDC4063\2017-11-02</v>
      </c>
      <c r="AF123" s="74" t="str">
        <f t="shared" si="40"/>
        <v>"C:\Program Files (x86)\AstroGrep\AstroGrep.exe" /e /r /s /spath="%USERPROFILE%\AppData\Local\Temp\OnboardLogs" /stypes="app*4063*20171102*" /stext=" 00:.+((SYSTEM_STATE.+slice.+state.+changed )|(ment ac)|(multiple cpu faults)|(system.+state.+changed )|(\[timeout)|(PRM\|1\|D)|(kpr)|(kdp)|(train st.+moving)|(\|lc)|(penalty))"</v>
      </c>
      <c r="AG123" s="182" t="str">
        <f t="shared" si="41"/>
        <v>EC</v>
      </c>
      <c r="AH123" s="78" t="str">
        <f t="shared" si="42"/>
        <v>"%USERPROFILE%\Documents\GitHub\eaglep3\Utilities\RefineRTDCRunTimes.py" --tripid 210-01 --locoid 4063 --swversion DE.1.0.9.0 --startMP 204:232978 --initTime 2017-11-01T17:58:19 --startdatetime 2017-11-01T18:12:27 --delay 53 --endMP 204:196 --enddatetime 2017-11-01T18:49:55 --enforcementcount 0 &gt;&gt;%USERPROFILE%\Documents\GitHub\eaglep3-reporting\EC\2017-11-01-refined-times.txt</v>
      </c>
      <c r="AI123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{"issue":{"subject":"","project_id":79,"tracker_id":40,"status_id":1,"priority_id":2,"assigned_to_id":338,"start_date":"2017-11-01","description":"","custom_fields":[{"id":1,"name":"Subdivision","value":"EC"},{"id":4,"name":"Milepost","value":"0.0196"},{"id":17,"name":"Train ID","value":"210-01"},{"id":16,"name":"Locomotive ID","value":"4063"},{"id":130,"name":"Impact","value":""},{"id":150,"name":"Time of Event (Mountain Time)","value":"18:49:55"},{"id":151,"name":"Denver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47"/>
      <c r="AL123" s="47"/>
      <c r="AM123" s="142" t="str">
        <f t="shared" si="44"/>
        <v>start /low /b %USERPROFILE%\Documents\GitHub\eaglep3\Utilities\DownloadLogsFromS3.py --loco 4063 --day 2017-11-01</v>
      </c>
      <c r="AN123" s="151" t="str">
        <f t="shared" si="45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00:49:55"},{"id":29,"name":"Sharepoint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46"/>
        <v>https://d0f6bd738d7f1b3e5a7ca70fe4ff75f0.us-east-1.aws.found.io/app/kibana#/discover/Steve-Slow-Train-Analysis-(2080s-and-2083s)?_g=(refreshInterval:(display:Off,pause:!f,section:0,value:0),time:(from:'2017-11-01T16:58:19-0600',mode:absolute,to:'2017-11-01T19:49:55-0600'))&amp;_a=(columns:!('Message%20ID',Summary),filters:!(),index:'emp_*',interval:auto,query:(query_string:(analyze_wildcard:!t,query:'%22rtdc.l.rtdc.4063%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814</v>
      </c>
      <c r="B124" s="7">
        <v>4044</v>
      </c>
      <c r="C124" s="21" t="s">
        <v>194</v>
      </c>
      <c r="D124" s="21" t="s">
        <v>954</v>
      </c>
      <c r="E124" s="13">
        <v>43040.72855324074</v>
      </c>
      <c r="F124" s="13">
        <v>43040.729768518519</v>
      </c>
      <c r="G124" s="7">
        <v>48</v>
      </c>
      <c r="H124" s="21" t="s">
        <v>938</v>
      </c>
      <c r="I124" s="13">
        <v>43040.754953703705</v>
      </c>
      <c r="J124" s="7">
        <v>0</v>
      </c>
      <c r="K124" s="89" t="str">
        <f t="shared" si="29"/>
        <v>4043/4044</v>
      </c>
      <c r="L124" s="185" t="str">
        <f>VLOOKUP(A124,'Trips&amp;Operators'!$C$1:$G$99911,5,FALSE)</f>
        <v>BERLING GARY</v>
      </c>
      <c r="M124" s="6">
        <f t="shared" si="30"/>
        <v>2.5185185186273884E-2</v>
      </c>
      <c r="N124" s="7">
        <f t="shared" si="93"/>
        <v>36.266666668234393</v>
      </c>
      <c r="O124" s="7"/>
      <c r="P124" s="7"/>
      <c r="Q124" s="22"/>
      <c r="R124" s="174"/>
      <c r="S124" s="221">
        <f t="shared" si="31"/>
        <v>1</v>
      </c>
      <c r="T124" s="174" t="str">
        <f t="shared" si="32"/>
        <v>NorthBound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 t="shared" si="33"/>
        <v>https://d0f6bd738d7f1b3e5a7ca70fe4ff75f0.us-east-1.aws.found.io/app/kibana#/discover/Steve-Slow-Train-Analysis-(2080s-and-2083s)?_g=(refreshInterval:(display:Off,pause:!f,section:0,value:0),time:(from:'2017-11-01T16:29:07-0600',mode:absolute,to:'2017-11-01T19:07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4" s="204" t="str">
        <f>IF(AA124&lt;VLOOKUP(AG124,Variables!$AC$3:$AD$8,2,FALSE),"Y","N")</f>
        <v>N</v>
      </c>
      <c r="X124" s="204">
        <f t="shared" si="96"/>
        <v>1</v>
      </c>
      <c r="Y124" s="204">
        <f t="shared" si="94"/>
        <v>6.2399999999999997E-2</v>
      </c>
      <c r="Z124" s="204">
        <f t="shared" si="95"/>
        <v>23.325299999999999</v>
      </c>
      <c r="AA124" s="204">
        <f t="shared" si="37"/>
        <v>23.262899999999998</v>
      </c>
      <c r="AB124" s="54" t="e">
        <f>VLOOKUP(A124,Enforcements!$C$7:$K$10,8,0)</f>
        <v>#N/A</v>
      </c>
      <c r="AC124" s="51" t="e">
        <f>VLOOKUP(A124,Enforcements!$C$7:$E$10,3,0)</f>
        <v>#N/A</v>
      </c>
      <c r="AD124" s="179">
        <f t="shared" si="38"/>
        <v>211</v>
      </c>
      <c r="AE124" s="77" t="str">
        <f t="shared" si="39"/>
        <v>aws s3 cp s3://rtdc.mdm.uploadarchive.raw/RTDC4044/ "%USERPROFILE%\AppData\Local\Temp\OnboardLogs"\RTDC4044\2017-11-01 --exclude "*" --recursive --include "*20171101*" &amp; "%USERPROFILE%\Documents\GitHub\mrs-test-scripts\Headless Mode &amp; Sideloading\WalkAndUnGZ.bat" "%USERPROFILE%\AppData\Local\Temp\OnboardLogs"\RTDC4044\2017-11-01 &amp; aws s3 cp s3://rtdc.mdm.uploadarchive.raw/RTDC4044/ "%USERPROFILE%\AppData\Local\Temp\OnboardLogs"\RTDC4044\2017-11-02 --exclude "*" --recursive --include "*20171102*" &amp; "%USERPROFILE%\Documents\GitHub\mrs-test-scripts\Headless Mode &amp; Sideloading\WalkAndUnGZ.bat" "%USERPROFILE%\AppData\Local\Temp\OnboardLogs"\RTDC4044\2017-11-02</v>
      </c>
      <c r="AF124" s="74" t="str">
        <f t="shared" si="40"/>
        <v>"C:\Program Files (x86)\AstroGrep\AstroGrep.exe" /e /r /s /spath="%USERPROFILE%\AppData\Local\Temp\OnboardLogs" /stypes="app*4044*20171102*" /stext=" 00:.+((SYSTEM_STATE.+slice.+state.+changed )|(ment ac)|(multiple cpu faults)|(system.+state.+changed )|(\[timeout)|(PRM\|1\|D)|(kpr)|(kdp)|(train st.+moving)|(\|lc)|(penalty))"</v>
      </c>
      <c r="AG124" s="182" t="str">
        <f t="shared" si="41"/>
        <v>EC</v>
      </c>
      <c r="AH124" s="78" t="str">
        <f t="shared" si="42"/>
        <v>"%USERPROFILE%\Documents\GitHub\eaglep3\Utilities\RefineRTDCRunTimes.py" --tripid 211-01 --locoid 4044 --swversion DE.1.0.9.0 --startMP 204:624 --initTime 2017-11-01T17:29:07 --startdatetime 2017-11-01T17:30:52 --delay 48 --endMP 204:233253 --enddatetime 2017-11-01T18:07:08 --enforcementcount 0 &gt;&gt;%USERPROFILE%\Documents\GitHub\eaglep3-reporting\EC\2017-11-01-refined-times.txt</v>
      </c>
      <c r="AI124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{"issue":{"subject":"","project_id":79,"tracker_id":40,"status_id":1,"priority_id":2,"assigned_to_id":338,"start_date":"2017-11-01","description":"","custom_fields":[{"id":1,"name":"Subdivision","value":"EC"},{"id":4,"name":"Milepost","value":"23.3253"},{"id":17,"name":"Train ID","value":"211-01"},{"id":16,"name":"Locomotive ID","value":"4044"},{"id":130,"name":"Impact","value":""},{"id":150,"name":"Time of Event (Mountain Time)","value":"18:07:08"},{"id":151,"name":"Denver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47"/>
      <c r="AL124" s="47"/>
      <c r="AM124" s="142" t="str">
        <f t="shared" si="44"/>
        <v>start /low /b %USERPROFILE%\Documents\GitHub\eaglep3\Utilities\DownloadLogsFromS3.py --loco 4044 --day 2017-11-01</v>
      </c>
      <c r="AN124" s="151" t="str">
        <f t="shared" si="45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00:07:08"},{"id":29,"name":"Sharepoint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46"/>
        <v>https://d0f6bd738d7f1b3e5a7ca70fe4ff75f0.us-east-1.aws.found.io/app/kibana#/discover/Steve-Slow-Train-Analysis-(2080s-and-2083s)?_g=(refreshInterval:(display:Off,pause:!f,section:0,value:0),time:(from:'2017-11-01T16:29:07-0600',mode:absolute,to:'2017-11-01T19:07:08-0600'))&amp;_a=(columns:!('Message%20ID',Summary),filters:!(),index:'emp_*',interval:auto,query:(query_string:(analyze_wildcard:!t,query:'%22rtdc.l.rtdc.4044%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824</v>
      </c>
      <c r="B125" s="7">
        <v>4043</v>
      </c>
      <c r="C125" s="21" t="s">
        <v>194</v>
      </c>
      <c r="D125" s="21" t="s">
        <v>594</v>
      </c>
      <c r="E125" s="13">
        <v>43040.763449074075</v>
      </c>
      <c r="F125" s="13">
        <v>43040.768900462965</v>
      </c>
      <c r="G125" s="7">
        <v>66</v>
      </c>
      <c r="H125" s="21" t="s">
        <v>955</v>
      </c>
      <c r="I125" s="13">
        <v>43040.795358796298</v>
      </c>
      <c r="J125" s="7">
        <v>0</v>
      </c>
      <c r="K125" s="89" t="str">
        <f t="shared" si="29"/>
        <v>4043/4044</v>
      </c>
      <c r="L125" s="185" t="str">
        <f>VLOOKUP(A125,'Trips&amp;Operators'!$C$1:$G$99911,5,FALSE)</f>
        <v>BERLING GARY</v>
      </c>
      <c r="M125" s="6">
        <f t="shared" si="30"/>
        <v>2.6458333333721384E-2</v>
      </c>
      <c r="N125" s="7">
        <f t="shared" si="93"/>
        <v>38.100000000558794</v>
      </c>
      <c r="O125" s="7"/>
      <c r="P125" s="7"/>
      <c r="Q125" s="22"/>
      <c r="R125" s="174"/>
      <c r="S125" s="221">
        <f t="shared" si="31"/>
        <v>1</v>
      </c>
      <c r="T125" s="174" t="str">
        <f t="shared" si="32"/>
        <v>Southbound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 t="shared" si="33"/>
        <v>https://d0f6bd738d7f1b3e5a7ca70fe4ff75f0.us-east-1.aws.found.io/app/kibana#/discover/Steve-Slow-Train-Analysis-(2080s-and-2083s)?_g=(refreshInterval:(display:Off,pause:!f,section:0,value:0),time:(from:'2017-11-01T17:19:22-0600',mode:absolute,to:'2017-11-01T20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5" s="204" t="str">
        <f>IF(AA125&lt;VLOOKUP(AG125,Variables!$AC$3:$AD$8,2,FALSE),"Y","N")</f>
        <v>N</v>
      </c>
      <c r="X125" s="204">
        <f t="shared" si="96"/>
        <v>1</v>
      </c>
      <c r="Y125" s="204">
        <f t="shared" si="94"/>
        <v>23.295100000000001</v>
      </c>
      <c r="Z125" s="204">
        <f t="shared" si="95"/>
        <v>3.4200000000000001E-2</v>
      </c>
      <c r="AA125" s="204">
        <f t="shared" si="37"/>
        <v>23.260900000000003</v>
      </c>
      <c r="AB125" s="54" t="e">
        <f>VLOOKUP(A125,Enforcements!$C$7:$K$10,8,0)</f>
        <v>#N/A</v>
      </c>
      <c r="AC125" s="51" t="e">
        <f>VLOOKUP(A125,Enforcements!$C$7:$E$10,3,0)</f>
        <v>#N/A</v>
      </c>
      <c r="AD125" s="179">
        <f t="shared" si="38"/>
        <v>212</v>
      </c>
      <c r="AE125" s="77" t="str">
        <f t="shared" si="39"/>
        <v>aws s3 cp s3://rtdc.mdm.uploadarchive.raw/RTDC4043/ "%USERPROFILE%\AppData\Local\Temp\OnboardLogs"\RTDC4043\2017-11-01 --exclude "*" --recursive --include "*20171101*" &amp; "%USERPROFILE%\Documents\GitHub\mrs-test-scripts\Headless Mode &amp; Sideloading\WalkAndUnGZ.bat" "%USERPROFILE%\AppData\Local\Temp\OnboardLogs"\RTDC4043\2017-11-01 &amp; aws s3 cp s3://rtdc.mdm.uploadarchive.raw/RTDC4043/ "%USERPROFILE%\AppData\Local\Temp\OnboardLogs"\RTDC4043\2017-11-02 --exclude "*" --recursive --include "*20171102*" &amp; "%USERPROFILE%\Documents\GitHub\mrs-test-scripts\Headless Mode &amp; Sideloading\WalkAndUnGZ.bat" "%USERPROFILE%\AppData\Local\Temp\OnboardLogs"\RTDC4043\2017-11-02</v>
      </c>
      <c r="AF125" s="74" t="str">
        <f t="shared" si="40"/>
        <v>"C:\Program Files (x86)\AstroGrep\AstroGrep.exe" /e /r /s /spath="%USERPROFILE%\AppData\Local\Temp\OnboardLogs" /stypes="app*4043*20171102*" /stext=" 01:.+((SYSTEM_STATE.+slice.+state.+changed )|(ment ac)|(multiple cpu faults)|(system.+state.+changed )|(\[timeout)|(PRM\|1\|D)|(kpr)|(kdp)|(train st.+moving)|(\|lc)|(penalty))"</v>
      </c>
      <c r="AG125" s="182" t="str">
        <f t="shared" si="41"/>
        <v>EC</v>
      </c>
      <c r="AH125" s="78" t="str">
        <f t="shared" si="42"/>
        <v>"%USERPROFILE%\Documents\GitHub\eaglep3\Utilities\RefineRTDCRunTimes.py" --tripid 212-01 --locoid 4043 --swversion DE.1.0.9.0 --startMP 204:232951 --initTime 2017-11-01T18:19:22 --startdatetime 2017-11-01T18:27:13 --delay 66 --endMP 204:342 --enddatetime 2017-11-01T19:05:19 --enforcementcount 0 &gt;&gt;%USERPROFILE%\Documents\GitHub\eaglep3-reporting\EC\2017-11-01-refined-times.txt</v>
      </c>
      <c r="AI125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{"issue":{"subject":"","project_id":79,"tracker_id":40,"status_id":1,"priority_id":2,"assigned_to_id":338,"start_date":"2017-11-01","description":"","custom_fields":[{"id":1,"name":"Subdivision","value":"EC"},{"id":4,"name":"Milepost","value":"0.0342"},{"id":17,"name":"Train ID","value":"212-01"},{"id":16,"name":"Locomotive ID","value":"4043"},{"id":130,"name":"Impact","value":""},{"id":150,"name":"Time of Event (Mountain Time)","value":"19:05:19"},{"id":151,"name":"Denver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47"/>
      <c r="AL125" s="47"/>
      <c r="AM125" s="142" t="str">
        <f t="shared" si="44"/>
        <v>start /low /b %USERPROFILE%\Documents\GitHub\eaglep3\Utilities\DownloadLogsFromS3.py --loco 4043 --day 2017-11-01</v>
      </c>
      <c r="AN125" s="151" t="str">
        <f t="shared" si="45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01:05:19"},{"id":29,"name":"Sharepoint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46"/>
        <v>https://d0f6bd738d7f1b3e5a7ca70fe4ff75f0.us-east-1.aws.found.io/app/kibana#/discover/Steve-Slow-Train-Analysis-(2080s-and-2083s)?_g=(refreshInterval:(display:Off,pause:!f,section:0,value:0),time:(from:'2017-11-01T17:19:22-0600',mode:absolute,to:'2017-11-01T20:05:19-0600'))&amp;_a=(columns:!('Message%20ID',Summary),filters:!(),index:'emp_*',interval:auto,query:(query_string:(analyze_wildcard:!t,query:'%22rtdc.l.rtdc.4043%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818</v>
      </c>
      <c r="B126" s="7">
        <v>4004</v>
      </c>
      <c r="C126" s="21" t="s">
        <v>194</v>
      </c>
      <c r="D126" s="21" t="s">
        <v>956</v>
      </c>
      <c r="E126" s="13">
        <v>43040.73704861111</v>
      </c>
      <c r="F126" s="13">
        <v>43040.740127314813</v>
      </c>
      <c r="G126" s="7">
        <v>97</v>
      </c>
      <c r="H126" s="21" t="s">
        <v>441</v>
      </c>
      <c r="I126" s="13">
        <v>43040.765266203707</v>
      </c>
      <c r="J126" s="7">
        <v>0</v>
      </c>
      <c r="K126" s="89" t="str">
        <f t="shared" si="29"/>
        <v>4003/4004</v>
      </c>
      <c r="L126" s="185" t="str">
        <f>VLOOKUP(A126,'Trips&amp;Operators'!$C$1:$G$99911,5,FALSE)</f>
        <v>MAGEE KENYA</v>
      </c>
      <c r="M126" s="6">
        <f t="shared" si="30"/>
        <v>2.513888889370719E-2</v>
      </c>
      <c r="N126" s="7">
        <f t="shared" si="93"/>
        <v>36.200000006938353</v>
      </c>
      <c r="O126" s="7"/>
      <c r="P126" s="7"/>
      <c r="Q126" s="22"/>
      <c r="R126" s="174"/>
      <c r="S126" s="221">
        <f t="shared" si="31"/>
        <v>1</v>
      </c>
      <c r="T126" s="174" t="str">
        <f t="shared" si="32"/>
        <v>NorthBound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 t="shared" si="33"/>
        <v>https://d0f6bd738d7f1b3e5a7ca70fe4ff75f0.us-east-1.aws.found.io/app/kibana#/discover/Steve-Slow-Train-Analysis-(2080s-and-2083s)?_g=(refreshInterval:(display:Off,pause:!f,section:0,value:0),time:(from:'2017-11-01T16:41:21-0600',mode:absolute,to:'2017-11-01T19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6" s="204" t="str">
        <f>IF(AA126&lt;VLOOKUP(AG126,Variables!$AC$3:$AD$8,2,FALSE),"Y","N")</f>
        <v>N</v>
      </c>
      <c r="X126" s="204">
        <f t="shared" si="96"/>
        <v>1</v>
      </c>
      <c r="Y126" s="204">
        <f t="shared" si="94"/>
        <v>5.3499999999999999E-2</v>
      </c>
      <c r="Z126" s="204">
        <f t="shared" si="95"/>
        <v>23.326599999999999</v>
      </c>
      <c r="AA126" s="204">
        <f t="shared" si="37"/>
        <v>23.273099999999999</v>
      </c>
      <c r="AB126" s="54" t="e">
        <f>VLOOKUP(A126,Enforcements!$C$7:$K$10,8,0)</f>
        <v>#N/A</v>
      </c>
      <c r="AC126" s="51" t="e">
        <f>VLOOKUP(A126,Enforcements!$C$7:$E$10,3,0)</f>
        <v>#N/A</v>
      </c>
      <c r="AD126" s="179">
        <f t="shared" si="38"/>
        <v>213</v>
      </c>
      <c r="AE126" s="77" t="str">
        <f t="shared" si="39"/>
        <v>aws s3 cp s3://rtdc.mdm.uploadarchive.raw/RTDC4004/ "%USERPROFILE%\AppData\Local\Temp\OnboardLogs"\RTDC4004\2017-11-01 --exclude "*" --recursive --include "*20171101*" &amp; "%USERPROFILE%\Documents\GitHub\mrs-test-scripts\Headless Mode &amp; Sideloading\WalkAndUnGZ.bat" "%USERPROFILE%\AppData\Local\Temp\OnboardLogs"\RTDC4004\2017-11-01 &amp; aws s3 cp s3://rtdc.mdm.uploadarchive.raw/RTDC4004/ "%USERPROFILE%\AppData\Local\Temp\OnboardLogs"\RTDC4004\2017-11-02 --exclude "*" --recursive --include "*20171102*" &amp; "%USERPROFILE%\Documents\GitHub\mrs-test-scripts\Headless Mode &amp; Sideloading\WalkAndUnGZ.bat" "%USERPROFILE%\AppData\Local\Temp\OnboardLogs"\RTDC4004\2017-11-02</v>
      </c>
      <c r="AF126" s="74" t="str">
        <f t="shared" si="40"/>
        <v>"C:\Program Files (x86)\AstroGrep\AstroGrep.exe" /e /r /s /spath="%USERPROFILE%\AppData\Local\Temp\OnboardLogs" /stypes="app*4004*20171102*" /stext=" 00:.+((SYSTEM_STATE.+slice.+state.+changed )|(ment ac)|(multiple cpu faults)|(system.+state.+changed )|(\[timeout)|(PRM\|1\|D)|(kpr)|(kdp)|(train st.+moving)|(\|lc)|(penalty))"</v>
      </c>
      <c r="AG126" s="182" t="str">
        <f t="shared" si="41"/>
        <v>EC</v>
      </c>
      <c r="AH126" s="78" t="str">
        <f t="shared" si="42"/>
        <v>"%USERPROFILE%\Documents\GitHub\eaglep3\Utilities\RefineRTDCRunTimes.py" --tripid 213-01 --locoid 4004 --swversion DE.1.0.9.0 --startMP 204:535 --initTime 2017-11-01T17:41:21 --startdatetime 2017-11-01T17:45:47 --delay 97 --endMP 204:233266 --enddatetime 2017-11-01T18:21:59 --enforcementcount 0 &gt;&gt;%USERPROFILE%\Documents\GitHub\eaglep3-reporting\EC\2017-11-01-refined-times.txt</v>
      </c>
      <c r="AI126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{"issue":{"subject":"","project_id":79,"tracker_id":40,"status_id":1,"priority_id":2,"assigned_to_id":338,"start_date":"2017-11-01","description":"","custom_fields":[{"id":1,"name":"Subdivision","value":"EC"},{"id":4,"name":"Milepost","value":"23.3266"},{"id":17,"name":"Train ID","value":"213-01"},{"id":16,"name":"Locomotive ID","value":"4004"},{"id":130,"name":"Impact","value":""},{"id":150,"name":"Time of Event (Mountain Time)","value":"18:21:59"},{"id":151,"name":"Denver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47"/>
      <c r="AL126" s="47"/>
      <c r="AM126" s="142" t="str">
        <f t="shared" si="44"/>
        <v>start /low /b %USERPROFILE%\Documents\GitHub\eaglep3\Utilities\DownloadLogsFromS3.py --loco 4004 --day 2017-11-01</v>
      </c>
      <c r="AN126" s="151" t="str">
        <f t="shared" si="45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00:21:59"},{"id":29,"name":"Sharepoint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46"/>
        <v>https://d0f6bd738d7f1b3e5a7ca70fe4ff75f0.us-east-1.aws.found.io/app/kibana#/discover/Steve-Slow-Train-Analysis-(2080s-and-2083s)?_g=(refreshInterval:(display:Off,pause:!f,section:0,value:0),time:(from:'2017-11-01T16:41:21-0600',mode:absolute,to:'2017-11-01T19:21:59-0600'))&amp;_a=(columns:!('Message%20ID',Summary),filters:!(),index:'emp_*',interval:auto,query:(query_string:(analyze_wildcard:!t,query:'%22rtdc.l.rtdc.4004%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830</v>
      </c>
      <c r="B127" s="7">
        <v>4003</v>
      </c>
      <c r="C127" s="21" t="s">
        <v>194</v>
      </c>
      <c r="D127" s="21" t="s">
        <v>956</v>
      </c>
      <c r="E127" s="13">
        <v>43040.73704861111</v>
      </c>
      <c r="F127" s="13">
        <v>43040.780185185184</v>
      </c>
      <c r="G127" s="7">
        <v>97</v>
      </c>
      <c r="H127" s="21" t="s">
        <v>441</v>
      </c>
      <c r="I127" s="13">
        <v>43040.804062499999</v>
      </c>
      <c r="J127" s="7">
        <v>0</v>
      </c>
      <c r="K127" s="89" t="str">
        <f t="shared" ref="K127" si="97">IF(ISEVEN(B127),(B127-1)&amp;"/"&amp;B127,B127&amp;"/"&amp;(B127+1))</f>
        <v>4003/4004</v>
      </c>
      <c r="L127" s="185" t="str">
        <f>VLOOKUP(A127,'Trips&amp;Operators'!$C$1:$G$99911,5,FALSE)</f>
        <v>MAGEE KENYA</v>
      </c>
      <c r="M127" s="6">
        <f t="shared" ref="M127" si="98">I127-F127</f>
        <v>2.3877314815763384E-2</v>
      </c>
      <c r="N127" s="7"/>
      <c r="O127" s="7"/>
      <c r="P127" s="7">
        <f t="shared" si="93"/>
        <v>34.383333334699273</v>
      </c>
      <c r="Q127" s="22"/>
      <c r="R127" s="174" t="s">
        <v>1100</v>
      </c>
      <c r="S127" s="221">
        <f t="shared" ref="S127" si="99">1/IF(AG127="EC",12,1)*SUM(U127:U127)</f>
        <v>1</v>
      </c>
      <c r="T127" s="174" t="str">
        <f t="shared" ref="T127" si="100">IF(ISEVEN(LEFT(AD127,4)),"Southbound","NorthBound")</f>
        <v>Southbound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 t="shared" ref="V127" si="101"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-11-01T16:41:21-0600',mode:absolute,to:'2017-11-01T20:17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7" s="204" t="str">
        <f>IF(AA127&lt;VLOOKUP(AG127,Variables!$AC$3:$AD$8,2,FALSE),"Y","N")</f>
        <v>Y</v>
      </c>
      <c r="X127" s="204">
        <f t="shared" si="96"/>
        <v>1</v>
      </c>
      <c r="Y127" s="204">
        <v>23.295100000000001</v>
      </c>
      <c r="Z127" s="204">
        <v>1.0310999999999999</v>
      </c>
      <c r="AA127" s="204">
        <f t="shared" ref="AA127" si="102">ABS(Z127-Y127)</f>
        <v>22.264000000000003</v>
      </c>
      <c r="AB127" s="54" t="e">
        <f>VLOOKUP(A127,Enforcements!$C$7:$K$10,8,0)</f>
        <v>#N/A</v>
      </c>
      <c r="AC127" s="51" t="e">
        <f>VLOOKUP(A127,Enforcements!$C$7:$E$10,3,0)</f>
        <v>#N/A</v>
      </c>
      <c r="AD127" s="179">
        <f t="shared" ref="AD127" si="103">VALUE(LEFT(A127,LEN(A127)-3))</f>
        <v>214</v>
      </c>
      <c r="AE127" s="77" t="str">
        <f t="shared" ref="AE127" si="104"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s3://rtdc.mdm.uploadarchive.raw/RTDC4003/ "%USERPROFILE%\AppData\Local\Temp\OnboardLogs"\RTDC4003\2017-11-01 --exclude "*" --recursive --include "*20171101*" &amp; "%USERPROFILE%\Documents\GitHub\mrs-test-scripts\Headless Mode &amp; Sideloading\WalkAndUnGZ.bat" "%USERPROFILE%\AppData\Local\Temp\OnboardLogs"\RTDC4003\2017-11-01 &amp; aws s3 cp s3://rtdc.mdm.uploadarchive.raw/RTDC4003/ "%USERPROFILE%\AppData\Local\Temp\OnboardLogs"\RTDC4003\2017-11-02 --exclude "*" --recursive --include "*20171102*" &amp; "%USERPROFILE%\Documents\GitHub\mrs-test-scripts\Headless Mode &amp; Sideloading\WalkAndUnGZ.bat" "%USERPROFILE%\AppData\Local\Temp\OnboardLogs"\RTDC4003\2017-11-02</v>
      </c>
      <c r="AF127" s="74" t="str">
        <f t="shared" ref="AF127" si="105"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/stypes="app*4003*20171102*" /stext=" 01:.+((SYSTEM_STATE.+slice.+state.+changed )|(ment ac)|(multiple cpu faults)|(system.+state.+changed )|(\[timeout)|(PRM\|1\|D)|(kpr)|(kdp)|(train st.+moving)|(\|lc)|(penalty))"</v>
      </c>
      <c r="AG127" s="182" t="str">
        <f t="shared" ref="AG127" si="106">DetSubdiv(A127)</f>
        <v>EC</v>
      </c>
      <c r="AH127" s="78" t="str">
        <f t="shared" ref="AH127" si="107">refinertdcruntimes&amp;" --tripid "&amp;A127&amp;" --locoid "&amp;B127&amp;" --swversion "&amp;C127&amp;" --startMP "&amp;D127&amp;" --initTime "&amp;TEXT(E127,"yyyy-mm-ddTHH:MM:SS")&amp;" --startdatetime "&amp;TEXT(F127,"yyyy-mm-ddTHH:MM:SS")&amp;" --delay "&amp;G127&amp;" --endMP "&amp;H127&amp;" --enddatetime "&amp;TEXT(I127,"yyyy-mm-ddTHH:MM:SS")&amp;" --enforcementcount "&amp;J127&amp;IF(outputrefinedruntimes," &gt;&gt;"&amp;RefinedRTDCRunTimesOutputFile,"")</f>
        <v>"%USERPROFILE%\Documents\GitHub\eaglep3\Utilities\RefineRTDCRunTimes.py" --tripid 214-01 --locoid 4003 --swversion DE.1.0.9.0 --startMP 204:535 --initTime 2017-11-01T17:41:21 --startdatetime 2017-11-01T18:43:28 --delay 97 --endMP 204:233266 --enddatetime 2017-11-01T19:17:51 --enforcementcount 0 &gt;&gt;%USERPROFILE%\Documents\GitHub\eaglep3-reporting\EC\2017-11-01-refined-times.txt</v>
      </c>
      <c r="AI127" s="96" t="str">
        <f t="shared" ref="AI127" si="108">"echo {""issue"":{""subject"":"""&amp;R127&amp;""",""project_id"":79,""tracker_id"":40,""status_id"":"&amp;redmine_status&amp;",""priority_id"":"&amp;redmine_priority&amp;",""assigned_to_id"":"&amp;redmine_assignee&amp;",""start_date"":"""&amp;TEXT(I127,"YYYY-mm-dd")&amp;""",""description"":"""&amp;AJ127&amp;""",""custom_fields"":[{""id"":1,""name"":""Subdivision"",""value"":"""&amp;AG127&amp;"""},{""id"":4,""name"":""Milepost"",""value"":"""&amp;Z127&amp;"""},{""id"":17,""name"":""Train ID"",""value"":"""&amp;A127&amp;"""},{""id"":16,""name"":""Locomotive ID"",""value"":"""&amp;B127&amp;"""},{""id"":130,""name"":""Impact"",""value"":"""&amp;AK127&amp;"""},{""id"":150,""name"":""Time of Event (Mountain Time)"",""value"":"""&amp;TEXT(I127,"hh:mm:ss")&amp;"""},{""id"":151,""name"":""Denver Issue ID"",""value"":"""&amp;"""},{""id"":178,""name"":""Operational Impact"",""value"":"""&amp;redmine_op_impact&amp;"""},{""id"":179,""name"":""Denver Segment Assigned"",""value"":"""&amp;AL127&amp;"""}]}}"&amp;" | curl --insecure -X POST -H ""Content-Type: application/json"" -H ""X-Redmine-API-Key: "&amp;redm_api_key&amp;""" "&amp;redm_url&amp;" --data @-"</f>
        <v>echo {"issue":{"subject":"Onboard en route failure","project_id":79,"tracker_id":40,"status_id":1,"priority_id":2,"assigned_to_id":338,"start_date":"2017-11-01","description":"","custom_fields":[{"id":1,"name":"Subdivision","value":"EC"},{"id":4,"name":"Milepost","value":"1.0311"},{"id":17,"name":"Train ID","value":"214-01"},{"id":16,"name":"Locomotive ID","value":"4003"},{"id":130,"name":"Impact","value":""},{"id":150,"name":"Time of Event (Mountain Time)","value":"19:17:51"},{"id":151,"name":"Denver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47"/>
      <c r="AL127" s="47"/>
      <c r="AM127" s="142" t="str">
        <f t="shared" ref="AM127" si="109">"start /low /b "&amp;dls3logs&amp;" --loco "&amp;B127&amp;" --day "&amp;TEXT(F127,"YYYY-MM-DD")</f>
        <v>start /low /b %USERPROFILE%\Documents\GitHub\eaglep3\Utilities\DownloadLogsFromS3.py --loco 4003 --day 2017-11-01</v>
      </c>
      <c r="AN127" s="151" t="str">
        <f t="shared" ref="AN127" si="110">"echo {""issue"":{""subject"":"""&amp;R127&amp;""",""project_id"":30,""tracker_id"":4,""status_id"":"&amp;redmine_status_wcr&amp;",""priority_id"":"&amp;redmine_priority_wcr&amp;",""assigned_to_id"":"&amp;redmine_assignee_wcr&amp;",""start_date"":"""&amp;TEXT(I127-utc_offset/24,"YYYY-mm-dd")&amp;""",""description"":"""&amp;AJ127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{"issue":{"subject":"Onboard en route failure","project_id":30,"tracker_id":4,"status_id":1,"priority_id":1,"assigned_to_id":10,"start_date":"2017-11-02","description":"","custom_fields":[{"id":30,"name":"Category","value":"Issue"},{"id":3,"name":"Functional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01:17:51"},{"id":29,"name":"Sharepoint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ref="AO127" si="111"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Message%20ID',Summary),filters:!(),index:'emp_*',interval:auto,query:"&amp;"(query_string:(analyze_wildcard:!t,query:'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-11-01T16:41:21-0600',mode:absolute,to:'2017-11-01T20:17:51-0600'))&amp;_a=(columns:!('Message%20ID',Summary),filters:!(),index:'emp_*',interval:auto,query:(query_string:(analyze_wildcard:!t,query:'%22rtdc.l.rtdc.4003%22')),sort:!(Time.ISO8601,asc))</v>
      </c>
    </row>
    <row r="128" spans="1:91" s="20" customFormat="1" x14ac:dyDescent="0.25">
      <c r="A128" s="32" t="s">
        <v>820</v>
      </c>
      <c r="B128" s="7">
        <v>4042</v>
      </c>
      <c r="C128" s="21" t="s">
        <v>194</v>
      </c>
      <c r="D128" s="21" t="s">
        <v>957</v>
      </c>
      <c r="E128" s="13">
        <v>43040.747395833336</v>
      </c>
      <c r="F128" s="13">
        <v>43040.750439814816</v>
      </c>
      <c r="G128" s="7">
        <v>69</v>
      </c>
      <c r="H128" s="21" t="s">
        <v>880</v>
      </c>
      <c r="I128" s="13">
        <v>43040.775092592594</v>
      </c>
      <c r="J128" s="7">
        <v>0</v>
      </c>
      <c r="K128" s="89" t="str">
        <f t="shared" si="29"/>
        <v>4041/4042</v>
      </c>
      <c r="L128" s="185" t="str">
        <f>VLOOKUP(A128,'Trips&amp;Operators'!$C$1:$G$99911,5,FALSE)</f>
        <v>ZEWDU DEREJE</v>
      </c>
      <c r="M128" s="6">
        <f t="shared" si="30"/>
        <v>2.4652777778101154E-2</v>
      </c>
      <c r="N128" s="7">
        <f t="shared" si="93"/>
        <v>35.500000000465661</v>
      </c>
      <c r="O128" s="7"/>
      <c r="P128" s="7"/>
      <c r="Q128" s="22"/>
      <c r="R128" s="174"/>
      <c r="S128" s="221">
        <f t="shared" si="31"/>
        <v>1</v>
      </c>
      <c r="T128" s="174" t="str">
        <f t="shared" si="32"/>
        <v>NorthBound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 t="shared" si="33"/>
        <v>https://d0f6bd738d7f1b3e5a7ca70fe4ff75f0.us-east-1.aws.found.io/app/kibana#/discover/Steve-Slow-Train-Analysis-(2080s-and-2083s)?_g=(refreshInterval:(display:Off,pause:!f,section:0,value:0),time:(from:'2017-11-01T16:56:15-0600',mode:absolute,to:'2017-11-01T19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8" s="204" t="str">
        <f>IF(AA128&lt;VLOOKUP(AG128,Variables!$AC$3:$AD$8,2,FALSE),"Y","N")</f>
        <v>N</v>
      </c>
      <c r="X128" s="204">
        <f t="shared" si="96"/>
        <v>1</v>
      </c>
      <c r="Y128" s="204">
        <f t="shared" si="94"/>
        <v>5.2600000000000001E-2</v>
      </c>
      <c r="Z128" s="204">
        <f t="shared" si="95"/>
        <v>23.328900000000001</v>
      </c>
      <c r="AA128" s="204">
        <f t="shared" si="37"/>
        <v>23.276299999999999</v>
      </c>
      <c r="AB128" s="54" t="e">
        <f>VLOOKUP(A128,Enforcements!$C$7:$K$10,8,0)</f>
        <v>#N/A</v>
      </c>
      <c r="AC128" s="51" t="e">
        <f>VLOOKUP(A128,Enforcements!$C$7:$E$10,3,0)</f>
        <v>#N/A</v>
      </c>
      <c r="AD128" s="179">
        <f t="shared" si="38"/>
        <v>215</v>
      </c>
      <c r="AE128" s="77" t="str">
        <f t="shared" si="39"/>
        <v>aws s3 cp s3://rtdc.mdm.uploadarchive.raw/RTDC4042/ "%USERPROFILE%\AppData\Local\Temp\OnboardLogs"\RTDC4042\2017-11-01 --exclude "*" --recursive --include "*20171101*" &amp; "%USERPROFILE%\Documents\GitHub\mrs-test-scripts\Headless Mode &amp; Sideloading\WalkAndUnGZ.bat" "%USERPROFILE%\AppData\Local\Temp\OnboardLogs"\RTDC4042\2017-11-01 &amp; aws s3 cp s3://rtdc.mdm.uploadarchive.raw/RTDC4042/ "%USERPROFILE%\AppData\Local\Temp\OnboardLogs"\RTDC4042\2017-11-02 --exclude "*" --recursive --include "*20171102*" &amp; "%USERPROFILE%\Documents\GitHub\mrs-test-scripts\Headless Mode &amp; Sideloading\WalkAndUnGZ.bat" "%USERPROFILE%\AppData\Local\Temp\OnboardLogs"\RTDC4042\2017-11-02</v>
      </c>
      <c r="AF128" s="74" t="str">
        <f t="shared" si="40"/>
        <v>"C:\Program Files (x86)\AstroGrep\AstroGrep.exe" /e /r /s /spath="%USERPROFILE%\AppData\Local\Temp\OnboardLogs" /stypes="app*4042*20171102*" /stext=" 00:.+((SYSTEM_STATE.+slice.+state.+changed )|(ment ac)|(multiple cpu faults)|(system.+state.+changed )|(\[timeout)|(PRM\|1\|D)|(kpr)|(kdp)|(train st.+moving)|(\|lc)|(penalty))"</v>
      </c>
      <c r="AG128" s="182" t="str">
        <f t="shared" si="41"/>
        <v>EC</v>
      </c>
      <c r="AH128" s="78" t="str">
        <f t="shared" si="42"/>
        <v>"%USERPROFILE%\Documents\GitHub\eaglep3\Utilities\RefineRTDCRunTimes.py" --tripid 215-01 --locoid 4042 --swversion DE.1.0.9.0 --startMP 204:526 --initTime 2017-11-01T17:56:15 --startdatetime 2017-11-01T18:00:38 --delay 69 --endMP 204:233289 --enddatetime 2017-11-01T18:36:08 --enforcementcount 0 &gt;&gt;%USERPROFILE%\Documents\GitHub\eaglep3-reporting\EC\2017-11-01-refined-times.txt</v>
      </c>
      <c r="AI128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{"issue":{"subject":"","project_id":79,"tracker_id":40,"status_id":1,"priority_id":2,"assigned_to_id":338,"start_date":"2017-11-01","description":"","custom_fields":[{"id":1,"name":"Subdivision","value":"EC"},{"id":4,"name":"Milepost","value":"23.3289"},{"id":17,"name":"Train ID","value":"215-01"},{"id":16,"name":"Locomotive ID","value":"4042"},{"id":130,"name":"Impact","value":""},{"id":150,"name":"Time of Event (Mountain Time)","value":"18:36:08"},{"id":151,"name":"Denver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47"/>
      <c r="AL128" s="47"/>
      <c r="AM128" s="142" t="str">
        <f t="shared" si="44"/>
        <v>start /low /b %USERPROFILE%\Documents\GitHub\eaglep3\Utilities\DownloadLogsFromS3.py --loco 4042 --day 2017-11-01</v>
      </c>
      <c r="AN128" s="151" t="str">
        <f t="shared" si="45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00:36:08"},{"id":29,"name":"Sharepoint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46"/>
        <v>https://d0f6bd738d7f1b3e5a7ca70fe4ff75f0.us-east-1.aws.found.io/app/kibana#/discover/Steve-Slow-Train-Analysis-(2080s-and-2083s)?_g=(refreshInterval:(display:Off,pause:!f,section:0,value:0),time:(from:'2017-11-01T16:56:15-0600',mode:absolute,to:'2017-11-01T19:36:08-0600'))&amp;_a=(columns:!('Message%20ID',Summary),filters:!(),index:'emp_*',interval:auto,query:(query_string:(analyze_wildcard:!t,query:'%22rtdc.l.rtdc.4042%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831</v>
      </c>
      <c r="B129" s="7">
        <v>4041</v>
      </c>
      <c r="C129" s="21" t="s">
        <v>194</v>
      </c>
      <c r="D129" s="21" t="s">
        <v>395</v>
      </c>
      <c r="E129" s="13">
        <v>43040.778124999997</v>
      </c>
      <c r="F129" s="13">
        <v>43040.789803240739</v>
      </c>
      <c r="G129" s="7">
        <v>119</v>
      </c>
      <c r="H129" s="21" t="s">
        <v>958</v>
      </c>
      <c r="I129" s="13">
        <v>43040.815358796295</v>
      </c>
      <c r="J129" s="7">
        <v>0</v>
      </c>
      <c r="K129" s="89" t="str">
        <f t="shared" si="29"/>
        <v>4041/4042</v>
      </c>
      <c r="L129" s="185" t="str">
        <f>VLOOKUP(A129,'Trips&amp;Operators'!$C$1:$G$99911,5,FALSE)</f>
        <v>ZEWDU DEREJE</v>
      </c>
      <c r="M129" s="6">
        <f t="shared" si="30"/>
        <v>2.5555555555911269E-2</v>
      </c>
      <c r="N129" s="7">
        <f t="shared" si="93"/>
        <v>36.800000000512227</v>
      </c>
      <c r="O129" s="7"/>
      <c r="P129" s="7"/>
      <c r="Q129" s="22"/>
      <c r="R129" s="174"/>
      <c r="S129" s="221">
        <f t="shared" si="31"/>
        <v>1</v>
      </c>
      <c r="T129" s="174" t="str">
        <f t="shared" si="32"/>
        <v>Southbound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 t="shared" si="33"/>
        <v>https://d0f6bd738d7f1b3e5a7ca70fe4ff75f0.us-east-1.aws.found.io/app/kibana#/discover/Steve-Slow-Train-Analysis-(2080s-and-2083s)?_g=(refreshInterval:(display:Off,pause:!f,section:0,value:0),time:(from:'2017-11-01T17:40:30-0600',mode:absolute,to:'2017-11-01T20:34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9" s="204" t="str">
        <f>IF(AA129&lt;VLOOKUP(AG129,Variables!$AC$3:$AD$8,2,FALSE),"Y","N")</f>
        <v>N</v>
      </c>
      <c r="X129" s="204">
        <f t="shared" si="96"/>
        <v>1</v>
      </c>
      <c r="Y129" s="204">
        <f t="shared" si="94"/>
        <v>23.296800000000001</v>
      </c>
      <c r="Z129" s="204">
        <f t="shared" si="95"/>
        <v>0.16930000000000001</v>
      </c>
      <c r="AA129" s="204">
        <f t="shared" si="37"/>
        <v>23.127500000000001</v>
      </c>
      <c r="AB129" s="54" t="e">
        <f>VLOOKUP(A129,Enforcements!$C$7:$K$10,8,0)</f>
        <v>#N/A</v>
      </c>
      <c r="AC129" s="51" t="e">
        <f>VLOOKUP(A129,Enforcements!$C$7:$E$10,3,0)</f>
        <v>#N/A</v>
      </c>
      <c r="AD129" s="179">
        <f t="shared" si="38"/>
        <v>216</v>
      </c>
      <c r="AE129" s="77" t="str">
        <f t="shared" si="39"/>
        <v>aws s3 cp s3://rtdc.mdm.uploadarchive.raw/RTDC4041/ "%USERPROFILE%\AppData\Local\Temp\OnboardLogs"\RTDC4041\2017-11-01 --exclude "*" --recursive --include "*20171101*" &amp; "%USERPROFILE%\Documents\GitHub\mrs-test-scripts\Headless Mode &amp; Sideloading\WalkAndUnGZ.bat" "%USERPROFILE%\AppData\Local\Temp\OnboardLogs"\RTDC4041\2017-11-01 &amp; aws s3 cp s3://rtdc.mdm.uploadarchive.raw/RTDC4041/ "%USERPROFILE%\AppData\Local\Temp\OnboardLogs"\RTDC4041\2017-11-02 --exclude "*" --recursive --include "*20171102*" &amp; "%USERPROFILE%\Documents\GitHub\mrs-test-scripts\Headless Mode &amp; Sideloading\WalkAndUnGZ.bat" "%USERPROFILE%\AppData\Local\Temp\OnboardLogs"\RTDC4041\2017-11-02</v>
      </c>
      <c r="AF129" s="74" t="str">
        <f t="shared" si="40"/>
        <v>"C:\Program Files (x86)\AstroGrep\AstroGrep.exe" /e /r /s /spath="%USERPROFILE%\AppData\Local\Temp\OnboardLogs" /stypes="app*4041*20171102*" /stext=" 01:.+((SYSTEM_STATE.+slice.+state.+changed )|(ment ac)|(multiple cpu faults)|(system.+state.+changed )|(\[timeout)|(PRM\|1\|D)|(kpr)|(kdp)|(train st.+moving)|(\|lc)|(penalty))"</v>
      </c>
      <c r="AG129" s="182" t="str">
        <f t="shared" si="41"/>
        <v>EC</v>
      </c>
      <c r="AH129" s="78" t="str">
        <f t="shared" si="42"/>
        <v>"%USERPROFILE%\Documents\GitHub\eaglep3\Utilities\RefineRTDCRunTimes.py" --tripid 216-01 --locoid 4041 --swversion DE.1.0.9.0 --startMP 204:232968 --initTime 2017-11-01T18:40:30 --startdatetime 2017-11-01T18:57:19 --delay 119 --endMP 204:1693 --enddatetime 2017-11-01T19:34:07 --enforcementcount 0 &gt;&gt;%USERPROFILE%\Documents\GitHub\eaglep3-reporting\EC\2017-11-01-refined-times.txt</v>
      </c>
      <c r="AI129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{"issue":{"subject":"","project_id":79,"tracker_id":40,"status_id":1,"priority_id":2,"assigned_to_id":338,"start_date":"2017-11-01","description":"","custom_fields":[{"id":1,"name":"Subdivision","value":"EC"},{"id":4,"name":"Milepost","value":"0.1693"},{"id":17,"name":"Train ID","value":"216-01"},{"id":16,"name":"Locomotive ID","value":"4041"},{"id":130,"name":"Impact","value":""},{"id":150,"name":"Time of Event (Mountain Time)","value":"19:34:07"},{"id":151,"name":"Denver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47"/>
      <c r="AL129" s="47"/>
      <c r="AM129" s="142" t="str">
        <f t="shared" si="44"/>
        <v>start /low /b %USERPROFILE%\Documents\GitHub\eaglep3\Utilities\DownloadLogsFromS3.py --loco 4041 --day 2017-11-01</v>
      </c>
      <c r="AN129" s="151" t="str">
        <f t="shared" si="45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01:34:07"},{"id":29,"name":"Sharepoint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46"/>
        <v>https://d0f6bd738d7f1b3e5a7ca70fe4ff75f0.us-east-1.aws.found.io/app/kibana#/discover/Steve-Slow-Train-Analysis-(2080s-and-2083s)?_g=(refreshInterval:(display:Off,pause:!f,section:0,value:0),time:(from:'2017-11-01T17:40:30-0600',mode:absolute,to:'2017-11-01T20:34:07-0600'))&amp;_a=(columns:!('Message%20ID',Summary),filters:!(),index:'emp_*',interval:auto,query:(query_string:(analyze_wildcard:!t,query:'%22rtdc.l.rtdc.4041%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823</v>
      </c>
      <c r="B130" s="7">
        <v>4050</v>
      </c>
      <c r="C130" s="21" t="s">
        <v>194</v>
      </c>
      <c r="D130" s="21" t="s">
        <v>420</v>
      </c>
      <c r="E130" s="13">
        <v>43040.7578125</v>
      </c>
      <c r="F130" s="13">
        <v>43040.760775462964</v>
      </c>
      <c r="G130" s="7">
        <v>178</v>
      </c>
      <c r="H130" s="21" t="s">
        <v>390</v>
      </c>
      <c r="I130" s="13">
        <v>43040.785682870373</v>
      </c>
      <c r="J130" s="7">
        <v>0</v>
      </c>
      <c r="K130" s="89" t="str">
        <f t="shared" si="29"/>
        <v>4049/4050</v>
      </c>
      <c r="L130" s="185" t="str">
        <f>VLOOKUP(A130,'Trips&amp;Operators'!$C$1:$G$99911,5,FALSE)</f>
        <v>ANDREA WILLIAMS</v>
      </c>
      <c r="M130" s="6">
        <f t="shared" si="30"/>
        <v>2.4907407409045845E-2</v>
      </c>
      <c r="N130" s="7">
        <f t="shared" si="93"/>
        <v>35.866666669026017</v>
      </c>
      <c r="O130" s="7"/>
      <c r="P130" s="7"/>
      <c r="Q130" s="22"/>
      <c r="R130" s="174"/>
      <c r="S130" s="221">
        <f t="shared" si="31"/>
        <v>1</v>
      </c>
      <c r="T130" s="174" t="str">
        <f t="shared" si="32"/>
        <v>NorthBound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 t="shared" si="33"/>
        <v>https://d0f6bd738d7f1b3e5a7ca70fe4ff75f0.us-east-1.aws.found.io/app/kibana#/discover/Steve-Slow-Train-Analysis-(2080s-and-2083s)?_g=(refreshInterval:(display:Off,pause:!f,section:0,value:0),time:(from:'2017-11-01T17:11:15-0600',mode:absolute,to:'2017-11-01T19:51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0" s="204" t="str">
        <f>IF(AA130&lt;VLOOKUP(AG130,Variables!$AC$3:$AD$8,2,FALSE),"Y","N")</f>
        <v>N</v>
      </c>
      <c r="X130" s="204">
        <f t="shared" si="96"/>
        <v>1</v>
      </c>
      <c r="Y130" s="204">
        <f t="shared" si="94"/>
        <v>5.5500000000000001E-2</v>
      </c>
      <c r="Z130" s="204">
        <f t="shared" si="95"/>
        <v>23.3264</v>
      </c>
      <c r="AA130" s="204">
        <f t="shared" si="37"/>
        <v>23.270900000000001</v>
      </c>
      <c r="AB130" s="54" t="e">
        <f>VLOOKUP(A130,Enforcements!$C$7:$K$10,8,0)</f>
        <v>#N/A</v>
      </c>
      <c r="AC130" s="51" t="e">
        <f>VLOOKUP(A130,Enforcements!$C$7:$E$10,3,0)</f>
        <v>#N/A</v>
      </c>
      <c r="AD130" s="179">
        <f t="shared" si="38"/>
        <v>217</v>
      </c>
      <c r="AE130" s="77" t="str">
        <f t="shared" si="39"/>
        <v>aws s3 cp s3://rtdc.mdm.uploadarchive.raw/RTDC4050/ "%USERPROFILE%\AppData\Local\Temp\OnboardLogs"\RTDC4050\2017-11-01 --exclude "*" --recursive --include "*20171101*" &amp; "%USERPROFILE%\Documents\GitHub\mrs-test-scripts\Headless Mode &amp; Sideloading\WalkAndUnGZ.bat" "%USERPROFILE%\AppData\Local\Temp\OnboardLogs"\RTDC4050\2017-11-01 &amp; aws s3 cp s3://rtdc.mdm.uploadarchive.raw/RTDC4050/ "%USERPROFILE%\AppData\Local\Temp\OnboardLogs"\RTDC4050\2017-11-02 --exclude "*" --recursive --include "*20171102*" &amp; "%USERPROFILE%\Documents\GitHub\mrs-test-scripts\Headless Mode &amp; Sideloading\WalkAndUnGZ.bat" "%USERPROFILE%\AppData\Local\Temp\OnboardLogs"\RTDC4050\2017-11-02</v>
      </c>
      <c r="AF130" s="74" t="str">
        <f t="shared" si="40"/>
        <v>"C:\Program Files (x86)\AstroGrep\AstroGrep.exe" /e /r /s /spath="%USERPROFILE%\AppData\Local\Temp\OnboardLogs" /stypes="app*4050*20171102*" /stext=" 00:.+((SYSTEM_STATE.+slice.+state.+changed )|(ment ac)|(multiple cpu faults)|(system.+state.+changed )|(\[timeout)|(PRM\|1\|D)|(kpr)|(kdp)|(train st.+moving)|(\|lc)|(penalty))"</v>
      </c>
      <c r="AG130" s="182" t="str">
        <f t="shared" si="41"/>
        <v>EC</v>
      </c>
      <c r="AH130" s="78" t="str">
        <f t="shared" si="42"/>
        <v>"%USERPROFILE%\Documents\GitHub\eaglep3\Utilities\RefineRTDCRunTimes.py" --tripid 217-01 --locoid 4050 --swversion DE.1.0.9.0 --startMP 204:555 --initTime 2017-11-01T18:11:15 --startdatetime 2017-11-01T18:15:31 --delay 178 --endMP 204:233264 --enddatetime 2017-11-01T18:51:23 --enforcementcount 0 &gt;&gt;%USERPROFILE%\Documents\GitHub\eaglep3-reporting\EC\2017-11-01-refined-times.txt</v>
      </c>
      <c r="AI130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{"issue":{"subject":"","project_id":79,"tracker_id":40,"status_id":1,"priority_id":2,"assigned_to_id":338,"start_date":"2017-11-01","description":"","custom_fields":[{"id":1,"name":"Subdivision","value":"EC"},{"id":4,"name":"Milepost","value":"23.3264"},{"id":17,"name":"Train ID","value":"217-01"},{"id":16,"name":"Locomotive ID","value":"4050"},{"id":130,"name":"Impact","value":""},{"id":150,"name":"Time of Event (Mountain Time)","value":"18:51:23"},{"id":151,"name":"Denver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47"/>
      <c r="AL130" s="47"/>
      <c r="AM130" s="142" t="str">
        <f t="shared" si="44"/>
        <v>start /low /b %USERPROFILE%\Documents\GitHub\eaglep3\Utilities\DownloadLogsFromS3.py --loco 4050 --day 2017-11-01</v>
      </c>
      <c r="AN130" s="151" t="str">
        <f t="shared" si="45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00:51:23"},{"id":29,"name":"Sharepoint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46"/>
        <v>https://d0f6bd738d7f1b3e5a7ca70fe4ff75f0.us-east-1.aws.found.io/app/kibana#/discover/Steve-Slow-Train-Analysis-(2080s-and-2083s)?_g=(refreshInterval:(display:Off,pause:!f,section:0,value:0),time:(from:'2017-11-01T17:11:15-0600',mode:absolute,to:'2017-11-01T19:51:23-0600'))&amp;_a=(columns:!('Message%20ID',Summary),filters:!(),index:'emp_*',interval:auto,query:(query_string:(analyze_wildcard:!t,query:'%22rtdc.l.rtdc.4050%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835</v>
      </c>
      <c r="B131" s="7">
        <v>4049</v>
      </c>
      <c r="C131" s="21" t="s">
        <v>194</v>
      </c>
      <c r="D131" s="21" t="s">
        <v>959</v>
      </c>
      <c r="E131" s="13">
        <v>43040.794270833336</v>
      </c>
      <c r="F131" s="13">
        <v>43040.800312500003</v>
      </c>
      <c r="G131" s="7">
        <v>161</v>
      </c>
      <c r="H131" s="21" t="s">
        <v>445</v>
      </c>
      <c r="I131" s="13">
        <v>43040.826423611114</v>
      </c>
      <c r="J131" s="7">
        <v>0</v>
      </c>
      <c r="K131" s="89" t="str">
        <f t="shared" si="29"/>
        <v>4049/4050</v>
      </c>
      <c r="L131" s="185" t="str">
        <f>VLOOKUP(A131,'Trips&amp;Operators'!$C$1:$G$99911,5,FALSE)</f>
        <v>ANDREA WILLIAMS</v>
      </c>
      <c r="M131" s="6">
        <f t="shared" si="30"/>
        <v>2.6111111110367347E-2</v>
      </c>
      <c r="N131" s="7">
        <f t="shared" si="93"/>
        <v>37.599999998928979</v>
      </c>
      <c r="O131" s="7"/>
      <c r="P131" s="7"/>
      <c r="Q131" s="22"/>
      <c r="R131" s="174"/>
      <c r="S131" s="221">
        <f t="shared" si="31"/>
        <v>1</v>
      </c>
      <c r="T131" s="174" t="str">
        <f t="shared" si="32"/>
        <v>Southbound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 t="shared" si="33"/>
        <v>https://d0f6bd738d7f1b3e5a7ca70fe4ff75f0.us-east-1.aws.found.io/app/kibana#/discover/Steve-Slow-Train-Analysis-(2080s-and-2083s)?_g=(refreshInterval:(display:Off,pause:!f,section:0,value:0),time:(from:'2017-11-01T18:03:45-0600',mode:absolute,to:'2017-11-01T20:50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1" s="204" t="str">
        <f>IF(AA131&lt;VLOOKUP(AG131,Variables!$AC$3:$AD$8,2,FALSE),"Y","N")</f>
        <v>N</v>
      </c>
      <c r="X131" s="204">
        <f t="shared" si="96"/>
        <v>1</v>
      </c>
      <c r="Y131" s="204">
        <f t="shared" si="94"/>
        <v>23.294599999999999</v>
      </c>
      <c r="Z131" s="204">
        <f t="shared" si="95"/>
        <v>2.52E-2</v>
      </c>
      <c r="AA131" s="204">
        <f t="shared" si="37"/>
        <v>23.269399999999997</v>
      </c>
      <c r="AB131" s="54" t="e">
        <f>VLOOKUP(A131,Enforcements!$C$7:$K$10,8,0)</f>
        <v>#N/A</v>
      </c>
      <c r="AC131" s="51" t="e">
        <f>VLOOKUP(A131,Enforcements!$C$7:$E$10,3,0)</f>
        <v>#N/A</v>
      </c>
      <c r="AD131" s="179">
        <f t="shared" si="38"/>
        <v>218</v>
      </c>
      <c r="AE131" s="77" t="str">
        <f t="shared" si="39"/>
        <v>aws s3 cp s3://rtdc.mdm.uploadarchive.raw/RTDC4049/ "%USERPROFILE%\AppData\Local\Temp\OnboardLogs"\RTDC4049\2017-11-01 --exclude "*" --recursive --include "*20171101*" &amp; "%USERPROFILE%\Documents\GitHub\mrs-test-scripts\Headless Mode &amp; Sideloading\WalkAndUnGZ.bat" "%USERPROFILE%\AppData\Local\Temp\OnboardLogs"\RTDC4049\2017-11-01 &amp; aws s3 cp s3://rtdc.mdm.uploadarchive.raw/RTDC4049/ "%USERPROFILE%\AppData\Local\Temp\OnboardLogs"\RTDC4049\2017-11-02 --exclude "*" --recursive --include "*20171102*" &amp; "%USERPROFILE%\Documents\GitHub\mrs-test-scripts\Headless Mode &amp; Sideloading\WalkAndUnGZ.bat" "%USERPROFILE%\AppData\Local\Temp\OnboardLogs"\RTDC4049\2017-11-02</v>
      </c>
      <c r="AF131" s="74" t="str">
        <f t="shared" si="40"/>
        <v>"C:\Program Files (x86)\AstroGrep\AstroGrep.exe" /e /r /s /spath="%USERPROFILE%\AppData\Local\Temp\OnboardLogs" /stypes="app*4049*20171102*" /stext=" 01:.+((SYSTEM_STATE.+slice.+state.+changed )|(ment ac)|(multiple cpu faults)|(system.+state.+changed )|(\[timeout)|(PRM\|1\|D)|(kpr)|(kdp)|(train st.+moving)|(\|lc)|(penalty))"</v>
      </c>
      <c r="AG131" s="182" t="str">
        <f t="shared" si="41"/>
        <v>EC</v>
      </c>
      <c r="AH131" s="78" t="str">
        <f t="shared" si="42"/>
        <v>"%USERPROFILE%\Documents\GitHub\eaglep3\Utilities\RefineRTDCRunTimes.py" --tripid 218-01 --locoid 4049 --swversion DE.1.0.9.0 --startMP 204:232946 --initTime 2017-11-01T19:03:45 --startdatetime 2017-11-01T19:12:27 --delay 161 --endMP 204:252 --enddatetime 2017-11-01T19:50:03 --enforcementcount 0 &gt;&gt;%USERPROFILE%\Documents\GitHub\eaglep3-reporting\EC\2017-11-01-refined-times.txt</v>
      </c>
      <c r="AI131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{"issue":{"subject":"","project_id":79,"tracker_id":40,"status_id":1,"priority_id":2,"assigned_to_id":338,"start_date":"2017-11-01","description":"","custom_fields":[{"id":1,"name":"Subdivision","value":"EC"},{"id":4,"name":"Milepost","value":"0.0252"},{"id":17,"name":"Train ID","value":"218-01"},{"id":16,"name":"Locomotive ID","value":"4049"},{"id":130,"name":"Impact","value":""},{"id":150,"name":"Time of Event (Mountain Time)","value":"19:50:03"},{"id":151,"name":"Denver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47"/>
      <c r="AL131" s="47"/>
      <c r="AM131" s="142" t="str">
        <f t="shared" si="44"/>
        <v>start /low /b %USERPROFILE%\Documents\GitHub\eaglep3\Utilities\DownloadLogsFromS3.py --loco 4049 --day 2017-11-01</v>
      </c>
      <c r="AN131" s="151" t="str">
        <f t="shared" si="45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01:50:03"},{"id":29,"name":"Sharepoint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46"/>
        <v>https://d0f6bd738d7f1b3e5a7ca70fe4ff75f0.us-east-1.aws.found.io/app/kibana#/discover/Steve-Slow-Train-Analysis-(2080s-and-2083s)?_g=(refreshInterval:(display:Off,pause:!f,section:0,value:0),time:(from:'2017-11-01T18:03:45-0600',mode:absolute,to:'2017-11-01T20:50:03-0600'))&amp;_a=(columns:!('Message%20ID',Summary),filters:!(),index:'emp_*',interval:auto,query:(query_string:(analyze_wildcard:!t,query:'%22rtdc.l.rtdc.4049%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825</v>
      </c>
      <c r="B132" s="7">
        <v>4054</v>
      </c>
      <c r="C132" s="21" t="s">
        <v>194</v>
      </c>
      <c r="D132" s="21" t="s">
        <v>959</v>
      </c>
      <c r="E132" s="13">
        <v>43040.794270833336</v>
      </c>
      <c r="F132" s="13">
        <v>43040.771006944444</v>
      </c>
      <c r="G132" s="7">
        <v>161</v>
      </c>
      <c r="H132" s="21" t="s">
        <v>445</v>
      </c>
      <c r="I132" s="13">
        <v>43040.795381944445</v>
      </c>
      <c r="J132" s="7">
        <v>0</v>
      </c>
      <c r="K132" s="89" t="str">
        <f t="shared" ref="K132" si="112">IF(ISEVEN(B132),(B132-1)&amp;"/"&amp;B132,B132&amp;"/"&amp;(B132+1))</f>
        <v>4053/4054</v>
      </c>
      <c r="L132" s="185" t="str">
        <f>VLOOKUP(A132,'Trips&amp;Operators'!$C$1:$G$99911,5,FALSE)</f>
        <v>MCREYNOLDS KYLE</v>
      </c>
      <c r="M132" s="6">
        <f t="shared" ref="M132" si="113">I132-F132</f>
        <v>2.4375000000873115E-2</v>
      </c>
      <c r="N132" s="7">
        <f t="shared" si="93"/>
        <v>35.100000001257285</v>
      </c>
      <c r="O132" s="7"/>
      <c r="P132" s="7"/>
      <c r="Q132" s="22"/>
      <c r="R132" s="174"/>
      <c r="S132" s="221">
        <f t="shared" ref="S132" si="114">1/IF(AG132="EC",12,1)*SUM(U132:U132)</f>
        <v>1</v>
      </c>
      <c r="T132" s="174" t="str">
        <f t="shared" ref="T132" si="115">IF(ISEVEN(LEFT(AD132,4)),"Southbound","NorthBound")</f>
        <v>NorthBound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 t="shared" ref="V132" si="116"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-11-01T18:03:45-0600',mode:absolute,to:'2017-11-01T20:05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2" s="204" t="str">
        <f>IF(AA132&lt;VLOOKUP(AG132,Variables!$AC$3:$AD$8,2,FALSE),"Y","N")</f>
        <v>N</v>
      </c>
      <c r="X132" s="204">
        <f t="shared" ref="X132" si="117">VALUE(LEFT(AD132,4))-VALUE(LEFT(AD131,4))</f>
        <v>1</v>
      </c>
      <c r="Y132" s="204">
        <v>5.5500000000000001E-2</v>
      </c>
      <c r="Z132" s="204">
        <v>23.3264</v>
      </c>
      <c r="AA132" s="204">
        <f t="shared" ref="AA132" si="118">ABS(Z132-Y132)</f>
        <v>23.270900000000001</v>
      </c>
      <c r="AB132" s="54" t="e">
        <f>VLOOKUP(A132,Enforcements!$C$7:$K$10,8,0)</f>
        <v>#N/A</v>
      </c>
      <c r="AC132" s="51" t="e">
        <f>VLOOKUP(A132,Enforcements!$C$7:$E$10,3,0)</f>
        <v>#N/A</v>
      </c>
      <c r="AD132" s="179">
        <f t="shared" ref="AD132" si="119">VALUE(LEFT(A132,LEN(A132)-3))</f>
        <v>219</v>
      </c>
      <c r="AE132" s="77" t="str">
        <f t="shared" ref="AE132" si="120"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s3://rtdc.mdm.uploadarchive.raw/RTDC4054/ "%USERPROFILE%\AppData\Local\Temp\OnboardLogs"\RTDC4054\2017-11-01 --exclude "*" --recursive --include "*20171101*" &amp; "%USERPROFILE%\Documents\GitHub\mrs-test-scripts\Headless Mode &amp; Sideloading\WalkAndUnGZ.bat" "%USERPROFILE%\AppData\Local\Temp\OnboardLogs"\RTDC4054\2017-11-01 &amp; aws s3 cp s3://rtdc.mdm.uploadarchive.raw/RTDC4054/ "%USERPROFILE%\AppData\Local\Temp\OnboardLogs"\RTDC4054\2017-11-02 --exclude "*" --recursive --include "*20171102*" &amp; "%USERPROFILE%\Documents\GitHub\mrs-test-scripts\Headless Mode &amp; Sideloading\WalkAndUnGZ.bat" "%USERPROFILE%\AppData\Local\Temp\OnboardLogs"\RTDC4054\2017-11-02</v>
      </c>
      <c r="AF132" s="74" t="str">
        <f t="shared" ref="AF132" si="121"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/stypes="app*4054*20171102*" /stext=" 01:.+((SYSTEM_STATE.+slice.+state.+changed )|(ment ac)|(multiple cpu faults)|(system.+state.+changed )|(\[timeout)|(PRM\|1\|D)|(kpr)|(kdp)|(train st.+moving)|(\|lc)|(penalty))"</v>
      </c>
      <c r="AG132" s="182" t="str">
        <f t="shared" ref="AG132" si="122">DetSubdiv(A132)</f>
        <v>EC</v>
      </c>
      <c r="AH132" s="78" t="str">
        <f t="shared" ref="AH132" si="123">refinertdcruntimes&amp;" --tripid "&amp;A132&amp;" --locoid "&amp;B132&amp;" --swversion "&amp;C132&amp;" --startMP "&amp;D132&amp;" --initTime "&amp;TEXT(E132,"yyyy-mm-ddTHH:MM:SS")&amp;" --startdatetime "&amp;TEXT(F132,"yyyy-mm-ddTHH:MM:SS")&amp;" --delay "&amp;G132&amp;" --endMP "&amp;H132&amp;" --enddatetime "&amp;TEXT(I132,"yyyy-mm-ddTHH:MM:SS")&amp;" --enforcementcount "&amp;J132&amp;IF(outputrefinedruntimes," &gt;&gt;"&amp;RefinedRTDCRunTimesOutputFile,"")</f>
        <v>"%USERPROFILE%\Documents\GitHub\eaglep3\Utilities\RefineRTDCRunTimes.py" --tripid 219-01 --locoid 4054 --swversion DE.1.0.9.0 --startMP 204:232946 --initTime 2017-11-01T19:03:45 --startdatetime 2017-11-01T18:30:15 --delay 161 --endMP 204:252 --enddatetime 2017-11-01T19:05:21 --enforcementcount 0 &gt;&gt;%USERPROFILE%\Documents\GitHub\eaglep3-reporting\EC\2017-11-01-refined-times.txt</v>
      </c>
      <c r="AI132" s="96" t="str">
        <f t="shared" ref="AI132" si="124">"echo {""issue"":{""subject"":"""&amp;R132&amp;""",""project_id"":79,""tracker_id"":40,""status_id"":"&amp;redmine_status&amp;",""priority_id"":"&amp;redmine_priority&amp;",""assigned_to_id"":"&amp;redmine_assignee&amp;",""start_date"":"""&amp;TEXT(I132,"YYYY-mm-dd")&amp;""",""description"":"""&amp;AJ132&amp;""",""custom_fields"":[{""id"":1,""name"":""Subdivision"",""value"":"""&amp;AG132&amp;"""},{""id"":4,""name"":""Milepost"",""value"":"""&amp;Z132&amp;"""},{""id"":17,""name"":""Train ID"",""value"":"""&amp;A132&amp;"""},{""id"":16,""name"":""Locomotive ID"",""value"":"""&amp;B132&amp;"""},{""id"":130,""name"":""Impact"",""value"":"""&amp;AK132&amp;"""},{""id"":150,""name"":""Time of Event (Mountain Time)"",""value"":"""&amp;TEXT(I132,"hh:mm:ss")&amp;"""},{""id"":151,""name"":""Denver Issue ID"",""value"":"""&amp;"""},{""id"":178,""name"":""Operational Impact"",""value"":"""&amp;redmine_op_impact&amp;"""},{""id"":179,""name"":""Denver Segment Assigned"",""value"":"""&amp;AL132&amp;"""}]}}"&amp;"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{"issue":{"subject":"","project_id":79,"tracker_id":40,"status_id":1,"priority_id":2,"assigned_to_id":338,"start_date":"2017-11-01","description":"","custom_fields":[{"id":1,"name":"Subdivision","value":"EC"},{"id":4,"name":"Milepost","value":"23.3264"},{"id":17,"name":"Train ID","value":"219-01"},{"id":16,"name":"Locomotive ID","value":"4054"},{"id":130,"name":"Impact","value":""},{"id":150,"name":"Time of Event (Mountain Time)","value":"19:05:21"},{"id":151,"name":"Denver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47"/>
      <c r="AL132" s="47"/>
      <c r="AM132" s="142" t="str">
        <f t="shared" ref="AM132" si="125">"start /low /b "&amp;dls3logs&amp;" --loco "&amp;B132&amp;" --day "&amp;TEXT(F132,"YYYY-MM-DD")</f>
        <v>start /low /b %USERPROFILE%\Documents\GitHub\eaglep3\Utilities\DownloadLogsFromS3.py --loco 4054 --day 2017-11-01</v>
      </c>
      <c r="AN132" s="151" t="str">
        <f t="shared" ref="AN132" si="126">"echo {""issue"":{""subject"":"""&amp;R132&amp;""",""project_id"":30,""tracker_id"":4,""status_id"":"&amp;redmine_status_wcr&amp;",""priority_id"":"&amp;redmine_priority_wcr&amp;",""assigned_to_id"":"&amp;redmine_assignee_wcr&amp;",""start_date"":"""&amp;TEXT(I132-utc_offset/24,"YYYY-mm-dd")&amp;""",""description"":"""&amp;AJ132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01:05:21"},{"id":29,"name":"Sharepoint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ref="AO132" si="127"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Message%20ID',Summary),filters:!(),index:'emp_*',interval:auto,query:"&amp;"(query_string:(analyze_wildcard:!t,query:'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-11-01T18:03:45-0600',mode:absolute,to:'2017-11-01T20:05:21-0600'))&amp;_a=(columns:!('Message%20ID',Summary),filters:!(),index:'emp_*',interval:auto,query:(query_string:(analyze_wildcard:!t,query:'%22rtdc.l.rtdc.4054%22')),sort:!(Time.ISO8601,asc))</v>
      </c>
    </row>
    <row r="133" spans="1:91" s="20" customFormat="1" x14ac:dyDescent="0.25">
      <c r="A133" s="32" t="s">
        <v>837</v>
      </c>
      <c r="B133" s="7">
        <v>4053</v>
      </c>
      <c r="C133" s="21" t="s">
        <v>194</v>
      </c>
      <c r="D133" s="21" t="s">
        <v>959</v>
      </c>
      <c r="E133" s="13">
        <v>43040.794270833336</v>
      </c>
      <c r="F133" s="13">
        <v>43040.810671296298</v>
      </c>
      <c r="G133" s="7">
        <v>161</v>
      </c>
      <c r="H133" s="21" t="s">
        <v>445</v>
      </c>
      <c r="I133" s="13">
        <v>43040.837604166663</v>
      </c>
      <c r="J133" s="7">
        <v>0</v>
      </c>
      <c r="K133" s="89" t="str">
        <f t="shared" ref="K133" si="128">IF(ISEVEN(B133),(B133-1)&amp;"/"&amp;B133,B133&amp;"/"&amp;(B133+1))</f>
        <v>4053/4054</v>
      </c>
      <c r="L133" s="185" t="str">
        <f>VLOOKUP(A133,'Trips&amp;Operators'!$C$1:$G$99911,5,FALSE)</f>
        <v>MCREYNOLDS KYLE</v>
      </c>
      <c r="M133" s="6">
        <f t="shared" ref="M133" si="129">I133-F133</f>
        <v>2.693287036527181E-2</v>
      </c>
      <c r="N133" s="7">
        <f t="shared" si="93"/>
        <v>38.783333325991407</v>
      </c>
      <c r="O133" s="7"/>
      <c r="P133" s="7"/>
      <c r="Q133" s="22"/>
      <c r="R133" s="174"/>
      <c r="S133" s="221">
        <f t="shared" ref="S133" si="130">1/IF(AG133="EC",12,1)*SUM(U133:U133)</f>
        <v>1</v>
      </c>
      <c r="T133" s="174" t="str">
        <f t="shared" ref="T133" si="131">IF(ISEVEN(LEFT(AD133,4)),"Southbound","NorthBound")</f>
        <v>Southbound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 t="shared" ref="V133" si="132"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-11-01T18:03:45-0600',mode:absolute,to:'2017-11-01T21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3" s="204" t="str">
        <f>IF(AA133&lt;VLOOKUP(AG133,Variables!$AC$3:$AD$8,2,FALSE),"Y","N")</f>
        <v>N</v>
      </c>
      <c r="X133" s="204">
        <f t="shared" ref="X133:X134" si="133">VALUE(LEFT(AD133,4))-VALUE(LEFT(AD132,4))</f>
        <v>1</v>
      </c>
      <c r="Y133" s="204">
        <v>23.294599999999999</v>
      </c>
      <c r="Z133" s="204">
        <v>2.52E-2</v>
      </c>
      <c r="AA133" s="204">
        <f t="shared" ref="AA133" si="134">ABS(Z133-Y133)</f>
        <v>23.269399999999997</v>
      </c>
      <c r="AB133" s="54" t="e">
        <f>VLOOKUP(A133,Enforcements!$C$7:$K$10,8,0)</f>
        <v>#N/A</v>
      </c>
      <c r="AC133" s="51" t="e">
        <f>VLOOKUP(A133,Enforcements!$C$7:$E$10,3,0)</f>
        <v>#N/A</v>
      </c>
      <c r="AD133" s="179">
        <f t="shared" ref="AD133" si="135">VALUE(LEFT(A133,LEN(A133)-3))</f>
        <v>220</v>
      </c>
      <c r="AE133" s="77" t="str">
        <f t="shared" ref="AE133" si="136"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s3://rtdc.mdm.uploadarchive.raw/RTDC4053/ "%USERPROFILE%\AppData\Local\Temp\OnboardLogs"\RTDC4053\2017-11-01 --exclude "*" --recursive --include "*20171101*" &amp; "%USERPROFILE%\Documents\GitHub\mrs-test-scripts\Headless Mode &amp; Sideloading\WalkAndUnGZ.bat" "%USERPROFILE%\AppData\Local\Temp\OnboardLogs"\RTDC4053\2017-11-01 &amp; aws s3 cp s3://rtdc.mdm.uploadarchive.raw/RTDC4053/ "%USERPROFILE%\AppData\Local\Temp\OnboardLogs"\RTDC4053\2017-11-02 --exclude "*" --recursive --include "*20171102*" &amp; "%USERPROFILE%\Documents\GitHub\mrs-test-scripts\Headless Mode &amp; Sideloading\WalkAndUnGZ.bat" "%USERPROFILE%\AppData\Local\Temp\OnboardLogs"\RTDC4053\2017-11-02</v>
      </c>
      <c r="AF133" s="74" t="str">
        <f t="shared" ref="AF133" si="137"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/stypes="app*4053*20171102*" /stext=" 02:.+((SYSTEM_STATE.+slice.+state.+changed )|(ment ac)|(multiple cpu faults)|(system.+state.+changed )|(\[timeout)|(PRM\|1\|D)|(kpr)|(kdp)|(train st.+moving)|(\|lc)|(penalty))"</v>
      </c>
      <c r="AG133" s="182" t="str">
        <f t="shared" ref="AG133" si="138">DetSubdiv(A133)</f>
        <v>EC</v>
      </c>
      <c r="AH133" s="78" t="str">
        <f t="shared" ref="AH133" si="139">refinertdcruntimes&amp;" --tripid "&amp;A133&amp;" --locoid "&amp;B133&amp;" --swversion "&amp;C133&amp;" --startMP "&amp;D133&amp;" --initTime "&amp;TEXT(E133,"yyyy-mm-ddTHH:MM:SS")&amp;" --startdatetime "&amp;TEXT(F133,"yyyy-mm-ddTHH:MM:SS")&amp;" --delay "&amp;G133&amp;" --endMP "&amp;H133&amp;" --enddatetime "&amp;TEXT(I133,"yyyy-mm-ddTHH:MM:SS")&amp;" --enforcementcount "&amp;J133&amp;IF(outputrefinedruntimes," &gt;&gt;"&amp;RefinedRTDCRunTimesOutputFile,"")</f>
        <v>"%USERPROFILE%\Documents\GitHub\eaglep3\Utilities\RefineRTDCRunTimes.py" --tripid 220-01 --locoid 4053 --swversion DE.1.0.9.0 --startMP 204:232946 --initTime 2017-11-01T19:03:45 --startdatetime 2017-11-01T19:27:22 --delay 161 --endMP 204:252 --enddatetime 2017-11-01T20:06:09 --enforcementcount 0 &gt;&gt;%USERPROFILE%\Documents\GitHub\eaglep3-reporting\EC\2017-11-01-refined-times.txt</v>
      </c>
      <c r="AI133" s="96" t="str">
        <f t="shared" ref="AI133" si="140">"echo {""issue"":{""subject"":"""&amp;R133&amp;""",""project_id"":79,""tracker_id"":40,""status_id"":"&amp;redmine_status&amp;",""priority_id"":"&amp;redmine_priority&amp;",""assigned_to_id"":"&amp;redmine_assignee&amp;",""start_date"":"""&amp;TEXT(I133,"YYYY-mm-dd")&amp;""",""description"":"""&amp;AJ133&amp;""",""custom_fields"":[{""id"":1,""name"":""Subdivision"",""value"":"""&amp;AG133&amp;"""},{""id"":4,""name"":""Milepost"",""value"":"""&amp;Z133&amp;"""},{""id"":17,""name"":""Train ID"",""value"":"""&amp;A133&amp;"""},{""id"":16,""name"":""Locomotive ID"",""value"":"""&amp;B133&amp;"""},{""id"":130,""name"":""Impact"",""value"":"""&amp;AK133&amp;"""},{""id"":150,""name"":""Time of Event (Mountain Time)"",""value"":"""&amp;TEXT(I133,"hh:mm:ss")&amp;"""},{""id"":151,""name"":""Denver Issue ID"",""value"":"""&amp;"""},{""id"":178,""name"":""Operational Impact"",""value"":"""&amp;redmine_op_impact&amp;"""},{""id"":179,""name"":""Denver Segment Assigned"",""value"":"""&amp;AL133&amp;"""}]}}"&amp;"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{"issue":{"subject":"","project_id":79,"tracker_id":40,"status_id":1,"priority_id":2,"assigned_to_id":338,"start_date":"2017-11-01","description":"","custom_fields":[{"id":1,"name":"Subdivision","value":"EC"},{"id":4,"name":"Milepost","value":"0.0252"},{"id":17,"name":"Train ID","value":"220-01"},{"id":16,"name":"Locomotive ID","value":"4053"},{"id":130,"name":"Impact","value":""},{"id":150,"name":"Time of Event (Mountain Time)","value":"20:06:09"},{"id":151,"name":"Denver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47"/>
      <c r="AL133" s="47"/>
      <c r="AM133" s="142" t="str">
        <f t="shared" ref="AM133" si="141">"start /low /b "&amp;dls3logs&amp;" --loco "&amp;B133&amp;" --day "&amp;TEXT(F133,"YYYY-MM-DD")</f>
        <v>start /low /b %USERPROFILE%\Documents\GitHub\eaglep3\Utilities\DownloadLogsFromS3.py --loco 4053 --day 2017-11-01</v>
      </c>
      <c r="AN133" s="151" t="str">
        <f t="shared" ref="AN133" si="142">"echo {""issue"":{""subject"":"""&amp;R133&amp;""",""project_id"":30,""tracker_id"":4,""status_id"":"&amp;redmine_status_wcr&amp;",""priority_id"":"&amp;redmine_priority_wcr&amp;",""assigned_to_id"":"&amp;redmine_assignee_wcr&amp;",""start_date"":"""&amp;TEXT(I133-utc_offset/24,"YYYY-mm-dd")&amp;""",""description"":"""&amp;AJ133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02:06:09"},{"id":29,"name":"Sharepoint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ref="AO133" si="143"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Message%20ID',Summary),filters:!(),index:'emp_*',interval:auto,query:"&amp;"(query_string:(analyze_wildcard:!t,query:'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-11-01T18:03:45-0600',mode:absolute,to:'2017-11-01T21:06:09-0600'))&amp;_a=(columns:!('Message%20ID',Summary),filters:!(),index:'emp_*',interval:auto,query:(query_string:(analyze_wildcard:!t,query:'%22rtdc.l.rtdc.4053%22')),sort:!(Time.ISO8601,asc))</v>
      </c>
    </row>
    <row r="134" spans="1:91" s="20" customFormat="1" x14ac:dyDescent="0.25">
      <c r="A134" s="32" t="s">
        <v>832</v>
      </c>
      <c r="B134" s="7">
        <v>4064</v>
      </c>
      <c r="C134" s="21" t="s">
        <v>194</v>
      </c>
      <c r="D134" s="21" t="s">
        <v>570</v>
      </c>
      <c r="E134" s="13">
        <v>43040.787442129629</v>
      </c>
      <c r="F134" s="13">
        <v>43040.832916666666</v>
      </c>
      <c r="G134" s="7">
        <v>117</v>
      </c>
      <c r="H134" s="21" t="s">
        <v>960</v>
      </c>
      <c r="I134" s="13">
        <v>43040.861342592594</v>
      </c>
      <c r="J134" s="7">
        <v>0</v>
      </c>
      <c r="K134" s="89" t="str">
        <f t="shared" si="29"/>
        <v>4063/4064</v>
      </c>
      <c r="L134" s="185" t="str">
        <f>VLOOKUP(A134,'Trips&amp;Operators'!$C$1:$G$99911,5,FALSE)</f>
        <v>NICHOLSON WESLEY</v>
      </c>
      <c r="M134" s="6">
        <f t="shared" si="30"/>
        <v>2.842592592787696E-2</v>
      </c>
      <c r="N134" s="7">
        <f t="shared" si="93"/>
        <v>40.933333336142823</v>
      </c>
      <c r="O134" s="7"/>
      <c r="P134" s="7"/>
      <c r="Q134" s="22"/>
      <c r="R134" s="174"/>
      <c r="S134" s="221">
        <f t="shared" si="31"/>
        <v>1</v>
      </c>
      <c r="T134" s="174" t="str">
        <f t="shared" si="32"/>
        <v>NorthBound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 t="shared" si="33"/>
        <v>https://d0f6bd738d7f1b3e5a7ca70fe4ff75f0.us-east-1.aws.found.io/app/kibana#/discover/Steve-Slow-Train-Analysis-(2080s-and-2083s)?_g=(refreshInterval:(display:Off,pause:!f,section:0,value:0),time:(from:'2017-11-01T17:53:55-0600',mode:absolute,to:'2017-11-01T21:40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4" s="204" t="str">
        <f>IF(AA134&lt;VLOOKUP(AG134,Variables!$AC$3:$AD$8,2,FALSE),"Y","N")</f>
        <v>N</v>
      </c>
      <c r="X134" s="204">
        <f t="shared" si="133"/>
        <v>1</v>
      </c>
      <c r="Y134" s="204">
        <f t="shared" si="94"/>
        <v>4.9099999999999998E-2</v>
      </c>
      <c r="Z134" s="204">
        <f t="shared" si="95"/>
        <v>23.3188</v>
      </c>
      <c r="AA134" s="204">
        <f t="shared" si="37"/>
        <v>23.2697</v>
      </c>
      <c r="AB134" s="54" t="e">
        <f>VLOOKUP(A134,Enforcements!$C$7:$K$10,8,0)</f>
        <v>#N/A</v>
      </c>
      <c r="AC134" s="51" t="e">
        <f>VLOOKUP(A134,Enforcements!$C$7:$E$10,3,0)</f>
        <v>#N/A</v>
      </c>
      <c r="AD134" s="179">
        <f t="shared" si="38"/>
        <v>221</v>
      </c>
      <c r="AE134" s="77" t="str">
        <f t="shared" si="39"/>
        <v>aws s3 cp s3://rtdc.mdm.uploadarchive.raw/RTDC4064/ "%USERPROFILE%\AppData\Local\Temp\OnboardLogs"\RTDC4064\2017-11-01 --exclude "*" --recursive --include "*20171101*" &amp; "%USERPROFILE%\Documents\GitHub\mrs-test-scripts\Headless Mode &amp; Sideloading\WalkAndUnGZ.bat" "%USERPROFILE%\AppData\Local\Temp\OnboardLogs"\RTDC4064\2017-11-01 &amp; aws s3 cp s3://rtdc.mdm.uploadarchive.raw/RTDC4064/ "%USERPROFILE%\AppData\Local\Temp\OnboardLogs"\RTDC4064\2017-11-02 --exclude "*" --recursive --include "*20171102*" &amp; "%USERPROFILE%\Documents\GitHub\mrs-test-scripts\Headless Mode &amp; Sideloading\WalkAndUnGZ.bat" "%USERPROFILE%\AppData\Local\Temp\OnboardLogs"\RTDC4064\2017-11-02</v>
      </c>
      <c r="AF134" s="74" t="str">
        <f t="shared" si="40"/>
        <v>"C:\Program Files (x86)\AstroGrep\AstroGrep.exe" /e /r /s /spath="%USERPROFILE%\AppData\Local\Temp\OnboardLogs" /stypes="app*4064*20171102*" /stext=" 02:.+((SYSTEM_STATE.+slice.+state.+changed )|(ment ac)|(multiple cpu faults)|(system.+state.+changed )|(\[timeout)|(PRM\|1\|D)|(kpr)|(kdp)|(train st.+moving)|(\|lc)|(penalty))"</v>
      </c>
      <c r="AG134" s="182" t="str">
        <f t="shared" si="41"/>
        <v>EC</v>
      </c>
      <c r="AH134" s="78" t="str">
        <f t="shared" si="42"/>
        <v>"%USERPROFILE%\Documents\GitHub\eaglep3\Utilities\RefineRTDCRunTimes.py" --tripid 221-01 --locoid 4064 --swversion DE.1.0.9.0 --startMP 204:491 --initTime 2017-11-01T18:53:55 --startdatetime 2017-11-01T19:59:24 --delay 117 --endMP 204:233188 --enddatetime 2017-11-01T20:40:20 --enforcementcount 0 &gt;&gt;%USERPROFILE%\Documents\GitHub\eaglep3-reporting\EC\2017-11-01-refined-times.txt</v>
      </c>
      <c r="AI134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{"issue":{"subject":"","project_id":79,"tracker_id":40,"status_id":1,"priority_id":2,"assigned_to_id":338,"start_date":"2017-11-01","description":"","custom_fields":[{"id":1,"name":"Subdivision","value":"EC"},{"id":4,"name":"Milepost","value":"23.3188"},{"id":17,"name":"Train ID","value":"221-01"},{"id":16,"name":"Locomotive ID","value":"4064"},{"id":130,"name":"Impact","value":""},{"id":150,"name":"Time of Event (Mountain Time)","value":"20:40:20"},{"id":151,"name":"Denver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47"/>
      <c r="AL134" s="47"/>
      <c r="AM134" s="142" t="str">
        <f t="shared" si="44"/>
        <v>start /low /b %USERPROFILE%\Documents\GitHub\eaglep3\Utilities\DownloadLogsFromS3.py --loco 4064 --day 2017-11-01</v>
      </c>
      <c r="AN134" s="151" t="str">
        <f t="shared" si="45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02:40:20"},{"id":29,"name":"Sharepoint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46"/>
        <v>https://d0f6bd738d7f1b3e5a7ca70fe4ff75f0.us-east-1.aws.found.io/app/kibana#/discover/Steve-Slow-Train-Analysis-(2080s-and-2083s)?_g=(refreshInterval:(display:Off,pause:!f,section:0,value:0),time:(from:'2017-11-01T17:53:55-0600',mode:absolute,to:'2017-11-01T21:40:20-0600'))&amp;_a=(columns:!('Message%20ID',Summary),filters:!(),index:'emp_*',interval:auto,query:(query_string:(analyze_wildcard:!t,query:'%22rtdc.l.rtdc.4064%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841</v>
      </c>
      <c r="B135" s="7">
        <v>4063</v>
      </c>
      <c r="C135" s="21" t="s">
        <v>194</v>
      </c>
      <c r="D135" s="21" t="s">
        <v>961</v>
      </c>
      <c r="E135" s="13">
        <v>43040.83</v>
      </c>
      <c r="F135" s="13">
        <v>43040.832916666666</v>
      </c>
      <c r="G135" s="7">
        <v>61</v>
      </c>
      <c r="H135" s="21" t="s">
        <v>962</v>
      </c>
      <c r="I135" s="13">
        <v>43040.861342592594</v>
      </c>
      <c r="J135" s="7">
        <v>0</v>
      </c>
      <c r="K135" s="89" t="str">
        <f t="shared" si="29"/>
        <v>4063/4064</v>
      </c>
      <c r="L135" s="185" t="str">
        <f>VLOOKUP(A135,'Trips&amp;Operators'!$C$1:$G$99911,5,FALSE)</f>
        <v>NICHOLSON WESLEY</v>
      </c>
      <c r="M135" s="6">
        <f t="shared" si="30"/>
        <v>2.842592592787696E-2</v>
      </c>
      <c r="N135" s="7">
        <f t="shared" si="93"/>
        <v>40.933333336142823</v>
      </c>
      <c r="O135" s="7"/>
      <c r="P135" s="7"/>
      <c r="Q135" s="22"/>
      <c r="R135" s="174"/>
      <c r="S135" s="221">
        <f t="shared" si="31"/>
        <v>1</v>
      </c>
      <c r="T135" s="174" t="str">
        <f t="shared" si="32"/>
        <v>Southbound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 t="shared" si="33"/>
        <v>https://d0f6bd738d7f1b3e5a7ca70fe4ff75f0.us-east-1.aws.found.io/app/kibana#/discover/Steve-Slow-Train-Analysis-(2080s-and-2083s)?_g=(refreshInterval:(display:Off,pause:!f,section:0,value:0),time:(from:'2017-11-01T18:55:12-0600',mode:absolute,to:'2017-11-01T21:40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35" s="204" t="str">
        <f>IF(AA135&lt;VLOOKUP(AG135,Variables!$AC$3:$AD$8,2,FALSE),"Y","N")</f>
        <v>N</v>
      </c>
      <c r="X135" s="204">
        <f t="shared" si="96"/>
        <v>1</v>
      </c>
      <c r="Y135" s="204">
        <f t="shared" si="94"/>
        <v>23.285599999999999</v>
      </c>
      <c r="Z135" s="204">
        <f t="shared" si="95"/>
        <v>3.27E-2</v>
      </c>
      <c r="AA135" s="204">
        <f t="shared" si="37"/>
        <v>23.2529</v>
      </c>
      <c r="AB135" s="54" t="e">
        <f>VLOOKUP(A135,Enforcements!$C$7:$K$10,8,0)</f>
        <v>#N/A</v>
      </c>
      <c r="AC135" s="51" t="e">
        <f>VLOOKUP(A135,Enforcements!$C$7:$E$10,3,0)</f>
        <v>#N/A</v>
      </c>
      <c r="AD135" s="179">
        <f t="shared" si="38"/>
        <v>222</v>
      </c>
      <c r="AE135" s="77" t="str">
        <f t="shared" si="39"/>
        <v>aws s3 cp s3://rtdc.mdm.uploadarchive.raw/RTDC4063/ "%USERPROFILE%\AppData\Local\Temp\OnboardLogs"\RTDC4063\2017-11-01 --exclude "*" --recursive --include "*20171101*" &amp; "%USERPROFILE%\Documents\GitHub\mrs-test-scripts\Headless Mode &amp; Sideloading\WalkAndUnGZ.bat" "%USERPROFILE%\AppData\Local\Temp\OnboardLogs"\RTDC4063\2017-11-01 &amp; aws s3 cp s3://rtdc.mdm.uploadarchive.raw/RTDC4063/ "%USERPROFILE%\AppData\Local\Temp\OnboardLogs"\RTDC4063\2017-11-02 --exclude "*" --recursive --include "*20171102*" &amp; "%USERPROFILE%\Documents\GitHub\mrs-test-scripts\Headless Mode &amp; Sideloading\WalkAndUnGZ.bat" "%USERPROFILE%\AppData\Local\Temp\OnboardLogs"\RTDC4063\2017-11-02</v>
      </c>
      <c r="AF135" s="74" t="str">
        <f t="shared" si="40"/>
        <v>"C:\Program Files (x86)\AstroGrep\AstroGrep.exe" /e /r /s /spath="%USERPROFILE%\AppData\Local\Temp\OnboardLogs" /stypes="app*4063*20171102*" /stext=" 02:.+((SYSTEM_STATE.+slice.+state.+changed )|(ment ac)|(multiple cpu faults)|(system.+state.+changed )|(\[timeout)|(PRM\|1\|D)|(kpr)|(kdp)|(train st.+moving)|(\|lc)|(penalty))"</v>
      </c>
      <c r="AG135" s="182" t="str">
        <f t="shared" si="41"/>
        <v>EC</v>
      </c>
      <c r="AH135" s="78" t="str">
        <f t="shared" si="42"/>
        <v>"%USERPROFILE%\Documents\GitHub\eaglep3\Utilities\RefineRTDCRunTimes.py" --tripid 222-01 --locoid 4063 --swversion DE.1.0.9.0 --startMP 204:232856 --initTime 2017-11-01T19:55:12 --startdatetime 2017-11-01T19:59:24 --delay 61 --endMP 204:327 --enddatetime 2017-11-01T20:40:20 --enforcementcount 0 &gt;&gt;%USERPROFILE%\Documents\GitHub\eaglep3-reporting\EC\2017-11-01-refined-times.txt</v>
      </c>
      <c r="AI135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{"issue":{"subject":"","project_id":79,"tracker_id":40,"status_id":1,"priority_id":2,"assigned_to_id":338,"start_date":"2017-11-01","description":"","custom_fields":[{"id":1,"name":"Subdivision","value":"EC"},{"id":4,"name":"Milepost","value":"0.0327"},{"id":17,"name":"Train ID","value":"222-01"},{"id":16,"name":"Locomotive ID","value":"4063"},{"id":130,"name":"Impact","value":""},{"id":150,"name":"Time of Event (Mountain Time)","value":"20:40:20"},{"id":151,"name":"Denver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47"/>
      <c r="AL135" s="47"/>
      <c r="AM135" s="142" t="str">
        <f t="shared" si="44"/>
        <v>start /low /b %USERPROFILE%\Documents\GitHub\eaglep3\Utilities\DownloadLogsFromS3.py --loco 4063 --day 2017-11-01</v>
      </c>
      <c r="AN135" s="151" t="str">
        <f t="shared" si="45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02:40:20"},{"id":29,"name":"Sharepoint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46"/>
        <v>https://d0f6bd738d7f1b3e5a7ca70fe4ff75f0.us-east-1.aws.found.io/app/kibana#/discover/Steve-Slow-Train-Analysis-(2080s-and-2083s)?_g=(refreshInterval:(display:Off,pause:!f,section:0,value:0),time:(from:'2017-11-01T18:55:12-0600',mode:absolute,to:'2017-11-01T21:40:20-0600'))&amp;_a=(columns:!('Message%20ID',Summary),filters:!(),index:'emp_*',interval:auto,query:(query_string:(analyze_wildcard:!t,query:'%22rtdc.l.rtdc.4063%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839</v>
      </c>
      <c r="B136" s="7">
        <v>4028</v>
      </c>
      <c r="C136" s="21" t="s">
        <v>194</v>
      </c>
      <c r="D136" s="21" t="s">
        <v>947</v>
      </c>
      <c r="E136" s="13">
        <v>43040.813321759262</v>
      </c>
      <c r="F136" s="13">
        <v>43040.815358796295</v>
      </c>
      <c r="G136" s="7">
        <v>79</v>
      </c>
      <c r="H136" s="21" t="s">
        <v>938</v>
      </c>
      <c r="I136" s="13">
        <v>43040.841157407405</v>
      </c>
      <c r="J136" s="7">
        <v>0</v>
      </c>
      <c r="K136" s="89" t="str">
        <f t="shared" si="29"/>
        <v>4027/4028</v>
      </c>
      <c r="L136" s="185" t="str">
        <f>VLOOKUP(A136,'Trips&amp;Operators'!$C$1:$G$99911,5,FALSE)</f>
        <v>RESPASS AARON</v>
      </c>
      <c r="M136" s="6">
        <f t="shared" si="30"/>
        <v>2.5798611110076308E-2</v>
      </c>
      <c r="N136" s="7">
        <f t="shared" si="93"/>
        <v>37.149999998509884</v>
      </c>
      <c r="O136" s="7"/>
      <c r="P136" s="7"/>
      <c r="Q136" s="22"/>
      <c r="R136" s="174"/>
      <c r="S136" s="221">
        <f t="shared" si="31"/>
        <v>1</v>
      </c>
      <c r="T136" s="174" t="str">
        <f t="shared" si="32"/>
        <v>NorthBound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 t="shared" si="33"/>
        <v>https://d0f6bd738d7f1b3e5a7ca70fe4ff75f0.us-east-1.aws.found.io/app/kibana#/discover/Steve-Slow-Train-Analysis-(2080s-and-2083s)?_g=(refreshInterval:(display:Off,pause:!f,section:0,value:0),time:(from:'2017-11-01T18:31:11-0600',mode:absolute,to:'2017-11-01T21:11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6" s="204" t="str">
        <f>IF(AA136&lt;VLOOKUP(AG136,Variables!$AC$3:$AD$8,2,FALSE),"Y","N")</f>
        <v>N</v>
      </c>
      <c r="X136" s="204">
        <f t="shared" si="96"/>
        <v>1</v>
      </c>
      <c r="Y136" s="204">
        <f t="shared" si="94"/>
        <v>0.1152</v>
      </c>
      <c r="Z136" s="204">
        <f t="shared" si="95"/>
        <v>23.325299999999999</v>
      </c>
      <c r="AA136" s="204">
        <f t="shared" si="37"/>
        <v>23.210099999999997</v>
      </c>
      <c r="AB136" s="54" t="e">
        <f>VLOOKUP(A136,Enforcements!$C$7:$K$10,8,0)</f>
        <v>#N/A</v>
      </c>
      <c r="AC136" s="51" t="e">
        <f>VLOOKUP(A136,Enforcements!$C$7:$E$10,3,0)</f>
        <v>#N/A</v>
      </c>
      <c r="AD136" s="179">
        <f t="shared" si="38"/>
        <v>223</v>
      </c>
      <c r="AE136" s="77" t="str">
        <f t="shared" si="39"/>
        <v>aws s3 cp s3://rtdc.mdm.uploadarchive.raw/RTDC4028/ "%USERPROFILE%\AppData\Local\Temp\OnboardLogs"\RTDC4028\2017-11-01 --exclude "*" --recursive --include "*20171101*" &amp; "%USERPROFILE%\Documents\GitHub\mrs-test-scripts\Headless Mode &amp; Sideloading\WalkAndUnGZ.bat" "%USERPROFILE%\AppData\Local\Temp\OnboardLogs"\RTDC4028\2017-11-01 &amp; aws s3 cp s3://rtdc.mdm.uploadarchive.raw/RTDC4028/ "%USERPROFILE%\AppData\Local\Temp\OnboardLogs"\RTDC4028\2017-11-02 --exclude "*" --recursive --include "*20171102*" &amp; "%USERPROFILE%\Documents\GitHub\mrs-test-scripts\Headless Mode &amp; Sideloading\WalkAndUnGZ.bat" "%USERPROFILE%\AppData\Local\Temp\OnboardLogs"\RTDC4028\2017-11-02</v>
      </c>
      <c r="AF136" s="74" t="str">
        <f t="shared" si="40"/>
        <v>"C:\Program Files (x86)\AstroGrep\AstroGrep.exe" /e /r /s /spath="%USERPROFILE%\AppData\Local\Temp\OnboardLogs" /stypes="app*4028*20171102*" /stext=" 02:.+((SYSTEM_STATE.+slice.+state.+changed )|(ment ac)|(multiple cpu faults)|(system.+state.+changed )|(\[timeout)|(PRM\|1\|D)|(kpr)|(kdp)|(train st.+moving)|(\|lc)|(penalty))"</v>
      </c>
      <c r="AG136" s="182" t="str">
        <f t="shared" si="41"/>
        <v>EC</v>
      </c>
      <c r="AH136" s="78" t="str">
        <f t="shared" si="42"/>
        <v>"%USERPROFILE%\Documents\GitHub\eaglep3\Utilities\RefineRTDCRunTimes.py" --tripid 223-01 --locoid 4028 --swversion DE.1.0.9.0 --startMP 204:1152 --initTime 2017-11-01T19:31:11 --startdatetime 2017-11-01T19:34:07 --delay 79 --endMP 204:233253 --enddatetime 2017-11-01T20:11:16 --enforcementcount 0 &gt;&gt;%USERPROFILE%\Documents\GitHub\eaglep3-reporting\EC\2017-11-01-refined-times.txt</v>
      </c>
      <c r="AI136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{"issue":{"subject":"","project_id":79,"tracker_id":40,"status_id":1,"priority_id":2,"assigned_to_id":338,"start_date":"2017-11-01","description":"","custom_fields":[{"id":1,"name":"Subdivision","value":"EC"},{"id":4,"name":"Milepost","value":"23.3253"},{"id":17,"name":"Train ID","value":"223-01"},{"id":16,"name":"Locomotive ID","value":"4028"},{"id":130,"name":"Impact","value":""},{"id":150,"name":"Time of Event (Mountain Time)","value":"20:11:16"},{"id":151,"name":"Denver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47"/>
      <c r="AL136" s="47"/>
      <c r="AM136" s="142" t="str">
        <f t="shared" si="44"/>
        <v>start /low /b %USERPROFILE%\Documents\GitHub\eaglep3\Utilities\DownloadLogsFromS3.py --loco 4028 --day 2017-11-01</v>
      </c>
      <c r="AN136" s="151" t="str">
        <f t="shared" si="45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02:11:16"},{"id":29,"name":"Sharepoint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46"/>
        <v>https://d0f6bd738d7f1b3e5a7ca70fe4ff75f0.us-east-1.aws.found.io/app/kibana#/discover/Steve-Slow-Train-Analysis-(2080s-and-2083s)?_g=(refreshInterval:(display:Off,pause:!f,section:0,value:0),time:(from:'2017-11-01T18:31:11-0600',mode:absolute,to:'2017-11-01T21:11:16-0600'))&amp;_a=(columns:!('Message%20ID',Summary),filters:!(),index:'emp_*',interval:auto,query:(query_string:(analyze_wildcard:!t,query:'%22rtdc.l.rtdc.4028%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845</v>
      </c>
      <c r="B137" s="7">
        <v>4027</v>
      </c>
      <c r="C137" s="21" t="s">
        <v>194</v>
      </c>
      <c r="D137" s="21" t="s">
        <v>947</v>
      </c>
      <c r="E137" s="13">
        <v>43040.813321759262</v>
      </c>
      <c r="F137" s="13">
        <v>43040.852268518516</v>
      </c>
      <c r="G137" s="7">
        <v>79</v>
      </c>
      <c r="H137" s="21" t="s">
        <v>938</v>
      </c>
      <c r="I137" s="13">
        <v>43040.882025462961</v>
      </c>
      <c r="J137" s="7">
        <v>0</v>
      </c>
      <c r="K137" s="89" t="str">
        <f t="shared" ref="K137" si="144">IF(ISEVEN(B137),(B137-1)&amp;"/"&amp;B137,B137&amp;"/"&amp;(B137+1))</f>
        <v>4027/4028</v>
      </c>
      <c r="L137" s="185" t="str">
        <f>VLOOKUP(A137,'Trips&amp;Operators'!$C$1:$G$99911,5,FALSE)</f>
        <v>RESPASS AARON</v>
      </c>
      <c r="M137" s="6">
        <f t="shared" ref="M137" si="145">I137-F137</f>
        <v>2.9756944444670808E-2</v>
      </c>
      <c r="N137" s="7">
        <f t="shared" si="93"/>
        <v>42.850000000325963</v>
      </c>
      <c r="O137" s="7"/>
      <c r="P137" s="7"/>
      <c r="Q137" s="22"/>
      <c r="R137" s="174"/>
      <c r="S137" s="221">
        <f t="shared" ref="S137" si="146">1/IF(AG137="EC",12,1)*SUM(U137:U137)</f>
        <v>1</v>
      </c>
      <c r="T137" s="174" t="str">
        <f t="shared" ref="T137" si="147">IF(ISEVEN(LEFT(AD137,4)),"Southbound","NorthBound")</f>
        <v>Southbound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 t="shared" ref="V137" si="148"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-11-01T18:31:11-0600',mode:absolute,to:'2017-11-01T22:10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7" s="204" t="str">
        <f>IF(AA137&lt;VLOOKUP(AG137,Variables!$AC$3:$AD$8,2,FALSE),"Y","N")</f>
        <v>N</v>
      </c>
      <c r="X137" s="204">
        <f t="shared" ref="X137:X140" si="149">VALUE(LEFT(AD137,4))-VALUE(LEFT(AD136,4))</f>
        <v>1</v>
      </c>
      <c r="Y137" s="204">
        <v>23.285599999999999</v>
      </c>
      <c r="Z137" s="204">
        <v>3.27E-2</v>
      </c>
      <c r="AA137" s="204">
        <f t="shared" ref="AA137" si="150">ABS(Z137-Y137)</f>
        <v>23.2529</v>
      </c>
      <c r="AB137" s="54" t="e">
        <f>VLOOKUP(A137,Enforcements!$C$7:$K$10,8,0)</f>
        <v>#N/A</v>
      </c>
      <c r="AC137" s="51" t="e">
        <f>VLOOKUP(A137,Enforcements!$C$7:$E$10,3,0)</f>
        <v>#N/A</v>
      </c>
      <c r="AD137" s="179">
        <f t="shared" ref="AD137" si="151">VALUE(LEFT(A137,LEN(A137)-3))</f>
        <v>224</v>
      </c>
      <c r="AE137" s="77" t="str">
        <f t="shared" ref="AE137" si="152"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s3://rtdc.mdm.uploadarchive.raw/RTDC4027/ "%USERPROFILE%\AppData\Local\Temp\OnboardLogs"\RTDC4027\2017-11-01 --exclude "*" --recursive --include "*20171101*" &amp; "%USERPROFILE%\Documents\GitHub\mrs-test-scripts\Headless Mode &amp; Sideloading\WalkAndUnGZ.bat" "%USERPROFILE%\AppData\Local\Temp\OnboardLogs"\RTDC4027\2017-11-01 &amp; aws s3 cp s3://rtdc.mdm.uploadarchive.raw/RTDC4027/ "%USERPROFILE%\AppData\Local\Temp\OnboardLogs"\RTDC4027\2017-11-02 --exclude "*" --recursive --include "*20171102*" &amp; "%USERPROFILE%\Documents\GitHub\mrs-test-scripts\Headless Mode &amp; Sideloading\WalkAndUnGZ.bat" "%USERPROFILE%\AppData\Local\Temp\OnboardLogs"\RTDC4027\2017-11-02</v>
      </c>
      <c r="AF137" s="74" t="str">
        <f t="shared" ref="AF137" si="153"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/stypes="app*4027*20171102*" /stext=" 03:.+((SYSTEM_STATE.+slice.+state.+changed )|(ment ac)|(multiple cpu faults)|(system.+state.+changed )|(\[timeout)|(PRM\|1\|D)|(kpr)|(kdp)|(train st.+moving)|(\|lc)|(penalty))"</v>
      </c>
      <c r="AG137" s="182" t="str">
        <f t="shared" ref="AG137" si="154">DetSubdiv(A137)</f>
        <v>EC</v>
      </c>
      <c r="AH137" s="78" t="str">
        <f t="shared" ref="AH137" si="155">refinertdcruntimes&amp;" --tripid "&amp;A137&amp;" --locoid "&amp;B137&amp;" --swversion "&amp;C137&amp;" --startMP "&amp;D137&amp;" --initTime "&amp;TEXT(E137,"yyyy-mm-ddTHH:MM:SS")&amp;" --startdatetime "&amp;TEXT(F137,"yyyy-mm-ddTHH:MM:SS")&amp;" --delay "&amp;G137&amp;" --endMP "&amp;H137&amp;" --enddatetime "&amp;TEXT(I137,"yyyy-mm-ddTHH:MM:SS")&amp;" --enforcementcount "&amp;J137&amp;IF(outputrefinedruntimes," &gt;&gt;"&amp;RefinedRTDCRunTimesOutputFile,"")</f>
        <v>"%USERPROFILE%\Documents\GitHub\eaglep3\Utilities\RefineRTDCRunTimes.py" --tripid 224-01 --locoid 4027 --swversion DE.1.0.9.0 --startMP 204:1152 --initTime 2017-11-01T19:31:11 --startdatetime 2017-11-01T20:27:16 --delay 79 --endMP 204:233253 --enddatetime 2017-11-01T21:10:07 --enforcementcount 0 &gt;&gt;%USERPROFILE%\Documents\GitHub\eaglep3-reporting\EC\2017-11-01-refined-times.txt</v>
      </c>
      <c r="AI137" s="96" t="str">
        <f t="shared" ref="AI137" si="156">"echo {""issue"":{""subject"":"""&amp;R137&amp;""",""project_id"":79,""tracker_id"":40,""status_id"":"&amp;redmine_status&amp;",""priority_id"":"&amp;redmine_priority&amp;",""assigned_to_id"":"&amp;redmine_assignee&amp;",""start_date"":"""&amp;TEXT(I137,"YYYY-mm-dd")&amp;""",""description"":"""&amp;AJ137&amp;""",""custom_fields"":[{""id"":1,""name"":""Subdivision"",""value"":"""&amp;AG137&amp;"""},{""id"":4,""name"":""Milepost"",""value"":"""&amp;Z137&amp;"""},{""id"":17,""name"":""Train ID"",""value"":"""&amp;A137&amp;"""},{""id"":16,""name"":""Locomotive ID"",""value"":"""&amp;B137&amp;"""},{""id"":130,""name"":""Impact"",""value"":"""&amp;AK137&amp;"""},{""id"":150,""name"":""Time of Event (Mountain Time)"",""value"":"""&amp;TEXT(I137,"hh:mm:ss")&amp;"""},{""id"":151,""name"":""Denver Issue ID"",""value"":"""&amp;"""},{""id"":178,""name"":""Operational Impact"",""value"":"""&amp;redmine_op_impact&amp;"""},{""id"":179,""name"":""Denver Segment Assigned"",""value"":"""&amp;AL137&amp;"""}]}}"&amp;"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{"issue":{"subject":"","project_id":79,"tracker_id":40,"status_id":1,"priority_id":2,"assigned_to_id":338,"start_date":"2017-11-01","description":"","custom_fields":[{"id":1,"name":"Subdivision","value":"EC"},{"id":4,"name":"Milepost","value":"0.0327"},{"id":17,"name":"Train ID","value":"224-01"},{"id":16,"name":"Locomotive ID","value":"4027"},{"id":130,"name":"Impact","value":""},{"id":150,"name":"Time of Event (Mountain Time)","value":"21:10:07"},{"id":151,"name":"Denver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47"/>
      <c r="AL137" s="47"/>
      <c r="AM137" s="142" t="str">
        <f t="shared" ref="AM137" si="157">"start /low /b "&amp;dls3logs&amp;" --loco "&amp;B137&amp;" --day "&amp;TEXT(F137,"YYYY-MM-DD")</f>
        <v>start /low /b %USERPROFILE%\Documents\GitHub\eaglep3\Utilities\DownloadLogsFromS3.py --loco 4027 --day 2017-11-01</v>
      </c>
      <c r="AN137" s="151" t="str">
        <f t="shared" ref="AN137" si="158">"echo {""issue"":{""subject"":"""&amp;R137&amp;""",""project_id"":30,""tracker_id"":4,""status_id"":"&amp;redmine_status_wcr&amp;",""priority_id"":"&amp;redmine_priority_wcr&amp;",""assigned_to_id"":"&amp;redmine_assignee_wcr&amp;",""start_date"":"""&amp;TEXT(I137-utc_offset/24,"YYYY-mm-dd")&amp;""",""description"":"""&amp;AJ137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03:10:07"},{"id":29,"name":"Sharepoint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ref="AO137" si="159"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Message%20ID',Summary),filters:!(),index:'emp_*',interval:auto,query:"&amp;"(query_string:(analyze_wildcard:!t,query:'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-11-01T18:31:11-0600',mode:absolute,to:'2017-11-01T22:10:07-0600'))&amp;_a=(columns:!('Message%20ID',Summary),filters:!(),index:'emp_*',interval:auto,query:(query_string:(analyze_wildcard:!t,query:'%22rtdc.l.rtdc.4027%22')),sort:!(Time.ISO8601,asc))</v>
      </c>
    </row>
    <row r="138" spans="1:91" s="20" customFormat="1" x14ac:dyDescent="0.25">
      <c r="A138" s="32" t="s">
        <v>842</v>
      </c>
      <c r="B138" s="7">
        <v>4050</v>
      </c>
      <c r="C138" s="21" t="s">
        <v>194</v>
      </c>
      <c r="D138" s="21" t="s">
        <v>586</v>
      </c>
      <c r="E138" s="13">
        <v>43040.830717592595</v>
      </c>
      <c r="F138" s="13">
        <v>43040.833599537036</v>
      </c>
      <c r="G138" s="7">
        <v>106</v>
      </c>
      <c r="H138" s="21" t="s">
        <v>444</v>
      </c>
      <c r="I138" s="13">
        <v>43040.858020833337</v>
      </c>
      <c r="J138" s="7">
        <v>0</v>
      </c>
      <c r="K138" s="89" t="str">
        <f t="shared" si="29"/>
        <v>4049/4050</v>
      </c>
      <c r="L138" s="185" t="str">
        <f>VLOOKUP(A138,'Trips&amp;Operators'!$C$1:$G$99911,5,FALSE)</f>
        <v>LOZA FIDEL</v>
      </c>
      <c r="M138" s="6">
        <f t="shared" si="30"/>
        <v>2.4421296300715767E-2</v>
      </c>
      <c r="N138" s="7">
        <f t="shared" si="93"/>
        <v>35.166666673030704</v>
      </c>
      <c r="O138" s="7"/>
      <c r="P138" s="7"/>
      <c r="Q138" s="22"/>
      <c r="R138" s="174"/>
      <c r="S138" s="221">
        <f t="shared" si="31"/>
        <v>1</v>
      </c>
      <c r="T138" s="174" t="str">
        <f t="shared" si="32"/>
        <v>NorthBound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 t="shared" si="33"/>
        <v>https://d0f6bd738d7f1b3e5a7ca70fe4ff75f0.us-east-1.aws.found.io/app/kibana#/discover/Steve-Slow-Train-Analysis-(2080s-and-2083s)?_g=(refreshInterval:(display:Off,pause:!f,section:0,value:0),time:(from:'2017-11-01T18:56:14-0600',mode:absolute,to:'2017-11-01T21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8" s="204" t="str">
        <f>IF(AA138&lt;VLOOKUP(AG138,Variables!$AC$3:$AD$8,2,FALSE),"Y","N")</f>
        <v>N</v>
      </c>
      <c r="X138" s="204">
        <f t="shared" si="149"/>
        <v>1</v>
      </c>
      <c r="Y138" s="204">
        <f t="shared" si="94"/>
        <v>5.6399999999999999E-2</v>
      </c>
      <c r="Z138" s="204">
        <f t="shared" si="95"/>
        <v>23.3263</v>
      </c>
      <c r="AA138" s="204">
        <f t="shared" si="37"/>
        <v>23.2699</v>
      </c>
      <c r="AB138" s="54" t="e">
        <f>VLOOKUP(A138,Enforcements!$C$7:$K$10,8,0)</f>
        <v>#N/A</v>
      </c>
      <c r="AC138" s="51" t="e">
        <f>VLOOKUP(A138,Enforcements!$C$7:$E$10,3,0)</f>
        <v>#N/A</v>
      </c>
      <c r="AD138" s="179">
        <f t="shared" si="38"/>
        <v>225</v>
      </c>
      <c r="AE138" s="77" t="str">
        <f t="shared" si="39"/>
        <v>aws s3 cp s3://rtdc.mdm.uploadarchive.raw/RTDC4050/ "%USERPROFILE%\AppData\Local\Temp\OnboardLogs"\RTDC4050\2017-11-01 --exclude "*" --recursive --include "*20171101*" &amp; "%USERPROFILE%\Documents\GitHub\mrs-test-scripts\Headless Mode &amp; Sideloading\WalkAndUnGZ.bat" "%USERPROFILE%\AppData\Local\Temp\OnboardLogs"\RTDC4050\2017-11-01 &amp; aws s3 cp s3://rtdc.mdm.uploadarchive.raw/RTDC4050/ "%USERPROFILE%\AppData\Local\Temp\OnboardLogs"\RTDC4050\2017-11-02 --exclude "*" --recursive --include "*20171102*" &amp; "%USERPROFILE%\Documents\GitHub\mrs-test-scripts\Headless Mode &amp; Sideloading\WalkAndUnGZ.bat" "%USERPROFILE%\AppData\Local\Temp\OnboardLogs"\RTDC4050\2017-11-02</v>
      </c>
      <c r="AF138" s="74" t="str">
        <f t="shared" si="40"/>
        <v>"C:\Program Files (x86)\AstroGrep\AstroGrep.exe" /e /r /s /spath="%USERPROFILE%\AppData\Local\Temp\OnboardLogs" /stypes="app*4050*20171102*" /stext=" 02:.+((SYSTEM_STATE.+slice.+state.+changed )|(ment ac)|(multiple cpu faults)|(system.+state.+changed )|(\[timeout)|(PRM\|1\|D)|(kpr)|(kdp)|(train st.+moving)|(\|lc)|(penalty))"</v>
      </c>
      <c r="AG138" s="182" t="str">
        <f t="shared" si="41"/>
        <v>EC</v>
      </c>
      <c r="AH138" s="78" t="str">
        <f t="shared" si="42"/>
        <v>"%USERPROFILE%\Documents\GitHub\eaglep3\Utilities\RefineRTDCRunTimes.py" --tripid 225-01 --locoid 4050 --swversion DE.1.0.9.0 --startMP 204:564 --initTime 2017-11-01T19:56:14 --startdatetime 2017-11-01T20:00:23 --delay 106 --endMP 204:233263 --enddatetime 2017-11-01T20:35:33 --enforcementcount 0 &gt;&gt;%USERPROFILE%\Documents\GitHub\eaglep3-reporting\EC\2017-11-01-refined-times.txt</v>
      </c>
      <c r="AI138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{"issue":{"subject":"","project_id":79,"tracker_id":40,"status_id":1,"priority_id":2,"assigned_to_id":338,"start_date":"2017-11-01","description":"","custom_fields":[{"id":1,"name":"Subdivision","value":"EC"},{"id":4,"name":"Milepost","value":"23.3263"},{"id":17,"name":"Train ID","value":"225-01"},{"id":16,"name":"Locomotive ID","value":"4050"},{"id":130,"name":"Impact","value":""},{"id":150,"name":"Time of Event (Mountain Time)","value":"20:35:33"},{"id":151,"name":"Denver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47"/>
      <c r="AL138" s="47"/>
      <c r="AM138" s="142" t="str">
        <f t="shared" si="44"/>
        <v>start /low /b %USERPROFILE%\Documents\GitHub\eaglep3\Utilities\DownloadLogsFromS3.py --loco 4050 --day 2017-11-01</v>
      </c>
      <c r="AN138" s="151" t="str">
        <f t="shared" si="45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02:35:33"},{"id":29,"name":"Sharepoint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46"/>
        <v>https://d0f6bd738d7f1b3e5a7ca70fe4ff75f0.us-east-1.aws.found.io/app/kibana#/discover/Steve-Slow-Train-Analysis-(2080s-and-2083s)?_g=(refreshInterval:(display:Off,pause:!f,section:0,value:0),time:(from:'2017-11-01T18:56:14-0600',mode:absolute,to:'2017-11-01T21:35:33-0600'))&amp;_a=(columns:!('Message%20ID',Summary),filters:!(),index:'emp_*',interval:auto,query:(query_string:(analyze_wildcard:!t,query:'%22rtdc.l.rtdc.4050%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847</v>
      </c>
      <c r="B139" s="7">
        <v>4049</v>
      </c>
      <c r="C139" s="21" t="s">
        <v>194</v>
      </c>
      <c r="D139" s="21" t="s">
        <v>963</v>
      </c>
      <c r="E139" s="13">
        <v>43040.871666666666</v>
      </c>
      <c r="F139" s="13">
        <v>43040.873217592591</v>
      </c>
      <c r="G139" s="7">
        <v>59</v>
      </c>
      <c r="H139" s="21" t="s">
        <v>964</v>
      </c>
      <c r="I139" s="13">
        <v>43040.902453703704</v>
      </c>
      <c r="J139" s="7">
        <v>0</v>
      </c>
      <c r="K139" s="89" t="str">
        <f t="shared" si="29"/>
        <v>4049/4050</v>
      </c>
      <c r="L139" s="185" t="str">
        <f>VLOOKUP(A139,'Trips&amp;Operators'!$C$1:$G$99911,5,FALSE)</f>
        <v>LOZA FIDEL</v>
      </c>
      <c r="M139" s="6">
        <f t="shared" si="30"/>
        <v>2.923611111327773E-2</v>
      </c>
      <c r="N139" s="7">
        <f t="shared" si="93"/>
        <v>42.100000003119931</v>
      </c>
      <c r="O139" s="7"/>
      <c r="P139" s="7"/>
      <c r="Q139" s="22"/>
      <c r="R139" s="174"/>
      <c r="S139" s="221">
        <f t="shared" si="31"/>
        <v>1</v>
      </c>
      <c r="T139" s="174" t="str">
        <f t="shared" si="32"/>
        <v>Southbound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 t="shared" si="33"/>
        <v>https://d0f6bd738d7f1b3e5a7ca70fe4ff75f0.us-east-1.aws.found.io/app/kibana#/discover/Steve-Slow-Train-Analysis-(2080s-and-2083s)?_g=(refreshInterval:(display:Off,pause:!f,section:0,value:0),time:(from:'2017-11-01T19:55:12-0600',mode:absolute,to:'2017-11-01T22:39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9" s="204" t="str">
        <f>IF(AA139&lt;VLOOKUP(AG139,Variables!$AC$3:$AD$8,2,FALSE),"Y","N")</f>
        <v>N</v>
      </c>
      <c r="X139" s="204">
        <f t="shared" si="149"/>
        <v>1</v>
      </c>
      <c r="Y139" s="204">
        <f t="shared" si="94"/>
        <v>23.2927</v>
      </c>
      <c r="Z139" s="204">
        <f t="shared" si="95"/>
        <v>1.9800000000000002E-2</v>
      </c>
      <c r="AA139" s="204">
        <f t="shared" si="37"/>
        <v>23.2729</v>
      </c>
      <c r="AB139" s="54" t="e">
        <f>VLOOKUP(A139,Enforcements!$C$7:$K$10,8,0)</f>
        <v>#N/A</v>
      </c>
      <c r="AC139" s="51" t="e">
        <f>VLOOKUP(A139,Enforcements!$C$7:$E$10,3,0)</f>
        <v>#N/A</v>
      </c>
      <c r="AD139" s="179">
        <f t="shared" si="38"/>
        <v>226</v>
      </c>
      <c r="AE139" s="77" t="str">
        <f t="shared" si="39"/>
        <v>aws s3 cp s3://rtdc.mdm.uploadarchive.raw/RTDC4049/ "%USERPROFILE%\AppData\Local\Temp\OnboardLogs"\RTDC4049\2017-11-01 --exclude "*" --recursive --include "*20171101*" &amp; "%USERPROFILE%\Documents\GitHub\mrs-test-scripts\Headless Mode &amp; Sideloading\WalkAndUnGZ.bat" "%USERPROFILE%\AppData\Local\Temp\OnboardLogs"\RTDC4049\2017-11-01 &amp; aws s3 cp s3://rtdc.mdm.uploadarchive.raw/RTDC4049/ "%USERPROFILE%\AppData\Local\Temp\OnboardLogs"\RTDC4049\2017-11-02 --exclude "*" --recursive --include "*20171102*" &amp; "%USERPROFILE%\Documents\GitHub\mrs-test-scripts\Headless Mode &amp; Sideloading\WalkAndUnGZ.bat" "%USERPROFILE%\AppData\Local\Temp\OnboardLogs"\RTDC4049\2017-11-02</v>
      </c>
      <c r="AF139" s="74" t="str">
        <f t="shared" si="40"/>
        <v>"C:\Program Files (x86)\AstroGrep\AstroGrep.exe" /e /r /s /spath="%USERPROFILE%\AppData\Local\Temp\OnboardLogs" /stypes="app*4049*20171102*" /stext=" 03:.+((SYSTEM_STATE.+slice.+state.+changed )|(ment ac)|(multiple cpu faults)|(system.+state.+changed )|(\[timeout)|(PRM\|1\|D)|(kpr)|(kdp)|(train st.+moving)|(\|lc)|(penalty))"</v>
      </c>
      <c r="AG139" s="182" t="str">
        <f t="shared" si="41"/>
        <v>EC</v>
      </c>
      <c r="AH139" s="78" t="str">
        <f t="shared" si="42"/>
        <v>"%USERPROFILE%\Documents\GitHub\eaglep3\Utilities\RefineRTDCRunTimes.py" --tripid 226-01 --locoid 4049 --swversion DE.1.0.9.0 --startMP 204:232927 --initTime 2017-11-01T20:55:12 --startdatetime 2017-11-01T20:57:26 --delay 59 --endMP 204:198 --enddatetime 2017-11-01T21:39:32 --enforcementcount 0 &gt;&gt;%USERPROFILE%\Documents\GitHub\eaglep3-reporting\EC\2017-11-01-refined-times.txt</v>
      </c>
      <c r="AI139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{"issue":{"subject":"","project_id":79,"tracker_id":40,"status_id":1,"priority_id":2,"assigned_to_id":338,"start_date":"2017-11-01","description":"","custom_fields":[{"id":1,"name":"Subdivision","value":"EC"},{"id":4,"name":"Milepost","value":"0.0198"},{"id":17,"name":"Train ID","value":"226-01"},{"id":16,"name":"Locomotive ID","value":"4049"},{"id":130,"name":"Impact","value":""},{"id":150,"name":"Time of Event (Mountain Time)","value":"21:39:32"},{"id":151,"name":"Denver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47"/>
      <c r="AL139" s="47"/>
      <c r="AM139" s="142" t="str">
        <f t="shared" si="44"/>
        <v>start /low /b %USERPROFILE%\Documents\GitHub\eaglep3\Utilities\DownloadLogsFromS3.py --loco 4049 --day 2017-11-01</v>
      </c>
      <c r="AN139" s="151" t="str">
        <f t="shared" si="45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03:39:32"},{"id":29,"name":"Sharepoint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46"/>
        <v>https://d0f6bd738d7f1b3e5a7ca70fe4ff75f0.us-east-1.aws.found.io/app/kibana#/discover/Steve-Slow-Train-Analysis-(2080s-and-2083s)?_g=(refreshInterval:(display:Off,pause:!f,section:0,value:0),time:(from:'2017-11-01T19:55:12-0600',mode:absolute,to:'2017-11-01T22:39:32-0600'))&amp;_a=(columns:!('Message%20ID',Summary),filters:!(),index:'emp_*',interval:auto,query:(query_string:(analyze_wildcard:!t,query:'%22rtdc.l.rtdc.4049%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844</v>
      </c>
      <c r="B140" s="7">
        <v>4054</v>
      </c>
      <c r="C140" s="21" t="s">
        <v>194</v>
      </c>
      <c r="D140" s="21" t="s">
        <v>965</v>
      </c>
      <c r="E140" s="13">
        <v>43040.849490740744</v>
      </c>
      <c r="F140" s="13">
        <v>43040.854351851849</v>
      </c>
      <c r="G140" s="7">
        <v>61</v>
      </c>
      <c r="H140" s="21" t="s">
        <v>447</v>
      </c>
      <c r="I140" s="13">
        <v>43040.878634259258</v>
      </c>
      <c r="J140" s="7">
        <v>0</v>
      </c>
      <c r="K140" s="89" t="str">
        <f t="shared" si="29"/>
        <v>4053/4054</v>
      </c>
      <c r="L140" s="185" t="str">
        <f>VLOOKUP(A140,'Trips&amp;Operators'!$C$1:$G$99911,5,FALSE)</f>
        <v>MCREYNOLDS KYLE</v>
      </c>
      <c r="M140" s="6">
        <f t="shared" si="30"/>
        <v>2.4282407408463769E-2</v>
      </c>
      <c r="N140" s="7">
        <f t="shared" si="93"/>
        <v>34.966666668187827</v>
      </c>
      <c r="O140" s="7"/>
      <c r="P140" s="7"/>
      <c r="Q140" s="22"/>
      <c r="R140" s="174"/>
      <c r="S140" s="221">
        <f t="shared" si="31"/>
        <v>1</v>
      </c>
      <c r="T140" s="174" t="str">
        <f t="shared" si="32"/>
        <v>NorthBound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 t="shared" si="33"/>
        <v>https://d0f6bd738d7f1b3e5a7ca70fe4ff75f0.us-east-1.aws.found.io/app/kibana#/discover/Steve-Slow-Train-Analysis-(2080s-and-2083s)?_g=(refreshInterval:(display:Off,pause:!f,section:0,value:0),time:(from:'2017-11-01T19:23:16-0600',mode:absolute,to:'2017-11-01T22:05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0" s="204" t="str">
        <f>IF(AA140&lt;VLOOKUP(AG140,Variables!$AC$3:$AD$8,2,FALSE),"Y","N")</f>
        <v>N</v>
      </c>
      <c r="X140" s="204">
        <f t="shared" si="149"/>
        <v>1</v>
      </c>
      <c r="Y140" s="204">
        <f t="shared" si="94"/>
        <v>6.5500000000000003E-2</v>
      </c>
      <c r="Z140" s="204">
        <f t="shared" si="95"/>
        <v>23.319299999999998</v>
      </c>
      <c r="AA140" s="204">
        <f t="shared" si="37"/>
        <v>23.253799999999998</v>
      </c>
      <c r="AB140" s="54" t="e">
        <f>VLOOKUP(A140,Enforcements!$C$7:$K$10,8,0)</f>
        <v>#N/A</v>
      </c>
      <c r="AC140" s="51" t="e">
        <f>VLOOKUP(A140,Enforcements!$C$7:$E$10,3,0)</f>
        <v>#N/A</v>
      </c>
      <c r="AD140" s="179">
        <f t="shared" si="38"/>
        <v>227</v>
      </c>
      <c r="AE140" s="77" t="str">
        <f t="shared" si="39"/>
        <v>aws s3 cp s3://rtdc.mdm.uploadarchive.raw/RTDC4054/ "%USERPROFILE%\AppData\Local\Temp\OnboardLogs"\RTDC4054\2017-11-01 --exclude "*" --recursive --include "*20171101*" &amp; "%USERPROFILE%\Documents\GitHub\mrs-test-scripts\Headless Mode &amp; Sideloading\WalkAndUnGZ.bat" "%USERPROFILE%\AppData\Local\Temp\OnboardLogs"\RTDC4054\2017-11-01 &amp; aws s3 cp s3://rtdc.mdm.uploadarchive.raw/RTDC4054/ "%USERPROFILE%\AppData\Local\Temp\OnboardLogs"\RTDC4054\2017-11-02 --exclude "*" --recursive --include "*20171102*" &amp; "%USERPROFILE%\Documents\GitHub\mrs-test-scripts\Headless Mode &amp; Sideloading\WalkAndUnGZ.bat" "%USERPROFILE%\AppData\Local\Temp\OnboardLogs"\RTDC4054\2017-11-02</v>
      </c>
      <c r="AF140" s="74" t="str">
        <f t="shared" si="40"/>
        <v>"C:\Program Files (x86)\AstroGrep\AstroGrep.exe" /e /r /s /spath="%USERPROFILE%\AppData\Local\Temp\OnboardLogs" /stypes="app*4054*20171102*" /stext=" 03:.+((SYSTEM_STATE.+slice.+state.+changed )|(ment ac)|(multiple cpu faults)|(system.+state.+changed )|(\[timeout)|(PRM\|1\|D)|(kpr)|(kdp)|(train st.+moving)|(\|lc)|(penalty))"</v>
      </c>
      <c r="AG140" s="182" t="str">
        <f t="shared" si="41"/>
        <v>EC</v>
      </c>
      <c r="AH140" s="78" t="str">
        <f t="shared" si="42"/>
        <v>"%USERPROFILE%\Documents\GitHub\eaglep3\Utilities\RefineRTDCRunTimes.py" --tripid 227-01 --locoid 4054 --swversion DE.1.0.9.0 --startMP 204:655 --initTime 2017-11-01T20:23:16 --startdatetime 2017-11-01T20:30:16 --delay 61 --endMP 204:233193 --enddatetime 2017-11-01T21:05:14 --enforcementcount 0 &gt;&gt;%USERPROFILE%\Documents\GitHub\eaglep3-reporting\EC\2017-11-01-refined-times.txt</v>
      </c>
      <c r="AI140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{"issue":{"subject":"","project_id":79,"tracker_id":40,"status_id":1,"priority_id":2,"assigned_to_id":338,"start_date":"2017-11-01","description":"","custom_fields":[{"id":1,"name":"Subdivision","value":"EC"},{"id":4,"name":"Milepost","value":"23.3193"},{"id":17,"name":"Train ID","value":"227-01"},{"id":16,"name":"Locomotive ID","value":"4054"},{"id":130,"name":"Impact","value":""},{"id":150,"name":"Time of Event (Mountain Time)","value":"21:05:14"},{"id":151,"name":"Denver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47"/>
      <c r="AL140" s="47"/>
      <c r="AM140" s="142" t="str">
        <f t="shared" si="44"/>
        <v>start /low /b %USERPROFILE%\Documents\GitHub\eaglep3\Utilities\DownloadLogsFromS3.py --loco 4054 --day 2017-11-01</v>
      </c>
      <c r="AN140" s="151" t="str">
        <f t="shared" si="45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03:05:14"},{"id":29,"name":"Sharepoint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si="46"/>
        <v>https://d0f6bd738d7f1b3e5a7ca70fe4ff75f0.us-east-1.aws.found.io/app/kibana#/discover/Steve-Slow-Train-Analysis-(2080s-and-2083s)?_g=(refreshInterval:(display:Off,pause:!f,section:0,value:0),time:(from:'2017-11-01T19:23:16-0600',mode:absolute,to:'2017-11-01T22:05:14-0600'))&amp;_a=(columns:!('Message%20ID',Summary),filters:!(),index:'emp_*',interval:auto,query:(query_string:(analyze_wildcard:!t,query:'%22rtdc.l.rtdc.4054%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850</v>
      </c>
      <c r="B141" s="7">
        <v>4053</v>
      </c>
      <c r="C141" s="21" t="s">
        <v>194</v>
      </c>
      <c r="D141" s="21" t="s">
        <v>911</v>
      </c>
      <c r="E141" s="13">
        <v>43040.888958333337</v>
      </c>
      <c r="F141" s="13">
        <v>43040.893935185188</v>
      </c>
      <c r="G141" s="7">
        <v>51</v>
      </c>
      <c r="H141" s="21" t="s">
        <v>575</v>
      </c>
      <c r="I141" s="13">
        <v>43040.923043981478</v>
      </c>
      <c r="J141" s="7">
        <v>0</v>
      </c>
      <c r="K141" s="89" t="str">
        <f t="shared" si="29"/>
        <v>4053/4054</v>
      </c>
      <c r="L141" s="185" t="str">
        <f>VLOOKUP(A141,'Trips&amp;Operators'!$C$1:$G$99911,5,FALSE)</f>
        <v>MCREYNOLDS KYLE</v>
      </c>
      <c r="M141" s="6">
        <f t="shared" si="30"/>
        <v>2.9108796290529426E-2</v>
      </c>
      <c r="N141" s="7">
        <f t="shared" si="93"/>
        <v>41.916666658362374</v>
      </c>
      <c r="O141" s="7"/>
      <c r="P141" s="7"/>
      <c r="Q141" s="22"/>
      <c r="R141" s="174"/>
      <c r="S141" s="221">
        <f t="shared" si="31"/>
        <v>1</v>
      </c>
      <c r="T141" s="174" t="str">
        <f t="shared" si="32"/>
        <v>Southbound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 t="shared" si="33"/>
        <v>https://d0f6bd738d7f1b3e5a7ca70fe4ff75f0.us-east-1.aws.found.io/app/kibana#/discover/Steve-Slow-Train-Analysis-(2080s-and-2083s)?_g=(refreshInterval:(display:Off,pause:!f,section:0,value:0),time:(from:'2017-11-01T20:20:06-0600',mode:absolute,to:'2017-11-01T23:09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1" s="204" t="str">
        <f>IF(AA141&lt;VLOOKUP(AG141,Variables!$AC$3:$AD$8,2,FALSE),"Y","N")</f>
        <v>N</v>
      </c>
      <c r="X141" s="204">
        <f t="shared" si="96"/>
        <v>1</v>
      </c>
      <c r="Y141" s="204">
        <f t="shared" si="94"/>
        <v>23.287700000000001</v>
      </c>
      <c r="Z141" s="204">
        <f t="shared" si="95"/>
        <v>2.6200000000000001E-2</v>
      </c>
      <c r="AA141" s="204">
        <f t="shared" si="37"/>
        <v>23.261500000000002</v>
      </c>
      <c r="AB141" s="54" t="e">
        <f>VLOOKUP(A141,Enforcements!$C$7:$K$10,8,0)</f>
        <v>#N/A</v>
      </c>
      <c r="AC141" s="51" t="e">
        <f>VLOOKUP(A141,Enforcements!$C$7:$E$10,3,0)</f>
        <v>#N/A</v>
      </c>
      <c r="AD141" s="179">
        <f t="shared" si="38"/>
        <v>228</v>
      </c>
      <c r="AE141" s="77" t="str">
        <f t="shared" si="39"/>
        <v>aws s3 cp s3://rtdc.mdm.uploadarchive.raw/RTDC4053/ "%USERPROFILE%\AppData\Local\Temp\OnboardLogs"\RTDC4053\2017-11-01 --exclude "*" --recursive --include "*20171101*" &amp; "%USERPROFILE%\Documents\GitHub\mrs-test-scripts\Headless Mode &amp; Sideloading\WalkAndUnGZ.bat" "%USERPROFILE%\AppData\Local\Temp\OnboardLogs"\RTDC4053\2017-11-01 &amp; aws s3 cp s3://rtdc.mdm.uploadarchive.raw/RTDC4053/ "%USERPROFILE%\AppData\Local\Temp\OnboardLogs"\RTDC4053\2017-11-02 --exclude "*" --recursive --include "*20171102*" &amp; "%USERPROFILE%\Documents\GitHub\mrs-test-scripts\Headless Mode &amp; Sideloading\WalkAndUnGZ.bat" "%USERPROFILE%\AppData\Local\Temp\OnboardLogs"\RTDC4053\2017-11-02</v>
      </c>
      <c r="AF141" s="74" t="str">
        <f t="shared" si="40"/>
        <v>"C:\Program Files (x86)\AstroGrep\AstroGrep.exe" /e /r /s /spath="%USERPROFILE%\AppData\Local\Temp\OnboardLogs" /stypes="app*4053*20171102*" /stext=" 04:.+((SYSTEM_STATE.+slice.+state.+changed )|(ment ac)|(multiple cpu faults)|(system.+state.+changed )|(\[timeout)|(PRM\|1\|D)|(kpr)|(kdp)|(train st.+moving)|(\|lc)|(penalty))"</v>
      </c>
      <c r="AG141" s="182" t="str">
        <f t="shared" si="41"/>
        <v>EC</v>
      </c>
      <c r="AH141" s="78" t="str">
        <f t="shared" si="42"/>
        <v>"%USERPROFILE%\Documents\GitHub\eaglep3\Utilities\RefineRTDCRunTimes.py" --tripid 228-01 --locoid 4053 --swversion DE.1.0.9.0 --startMP 204:232877 --initTime 2017-11-01T21:20:06 --startdatetime 2017-11-01T21:27:16 --delay 51 --endMP 204:262 --enddatetime 2017-11-01T22:09:11 --enforcementcount 0 &gt;&gt;%USERPROFILE%\Documents\GitHub\eaglep3-reporting\EC\2017-11-01-refined-times.txt</v>
      </c>
      <c r="AI141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{"issue":{"subject":"","project_id":79,"tracker_id":40,"status_id":1,"priority_id":2,"assigned_to_id":338,"start_date":"2017-11-01","description":"","custom_fields":[{"id":1,"name":"Subdivision","value":"EC"},{"id":4,"name":"Milepost","value":"0.0262"},{"id":17,"name":"Train ID","value":"228-01"},{"id":16,"name":"Locomotive ID","value":"4053"},{"id":130,"name":"Impact","value":""},{"id":150,"name":"Time of Event (Mountain Time)","value":"22:09:11"},{"id":151,"name":"Denver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47"/>
      <c r="AL141" s="47"/>
      <c r="AM141" s="142" t="str">
        <f t="shared" si="44"/>
        <v>start /low /b %USERPROFILE%\Documents\GitHub\eaglep3\Utilities\DownloadLogsFromS3.py --loco 4053 --day 2017-11-01</v>
      </c>
      <c r="AN141" s="151" t="str">
        <f t="shared" si="45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04:09:11"},{"id":29,"name":"Sharepoint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si="46"/>
        <v>https://d0f6bd738d7f1b3e5a7ca70fe4ff75f0.us-east-1.aws.found.io/app/kibana#/discover/Steve-Slow-Train-Analysis-(2080s-and-2083s)?_g=(refreshInterval:(display:Off,pause:!f,section:0,value:0),time:(from:'2017-11-01T20:20:06-0600',mode:absolute,to:'2017-11-01T23:09:11-0600'))&amp;_a=(columns:!('Message%20ID',Summary),filters:!(),index:'emp_*',interval:auto,query:(query_string:(analyze_wildcard:!t,query:'%22rtdc.l.rtdc.4053%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846</v>
      </c>
      <c r="B142" s="7">
        <v>4064</v>
      </c>
      <c r="C142" s="21" t="s">
        <v>194</v>
      </c>
      <c r="D142" s="21" t="s">
        <v>966</v>
      </c>
      <c r="E142" s="13">
        <v>43040.86478009259</v>
      </c>
      <c r="F142" s="13">
        <v>43040.875393518516</v>
      </c>
      <c r="G142" s="7">
        <v>293</v>
      </c>
      <c r="H142" s="21" t="s">
        <v>967</v>
      </c>
      <c r="I142" s="13">
        <v>43040.900949074072</v>
      </c>
      <c r="J142" s="7">
        <v>0</v>
      </c>
      <c r="K142" s="89" t="str">
        <f t="shared" si="29"/>
        <v>4063/4064</v>
      </c>
      <c r="L142" s="185" t="str">
        <f>VLOOKUP(A142,'Trips&amp;Operators'!$C$1:$G$99911,5,FALSE)</f>
        <v>NICHOLSON WESLEY</v>
      </c>
      <c r="M142" s="6">
        <f t="shared" si="30"/>
        <v>2.5555555555911269E-2</v>
      </c>
      <c r="N142" s="7">
        <f t="shared" si="93"/>
        <v>36.800000000512227</v>
      </c>
      <c r="O142" s="7"/>
      <c r="P142" s="7"/>
      <c r="Q142" s="22"/>
      <c r="R142" s="174"/>
      <c r="S142" s="221">
        <f t="shared" si="31"/>
        <v>1</v>
      </c>
      <c r="T142" s="174" t="str">
        <f t="shared" si="32"/>
        <v>NorthBound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 t="shared" si="33"/>
        <v>https://d0f6bd738d7f1b3e5a7ca70fe4ff75f0.us-east-1.aws.found.io/app/kibana#/discover/Steve-Slow-Train-Analysis-(2080s-and-2083s)?_g=(refreshInterval:(display:Off,pause:!f,section:0,value:0),time:(from:'2017-11-01T19:45:17-0600',mode:absolute,to:'2017-11-01T22:37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42" s="204" t="str">
        <f>IF(AA142&lt;VLOOKUP(AG142,Variables!$AC$3:$AD$8,2,FALSE),"Y","N")</f>
        <v>N</v>
      </c>
      <c r="X142" s="204">
        <f t="shared" si="96"/>
        <v>1</v>
      </c>
      <c r="Y142" s="204">
        <f t="shared" si="94"/>
        <v>6.2600000000000003E-2</v>
      </c>
      <c r="Z142" s="204">
        <f t="shared" si="95"/>
        <v>23.318200000000001</v>
      </c>
      <c r="AA142" s="204">
        <f t="shared" si="37"/>
        <v>23.255600000000001</v>
      </c>
      <c r="AB142" s="54" t="e">
        <f>VLOOKUP(A142,Enforcements!$C$7:$K$10,8,0)</f>
        <v>#N/A</v>
      </c>
      <c r="AC142" s="51" t="e">
        <f>VLOOKUP(A142,Enforcements!$C$7:$E$10,3,0)</f>
        <v>#N/A</v>
      </c>
      <c r="AD142" s="179">
        <f t="shared" si="38"/>
        <v>229</v>
      </c>
      <c r="AE142" s="77" t="str">
        <f t="shared" si="39"/>
        <v>aws s3 cp s3://rtdc.mdm.uploadarchive.raw/RTDC4064/ "%USERPROFILE%\AppData\Local\Temp\OnboardLogs"\RTDC4064\2017-11-01 --exclude "*" --recursive --include "*20171101*" &amp; "%USERPROFILE%\Documents\GitHub\mrs-test-scripts\Headless Mode &amp; Sideloading\WalkAndUnGZ.bat" "%USERPROFILE%\AppData\Local\Temp\OnboardLogs"\RTDC4064\2017-11-01 &amp; aws s3 cp s3://rtdc.mdm.uploadarchive.raw/RTDC4064/ "%USERPROFILE%\AppData\Local\Temp\OnboardLogs"\RTDC4064\2017-11-02 --exclude "*" --recursive --include "*20171102*" &amp; "%USERPROFILE%\Documents\GitHub\mrs-test-scripts\Headless Mode &amp; Sideloading\WalkAndUnGZ.bat" "%USERPROFILE%\AppData\Local\Temp\OnboardLogs"\RTDC4064\2017-11-02</v>
      </c>
      <c r="AF142" s="74" t="str">
        <f t="shared" si="40"/>
        <v>"C:\Program Files (x86)\AstroGrep\AstroGrep.exe" /e /r /s /spath="%USERPROFILE%\AppData\Local\Temp\OnboardLogs" /stypes="app*4064*20171102*" /stext=" 03:.+((SYSTEM_STATE.+slice.+state.+changed )|(ment ac)|(multiple cpu faults)|(system.+state.+changed )|(\[timeout)|(PRM\|1\|D)|(kpr)|(kdp)|(train st.+moving)|(\|lc)|(penalty))"</v>
      </c>
      <c r="AG142" s="182" t="str">
        <f t="shared" si="41"/>
        <v>EC</v>
      </c>
      <c r="AH142" s="78" t="str">
        <f t="shared" si="42"/>
        <v>"%USERPROFILE%\Documents\GitHub\eaglep3\Utilities\RefineRTDCRunTimes.py" --tripid 229-01 --locoid 4064 --swversion DE.1.0.9.0 --startMP 204:626 --initTime 2017-11-01T20:45:17 --startdatetime 2017-11-01T21:00:34 --delay 293 --endMP 204:233182 --enddatetime 2017-11-01T21:37:22 --enforcementcount 0 &gt;&gt;%USERPROFILE%\Documents\GitHub\eaglep3-reporting\EC\2017-11-01-refined-times.txt</v>
      </c>
      <c r="AI142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{"issue":{"subject":"","project_id":79,"tracker_id":40,"status_id":1,"priority_id":2,"assigned_to_id":338,"start_date":"2017-11-01","description":"","custom_fields":[{"id":1,"name":"Subdivision","value":"EC"},{"id":4,"name":"Milepost","value":"23.3182"},{"id":17,"name":"Train ID","value":"229-01"},{"id":16,"name":"Locomotive ID","value":"4064"},{"id":130,"name":"Impact","value":""},{"id":150,"name":"Time of Event (Mountain Time)","value":"21:37:22"},{"id":151,"name":"Denver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47"/>
      <c r="AL142" s="47"/>
      <c r="AM142" s="142" t="str">
        <f t="shared" si="44"/>
        <v>start /low /b %USERPROFILE%\Documents\GitHub\eaglep3\Utilities\DownloadLogsFromS3.py --loco 4064 --day 2017-11-01</v>
      </c>
      <c r="AN142" s="151" t="str">
        <f t="shared" si="45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03:37:22"},{"id":29,"name":"Sharepoint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si="46"/>
        <v>https://d0f6bd738d7f1b3e5a7ca70fe4ff75f0.us-east-1.aws.found.io/app/kibana#/discover/Steve-Slow-Train-Analysis-(2080s-and-2083s)?_g=(refreshInterval:(display:Off,pause:!f,section:0,value:0),time:(from:'2017-11-01T19:45:17-0600',mode:absolute,to:'2017-11-01T22:37:22-0600'))&amp;_a=(columns:!('Message%20ID',Summary),filters:!(),index:'emp_*',interval:auto,query:(query_string:(analyze_wildcard:!t,query:'%22rtdc.l.rtdc.4064%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851</v>
      </c>
      <c r="B143" s="7">
        <v>4063</v>
      </c>
      <c r="C143" s="21" t="s">
        <v>194</v>
      </c>
      <c r="D143" s="21" t="s">
        <v>966</v>
      </c>
      <c r="E143" s="13">
        <v>43040.86478009259</v>
      </c>
      <c r="F143" s="13">
        <v>43040.914814814816</v>
      </c>
      <c r="G143" s="7">
        <v>293</v>
      </c>
      <c r="H143" s="21" t="s">
        <v>967</v>
      </c>
      <c r="I143" s="13">
        <v>43040.944108796299</v>
      </c>
      <c r="J143" s="7">
        <v>0</v>
      </c>
      <c r="K143" s="89" t="str">
        <f t="shared" ref="K143" si="160">IF(ISEVEN(B143),(B143-1)&amp;"/"&amp;B143,B143&amp;"/"&amp;(B143+1))</f>
        <v>4063/4064</v>
      </c>
      <c r="L143" s="185" t="str">
        <f>VLOOKUP(A143,'Trips&amp;Operators'!$C$1:$G$99911,5,FALSE)</f>
        <v>NICHOLSON WESLEY</v>
      </c>
      <c r="M143" s="6">
        <f t="shared" ref="M143" si="161">I143-F143</f>
        <v>2.9293981482624076E-2</v>
      </c>
      <c r="N143" s="7">
        <f t="shared" si="93"/>
        <v>42.18333333497867</v>
      </c>
      <c r="O143" s="7"/>
      <c r="P143" s="7"/>
      <c r="Q143" s="22"/>
      <c r="R143" s="174"/>
      <c r="S143" s="221">
        <f t="shared" ref="S143" si="162">1/IF(AG143="EC",12,1)*SUM(U143:U143)</f>
        <v>1</v>
      </c>
      <c r="T143" s="174" t="str">
        <f t="shared" ref="T143" si="163">IF(ISEVEN(LEFT(AD143,4)),"Southbound","NorthBound")</f>
        <v>Southbound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 t="shared" ref="V143" si="164"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-11-01T19:45:17-0600',mode:absolute,to:'2017-11-01T23:39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3" s="204" t="str">
        <f>IF(AA143&lt;VLOOKUP(AG143,Variables!$AC$3:$AD$8,2,FALSE),"Y","N")</f>
        <v>N</v>
      </c>
      <c r="X143" s="204">
        <f>VALUE(LEFT(AD143,4))-VALUE(LEFT(AD142,4))</f>
        <v>1</v>
      </c>
      <c r="Y143" s="204">
        <v>23.287700000000001</v>
      </c>
      <c r="Z143" s="204">
        <v>2.6200000000000001E-2</v>
      </c>
      <c r="AA143" s="204">
        <f t="shared" ref="AA143" si="165">ABS(Z143-Y143)</f>
        <v>23.261500000000002</v>
      </c>
      <c r="AB143" s="54" t="e">
        <f>VLOOKUP(A143,Enforcements!$C$7:$K$10,8,0)</f>
        <v>#N/A</v>
      </c>
      <c r="AC143" s="51" t="e">
        <f>VLOOKUP(A143,Enforcements!$C$7:$E$10,3,0)</f>
        <v>#N/A</v>
      </c>
      <c r="AD143" s="179">
        <f t="shared" ref="AD143" si="166">VALUE(LEFT(A143,LEN(A143)-3))</f>
        <v>230</v>
      </c>
      <c r="AE143" s="77" t="str">
        <f t="shared" ref="AE143" si="167"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s3://rtdc.mdm.uploadarchive.raw/RTDC4063/ "%USERPROFILE%\AppData\Local\Temp\OnboardLogs"\RTDC4063\2017-11-01 --exclude "*" --recursive --include "*20171101*" &amp; "%USERPROFILE%\Documents\GitHub\mrs-test-scripts\Headless Mode &amp; Sideloading\WalkAndUnGZ.bat" "%USERPROFILE%\AppData\Local\Temp\OnboardLogs"\RTDC4063\2017-11-01 &amp; aws s3 cp s3://rtdc.mdm.uploadarchive.raw/RTDC4063/ "%USERPROFILE%\AppData\Local\Temp\OnboardLogs"\RTDC4063\2017-11-02 --exclude "*" --recursive --include "*20171102*" &amp; "%USERPROFILE%\Documents\GitHub\mrs-test-scripts\Headless Mode &amp; Sideloading\WalkAndUnGZ.bat" "%USERPROFILE%\AppData\Local\Temp\OnboardLogs"\RTDC4063\2017-11-02</v>
      </c>
      <c r="AF143" s="74" t="str">
        <f t="shared" ref="AF143" si="168"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/stypes="app*4063*20171102*" /stext=" 04:.+((SYSTEM_STATE.+slice.+state.+changed )|(ment ac)|(multiple cpu faults)|(system.+state.+changed )|(\[timeout)|(PRM\|1\|D)|(kpr)|(kdp)|(train st.+moving)|(\|lc)|(penalty))"</v>
      </c>
      <c r="AG143" s="182" t="str">
        <f t="shared" ref="AG143" si="169">DetSubdiv(A143)</f>
        <v>EC</v>
      </c>
      <c r="AH143" s="78" t="str">
        <f t="shared" ref="AH143" si="170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230-01 --locoid 4063 --swversion DE.1.0.9.0 --startMP 204:626 --initTime 2017-11-01T20:45:17 --startdatetime 2017-11-01T21:57:20 --delay 293 --endMP 204:233182 --enddatetime 2017-11-01T22:39:31 --enforcementcount 0 &gt;&gt;%USERPROFILE%\Documents\GitHub\eaglep3-reporting\EC\2017-11-01-refined-times.txt</v>
      </c>
      <c r="AI143" s="96" t="str">
        <f t="shared" ref="AI143" si="171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{"issue":{"subject":"","project_id":79,"tracker_id":40,"status_id":1,"priority_id":2,"assigned_to_id":338,"start_date":"2017-11-01","description":"","custom_fields":[{"id":1,"name":"Subdivision","value":"EC"},{"id":4,"name":"Milepost","value":"0.0262"},{"id":17,"name":"Train ID","value":"230-01"},{"id":16,"name":"Locomotive ID","value":"4063"},{"id":130,"name":"Impact","value":""},{"id":150,"name":"Time of Event (Mountain Time)","value":"22:39:31"},{"id":151,"name":"Denver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47"/>
      <c r="AL143" s="47"/>
      <c r="AM143" s="142" t="str">
        <f t="shared" ref="AM143" si="172">"start /low /b "&amp;dls3logs&amp;" --loco "&amp;B143&amp;" --day "&amp;TEXT(F143,"YYYY-MM-DD")</f>
        <v>start /low /b %USERPROFILE%\Documents\GitHub\eaglep3\Utilities\DownloadLogsFromS3.py --loco 4063 --day 2017-11-01</v>
      </c>
      <c r="AN143" s="151" t="str">
        <f t="shared" ref="AN143" si="173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04:39:31"},{"id":29,"name":"Sharepoint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ref="AO143" si="174"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Message%20ID',Summary),filters:!(),index:'emp_*',interval:auto,query:"&amp;"(query_string:(analyze_wildcard:!t,query:'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-11-01T19:45:17-0600',mode:absolute,to:'2017-11-01T23:39:31-0600'))&amp;_a=(columns:!('Message%20ID',Summary),filters:!(),index:'emp_*',interval:auto,query:(query_string:(analyze_wildcard:!t,query:'%22rtdc.l.rtdc.4063%22')),sort:!(Time.ISO8601,asc))</v>
      </c>
    </row>
    <row r="144" spans="1:91" s="20" customFormat="1" x14ac:dyDescent="0.25">
      <c r="A144" s="32" t="s">
        <v>848</v>
      </c>
      <c r="B144" s="7">
        <v>4004</v>
      </c>
      <c r="C144" s="21" t="s">
        <v>194</v>
      </c>
      <c r="D144" s="21" t="s">
        <v>966</v>
      </c>
      <c r="E144" s="13">
        <v>43040.86478009259</v>
      </c>
      <c r="F144" s="13">
        <v>43040.896111111113</v>
      </c>
      <c r="G144" s="7">
        <v>293</v>
      </c>
      <c r="H144" s="21" t="s">
        <v>967</v>
      </c>
      <c r="I144" s="13">
        <v>43040.921446759261</v>
      </c>
      <c r="J144" s="7">
        <v>0</v>
      </c>
      <c r="K144" s="89" t="str">
        <f t="shared" ref="K144" si="175">IF(ISEVEN(B144),(B144-1)&amp;"/"&amp;B144,B144&amp;"/"&amp;(B144+1))</f>
        <v>4003/4004</v>
      </c>
      <c r="L144" s="185" t="str">
        <f>VLOOKUP(A144,'Trips&amp;Operators'!$C$1:$G$99911,5,FALSE)</f>
        <v>MAGEE KENYA</v>
      </c>
      <c r="M144" s="6">
        <f t="shared" ref="M144" si="176">I144-F144</f>
        <v>2.5335648148029577E-2</v>
      </c>
      <c r="N144" s="7">
        <f t="shared" si="93"/>
        <v>36.483333333162591</v>
      </c>
      <c r="O144" s="7"/>
      <c r="P144" s="7"/>
      <c r="Q144" s="22"/>
      <c r="R144" s="174"/>
      <c r="S144" s="221">
        <f t="shared" ref="S144" si="177">1/IF(AG144="EC",12,1)*SUM(U144:U144)</f>
        <v>1</v>
      </c>
      <c r="T144" s="174" t="str">
        <f t="shared" ref="T144" si="178">IF(ISEVEN(LEFT(AD144,4)),"Southbound","NorthBound")</f>
        <v>NorthBound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 t="shared" ref="V144" si="179"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-11-01T19:45:17-0600',mode:absolute,to:'2017-11-01T23:06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4" s="204" t="str">
        <f>IF(AA144&lt;VLOOKUP(AG144,Variables!$AC$3:$AD$8,2,FALSE),"Y","N")</f>
        <v>N</v>
      </c>
      <c r="X144" s="204">
        <f>VALUE(LEFT(AD144,4))-VALUE(LEFT(AD143,4))</f>
        <v>1</v>
      </c>
      <c r="Y144" s="204">
        <v>6.2600000000000003E-2</v>
      </c>
      <c r="Z144" s="204">
        <v>23.318200000000001</v>
      </c>
      <c r="AA144" s="204">
        <f t="shared" ref="AA144" si="180">ABS(Z144-Y144)</f>
        <v>23.255600000000001</v>
      </c>
      <c r="AB144" s="54" t="e">
        <f>VLOOKUP(A144,Enforcements!$C$7:$K$10,8,0)</f>
        <v>#N/A</v>
      </c>
      <c r="AC144" s="51" t="e">
        <f>VLOOKUP(A144,Enforcements!$C$7:$E$10,3,0)</f>
        <v>#N/A</v>
      </c>
      <c r="AD144" s="179">
        <f t="shared" ref="AD144" si="181">VALUE(LEFT(A144,LEN(A144)-3))</f>
        <v>231</v>
      </c>
      <c r="AE144" s="77" t="str">
        <f t="shared" ref="AE144" si="182"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s3://rtdc.mdm.uploadarchive.raw/RTDC4004/ "%USERPROFILE%\AppData\Local\Temp\OnboardLogs"\RTDC4004\2017-11-01 --exclude "*" --recursive --include "*20171101*" &amp; "%USERPROFILE%\Documents\GitHub\mrs-test-scripts\Headless Mode &amp; Sideloading\WalkAndUnGZ.bat" "%USERPROFILE%\AppData\Local\Temp\OnboardLogs"\RTDC4004\2017-11-01 &amp; aws s3 cp s3://rtdc.mdm.uploadarchive.raw/RTDC4004/ "%USERPROFILE%\AppData\Local\Temp\OnboardLogs"\RTDC4004\2017-11-02 --exclude "*" --recursive --include "*20171102*" &amp; "%USERPROFILE%\Documents\GitHub\mrs-test-scripts\Headless Mode &amp; Sideloading\WalkAndUnGZ.bat" "%USERPROFILE%\AppData\Local\Temp\OnboardLogs"\RTDC4004\2017-11-02</v>
      </c>
      <c r="AF144" s="74" t="str">
        <f t="shared" ref="AF144" si="183"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/stypes="app*4004*20171102*" /stext=" 04:.+((SYSTEM_STATE.+slice.+state.+changed )|(ment ac)|(multiple cpu faults)|(system.+state.+changed )|(\[timeout)|(PRM\|1\|D)|(kpr)|(kdp)|(train st.+moving)|(\|lc)|(penalty))"</v>
      </c>
      <c r="AG144" s="182" t="str">
        <f t="shared" ref="AG144" si="184">DetSubdiv(A144)</f>
        <v>EC</v>
      </c>
      <c r="AH144" s="78" t="str">
        <f t="shared" ref="AH144" si="185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231-01 --locoid 4004 --swversion DE.1.0.9.0 --startMP 204:626 --initTime 2017-11-01T20:45:17 --startdatetime 2017-11-01T21:30:24 --delay 293 --endMP 204:233182 --enddatetime 2017-11-01T22:06:53 --enforcementcount 0 &gt;&gt;%USERPROFILE%\Documents\GitHub\eaglep3-reporting\EC\2017-11-01-refined-times.txt</v>
      </c>
      <c r="AI144" s="96" t="str">
        <f t="shared" ref="AI144" si="186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{"issue":{"subject":"","project_id":79,"tracker_id":40,"status_id":1,"priority_id":2,"assigned_to_id":338,"start_date":"2017-11-01","description":"","custom_fields":[{"id":1,"name":"Subdivision","value":"EC"},{"id":4,"name":"Milepost","value":"23.3182"},{"id":17,"name":"Train ID","value":"231-01"},{"id":16,"name":"Locomotive ID","value":"4004"},{"id":130,"name":"Impact","value":""},{"id":150,"name":"Time of Event (Mountain Time)","value":"22:06:53"},{"id":151,"name":"Denver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47"/>
      <c r="AL144" s="47"/>
      <c r="AM144" s="142" t="str">
        <f t="shared" ref="AM144" si="187">"start /low /b "&amp;dls3logs&amp;" --loco "&amp;B144&amp;" --day "&amp;TEXT(F144,"YYYY-MM-DD")</f>
        <v>start /low /b %USERPROFILE%\Documents\GitHub\eaglep3\Utilities\DownloadLogsFromS3.py --loco 4004 --day 2017-11-01</v>
      </c>
      <c r="AN144" s="151" t="str">
        <f t="shared" ref="AN144" si="188">"echo {""issue"":{""subject"":"""&amp;R144&amp;""",""project_id"":30,""tracker_id"":4,""status_id"":"&amp;redmine_status_wcr&amp;",""priority_id"":"&amp;redmine_priority_wcr&amp;",""assigned_to_id"":"&amp;redmine_assignee_wcr&amp;",""start_date"":"""&amp;TEXT(I144-utc_offset/24,"YYYY-mm-dd")&amp;""",""description"":"""&amp;AJ144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04:06:53"},{"id":29,"name":"Sharepoint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ref="AO144" si="189"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Message%20ID',Summary),filters:!(),index:'emp_*',interval:auto,query:"&amp;"(query_string:(analyze_wildcard:!t,query:'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-11-01T19:45:17-0600',mode:absolute,to:'2017-11-01T23:06:53-0600'))&amp;_a=(columns:!('Message%20ID',Summary),filters:!(),index:'emp_*',interval:auto,query:(query_string:(analyze_wildcard:!t,query:'%22rtdc.l.rtdc.4004%22')),sort:!(Time.ISO8601,asc))</v>
      </c>
    </row>
    <row r="145" spans="1:91" s="20" customFormat="1" x14ac:dyDescent="0.25">
      <c r="A145" s="32" t="s">
        <v>856</v>
      </c>
      <c r="B145" s="7">
        <v>4003</v>
      </c>
      <c r="C145" s="21" t="s">
        <v>194</v>
      </c>
      <c r="D145" s="21" t="s">
        <v>968</v>
      </c>
      <c r="E145" s="13">
        <v>43040.933067129627</v>
      </c>
      <c r="F145" s="13">
        <v>43040.935613425929</v>
      </c>
      <c r="G145" s="7">
        <v>110</v>
      </c>
      <c r="H145" s="21" t="s">
        <v>427</v>
      </c>
      <c r="I145" s="13">
        <v>43040.96671296296</v>
      </c>
      <c r="J145" s="7">
        <v>0</v>
      </c>
      <c r="K145" s="89" t="str">
        <f t="shared" si="29"/>
        <v>4003/4004</v>
      </c>
      <c r="L145" s="185" t="str">
        <f>VLOOKUP(A145,'Trips&amp;Operators'!$C$1:$G$99911,5,FALSE)</f>
        <v>MAGEE KENYA</v>
      </c>
      <c r="M145" s="6">
        <f t="shared" si="30"/>
        <v>3.1099537030968349E-2</v>
      </c>
      <c r="N145" s="7">
        <f t="shared" si="93"/>
        <v>44.783333324594423</v>
      </c>
      <c r="O145" s="7"/>
      <c r="P145" s="7"/>
      <c r="Q145" s="22"/>
      <c r="R145" s="174"/>
      <c r="S145" s="221">
        <f t="shared" si="31"/>
        <v>1</v>
      </c>
      <c r="T145" s="174" t="str">
        <f t="shared" si="32"/>
        <v>Southbound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 t="shared" si="33"/>
        <v>https://d0f6bd738d7f1b3e5a7ca70fe4ff75f0.us-east-1.aws.found.io/app/kibana#/discover/Steve-Slow-Train-Analysis-(2080s-and-2083s)?_g=(refreshInterval:(display:Off,pause:!f,section:0,value:0),time:(from:'2017-11-01T21:23:37-0600',mode:absolute,to:'2017-11-02T00:12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5" s="204" t="str">
        <f>IF(AA145&lt;VLOOKUP(AG145,Variables!$AC$3:$AD$8,2,FALSE),"Y","N")</f>
        <v>N</v>
      </c>
      <c r="X145" s="204">
        <f t="shared" ref="X145:X146" si="190">VALUE(LEFT(AD145,4))-VALUE(LEFT(AD144,4))</f>
        <v>1</v>
      </c>
      <c r="Y145" s="204">
        <f t="shared" si="94"/>
        <v>23.294899999999998</v>
      </c>
      <c r="Z145" s="204">
        <f t="shared" si="95"/>
        <v>2.58E-2</v>
      </c>
      <c r="AA145" s="204">
        <f t="shared" si="37"/>
        <v>23.269099999999998</v>
      </c>
      <c r="AB145" s="54" t="e">
        <f>VLOOKUP(A145,Enforcements!$C$7:$K$10,8,0)</f>
        <v>#N/A</v>
      </c>
      <c r="AC145" s="51" t="e">
        <f>VLOOKUP(A145,Enforcements!$C$7:$E$10,3,0)</f>
        <v>#N/A</v>
      </c>
      <c r="AD145" s="179">
        <f t="shared" si="38"/>
        <v>232</v>
      </c>
      <c r="AE145" s="77" t="str">
        <f t="shared" si="39"/>
        <v>aws s3 cp s3://rtdc.mdm.uploadarchive.raw/RTDC4003/ "%USERPROFILE%\AppData\Local\Temp\OnboardLogs"\RTDC4003\2017-11-01 --exclude "*" --recursive --include "*20171101*" &amp; "%USERPROFILE%\Documents\GitHub\mrs-test-scripts\Headless Mode &amp; Sideloading\WalkAndUnGZ.bat" "%USERPROFILE%\AppData\Local\Temp\OnboardLogs"\RTDC4003\2017-11-01 &amp; aws s3 cp s3://rtdc.mdm.uploadarchive.raw/RTDC4003/ "%USERPROFILE%\AppData\Local\Temp\OnboardLogs"\RTDC4003\2017-11-02 --exclude "*" --recursive --include "*20171102*" &amp; "%USERPROFILE%\Documents\GitHub\mrs-test-scripts\Headless Mode &amp; Sideloading\WalkAndUnGZ.bat" "%USERPROFILE%\AppData\Local\Temp\OnboardLogs"\RTDC4003\2017-11-02</v>
      </c>
      <c r="AF145" s="74" t="str">
        <f t="shared" si="40"/>
        <v>"C:\Program Files (x86)\AstroGrep\AstroGrep.exe" /e /r /s /spath="%USERPROFILE%\AppData\Local\Temp\OnboardLogs" /stypes="app*4003*20171102*" /stext=" 05:.+((SYSTEM_STATE.+slice.+state.+changed )|(ment ac)|(multiple cpu faults)|(system.+state.+changed )|(\[timeout)|(PRM\|1\|D)|(kpr)|(kdp)|(train st.+moving)|(\|lc)|(penalty))"</v>
      </c>
      <c r="AG145" s="182" t="str">
        <f t="shared" si="41"/>
        <v>EC</v>
      </c>
      <c r="AH145" s="78" t="str">
        <f t="shared" si="42"/>
        <v>"%USERPROFILE%\Documents\GitHub\eaglep3\Utilities\RefineRTDCRunTimes.py" --tripid 232-01 --locoid 4003 --swversion DE.1.0.9.0 --startMP 204:232949 --initTime 2017-11-01T22:23:37 --startdatetime 2017-11-01T22:27:17 --delay 110 --endMP 204:258 --enddatetime 2017-11-01T23:12:04 --enforcementcount 0 &gt;&gt;%USERPROFILE%\Documents\GitHub\eaglep3-reporting\EC\2017-11-01-refined-times.txt</v>
      </c>
      <c r="AI145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{"issue":{"subject":"","project_id":79,"tracker_id":40,"status_id":1,"priority_id":2,"assigned_to_id":338,"start_date":"2017-11-01","description":"","custom_fields":[{"id":1,"name":"Subdivision","value":"EC"},{"id":4,"name":"Milepost","value":"0.0258"},{"id":17,"name":"Train ID","value":"232-01"},{"id":16,"name":"Locomotive ID","value":"4003"},{"id":130,"name":"Impact","value":""},{"id":150,"name":"Time of Event (Mountain Time)","value":"23:12:04"},{"id":151,"name":"Denver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47"/>
      <c r="AL145" s="47"/>
      <c r="AM145" s="142" t="str">
        <f t="shared" si="44"/>
        <v>start /low /b %USERPROFILE%\Documents\GitHub\eaglep3\Utilities\DownloadLogsFromS3.py --loco 4003 --day 2017-11-01</v>
      </c>
      <c r="AN145" s="151" t="str">
        <f t="shared" si="45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05:12:04"},{"id":29,"name":"Sharepoint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si="46"/>
        <v>https://d0f6bd738d7f1b3e5a7ca70fe4ff75f0.us-east-1.aws.found.io/app/kibana#/discover/Steve-Slow-Train-Analysis-(2080s-and-2083s)?_g=(refreshInterval:(display:Off,pause:!f,section:0,value:0),time:(from:'2017-11-01T21:23:37-0600',mode:absolute,to:'2017-11-02T00:12:04-0600'))&amp;_a=(columns:!('Message%20ID',Summary),filters:!(),index:'emp_*',interval:auto,query:(query_string:(analyze_wildcard:!t,query:'%22rtdc.l.rtdc.4003%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852</v>
      </c>
      <c r="B146" s="7">
        <v>4050</v>
      </c>
      <c r="C146" s="21" t="s">
        <v>194</v>
      </c>
      <c r="D146" s="21" t="s">
        <v>423</v>
      </c>
      <c r="E146" s="13">
        <v>43040.91202546296</v>
      </c>
      <c r="F146" s="13">
        <v>43040.916817129626</v>
      </c>
      <c r="G146" s="7">
        <v>76</v>
      </c>
      <c r="H146" s="21" t="s">
        <v>969</v>
      </c>
      <c r="I146" s="13">
        <v>43040.941793981481</v>
      </c>
      <c r="J146" s="7">
        <v>0</v>
      </c>
      <c r="K146" s="89" t="str">
        <f t="shared" si="29"/>
        <v>4049/4050</v>
      </c>
      <c r="L146" s="185" t="str">
        <f>VLOOKUP(A146,'Trips&amp;Operators'!$C$1:$G$99911,5,FALSE)</f>
        <v>ANDREA WILLIAMS</v>
      </c>
      <c r="M146" s="6">
        <f t="shared" si="30"/>
        <v>2.4976851855171844E-2</v>
      </c>
      <c r="N146" s="7">
        <f t="shared" si="93"/>
        <v>35.966666671447456</v>
      </c>
      <c r="O146" s="7"/>
      <c r="P146" s="7"/>
      <c r="Q146" s="22"/>
      <c r="R146" s="174"/>
      <c r="S146" s="221">
        <f t="shared" si="31"/>
        <v>1</v>
      </c>
      <c r="T146" s="174" t="str">
        <f t="shared" si="32"/>
        <v>NorthBound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 t="shared" si="33"/>
        <v>https://d0f6bd738d7f1b3e5a7ca70fe4ff75f0.us-east-1.aws.found.io/app/kibana#/discover/Steve-Slow-Train-Analysis-(2080s-and-2083s)?_g=(refreshInterval:(display:Off,pause:!f,section:0,value:0),time:(from:'2017-11-01T20:53:19-0600',mode:absolute,to:'2017-11-01T23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6" s="204" t="str">
        <f>IF(AA146&lt;VLOOKUP(AG146,Variables!$AC$3:$AD$8,2,FALSE),"Y","N")</f>
        <v>N</v>
      </c>
      <c r="X146" s="204">
        <f t="shared" si="190"/>
        <v>1</v>
      </c>
      <c r="Y146" s="204">
        <f t="shared" si="94"/>
        <v>5.1299999999999998E-2</v>
      </c>
      <c r="Z146" s="204">
        <f t="shared" si="95"/>
        <v>23.318300000000001</v>
      </c>
      <c r="AA146" s="204">
        <f t="shared" si="37"/>
        <v>23.266999999999999</v>
      </c>
      <c r="AB146" s="54" t="e">
        <f>VLOOKUP(A146,Enforcements!$C$7:$K$10,8,0)</f>
        <v>#N/A</v>
      </c>
      <c r="AC146" s="51" t="e">
        <f>VLOOKUP(A146,Enforcements!$C$7:$E$10,3,0)</f>
        <v>#N/A</v>
      </c>
      <c r="AD146" s="179">
        <f t="shared" si="38"/>
        <v>233</v>
      </c>
      <c r="AE146" s="77" t="str">
        <f t="shared" si="39"/>
        <v>aws s3 cp s3://rtdc.mdm.uploadarchive.raw/RTDC4050/ "%USERPROFILE%\AppData\Local\Temp\OnboardLogs"\RTDC4050\2017-11-01 --exclude "*" --recursive --include "*20171101*" &amp; "%USERPROFILE%\Documents\GitHub\mrs-test-scripts\Headless Mode &amp; Sideloading\WalkAndUnGZ.bat" "%USERPROFILE%\AppData\Local\Temp\OnboardLogs"\RTDC4050\2017-11-01 &amp; aws s3 cp s3://rtdc.mdm.uploadarchive.raw/RTDC4050/ "%USERPROFILE%\AppData\Local\Temp\OnboardLogs"\RTDC4050\2017-11-02 --exclude "*" --recursive --include "*20171102*" &amp; "%USERPROFILE%\Documents\GitHub\mrs-test-scripts\Headless Mode &amp; Sideloading\WalkAndUnGZ.bat" "%USERPROFILE%\AppData\Local\Temp\OnboardLogs"\RTDC4050\2017-11-02</v>
      </c>
      <c r="AF146" s="74" t="str">
        <f t="shared" si="40"/>
        <v>"C:\Program Files (x86)\AstroGrep\AstroGrep.exe" /e /r /s /spath="%USERPROFILE%\AppData\Local\Temp\OnboardLogs" /stypes="app*4050*20171102*" /stext=" 04:.+((SYSTEM_STATE.+slice.+state.+changed )|(ment ac)|(multiple cpu faults)|(system.+state.+changed )|(\[timeout)|(PRM\|1\|D)|(kpr)|(kdp)|(train st.+moving)|(\|lc)|(penalty))"</v>
      </c>
      <c r="AG146" s="182" t="str">
        <f t="shared" si="41"/>
        <v>EC</v>
      </c>
      <c r="AH146" s="78" t="str">
        <f t="shared" si="42"/>
        <v>"%USERPROFILE%\Documents\GitHub\eaglep3\Utilities\RefineRTDCRunTimes.py" --tripid 233-01 --locoid 4050 --swversion DE.1.0.9.0 --startMP 204:513 --initTime 2017-11-01T21:53:19 --startdatetime 2017-11-01T22:00:13 --delay 76 --endMP 204:233183 --enddatetime 2017-11-01T22:36:11 --enforcementcount 0 &gt;&gt;%USERPROFILE%\Documents\GitHub\eaglep3-reporting\EC\2017-11-01-refined-times.txt</v>
      </c>
      <c r="AI146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{"issue":{"subject":"","project_id":79,"tracker_id":40,"status_id":1,"priority_id":2,"assigned_to_id":338,"start_date":"2017-11-01","description":"","custom_fields":[{"id":1,"name":"Subdivision","value":"EC"},{"id":4,"name":"Milepost","value":"23.3183"},{"id":17,"name":"Train ID","value":"233-01"},{"id":16,"name":"Locomotive ID","value":"4050"},{"id":130,"name":"Impact","value":""},{"id":150,"name":"Time of Event (Mountain Time)","value":"22:36:11"},{"id":151,"name":"Denver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47"/>
      <c r="AL146" s="47"/>
      <c r="AM146" s="142" t="str">
        <f t="shared" si="44"/>
        <v>start /low /b %USERPROFILE%\Documents\GitHub\eaglep3\Utilities\DownloadLogsFromS3.py --loco 4050 --day 2017-11-01</v>
      </c>
      <c r="AN146" s="151" t="str">
        <f t="shared" si="45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04:36:11"},{"id":29,"name":"Sharepoint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si="46"/>
        <v>https://d0f6bd738d7f1b3e5a7ca70fe4ff75f0.us-east-1.aws.found.io/app/kibana#/discover/Steve-Slow-Train-Analysis-(2080s-and-2083s)?_g=(refreshInterval:(display:Off,pause:!f,section:0,value:0),time:(from:'2017-11-01T20:53:19-0600',mode:absolute,to:'2017-11-01T23:36:11-0600'))&amp;_a=(columns:!('Message%20ID',Summary),filters:!(),index:'emp_*',interval:auto,query:(query_string:(analyze_wildcard:!t,query:'%22rtdc.l.rtdc.4050%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857</v>
      </c>
      <c r="B147" s="7">
        <v>4049</v>
      </c>
      <c r="C147" s="21" t="s">
        <v>194</v>
      </c>
      <c r="D147" s="21" t="s">
        <v>970</v>
      </c>
      <c r="E147" s="13">
        <v>43040.951342592591</v>
      </c>
      <c r="F147" s="13">
        <v>43040.956458333334</v>
      </c>
      <c r="G147" s="7">
        <v>77</v>
      </c>
      <c r="H147" s="21" t="s">
        <v>971</v>
      </c>
      <c r="I147" s="13">
        <v>43040.985694444447</v>
      </c>
      <c r="J147" s="7">
        <v>0</v>
      </c>
      <c r="K147" s="89" t="str">
        <f t="shared" si="29"/>
        <v>4049/4050</v>
      </c>
      <c r="L147" s="185" t="str">
        <f>VLOOKUP(A147,'Trips&amp;Operators'!$C$1:$G$99911,5,FALSE)</f>
        <v>ANDREA WILLIAMS</v>
      </c>
      <c r="M147" s="6">
        <f t="shared" si="30"/>
        <v>2.923611111327773E-2</v>
      </c>
      <c r="N147" s="7">
        <f t="shared" si="93"/>
        <v>42.100000003119931</v>
      </c>
      <c r="O147" s="7"/>
      <c r="P147" s="7"/>
      <c r="Q147" s="22"/>
      <c r="R147" s="174"/>
      <c r="S147" s="221">
        <f t="shared" si="31"/>
        <v>1</v>
      </c>
      <c r="T147" s="174" t="str">
        <f t="shared" si="32"/>
        <v>Southbound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 t="shared" si="33"/>
        <v>https://d0f6bd738d7f1b3e5a7ca70fe4ff75f0.us-east-1.aws.found.io/app/kibana#/discover/Steve-Slow-Train-Analysis-(2080s-and-2083s)?_g=(refreshInterval:(display:Off,pause:!f,section:0,value:0),time:(from:'2017-11-01T21:49:56-0600',mode:absolute,to:'2017-11-02T00:39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7" s="204" t="str">
        <f>IF(AA147&lt;VLOOKUP(AG147,Variables!$AC$3:$AD$8,2,FALSE),"Y","N")</f>
        <v>N</v>
      </c>
      <c r="X147" s="204">
        <f t="shared" si="96"/>
        <v>1</v>
      </c>
      <c r="Y147" s="204">
        <f t="shared" si="94"/>
        <v>23.291899999999998</v>
      </c>
      <c r="Z147" s="204">
        <f t="shared" si="95"/>
        <v>1.9099999999999999E-2</v>
      </c>
      <c r="AA147" s="204">
        <f t="shared" si="37"/>
        <v>23.272799999999997</v>
      </c>
      <c r="AB147" s="54" t="e">
        <f>VLOOKUP(A147,Enforcements!$C$7:$K$10,8,0)</f>
        <v>#N/A</v>
      </c>
      <c r="AC147" s="51" t="e">
        <f>VLOOKUP(A147,Enforcements!$C$7:$E$10,3,0)</f>
        <v>#N/A</v>
      </c>
      <c r="AD147" s="179">
        <f t="shared" si="38"/>
        <v>234</v>
      </c>
      <c r="AE147" s="77" t="str">
        <f t="shared" si="39"/>
        <v>aws s3 cp s3://rtdc.mdm.uploadarchive.raw/RTDC4049/ "%USERPROFILE%\AppData\Local\Temp\OnboardLogs"\RTDC4049\2017-11-01 --exclude "*" --recursive --include "*20171101*" &amp; "%USERPROFILE%\Documents\GitHub\mrs-test-scripts\Headless Mode &amp; Sideloading\WalkAndUnGZ.bat" "%USERPROFILE%\AppData\Local\Temp\OnboardLogs"\RTDC4049\2017-11-01 &amp; aws s3 cp s3://rtdc.mdm.uploadarchive.raw/RTDC4049/ "%USERPROFILE%\AppData\Local\Temp\OnboardLogs"\RTDC4049\2017-11-02 --exclude "*" --recursive --include "*20171102*" &amp; "%USERPROFILE%\Documents\GitHub\mrs-test-scripts\Headless Mode &amp; Sideloading\WalkAndUnGZ.bat" "%USERPROFILE%\AppData\Local\Temp\OnboardLogs"\RTDC4049\2017-11-02</v>
      </c>
      <c r="AF147" s="74" t="str">
        <f t="shared" si="40"/>
        <v>"C:\Program Files (x86)\AstroGrep\AstroGrep.exe" /e /r /s /spath="%USERPROFILE%\AppData\Local\Temp\OnboardLogs" /stypes="app*4049*20171102*" /stext=" 05:.+((SYSTEM_STATE.+slice.+state.+changed )|(ment ac)|(multiple cpu faults)|(system.+state.+changed )|(\[timeout)|(PRM\|1\|D)|(kpr)|(kdp)|(train st.+moving)|(\|lc)|(penalty))"</v>
      </c>
      <c r="AG147" s="182" t="str">
        <f t="shared" si="41"/>
        <v>EC</v>
      </c>
      <c r="AH147" s="78" t="str">
        <f t="shared" si="42"/>
        <v>"%USERPROFILE%\Documents\GitHub\eaglep3\Utilities\RefineRTDCRunTimes.py" --tripid 234-01 --locoid 4049 --swversion DE.1.0.9.0 --startMP 204:232919 --initTime 2017-11-01T22:49:56 --startdatetime 2017-11-01T22:57:18 --delay 77 --endMP 204:191 --enddatetime 2017-11-01T23:39:24 --enforcementcount 0 &gt;&gt;%USERPROFILE%\Documents\GitHub\eaglep3-reporting\EC\2017-11-01-refined-times.txt</v>
      </c>
      <c r="AI147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{"issue":{"subject":"","project_id":79,"tracker_id":40,"status_id":1,"priority_id":2,"assigned_to_id":338,"start_date":"2017-11-01","description":"","custom_fields":[{"id":1,"name":"Subdivision","value":"EC"},{"id":4,"name":"Milepost","value":"0.0191"},{"id":17,"name":"Train ID","value":"234-01"},{"id":16,"name":"Locomotive ID","value":"4049"},{"id":130,"name":"Impact","value":""},{"id":150,"name":"Time of Event (Mountain Time)","value":"23:39:24"},{"id":151,"name":"Denver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47"/>
      <c r="AL147" s="47"/>
      <c r="AM147" s="142" t="str">
        <f t="shared" si="44"/>
        <v>start /low /b %USERPROFILE%\Documents\GitHub\eaglep3\Utilities\DownloadLogsFromS3.py --loco 4049 --day 2017-11-01</v>
      </c>
      <c r="AN147" s="151" t="str">
        <f t="shared" si="45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05:39:24"},{"id":29,"name":"Sharepoint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si="46"/>
        <v>https://d0f6bd738d7f1b3e5a7ca70fe4ff75f0.us-east-1.aws.found.io/app/kibana#/discover/Steve-Slow-Train-Analysis-(2080s-and-2083s)?_g=(refreshInterval:(display:Off,pause:!f,section:0,value:0),time:(from:'2017-11-01T21:49:56-0600',mode:absolute,to:'2017-11-02T00:39:24-0600'))&amp;_a=(columns:!('Message%20ID',Summary),filters:!(),index:'emp_*',interval:auto,query:(query_string:(analyze_wildcard:!t,query:'%22rtdc.l.rtdc.4049%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854</v>
      </c>
      <c r="B148" s="7">
        <v>4054</v>
      </c>
      <c r="C148" s="21" t="s">
        <v>194</v>
      </c>
      <c r="D148" s="21" t="s">
        <v>970</v>
      </c>
      <c r="E148" s="13">
        <v>43040.951342592591</v>
      </c>
      <c r="F148" s="13">
        <v>43040.937650462962</v>
      </c>
      <c r="G148" s="7">
        <v>77</v>
      </c>
      <c r="H148" s="21" t="s">
        <v>971</v>
      </c>
      <c r="I148" s="13">
        <v>43040.962129629632</v>
      </c>
      <c r="J148" s="7">
        <v>0</v>
      </c>
      <c r="K148" s="89" t="str">
        <f t="shared" ref="K148" si="191">IF(ISEVEN(B148),(B148-1)&amp;"/"&amp;B148,B148&amp;"/"&amp;(B148+1))</f>
        <v>4053/4054</v>
      </c>
      <c r="L148" s="185" t="str">
        <f>VLOOKUP(A148,'Trips&amp;Operators'!$C$1:$G$99911,5,FALSE)</f>
        <v>MCREYNOLDS KYLE</v>
      </c>
      <c r="M148" s="6">
        <f t="shared" ref="M148" si="192">I148-F148</f>
        <v>2.4479166670062114E-2</v>
      </c>
      <c r="N148" s="7">
        <f t="shared" si="93"/>
        <v>35.250000004889444</v>
      </c>
      <c r="O148" s="7"/>
      <c r="P148" s="7"/>
      <c r="Q148" s="22"/>
      <c r="R148" s="174"/>
      <c r="S148" s="221">
        <f t="shared" ref="S148" si="193">1/IF(AG148="EC",12,1)*SUM(U148:U148)</f>
        <v>1</v>
      </c>
      <c r="T148" s="174" t="str">
        <f t="shared" ref="T148" si="194">IF(ISEVEN(LEFT(AD148,4)),"Southbound","NorthBound")</f>
        <v>NorthBound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 t="shared" ref="V148" si="195"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-11-01T21:49:56-0600',mode:absolute,to:'2017-11-02T00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8" s="204" t="str">
        <f>IF(AA148&lt;VLOOKUP(AG148,Variables!$AC$3:$AD$8,2,FALSE),"Y","N")</f>
        <v>N</v>
      </c>
      <c r="X148" s="204">
        <f t="shared" ref="X148" si="196">VALUE(LEFT(AD148,4))-VALUE(LEFT(AD147,4))</f>
        <v>1</v>
      </c>
      <c r="Y148" s="204">
        <v>5.1299999999999998E-2</v>
      </c>
      <c r="Z148" s="204">
        <v>23.318300000000001</v>
      </c>
      <c r="AA148" s="204">
        <f t="shared" ref="AA148" si="197">ABS(Z148-Y148)</f>
        <v>23.266999999999999</v>
      </c>
      <c r="AB148" s="54" t="e">
        <f>VLOOKUP(A148,Enforcements!$C$7:$K$10,8,0)</f>
        <v>#N/A</v>
      </c>
      <c r="AC148" s="51" t="e">
        <f>VLOOKUP(A148,Enforcements!$C$7:$E$10,3,0)</f>
        <v>#N/A</v>
      </c>
      <c r="AD148" s="179">
        <f t="shared" ref="AD148" si="198">VALUE(LEFT(A148,LEN(A148)-3))</f>
        <v>235</v>
      </c>
      <c r="AE148" s="77" t="str">
        <f t="shared" ref="AE148" si="199"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s3://rtdc.mdm.uploadarchive.raw/RTDC4054/ "%USERPROFILE%\AppData\Local\Temp\OnboardLogs"\RTDC4054\2017-11-01 --exclude "*" --recursive --include "*20171101*" &amp; "%USERPROFILE%\Documents\GitHub\mrs-test-scripts\Headless Mode &amp; Sideloading\WalkAndUnGZ.bat" "%USERPROFILE%\AppData\Local\Temp\OnboardLogs"\RTDC4054\2017-11-01 &amp; aws s3 cp s3://rtdc.mdm.uploadarchive.raw/RTDC4054/ "%USERPROFILE%\AppData\Local\Temp\OnboardLogs"\RTDC4054\2017-11-02 --exclude "*" --recursive --include "*20171102*" &amp; "%USERPROFILE%\Documents\GitHub\mrs-test-scripts\Headless Mode &amp; Sideloading\WalkAndUnGZ.bat" "%USERPROFILE%\AppData\Local\Temp\OnboardLogs"\RTDC4054\2017-11-02</v>
      </c>
      <c r="AF148" s="74" t="str">
        <f t="shared" ref="AF148" si="200"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/stypes="app*4054*20171102*" /stext=" 05:.+((SYSTEM_STATE.+slice.+state.+changed )|(ment ac)|(multiple cpu faults)|(system.+state.+changed )|(\[timeout)|(PRM\|1\|D)|(kpr)|(kdp)|(train st.+moving)|(\|lc)|(penalty))"</v>
      </c>
      <c r="AG148" s="182" t="str">
        <f t="shared" ref="AG148" si="201">DetSubdiv(A148)</f>
        <v>EC</v>
      </c>
      <c r="AH148" s="78" t="str">
        <f t="shared" ref="AH148" si="202">refinertdcruntimes&amp;" --tripid "&amp;A148&amp;" --locoid "&amp;B148&amp;" --swversion "&amp;C148&amp;" --startMP "&amp;D148&amp;" --initTime "&amp;TEXT(E148,"yyyy-mm-ddTHH:MM:SS")&amp;" --startdatetime "&amp;TEXT(F148,"yyyy-mm-ddTHH:MM:SS")&amp;" --delay "&amp;G148&amp;" --endMP "&amp;H148&amp;" --enddatetime "&amp;TEXT(I148,"yyyy-mm-ddTHH:MM:SS")&amp;" --enforcementcount "&amp;J148&amp;IF(outputrefinedruntimes," &gt;&gt;"&amp;RefinedRTDCRunTimesOutputFile,"")</f>
        <v>"%USERPROFILE%\Documents\GitHub\eaglep3\Utilities\RefineRTDCRunTimes.py" --tripid 235-01 --locoid 4054 --swversion DE.1.0.9.0 --startMP 204:232919 --initTime 2017-11-01T22:49:56 --startdatetime 2017-11-01T22:30:13 --delay 77 --endMP 204:191 --enddatetime 2017-11-01T23:05:28 --enforcementcount 0 &gt;&gt;%USERPROFILE%\Documents\GitHub\eaglep3-reporting\EC\2017-11-01-refined-times.txt</v>
      </c>
      <c r="AI148" s="96" t="str">
        <f t="shared" ref="AI148" si="203">"echo {""issue"":{""subject"":"""&amp;R148&amp;""",""project_id"":79,""tracker_id"":40,""status_id"":"&amp;redmine_status&amp;",""priority_id"":"&amp;redmine_priority&amp;",""assigned_to_id"":"&amp;redmine_assignee&amp;",""start_date"":"""&amp;TEXT(I148,"YYYY-mm-dd")&amp;""",""description"":"""&amp;AJ148&amp;""",""custom_fields"":[{""id"":1,""name"":""Subdivision"",""value"":"""&amp;AG148&amp;"""},{""id"":4,""name"":""Milepost"",""value"":"""&amp;Z148&amp;"""},{""id"":17,""name"":""Train ID"",""value"":"""&amp;A148&amp;"""},{""id"":16,""name"":""Locomotive ID"",""value"":"""&amp;B148&amp;"""},{""id"":130,""name"":""Impact"",""value"":"""&amp;AK148&amp;"""},{""id"":150,""name"":""Time of Event (Mountain Time)"",""value"":"""&amp;TEXT(I148,"hh:mm:ss")&amp;"""},{""id"":151,""name"":""Denver Issue ID"",""value"":"""&amp;"""},{""id"":178,""name"":""Operational Impact"",""value"":"""&amp;redmine_op_impact&amp;"""},{""id"":179,""name"":""Denver Segment Assigned"",""value"":"""&amp;AL148&amp;"""}]}}"&amp;"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{"issue":{"subject":"","project_id":79,"tracker_id":40,"status_id":1,"priority_id":2,"assigned_to_id":338,"start_date":"2017-11-01","description":"","custom_fields":[{"id":1,"name":"Subdivision","value":"EC"},{"id":4,"name":"Milepost","value":"23.3183"},{"id":17,"name":"Train ID","value":"235-01"},{"id":16,"name":"Locomotive ID","value":"4054"},{"id":130,"name":"Impact","value":""},{"id":150,"name":"Time of Event (Mountain Time)","value":"23:05:28"},{"id":151,"name":"Denver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47"/>
      <c r="AL148" s="47"/>
      <c r="AM148" s="142" t="str">
        <f t="shared" ref="AM148" si="204">"start /low /b "&amp;dls3logs&amp;" --loco "&amp;B148&amp;" --day "&amp;TEXT(F148,"YYYY-MM-DD")</f>
        <v>start /low /b %USERPROFILE%\Documents\GitHub\eaglep3\Utilities\DownloadLogsFromS3.py --loco 4054 --day 2017-11-01</v>
      </c>
      <c r="AN148" s="151" t="str">
        <f t="shared" ref="AN148" si="205">"echo {""issue"":{""subject"":"""&amp;R148&amp;""",""project_id"":30,""tracker_id"":4,""status_id"":"&amp;redmine_status_wcr&amp;",""priority_id"":"&amp;redmine_priority_wcr&amp;",""assigned_to_id"":"&amp;redmine_assignee_wcr&amp;",""start_date"":"""&amp;TEXT(I148-utc_offset/24,"YYYY-mm-dd")&amp;""",""description"":"""&amp;AJ148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05:05:28"},{"id":29,"name":"Sharepoint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ref="AO148" si="206"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Message%20ID',Summary),filters:!(),index:'emp_*',interval:auto,query:"&amp;"(query_string:(analyze_wildcard:!t,query:'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-11-01T21:49:56-0600',mode:absolute,to:'2017-11-02T00:05:28-0600'))&amp;_a=(columns:!('Message%20ID',Summary),filters:!(),index:'emp_*',interval:auto,query:(query_string:(analyze_wildcard:!t,query:'%22rtdc.l.rtdc.4054%22')),sort:!(Time.ISO8601,asc))</v>
      </c>
    </row>
    <row r="149" spans="1:91" s="20" customFormat="1" x14ac:dyDescent="0.25">
      <c r="A149" s="32" t="s">
        <v>860</v>
      </c>
      <c r="B149" s="7">
        <v>4053</v>
      </c>
      <c r="C149" s="21" t="s">
        <v>194</v>
      </c>
      <c r="D149" s="21" t="s">
        <v>970</v>
      </c>
      <c r="E149" s="13">
        <v>43040.951342592591</v>
      </c>
      <c r="F149" s="13">
        <v>43040.97724537037</v>
      </c>
      <c r="G149" s="7">
        <v>77</v>
      </c>
      <c r="H149" s="21" t="s">
        <v>971</v>
      </c>
      <c r="I149" s="13">
        <v>43041.009918981479</v>
      </c>
      <c r="J149" s="7">
        <v>0</v>
      </c>
      <c r="K149" s="89" t="str">
        <f t="shared" ref="K149" si="207">IF(ISEVEN(B149),(B149-1)&amp;"/"&amp;B149,B149&amp;"/"&amp;(B149+1))</f>
        <v>4053/4054</v>
      </c>
      <c r="L149" s="185" t="str">
        <f>VLOOKUP(A149,'Trips&amp;Operators'!$C$1:$G$99911,5,FALSE)</f>
        <v>MCREYNOLDS KYLE</v>
      </c>
      <c r="M149" s="6">
        <f t="shared" ref="M149" si="208">I149-F149</f>
        <v>3.2673611109203193E-2</v>
      </c>
      <c r="N149" s="7">
        <f t="shared" si="93"/>
        <v>47.049999997252598</v>
      </c>
      <c r="O149" s="7"/>
      <c r="P149" s="7"/>
      <c r="Q149" s="22"/>
      <c r="R149" s="174"/>
      <c r="S149" s="221">
        <f t="shared" ref="S149" si="209">1/IF(AG149="EC",12,1)*SUM(U149:U149)</f>
        <v>1</v>
      </c>
      <c r="T149" s="174" t="str">
        <f t="shared" ref="T149" si="210">IF(ISEVEN(LEFT(AD149,4)),"Southbound","NorthBound")</f>
        <v>Southbound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 t="shared" ref="V149" si="211"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-11-01T21:49:56-0600',mode:absolute,to:'2017-11-02T01:14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9" s="204" t="str">
        <f>IF(AA149&lt;VLOOKUP(AG149,Variables!$AC$3:$AD$8,2,FALSE),"Y","N")</f>
        <v>N</v>
      </c>
      <c r="X149" s="204">
        <f t="shared" ref="X149:X150" si="212">VALUE(LEFT(AD149,4))-VALUE(LEFT(AD148,4))</f>
        <v>1</v>
      </c>
      <c r="Y149" s="204">
        <v>23.291899999999998</v>
      </c>
      <c r="Z149" s="204">
        <v>1.9099999999999999E-2</v>
      </c>
      <c r="AA149" s="204">
        <f t="shared" ref="AA149" si="213">ABS(Z149-Y149)</f>
        <v>23.272799999999997</v>
      </c>
      <c r="AB149" s="54" t="e">
        <f>VLOOKUP(A149,Enforcements!$C$7:$K$10,8,0)</f>
        <v>#N/A</v>
      </c>
      <c r="AC149" s="51" t="e">
        <f>VLOOKUP(A149,Enforcements!$C$7:$E$10,3,0)</f>
        <v>#N/A</v>
      </c>
      <c r="AD149" s="179">
        <f t="shared" ref="AD149" si="214">VALUE(LEFT(A149,LEN(A149)-3))</f>
        <v>236</v>
      </c>
      <c r="AE149" s="77" t="str">
        <f t="shared" ref="AE149" si="215"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s3://rtdc.mdm.uploadarchive.raw/RTDC4053/ "%USERPROFILE%\AppData\Local\Temp\OnboardLogs"\RTDC4053\2017-11-01 --exclude "*" --recursive --include "*20171101*" &amp; "%USERPROFILE%\Documents\GitHub\mrs-test-scripts\Headless Mode &amp; Sideloading\WalkAndUnGZ.bat" "%USERPROFILE%\AppData\Local\Temp\OnboardLogs"\RTDC4053\2017-11-01 &amp; aws s3 cp s3://rtdc.mdm.uploadarchive.raw/RTDC4053/ "%USERPROFILE%\AppData\Local\Temp\OnboardLogs"\RTDC4053\2017-11-02 --exclude "*" --recursive --include "*20171102*" &amp; "%USERPROFILE%\Documents\GitHub\mrs-test-scripts\Headless Mode &amp; Sideloading\WalkAndUnGZ.bat" "%USERPROFILE%\AppData\Local\Temp\OnboardLogs"\RTDC4053\2017-11-02</v>
      </c>
      <c r="AF149" s="74" t="str">
        <f t="shared" ref="AF149" si="216"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/stypes="app*4053*20171102*" /stext=" 06:.+((SYSTEM_STATE.+slice.+state.+changed )|(ment ac)|(multiple cpu faults)|(system.+state.+changed )|(\[timeout)|(PRM\|1\|D)|(kpr)|(kdp)|(train st.+moving)|(\|lc)|(penalty))"</v>
      </c>
      <c r="AG149" s="182" t="str">
        <f t="shared" ref="AG149" si="217">DetSubdiv(A149)</f>
        <v>EC</v>
      </c>
      <c r="AH149" s="78" t="str">
        <f t="shared" ref="AH149" si="218">refinertdcruntimes&amp;" --tripid "&amp;A149&amp;" --locoid "&amp;B149&amp;" --swversion "&amp;C149&amp;" --startMP "&amp;D149&amp;" --initTime "&amp;TEXT(E149,"yyyy-mm-ddTHH:MM:SS")&amp;" --startdatetime "&amp;TEXT(F149,"yyyy-mm-ddTHH:MM:SS")&amp;" --delay "&amp;G149&amp;" --endMP "&amp;H149&amp;" --enddatetime "&amp;TEXT(I149,"yyyy-mm-ddTHH:MM:SS")&amp;" --enforcementcount "&amp;J149&amp;IF(outputrefinedruntimes," &gt;&gt;"&amp;RefinedRTDCRunTimesOutputFile,"")</f>
        <v>"%USERPROFILE%\Documents\GitHub\eaglep3\Utilities\RefineRTDCRunTimes.py" --tripid 236-01 --locoid 4053 --swversion DE.1.0.9.0 --startMP 204:232919 --initTime 2017-11-01T22:49:56 --startdatetime 2017-11-01T23:27:14 --delay 77 --endMP 204:191 --enddatetime 2017-11-02T00:14:17 --enforcementcount 0 &gt;&gt;%USERPROFILE%\Documents\GitHub\eaglep3-reporting\EC\2017-11-01-refined-times.txt</v>
      </c>
      <c r="AI149" s="96" t="str">
        <f t="shared" ref="AI149" si="219">"echo {""issue"":{""subject"":"""&amp;R149&amp;""",""project_id"":79,""tracker_id"":40,""status_id"":"&amp;redmine_status&amp;",""priority_id"":"&amp;redmine_priority&amp;",""assigned_to_id"":"&amp;redmine_assignee&amp;",""start_date"":"""&amp;TEXT(I149,"YYYY-mm-dd")&amp;""",""description"":"""&amp;AJ149&amp;""",""custom_fields"":[{""id"":1,""name"":""Subdivision"",""value"":"""&amp;AG149&amp;"""},{""id"":4,""name"":""Milepost"",""value"":"""&amp;Z149&amp;"""},{""id"":17,""name"":""Train ID"",""value"":"""&amp;A149&amp;"""},{""id"":16,""name"":""Locomotive ID"",""value"":"""&amp;B149&amp;"""},{""id"":130,""name"":""Impact"",""value"":"""&amp;AK149&amp;"""},{""id"":150,""name"":""Time of Event (Mountain Time)"",""value"":"""&amp;TEXT(I149,"hh:mm:ss")&amp;"""},{""id"":151,""name"":""Denver Issue ID"",""value"":"""&amp;"""},{""id"":178,""name"":""Operational Impact"",""value"":"""&amp;redmine_op_impact&amp;"""},{""id"":179,""name"":""Denver Segment Assigned"",""value"":"""&amp;AL149&amp;"""}]}}"&amp;"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{"issue":{"subject":"","project_id":79,"tracker_id":40,"status_id":1,"priority_id":2,"assigned_to_id":338,"start_date":"2017-11-02","description":"","custom_fields":[{"id":1,"name":"Subdivision","value":"EC"},{"id":4,"name":"Milepost","value":"0.0191"},{"id":17,"name":"Train ID","value":"236-01"},{"id":16,"name":"Locomotive ID","value":"4053"},{"id":130,"name":"Impact","value":""},{"id":150,"name":"Time of Event (Mountain Time)","value":"00:14:17"},{"id":151,"name":"Denver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47"/>
      <c r="AL149" s="47"/>
      <c r="AM149" s="142" t="str">
        <f t="shared" ref="AM149" si="220">"start /low /b "&amp;dls3logs&amp;" --loco "&amp;B149&amp;" --day "&amp;TEXT(F149,"YYYY-MM-DD")</f>
        <v>start /low /b %USERPROFILE%\Documents\GitHub\eaglep3\Utilities\DownloadLogsFromS3.py --loco 4053 --day 2017-11-01</v>
      </c>
      <c r="AN149" s="151" t="str">
        <f t="shared" ref="AN149" si="221">"echo {""issue"":{""subject"":"""&amp;R149&amp;""",""project_id"":30,""tracker_id"":4,""status_id"":"&amp;redmine_status_wcr&amp;",""priority_id"":"&amp;redmine_priority_wcr&amp;",""assigned_to_id"":"&amp;redmine_assignee_wcr&amp;",""start_date"":"""&amp;TEXT(I149-utc_offset/24,"YYYY-mm-dd")&amp;""",""description"":"""&amp;AJ149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06:14:17"},{"id":29,"name":"Sharepoint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ref="AO149" si="222"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Message%20ID',Summary),filters:!(),index:'emp_*',interval:auto,query:"&amp;"(query_string:(analyze_wildcard:!t,query:'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-11-01T21:49:56-0600',mode:absolute,to:'2017-11-02T01:14:17-0600'))&amp;_a=(columns:!('Message%20ID',Summary),filters:!(),index:'emp_*',interval:auto,query:(query_string:(analyze_wildcard:!t,query:'%22rtdc.l.rtdc.4053%22')),sort:!(Time.ISO8601,asc))</v>
      </c>
    </row>
    <row r="150" spans="1:91" s="20" customFormat="1" x14ac:dyDescent="0.25">
      <c r="A150" s="32" t="s">
        <v>858</v>
      </c>
      <c r="B150" s="7">
        <v>4064</v>
      </c>
      <c r="C150" s="21" t="s">
        <v>194</v>
      </c>
      <c r="D150" s="21" t="s">
        <v>972</v>
      </c>
      <c r="E150" s="13">
        <v>43040.954108796293</v>
      </c>
      <c r="F150" s="13">
        <v>43040.958611111113</v>
      </c>
      <c r="G150" s="7">
        <v>61</v>
      </c>
      <c r="H150" s="21" t="s">
        <v>973</v>
      </c>
      <c r="I150" s="13">
        <v>43040.984895833331</v>
      </c>
      <c r="J150" s="7">
        <v>0</v>
      </c>
      <c r="K150" s="89" t="str">
        <f t="shared" si="29"/>
        <v>4063/4064</v>
      </c>
      <c r="L150" s="185" t="str">
        <f>VLOOKUP(A150,'Trips&amp;Operators'!$C$1:$G$99911,5,FALSE)</f>
        <v>NICHOLSON WESLEY</v>
      </c>
      <c r="M150" s="6">
        <f t="shared" si="30"/>
        <v>2.6284722218406387E-2</v>
      </c>
      <c r="N150" s="7">
        <f t="shared" si="93"/>
        <v>37.849999994505197</v>
      </c>
      <c r="O150" s="7"/>
      <c r="P150" s="7"/>
      <c r="Q150" s="22"/>
      <c r="R150" s="174"/>
      <c r="S150" s="221">
        <f t="shared" si="31"/>
        <v>1</v>
      </c>
      <c r="T150" s="174" t="str">
        <f t="shared" si="32"/>
        <v>NorthBound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 t="shared" si="33"/>
        <v>https://d0f6bd738d7f1b3e5a7ca70fe4ff75f0.us-east-1.aws.found.io/app/kibana#/discover/Steve-Slow-Train-Analysis-(2080s-and-2083s)?_g=(refreshInterval:(display:Off,pause:!f,section:0,value:0),time:(from:'2017-11-01T21:53:55-0600',mode:absolute,to:'2017-11-02T00:38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0" s="204" t="str">
        <f>IF(AA150&lt;VLOOKUP(AG150,Variables!$AC$3:$AD$8,2,FALSE),"Y","N")</f>
        <v>N</v>
      </c>
      <c r="X150" s="204">
        <f t="shared" si="212"/>
        <v>1</v>
      </c>
      <c r="Y150" s="204">
        <f t="shared" si="94"/>
        <v>6.0400000000000002E-2</v>
      </c>
      <c r="Z150" s="204">
        <f t="shared" si="95"/>
        <v>23.317900000000002</v>
      </c>
      <c r="AA150" s="204">
        <f t="shared" si="37"/>
        <v>23.2575</v>
      </c>
      <c r="AB150" s="54" t="e">
        <f>VLOOKUP(A150,Enforcements!$C$7:$K$10,8,0)</f>
        <v>#N/A</v>
      </c>
      <c r="AC150" s="51" t="e">
        <f>VLOOKUP(A150,Enforcements!$C$7:$E$10,3,0)</f>
        <v>#N/A</v>
      </c>
      <c r="AD150" s="179">
        <f t="shared" si="38"/>
        <v>237</v>
      </c>
      <c r="AE150" s="77" t="str">
        <f t="shared" si="39"/>
        <v>aws s3 cp s3://rtdc.mdm.uploadarchive.raw/RTDC4064/ "%USERPROFILE%\AppData\Local\Temp\OnboardLogs"\RTDC4064\2017-11-01 --exclude "*" --recursive --include "*20171101*" &amp; "%USERPROFILE%\Documents\GitHub\mrs-test-scripts\Headless Mode &amp; Sideloading\WalkAndUnGZ.bat" "%USERPROFILE%\AppData\Local\Temp\OnboardLogs"\RTDC4064\2017-11-01 &amp; aws s3 cp s3://rtdc.mdm.uploadarchive.raw/RTDC4064/ "%USERPROFILE%\AppData\Local\Temp\OnboardLogs"\RTDC4064\2017-11-02 --exclude "*" --recursive --include "*20171102*" &amp; "%USERPROFILE%\Documents\GitHub\mrs-test-scripts\Headless Mode &amp; Sideloading\WalkAndUnGZ.bat" "%USERPROFILE%\AppData\Local\Temp\OnboardLogs"\RTDC4064\2017-11-02</v>
      </c>
      <c r="AF150" s="74" t="str">
        <f t="shared" si="40"/>
        <v>"C:\Program Files (x86)\AstroGrep\AstroGrep.exe" /e /r /s /spath="%USERPROFILE%\AppData\Local\Temp\OnboardLogs" /stypes="app*4064*20171102*" /stext=" 05:.+((SYSTEM_STATE.+slice.+state.+changed )|(ment ac)|(multiple cpu faults)|(system.+state.+changed )|(\[timeout)|(PRM\|1\|D)|(kpr)|(kdp)|(train st.+moving)|(\|lc)|(penalty))"</v>
      </c>
      <c r="AG150" s="182" t="str">
        <f t="shared" si="41"/>
        <v>EC</v>
      </c>
      <c r="AH150" s="78" t="str">
        <f t="shared" si="42"/>
        <v>"%USERPROFILE%\Documents\GitHub\eaglep3\Utilities\RefineRTDCRunTimes.py" --tripid 237-01 --locoid 4064 --swversion DE.1.0.9.0 --startMP 204:604 --initTime 2017-11-01T22:53:55 --startdatetime 2017-11-01T23:00:24 --delay 61 --endMP 204:233179 --enddatetime 2017-11-01T23:38:15 --enforcementcount 0 &gt;&gt;%USERPROFILE%\Documents\GitHub\eaglep3-reporting\EC\2017-11-01-refined-times.txt</v>
      </c>
      <c r="AI150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{"issue":{"subject":"","project_id":79,"tracker_id":40,"status_id":1,"priority_id":2,"assigned_to_id":338,"start_date":"2017-11-01","description":"","custom_fields":[{"id":1,"name":"Subdivision","value":"EC"},{"id":4,"name":"Milepost","value":"23.3179"},{"id":17,"name":"Train ID","value":"237-01"},{"id":16,"name":"Locomotive ID","value":"4064"},{"id":130,"name":"Impact","value":""},{"id":150,"name":"Time of Event (Mountain Time)","value":"23:38:15"},{"id":151,"name":"Denver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47"/>
      <c r="AL150" s="47"/>
      <c r="AM150" s="142" t="str">
        <f t="shared" si="44"/>
        <v>start /low /b %USERPROFILE%\Documents\GitHub\eaglep3\Utilities\DownloadLogsFromS3.py --loco 4064 --day 2017-11-01</v>
      </c>
      <c r="AN150" s="151" t="str">
        <f t="shared" si="45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05:38:15"},{"id":29,"name":"Sharepoint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si="46"/>
        <v>https://d0f6bd738d7f1b3e5a7ca70fe4ff75f0.us-east-1.aws.found.io/app/kibana#/discover/Steve-Slow-Train-Analysis-(2080s-and-2083s)?_g=(refreshInterval:(display:Off,pause:!f,section:0,value:0),time:(from:'2017-11-01T21:53:55-0600',mode:absolute,to:'2017-11-02T00:38:15-0600'))&amp;_a=(columns:!('Message%20ID',Summary),filters:!(),index:'emp_*',interval:auto,query:(query_string:(analyze_wildcard:!t,query:'%22rtdc.l.rtdc.4064%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862</v>
      </c>
      <c r="B151" s="7">
        <v>4063</v>
      </c>
      <c r="C151" s="21" t="s">
        <v>194</v>
      </c>
      <c r="D151" s="21" t="s">
        <v>974</v>
      </c>
      <c r="E151" s="13">
        <v>43040.995833333334</v>
      </c>
      <c r="F151" s="13">
        <v>43040.998263888891</v>
      </c>
      <c r="G151" s="7">
        <v>72</v>
      </c>
      <c r="H151" s="21" t="s">
        <v>587</v>
      </c>
      <c r="I151" s="13">
        <v>43041.02853009259</v>
      </c>
      <c r="J151" s="7">
        <v>0</v>
      </c>
      <c r="K151" s="89" t="str">
        <f t="shared" ref="K151:K215" si="223">IF(ISEVEN(B151),(B151-1)&amp;"/"&amp;B151,B151&amp;"/"&amp;(B151+1))</f>
        <v>4063/4064</v>
      </c>
      <c r="L151" s="185" t="str">
        <f>VLOOKUP(A151,'Trips&amp;Operators'!$C$1:$G$99911,5,FALSE)</f>
        <v>NICHOLSON WESLEY</v>
      </c>
      <c r="M151" s="6">
        <f t="shared" ref="M151:M215" si="224">I151-F151</f>
        <v>3.0266203699284233E-2</v>
      </c>
      <c r="N151" s="7">
        <f t="shared" si="93"/>
        <v>43.583333326969296</v>
      </c>
      <c r="O151" s="7"/>
      <c r="P151" s="7"/>
      <c r="Q151" s="22"/>
      <c r="R151" s="174"/>
      <c r="S151" s="221">
        <f t="shared" ref="S151:S215" si="225">1/IF(AG151="EC",12,1)*SUM(U151:U151)</f>
        <v>1</v>
      </c>
      <c r="T151" s="174" t="str">
        <f t="shared" ref="T151:T215" si="226">IF(ISEVEN(LEFT(AD151,4)),"Southbound","NorthBound")</f>
        <v>Southbound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 t="shared" ref="V151:V215" si="227"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-11-01T22:54:00-0600',mode:absolute,to:'2017-11-02T01:41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51" s="204" t="str">
        <f>IF(AA151&lt;VLOOKUP(AG151,Variables!$AC$3:$AD$8,2,FALSE),"Y","N")</f>
        <v>N</v>
      </c>
      <c r="X151" s="204">
        <f t="shared" si="96"/>
        <v>1</v>
      </c>
      <c r="Y151" s="204">
        <f t="shared" si="94"/>
        <v>23.2866</v>
      </c>
      <c r="Z151" s="204">
        <f t="shared" si="95"/>
        <v>3.2199999999999999E-2</v>
      </c>
      <c r="AA151" s="204">
        <f t="shared" ref="AA151:AA215" si="228">ABS(Z151-Y151)</f>
        <v>23.2544</v>
      </c>
      <c r="AB151" s="54" t="e">
        <f>VLOOKUP(A151,Enforcements!$C$7:$K$10,8,0)</f>
        <v>#N/A</v>
      </c>
      <c r="AC151" s="51" t="e">
        <f>VLOOKUP(A151,Enforcements!$C$7:$E$10,3,0)</f>
        <v>#N/A</v>
      </c>
      <c r="AD151" s="179">
        <f t="shared" ref="AD151:AD215" si="229">VALUE(LEFT(A151,LEN(A151)-3))</f>
        <v>238</v>
      </c>
      <c r="AE151" s="77" t="str">
        <f t="shared" ref="AE151:AE215" si="230"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s3://rtdc.mdm.uploadarchive.raw/RTDC4063/ "%USERPROFILE%\AppData\Local\Temp\OnboardLogs"\RTDC4063\2017-11-01 --exclude "*" --recursive --include "*20171101*" &amp; "%USERPROFILE%\Documents\GitHub\mrs-test-scripts\Headless Mode &amp; Sideloading\WalkAndUnGZ.bat" "%USERPROFILE%\AppData\Local\Temp\OnboardLogs"\RTDC4063\2017-11-01 &amp; aws s3 cp s3://rtdc.mdm.uploadarchive.raw/RTDC4063/ "%USERPROFILE%\AppData\Local\Temp\OnboardLogs"\RTDC4063\2017-11-02 --exclude "*" --recursive --include "*20171102*" &amp; "%USERPROFILE%\Documents\GitHub\mrs-test-scripts\Headless Mode &amp; Sideloading\WalkAndUnGZ.bat" "%USERPROFILE%\AppData\Local\Temp\OnboardLogs"\RTDC4063\2017-11-02</v>
      </c>
      <c r="AF151" s="74" t="str">
        <f t="shared" ref="AF151:AF215" si="231"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/stypes="app*4063*20171102*" /stext=" 06:.+((SYSTEM_STATE.+slice.+state.+changed )|(ment ac)|(multiple cpu faults)|(system.+state.+changed )|(\[timeout)|(PRM\|1\|D)|(kpr)|(kdp)|(train st.+moving)|(\|lc)|(penalty))"</v>
      </c>
      <c r="AG151" s="182" t="str">
        <f t="shared" ref="AG151:AG215" si="232">DetSubdiv(A151)</f>
        <v>EC</v>
      </c>
      <c r="AH151" s="78" t="str">
        <f t="shared" si="42"/>
        <v>"%USERPROFILE%\Documents\GitHub\eaglep3\Utilities\RefineRTDCRunTimes.py" --tripid 238-01 --locoid 4063 --swversion DE.1.0.9.0 --startMP 204:232866 --initTime 2017-11-01T23:54:00 --startdatetime 2017-11-01T23:57:30 --delay 72 --endMP 204:322 --enddatetime 2017-11-02T00:41:05 --enforcementcount 0 &gt;&gt;%USERPROFILE%\Documents\GitHub\eaglep3-reporting\EC\2017-11-01-refined-times.txt</v>
      </c>
      <c r="AI151" s="96" t="str">
        <f t="shared" si="43"/>
        <v>echo {"issue":{"subject":"","project_id":79,"tracker_id":40,"status_id":1,"priority_id":2,"assigned_to_id":338,"start_date":"2017-11-02","description":"","custom_fields":[{"id":1,"name":"Subdivision","value":"EC"},{"id":4,"name":"Milepost","value":"0.0322"},{"id":17,"name":"Train ID","value":"238-01"},{"id":16,"name":"Locomotive ID","value":"4063"},{"id":130,"name":"Impact","value":""},{"id":150,"name":"Time of Event (Mountain Time)","value":"00:41:05"},{"id":151,"name":"Denver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47"/>
      <c r="AL151" s="47"/>
      <c r="AM151" s="142" t="str">
        <f t="shared" si="44"/>
        <v>start /low /b %USERPROFILE%\Documents\GitHub\eaglep3\Utilities\DownloadLogsFromS3.py --loco 4063 --day 2017-11-01</v>
      </c>
      <c r="AN151" s="151" t="str">
        <f t="shared" si="45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06:41:05"},{"id":29,"name":"Sharepoint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si="46"/>
        <v>https://d0f6bd738d7f1b3e5a7ca70fe4ff75f0.us-east-1.aws.found.io/app/kibana#/discover/Steve-Slow-Train-Analysis-(2080s-and-2083s)?_g=(refreshInterval:(display:Off,pause:!f,section:0,value:0),time:(from:'2017-11-01T22:54:00-0600',mode:absolute,to:'2017-11-02T01:41:05-0600'))&amp;_a=(columns:!('Message%20ID',Summary),filters:!(),index:'emp_*',interval:auto,query:(query_string:(analyze_wildcard:!t,query:'%22rtdc.l.rtdc.4063%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649</v>
      </c>
      <c r="B152" s="7">
        <v>4004</v>
      </c>
      <c r="C152" s="21" t="s">
        <v>194</v>
      </c>
      <c r="D152" s="21" t="s">
        <v>398</v>
      </c>
      <c r="E152" s="13">
        <v>43040.977025462962</v>
      </c>
      <c r="F152" s="13">
        <v>43040.979351851849</v>
      </c>
      <c r="G152" s="7">
        <v>54</v>
      </c>
      <c r="H152" s="21" t="s">
        <v>975</v>
      </c>
      <c r="I152" s="13">
        <v>43041.004340277781</v>
      </c>
      <c r="J152" s="7">
        <v>0</v>
      </c>
      <c r="K152" s="89" t="str">
        <f t="shared" si="223"/>
        <v>4003/4004</v>
      </c>
      <c r="L152" s="185" t="str">
        <f>VLOOKUP(A152,'Trips&amp;Operators'!$C$1:$G$99911,5,FALSE)</f>
        <v>MAGEE KENYA</v>
      </c>
      <c r="M152" s="6">
        <f t="shared" si="224"/>
        <v>2.4988425931951497E-2</v>
      </c>
      <c r="N152" s="7">
        <f t="shared" si="93"/>
        <v>35.983333342010155</v>
      </c>
      <c r="O152" s="7"/>
      <c r="P152" s="7"/>
      <c r="Q152" s="22"/>
      <c r="R152" s="174"/>
      <c r="S152" s="221">
        <f t="shared" si="225"/>
        <v>1</v>
      </c>
      <c r="T152" s="174" t="str">
        <f t="shared" si="226"/>
        <v>NorthBound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 t="shared" si="227"/>
        <v>https://d0f6bd738d7f1b3e5a7ca70fe4ff75f0.us-east-1.aws.found.io/app/kibana#/discover/Steve-Slow-Train-Analysis-(2080s-and-2083s)?_g=(refreshInterval:(display:Off,pause:!f,section:0,value:0),time:(from:'2017-11-01T22:26:55-0600',mode:absolute,to:'2017-11-02T01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2" s="204" t="str">
        <f>IF(AA152&lt;VLOOKUP(AG152,Variables!$AC$3:$AD$8,2,FALSE),"Y","N")</f>
        <v>N</v>
      </c>
      <c r="X152" s="204">
        <f t="shared" si="96"/>
        <v>1</v>
      </c>
      <c r="Y152" s="204">
        <f t="shared" si="94"/>
        <v>5.7299999999999997E-2</v>
      </c>
      <c r="Z152" s="204">
        <f t="shared" si="95"/>
        <v>23.3308</v>
      </c>
      <c r="AA152" s="204">
        <f t="shared" si="228"/>
        <v>23.273499999999999</v>
      </c>
      <c r="AB152" s="54" t="str">
        <f>VLOOKUP(A152,Enforcements!$C$7:$K$10,8,0)</f>
        <v>Bulletin (2)</v>
      </c>
      <c r="AC152" s="51" t="str">
        <f>VLOOKUP(A152,Enforcements!$C$7:$E$10,3,0)</f>
        <v>GRADE CROSSING</v>
      </c>
      <c r="AD152" s="179">
        <f t="shared" si="229"/>
        <v>239</v>
      </c>
      <c r="AE152" s="77" t="str">
        <f t="shared" si="230"/>
        <v>aws s3 cp s3://rtdc.mdm.uploadarchive.raw/RTDC4004/ "%USERPROFILE%\AppData\Local\Temp\OnboardLogs"\RTDC4004\2017-11-01 --exclude "*" --recursive --include "*20171101*" &amp; "%USERPROFILE%\Documents\GitHub\mrs-test-scripts\Headless Mode &amp; Sideloading\WalkAndUnGZ.bat" "%USERPROFILE%\AppData\Local\Temp\OnboardLogs"\RTDC4004\2017-11-01 &amp; aws s3 cp s3://rtdc.mdm.uploadarchive.raw/RTDC4004/ "%USERPROFILE%\AppData\Local\Temp\OnboardLogs"\RTDC4004\2017-11-02 --exclude "*" --recursive --include "*20171102*" &amp; "%USERPROFILE%\Documents\GitHub\mrs-test-scripts\Headless Mode &amp; Sideloading\WalkAndUnGZ.bat" "%USERPROFILE%\AppData\Local\Temp\OnboardLogs"\RTDC4004\2017-11-02</v>
      </c>
      <c r="AF152" s="74" t="str">
        <f t="shared" si="231"/>
        <v>"C:\Program Files (x86)\AstroGrep\AstroGrep.exe" /e /r /s /spath="%USERPROFILE%\AppData\Local\Temp\OnboardLogs" /stypes="app*4004*20171102*" /stext=" 06:.+((SYSTEM_STATE.+slice.+state.+changed )|(ment ac)|(multiple cpu faults)|(system.+state.+changed )|(\[timeout)|(PRM\|1\|D)|(kpr)|(kdp)|(train st.+moving)|(\|lc)|(penalty))"</v>
      </c>
      <c r="AG152" s="182" t="str">
        <f t="shared" si="232"/>
        <v>EC</v>
      </c>
      <c r="AH152" s="78" t="str">
        <f t="shared" si="42"/>
        <v>"%USERPROFILE%\Documents\GitHub\eaglep3\Utilities\RefineRTDCRunTimes.py" --tripid 239-01 --locoid 4004 --swversion DE.1.0.9.0 --startMP 204:573 --initTime 2017-11-01T23:26:55 --startdatetime 2017-11-01T23:30:16 --delay 54 --endMP 204:233308 --enddatetime 2017-11-02T00:06:15 --enforcementcount 0 &gt;&gt;%USERPROFILE%\Documents\GitHub\eaglep3-reporting\EC\2017-11-01-refined-times.txt</v>
      </c>
      <c r="AI152" s="96" t="str">
        <f t="shared" si="43"/>
        <v>echo {"issue":{"subject":"","project_id":79,"tracker_id":40,"status_id":1,"priority_id":2,"assigned_to_id":338,"start_date":"2017-11-02","description":"","custom_fields":[{"id":1,"name":"Subdivision","value":"EC"},{"id":4,"name":"Milepost","value":"23.3308"},{"id":17,"name":"Train ID","value":"239-01"},{"id":16,"name":"Locomotive ID","value":"4004"},{"id":130,"name":"Impact","value":""},{"id":150,"name":"Time of Event (Mountain Time)","value":"00:06:15"},{"id":151,"name":"Denver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47"/>
      <c r="AL152" s="47"/>
      <c r="AM152" s="142" t="str">
        <f t="shared" si="44"/>
        <v>start /low /b %USERPROFILE%\Documents\GitHub\eaglep3\Utilities\DownloadLogsFromS3.py --loco 4004 --day 2017-11-01</v>
      </c>
      <c r="AN152" s="151" t="str">
        <f t="shared" si="45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06:06:15"},{"id":29,"name":"Sharepoint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46"/>
        <v>https://d0f6bd738d7f1b3e5a7ca70fe4ff75f0.us-east-1.aws.found.io/app/kibana#/discover/Steve-Slow-Train-Analysis-(2080s-and-2083s)?_g=(refreshInterval:(display:Off,pause:!f,section:0,value:0),time:(from:'2017-11-01T22:26:55-0600',mode:absolute,to:'2017-11-02T01:06:15-0600'))&amp;_a=(columns:!('Message%20ID',Summary),filters:!(),index:'emp_*',interval:auto,query:(query_string:(analyze_wildcard:!t,query:'%22rtdc.l.rtdc.4004%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650</v>
      </c>
      <c r="B153" s="7">
        <v>4003</v>
      </c>
      <c r="C153" s="21" t="s">
        <v>194</v>
      </c>
      <c r="D153" s="21" t="s">
        <v>398</v>
      </c>
      <c r="E153" s="13">
        <v>43040.977025462962</v>
      </c>
      <c r="F153" s="13">
        <v>43041.018946759257</v>
      </c>
      <c r="G153" s="7">
        <v>54</v>
      </c>
      <c r="H153" s="21" t="s">
        <v>975</v>
      </c>
      <c r="I153" s="13">
        <v>43041.050671296296</v>
      </c>
      <c r="J153" s="7">
        <v>0</v>
      </c>
      <c r="K153" s="89" t="str">
        <f t="shared" ref="K153" si="233">IF(ISEVEN(B153),(B153-1)&amp;"/"&amp;B153,B153&amp;"/"&amp;(B153+1))</f>
        <v>4003/4004</v>
      </c>
      <c r="L153" s="185" t="str">
        <f>VLOOKUP(A153,'Trips&amp;Operators'!$C$1:$G$99911,5,FALSE)</f>
        <v>MAGEE KENYA</v>
      </c>
      <c r="M153" s="6">
        <f t="shared" ref="M153" si="234">I153-F153</f>
        <v>3.1724537038826384E-2</v>
      </c>
      <c r="N153" s="7">
        <f t="shared" si="93"/>
        <v>45.683333335909992</v>
      </c>
      <c r="O153" s="7"/>
      <c r="P153" s="7"/>
      <c r="Q153" s="22"/>
      <c r="R153" s="174"/>
      <c r="S153" s="221">
        <f t="shared" ref="S153" si="235">1/IF(AG153="EC",12,1)*SUM(U153:U153)</f>
        <v>1</v>
      </c>
      <c r="T153" s="174" t="str">
        <f t="shared" ref="T153" si="236">IF(ISEVEN(LEFT(AD153,4)),"Southbound","NorthBound")</f>
        <v>Southbound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 t="shared" ref="V153" si="237"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-11-01T22:26:55-0600',mode:absolute,to:'2017-11-02T02:12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3" s="204" t="str">
        <f>IF(AA153&lt;VLOOKUP(AG153,Variables!$AC$3:$AD$8,2,FALSE),"Y","N")</f>
        <v>N</v>
      </c>
      <c r="X153" s="204">
        <f t="shared" ref="X153:X155" si="238">VALUE(LEFT(AD153,4))-VALUE(LEFT(AD152,4))</f>
        <v>1</v>
      </c>
      <c r="Y153" s="204">
        <v>23.2866</v>
      </c>
      <c r="Z153" s="204">
        <v>3.2199999999999999E-2</v>
      </c>
      <c r="AA153" s="204">
        <f t="shared" ref="AA153" si="239">ABS(Z153-Y153)</f>
        <v>23.2544</v>
      </c>
      <c r="AB153" s="54" t="e">
        <f>VLOOKUP(A153,Enforcements!$C$7:$K$10,8,0)</f>
        <v>#N/A</v>
      </c>
      <c r="AC153" s="51" t="e">
        <f>VLOOKUP(A153,Enforcements!$C$7:$E$10,3,0)</f>
        <v>#N/A</v>
      </c>
      <c r="AD153" s="179">
        <f t="shared" ref="AD153" si="240">VALUE(LEFT(A153,LEN(A153)-3))</f>
        <v>240</v>
      </c>
      <c r="AE153" s="77" t="str">
        <f t="shared" ref="AE153" si="241"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s3://rtdc.mdm.uploadarchive.raw/RTDC4003/ "%USERPROFILE%\AppData\Local\Temp\OnboardLogs"\RTDC4003\2017-11-02 --exclude "*" --recursive --include "*20171102*" &amp; "%USERPROFILE%\Documents\GitHub\mrs-test-scripts\Headless Mode &amp; Sideloading\WalkAndUnGZ.bat" "%USERPROFILE%\AppData\Local\Temp\OnboardLogs"\RTDC4003\2017-11-02 &amp; aws s3 cp s3://rtdc.mdm.uploadarchive.raw/RTDC4003/ "%USERPROFILE%\AppData\Local\Temp\OnboardLogs"\RTDC4003\2017-11-03 --exclude "*" --recursive --include "*20171103*" &amp; "%USERPROFILE%\Documents\GitHub\mrs-test-scripts\Headless Mode &amp; Sideloading\WalkAndUnGZ.bat" "%USERPROFILE%\AppData\Local\Temp\OnboardLogs"\RTDC4003\2017-11-03</v>
      </c>
      <c r="AF153" s="74" t="str">
        <f t="shared" ref="AF153" si="242"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/stypes="app*4003*20171102*" /stext=" 07:.+((SYSTEM_STATE.+slice.+state.+changed )|(ment ac)|(multiple cpu faults)|(system.+state.+changed )|(\[timeout)|(PRM\|1\|D)|(kpr)|(kdp)|(train st.+moving)|(\|lc)|(penalty))"</v>
      </c>
      <c r="AG153" s="182" t="str">
        <f t="shared" ref="AG153" si="243">DetSubdiv(A153)</f>
        <v>EC</v>
      </c>
      <c r="AH153" s="78" t="str">
        <f t="shared" ref="AH153" si="244">refinertdcruntimes&amp;" --tripid "&amp;A153&amp;" --locoid "&amp;B153&amp;" --swversion "&amp;C153&amp;" --startMP "&amp;D153&amp;" --initTime "&amp;TEXT(E153,"yyyy-mm-ddTHH:MM:SS")&amp;" --startdatetime "&amp;TEXT(F153,"yyyy-mm-ddTHH:MM:SS")&amp;" --delay "&amp;G153&amp;" --endMP "&amp;H153&amp;" --enddatetime "&amp;TEXT(I153,"yyyy-mm-ddTHH:MM:SS")&amp;" --enforcementcount "&amp;J153&amp;IF(outputrefinedruntimes," &gt;&gt;"&amp;RefinedRTDCRunTimesOutputFile,"")</f>
        <v>"%USERPROFILE%\Documents\GitHub\eaglep3\Utilities\RefineRTDCRunTimes.py" --tripid 240-01 --locoid 4003 --swversion DE.1.0.9.0 --startMP 204:573 --initTime 2017-11-01T23:26:55 --startdatetime 2017-11-02T00:27:17 --delay 54 --endMP 204:233308 --enddatetime 2017-11-02T01:12:58 --enforcementcount 0 &gt;&gt;%USERPROFILE%\Documents\GitHub\eaglep3-reporting\EC\2017-11-01-refined-times.txt</v>
      </c>
      <c r="AI153" s="96" t="str">
        <f t="shared" ref="AI153" si="245">"echo {""issue"":{""subject"":"""&amp;R153&amp;""",""project_id"":79,""tracker_id"":40,""status_id"":"&amp;redmine_status&amp;",""priority_id"":"&amp;redmine_priority&amp;",""assigned_to_id"":"&amp;redmine_assignee&amp;",""start_date"":"""&amp;TEXT(I153,"YYYY-mm-dd")&amp;""",""description"":"""&amp;AJ153&amp;""",""custom_fields"":[{""id"":1,""name"":""Subdivision"",""value"":"""&amp;AG153&amp;"""},{""id"":4,""name"":""Milepost"",""value"":"""&amp;Z153&amp;"""},{""id"":17,""name"":""Train ID"",""value"":"""&amp;A153&amp;"""},{""id"":16,""name"":""Locomotive ID"",""value"":"""&amp;B153&amp;"""},{""id"":130,""name"":""Impact"",""value"":"""&amp;AK153&amp;"""},{""id"":150,""name"":""Time of Event (Mountain Time)"",""value"":"""&amp;TEXT(I153,"hh:mm:ss")&amp;"""},{""id"":151,""name"":""Denver Issue ID"",""value"":"""&amp;"""},{""id"":178,""name"":""Operational Impact"",""value"":"""&amp;redmine_op_impact&amp;"""},{""id"":179,""name"":""Denver Segment Assigned"",""value"":"""&amp;AL153&amp;"""}]}}"&amp;"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{"issue":{"subject":"","project_id":79,"tracker_id":40,"status_id":1,"priority_id":2,"assigned_to_id":338,"start_date":"2017-11-02","description":"","custom_fields":[{"id":1,"name":"Subdivision","value":"EC"},{"id":4,"name":"Milepost","value":"0.0322"},{"id":17,"name":"Train ID","value":"240-01"},{"id":16,"name":"Locomotive ID","value":"4003"},{"id":130,"name":"Impact","value":""},{"id":150,"name":"Time of Event (Mountain Time)","value":"01:12:58"},{"id":151,"name":"Denver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47"/>
      <c r="AL153" s="47"/>
      <c r="AM153" s="142" t="str">
        <f t="shared" ref="AM153" si="246">"start /low /b "&amp;dls3logs&amp;" --loco "&amp;B153&amp;" --day "&amp;TEXT(F153,"YYYY-MM-DD")</f>
        <v>start /low /b %USERPROFILE%\Documents\GitHub\eaglep3\Utilities\DownloadLogsFromS3.py --loco 4003 --day 2017-11-02</v>
      </c>
      <c r="AN153" s="151" t="str">
        <f t="shared" ref="AN153" si="247">"echo {""issue"":{""subject"":"""&amp;R153&amp;""",""project_id"":30,""tracker_id"":4,""status_id"":"&amp;redmine_status_wcr&amp;",""priority_id"":"&amp;redmine_priority_wcr&amp;",""assigned_to_id"":"&amp;redmine_assignee_wcr&amp;",""start_date"":"""&amp;TEXT(I153-utc_offset/24,"YYYY-mm-dd")&amp;""",""description"":"""&amp;AJ153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07:12:58"},{"id":29,"name":"Sharepoint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ref="AO153" si="248"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Message%20ID',Summary),filters:!(),index:'emp_*',interval:auto,query:"&amp;"(query_string:(analyze_wildcard:!t,query:'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-11-01T22:26:55-0600',mode:absolute,to:'2017-11-02T02:12:58-0600'))&amp;_a=(columns:!('Message%20ID',Summary),filters:!(),index:'emp_*',interval:auto,query:(query_string:(analyze_wildcard:!t,query:'%22rtdc.l.rtdc.4003%22')),sort:!(Time.ISO8601,asc))</v>
      </c>
    </row>
    <row r="154" spans="1:91" s="20" customFormat="1" x14ac:dyDescent="0.25">
      <c r="A154" s="32" t="s">
        <v>863</v>
      </c>
      <c r="B154" s="7">
        <v>4050</v>
      </c>
      <c r="C154" s="21" t="s">
        <v>194</v>
      </c>
      <c r="D154" s="21" t="s">
        <v>976</v>
      </c>
      <c r="E154" s="13">
        <v>43040.998055555552</v>
      </c>
      <c r="F154" s="13">
        <v>43041.003576388888</v>
      </c>
      <c r="G154" s="7">
        <v>62</v>
      </c>
      <c r="H154" s="21" t="s">
        <v>872</v>
      </c>
      <c r="I154" s="13">
        <v>43041.027685185189</v>
      </c>
      <c r="J154" s="7">
        <v>0</v>
      </c>
      <c r="K154" s="89" t="str">
        <f t="shared" si="223"/>
        <v>4049/4050</v>
      </c>
      <c r="L154" s="185" t="str">
        <f>VLOOKUP(A154,'Trips&amp;Operators'!$C$1:$G$99911,5,FALSE)</f>
        <v>LOZA FIDEL</v>
      </c>
      <c r="M154" s="6">
        <f t="shared" si="224"/>
        <v>2.4108796300424729E-2</v>
      </c>
      <c r="N154" s="7">
        <f t="shared" si="93"/>
        <v>34.716666672611609</v>
      </c>
      <c r="O154" s="7"/>
      <c r="P154" s="7"/>
      <c r="Q154" s="22"/>
      <c r="R154" s="174"/>
      <c r="S154" s="221">
        <f t="shared" si="225"/>
        <v>1</v>
      </c>
      <c r="T154" s="174" t="str">
        <f t="shared" si="226"/>
        <v>NorthBound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 t="shared" si="227"/>
        <v>https://d0f6bd738d7f1b3e5a7ca70fe4ff75f0.us-east-1.aws.found.io/app/kibana#/discover/Steve-Slow-Train-Analysis-(2080s-and-2083s)?_g=(refreshInterval:(display:Off,pause:!f,section:0,value:0),time:(from:'2017-11-01T22:57:12-0600',mode:absolute,to:'2017-11-02T01:39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4" s="204" t="str">
        <f>IF(AA154&lt;VLOOKUP(AG154,Variables!$AC$3:$AD$8,2,FALSE),"Y","N")</f>
        <v>N</v>
      </c>
      <c r="X154" s="204">
        <f t="shared" si="238"/>
        <v>1</v>
      </c>
      <c r="Y154" s="204">
        <f t="shared" si="94"/>
        <v>4.9799999999999997E-2</v>
      </c>
      <c r="Z154" s="204">
        <f t="shared" si="95"/>
        <v>23.325500000000002</v>
      </c>
      <c r="AA154" s="204">
        <f t="shared" si="228"/>
        <v>23.275700000000001</v>
      </c>
      <c r="AB154" s="54" t="e">
        <f>VLOOKUP(A154,Enforcements!$C$7:$K$10,8,0)</f>
        <v>#N/A</v>
      </c>
      <c r="AC154" s="51" t="e">
        <f>VLOOKUP(A154,Enforcements!$C$7:$E$10,3,0)</f>
        <v>#N/A</v>
      </c>
      <c r="AD154" s="179">
        <f t="shared" si="229"/>
        <v>241</v>
      </c>
      <c r="AE154" s="77" t="str">
        <f t="shared" si="230"/>
        <v>aws s3 cp s3://rtdc.mdm.uploadarchive.raw/RTDC4050/ "%USERPROFILE%\AppData\Local\Temp\OnboardLogs"\RTDC4050\2017-11-02 --exclude "*" --recursive --include "*20171102*" &amp; "%USERPROFILE%\Documents\GitHub\mrs-test-scripts\Headless Mode &amp; Sideloading\WalkAndUnGZ.bat" "%USERPROFILE%\AppData\Local\Temp\OnboardLogs"\RTDC4050\2017-11-02 &amp; aws s3 cp s3://rtdc.mdm.uploadarchive.raw/RTDC4050/ "%USERPROFILE%\AppData\Local\Temp\OnboardLogs"\RTDC4050\2017-11-03 --exclude "*" --recursive --include "*20171103*" &amp; "%USERPROFILE%\Documents\GitHub\mrs-test-scripts\Headless Mode &amp; Sideloading\WalkAndUnGZ.bat" "%USERPROFILE%\AppData\Local\Temp\OnboardLogs"\RTDC4050\2017-11-03</v>
      </c>
      <c r="AF154" s="74" t="str">
        <f t="shared" si="231"/>
        <v>"C:\Program Files (x86)\AstroGrep\AstroGrep.exe" /e /r /s /spath="%USERPROFILE%\AppData\Local\Temp\OnboardLogs" /stypes="app*4050*20171102*" /stext=" 06:.+((SYSTEM_STATE.+slice.+state.+changed )|(ment ac)|(multiple cpu faults)|(system.+state.+changed )|(\[timeout)|(PRM\|1\|D)|(kpr)|(kdp)|(train st.+moving)|(\|lc)|(penalty))"</v>
      </c>
      <c r="AG154" s="182" t="str">
        <f t="shared" si="232"/>
        <v>EC</v>
      </c>
      <c r="AH154" s="78" t="str">
        <f t="shared" si="42"/>
        <v>"%USERPROFILE%\Documents\GitHub\eaglep3\Utilities\RefineRTDCRunTimes.py" --tripid 241-01 --locoid 4050 --swversion DE.1.0.9.0 --startMP 204:498 --initTime 2017-11-01T23:57:12 --startdatetime 2017-11-02T00:05:09 --delay 62 --endMP 204:233255 --enddatetime 2017-11-02T00:39:52 --enforcementcount 0 &gt;&gt;%USERPROFILE%\Documents\GitHub\eaglep3-reporting\EC\2017-11-01-refined-times.txt</v>
      </c>
      <c r="AI154" s="96" t="str">
        <f t="shared" si="43"/>
        <v>echo {"issue":{"subject":"","project_id":79,"tracker_id":40,"status_id":1,"priority_id":2,"assigned_to_id":338,"start_date":"2017-11-02","description":"","custom_fields":[{"id":1,"name":"Subdivision","value":"EC"},{"id":4,"name":"Milepost","value":"23.3255"},{"id":17,"name":"Train ID","value":"241-01"},{"id":16,"name":"Locomotive ID","value":"4050"},{"id":130,"name":"Impact","value":""},{"id":150,"name":"Time of Event (Mountain Time)","value":"00:39:52"},{"id":151,"name":"Denver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47"/>
      <c r="AL154" s="47"/>
      <c r="AM154" s="142" t="str">
        <f t="shared" si="44"/>
        <v>start /low /b %USERPROFILE%\Documents\GitHub\eaglep3\Utilities\DownloadLogsFromS3.py --loco 4050 --day 2017-11-02</v>
      </c>
      <c r="AN154" s="151" t="str">
        <f t="shared" si="45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06:39:52"},{"id":29,"name":"Sharepoint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46"/>
        <v>https://d0f6bd738d7f1b3e5a7ca70fe4ff75f0.us-east-1.aws.found.io/app/kibana#/discover/Steve-Slow-Train-Analysis-(2080s-and-2083s)?_g=(refreshInterval:(display:Off,pause:!f,section:0,value:0),time:(from:'2017-11-01T22:57:12-0600',mode:absolute,to:'2017-11-02T01:39:52-0600'))&amp;_a=(columns:!('Message%20ID',Summary),filters:!(),index:'emp_*',interval:auto,query:(query_string:(analyze_wildcard:!t,query:'%22rtdc.l.rtdc.4050%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865</v>
      </c>
      <c r="B155" s="7">
        <v>4049</v>
      </c>
      <c r="C155" s="21" t="s">
        <v>194</v>
      </c>
      <c r="D155" s="21" t="s">
        <v>885</v>
      </c>
      <c r="E155" s="13">
        <v>43041.038402777776</v>
      </c>
      <c r="F155" s="13">
        <v>43041.039884259262</v>
      </c>
      <c r="G155" s="7">
        <v>56</v>
      </c>
      <c r="H155" s="21" t="s">
        <v>977</v>
      </c>
      <c r="I155" s="13">
        <v>43041.065462962964</v>
      </c>
      <c r="J155" s="7">
        <v>0</v>
      </c>
      <c r="K155" s="89" t="str">
        <f t="shared" si="223"/>
        <v>4049/4050</v>
      </c>
      <c r="L155" s="185" t="str">
        <f>VLOOKUP(A155,'Trips&amp;Operators'!$C$1:$G$99911,5,FALSE)</f>
        <v>LOZA FIDEL</v>
      </c>
      <c r="M155" s="6">
        <f t="shared" si="224"/>
        <v>2.5578703702194616E-2</v>
      </c>
      <c r="N155" s="7">
        <f t="shared" si="93"/>
        <v>36.833333331160247</v>
      </c>
      <c r="O155" s="7"/>
      <c r="P155" s="7"/>
      <c r="Q155" s="22"/>
      <c r="R155" s="174"/>
      <c r="S155" s="221">
        <f t="shared" si="225"/>
        <v>1</v>
      </c>
      <c r="T155" s="174" t="str">
        <f t="shared" si="226"/>
        <v>Southbound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 t="shared" si="227"/>
        <v>https://d0f6bd738d7f1b3e5a7ca70fe4ff75f0.us-east-1.aws.found.io/app/kibana#/discover/Steve-Slow-Train-Analysis-(2080s-and-2083s)?_g=(refreshInterval:(display:Off,pause:!f,section:0,value:0),time:(from:'2017-11-01T23:55:18-0600',mode:absolute,to:'2017-11-02T02:34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5" s="204" t="str">
        <f>IF(AA155&lt;VLOOKUP(AG155,Variables!$AC$3:$AD$8,2,FALSE),"Y","N")</f>
        <v>N</v>
      </c>
      <c r="X155" s="204">
        <f t="shared" si="238"/>
        <v>1</v>
      </c>
      <c r="Y155" s="204">
        <f t="shared" si="94"/>
        <v>23.295300000000001</v>
      </c>
      <c r="Z155" s="204">
        <f t="shared" si="95"/>
        <v>1.89E-2</v>
      </c>
      <c r="AA155" s="204">
        <f t="shared" si="228"/>
        <v>23.276400000000002</v>
      </c>
      <c r="AB155" s="54" t="e">
        <f>VLOOKUP(A155,Enforcements!$C$7:$K$10,8,0)</f>
        <v>#N/A</v>
      </c>
      <c r="AC155" s="51" t="e">
        <f>VLOOKUP(A155,Enforcements!$C$7:$E$10,3,0)</f>
        <v>#N/A</v>
      </c>
      <c r="AD155" s="179">
        <f t="shared" si="229"/>
        <v>242</v>
      </c>
      <c r="AE155" s="77" t="str">
        <f t="shared" si="230"/>
        <v>aws s3 cp s3://rtdc.mdm.uploadarchive.raw/RTDC4049/ "%USERPROFILE%\AppData\Local\Temp\OnboardLogs"\RTDC4049\2017-11-02 --exclude "*" --recursive --include "*20171102*" &amp; "%USERPROFILE%\Documents\GitHub\mrs-test-scripts\Headless Mode &amp; Sideloading\WalkAndUnGZ.bat" "%USERPROFILE%\AppData\Local\Temp\OnboardLogs"\RTDC4049\2017-11-02 &amp; aws s3 cp s3://rtdc.mdm.uploadarchive.raw/RTDC4049/ "%USERPROFILE%\AppData\Local\Temp\OnboardLogs"\RTDC4049\2017-11-03 --exclude "*" --recursive --include "*20171103*" &amp; "%USERPROFILE%\Documents\GitHub\mrs-test-scripts\Headless Mode &amp; Sideloading\WalkAndUnGZ.bat" "%USERPROFILE%\AppData\Local\Temp\OnboardLogs"\RTDC4049\2017-11-03</v>
      </c>
      <c r="AF155" s="74" t="str">
        <f t="shared" si="231"/>
        <v>"C:\Program Files (x86)\AstroGrep\AstroGrep.exe" /e /r /s /spath="%USERPROFILE%\AppData\Local\Temp\OnboardLogs" /stypes="app*4049*20171102*" /stext=" 07:.+((SYSTEM_STATE.+slice.+state.+changed )|(ment ac)|(multiple cpu faults)|(system.+state.+changed )|(\[timeout)|(PRM\|1\|D)|(kpr)|(kdp)|(train st.+moving)|(\|lc)|(penalty))"</v>
      </c>
      <c r="AG155" s="182" t="str">
        <f t="shared" si="232"/>
        <v>EC</v>
      </c>
      <c r="AH155" s="78" t="str">
        <f t="shared" ref="AH155:AH218" si="249">refinertdcruntimes&amp;" --tripid "&amp;A155&amp;" --locoid "&amp;B155&amp;" --swversion "&amp;C155&amp;" --startMP "&amp;D155&amp;" --initTime "&amp;TEXT(E155,"yyyy-mm-ddTHH:MM:SS")&amp;" --startdatetime "&amp;TEXT(F155,"yyyy-mm-ddTHH:MM:SS")&amp;" --delay "&amp;G155&amp;" --endMP "&amp;H155&amp;" --enddatetime "&amp;TEXT(I155,"yyyy-mm-ddTHH:MM:SS")&amp;" --enforcementcount "&amp;J155&amp;IF(outputrefinedruntimes," &gt;&gt;"&amp;RefinedRTDCRunTimesOutputFile,"")</f>
        <v>"%USERPROFILE%\Documents\GitHub\eaglep3\Utilities\RefineRTDCRunTimes.py" --tripid 242-01 --locoid 4049 --swversion DE.1.0.9.0 --startMP 204:232953 --initTime 2017-11-02T00:55:18 --startdatetime 2017-11-02T00:57:26 --delay 56 --endMP 204:189 --enddatetime 2017-11-02T01:34:16 --enforcementcount 0 &gt;&gt;%USERPROFILE%\Documents\GitHub\eaglep3-reporting\EC\2017-11-01-refined-times.txt</v>
      </c>
      <c r="AI155" s="96" t="str">
        <f t="shared" ref="AI155:AI218" si="250">"echo {""issue"":{""subject"":"""&amp;R155&amp;""",""project_id"":79,""tracker_id"":40,""status_id"":"&amp;redmine_status&amp;",""priority_id"":"&amp;redmine_priority&amp;",""assigned_to_id"":"&amp;redmine_assignee&amp;",""start_date"":"""&amp;TEXT(I155,"YYYY-mm-dd")&amp;""",""description"":"""&amp;AJ155&amp;""",""custom_fields"":[{""id"":1,""name"":""Subdivision"",""value"":"""&amp;AG155&amp;"""},{""id"":4,""name"":""Milepost"",""value"":"""&amp;Z155&amp;"""},{""id"":17,""name"":""Train ID"",""value"":"""&amp;A155&amp;"""},{""id"":16,""name"":""Locomotive ID"",""value"":"""&amp;B155&amp;"""},{""id"":130,""name"":""Impact"",""value"":"""&amp;AK155&amp;"""},{""id"":150,""name"":""Time of Event (Mountain Time)"",""value"":"""&amp;TEXT(I155,"hh:mm:ss")&amp;"""},{""id"":151,""name"":""Denver Issue ID"",""value"":"""&amp;"""},{""id"":178,""name"":""Operational Impact"",""value"":"""&amp;redmine_op_impact&amp;"""},{""id"":179,""name"":""Denver Segment Assigned"",""value"":"""&amp;AL155&amp;"""}]}}"&amp;"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{"issue":{"subject":"","project_id":79,"tracker_id":40,"status_id":1,"priority_id":2,"assigned_to_id":338,"start_date":"2017-11-02","description":"","custom_fields":[{"id":1,"name":"Subdivision","value":"EC"},{"id":4,"name":"Milepost","value":"0.0189"},{"id":17,"name":"Train ID","value":"242-01"},{"id":16,"name":"Locomotive ID","value":"4049"},{"id":130,"name":"Impact","value":""},{"id":150,"name":"Time of Event (Mountain Time)","value":"01:34:16"},{"id":151,"name":"Denver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47"/>
      <c r="AL155" s="47"/>
      <c r="AM155" s="142" t="str">
        <f t="shared" ref="AM155:AM218" si="251">"start /low /b "&amp;dls3logs&amp;" --loco "&amp;B155&amp;" --day "&amp;TEXT(F155,"YYYY-MM-DD")</f>
        <v>start /low /b %USERPROFILE%\Documents\GitHub\eaglep3\Utilities\DownloadLogsFromS3.py --loco 4049 --day 2017-11-02</v>
      </c>
      <c r="AN155" s="151" t="str">
        <f t="shared" ref="AN155:AN218" si="252">"echo {""issue"":{""subject"":"""&amp;R155&amp;""",""project_id"":30,""tracker_id"":4,""status_id"":"&amp;redmine_status_wcr&amp;",""priority_id"":"&amp;redmine_priority_wcr&amp;",""assigned_to_id"":"&amp;redmine_assignee_wcr&amp;",""start_date"":"""&amp;TEXT(I155-utc_offset/24,"YYYY-mm-dd")&amp;""",""description"":"""&amp;AJ155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07:34:16"},{"id":29,"name":"Sharepoint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ref="AO155:AO218" si="253"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Message%20ID',Summary),filters:!(),index:'emp_*',interval:auto,query:"&amp;"(query_string:(analyze_wildcard:!t,query:'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-11-01T23:55:18-0600',mode:absolute,to:'2017-11-02T02:34:16-0600'))&amp;_a=(columns:!('Message%20ID',Summary),filters:!(),index:'emp_*',interval:auto,query:(query_string:(analyze_wildcard:!t,query:'%22rtdc.l.rtdc.4049%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1101</v>
      </c>
      <c r="B156" s="7">
        <v>4054</v>
      </c>
      <c r="C156" s="21" t="s">
        <v>194</v>
      </c>
      <c r="D156" s="21" t="s">
        <v>885</v>
      </c>
      <c r="E156" s="13">
        <v>43041.038402777776</v>
      </c>
      <c r="F156" s="13">
        <v>43041.021134259259</v>
      </c>
      <c r="G156" s="7">
        <v>56</v>
      </c>
      <c r="H156" s="21" t="s">
        <v>977</v>
      </c>
      <c r="I156" s="13">
        <v>43041.02171296296</v>
      </c>
      <c r="J156" s="7">
        <v>0</v>
      </c>
      <c r="K156" s="89" t="str">
        <f t="shared" ref="K156" si="254">IF(ISEVEN(B156),(B156-1)&amp;"/"&amp;B156,B156&amp;"/"&amp;(B156+1))</f>
        <v>4053/4054</v>
      </c>
      <c r="L156" s="185" t="s">
        <v>1102</v>
      </c>
      <c r="M156" s="6">
        <f t="shared" ref="M156" si="255">I156-F156</f>
        <v>5.7870370073942468E-4</v>
      </c>
      <c r="N156" s="7"/>
      <c r="O156" s="7"/>
      <c r="P156" s="7">
        <f t="shared" si="93"/>
        <v>0.83333332906477153</v>
      </c>
      <c r="Q156" s="22"/>
      <c r="R156" s="174" t="s">
        <v>1103</v>
      </c>
      <c r="S156" s="221">
        <f t="shared" ref="S156" si="256">1/IF(AG156="EC",12,1)*SUM(U156:U156)</f>
        <v>0</v>
      </c>
      <c r="T156" s="174" t="str">
        <f t="shared" ref="T156" si="257">IF(ISEVEN(LEFT(AD156,4)),"Southbound","NorthBound")</f>
        <v>NorthBound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0</v>
      </c>
      <c r="V156" s="216" t="str">
        <f t="shared" ref="V156" si="258"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-11-01T23:55:18-0600',mode:absolute,to:'2017-11-02T01:31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6" s="204" t="str">
        <f>IF(AA156&lt;VLOOKUP(AG156,Variables!$AC$3:$AD$8,2,FALSE),"Y","N")</f>
        <v>Y</v>
      </c>
      <c r="X156" s="204">
        <f t="shared" ref="X156:X157" si="259">VALUE(LEFT(AD156,4))-VALUE(LEFT(AD155,4))</f>
        <v>1</v>
      </c>
      <c r="Y156" s="204">
        <v>0</v>
      </c>
      <c r="Z156" s="204">
        <v>0</v>
      </c>
      <c r="AA156" s="204">
        <f t="shared" ref="AA156" si="260">ABS(Z156-Y156)</f>
        <v>0</v>
      </c>
      <c r="AB156" s="54" t="e">
        <f>VLOOKUP(A156,Enforcements!$C$7:$K$10,8,0)</f>
        <v>#N/A</v>
      </c>
      <c r="AC156" s="51" t="e">
        <f>VLOOKUP(A156,Enforcements!$C$7:$E$10,3,0)</f>
        <v>#N/A</v>
      </c>
      <c r="AD156" s="179">
        <f t="shared" ref="AD156" si="261">VALUE(LEFT(A156,LEN(A156)-3))</f>
        <v>243</v>
      </c>
      <c r="AE156" s="77" t="str">
        <f t="shared" ref="AE156" si="262"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s3://rtdc.mdm.uploadarchive.raw/RTDC4054/ "%USERPROFILE%\AppData\Local\Temp\OnboardLogs"\RTDC4054\2017-11-02 --exclude "*" --recursive --include "*20171102*" &amp; "%USERPROFILE%\Documents\GitHub\mrs-test-scripts\Headless Mode &amp; Sideloading\WalkAndUnGZ.bat" "%USERPROFILE%\AppData\Local\Temp\OnboardLogs"\RTDC4054\2017-11-02 &amp; aws s3 cp s3://rtdc.mdm.uploadarchive.raw/RTDC4054/ "%USERPROFILE%\AppData\Local\Temp\OnboardLogs"\RTDC4054\2017-11-03 --exclude "*" --recursive --include "*20171103*" &amp; "%USERPROFILE%\Documents\GitHub\mrs-test-scripts\Headless Mode &amp; Sideloading\WalkAndUnGZ.bat" "%USERPROFILE%\AppData\Local\Temp\OnboardLogs"\RTDC4054\2017-11-03</v>
      </c>
      <c r="AF156" s="74" t="str">
        <f t="shared" ref="AF156" si="263"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/stypes="app*4054*20171102*" /stext=" 06:.+((SYSTEM_STATE.+slice.+state.+changed )|(ment ac)|(multiple cpu faults)|(system.+state.+changed )|(\[timeout)|(PRM\|1\|D)|(kpr)|(kdp)|(train st.+moving)|(\|lc)|(penalty))"</v>
      </c>
      <c r="AG156" s="182" t="str">
        <f t="shared" ref="AG156" si="264">DetSubdiv(A156)</f>
        <v>EC</v>
      </c>
      <c r="AH156" s="78" t="str">
        <f t="shared" ref="AH156" si="265">refinertdcruntimes&amp;" --tripid "&amp;A156&amp;" --locoid "&amp;B156&amp;" --swversion "&amp;C156&amp;" --startMP "&amp;D156&amp;" --initTime "&amp;TEXT(E156,"yyyy-mm-ddTHH:MM:SS")&amp;" --startdatetime "&amp;TEXT(F156,"yyyy-mm-ddTHH:MM:SS")&amp;" --delay "&amp;G156&amp;" --endMP "&amp;H156&amp;" --enddatetime "&amp;TEXT(I156,"yyyy-mm-ddTHH:MM:SS")&amp;" --enforcementcount "&amp;J156&amp;IF(outputrefinedruntimes," &gt;&gt;"&amp;RefinedRTDCRunTimesOutputFile,"")</f>
        <v>"%USERPROFILE%\Documents\GitHub\eaglep3\Utilities\RefineRTDCRunTimes.py" --tripid 243-01 --locoid 4054 --swversion DE.1.0.9.0 --startMP 204:232953 --initTime 2017-11-02T00:55:18 --startdatetime 2017-11-02T00:30:26 --delay 56 --endMP 204:189 --enddatetime 2017-11-02T00:31:16 --enforcementcount 0 &gt;&gt;%USERPROFILE%\Documents\GitHub\eaglep3-reporting\EC\2017-11-01-refined-times.txt</v>
      </c>
      <c r="AI156" s="96" t="str">
        <f t="shared" ref="AI156" si="266">"echo {""issue"":{""subject"":"""&amp;R156&amp;""",""project_id"":79,""tracker_id"":40,""status_id"":"&amp;redmine_status&amp;",""priority_id"":"&amp;redmine_priority&amp;",""assigned_to_id"":"&amp;redmine_assignee&amp;",""start_date"":"""&amp;TEXT(I156,"YYYY-mm-dd")&amp;""",""description"":"""&amp;AJ156&amp;""",""custom_fields"":[{""id"":1,""name"":""Subdivision"",""value"":"""&amp;AG156&amp;"""},{""id"":4,""name"":""Milepost"",""value"":"""&amp;Z156&amp;"""},{""id"":17,""name"":""Train ID"",""value"":"""&amp;A156&amp;"""},{""id"":16,""name"":""Locomotive ID"",""value"":"""&amp;B156&amp;"""},{""id"":130,""name"":""Impact"",""value"":"""&amp;AK156&amp;"""},{""id"":150,""name"":""Time of Event (Mountain Time)"",""value"":"""&amp;TEXT(I156,"hh:mm:ss")&amp;"""},{""id"":151,""name"":""Denver Issue ID"",""value"":"""&amp;"""},{""id"":178,""name"":""Operational Impact"",""value"":"""&amp;redmine_op_impact&amp;"""},{""id"":179,""name"":""Denver Segment Assigned"",""value"":"""&amp;AL156&amp;"""}]}}"&amp;" | curl --insecure -X POST -H ""Content-Type: application/json"" -H ""X-Redmine-API-Key: "&amp;redm_api_key&amp;""" "&amp;redm_url&amp;" --data @-"</f>
        <v>echo {"issue":{"subject":"Did not init due to extended Wi-MAX data drop","project_id":79,"tracker_id":40,"status_id":1,"priority_id":2,"assigned_to_id":338,"start_date":"2017-11-02","description":"","custom_fields":[{"id":1,"name":"Subdivision","value":"EC"},{"id":4,"name":"Milepost","value":"0"},{"id":17,"name":"Train ID","value":"243-01"},{"id":16,"name":"Locomotive ID","value":"4054"},{"id":130,"name":"Impact","value":""},{"id":150,"name":"Time of Event (Mountain Time)","value":"00:31:16"},{"id":151,"name":"Denver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47"/>
      <c r="AL156" s="47"/>
      <c r="AM156" s="142" t="str">
        <f t="shared" ref="AM156" si="267">"start /low /b "&amp;dls3logs&amp;" --loco "&amp;B156&amp;" --day "&amp;TEXT(F156,"YYYY-MM-DD")</f>
        <v>start /low /b %USERPROFILE%\Documents\GitHub\eaglep3\Utilities\DownloadLogsFromS3.py --loco 4054 --day 2017-11-02</v>
      </c>
      <c r="AN156" s="151" t="str">
        <f t="shared" ref="AN156" si="268">"echo {""issue"":{""subject"":"""&amp;R156&amp;""",""project_id"":30,""tracker_id"":4,""status_id"":"&amp;redmine_status_wcr&amp;",""priority_id"":"&amp;redmine_priority_wcr&amp;",""assigned_to_id"":"&amp;redmine_assignee_wcr&amp;",""start_date"":"""&amp;TEXT(I156-utc_offset/24,"YYYY-mm-dd")&amp;""",""description"":"""&amp;AJ156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{"issue":{"subject":"Did not init due to extended Wi-MAX data drop","project_id":30,"tracker_id":4,"status_id":1,"priority_id":1,"assigned_to_id":10,"start_date":"2017-11-02","description":"","custom_fields":[{"id":30,"name":"Category","value":"Issue"},{"id":3,"name":"Functional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06:31:16"},{"id":29,"name":"Sharepoint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ref="AO156" si="269"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Message%20ID',Summary),filters:!(),index:'emp_*',interval:auto,query:"&amp;"(query_string:(analyze_wildcard:!t,query:'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-11-01T23:55:18-0600',mode:absolute,to:'2017-11-02T01:31:16-0600'))&amp;_a=(columns:!('Message%20ID',Summary),filters:!(),index:'emp_*',interval:auto,query:(query_string:(analyze_wildcard:!t,query:'%22rtdc.l.rtdc.4054%22')),sort:!(Time.ISO8601,asc))</v>
      </c>
    </row>
    <row r="157" spans="1:91" s="20" customFormat="1" x14ac:dyDescent="0.25">
      <c r="A157" s="32" t="s">
        <v>866</v>
      </c>
      <c r="B157" s="7">
        <v>4053</v>
      </c>
      <c r="C157" s="21" t="s">
        <v>194</v>
      </c>
      <c r="D157" s="21" t="s">
        <v>978</v>
      </c>
      <c r="E157" s="13">
        <v>43041.048541666663</v>
      </c>
      <c r="F157" s="13">
        <v>43041.060601851852</v>
      </c>
      <c r="G157" s="7">
        <v>92</v>
      </c>
      <c r="H157" s="21" t="s">
        <v>979</v>
      </c>
      <c r="I157" s="13">
        <v>43041.087187500001</v>
      </c>
      <c r="J157" s="7">
        <v>0</v>
      </c>
      <c r="K157" s="89" t="str">
        <f t="shared" si="223"/>
        <v>4053/4054</v>
      </c>
      <c r="L157" s="185" t="str">
        <f>VLOOKUP(A157,'Trips&amp;Operators'!$C$1:$G$99911,5,FALSE)</f>
        <v>MCREYNOLDS KYLE</v>
      </c>
      <c r="M157" s="6">
        <f t="shared" si="224"/>
        <v>2.658564814919373E-2</v>
      </c>
      <c r="N157" s="7">
        <f t="shared" si="93"/>
        <v>38.283333334838971</v>
      </c>
      <c r="O157" s="7"/>
      <c r="P157" s="7"/>
      <c r="Q157" s="22"/>
      <c r="R157" s="174"/>
      <c r="S157" s="221">
        <f t="shared" si="225"/>
        <v>1</v>
      </c>
      <c r="T157" s="174" t="str">
        <f t="shared" si="226"/>
        <v>Southbound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6" t="str">
        <f t="shared" si="227"/>
        <v>https://d0f6bd738d7f1b3e5a7ca70fe4ff75f0.us-east-1.aws.found.io/app/kibana#/discover/Steve-Slow-Train-Analysis-(2080s-and-2083s)?_g=(refreshInterval:(display:Off,pause:!f,section:0,value:0),time:(from:'2017-11-02T00:09:54-0600',mode:absolute,to:'2017-11-02T03:05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7" s="204" t="str">
        <f>IF(AA157&lt;VLOOKUP(AG157,Variables!$AC$3:$AD$8,2,FALSE),"Y","N")</f>
        <v>N</v>
      </c>
      <c r="X157" s="204">
        <f t="shared" si="259"/>
        <v>1</v>
      </c>
      <c r="Y157" s="204">
        <f t="shared" si="94"/>
        <v>23.286999999999999</v>
      </c>
      <c r="Z157" s="204">
        <f t="shared" si="95"/>
        <v>1.4200000000000001E-2</v>
      </c>
      <c r="AA157" s="204">
        <f t="shared" si="228"/>
        <v>23.2728</v>
      </c>
      <c r="AB157" s="54" t="e">
        <f>VLOOKUP(A157,Enforcements!$C$7:$K$10,8,0)</f>
        <v>#N/A</v>
      </c>
      <c r="AC157" s="51" t="e">
        <f>VLOOKUP(A157,Enforcements!$C$7:$E$10,3,0)</f>
        <v>#N/A</v>
      </c>
      <c r="AD157" s="179">
        <f t="shared" si="229"/>
        <v>244</v>
      </c>
      <c r="AE157" s="77" t="str">
        <f t="shared" si="230"/>
        <v>aws s3 cp s3://rtdc.mdm.uploadarchive.raw/RTDC4053/ "%USERPROFILE%\AppData\Local\Temp\OnboardLogs"\RTDC4053\2017-11-02 --exclude "*" --recursive --include "*20171102*" &amp; "%USERPROFILE%\Documents\GitHub\mrs-test-scripts\Headless Mode &amp; Sideloading\WalkAndUnGZ.bat" "%USERPROFILE%\AppData\Local\Temp\OnboardLogs"\RTDC4053\2017-11-02 &amp; aws s3 cp s3://rtdc.mdm.uploadarchive.raw/RTDC4053/ "%USERPROFILE%\AppData\Local\Temp\OnboardLogs"\RTDC4053\2017-11-03 --exclude "*" --recursive --include "*20171103*" &amp; "%USERPROFILE%\Documents\GitHub\mrs-test-scripts\Headless Mode &amp; Sideloading\WalkAndUnGZ.bat" "%USERPROFILE%\AppData\Local\Temp\OnboardLogs"\RTDC4053\2017-11-03</v>
      </c>
      <c r="AF157" s="74" t="str">
        <f t="shared" si="231"/>
        <v>"C:\Program Files (x86)\AstroGrep\AstroGrep.exe" /e /r /s /spath="%USERPROFILE%\AppData\Local\Temp\OnboardLogs" /stypes="app*4053*20171102*" /stext=" 08:.+((SYSTEM_STATE.+slice.+state.+changed )|(ment ac)|(multiple cpu faults)|(system.+state.+changed )|(\[timeout)|(PRM\|1\|D)|(kpr)|(kdp)|(train st.+moving)|(\|lc)|(penalty))"</v>
      </c>
      <c r="AG157" s="182" t="str">
        <f t="shared" si="232"/>
        <v>EC</v>
      </c>
      <c r="AH157" s="78" t="str">
        <f t="shared" si="249"/>
        <v>"%USERPROFILE%\Documents\GitHub\eaglep3\Utilities\RefineRTDCRunTimes.py" --tripid 244-01 --locoid 4053 --swversion DE.1.0.9.0 --startMP 204:232870 --initTime 2017-11-02T01:09:54 --startdatetime 2017-11-02T01:27:16 --delay 92 --endMP 204:142 --enddatetime 2017-11-02T02:05:33 --enforcementcount 0 &gt;&gt;%USERPROFILE%\Documents\GitHub\eaglep3-reporting\EC\2017-11-01-refined-times.txt</v>
      </c>
      <c r="AI157" s="96" t="str">
        <f t="shared" si="250"/>
        <v>echo {"issue":{"subject":"","project_id":79,"tracker_id":40,"status_id":1,"priority_id":2,"assigned_to_id":338,"start_date":"2017-11-02","description":"","custom_fields":[{"id":1,"name":"Subdivision","value":"EC"},{"id":4,"name":"Milepost","value":"0.0142"},{"id":17,"name":"Train ID","value":"244-01"},{"id":16,"name":"Locomotive ID","value":"4053"},{"id":130,"name":"Impact","value":""},{"id":150,"name":"Time of Event (Mountain Time)","value":"02:05:33"},{"id":151,"name":"Denver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47"/>
      <c r="AL157" s="47"/>
      <c r="AM157" s="142" t="str">
        <f t="shared" si="251"/>
        <v>start /low /b %USERPROFILE%\Documents\GitHub\eaglep3\Utilities\DownloadLogsFromS3.py --loco 4053 --day 2017-11-02</v>
      </c>
      <c r="AN157" s="151" t="str">
        <f t="shared" si="2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08:05:33"},{"id":29,"name":"Sharepoint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si="253"/>
        <v>https://d0f6bd738d7f1b3e5a7ca70fe4ff75f0.us-east-1.aws.found.io/app/kibana#/discover/Steve-Slow-Train-Analysis-(2080s-and-2083s)?_g=(refreshInterval:(display:Off,pause:!f,section:0,value:0),time:(from:'2017-11-02T00:09:54-0600',mode:absolute,to:'2017-11-02T03:05:33-0600'))&amp;_a=(columns:!('Message%20ID',Summary),filters:!(),index:'emp_*',interval:auto,query:(query_string:(analyze_wildcard:!t,query:'%22rtdc.l.rtdc.4053%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677</v>
      </c>
      <c r="B158" s="7">
        <v>4023</v>
      </c>
      <c r="C158" s="21" t="s">
        <v>194</v>
      </c>
      <c r="D158" s="21" t="s">
        <v>1012</v>
      </c>
      <c r="E158" s="13">
        <v>43040.21266203704</v>
      </c>
      <c r="F158" s="13">
        <v>43040.214074074072</v>
      </c>
      <c r="G158" s="7">
        <v>67</v>
      </c>
      <c r="H158" s="21" t="s">
        <v>1013</v>
      </c>
      <c r="I158" s="13">
        <v>43040.225532407407</v>
      </c>
      <c r="J158" s="7">
        <v>0</v>
      </c>
      <c r="K158" s="89" t="str">
        <f t="shared" si="223"/>
        <v>4023/4024</v>
      </c>
      <c r="L158" s="185" t="str">
        <f>VLOOKUP(A158,'Trips&amp;Operators'!$C$1:$G$99911,5,FALSE)</f>
        <v>LAMAR NEKESHA</v>
      </c>
      <c r="M158" s="6">
        <f t="shared" si="224"/>
        <v>1.1458333334303461E-2</v>
      </c>
      <c r="N158" s="7">
        <f t="shared" si="93"/>
        <v>16.500000001396984</v>
      </c>
      <c r="O158" s="7"/>
      <c r="P158" s="7"/>
      <c r="Q158" s="22"/>
      <c r="R158" s="174"/>
      <c r="S158" s="221">
        <f t="shared" si="225"/>
        <v>1</v>
      </c>
      <c r="T158" s="174" t="str">
        <f t="shared" si="226"/>
        <v>Southbound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216" t="str">
        <f t="shared" si="227"/>
        <v>https://d0f6bd738d7f1b3e5a7ca70fe4ff75f0.us-east-1.aws.found.io/app/kibana#/discover/Steve-Slow-Train-Analysis-(2080s-and-2083s)?_g=(refreshInterval:(display:Off,pause:!f,section:0,value:0),time:(from:'2017-11-01T04:06:14-0600',mode:absolute,to:'2017-11-01T06:24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58" s="204" t="str">
        <f>IF(AA158&lt;VLOOKUP(AG158,Variables!$AC$3:$AD$8,2,FALSE),"Y","N")</f>
        <v>N</v>
      </c>
      <c r="X158" s="204">
        <f t="shared" si="96"/>
        <v>556</v>
      </c>
      <c r="Y158" s="204">
        <f t="shared" si="94"/>
        <v>5.8685</v>
      </c>
      <c r="Z158" s="204">
        <f t="shared" si="95"/>
        <v>7.17E-2</v>
      </c>
      <c r="AA158" s="204">
        <f t="shared" si="228"/>
        <v>5.7968000000000002</v>
      </c>
      <c r="AB158" s="54" t="e">
        <f>VLOOKUP(A158,Enforcements!$C$7:$K$10,8,0)</f>
        <v>#N/A</v>
      </c>
      <c r="AC158" s="51" t="e">
        <f>VLOOKUP(A158,Enforcements!$C$7:$E$10,3,0)</f>
        <v>#N/A</v>
      </c>
      <c r="AD158" s="179">
        <f t="shared" si="229"/>
        <v>800</v>
      </c>
      <c r="AE158" s="77" t="str">
        <f t="shared" si="230"/>
        <v>aws s3 cp s3://rtdc.mdm.uploadarchive.raw/RTDC4023/ "%USERPROFILE%\AppData\Local\Temp\OnboardLogs"\RTDC4023\2017-11-01 --exclude "*" --recursive --include "*20171101*" &amp; "%USERPROFILE%\Documents\GitHub\mrs-test-scripts\Headless Mode &amp; Sideloading\WalkAndUnGZ.bat" "%USERPROFILE%\AppData\Local\Temp\OnboardLogs"\RTDC4023\2017-11-01 &amp; aws s3 cp s3://rtdc.mdm.uploadarchive.raw/RTDC4023/ "%USERPROFILE%\AppData\Local\Temp\OnboardLogs"\RTDC4023\2017-11-02 --exclude "*" --recursive --include "*20171102*" &amp; "%USERPROFILE%\Documents\GitHub\mrs-test-scripts\Headless Mode &amp; Sideloading\WalkAndUnGZ.bat" "%USERPROFILE%\AppData\Local\Temp\OnboardLogs"\RTDC4023\2017-11-02</v>
      </c>
      <c r="AF158" s="74" t="str">
        <f t="shared" si="231"/>
        <v>"C:\Program Files (x86)\AstroGrep\AstroGrep.exe" /e /r /s /spath="%USERPROFILE%\AppData\Local\Temp\OnboardLogs" /stypes="app*4023*20171101*" /stext=" 11:.+((SYSTEM_STATE.+slice.+state.+changed )|(ment ac)|(multiple cpu faults)|(system.+state.+changed )|(\[timeout)|(PRM\|1\|D)|(kpr)|(kdp)|(train st.+moving)|(\|lc)|(penalty))"</v>
      </c>
      <c r="AG158" s="182" t="str">
        <f t="shared" si="232"/>
        <v>NW</v>
      </c>
      <c r="AH158" s="78" t="str">
        <f t="shared" si="249"/>
        <v>"%USERPROFILE%\Documents\GitHub\eaglep3\Utilities\RefineRTDCRunTimes.py" --tripid 800-01 --locoid 4023 --swversion DE.1.0.9.0 --startMP 300:58685 --initTime 2017-11-01T05:06:14 --startdatetime 2017-11-01T05:08:16 --delay 67 --endMP 204:717 --enddatetime 2017-11-01T05:24:46 --enforcementcount 0 &gt;&gt;%USERPROFILE%\Documents\GitHub\eaglep3-reporting\EC\2017-11-01-refined-times.txt</v>
      </c>
      <c r="AI158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{"issue":{"subject":"","project_id":79,"tracker_id":40,"status_id":1,"priority_id":2,"assigned_to_id":338,"start_date":"2017-11-01","description":"","custom_fields":[{"id":1,"name":"Subdivision","value":"NW"},{"id":4,"name":"Milepost","value":"0.0717"},{"id":17,"name":"Train ID","value":"800-01"},{"id":16,"name":"Locomotive ID","value":"4023"},{"id":130,"name":"Impact","value":""},{"id":150,"name":"Time of Event (Mountain Time)","value":"05:24:46"},{"id":151,"name":"Denver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47"/>
      <c r="AL158" s="47"/>
      <c r="AM158" s="142" t="str">
        <f t="shared" si="251"/>
        <v>start /low /b %USERPROFILE%\Documents\GitHub\eaglep3\Utilities\DownloadLogsFromS3.py --loco 4023 --day 2017-11-01</v>
      </c>
      <c r="AN158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11:24:46"},{"id":29,"name":"Sharepoint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253"/>
        <v>https://d0f6bd738d7f1b3e5a7ca70fe4ff75f0.us-east-1.aws.found.io/app/kibana#/discover/Steve-Slow-Train-Analysis-(2080s-and-2083s)?_g=(refreshInterval:(display:Off,pause:!f,section:0,value:0),time:(from:'2017-11-01T04:06:14-0600',mode:absolute,to:'2017-11-01T06:24:46-0600'))&amp;_a=(columns:!('Message%20ID',Summary),filters:!(),index:'emp_*',interval:auto,query:(query_string:(analyze_wildcard:!t,query:'%22rtdc.l.rtdc.4023%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680</v>
      </c>
      <c r="B159" s="7">
        <v>4024</v>
      </c>
      <c r="C159" s="21" t="s">
        <v>194</v>
      </c>
      <c r="D159" s="21" t="s">
        <v>1014</v>
      </c>
      <c r="E159" s="13">
        <v>43040.233240740738</v>
      </c>
      <c r="F159" s="13">
        <v>43040.235590277778</v>
      </c>
      <c r="G159" s="7">
        <v>66</v>
      </c>
      <c r="H159" s="21" t="s">
        <v>600</v>
      </c>
      <c r="I159" s="13">
        <v>43040.245694444442</v>
      </c>
      <c r="J159" s="7">
        <v>0</v>
      </c>
      <c r="K159" s="89" t="str">
        <f t="shared" si="223"/>
        <v>4023/4024</v>
      </c>
      <c r="L159" s="185" t="str">
        <f>VLOOKUP(A159,'Trips&amp;Operators'!$C$1:$G$99911,5,FALSE)</f>
        <v>LAMAR NEKESHA</v>
      </c>
      <c r="M159" s="6">
        <f t="shared" si="224"/>
        <v>1.0104166663950309E-2</v>
      </c>
      <c r="N159" s="7">
        <f t="shared" si="93"/>
        <v>14.549999996088445</v>
      </c>
      <c r="O159" s="7"/>
      <c r="P159" s="7"/>
      <c r="Q159" s="22"/>
      <c r="R159" s="174"/>
      <c r="S159" s="221">
        <f t="shared" si="225"/>
        <v>1</v>
      </c>
      <c r="T159" s="174" t="str">
        <f t="shared" si="226"/>
        <v>NorthBound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16" t="str">
        <f t="shared" si="227"/>
        <v>https://d0f6bd738d7f1b3e5a7ca70fe4ff75f0.us-east-1.aws.found.io/app/kibana#/discover/Steve-Slow-Train-Analysis-(2080s-and-2083s)?_g=(refreshInterval:(display:Off,pause:!f,section:0,value:0),time:(from:'2017-11-01T04:35:52-0600',mode:absolute,to:'2017-11-01T06:53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59" s="204" t="str">
        <f>IF(AA159&lt;VLOOKUP(AG159,Variables!$AC$3:$AD$8,2,FALSE),"Y","N")</f>
        <v>N</v>
      </c>
      <c r="X159" s="204">
        <f t="shared" si="96"/>
        <v>1</v>
      </c>
      <c r="Y159" s="204">
        <f t="shared" si="94"/>
        <v>9.9000000000000005E-2</v>
      </c>
      <c r="Z159" s="204">
        <f t="shared" si="95"/>
        <v>5.9006999999999996</v>
      </c>
      <c r="AA159" s="204">
        <f t="shared" si="228"/>
        <v>5.8016999999999994</v>
      </c>
      <c r="AB159" s="54" t="e">
        <f>VLOOKUP(A159,Enforcements!$C$7:$K$10,8,0)</f>
        <v>#N/A</v>
      </c>
      <c r="AC159" s="51" t="e">
        <f>VLOOKUP(A159,Enforcements!$C$7:$E$10,3,0)</f>
        <v>#N/A</v>
      </c>
      <c r="AD159" s="179">
        <f t="shared" si="229"/>
        <v>801</v>
      </c>
      <c r="AE159" s="77" t="str">
        <f t="shared" si="230"/>
        <v>aws s3 cp s3://rtdc.mdm.uploadarchive.raw/RTDC4024/ "%USERPROFILE%\AppData\Local\Temp\OnboardLogs"\RTDC4024\2017-11-01 --exclude "*" --recursive --include "*20171101*" &amp; "%USERPROFILE%\Documents\GitHub\mrs-test-scripts\Headless Mode &amp; Sideloading\WalkAndUnGZ.bat" "%USERPROFILE%\AppData\Local\Temp\OnboardLogs"\RTDC4024\2017-11-01 &amp; aws s3 cp s3://rtdc.mdm.uploadarchive.raw/RTDC4024/ "%USERPROFILE%\AppData\Local\Temp\OnboardLogs"\RTDC4024\2017-11-02 --exclude "*" --recursive --include "*20171102*" &amp; "%USERPROFILE%\Documents\GitHub\mrs-test-scripts\Headless Mode &amp; Sideloading\WalkAndUnGZ.bat" "%USERPROFILE%\AppData\Local\Temp\OnboardLogs"\RTDC4024\2017-11-02</v>
      </c>
      <c r="AF159" s="74" t="str">
        <f t="shared" si="231"/>
        <v>"C:\Program Files (x86)\AstroGrep\AstroGrep.exe" /e /r /s /spath="%USERPROFILE%\AppData\Local\Temp\OnboardLogs" /stypes="app*4024*20171101*" /stext=" 11:.+((SYSTEM_STATE.+slice.+state.+changed )|(ment ac)|(multiple cpu faults)|(system.+state.+changed )|(\[timeout)|(PRM\|1\|D)|(kpr)|(kdp)|(train st.+moving)|(\|lc)|(penalty))"</v>
      </c>
      <c r="AG159" s="182" t="str">
        <f t="shared" si="232"/>
        <v>NW</v>
      </c>
      <c r="AH159" s="78" t="str">
        <f t="shared" si="249"/>
        <v>"%USERPROFILE%\Documents\GitHub\eaglep3\Utilities\RefineRTDCRunTimes.py" --tripid 801-01 --locoid 4024 --swversion DE.1.0.9.0 --startMP 204:990 --initTime 2017-11-01T05:35:52 --startdatetime 2017-11-01T05:39:15 --delay 66 --endMP 300:59007 --enddatetime 2017-11-01T05:53:48 --enforcementcount 0 &gt;&gt;%USERPROFILE%\Documents\GitHub\eaglep3-reporting\EC\2017-11-01-refined-times.txt</v>
      </c>
      <c r="AI159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{"issue":{"subject":"","project_id":79,"tracker_id":40,"status_id":1,"priority_id":2,"assigned_to_id":338,"start_date":"2017-11-01","description":"","custom_fields":[{"id":1,"name":"Subdivision","value":"NW"},{"id":4,"name":"Milepost","value":"5.9007"},{"id":17,"name":"Train ID","value":"801-01"},{"id":16,"name":"Locomotive ID","value":"4024"},{"id":130,"name":"Impact","value":""},{"id":150,"name":"Time of Event (Mountain Time)","value":"05:53:48"},{"id":151,"name":"Denver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47"/>
      <c r="AL159" s="47"/>
      <c r="AM159" s="142" t="str">
        <f t="shared" si="251"/>
        <v>start /low /b %USERPROFILE%\Documents\GitHub\eaglep3\Utilities\DownloadLogsFromS3.py --loco 4024 --day 2017-11-01</v>
      </c>
      <c r="AN159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11:53:48"},{"id":29,"name":"Sharepoint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253"/>
        <v>https://d0f6bd738d7f1b3e5a7ca70fe4ff75f0.us-east-1.aws.found.io/app/kibana#/discover/Steve-Slow-Train-Analysis-(2080s-and-2083s)?_g=(refreshInterval:(display:Off,pause:!f,section:0,value:0),time:(from:'2017-11-01T04:35:52-0600',mode:absolute,to:'2017-11-01T06:53:48-0600'))&amp;_a=(columns:!('Message%20ID',Summary),filters:!(),index:'emp_*',interval:auto,query:(query_string:(analyze_wildcard:!t,query:'%22rtdc.l.rtdc.4024%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688</v>
      </c>
      <c r="B160" s="7">
        <v>4023</v>
      </c>
      <c r="C160" s="21" t="s">
        <v>194</v>
      </c>
      <c r="D160" s="21" t="s">
        <v>1015</v>
      </c>
      <c r="E160" s="13">
        <v>43040.247002314813</v>
      </c>
      <c r="F160" s="13">
        <v>43040.259097222224</v>
      </c>
      <c r="G160" s="7">
        <v>76</v>
      </c>
      <c r="H160" s="21" t="s">
        <v>1016</v>
      </c>
      <c r="I160" s="13">
        <v>43040.267025462963</v>
      </c>
      <c r="J160" s="7">
        <v>0</v>
      </c>
      <c r="K160" s="89" t="str">
        <f t="shared" si="223"/>
        <v>4023/4024</v>
      </c>
      <c r="L160" s="185" t="str">
        <f>VLOOKUP(A160,'Trips&amp;Operators'!$C$1:$G$99911,5,FALSE)</f>
        <v>LAMAR NEKESHA</v>
      </c>
      <c r="M160" s="6">
        <f t="shared" si="224"/>
        <v>7.9282407386926934E-3</v>
      </c>
      <c r="N160" s="7">
        <f t="shared" ref="N160:N191" si="270">24*60*SUM($M160:$M160)</f>
        <v>11.416666663717479</v>
      </c>
      <c r="O160" s="7"/>
      <c r="P160" s="7"/>
      <c r="Q160" s="22"/>
      <c r="R160" s="174"/>
      <c r="S160" s="221">
        <f t="shared" si="225"/>
        <v>1</v>
      </c>
      <c r="T160" s="174" t="str">
        <f t="shared" si="226"/>
        <v>Southbound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16" t="str">
        <f t="shared" si="227"/>
        <v>https://d0f6bd738d7f1b3e5a7ca70fe4ff75f0.us-east-1.aws.found.io/app/kibana#/discover/Steve-Slow-Train-Analysis-(2080s-and-2083s)?_g=(refreshInterval:(display:Off,pause:!f,section:0,value:0),time:(from:'2017-11-01T04:55:41-0600',mode:absolute,to:'2017-11-01T07:24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0" s="204" t="str">
        <f>IF(AA160&lt;VLOOKUP(AG160,Variables!$AC$3:$AD$8,2,FALSE),"Y","N")</f>
        <v>N</v>
      </c>
      <c r="X160" s="204">
        <f t="shared" si="96"/>
        <v>1</v>
      </c>
      <c r="Y160" s="204">
        <f t="shared" ref="Y160:Y191" si="271">RIGHT(D160,LEN(D160)-4)/10000</f>
        <v>5.8688000000000002</v>
      </c>
      <c r="Z160" s="204">
        <f t="shared" ref="Z160:Z191" si="272">RIGHT(H160,LEN(H160)-4)/10000</f>
        <v>6.8400000000000002E-2</v>
      </c>
      <c r="AA160" s="204">
        <f t="shared" si="228"/>
        <v>5.8004000000000007</v>
      </c>
      <c r="AB160" s="54" t="e">
        <f>VLOOKUP(A160,Enforcements!$C$7:$K$10,8,0)</f>
        <v>#N/A</v>
      </c>
      <c r="AC160" s="51" t="e">
        <f>VLOOKUP(A160,Enforcements!$C$7:$E$10,3,0)</f>
        <v>#N/A</v>
      </c>
      <c r="AD160" s="179">
        <f t="shared" si="229"/>
        <v>802</v>
      </c>
      <c r="AE160" s="77" t="str">
        <f t="shared" si="230"/>
        <v>aws s3 cp s3://rtdc.mdm.uploadarchive.raw/RTDC4023/ "%USERPROFILE%\AppData\Local\Temp\OnboardLogs"\RTDC4023\2017-11-01 --exclude "*" --recursive --include "*20171101*" &amp; "%USERPROFILE%\Documents\GitHub\mrs-test-scripts\Headless Mode &amp; Sideloading\WalkAndUnGZ.bat" "%USERPROFILE%\AppData\Local\Temp\OnboardLogs"\RTDC4023\2017-11-01 &amp; aws s3 cp s3://rtdc.mdm.uploadarchive.raw/RTDC4023/ "%USERPROFILE%\AppData\Local\Temp\OnboardLogs"\RTDC4023\2017-11-02 --exclude "*" --recursive --include "*20171102*" &amp; "%USERPROFILE%\Documents\GitHub\mrs-test-scripts\Headless Mode &amp; Sideloading\WalkAndUnGZ.bat" "%USERPROFILE%\AppData\Local\Temp\OnboardLogs"\RTDC4023\2017-11-02</v>
      </c>
      <c r="AF160" s="74" t="str">
        <f t="shared" si="231"/>
        <v>"C:\Program Files (x86)\AstroGrep\AstroGrep.exe" /e /r /s /spath="%USERPROFILE%\AppData\Local\Temp\OnboardLogs" /stypes="app*4023*20171101*" /stext=" 12:.+((SYSTEM_STATE.+slice.+state.+changed )|(ment ac)|(multiple cpu faults)|(system.+state.+changed )|(\[timeout)|(PRM\|1\|D)|(kpr)|(kdp)|(train st.+moving)|(\|lc)|(penalty))"</v>
      </c>
      <c r="AG160" s="182" t="str">
        <f t="shared" si="232"/>
        <v>NW</v>
      </c>
      <c r="AH160" s="78" t="str">
        <f t="shared" si="249"/>
        <v>"%USERPROFILE%\Documents\GitHub\eaglep3\Utilities\RefineRTDCRunTimes.py" --tripid 802-01 --locoid 4023 --swversion DE.1.0.9.0 --startMP 300:58688 --initTime 2017-11-01T05:55:41 --startdatetime 2017-11-01T06:13:06 --delay 76 --endMP 204:684 --enddatetime 2017-11-01T06:24:31 --enforcementcount 0 &gt;&gt;%USERPROFILE%\Documents\GitHub\eaglep3-reporting\EC\2017-11-01-refined-times.txt</v>
      </c>
      <c r="AI160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{"issue":{"subject":"","project_id":79,"tracker_id":40,"status_id":1,"priority_id":2,"assigned_to_id":338,"start_date":"2017-11-01","description":"","custom_fields":[{"id":1,"name":"Subdivision","value":"NW"},{"id":4,"name":"Milepost","value":"0.0684"},{"id":17,"name":"Train ID","value":"802-01"},{"id":16,"name":"Locomotive ID","value":"4023"},{"id":130,"name":"Impact","value":""},{"id":150,"name":"Time of Event (Mountain Time)","value":"06:24:31"},{"id":151,"name":"Denver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47"/>
      <c r="AL160" s="47"/>
      <c r="AM160" s="142" t="str">
        <f t="shared" si="251"/>
        <v>start /low /b %USERPROFILE%\Documents\GitHub\eaglep3\Utilities\DownloadLogsFromS3.py --loco 4023 --day 2017-11-01</v>
      </c>
      <c r="AN160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12:24:31"},{"id":29,"name":"Sharepoint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253"/>
        <v>https://d0f6bd738d7f1b3e5a7ca70fe4ff75f0.us-east-1.aws.found.io/app/kibana#/discover/Steve-Slow-Train-Analysis-(2080s-and-2083s)?_g=(refreshInterval:(display:Off,pause:!f,section:0,value:0),time:(from:'2017-11-01T04:55:41-0600',mode:absolute,to:'2017-11-01T07:24:31-0600'))&amp;_a=(columns:!('Message%20ID',Summary),filters:!(),index:'emp_*',interval:auto,query:(query_string:(analyze_wildcard:!t,query:'%22rtdc.l.rtdc.4023%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690</v>
      </c>
      <c r="B161" s="7">
        <v>4032</v>
      </c>
      <c r="C161" s="21" t="s">
        <v>194</v>
      </c>
      <c r="D161" s="21" t="s">
        <v>1017</v>
      </c>
      <c r="E161" s="13">
        <v>43040.252557870372</v>
      </c>
      <c r="F161" s="13">
        <v>43040.256469907406</v>
      </c>
      <c r="G161" s="7">
        <v>68</v>
      </c>
      <c r="H161" s="21" t="s">
        <v>1018</v>
      </c>
      <c r="I161" s="13">
        <v>43040.267002314817</v>
      </c>
      <c r="J161" s="7">
        <v>0</v>
      </c>
      <c r="K161" s="89" t="str">
        <f t="shared" si="223"/>
        <v>4031/4032</v>
      </c>
      <c r="L161" s="185" t="str">
        <f>VLOOKUP(A161,'Trips&amp;Operators'!$C$1:$G$99911,5,FALSE)</f>
        <v>GEBRETEKLE DAGNEW</v>
      </c>
      <c r="M161" s="6">
        <f t="shared" si="224"/>
        <v>1.0532407410209998E-2</v>
      </c>
      <c r="N161" s="7">
        <f t="shared" si="270"/>
        <v>15.166666670702398</v>
      </c>
      <c r="O161" s="7"/>
      <c r="P161" s="7"/>
      <c r="Q161" s="22"/>
      <c r="R161" s="174"/>
      <c r="S161" s="221">
        <f t="shared" si="225"/>
        <v>1</v>
      </c>
      <c r="T161" s="174" t="str">
        <f t="shared" si="226"/>
        <v>NorthBound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6" t="str">
        <f t="shared" si="227"/>
        <v>https://d0f6bd738d7f1b3e5a7ca70fe4ff75f0.us-east-1.aws.found.io/app/kibana#/discover/Steve-Slow-Train-Analysis-(2080s-and-2083s)?_g=(refreshInterval:(display:Off,pause:!f,section:0,value:0),time:(from:'2017-11-01T05:03:41-0600',mode:absolute,to:'2017-11-01T07:24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1" s="204" t="str">
        <f>IF(AA161&lt;VLOOKUP(AG161,Variables!$AC$3:$AD$8,2,FALSE),"Y","N")</f>
        <v>N</v>
      </c>
      <c r="X161" s="204">
        <f t="shared" si="96"/>
        <v>1</v>
      </c>
      <c r="Y161" s="204">
        <f t="shared" si="271"/>
        <v>0.1032</v>
      </c>
      <c r="Z161" s="204">
        <f t="shared" si="272"/>
        <v>5.8967000000000001</v>
      </c>
      <c r="AA161" s="204">
        <f t="shared" si="228"/>
        <v>5.7934999999999999</v>
      </c>
      <c r="AB161" s="54" t="e">
        <f>VLOOKUP(A161,Enforcements!$C$7:$K$10,8,0)</f>
        <v>#N/A</v>
      </c>
      <c r="AC161" s="51" t="e">
        <f>VLOOKUP(A161,Enforcements!$C$7:$E$10,3,0)</f>
        <v>#N/A</v>
      </c>
      <c r="AD161" s="179">
        <f t="shared" si="229"/>
        <v>803</v>
      </c>
      <c r="AE161" s="77" t="str">
        <f t="shared" si="230"/>
        <v>aws s3 cp s3://rtdc.mdm.uploadarchive.raw/RTDC4032/ "%USERPROFILE%\AppData\Local\Temp\OnboardLogs"\RTDC4032\2017-11-01 --exclude "*" --recursive --include "*20171101*" &amp; "%USERPROFILE%\Documents\GitHub\mrs-test-scripts\Headless Mode &amp; Sideloading\WalkAndUnGZ.bat" "%USERPROFILE%\AppData\Local\Temp\OnboardLogs"\RTDC4032\2017-11-01 &amp; aws s3 cp s3://rtdc.mdm.uploadarchive.raw/RTDC4032/ "%USERPROFILE%\AppData\Local\Temp\OnboardLogs"\RTDC4032\2017-11-02 --exclude "*" --recursive --include "*20171102*" &amp; "%USERPROFILE%\Documents\GitHub\mrs-test-scripts\Headless Mode &amp; Sideloading\WalkAndUnGZ.bat" "%USERPROFILE%\AppData\Local\Temp\OnboardLogs"\RTDC4032\2017-11-02</v>
      </c>
      <c r="AF161" s="74" t="str">
        <f t="shared" si="231"/>
        <v>"C:\Program Files (x86)\AstroGrep\AstroGrep.exe" /e /r /s /spath="%USERPROFILE%\AppData\Local\Temp\OnboardLogs" /stypes="app*4032*20171101*" /stext=" 12:.+((SYSTEM_STATE.+slice.+state.+changed )|(ment ac)|(multiple cpu faults)|(system.+state.+changed )|(\[timeout)|(PRM\|1\|D)|(kpr)|(kdp)|(train st.+moving)|(\|lc)|(penalty))"</v>
      </c>
      <c r="AG161" s="182" t="str">
        <f t="shared" si="232"/>
        <v>NW</v>
      </c>
      <c r="AH161" s="78" t="str">
        <f t="shared" si="249"/>
        <v>"%USERPROFILE%\Documents\GitHub\eaglep3\Utilities\RefineRTDCRunTimes.py" --tripid 803-01 --locoid 4032 --swversion DE.1.0.9.0 --startMP 204:1032 --initTime 2017-11-01T06:03:41 --startdatetime 2017-11-01T06:09:19 --delay 68 --endMP 300:58967 --enddatetime 2017-11-01T06:24:29 --enforcementcount 0 &gt;&gt;%USERPROFILE%\Documents\GitHub\eaglep3-reporting\EC\2017-11-01-refined-times.txt</v>
      </c>
      <c r="AI161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{"issue":{"subject":"","project_id":79,"tracker_id":40,"status_id":1,"priority_id":2,"assigned_to_id":338,"start_date":"2017-11-01","description":"","custom_fields":[{"id":1,"name":"Subdivision","value":"NW"},{"id":4,"name":"Milepost","value":"5.8967"},{"id":17,"name":"Train ID","value":"803-01"},{"id":16,"name":"Locomotive ID","value":"4032"},{"id":130,"name":"Impact","value":""},{"id":150,"name":"Time of Event (Mountain Time)","value":"06:24:29"},{"id":151,"name":"Denver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47"/>
      <c r="AL161" s="47"/>
      <c r="AM161" s="142" t="str">
        <f t="shared" si="251"/>
        <v>start /low /b %USERPROFILE%\Documents\GitHub\eaglep3\Utilities\DownloadLogsFromS3.py --loco 4032 --day 2017-11-01</v>
      </c>
      <c r="AN161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12:24:29"},{"id":29,"name":"Sharepoint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253"/>
        <v>https://d0f6bd738d7f1b3e5a7ca70fe4ff75f0.us-east-1.aws.found.io/app/kibana#/discover/Steve-Slow-Train-Analysis-(2080s-and-2083s)?_g=(refreshInterval:(display:Off,pause:!f,section:0,value:0),time:(from:'2017-11-01T05:03:41-0600',mode:absolute,to:'2017-11-01T07:24:29-0600'))&amp;_a=(columns:!('Message%20ID',Summary),filters:!(),index:'emp_*',interval:auto,query:(query_string:(analyze_wildcard:!t,query:'%22rtdc.l.rtdc.4032%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695</v>
      </c>
      <c r="B162" s="7">
        <v>4031</v>
      </c>
      <c r="C162" s="21" t="s">
        <v>194</v>
      </c>
      <c r="D162" s="21" t="s">
        <v>1019</v>
      </c>
      <c r="E162" s="13">
        <v>43040.268634259257</v>
      </c>
      <c r="F162" s="13">
        <v>43040.279722222222</v>
      </c>
      <c r="G162" s="7">
        <v>51</v>
      </c>
      <c r="H162" s="21" t="s">
        <v>1020</v>
      </c>
      <c r="I162" s="13">
        <v>43040.288252314815</v>
      </c>
      <c r="J162" s="7">
        <v>0</v>
      </c>
      <c r="K162" s="89" t="str">
        <f t="shared" si="223"/>
        <v>4031/4032</v>
      </c>
      <c r="L162" s="185" t="str">
        <f>VLOOKUP(A162,'Trips&amp;Operators'!$C$1:$G$99911,5,FALSE)</f>
        <v>GEBRETEKLE DAGNEW</v>
      </c>
      <c r="M162" s="6">
        <f t="shared" si="224"/>
        <v>8.5300925929914229E-3</v>
      </c>
      <c r="N162" s="7">
        <f t="shared" si="270"/>
        <v>12.283333333907649</v>
      </c>
      <c r="O162" s="7"/>
      <c r="P162" s="7"/>
      <c r="Q162" s="22"/>
      <c r="R162" s="174"/>
      <c r="S162" s="221">
        <f t="shared" si="225"/>
        <v>1</v>
      </c>
      <c r="T162" s="174" t="str">
        <f t="shared" si="226"/>
        <v>Southbound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6" t="str">
        <f t="shared" si="227"/>
        <v>https://d0f6bd738d7f1b3e5a7ca70fe4ff75f0.us-east-1.aws.found.io/app/kibana#/discover/Steve-Slow-Train-Analysis-(2080s-and-2083s)?_g=(refreshInterval:(display:Off,pause:!f,section:0,value:0),time:(from:'2017-11-01T05:26:50-0600',mode:absolute,to:'2017-11-01T07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2" s="204" t="str">
        <f>IF(AA162&lt;VLOOKUP(AG162,Variables!$AC$3:$AD$8,2,FALSE),"Y","N")</f>
        <v>N</v>
      </c>
      <c r="X162" s="204">
        <f t="shared" si="96"/>
        <v>1</v>
      </c>
      <c r="Y162" s="204">
        <f t="shared" si="271"/>
        <v>5.8655999999999997</v>
      </c>
      <c r="Z162" s="204">
        <f t="shared" si="272"/>
        <v>7.3099999999999998E-2</v>
      </c>
      <c r="AA162" s="204">
        <f t="shared" si="228"/>
        <v>5.7924999999999995</v>
      </c>
      <c r="AB162" s="54" t="e">
        <f>VLOOKUP(A162,Enforcements!$C$7:$K$10,8,0)</f>
        <v>#N/A</v>
      </c>
      <c r="AC162" s="51" t="e">
        <f>VLOOKUP(A162,Enforcements!$C$7:$E$10,3,0)</f>
        <v>#N/A</v>
      </c>
      <c r="AD162" s="179">
        <f t="shared" si="229"/>
        <v>804</v>
      </c>
      <c r="AE162" s="77" t="str">
        <f t="shared" si="230"/>
        <v>aws s3 cp s3://rtdc.mdm.uploadarchive.raw/RTDC4031/ "%USERPROFILE%\AppData\Local\Temp\OnboardLogs"\RTDC4031\2017-11-01 --exclude "*" --recursive --include "*20171101*" &amp; "%USERPROFILE%\Documents\GitHub\mrs-test-scripts\Headless Mode &amp; Sideloading\WalkAndUnGZ.bat" "%USERPROFILE%\AppData\Local\Temp\OnboardLogs"\RTDC4031\2017-11-01 &amp; 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</v>
      </c>
      <c r="AF162" s="74" t="str">
        <f t="shared" si="231"/>
        <v>"C:\Program Files (x86)\AstroGrep\AstroGrep.exe" /e /r /s /spath="%USERPROFILE%\AppData\Local\Temp\OnboardLogs" /stypes="app*4031*20171101*" /stext=" 12:.+((SYSTEM_STATE.+slice.+state.+changed )|(ment ac)|(multiple cpu faults)|(system.+state.+changed )|(\[timeout)|(PRM\|1\|D)|(kpr)|(kdp)|(train st.+moving)|(\|lc)|(penalty))"</v>
      </c>
      <c r="AG162" s="182" t="str">
        <f t="shared" si="232"/>
        <v>NW</v>
      </c>
      <c r="AH162" s="78" t="str">
        <f t="shared" si="249"/>
        <v>"%USERPROFILE%\Documents\GitHub\eaglep3\Utilities\RefineRTDCRunTimes.py" --tripid 804-01 --locoid 4031 --swversion DE.1.0.9.0 --startMP 300:58656 --initTime 2017-11-01T06:26:50 --startdatetime 2017-11-01T06:42:48 --delay 51 --endMP 204:731 --enddatetime 2017-11-01T06:55:05 --enforcementcount 0 &gt;&gt;%USERPROFILE%\Documents\GitHub\eaglep3-reporting\EC\2017-11-01-refined-times.txt</v>
      </c>
      <c r="AI162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{"issue":{"subject":"","project_id":79,"tracker_id":40,"status_id":1,"priority_id":2,"assigned_to_id":338,"start_date":"2017-11-01","description":"","custom_fields":[{"id":1,"name":"Subdivision","value":"NW"},{"id":4,"name":"Milepost","value":"0.0731"},{"id":17,"name":"Train ID","value":"804-01"},{"id":16,"name":"Locomotive ID","value":"4031"},{"id":130,"name":"Impact","value":""},{"id":150,"name":"Time of Event (Mountain Time)","value":"06:55:05"},{"id":151,"name":"Denver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47"/>
      <c r="AL162" s="47"/>
      <c r="AM162" s="142" t="str">
        <f t="shared" si="251"/>
        <v>start /low /b %USERPROFILE%\Documents\GitHub\eaglep3\Utilities\DownloadLogsFromS3.py --loco 4031 --day 2017-11-01</v>
      </c>
      <c r="AN162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12:55:05"},{"id":29,"name":"Sharepoint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253"/>
        <v>https://d0f6bd738d7f1b3e5a7ca70fe4ff75f0.us-east-1.aws.found.io/app/kibana#/discover/Steve-Slow-Train-Analysis-(2080s-and-2083s)?_g=(refreshInterval:(display:Off,pause:!f,section:0,value:0),time:(from:'2017-11-01T05:26:50-0600',mode:absolute,to:'2017-11-01T07:55:05-0600'))&amp;_a=(columns:!('Message%20ID',Summary),filters:!(),index:'emp_*',interval:auto,query:(query_string:(analyze_wildcard:!t,query:'%22rtdc.l.rtdc.4031%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614</v>
      </c>
      <c r="B163" s="7">
        <v>4024</v>
      </c>
      <c r="C163" s="21" t="s">
        <v>194</v>
      </c>
      <c r="D163" s="21" t="s">
        <v>1021</v>
      </c>
      <c r="E163" s="13">
        <v>43040.275405092594</v>
      </c>
      <c r="F163" s="13">
        <v>43040.277465277781</v>
      </c>
      <c r="G163" s="7">
        <v>56</v>
      </c>
      <c r="H163" s="21" t="s">
        <v>1022</v>
      </c>
      <c r="I163" s="13">
        <v>43040.287569444445</v>
      </c>
      <c r="J163" s="7">
        <v>0</v>
      </c>
      <c r="K163" s="89" t="str">
        <f t="shared" si="223"/>
        <v>4023/4024</v>
      </c>
      <c r="L163" s="185" t="str">
        <f>VLOOKUP(A163,'Trips&amp;Operators'!$C$1:$G$99911,5,FALSE)</f>
        <v>LAMAR NEKESHA</v>
      </c>
      <c r="M163" s="6">
        <f t="shared" si="224"/>
        <v>1.0104166663950309E-2</v>
      </c>
      <c r="N163" s="7">
        <f t="shared" si="270"/>
        <v>14.549999996088445</v>
      </c>
      <c r="O163" s="7"/>
      <c r="P163" s="7"/>
      <c r="Q163" s="22"/>
      <c r="R163" s="174"/>
      <c r="S163" s="221">
        <f t="shared" si="225"/>
        <v>1</v>
      </c>
      <c r="T163" s="174" t="str">
        <f t="shared" si="226"/>
        <v>NorthBound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6" t="str">
        <f t="shared" si="227"/>
        <v>https://d0f6bd738d7f1b3e5a7ca70fe4ff75f0.us-east-1.aws.found.io/app/kibana#/discover/Steve-Slow-Train-Analysis-(2080s-and-2083s)?_g=(refreshInterval:(display:Off,pause:!f,section:0,value:0),time:(from:'2017-11-01T05:36:35-0600',mode:absolute,to:'2017-11-01T07:54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63" s="204" t="str">
        <f>IF(AA163&lt;VLOOKUP(AG163,Variables!$AC$3:$AD$8,2,FALSE),"Y","N")</f>
        <v>N</v>
      </c>
      <c r="X163" s="204">
        <f t="shared" si="96"/>
        <v>1</v>
      </c>
      <c r="Y163" s="204">
        <f t="shared" si="271"/>
        <v>9.7799999999999998E-2</v>
      </c>
      <c r="Z163" s="204">
        <f t="shared" si="272"/>
        <v>5.9009999999999998</v>
      </c>
      <c r="AA163" s="204">
        <f t="shared" si="228"/>
        <v>5.8031999999999995</v>
      </c>
      <c r="AB163" s="54" t="e">
        <f>VLOOKUP(A163,Enforcements!$C$7:$K$10,8,0)</f>
        <v>#N/A</v>
      </c>
      <c r="AC163" s="51" t="e">
        <f>VLOOKUP(A163,Enforcements!$C$7:$E$10,3,0)</f>
        <v>#N/A</v>
      </c>
      <c r="AD163" s="179">
        <f t="shared" si="229"/>
        <v>805</v>
      </c>
      <c r="AE163" s="77" t="str">
        <f t="shared" si="230"/>
        <v>aws s3 cp s3://rtdc.mdm.uploadarchive.raw/RTDC4024/ "%USERPROFILE%\AppData\Local\Temp\OnboardLogs"\RTDC4024\2017-11-01 --exclude "*" --recursive --include "*20171101*" &amp; "%USERPROFILE%\Documents\GitHub\mrs-test-scripts\Headless Mode &amp; Sideloading\WalkAndUnGZ.bat" "%USERPROFILE%\AppData\Local\Temp\OnboardLogs"\RTDC4024\2017-11-01 &amp; aws s3 cp s3://rtdc.mdm.uploadarchive.raw/RTDC4024/ "%USERPROFILE%\AppData\Local\Temp\OnboardLogs"\RTDC4024\2017-11-02 --exclude "*" --recursive --include "*20171102*" &amp; "%USERPROFILE%\Documents\GitHub\mrs-test-scripts\Headless Mode &amp; Sideloading\WalkAndUnGZ.bat" "%USERPROFILE%\AppData\Local\Temp\OnboardLogs"\RTDC4024\2017-11-02</v>
      </c>
      <c r="AF163" s="74" t="str">
        <f t="shared" si="231"/>
        <v>"C:\Program Files (x86)\AstroGrep\AstroGrep.exe" /e /r /s /spath="%USERPROFILE%\AppData\Local\Temp\OnboardLogs" /stypes="app*4024*20171101*" /stext=" 12:.+((SYSTEM_STATE.+slice.+state.+changed )|(ment ac)|(multiple cpu faults)|(system.+state.+changed )|(\[timeout)|(PRM\|1\|D)|(kpr)|(kdp)|(train st.+moving)|(\|lc)|(penalty))"</v>
      </c>
      <c r="AG163" s="182" t="str">
        <f t="shared" si="232"/>
        <v>NW</v>
      </c>
      <c r="AH163" s="78" t="str">
        <f t="shared" si="249"/>
        <v>"%USERPROFILE%\Documents\GitHub\eaglep3\Utilities\RefineRTDCRunTimes.py" --tripid 805-01 --locoid 4024 --swversion DE.1.0.9.0 --startMP 204:978 --initTime 2017-11-01T06:36:35 --startdatetime 2017-11-01T06:39:33 --delay 56 --endMP 300:59010 --enddatetime 2017-11-01T06:54:06 --enforcementcount 0 &gt;&gt;%USERPROFILE%\Documents\GitHub\eaglep3-reporting\EC\2017-11-01-refined-times.txt</v>
      </c>
      <c r="AI163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{"issue":{"subject":"","project_id":79,"tracker_id":40,"status_id":1,"priority_id":2,"assigned_to_id":338,"start_date":"2017-11-01","description":"","custom_fields":[{"id":1,"name":"Subdivision","value":"NW"},{"id":4,"name":"Milepost","value":"5.901"},{"id":17,"name":"Train ID","value":"805-01"},{"id":16,"name":"Locomotive ID","value":"4024"},{"id":130,"name":"Impact","value":""},{"id":150,"name":"Time of Event (Mountain Time)","value":"06:54:06"},{"id":151,"name":"Denver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47"/>
      <c r="AL163" s="47"/>
      <c r="AM163" s="142" t="str">
        <f t="shared" si="251"/>
        <v>start /low /b %USERPROFILE%\Documents\GitHub\eaglep3\Utilities\DownloadLogsFromS3.py --loco 4024 --day 2017-11-01</v>
      </c>
      <c r="AN163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12:54:06"},{"id":29,"name":"Sharepoint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253"/>
        <v>https://d0f6bd738d7f1b3e5a7ca70fe4ff75f0.us-east-1.aws.found.io/app/kibana#/discover/Steve-Slow-Train-Analysis-(2080s-and-2083s)?_g=(refreshInterval:(display:Off,pause:!f,section:0,value:0),time:(from:'2017-11-01T05:36:35-0600',mode:absolute,to:'2017-11-01T07:54:06-0600'))&amp;_a=(columns:!('Message%20ID',Summary),filters:!(),index:'emp_*',interval:auto,query:(query_string:(analyze_wildcard:!t,query:'%22rtdc.l.rtdc.4024%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700</v>
      </c>
      <c r="B164" s="7">
        <v>4023</v>
      </c>
      <c r="C164" s="21" t="s">
        <v>194</v>
      </c>
      <c r="D164" s="21" t="s">
        <v>1023</v>
      </c>
      <c r="E164" s="13">
        <v>43040.289421296293</v>
      </c>
      <c r="F164" s="13">
        <v>43040.30060185185</v>
      </c>
      <c r="G164" s="7">
        <v>66</v>
      </c>
      <c r="H164" s="21" t="s">
        <v>1024</v>
      </c>
      <c r="I164" s="13">
        <v>43040.308831018519</v>
      </c>
      <c r="J164" s="7">
        <v>0</v>
      </c>
      <c r="K164" s="89" t="str">
        <f t="shared" si="223"/>
        <v>4023/4024</v>
      </c>
      <c r="L164" s="185" t="str">
        <f>VLOOKUP(A164,'Trips&amp;Operators'!$C$1:$G$99911,5,FALSE)</f>
        <v>LAMAR NEKESHA</v>
      </c>
      <c r="M164" s="6">
        <f t="shared" si="224"/>
        <v>8.2291666694800369E-3</v>
      </c>
      <c r="N164" s="7">
        <f t="shared" si="270"/>
        <v>11.850000004051253</v>
      </c>
      <c r="O164" s="7"/>
      <c r="P164" s="7"/>
      <c r="Q164" s="22"/>
      <c r="R164" s="174"/>
      <c r="S164" s="221">
        <f t="shared" si="225"/>
        <v>1</v>
      </c>
      <c r="T164" s="174" t="str">
        <f t="shared" si="226"/>
        <v>Southbound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 t="shared" si="227"/>
        <v>https://d0f6bd738d7f1b3e5a7ca70fe4ff75f0.us-east-1.aws.found.io/app/kibana#/discover/Steve-Slow-Train-Analysis-(2080s-and-2083s)?_g=(refreshInterval:(display:Off,pause:!f,section:0,value:0),time:(from:'2017-11-01T05:56:46-0600',mode:absolute,to:'2017-11-01T08:24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4" s="204" t="str">
        <f>IF(AA164&lt;VLOOKUP(AG164,Variables!$AC$3:$AD$8,2,FALSE),"Y","N")</f>
        <v>N</v>
      </c>
      <c r="X164" s="204">
        <f t="shared" ref="X164:X195" si="273">VALUE(LEFT(AD164,4))-VALUE(LEFT(AD163,4))</f>
        <v>1</v>
      </c>
      <c r="Y164" s="204">
        <f t="shared" si="271"/>
        <v>5.8682999999999996</v>
      </c>
      <c r="Z164" s="204">
        <f t="shared" si="272"/>
        <v>7.1300000000000002E-2</v>
      </c>
      <c r="AA164" s="204">
        <f t="shared" si="228"/>
        <v>5.7969999999999997</v>
      </c>
      <c r="AB164" s="54" t="e">
        <f>VLOOKUP(A164,Enforcements!$C$7:$K$10,8,0)</f>
        <v>#N/A</v>
      </c>
      <c r="AC164" s="51" t="e">
        <f>VLOOKUP(A164,Enforcements!$C$7:$E$10,3,0)</f>
        <v>#N/A</v>
      </c>
      <c r="AD164" s="179">
        <f t="shared" si="229"/>
        <v>806</v>
      </c>
      <c r="AE164" s="77" t="str">
        <f t="shared" si="230"/>
        <v>aws s3 cp s3://rtdc.mdm.uploadarchive.raw/RTDC4023/ "%USERPROFILE%\AppData\Local\Temp\OnboardLogs"\RTDC4023\2017-11-01 --exclude "*" --recursive --include "*20171101*" &amp; "%USERPROFILE%\Documents\GitHub\mrs-test-scripts\Headless Mode &amp; Sideloading\WalkAndUnGZ.bat" "%USERPROFILE%\AppData\Local\Temp\OnboardLogs"\RTDC4023\2017-11-01 &amp; aws s3 cp s3://rtdc.mdm.uploadarchive.raw/RTDC4023/ "%USERPROFILE%\AppData\Local\Temp\OnboardLogs"\RTDC4023\2017-11-02 --exclude "*" --recursive --include "*20171102*" &amp; "%USERPROFILE%\Documents\GitHub\mrs-test-scripts\Headless Mode &amp; Sideloading\WalkAndUnGZ.bat" "%USERPROFILE%\AppData\Local\Temp\OnboardLogs"\RTDC4023\2017-11-02</v>
      </c>
      <c r="AF164" s="74" t="str">
        <f t="shared" si="231"/>
        <v>"C:\Program Files (x86)\AstroGrep\AstroGrep.exe" /e /r /s /spath="%USERPROFILE%\AppData\Local\Temp\OnboardLogs" /stypes="app*4023*20171101*" /stext=" 13:.+((SYSTEM_STATE.+slice.+state.+changed )|(ment ac)|(multiple cpu faults)|(system.+state.+changed )|(\[timeout)|(PRM\|1\|D)|(kpr)|(kdp)|(train st.+moving)|(\|lc)|(penalty))"</v>
      </c>
      <c r="AG164" s="182" t="str">
        <f t="shared" si="232"/>
        <v>NW</v>
      </c>
      <c r="AH164" s="78" t="str">
        <f t="shared" si="249"/>
        <v>"%USERPROFILE%\Documents\GitHub\eaglep3\Utilities\RefineRTDCRunTimes.py" --tripid 806-01 --locoid 4023 --swversion DE.1.0.9.0 --startMP 300:58683 --initTime 2017-11-01T06:56:46 --startdatetime 2017-11-01T07:12:52 --delay 66 --endMP 204:713 --enddatetime 2017-11-01T07:24:43 --enforcementcount 0 &gt;&gt;%USERPROFILE%\Documents\GitHub\eaglep3-reporting\EC\2017-11-01-refined-times.txt</v>
      </c>
      <c r="AI164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{"issue":{"subject":"","project_id":79,"tracker_id":40,"status_id":1,"priority_id":2,"assigned_to_id":338,"start_date":"2017-11-01","description":"","custom_fields":[{"id":1,"name":"Subdivision","value":"NW"},{"id":4,"name":"Milepost","value":"0.0713"},{"id":17,"name":"Train ID","value":"806-01"},{"id":16,"name":"Locomotive ID","value":"4023"},{"id":130,"name":"Impact","value":""},{"id":150,"name":"Time of Event (Mountain Time)","value":"07:24:43"},{"id":151,"name":"Denver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47"/>
      <c r="AL164" s="47"/>
      <c r="AM164" s="142" t="str">
        <f t="shared" si="251"/>
        <v>start /low /b %USERPROFILE%\Documents\GitHub\eaglep3\Utilities\DownloadLogsFromS3.py --loco 4023 --day 2017-11-01</v>
      </c>
      <c r="AN164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13:24:43"},{"id":29,"name":"Sharepoint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253"/>
        <v>https://d0f6bd738d7f1b3e5a7ca70fe4ff75f0.us-east-1.aws.found.io/app/kibana#/discover/Steve-Slow-Train-Analysis-(2080s-and-2083s)?_g=(refreshInterval:(display:Off,pause:!f,section:0,value:0),time:(from:'2017-11-01T05:56:46-0600',mode:absolute,to:'2017-11-01T08:24:43-0600'))&amp;_a=(columns:!('Message%20ID',Summary),filters:!(),index:'emp_*',interval:auto,query:(query_string:(analyze_wildcard:!t,query:'%22rtdc.l.rtdc.4023%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701</v>
      </c>
      <c r="B165" s="7">
        <v>4032</v>
      </c>
      <c r="C165" s="21" t="s">
        <v>194</v>
      </c>
      <c r="D165" s="21" t="s">
        <v>1025</v>
      </c>
      <c r="E165" s="13">
        <v>43040.290451388886</v>
      </c>
      <c r="F165" s="13">
        <v>43040.29824074074</v>
      </c>
      <c r="G165" s="7">
        <v>58</v>
      </c>
      <c r="H165" s="21" t="s">
        <v>458</v>
      </c>
      <c r="I165" s="13">
        <v>43040.308391203704</v>
      </c>
      <c r="J165" s="7">
        <v>0</v>
      </c>
      <c r="K165" s="89" t="str">
        <f t="shared" si="223"/>
        <v>4031/4032</v>
      </c>
      <c r="L165" s="185" t="str">
        <f>VLOOKUP(A165,'Trips&amp;Operators'!$C$1:$G$99911,5,FALSE)</f>
        <v>GEBRETEKLE DAGNEW</v>
      </c>
      <c r="M165" s="6">
        <f t="shared" si="224"/>
        <v>1.0150462963792961E-2</v>
      </c>
      <c r="N165" s="7">
        <f t="shared" si="270"/>
        <v>14.616666667861864</v>
      </c>
      <c r="O165" s="7"/>
      <c r="P165" s="7"/>
      <c r="Q165" s="22"/>
      <c r="R165" s="174"/>
      <c r="S165" s="221">
        <f t="shared" si="225"/>
        <v>1</v>
      </c>
      <c r="T165" s="174" t="str">
        <f t="shared" si="226"/>
        <v>NorthBound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 t="shared" si="227"/>
        <v>https://d0f6bd738d7f1b3e5a7ca70fe4ff75f0.us-east-1.aws.found.io/app/kibana#/discover/Steve-Slow-Train-Analysis-(2080s-and-2083s)?_g=(refreshInterval:(display:Off,pause:!f,section:0,value:0),time:(from:'2017-11-01T05:58:15-0600',mode:absolute,to:'2017-11-01T08:24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5" s="204" t="str">
        <f>IF(AA165&lt;VLOOKUP(AG165,Variables!$AC$3:$AD$8,2,FALSE),"Y","N")</f>
        <v>N</v>
      </c>
      <c r="X165" s="204">
        <f t="shared" si="273"/>
        <v>1</v>
      </c>
      <c r="Y165" s="204">
        <f t="shared" si="271"/>
        <v>0.10249999999999999</v>
      </c>
      <c r="Z165" s="204">
        <f t="shared" si="272"/>
        <v>5.8943000000000003</v>
      </c>
      <c r="AA165" s="204">
        <f t="shared" si="228"/>
        <v>5.7918000000000003</v>
      </c>
      <c r="AB165" s="54" t="e">
        <f>VLOOKUP(A165,Enforcements!$C$7:$K$10,8,0)</f>
        <v>#N/A</v>
      </c>
      <c r="AC165" s="51" t="e">
        <f>VLOOKUP(A165,Enforcements!$C$7:$E$10,3,0)</f>
        <v>#N/A</v>
      </c>
      <c r="AD165" s="179">
        <f t="shared" si="229"/>
        <v>807</v>
      </c>
      <c r="AE165" s="77" t="str">
        <f t="shared" si="230"/>
        <v>aws s3 cp s3://rtdc.mdm.uploadarchive.raw/RTDC4032/ "%USERPROFILE%\AppData\Local\Temp\OnboardLogs"\RTDC4032\2017-11-01 --exclude "*" --recursive --include "*20171101*" &amp; "%USERPROFILE%\Documents\GitHub\mrs-test-scripts\Headless Mode &amp; Sideloading\WalkAndUnGZ.bat" "%USERPROFILE%\AppData\Local\Temp\OnboardLogs"\RTDC4032\2017-11-01 &amp; aws s3 cp s3://rtdc.mdm.uploadarchive.raw/RTDC4032/ "%USERPROFILE%\AppData\Local\Temp\OnboardLogs"\RTDC4032\2017-11-02 --exclude "*" --recursive --include "*20171102*" &amp; "%USERPROFILE%\Documents\GitHub\mrs-test-scripts\Headless Mode &amp; Sideloading\WalkAndUnGZ.bat" "%USERPROFILE%\AppData\Local\Temp\OnboardLogs"\RTDC4032\2017-11-02</v>
      </c>
      <c r="AF165" s="74" t="str">
        <f t="shared" si="231"/>
        <v>"C:\Program Files (x86)\AstroGrep\AstroGrep.exe" /e /r /s /spath="%USERPROFILE%\AppData\Local\Temp\OnboardLogs" /stypes="app*4032*20171101*" /stext=" 13:.+((SYSTEM_STATE.+slice.+state.+changed )|(ment ac)|(multiple cpu faults)|(system.+state.+changed )|(\[timeout)|(PRM\|1\|D)|(kpr)|(kdp)|(train st.+moving)|(\|lc)|(penalty))"</v>
      </c>
      <c r="AG165" s="182" t="str">
        <f t="shared" si="232"/>
        <v>NW</v>
      </c>
      <c r="AH165" s="78" t="str">
        <f t="shared" si="249"/>
        <v>"%USERPROFILE%\Documents\GitHub\eaglep3\Utilities\RefineRTDCRunTimes.py" --tripid 807-01 --locoid 4032 --swversion DE.1.0.9.0 --startMP 204:1025 --initTime 2017-11-01T06:58:15 --startdatetime 2017-11-01T07:09:28 --delay 58 --endMP 300:58943 --enddatetime 2017-11-01T07:24:05 --enforcementcount 0 &gt;&gt;%USERPROFILE%\Documents\GitHub\eaglep3-reporting\EC\2017-11-01-refined-times.txt</v>
      </c>
      <c r="AI165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{"issue":{"subject":"","project_id":79,"tracker_id":40,"status_id":1,"priority_id":2,"assigned_to_id":338,"start_date":"2017-11-01","description":"","custom_fields":[{"id":1,"name":"Subdivision","value":"NW"},{"id":4,"name":"Milepost","value":"5.8943"},{"id":17,"name":"Train ID","value":"807-01"},{"id":16,"name":"Locomotive ID","value":"4032"},{"id":130,"name":"Impact","value":""},{"id":150,"name":"Time of Event (Mountain Time)","value":"07:24:05"},{"id":151,"name":"Denver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47"/>
      <c r="AL165" s="47"/>
      <c r="AM165" s="142" t="str">
        <f t="shared" si="251"/>
        <v>start /low /b %USERPROFILE%\Documents\GitHub\eaglep3\Utilities\DownloadLogsFromS3.py --loco 4032 --day 2017-11-01</v>
      </c>
      <c r="AN165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13:24:05"},{"id":29,"name":"Sharepoint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253"/>
        <v>https://d0f6bd738d7f1b3e5a7ca70fe4ff75f0.us-east-1.aws.found.io/app/kibana#/discover/Steve-Slow-Train-Analysis-(2080s-and-2083s)?_g=(refreshInterval:(display:Off,pause:!f,section:0,value:0),time:(from:'2017-11-01T05:58:15-0600',mode:absolute,to:'2017-11-01T08:24:05-0600'))&amp;_a=(columns:!('Message%20ID',Summary),filters:!(),index:'emp_*',interval:auto,query:(query_string:(analyze_wildcard:!t,query:'%22rtdc.l.rtdc.4032%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704</v>
      </c>
      <c r="B166" s="7">
        <v>4031</v>
      </c>
      <c r="C166" s="21" t="s">
        <v>194</v>
      </c>
      <c r="D166" s="21" t="s">
        <v>604</v>
      </c>
      <c r="E166" s="13">
        <v>43040.311261574076</v>
      </c>
      <c r="F166" s="13">
        <v>43040.312905092593</v>
      </c>
      <c r="G166" s="7">
        <v>64</v>
      </c>
      <c r="H166" s="21" t="s">
        <v>1026</v>
      </c>
      <c r="I166" s="13">
        <v>43040.329606481479</v>
      </c>
      <c r="J166" s="7">
        <v>0</v>
      </c>
      <c r="K166" s="89" t="str">
        <f t="shared" si="223"/>
        <v>4031/4032</v>
      </c>
      <c r="L166" s="185" t="str">
        <f>VLOOKUP(A166,'Trips&amp;Operators'!$C$1:$G$99911,5,FALSE)</f>
        <v>GEBRETEKLE DAGNEW</v>
      </c>
      <c r="M166" s="6">
        <f t="shared" si="224"/>
        <v>1.6701388885849155E-2</v>
      </c>
      <c r="N166" s="7">
        <f t="shared" si="270"/>
        <v>24.049999995622784</v>
      </c>
      <c r="O166" s="7"/>
      <c r="P166" s="7"/>
      <c r="Q166" s="22"/>
      <c r="R166" s="174"/>
      <c r="S166" s="221">
        <f t="shared" si="225"/>
        <v>1</v>
      </c>
      <c r="T166" s="174" t="str">
        <f t="shared" si="226"/>
        <v>Southbound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 t="shared" si="227"/>
        <v>https://d0f6bd738d7f1b3e5a7ca70fe4ff75f0.us-east-1.aws.found.io/app/kibana#/discover/Steve-Slow-Train-Analysis-(2080s-and-2083s)?_g=(refreshInterval:(display:Off,pause:!f,section:0,value:0),time:(from:'2017-11-01T06:28:13-0600',mode:absolute,to:'2017-11-01T08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6" s="204" t="str">
        <f>IF(AA166&lt;VLOOKUP(AG166,Variables!$AC$3:$AD$8,2,FALSE),"Y","N")</f>
        <v>N</v>
      </c>
      <c r="X166" s="204">
        <f t="shared" si="273"/>
        <v>1</v>
      </c>
      <c r="Y166" s="204">
        <f t="shared" si="271"/>
        <v>5.8630000000000004</v>
      </c>
      <c r="Z166" s="204">
        <f t="shared" si="272"/>
        <v>7.0499999999999993E-2</v>
      </c>
      <c r="AA166" s="204">
        <f t="shared" si="228"/>
        <v>5.7925000000000004</v>
      </c>
      <c r="AB166" s="54" t="e">
        <f>VLOOKUP(A166,Enforcements!$C$7:$K$10,8,0)</f>
        <v>#N/A</v>
      </c>
      <c r="AC166" s="51" t="e">
        <f>VLOOKUP(A166,Enforcements!$C$7:$E$10,3,0)</f>
        <v>#N/A</v>
      </c>
      <c r="AD166" s="179">
        <f t="shared" si="229"/>
        <v>808</v>
      </c>
      <c r="AE166" s="77" t="str">
        <f t="shared" si="230"/>
        <v>aws s3 cp s3://rtdc.mdm.uploadarchive.raw/RTDC4031/ "%USERPROFILE%\AppData\Local\Temp\OnboardLogs"\RTDC4031\2017-11-01 --exclude "*" --recursive --include "*20171101*" &amp; "%USERPROFILE%\Documents\GitHub\mrs-test-scripts\Headless Mode &amp; Sideloading\WalkAndUnGZ.bat" "%USERPROFILE%\AppData\Local\Temp\OnboardLogs"\RTDC4031\2017-11-01 &amp; 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</v>
      </c>
      <c r="AF166" s="74" t="str">
        <f t="shared" si="231"/>
        <v>"C:\Program Files (x86)\AstroGrep\AstroGrep.exe" /e /r /s /spath="%USERPROFILE%\AppData\Local\Temp\OnboardLogs" /stypes="app*4031*20171101*" /stext=" 13:.+((SYSTEM_STATE.+slice.+state.+changed )|(ment ac)|(multiple cpu faults)|(system.+state.+changed )|(\[timeout)|(PRM\|1\|D)|(kpr)|(kdp)|(train st.+moving)|(\|lc)|(penalty))"</v>
      </c>
      <c r="AG166" s="182" t="str">
        <f t="shared" si="232"/>
        <v>NW</v>
      </c>
      <c r="AH166" s="78" t="str">
        <f t="shared" si="249"/>
        <v>"%USERPROFILE%\Documents\GitHub\eaglep3\Utilities\RefineRTDCRunTimes.py" --tripid 808-01 --locoid 4031 --swversion DE.1.0.9.0 --startMP 300:58630 --initTime 2017-11-01T07:28:13 --startdatetime 2017-11-01T07:30:35 --delay 64 --endMP 204:705 --enddatetime 2017-11-01T07:54:38 --enforcementcount 0 &gt;&gt;%USERPROFILE%\Documents\GitHub\eaglep3-reporting\EC\2017-11-01-refined-times.txt</v>
      </c>
      <c r="AI166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{"issue":{"subject":"","project_id":79,"tracker_id":40,"status_id":1,"priority_id":2,"assigned_to_id":338,"start_date":"2017-11-01","description":"","custom_fields":[{"id":1,"name":"Subdivision","value":"NW"},{"id":4,"name":"Milepost","value":"0.0705"},{"id":17,"name":"Train ID","value":"808-01"},{"id":16,"name":"Locomotive ID","value":"4031"},{"id":130,"name":"Impact","value":""},{"id":150,"name":"Time of Event (Mountain Time)","value":"07:54:38"},{"id":151,"name":"Denver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47"/>
      <c r="AL166" s="47"/>
      <c r="AM166" s="142" t="str">
        <f t="shared" si="251"/>
        <v>start /low /b %USERPROFILE%\Documents\GitHub\eaglep3\Utilities\DownloadLogsFromS3.py --loco 4031 --day 2017-11-01</v>
      </c>
      <c r="AN166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13:54:38"},{"id":29,"name":"Sharepoint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253"/>
        <v>https://d0f6bd738d7f1b3e5a7ca70fe4ff75f0.us-east-1.aws.found.io/app/kibana#/discover/Steve-Slow-Train-Analysis-(2080s-and-2083s)?_g=(refreshInterval:(display:Off,pause:!f,section:0,value:0),time:(from:'2017-11-01T06:28:13-0600',mode:absolute,to:'2017-11-01T08:54:38-0600'))&amp;_a=(columns:!('Message%20ID',Summary),filters:!(),index:'emp_*',interval:auto,query:(query_string:(analyze_wildcard:!t,query:'%22rtdc.l.rtdc.4031%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705</v>
      </c>
      <c r="B167" s="7">
        <v>4024</v>
      </c>
      <c r="C167" s="21" t="s">
        <v>194</v>
      </c>
      <c r="D167" s="21" t="s">
        <v>602</v>
      </c>
      <c r="E167" s="13">
        <v>43040.311400462961</v>
      </c>
      <c r="F167" s="13">
        <v>43040.318935185183</v>
      </c>
      <c r="G167" s="7">
        <v>55</v>
      </c>
      <c r="H167" s="21" t="s">
        <v>1027</v>
      </c>
      <c r="I167" s="13">
        <v>43040.329039351855</v>
      </c>
      <c r="J167" s="7">
        <v>0</v>
      </c>
      <c r="K167" s="89" t="str">
        <f t="shared" si="223"/>
        <v>4023/4024</v>
      </c>
      <c r="L167" s="185" t="str">
        <f>VLOOKUP(A167,'Trips&amp;Operators'!$C$1:$G$99911,5,FALSE)</f>
        <v>LAMAR NEKESHA</v>
      </c>
      <c r="M167" s="6">
        <f t="shared" si="224"/>
        <v>1.0104166671226267E-2</v>
      </c>
      <c r="N167" s="7">
        <f t="shared" si="270"/>
        <v>14.550000006565824</v>
      </c>
      <c r="O167" s="7"/>
      <c r="P167" s="7"/>
      <c r="Q167" s="22"/>
      <c r="R167" s="174"/>
      <c r="S167" s="221">
        <f t="shared" si="225"/>
        <v>1</v>
      </c>
      <c r="T167" s="174" t="str">
        <f t="shared" si="226"/>
        <v>NorthBound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 t="shared" si="227"/>
        <v>https://d0f6bd738d7f1b3e5a7ca70fe4ff75f0.us-east-1.aws.found.io/app/kibana#/discover/Steve-Slow-Train-Analysis-(2080s-and-2083s)?_g=(refreshInterval:(display:Off,pause:!f,section:0,value:0),time:(from:'2017-11-01T06:28:25-0600',mode:absolute,to:'2017-11-01T08:53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67" s="204" t="str">
        <f>IF(AA167&lt;VLOOKUP(AG167,Variables!$AC$3:$AD$8,2,FALSE),"Y","N")</f>
        <v>N</v>
      </c>
      <c r="X167" s="204">
        <f t="shared" si="273"/>
        <v>1</v>
      </c>
      <c r="Y167" s="204">
        <f t="shared" si="271"/>
        <v>9.7600000000000006E-2</v>
      </c>
      <c r="Z167" s="204">
        <f t="shared" si="272"/>
        <v>5.9005000000000001</v>
      </c>
      <c r="AA167" s="204">
        <f t="shared" si="228"/>
        <v>5.8029000000000002</v>
      </c>
      <c r="AB167" s="54" t="e">
        <f>VLOOKUP(A167,Enforcements!$C$7:$K$10,8,0)</f>
        <v>#N/A</v>
      </c>
      <c r="AC167" s="51" t="e">
        <f>VLOOKUP(A167,Enforcements!$C$7:$E$10,3,0)</f>
        <v>#N/A</v>
      </c>
      <c r="AD167" s="179">
        <f t="shared" si="229"/>
        <v>809</v>
      </c>
      <c r="AE167" s="77" t="str">
        <f t="shared" si="230"/>
        <v>aws s3 cp s3://rtdc.mdm.uploadarchive.raw/RTDC4024/ "%USERPROFILE%\AppData\Local\Temp\OnboardLogs"\RTDC4024\2017-11-01 --exclude "*" --recursive --include "*20171101*" &amp; "%USERPROFILE%\Documents\GitHub\mrs-test-scripts\Headless Mode &amp; Sideloading\WalkAndUnGZ.bat" "%USERPROFILE%\AppData\Local\Temp\OnboardLogs"\RTDC4024\2017-11-01 &amp; aws s3 cp s3://rtdc.mdm.uploadarchive.raw/RTDC4024/ "%USERPROFILE%\AppData\Local\Temp\OnboardLogs"\RTDC4024\2017-11-02 --exclude "*" --recursive --include "*20171102*" &amp; "%USERPROFILE%\Documents\GitHub\mrs-test-scripts\Headless Mode &amp; Sideloading\WalkAndUnGZ.bat" "%USERPROFILE%\AppData\Local\Temp\OnboardLogs"\RTDC4024\2017-11-02</v>
      </c>
      <c r="AF167" s="74" t="str">
        <f t="shared" si="231"/>
        <v>"C:\Program Files (x86)\AstroGrep\AstroGrep.exe" /e /r /s /spath="%USERPROFILE%\AppData\Local\Temp\OnboardLogs" /stypes="app*4024*20171101*" /stext=" 13:.+((SYSTEM_STATE.+slice.+state.+changed )|(ment ac)|(multiple cpu faults)|(system.+state.+changed )|(\[timeout)|(PRM\|1\|D)|(kpr)|(kdp)|(train st.+moving)|(\|lc)|(penalty))"</v>
      </c>
      <c r="AG167" s="182" t="str">
        <f t="shared" si="232"/>
        <v>NW</v>
      </c>
      <c r="AH167" s="78" t="str">
        <f t="shared" si="249"/>
        <v>"%USERPROFILE%\Documents\GitHub\eaglep3\Utilities\RefineRTDCRunTimes.py" --tripid 809-01 --locoid 4024 --swversion DE.1.0.9.0 --startMP 204:976 --initTime 2017-11-01T07:28:25 --startdatetime 2017-11-01T07:39:16 --delay 55 --endMP 300:59005 --enddatetime 2017-11-01T07:53:49 --enforcementcount 0 &gt;&gt;%USERPROFILE%\Documents\GitHub\eaglep3-reporting\EC\2017-11-01-refined-times.txt</v>
      </c>
      <c r="AI167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{"issue":{"subject":"","project_id":79,"tracker_id":40,"status_id":1,"priority_id":2,"assigned_to_id":338,"start_date":"2017-11-01","description":"","custom_fields":[{"id":1,"name":"Subdivision","value":"NW"},{"id":4,"name":"Milepost","value":"5.9005"},{"id":17,"name":"Train ID","value":"809-01"},{"id":16,"name":"Locomotive ID","value":"4024"},{"id":130,"name":"Impact","value":""},{"id":150,"name":"Time of Event (Mountain Time)","value":"07:53:49"},{"id":151,"name":"Denver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47"/>
      <c r="AL167" s="47"/>
      <c r="AM167" s="142" t="str">
        <f t="shared" si="251"/>
        <v>start /low /b %USERPROFILE%\Documents\GitHub\eaglep3\Utilities\DownloadLogsFromS3.py --loco 4024 --day 2017-11-01</v>
      </c>
      <c r="AN167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13:53:49"},{"id":29,"name":"Sharepoint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253"/>
        <v>https://d0f6bd738d7f1b3e5a7ca70fe4ff75f0.us-east-1.aws.found.io/app/kibana#/discover/Steve-Slow-Train-Analysis-(2080s-and-2083s)?_g=(refreshInterval:(display:Off,pause:!f,section:0,value:0),time:(from:'2017-11-01T06:28:25-0600',mode:absolute,to:'2017-11-01T08:53:49-0600'))&amp;_a=(columns:!('Message%20ID',Summary),filters:!(),index:'emp_*',interval:auto,query:(query_string:(analyze_wildcard:!t,query:'%22rtdc.l.rtdc.4024%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709</v>
      </c>
      <c r="B168" s="7">
        <v>4023</v>
      </c>
      <c r="C168" s="21" t="s">
        <v>194</v>
      </c>
      <c r="D168" s="21" t="s">
        <v>1012</v>
      </c>
      <c r="E168" s="13">
        <v>43040.331087962964</v>
      </c>
      <c r="F168" s="13">
        <v>43040.342835648145</v>
      </c>
      <c r="G168" s="7">
        <v>69</v>
      </c>
      <c r="H168" s="21" t="s">
        <v>1028</v>
      </c>
      <c r="I168" s="13">
        <v>43040.350868055553</v>
      </c>
      <c r="J168" s="7">
        <v>0</v>
      </c>
      <c r="K168" s="89" t="str">
        <f t="shared" si="223"/>
        <v>4023/4024</v>
      </c>
      <c r="L168" s="185" t="str">
        <f>VLOOKUP(A168,'Trips&amp;Operators'!$C$1:$G$99911,5,FALSE)</f>
        <v>LAMAR NEKESHA</v>
      </c>
      <c r="M168" s="6">
        <f t="shared" si="224"/>
        <v>8.0324074078816921E-3</v>
      </c>
      <c r="N168" s="7">
        <f t="shared" si="270"/>
        <v>11.566666667349637</v>
      </c>
      <c r="O168" s="7"/>
      <c r="P168" s="7"/>
      <c r="Q168" s="22"/>
      <c r="R168" s="174"/>
      <c r="S168" s="221">
        <f t="shared" si="225"/>
        <v>1</v>
      </c>
      <c r="T168" s="174" t="str">
        <f t="shared" si="226"/>
        <v>Southbound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 t="shared" si="227"/>
        <v>https://d0f6bd738d7f1b3e5a7ca70fe4ff75f0.us-east-1.aws.found.io/app/kibana#/discover/Steve-Slow-Train-Analysis-(2080s-and-2083s)?_g=(refreshInterval:(display:Off,pause:!f,section:0,value:0),time:(from:'2017-11-01T06:56:46-0600',mode:absolute,to:'2017-11-01T09:25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8" s="204" t="str">
        <f>IF(AA168&lt;VLOOKUP(AG168,Variables!$AC$3:$AD$8,2,FALSE),"Y","N")</f>
        <v>N</v>
      </c>
      <c r="X168" s="204">
        <f t="shared" si="273"/>
        <v>1</v>
      </c>
      <c r="Y168" s="204">
        <f t="shared" si="271"/>
        <v>5.8685</v>
      </c>
      <c r="Z168" s="204">
        <f t="shared" si="272"/>
        <v>6.8000000000000005E-2</v>
      </c>
      <c r="AA168" s="204">
        <f t="shared" si="228"/>
        <v>5.8005000000000004</v>
      </c>
      <c r="AB168" s="54" t="e">
        <f>VLOOKUP(A168,Enforcements!$C$7:$K$10,8,0)</f>
        <v>#N/A</v>
      </c>
      <c r="AC168" s="51" t="e">
        <f>VLOOKUP(A168,Enforcements!$C$7:$E$10,3,0)</f>
        <v>#N/A</v>
      </c>
      <c r="AD168" s="179">
        <f t="shared" si="229"/>
        <v>810</v>
      </c>
      <c r="AE168" s="77" t="str">
        <f t="shared" si="230"/>
        <v>aws s3 cp s3://rtdc.mdm.uploadarchive.raw/RTDC4023/ "%USERPROFILE%\AppData\Local\Temp\OnboardLogs"\RTDC4023\2017-11-01 --exclude "*" --recursive --include "*20171101*" &amp; "%USERPROFILE%\Documents\GitHub\mrs-test-scripts\Headless Mode &amp; Sideloading\WalkAndUnGZ.bat" "%USERPROFILE%\AppData\Local\Temp\OnboardLogs"\RTDC4023\2017-11-01 &amp; aws s3 cp s3://rtdc.mdm.uploadarchive.raw/RTDC4023/ "%USERPROFILE%\AppData\Local\Temp\OnboardLogs"\RTDC4023\2017-11-02 --exclude "*" --recursive --include "*20171102*" &amp; "%USERPROFILE%\Documents\GitHub\mrs-test-scripts\Headless Mode &amp; Sideloading\WalkAndUnGZ.bat" "%USERPROFILE%\AppData\Local\Temp\OnboardLogs"\RTDC4023\2017-11-02</v>
      </c>
      <c r="AF168" s="74" t="str">
        <f t="shared" si="231"/>
        <v>"C:\Program Files (x86)\AstroGrep\AstroGrep.exe" /e /r /s /spath="%USERPROFILE%\AppData\Local\Temp\OnboardLogs" /stypes="app*4023*20171101*" /stext=" 14:.+((SYSTEM_STATE.+slice.+state.+changed )|(ment ac)|(multiple cpu faults)|(system.+state.+changed )|(\[timeout)|(PRM\|1\|D)|(kpr)|(kdp)|(train st.+moving)|(\|lc)|(penalty))"</v>
      </c>
      <c r="AG168" s="182" t="str">
        <f t="shared" si="232"/>
        <v>NW</v>
      </c>
      <c r="AH168" s="78" t="str">
        <f t="shared" si="249"/>
        <v>"%USERPROFILE%\Documents\GitHub\eaglep3\Utilities\RefineRTDCRunTimes.py" --tripid 810-01 --locoid 4023 --swversion DE.1.0.9.0 --startMP 300:58685 --initTime 2017-11-01T07:56:46 --startdatetime 2017-11-01T08:13:41 --delay 69 --endMP 204:680 --enddatetime 2017-11-01T08:25:15 --enforcementcount 0 &gt;&gt;%USERPROFILE%\Documents\GitHub\eaglep3-reporting\EC\2017-11-01-refined-times.txt</v>
      </c>
      <c r="AI168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{"issue":{"subject":"","project_id":79,"tracker_id":40,"status_id":1,"priority_id":2,"assigned_to_id":338,"start_date":"2017-11-01","description":"","custom_fields":[{"id":1,"name":"Subdivision","value":"NW"},{"id":4,"name":"Milepost","value":"0.068"},{"id":17,"name":"Train ID","value":"810-01"},{"id":16,"name":"Locomotive ID","value":"4023"},{"id":130,"name":"Impact","value":""},{"id":150,"name":"Time of Event (Mountain Time)","value":"08:25:15"},{"id":151,"name":"Denver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47"/>
      <c r="AL168" s="47"/>
      <c r="AM168" s="142" t="str">
        <f t="shared" si="251"/>
        <v>start /low /b %USERPROFILE%\Documents\GitHub\eaglep3\Utilities\DownloadLogsFromS3.py --loco 4023 --day 2017-11-01</v>
      </c>
      <c r="AN168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14:25:15"},{"id":29,"name":"Sharepoint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253"/>
        <v>https://d0f6bd738d7f1b3e5a7ca70fe4ff75f0.us-east-1.aws.found.io/app/kibana#/discover/Steve-Slow-Train-Analysis-(2080s-and-2083s)?_g=(refreshInterval:(display:Off,pause:!f,section:0,value:0),time:(from:'2017-11-01T06:56:46-0600',mode:absolute,to:'2017-11-01T09:25:15-0600'))&amp;_a=(columns:!('Message%20ID',Summary),filters:!(),index:'emp_*',interval:auto,query:(query_string:(analyze_wildcard:!t,query:'%22rtdc.l.rtdc.4023%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710</v>
      </c>
      <c r="B169" s="7">
        <v>4032</v>
      </c>
      <c r="C169" s="21" t="s">
        <v>194</v>
      </c>
      <c r="D169" s="21" t="s">
        <v>1029</v>
      </c>
      <c r="E169" s="13">
        <v>43040.331597222219</v>
      </c>
      <c r="F169" s="13">
        <v>43040.339768518519</v>
      </c>
      <c r="G169" s="7">
        <v>68</v>
      </c>
      <c r="H169" s="21" t="s">
        <v>608</v>
      </c>
      <c r="I169" s="13">
        <v>43040.349629629629</v>
      </c>
      <c r="J169" s="7">
        <v>0</v>
      </c>
      <c r="K169" s="89" t="str">
        <f t="shared" si="223"/>
        <v>4031/4032</v>
      </c>
      <c r="L169" s="185" t="str">
        <f>VLOOKUP(A169,'Trips&amp;Operators'!$C$1:$G$99911,5,FALSE)</f>
        <v>GEBRETEKLE DAGNEW</v>
      </c>
      <c r="M169" s="6">
        <f t="shared" si="224"/>
        <v>9.8611111097852699E-3</v>
      </c>
      <c r="N169" s="7">
        <f t="shared" si="270"/>
        <v>14.199999998090789</v>
      </c>
      <c r="O169" s="7"/>
      <c r="P169" s="7"/>
      <c r="Q169" s="22"/>
      <c r="R169" s="174"/>
      <c r="S169" s="221">
        <f t="shared" si="225"/>
        <v>1</v>
      </c>
      <c r="T169" s="174" t="str">
        <f t="shared" si="226"/>
        <v>NorthBound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 t="shared" si="227"/>
        <v>https://d0f6bd738d7f1b3e5a7ca70fe4ff75f0.us-east-1.aws.found.io/app/kibana#/discover/Steve-Slow-Train-Analysis-(2080s-and-2083s)?_g=(refreshInterval:(display:Off,pause:!f,section:0,value:0),time:(from:'2017-11-01T06:57:30-0600',mode:absolute,to:'2017-11-01T09:23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9" s="204" t="str">
        <f>IF(AA169&lt;VLOOKUP(AG169,Variables!$AC$3:$AD$8,2,FALSE),"Y","N")</f>
        <v>N</v>
      </c>
      <c r="X169" s="204">
        <f t="shared" si="273"/>
        <v>1</v>
      </c>
      <c r="Y169" s="204">
        <f t="shared" si="271"/>
        <v>0.10340000000000001</v>
      </c>
      <c r="Z169" s="204">
        <f t="shared" si="272"/>
        <v>5.8958000000000004</v>
      </c>
      <c r="AA169" s="204">
        <f t="shared" si="228"/>
        <v>5.7924000000000007</v>
      </c>
      <c r="AB169" s="54" t="e">
        <f>VLOOKUP(A169,Enforcements!$C$7:$K$10,8,0)</f>
        <v>#N/A</v>
      </c>
      <c r="AC169" s="51" t="e">
        <f>VLOOKUP(A169,Enforcements!$C$7:$E$10,3,0)</f>
        <v>#N/A</v>
      </c>
      <c r="AD169" s="179">
        <f t="shared" si="229"/>
        <v>811</v>
      </c>
      <c r="AE169" s="77" t="str">
        <f t="shared" si="230"/>
        <v>aws s3 cp s3://rtdc.mdm.uploadarchive.raw/RTDC4032/ "%USERPROFILE%\AppData\Local\Temp\OnboardLogs"\RTDC4032\2017-11-01 --exclude "*" --recursive --include "*20171101*" &amp; "%USERPROFILE%\Documents\GitHub\mrs-test-scripts\Headless Mode &amp; Sideloading\WalkAndUnGZ.bat" "%USERPROFILE%\AppData\Local\Temp\OnboardLogs"\RTDC4032\2017-11-01 &amp; aws s3 cp s3://rtdc.mdm.uploadarchive.raw/RTDC4032/ "%USERPROFILE%\AppData\Local\Temp\OnboardLogs"\RTDC4032\2017-11-02 --exclude "*" --recursive --include "*20171102*" &amp; "%USERPROFILE%\Documents\GitHub\mrs-test-scripts\Headless Mode &amp; Sideloading\WalkAndUnGZ.bat" "%USERPROFILE%\AppData\Local\Temp\OnboardLogs"\RTDC4032\2017-11-02</v>
      </c>
      <c r="AF169" s="74" t="str">
        <f t="shared" si="231"/>
        <v>"C:\Program Files (x86)\AstroGrep\AstroGrep.exe" /e /r /s /spath="%USERPROFILE%\AppData\Local\Temp\OnboardLogs" /stypes="app*4032*20171101*" /stext=" 14:.+((SYSTEM_STATE.+slice.+state.+changed )|(ment ac)|(multiple cpu faults)|(system.+state.+changed )|(\[timeout)|(PRM\|1\|D)|(kpr)|(kdp)|(train st.+moving)|(\|lc)|(penalty))"</v>
      </c>
      <c r="AG169" s="182" t="str">
        <f t="shared" si="232"/>
        <v>NW</v>
      </c>
      <c r="AH169" s="78" t="str">
        <f t="shared" si="249"/>
        <v>"%USERPROFILE%\Documents\GitHub\eaglep3\Utilities\RefineRTDCRunTimes.py" --tripid 811-01 --locoid 4032 --swversion DE.1.0.9.0 --startMP 204:1034 --initTime 2017-11-01T07:57:30 --startdatetime 2017-11-01T08:09:16 --delay 68 --endMP 300:58958 --enddatetime 2017-11-01T08:23:28 --enforcementcount 0 &gt;&gt;%USERPROFILE%\Documents\GitHub\eaglep3-reporting\EC\2017-11-01-refined-times.txt</v>
      </c>
      <c r="AI169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{"issue":{"subject":"","project_id":79,"tracker_id":40,"status_id":1,"priority_id":2,"assigned_to_id":338,"start_date":"2017-11-01","description":"","custom_fields":[{"id":1,"name":"Subdivision","value":"NW"},{"id":4,"name":"Milepost","value":"5.8958"},{"id":17,"name":"Train ID","value":"811-01"},{"id":16,"name":"Locomotive ID","value":"4032"},{"id":130,"name":"Impact","value":""},{"id":150,"name":"Time of Event (Mountain Time)","value":"08:23:28"},{"id":151,"name":"Denver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47"/>
      <c r="AL169" s="47"/>
      <c r="AM169" s="142" t="str">
        <f t="shared" si="251"/>
        <v>start /low /b %USERPROFILE%\Documents\GitHub\eaglep3\Utilities\DownloadLogsFromS3.py --loco 4032 --day 2017-11-01</v>
      </c>
      <c r="AN169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14:23:28"},{"id":29,"name":"Sharepoint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253"/>
        <v>https://d0f6bd738d7f1b3e5a7ca70fe4ff75f0.us-east-1.aws.found.io/app/kibana#/discover/Steve-Slow-Train-Analysis-(2080s-and-2083s)?_g=(refreshInterval:(display:Off,pause:!f,section:0,value:0),time:(from:'2017-11-01T06:57:30-0600',mode:absolute,to:'2017-11-01T09:23:28-0600'))&amp;_a=(columns:!('Message%20ID',Summary),filters:!(),index:'emp_*',interval:auto,query:(query_string:(analyze_wildcard:!t,query:'%22rtdc.l.rtdc.4032%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716</v>
      </c>
      <c r="B170" s="7">
        <v>4031</v>
      </c>
      <c r="C170" s="21" t="s">
        <v>194</v>
      </c>
      <c r="D170" s="21" t="s">
        <v>601</v>
      </c>
      <c r="E170" s="13">
        <v>43040.351747685185</v>
      </c>
      <c r="F170" s="13">
        <v>43040.363425925927</v>
      </c>
      <c r="G170" s="7">
        <v>55</v>
      </c>
      <c r="H170" s="21" t="s">
        <v>1030</v>
      </c>
      <c r="I170" s="13">
        <v>43040.371504629627</v>
      </c>
      <c r="J170" s="7">
        <v>0</v>
      </c>
      <c r="K170" s="89" t="str">
        <f t="shared" si="223"/>
        <v>4031/4032</v>
      </c>
      <c r="L170" s="185" t="str">
        <f>VLOOKUP(A170,'Trips&amp;Operators'!$C$1:$G$99911,5,FALSE)</f>
        <v>GEBRETEKLE DAGNEW</v>
      </c>
      <c r="M170" s="6">
        <f t="shared" si="224"/>
        <v>8.0787037004483864E-3</v>
      </c>
      <c r="N170" s="7">
        <f t="shared" si="270"/>
        <v>11.633333328645676</v>
      </c>
      <c r="O170" s="7"/>
      <c r="P170" s="7"/>
      <c r="Q170" s="22"/>
      <c r="R170" s="174"/>
      <c r="S170" s="221">
        <f t="shared" si="225"/>
        <v>1</v>
      </c>
      <c r="T170" s="174" t="str">
        <f t="shared" si="226"/>
        <v>Southbound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 t="shared" si="227"/>
        <v>https://d0f6bd738d7f1b3e5a7ca70fe4ff75f0.us-east-1.aws.found.io/app/kibana#/discover/Steve-Slow-Train-Analysis-(2080s-and-2083s)?_g=(refreshInterval:(display:Off,pause:!f,section:0,value:0),time:(from:'2017-11-01T07:26:31-0600',mode:absolute,to:'2017-11-01T09:54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0" s="204" t="str">
        <f>IF(AA170&lt;VLOOKUP(AG170,Variables!$AC$3:$AD$8,2,FALSE),"Y","N")</f>
        <v>N</v>
      </c>
      <c r="X170" s="204">
        <f t="shared" si="273"/>
        <v>1</v>
      </c>
      <c r="Y170" s="204">
        <f t="shared" si="271"/>
        <v>5.8634000000000004</v>
      </c>
      <c r="Z170" s="204">
        <f t="shared" si="272"/>
        <v>7.0599999999999996E-2</v>
      </c>
      <c r="AA170" s="204">
        <f t="shared" si="228"/>
        <v>5.7928000000000006</v>
      </c>
      <c r="AB170" s="54" t="e">
        <f>VLOOKUP(A170,Enforcements!$C$7:$K$10,8,0)</f>
        <v>#N/A</v>
      </c>
      <c r="AC170" s="51" t="e">
        <f>VLOOKUP(A170,Enforcements!$C$7:$E$10,3,0)</f>
        <v>#N/A</v>
      </c>
      <c r="AD170" s="179">
        <f t="shared" si="229"/>
        <v>812</v>
      </c>
      <c r="AE170" s="77" t="str">
        <f t="shared" si="230"/>
        <v>aws s3 cp s3://rtdc.mdm.uploadarchive.raw/RTDC4031/ "%USERPROFILE%\AppData\Local\Temp\OnboardLogs"\RTDC4031\2017-11-01 --exclude "*" --recursive --include "*20171101*" &amp; "%USERPROFILE%\Documents\GitHub\mrs-test-scripts\Headless Mode &amp; Sideloading\WalkAndUnGZ.bat" "%USERPROFILE%\AppData\Local\Temp\OnboardLogs"\RTDC4031\2017-11-01 &amp; 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</v>
      </c>
      <c r="AF170" s="74" t="str">
        <f t="shared" si="231"/>
        <v>"C:\Program Files (x86)\AstroGrep\AstroGrep.exe" /e /r /s /spath="%USERPROFILE%\AppData\Local\Temp\OnboardLogs" /stypes="app*4031*20171101*" /stext=" 14:.+((SYSTEM_STATE.+slice.+state.+changed )|(ment ac)|(multiple cpu faults)|(system.+state.+changed )|(\[timeout)|(PRM\|1\|D)|(kpr)|(kdp)|(train st.+moving)|(\|lc)|(penalty))"</v>
      </c>
      <c r="AG170" s="182" t="str">
        <f t="shared" si="232"/>
        <v>NW</v>
      </c>
      <c r="AH170" s="78" t="str">
        <f t="shared" si="249"/>
        <v>"%USERPROFILE%\Documents\GitHub\eaglep3\Utilities\RefineRTDCRunTimes.py" --tripid 812-01 --locoid 4031 --swversion DE.1.0.9.0 --startMP 300:58634 --initTime 2017-11-01T08:26:31 --startdatetime 2017-11-01T08:43:20 --delay 55 --endMP 204:706 --enddatetime 2017-11-01T08:54:58 --enforcementcount 0 &gt;&gt;%USERPROFILE%\Documents\GitHub\eaglep3-reporting\EC\2017-11-01-refined-times.txt</v>
      </c>
      <c r="AI170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{"issue":{"subject":"","project_id":79,"tracker_id":40,"status_id":1,"priority_id":2,"assigned_to_id":338,"start_date":"2017-11-01","description":"","custom_fields":[{"id":1,"name":"Subdivision","value":"NW"},{"id":4,"name":"Milepost","value":"0.0706"},{"id":17,"name":"Train ID","value":"812-01"},{"id":16,"name":"Locomotive ID","value":"4031"},{"id":130,"name":"Impact","value":""},{"id":150,"name":"Time of Event (Mountain Time)","value":"08:54:58"},{"id":151,"name":"Denver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47"/>
      <c r="AL170" s="47"/>
      <c r="AM170" s="142" t="str">
        <f t="shared" si="251"/>
        <v>start /low /b %USERPROFILE%\Documents\GitHub\eaglep3\Utilities\DownloadLogsFromS3.py --loco 4031 --day 2017-11-01</v>
      </c>
      <c r="AN170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14:54:58"},{"id":29,"name":"Sharepoint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253"/>
        <v>https://d0f6bd738d7f1b3e5a7ca70fe4ff75f0.us-east-1.aws.found.io/app/kibana#/discover/Steve-Slow-Train-Analysis-(2080s-and-2083s)?_g=(refreshInterval:(display:Off,pause:!f,section:0,value:0),time:(from:'2017-11-01T07:26:31-0600',mode:absolute,to:'2017-11-01T09:54:58-0600'))&amp;_a=(columns:!('Message%20ID',Summary),filters:!(),index:'emp_*',interval:auto,query:(query_string:(analyze_wildcard:!t,query:'%22rtdc.l.rtdc.4031%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720</v>
      </c>
      <c r="B171" s="7">
        <v>4032</v>
      </c>
      <c r="C171" s="21" t="s">
        <v>194</v>
      </c>
      <c r="D171" s="21" t="s">
        <v>1031</v>
      </c>
      <c r="E171" s="13">
        <v>43040.373425925929</v>
      </c>
      <c r="F171" s="13">
        <v>43040.381435185183</v>
      </c>
      <c r="G171" s="7">
        <v>56</v>
      </c>
      <c r="H171" s="21" t="s">
        <v>1032</v>
      </c>
      <c r="I171" s="13">
        <v>43040.390543981484</v>
      </c>
      <c r="J171" s="7">
        <v>0</v>
      </c>
      <c r="K171" s="89" t="str">
        <f t="shared" si="223"/>
        <v>4031/4032</v>
      </c>
      <c r="L171" s="185" t="str">
        <f>VLOOKUP(A171,'Trips&amp;Operators'!$C$1:$G$99911,5,FALSE)</f>
        <v>GEBRETEKLE DAGNEW</v>
      </c>
      <c r="M171" s="6">
        <f t="shared" si="224"/>
        <v>9.1087963010068052E-3</v>
      </c>
      <c r="N171" s="7">
        <f t="shared" si="270"/>
        <v>13.116666673449799</v>
      </c>
      <c r="O171" s="7"/>
      <c r="P171" s="7"/>
      <c r="Q171" s="22"/>
      <c r="R171" s="174"/>
      <c r="S171" s="221">
        <f t="shared" si="225"/>
        <v>1</v>
      </c>
      <c r="T171" s="174" t="str">
        <f t="shared" si="226"/>
        <v>NorthBound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 t="shared" si="227"/>
        <v>https://d0f6bd738d7f1b3e5a7ca70fe4ff75f0.us-east-1.aws.found.io/app/kibana#/discover/Steve-Slow-Train-Analysis-(2080s-and-2083s)?_g=(refreshInterval:(display:Off,pause:!f,section:0,value:0),time:(from:'2017-11-01T07:57:44-0600',mode:absolute,to:'2017-11-01T10:22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1" s="204" t="str">
        <f>IF(AA171&lt;VLOOKUP(AG171,Variables!$AC$3:$AD$8,2,FALSE),"Y","N")</f>
        <v>N</v>
      </c>
      <c r="X171" s="204">
        <f t="shared" si="273"/>
        <v>1</v>
      </c>
      <c r="Y171" s="204">
        <f t="shared" si="271"/>
        <v>0.1</v>
      </c>
      <c r="Z171" s="204">
        <f t="shared" si="272"/>
        <v>5.8975999999999997</v>
      </c>
      <c r="AA171" s="204">
        <f t="shared" si="228"/>
        <v>5.7976000000000001</v>
      </c>
      <c r="AB171" s="54" t="e">
        <f>VLOOKUP(A171,Enforcements!$C$7:$K$10,8,0)</f>
        <v>#N/A</v>
      </c>
      <c r="AC171" s="51" t="e">
        <f>VLOOKUP(A171,Enforcements!$C$7:$E$10,3,0)</f>
        <v>#N/A</v>
      </c>
      <c r="AD171" s="179">
        <f t="shared" si="229"/>
        <v>813</v>
      </c>
      <c r="AE171" s="77" t="str">
        <f t="shared" si="230"/>
        <v>aws s3 cp s3://rtdc.mdm.uploadarchive.raw/RTDC4032/ "%USERPROFILE%\AppData\Local\Temp\OnboardLogs"\RTDC4032\2017-11-01 --exclude "*" --recursive --include "*20171101*" &amp; "%USERPROFILE%\Documents\GitHub\mrs-test-scripts\Headless Mode &amp; Sideloading\WalkAndUnGZ.bat" "%USERPROFILE%\AppData\Local\Temp\OnboardLogs"\RTDC4032\2017-11-01 &amp; aws s3 cp s3://rtdc.mdm.uploadarchive.raw/RTDC4032/ "%USERPROFILE%\AppData\Local\Temp\OnboardLogs"\RTDC4032\2017-11-02 --exclude "*" --recursive --include "*20171102*" &amp; "%USERPROFILE%\Documents\GitHub\mrs-test-scripts\Headless Mode &amp; Sideloading\WalkAndUnGZ.bat" "%USERPROFILE%\AppData\Local\Temp\OnboardLogs"\RTDC4032\2017-11-02</v>
      </c>
      <c r="AF171" s="74" t="str">
        <f t="shared" si="231"/>
        <v>"C:\Program Files (x86)\AstroGrep\AstroGrep.exe" /e /r /s /spath="%USERPROFILE%\AppData\Local\Temp\OnboardLogs" /stypes="app*4032*20171101*" /stext=" 15:.+((SYSTEM_STATE.+slice.+state.+changed )|(ment ac)|(multiple cpu faults)|(system.+state.+changed )|(\[timeout)|(PRM\|1\|D)|(kpr)|(kdp)|(train st.+moving)|(\|lc)|(penalty))"</v>
      </c>
      <c r="AG171" s="182" t="str">
        <f t="shared" si="232"/>
        <v>NW</v>
      </c>
      <c r="AH171" s="78" t="str">
        <f t="shared" si="249"/>
        <v>"%USERPROFILE%\Documents\GitHub\eaglep3\Utilities\RefineRTDCRunTimes.py" --tripid 813-01 --locoid 4032 --swversion DE.1.0.9.0 --startMP 204:1000 --initTime 2017-11-01T08:57:44 --startdatetime 2017-11-01T09:09:16 --delay 56 --endMP 300:58976 --enddatetime 2017-11-01T09:22:23 --enforcementcount 0 &gt;&gt;%USERPROFILE%\Documents\GitHub\eaglep3-reporting\EC\2017-11-01-refined-times.txt</v>
      </c>
      <c r="AI171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{"issue":{"subject":"","project_id":79,"tracker_id":40,"status_id":1,"priority_id":2,"assigned_to_id":338,"start_date":"2017-11-01","description":"","custom_fields":[{"id":1,"name":"Subdivision","value":"NW"},{"id":4,"name":"Milepost","value":"5.8976"},{"id":17,"name":"Train ID","value":"813-01"},{"id":16,"name":"Locomotive ID","value":"4032"},{"id":130,"name":"Impact","value":""},{"id":150,"name":"Time of Event (Mountain Time)","value":"09:22:23"},{"id":151,"name":"Denver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47"/>
      <c r="AL171" s="47"/>
      <c r="AM171" s="142" t="str">
        <f t="shared" si="251"/>
        <v>start /low /b %USERPROFILE%\Documents\GitHub\eaglep3\Utilities\DownloadLogsFromS3.py --loco 4032 --day 2017-11-01</v>
      </c>
      <c r="AN171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15:22:23"},{"id":29,"name":"Sharepoint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253"/>
        <v>https://d0f6bd738d7f1b3e5a7ca70fe4ff75f0.us-east-1.aws.found.io/app/kibana#/discover/Steve-Slow-Train-Analysis-(2080s-and-2083s)?_g=(refreshInterval:(display:Off,pause:!f,section:0,value:0),time:(from:'2017-11-01T07:57:44-0600',mode:absolute,to:'2017-11-01T10:22:23-0600'))&amp;_a=(columns:!('Message%20ID',Summary),filters:!(),index:'emp_*',interval:auto,query:(query_string:(analyze_wildcard:!t,query:'%22rtdc.l.rtdc.4032%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724</v>
      </c>
      <c r="B172" s="7">
        <v>4031</v>
      </c>
      <c r="C172" s="21" t="s">
        <v>194</v>
      </c>
      <c r="D172" s="21" t="s">
        <v>1033</v>
      </c>
      <c r="E172" s="13">
        <v>43040.392627314817</v>
      </c>
      <c r="F172" s="13">
        <v>43040.404849537037</v>
      </c>
      <c r="G172" s="7">
        <v>48</v>
      </c>
      <c r="H172" s="21" t="s">
        <v>1034</v>
      </c>
      <c r="I172" s="13">
        <v>43040.41306712963</v>
      </c>
      <c r="J172" s="7">
        <v>0</v>
      </c>
      <c r="K172" s="89" t="str">
        <f t="shared" si="223"/>
        <v>4031/4032</v>
      </c>
      <c r="L172" s="185" t="str">
        <f>VLOOKUP(A172,'Trips&amp;Operators'!$C$1:$G$99911,5,FALSE)</f>
        <v>GEBRETEKLE DAGNEW</v>
      </c>
      <c r="M172" s="6">
        <f t="shared" si="224"/>
        <v>8.2175925927003846E-3</v>
      </c>
      <c r="N172" s="7">
        <f t="shared" si="270"/>
        <v>11.833333333488554</v>
      </c>
      <c r="O172" s="7"/>
      <c r="P172" s="7"/>
      <c r="Q172" s="22"/>
      <c r="R172" s="174"/>
      <c r="S172" s="221">
        <f t="shared" si="225"/>
        <v>1</v>
      </c>
      <c r="T172" s="174" t="str">
        <f t="shared" si="226"/>
        <v>Southbound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 t="shared" si="227"/>
        <v>https://d0f6bd738d7f1b3e5a7ca70fe4ff75f0.us-east-1.aws.found.io/app/kibana#/discover/Steve-Slow-Train-Analysis-(2080s-and-2083s)?_g=(refreshInterval:(display:Off,pause:!f,section:0,value:0),time:(from:'2017-11-01T08:25:23-0600',mode:absolute,to:'2017-11-01T10:54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2" s="204" t="str">
        <f>IF(AA172&lt;VLOOKUP(AG172,Variables!$AC$3:$AD$8,2,FALSE),"Y","N")</f>
        <v>N</v>
      </c>
      <c r="X172" s="204">
        <f t="shared" si="273"/>
        <v>1</v>
      </c>
      <c r="Y172" s="204">
        <f t="shared" si="271"/>
        <v>5.8662000000000001</v>
      </c>
      <c r="Z172" s="204">
        <f t="shared" si="272"/>
        <v>7.22E-2</v>
      </c>
      <c r="AA172" s="204">
        <f t="shared" si="228"/>
        <v>5.7940000000000005</v>
      </c>
      <c r="AB172" s="54" t="e">
        <f>VLOOKUP(A172,Enforcements!$C$7:$K$10,8,0)</f>
        <v>#N/A</v>
      </c>
      <c r="AC172" s="51" t="e">
        <f>VLOOKUP(A172,Enforcements!$C$7:$E$10,3,0)</f>
        <v>#N/A</v>
      </c>
      <c r="AD172" s="179">
        <f t="shared" si="229"/>
        <v>814</v>
      </c>
      <c r="AE172" s="77" t="str">
        <f t="shared" si="230"/>
        <v>aws s3 cp s3://rtdc.mdm.uploadarchive.raw/RTDC4031/ "%USERPROFILE%\AppData\Local\Temp\OnboardLogs"\RTDC4031\2017-11-01 --exclude "*" --recursive --include "*20171101*" &amp; "%USERPROFILE%\Documents\GitHub\mrs-test-scripts\Headless Mode &amp; Sideloading\WalkAndUnGZ.bat" "%USERPROFILE%\AppData\Local\Temp\OnboardLogs"\RTDC4031\2017-11-01 &amp; 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</v>
      </c>
      <c r="AF172" s="74" t="str">
        <f t="shared" si="231"/>
        <v>"C:\Program Files (x86)\AstroGrep\AstroGrep.exe" /e /r /s /spath="%USERPROFILE%\AppData\Local\Temp\OnboardLogs" /stypes="app*4031*20171101*" /stext=" 15:.+((SYSTEM_STATE.+slice.+state.+changed )|(ment ac)|(multiple cpu faults)|(system.+state.+changed )|(\[timeout)|(PRM\|1\|D)|(kpr)|(kdp)|(train st.+moving)|(\|lc)|(penalty))"</v>
      </c>
      <c r="AG172" s="182" t="str">
        <f t="shared" si="232"/>
        <v>NW</v>
      </c>
      <c r="AH172" s="78" t="str">
        <f t="shared" si="249"/>
        <v>"%USERPROFILE%\Documents\GitHub\eaglep3\Utilities\RefineRTDCRunTimes.py" --tripid 814-01 --locoid 4031 --swversion DE.1.0.9.0 --startMP 300:58662 --initTime 2017-11-01T09:25:23 --startdatetime 2017-11-01T09:42:59 --delay 48 --endMP 204:722 --enddatetime 2017-11-01T09:54:49 --enforcementcount 0 &gt;&gt;%USERPROFILE%\Documents\GitHub\eaglep3-reporting\EC\2017-11-01-refined-times.txt</v>
      </c>
      <c r="AI172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{"issue":{"subject":"","project_id":79,"tracker_id":40,"status_id":1,"priority_id":2,"assigned_to_id":338,"start_date":"2017-11-01","description":"","custom_fields":[{"id":1,"name":"Subdivision","value":"NW"},{"id":4,"name":"Milepost","value":"0.0722"},{"id":17,"name":"Train ID","value":"814-01"},{"id":16,"name":"Locomotive ID","value":"4031"},{"id":130,"name":"Impact","value":""},{"id":150,"name":"Time of Event (Mountain Time)","value":"09:54:49"},{"id":151,"name":"Denver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47"/>
      <c r="AL172" s="47"/>
      <c r="AM172" s="142" t="str">
        <f t="shared" si="251"/>
        <v>start /low /b %USERPROFILE%\Documents\GitHub\eaglep3\Utilities\DownloadLogsFromS3.py --loco 4031 --day 2017-11-01</v>
      </c>
      <c r="AN172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15:54:49"},{"id":29,"name":"Sharepoint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253"/>
        <v>https://d0f6bd738d7f1b3e5a7ca70fe4ff75f0.us-east-1.aws.found.io/app/kibana#/discover/Steve-Slow-Train-Analysis-(2080s-and-2083s)?_g=(refreshInterval:(display:Off,pause:!f,section:0,value:0),time:(from:'2017-11-01T08:25:23-0600',mode:absolute,to:'2017-11-01T10:54:49-0600'))&amp;_a=(columns:!('Message%20ID',Summary),filters:!(),index:'emp_*',interval:auto,query:(query_string:(analyze_wildcard:!t,query:'%22rtdc.l.rtdc.4031%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728</v>
      </c>
      <c r="B173" s="7">
        <v>4032</v>
      </c>
      <c r="C173" s="21" t="s">
        <v>194</v>
      </c>
      <c r="D173" s="21" t="s">
        <v>1035</v>
      </c>
      <c r="E173" s="13">
        <v>43040.415289351855</v>
      </c>
      <c r="F173" s="13">
        <v>43040.42392361111</v>
      </c>
      <c r="G173" s="7">
        <v>67</v>
      </c>
      <c r="H173" s="21" t="s">
        <v>1018</v>
      </c>
      <c r="I173" s="13">
        <v>43040.43304398148</v>
      </c>
      <c r="J173" s="7">
        <v>0</v>
      </c>
      <c r="K173" s="89" t="str">
        <f t="shared" si="223"/>
        <v>4031/4032</v>
      </c>
      <c r="L173" s="185" t="str">
        <f>VLOOKUP(A173,'Trips&amp;Operators'!$C$1:$G$99911,5,FALSE)</f>
        <v>GEBRETEKLE DAGNEW</v>
      </c>
      <c r="M173" s="6">
        <f t="shared" si="224"/>
        <v>9.1203703705104999E-3</v>
      </c>
      <c r="N173" s="7">
        <f t="shared" si="270"/>
        <v>13.13333333353512</v>
      </c>
      <c r="O173" s="7"/>
      <c r="P173" s="7"/>
      <c r="Q173" s="22"/>
      <c r="R173" s="174"/>
      <c r="S173" s="221">
        <f t="shared" si="225"/>
        <v>1</v>
      </c>
      <c r="T173" s="174" t="str">
        <f t="shared" si="226"/>
        <v>NorthBound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 t="shared" si="227"/>
        <v>https://d0f6bd738d7f1b3e5a7ca70fe4ff75f0.us-east-1.aws.found.io/app/kibana#/discover/Steve-Slow-Train-Analysis-(2080s-and-2083s)?_g=(refreshInterval:(display:Off,pause:!f,section:0,value:0),time:(from:'2017-11-01T08:58:01-0600',mode:absolute,to:'2017-11-01T11:23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3" s="204" t="str">
        <f>IF(AA173&lt;VLOOKUP(AG173,Variables!$AC$3:$AD$8,2,FALSE),"Y","N")</f>
        <v>N</v>
      </c>
      <c r="X173" s="204">
        <f t="shared" si="273"/>
        <v>1</v>
      </c>
      <c r="Y173" s="204">
        <f t="shared" si="271"/>
        <v>0.1002</v>
      </c>
      <c r="Z173" s="204">
        <f t="shared" si="272"/>
        <v>5.8967000000000001</v>
      </c>
      <c r="AA173" s="204">
        <f t="shared" si="228"/>
        <v>5.7965</v>
      </c>
      <c r="AB173" s="54" t="e">
        <f>VLOOKUP(A173,Enforcements!$C$7:$K$10,8,0)</f>
        <v>#N/A</v>
      </c>
      <c r="AC173" s="51" t="e">
        <f>VLOOKUP(A173,Enforcements!$C$7:$E$10,3,0)</f>
        <v>#N/A</v>
      </c>
      <c r="AD173" s="179">
        <f t="shared" si="229"/>
        <v>815</v>
      </c>
      <c r="AE173" s="77" t="str">
        <f t="shared" si="230"/>
        <v>aws s3 cp s3://rtdc.mdm.uploadarchive.raw/RTDC4032/ "%USERPROFILE%\AppData\Local\Temp\OnboardLogs"\RTDC4032\2017-11-01 --exclude "*" --recursive --include "*20171101*" &amp; "%USERPROFILE%\Documents\GitHub\mrs-test-scripts\Headless Mode &amp; Sideloading\WalkAndUnGZ.bat" "%USERPROFILE%\AppData\Local\Temp\OnboardLogs"\RTDC4032\2017-11-01 &amp; aws s3 cp s3://rtdc.mdm.uploadarchive.raw/RTDC4032/ "%USERPROFILE%\AppData\Local\Temp\OnboardLogs"\RTDC4032\2017-11-02 --exclude "*" --recursive --include "*20171102*" &amp; "%USERPROFILE%\Documents\GitHub\mrs-test-scripts\Headless Mode &amp; Sideloading\WalkAndUnGZ.bat" "%USERPROFILE%\AppData\Local\Temp\OnboardLogs"\RTDC4032\2017-11-02</v>
      </c>
      <c r="AF173" s="74" t="str">
        <f t="shared" si="231"/>
        <v>"C:\Program Files (x86)\AstroGrep\AstroGrep.exe" /e /r /s /spath="%USERPROFILE%\AppData\Local\Temp\OnboardLogs" /stypes="app*4032*20171101*" /stext=" 16:.+((SYSTEM_STATE.+slice.+state.+changed )|(ment ac)|(multiple cpu faults)|(system.+state.+changed )|(\[timeout)|(PRM\|1\|D)|(kpr)|(kdp)|(train st.+moving)|(\|lc)|(penalty))"</v>
      </c>
      <c r="AG173" s="182" t="str">
        <f t="shared" si="232"/>
        <v>NW</v>
      </c>
      <c r="AH173" s="78" t="str">
        <f t="shared" si="249"/>
        <v>"%USERPROFILE%\Documents\GitHub\eaglep3\Utilities\RefineRTDCRunTimes.py" --tripid 815-01 --locoid 4032 --swversion DE.1.0.9.0 --startMP 204:1002 --initTime 2017-11-01T09:58:01 --startdatetime 2017-11-01T10:10:27 --delay 67 --endMP 300:58967 --enddatetime 2017-11-01T10:23:35 --enforcementcount 0 &gt;&gt;%USERPROFILE%\Documents\GitHub\eaglep3-reporting\EC\2017-11-01-refined-times.txt</v>
      </c>
      <c r="AI173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{"issue":{"subject":"","project_id":79,"tracker_id":40,"status_id":1,"priority_id":2,"assigned_to_id":338,"start_date":"2017-11-01","description":"","custom_fields":[{"id":1,"name":"Subdivision","value":"NW"},{"id":4,"name":"Milepost","value":"5.8967"},{"id":17,"name":"Train ID","value":"815-01"},{"id":16,"name":"Locomotive ID","value":"4032"},{"id":130,"name":"Impact","value":""},{"id":150,"name":"Time of Event (Mountain Time)","value":"10:23:35"},{"id":151,"name":"Denver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47"/>
      <c r="AL173" s="47"/>
      <c r="AM173" s="142" t="str">
        <f t="shared" si="251"/>
        <v>start /low /b %USERPROFILE%\Documents\GitHub\eaglep3\Utilities\DownloadLogsFromS3.py --loco 4032 --day 2017-11-01</v>
      </c>
      <c r="AN173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16:23:35"},{"id":29,"name":"Sharepoint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253"/>
        <v>https://d0f6bd738d7f1b3e5a7ca70fe4ff75f0.us-east-1.aws.found.io/app/kibana#/discover/Steve-Slow-Train-Analysis-(2080s-and-2083s)?_g=(refreshInterval:(display:Off,pause:!f,section:0,value:0),time:(from:'2017-11-01T08:58:01-0600',mode:absolute,to:'2017-11-01T11:23:35-0600'))&amp;_a=(columns:!('Message%20ID',Summary),filters:!(),index:'emp_*',interval:auto,query:(query_string:(analyze_wildcard:!t,query:'%22rtdc.l.rtdc.4032%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628</v>
      </c>
      <c r="B174" s="7">
        <v>4031</v>
      </c>
      <c r="C174" s="21" t="s">
        <v>194</v>
      </c>
      <c r="D174" s="21" t="s">
        <v>1036</v>
      </c>
      <c r="E174" s="13">
        <v>43040.434710648151</v>
      </c>
      <c r="F174" s="13">
        <v>43040.44636574074</v>
      </c>
      <c r="G174" s="7">
        <v>58</v>
      </c>
      <c r="H174" s="21" t="s">
        <v>1037</v>
      </c>
      <c r="I174" s="13">
        <v>43040.453252314815</v>
      </c>
      <c r="J174" s="7">
        <v>0</v>
      </c>
      <c r="K174" s="89" t="str">
        <f t="shared" si="223"/>
        <v>4031/4032</v>
      </c>
      <c r="L174" s="185" t="str">
        <f>VLOOKUP(A174,'Trips&amp;Operators'!$C$1:$G$99911,5,FALSE)</f>
        <v>GEBRETEKLE DAGNEW</v>
      </c>
      <c r="M174" s="6">
        <f t="shared" si="224"/>
        <v>6.8865740759065375E-3</v>
      </c>
      <c r="N174" s="7">
        <f t="shared" si="270"/>
        <v>9.916666669305414</v>
      </c>
      <c r="O174" s="7"/>
      <c r="P174" s="7"/>
      <c r="Q174" s="22"/>
      <c r="R174" s="174"/>
      <c r="S174" s="221">
        <f t="shared" si="225"/>
        <v>1</v>
      </c>
      <c r="T174" s="174" t="str">
        <f t="shared" si="226"/>
        <v>Southbound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 t="shared" si="227"/>
        <v>https://d0f6bd738d7f1b3e5a7ca70fe4ff75f0.us-east-1.aws.found.io/app/kibana#/discover/Steve-Slow-Train-Analysis-(2080s-and-2083s)?_g=(refreshInterval:(display:Off,pause:!f,section:0,value:0),time:(from:'2017-11-01T09:25:59-0600',mode:absolute,to:'2017-11-01T11:52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4" s="204" t="str">
        <f>IF(AA174&lt;VLOOKUP(AG174,Variables!$AC$3:$AD$8,2,FALSE),"Y","N")</f>
        <v>Y</v>
      </c>
      <c r="X174" s="204">
        <f t="shared" si="273"/>
        <v>1</v>
      </c>
      <c r="Y174" s="204">
        <f t="shared" si="271"/>
        <v>5.8644999999999996</v>
      </c>
      <c r="Z174" s="204">
        <f t="shared" si="272"/>
        <v>0.45369999999999999</v>
      </c>
      <c r="AA174" s="204">
        <f t="shared" si="228"/>
        <v>5.4108000000000001</v>
      </c>
      <c r="AB174" s="54" t="e">
        <f>VLOOKUP(A174,Enforcements!$C$7:$K$10,8,0)</f>
        <v>#N/A</v>
      </c>
      <c r="AC174" s="51" t="e">
        <f>VLOOKUP(A174,Enforcements!$C$7:$E$10,3,0)</f>
        <v>#N/A</v>
      </c>
      <c r="AD174" s="179">
        <f t="shared" si="229"/>
        <v>816</v>
      </c>
      <c r="AE174" s="77" t="str">
        <f t="shared" si="230"/>
        <v>aws s3 cp s3://rtdc.mdm.uploadarchive.raw/RTDC4031/ "%USERPROFILE%\AppData\Local\Temp\OnboardLogs"\RTDC4031\2017-11-01 --exclude "*" --recursive --include "*20171101*" &amp; "%USERPROFILE%\Documents\GitHub\mrs-test-scripts\Headless Mode &amp; Sideloading\WalkAndUnGZ.bat" "%USERPROFILE%\AppData\Local\Temp\OnboardLogs"\RTDC4031\2017-11-01 &amp; 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</v>
      </c>
      <c r="AF174" s="74" t="str">
        <f t="shared" si="231"/>
        <v>"C:\Program Files (x86)\AstroGrep\AstroGrep.exe" /e /r /s /spath="%USERPROFILE%\AppData\Local\Temp\OnboardLogs" /stypes="app*4031*20171101*" /stext=" 16:.+((SYSTEM_STATE.+slice.+state.+changed )|(ment ac)|(multiple cpu faults)|(system.+state.+changed )|(\[timeout)|(PRM\|1\|D)|(kpr)|(kdp)|(train st.+moving)|(\|lc)|(penalty))"</v>
      </c>
      <c r="AG174" s="182" t="str">
        <f t="shared" si="232"/>
        <v>NW</v>
      </c>
      <c r="AH174" s="78" t="str">
        <f t="shared" si="249"/>
        <v>"%USERPROFILE%\Documents\GitHub\eaglep3\Utilities\RefineRTDCRunTimes.py" --tripid 816-01 --locoid 4031 --swversion DE.1.0.9.0 --startMP 300:58645 --initTime 2017-11-01T10:25:59 --startdatetime 2017-11-01T10:42:46 --delay 58 --endMP 204:4537 --enddatetime 2017-11-01T10:52:41 --enforcementcount 0 &gt;&gt;%USERPROFILE%\Documents\GitHub\eaglep3-reporting\EC\2017-11-01-refined-times.txt</v>
      </c>
      <c r="AI174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{"issue":{"subject":"","project_id":79,"tracker_id":40,"status_id":1,"priority_id":2,"assigned_to_id":338,"start_date":"2017-11-01","description":"","custom_fields":[{"id":1,"name":"Subdivision","value":"NW"},{"id":4,"name":"Milepost","value":"0.4537"},{"id":17,"name":"Train ID","value":"816-01"},{"id":16,"name":"Locomotive ID","value":"4031"},{"id":130,"name":"Impact","value":""},{"id":150,"name":"Time of Event (Mountain Time)","value":"10:52:41"},{"id":151,"name":"Denver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47"/>
      <c r="AL174" s="47"/>
      <c r="AM174" s="142" t="str">
        <f t="shared" si="251"/>
        <v>start /low /b %USERPROFILE%\Documents\GitHub\eaglep3\Utilities\DownloadLogsFromS3.py --loco 4031 --day 2017-11-01</v>
      </c>
      <c r="AN174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16:52:41"},{"id":29,"name":"Sharepoint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253"/>
        <v>https://d0f6bd738d7f1b3e5a7ca70fe4ff75f0.us-east-1.aws.found.io/app/kibana#/discover/Steve-Slow-Train-Analysis-(2080s-and-2083s)?_g=(refreshInterval:(display:Off,pause:!f,section:0,value:0),time:(from:'2017-11-01T09:25:59-0600',mode:absolute,to:'2017-11-01T11:52:41-0600'))&amp;_a=(columns:!('Message%20ID',Summary),filters:!(),index:'emp_*',interval:auto,query:(query_string:(analyze_wildcard:!t,query:'%22rtdc.l.rtdc.4031%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736</v>
      </c>
      <c r="B175" s="7">
        <v>4032</v>
      </c>
      <c r="C175" s="21" t="s">
        <v>194</v>
      </c>
      <c r="D175" s="21" t="s">
        <v>1038</v>
      </c>
      <c r="E175" s="13">
        <v>43040.457187499997</v>
      </c>
      <c r="F175" s="13">
        <v>43040.464780092596</v>
      </c>
      <c r="G175" s="7">
        <v>54</v>
      </c>
      <c r="H175" s="21" t="s">
        <v>453</v>
      </c>
      <c r="I175" s="13">
        <v>43040.474398148152</v>
      </c>
      <c r="J175" s="7">
        <v>0</v>
      </c>
      <c r="K175" s="89" t="str">
        <f t="shared" si="223"/>
        <v>4031/4032</v>
      </c>
      <c r="L175" s="185" t="str">
        <f>VLOOKUP(A175,'Trips&amp;Operators'!$C$1:$G$99911,5,FALSE)</f>
        <v>GEBRETEKLE DAGNEW</v>
      </c>
      <c r="M175" s="6">
        <f t="shared" si="224"/>
        <v>9.6180555556202307E-3</v>
      </c>
      <c r="N175" s="7">
        <f t="shared" si="270"/>
        <v>13.850000000093132</v>
      </c>
      <c r="O175" s="7"/>
      <c r="P175" s="7"/>
      <c r="Q175" s="22"/>
      <c r="R175" s="174"/>
      <c r="S175" s="221">
        <f t="shared" si="225"/>
        <v>1</v>
      </c>
      <c r="T175" s="174" t="str">
        <f t="shared" si="226"/>
        <v>NorthBound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 t="shared" si="227"/>
        <v>https://d0f6bd738d7f1b3e5a7ca70fe4ff75f0.us-east-1.aws.found.io/app/kibana#/discover/Steve-Slow-Train-Analysis-(2080s-and-2083s)?_g=(refreshInterval:(display:Off,pause:!f,section:0,value:0),time:(from:'2017-11-01T09:58:21-0600',mode:absolute,to:'2017-11-01T12:23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5" s="204" t="str">
        <f>IF(AA175&lt;VLOOKUP(AG175,Variables!$AC$3:$AD$8,2,FALSE),"Y","N")</f>
        <v>N</v>
      </c>
      <c r="X175" s="204">
        <f t="shared" si="273"/>
        <v>1</v>
      </c>
      <c r="Y175" s="204">
        <f t="shared" si="271"/>
        <v>9.6199999999999994E-2</v>
      </c>
      <c r="Z175" s="204">
        <f t="shared" si="272"/>
        <v>5.8933</v>
      </c>
      <c r="AA175" s="204">
        <f t="shared" si="228"/>
        <v>5.7971000000000004</v>
      </c>
      <c r="AB175" s="54" t="e">
        <f>VLOOKUP(A175,Enforcements!$C$7:$K$10,8,0)</f>
        <v>#N/A</v>
      </c>
      <c r="AC175" s="51" t="e">
        <f>VLOOKUP(A175,Enforcements!$C$7:$E$10,3,0)</f>
        <v>#N/A</v>
      </c>
      <c r="AD175" s="179">
        <f t="shared" si="229"/>
        <v>817</v>
      </c>
      <c r="AE175" s="77" t="str">
        <f t="shared" si="230"/>
        <v>aws s3 cp s3://rtdc.mdm.uploadarchive.raw/RTDC4032/ "%USERPROFILE%\AppData\Local\Temp\OnboardLogs"\RTDC4032\2017-11-01 --exclude "*" --recursive --include "*20171101*" &amp; "%USERPROFILE%\Documents\GitHub\mrs-test-scripts\Headless Mode &amp; Sideloading\WalkAndUnGZ.bat" "%USERPROFILE%\AppData\Local\Temp\OnboardLogs"\RTDC4032\2017-11-01 &amp; aws s3 cp s3://rtdc.mdm.uploadarchive.raw/RTDC4032/ "%USERPROFILE%\AppData\Local\Temp\OnboardLogs"\RTDC4032\2017-11-02 --exclude "*" --recursive --include "*20171102*" &amp; "%USERPROFILE%\Documents\GitHub\mrs-test-scripts\Headless Mode &amp; Sideloading\WalkAndUnGZ.bat" "%USERPROFILE%\AppData\Local\Temp\OnboardLogs"\RTDC4032\2017-11-02</v>
      </c>
      <c r="AF175" s="74" t="str">
        <f t="shared" si="231"/>
        <v>"C:\Program Files (x86)\AstroGrep\AstroGrep.exe" /e /r /s /spath="%USERPROFILE%\AppData\Local\Temp\OnboardLogs" /stypes="app*4032*20171101*" /stext=" 17:.+((SYSTEM_STATE.+slice.+state.+changed )|(ment ac)|(multiple cpu faults)|(system.+state.+changed )|(\[timeout)|(PRM\|1\|D)|(kpr)|(kdp)|(train st.+moving)|(\|lc)|(penalty))"</v>
      </c>
      <c r="AG175" s="182" t="str">
        <f t="shared" si="232"/>
        <v>NW</v>
      </c>
      <c r="AH175" s="78" t="str">
        <f t="shared" si="249"/>
        <v>"%USERPROFILE%\Documents\GitHub\eaglep3\Utilities\RefineRTDCRunTimes.py" --tripid 817-01 --locoid 4032 --swversion DE.1.0.9.0 --startMP 204:962 --initTime 2017-11-01T10:58:21 --startdatetime 2017-11-01T11:09:17 --delay 54 --endMP 300:58933 --enddatetime 2017-11-01T11:23:08 --enforcementcount 0 &gt;&gt;%USERPROFILE%\Documents\GitHub\eaglep3-reporting\EC\2017-11-01-refined-times.txt</v>
      </c>
      <c r="AI175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{"issue":{"subject":"","project_id":79,"tracker_id":40,"status_id":1,"priority_id":2,"assigned_to_id":338,"start_date":"2017-11-01","description":"","custom_fields":[{"id":1,"name":"Subdivision","value":"NW"},{"id":4,"name":"Milepost","value":"5.8933"},{"id":17,"name":"Train ID","value":"817-01"},{"id":16,"name":"Locomotive ID","value":"4032"},{"id":130,"name":"Impact","value":""},{"id":150,"name":"Time of Event (Mountain Time)","value":"11:23:08"},{"id":151,"name":"Denver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47"/>
      <c r="AL175" s="47"/>
      <c r="AM175" s="142" t="str">
        <f t="shared" si="251"/>
        <v>start /low /b %USERPROFILE%\Documents\GitHub\eaglep3\Utilities\DownloadLogsFromS3.py --loco 4032 --day 2017-11-01</v>
      </c>
      <c r="AN175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17:23:08"},{"id":29,"name":"Sharepoint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253"/>
        <v>https://d0f6bd738d7f1b3e5a7ca70fe4ff75f0.us-east-1.aws.found.io/app/kibana#/discover/Steve-Slow-Train-Analysis-(2080s-and-2083s)?_g=(refreshInterval:(display:Off,pause:!f,section:0,value:0),time:(from:'2017-11-01T09:58:21-0600',mode:absolute,to:'2017-11-01T12:23:08-0600'))&amp;_a=(columns:!('Message%20ID',Summary),filters:!(),index:'emp_*',interval:auto,query:(query_string:(analyze_wildcard:!t,query:'%22rtdc.l.rtdc.4032%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743</v>
      </c>
      <c r="B176" s="7">
        <v>4031</v>
      </c>
      <c r="C176" s="21" t="s">
        <v>194</v>
      </c>
      <c r="D176" s="21" t="s">
        <v>454</v>
      </c>
      <c r="E176" s="13">
        <v>43040.476064814815</v>
      </c>
      <c r="F176" s="13">
        <v>43040.487719907411</v>
      </c>
      <c r="G176" s="7">
        <v>108</v>
      </c>
      <c r="H176" s="21" t="s">
        <v>1039</v>
      </c>
      <c r="I176" s="13">
        <v>43040.49659722222</v>
      </c>
      <c r="J176" s="7">
        <v>0</v>
      </c>
      <c r="K176" s="89" t="str">
        <f t="shared" si="223"/>
        <v>4031/4032</v>
      </c>
      <c r="L176" s="185" t="str">
        <f>VLOOKUP(A176,'Trips&amp;Operators'!$C$1:$G$99911,5,FALSE)</f>
        <v>MAINTENANCE VEHICLE</v>
      </c>
      <c r="M176" s="6">
        <f t="shared" si="224"/>
        <v>8.8773148090695031E-3</v>
      </c>
      <c r="N176" s="7">
        <f t="shared" si="270"/>
        <v>12.783333325060084</v>
      </c>
      <c r="O176" s="7"/>
      <c r="P176" s="7"/>
      <c r="Q176" s="22"/>
      <c r="R176" s="174"/>
      <c r="S176" s="221">
        <f t="shared" si="225"/>
        <v>1</v>
      </c>
      <c r="T176" s="174" t="str">
        <f t="shared" si="226"/>
        <v>Southbound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 t="shared" si="227"/>
        <v>https://d0f6bd738d7f1b3e5a7ca70fe4ff75f0.us-east-1.aws.found.io/app/kibana#/discover/Steve-Slow-Train-Analysis-(2080s-and-2083s)?_g=(refreshInterval:(display:Off,pause:!f,section:0,value:0),time:(from:'2017-11-01T10:25:32-0600',mode:absolute,to:'2017-11-01T12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6" s="204" t="str">
        <f>IF(AA176&lt;VLOOKUP(AG176,Variables!$AC$3:$AD$8,2,FALSE),"Y","N")</f>
        <v>N</v>
      </c>
      <c r="X176" s="204">
        <f t="shared" si="273"/>
        <v>1</v>
      </c>
      <c r="Y176" s="204">
        <f t="shared" si="271"/>
        <v>5.8620999999999999</v>
      </c>
      <c r="Z176" s="204">
        <f t="shared" si="272"/>
        <v>7.1199999999999999E-2</v>
      </c>
      <c r="AA176" s="204">
        <f t="shared" si="228"/>
        <v>5.7908999999999997</v>
      </c>
      <c r="AB176" s="54" t="e">
        <f>VLOOKUP(A176,Enforcements!$C$7:$K$10,8,0)</f>
        <v>#N/A</v>
      </c>
      <c r="AC176" s="51" t="e">
        <f>VLOOKUP(A176,Enforcements!$C$7:$E$10,3,0)</f>
        <v>#N/A</v>
      </c>
      <c r="AD176" s="179">
        <f t="shared" si="229"/>
        <v>818</v>
      </c>
      <c r="AE176" s="77" t="str">
        <f t="shared" si="230"/>
        <v>aws s3 cp s3://rtdc.mdm.uploadarchive.raw/RTDC4031/ "%USERPROFILE%\AppData\Local\Temp\OnboardLogs"\RTDC4031\2017-11-01 --exclude "*" --recursive --include "*20171101*" &amp; "%USERPROFILE%\Documents\GitHub\mrs-test-scripts\Headless Mode &amp; Sideloading\WalkAndUnGZ.bat" "%USERPROFILE%\AppData\Local\Temp\OnboardLogs"\RTDC4031\2017-11-01 &amp; 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</v>
      </c>
      <c r="AF176" s="74" t="str">
        <f t="shared" si="231"/>
        <v>"C:\Program Files (x86)\AstroGrep\AstroGrep.exe" /e /r /s /spath="%USERPROFILE%\AppData\Local\Temp\OnboardLogs" /stypes="app*4031*20171101*" /stext=" 17:.+((SYSTEM_STATE.+slice.+state.+changed )|(ment ac)|(multiple cpu faults)|(system.+state.+changed )|(\[timeout)|(PRM\|1\|D)|(kpr)|(kdp)|(train st.+moving)|(\|lc)|(penalty))"</v>
      </c>
      <c r="AG176" s="182" t="str">
        <f t="shared" si="232"/>
        <v>NW</v>
      </c>
      <c r="AH176" s="78" t="str">
        <f t="shared" si="249"/>
        <v>"%USERPROFILE%\Documents\GitHub\eaglep3\Utilities\RefineRTDCRunTimes.py" --tripid 818-01 --locoid 4031 --swversion DE.1.0.9.0 --startMP 300:58621 --initTime 2017-11-01T11:25:32 --startdatetime 2017-11-01T11:42:19 --delay 108 --endMP 204:712 --enddatetime 2017-11-01T11:55:06 --enforcementcount 0 &gt;&gt;%USERPROFILE%\Documents\GitHub\eaglep3-reporting\EC\2017-11-01-refined-times.txt</v>
      </c>
      <c r="AI176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{"issue":{"subject":"","project_id":79,"tracker_id":40,"status_id":1,"priority_id":2,"assigned_to_id":338,"start_date":"2017-11-01","description":"","custom_fields":[{"id":1,"name":"Subdivision","value":"NW"},{"id":4,"name":"Milepost","value":"0.0712"},{"id":17,"name":"Train ID","value":"818-01"},{"id":16,"name":"Locomotive ID","value":"4031"},{"id":130,"name":"Impact","value":""},{"id":150,"name":"Time of Event (Mountain Time)","value":"11:55:06"},{"id":151,"name":"Denver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47"/>
      <c r="AL176" s="47"/>
      <c r="AM176" s="142" t="str">
        <f t="shared" si="251"/>
        <v>start /low /b %USERPROFILE%\Documents\GitHub\eaglep3\Utilities\DownloadLogsFromS3.py --loco 4031 --day 2017-11-01</v>
      </c>
      <c r="AN176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17:55:06"},{"id":29,"name":"Sharepoint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253"/>
        <v>https://d0f6bd738d7f1b3e5a7ca70fe4ff75f0.us-east-1.aws.found.io/app/kibana#/discover/Steve-Slow-Train-Analysis-(2080s-and-2083s)?_g=(refreshInterval:(display:Off,pause:!f,section:0,value:0),time:(from:'2017-11-01T10:25:32-0600',mode:absolute,to:'2017-11-01T12:55:06-0600'))&amp;_a=(columns:!('Message%20ID',Summary),filters:!(),index:'emp_*',interval:auto,query:(query_string:(analyze_wildcard:!t,query:'%22rtdc.l.rtdc.4031%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750</v>
      </c>
      <c r="B177" s="7">
        <v>4032</v>
      </c>
      <c r="C177" s="21" t="s">
        <v>194</v>
      </c>
      <c r="D177" s="21" t="s">
        <v>1040</v>
      </c>
      <c r="E177" s="13">
        <v>43040.499374999999</v>
      </c>
      <c r="F177" s="13">
        <v>43040.506979166668</v>
      </c>
      <c r="G177" s="7">
        <v>56</v>
      </c>
      <c r="H177" s="21" t="s">
        <v>603</v>
      </c>
      <c r="I177" s="13">
        <v>43040.515972222223</v>
      </c>
      <c r="J177" s="7">
        <v>0</v>
      </c>
      <c r="K177" s="89" t="str">
        <f t="shared" si="223"/>
        <v>4031/4032</v>
      </c>
      <c r="L177" s="185" t="str">
        <f>VLOOKUP(A177,'Trips&amp;Operators'!$C$1:$G$99911,5,FALSE)</f>
        <v>GEBRETEKLE DAGNEW</v>
      </c>
      <c r="M177" s="6">
        <f t="shared" si="224"/>
        <v>8.9930555550381541E-3</v>
      </c>
      <c r="N177" s="7">
        <f t="shared" si="270"/>
        <v>12.949999999254942</v>
      </c>
      <c r="O177" s="7"/>
      <c r="P177" s="7"/>
      <c r="Q177" s="22"/>
      <c r="R177" s="174"/>
      <c r="S177" s="221">
        <f t="shared" si="225"/>
        <v>1</v>
      </c>
      <c r="T177" s="174" t="str">
        <f t="shared" si="226"/>
        <v>NorthBound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 t="shared" si="227"/>
        <v>https://d0f6bd738d7f1b3e5a7ca70fe4ff75f0.us-east-1.aws.found.io/app/kibana#/discover/Steve-Slow-Train-Analysis-(2080s-and-2083s)?_g=(refreshInterval:(display:Off,pause:!f,section:0,value:0),time:(from:'2017-11-01T10:59:06-0600',mode:absolute,to:'2017-11-01T13:23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7" s="204" t="str">
        <f>IF(AA177&lt;VLOOKUP(AG177,Variables!$AC$3:$AD$8,2,FALSE),"Y","N")</f>
        <v>N</v>
      </c>
      <c r="X177" s="204">
        <f t="shared" si="273"/>
        <v>1</v>
      </c>
      <c r="Y177" s="204">
        <f t="shared" si="271"/>
        <v>9.9500000000000005E-2</v>
      </c>
      <c r="Z177" s="204">
        <f t="shared" si="272"/>
        <v>5.8948</v>
      </c>
      <c r="AA177" s="204">
        <f t="shared" si="228"/>
        <v>5.7953000000000001</v>
      </c>
      <c r="AB177" s="54" t="e">
        <f>VLOOKUP(A177,Enforcements!$C$7:$K$10,8,0)</f>
        <v>#N/A</v>
      </c>
      <c r="AC177" s="51" t="e">
        <f>VLOOKUP(A177,Enforcements!$C$7:$E$10,3,0)</f>
        <v>#N/A</v>
      </c>
      <c r="AD177" s="179">
        <f t="shared" si="229"/>
        <v>819</v>
      </c>
      <c r="AE177" s="77" t="str">
        <f t="shared" si="230"/>
        <v>aws s3 cp s3://rtdc.mdm.uploadarchive.raw/RTDC4032/ "%USERPROFILE%\AppData\Local\Temp\OnboardLogs"\RTDC4032\2017-11-01 --exclude "*" --recursive --include "*20171101*" &amp; "%USERPROFILE%\Documents\GitHub\mrs-test-scripts\Headless Mode &amp; Sideloading\WalkAndUnGZ.bat" "%USERPROFILE%\AppData\Local\Temp\OnboardLogs"\RTDC4032\2017-11-01 &amp; aws s3 cp s3://rtdc.mdm.uploadarchive.raw/RTDC4032/ "%USERPROFILE%\AppData\Local\Temp\OnboardLogs"\RTDC4032\2017-11-02 --exclude "*" --recursive --include "*20171102*" &amp; "%USERPROFILE%\Documents\GitHub\mrs-test-scripts\Headless Mode &amp; Sideloading\WalkAndUnGZ.bat" "%USERPROFILE%\AppData\Local\Temp\OnboardLogs"\RTDC4032\2017-11-02</v>
      </c>
      <c r="AF177" s="74" t="str">
        <f t="shared" si="231"/>
        <v>"C:\Program Files (x86)\AstroGrep\AstroGrep.exe" /e /r /s /spath="%USERPROFILE%\AppData\Local\Temp\OnboardLogs" /stypes="app*4032*20171101*" /stext=" 18:.+((SYSTEM_STATE.+slice.+state.+changed )|(ment ac)|(multiple cpu faults)|(system.+state.+changed )|(\[timeout)|(PRM\|1\|D)|(kpr)|(kdp)|(train st.+moving)|(\|lc)|(penalty))"</v>
      </c>
      <c r="AG177" s="182" t="str">
        <f t="shared" si="232"/>
        <v>NW</v>
      </c>
      <c r="AH177" s="78" t="str">
        <f t="shared" si="249"/>
        <v>"%USERPROFILE%\Documents\GitHub\eaglep3\Utilities\RefineRTDCRunTimes.py" --tripid 819-01 --locoid 4032 --swversion DE.1.0.9.0 --startMP 204:995 --initTime 2017-11-01T11:59:06 --startdatetime 2017-11-01T12:10:03 --delay 56 --endMP 300:58948 --enddatetime 2017-11-01T12:23:00 --enforcementcount 0 &gt;&gt;%USERPROFILE%\Documents\GitHub\eaglep3-reporting\EC\2017-11-01-refined-times.txt</v>
      </c>
      <c r="AI177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{"issue":{"subject":"","project_id":79,"tracker_id":40,"status_id":1,"priority_id":2,"assigned_to_id":338,"start_date":"2017-11-01","description":"","custom_fields":[{"id":1,"name":"Subdivision","value":"NW"},{"id":4,"name":"Milepost","value":"5.8948"},{"id":17,"name":"Train ID","value":"819-01"},{"id":16,"name":"Locomotive ID","value":"4032"},{"id":130,"name":"Impact","value":""},{"id":150,"name":"Time of Event (Mountain Time)","value":"12:23:00"},{"id":151,"name":"Denver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47"/>
      <c r="AL177" s="47"/>
      <c r="AM177" s="142" t="str">
        <f t="shared" si="251"/>
        <v>start /low /b %USERPROFILE%\Documents\GitHub\eaglep3\Utilities\DownloadLogsFromS3.py --loco 4032 --day 2017-11-01</v>
      </c>
      <c r="AN177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18:23:00"},{"id":29,"name":"Sharepoint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253"/>
        <v>https://d0f6bd738d7f1b3e5a7ca70fe4ff75f0.us-east-1.aws.found.io/app/kibana#/discover/Steve-Slow-Train-Analysis-(2080s-and-2083s)?_g=(refreshInterval:(display:Off,pause:!f,section:0,value:0),time:(from:'2017-11-01T10:59:06-0600',mode:absolute,to:'2017-11-01T13:23:00-0600'))&amp;_a=(columns:!('Message%20ID',Summary),filters:!(),index:'emp_*',interval:auto,query:(query_string:(analyze_wildcard:!t,query:'%22rtdc.l.rtdc.4032%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760</v>
      </c>
      <c r="B178" s="7">
        <v>4031</v>
      </c>
      <c r="C178" s="21" t="s">
        <v>194</v>
      </c>
      <c r="D178" s="21" t="s">
        <v>1041</v>
      </c>
      <c r="E178" s="13">
        <v>43040.517592592594</v>
      </c>
      <c r="F178" s="13">
        <v>43040.529930555553</v>
      </c>
      <c r="G178" s="7">
        <v>58</v>
      </c>
      <c r="H178" s="21" t="s">
        <v>1042</v>
      </c>
      <c r="I178" s="13">
        <v>43040.537951388891</v>
      </c>
      <c r="J178" s="7">
        <v>0</v>
      </c>
      <c r="K178" s="89" t="str">
        <f t="shared" si="223"/>
        <v>4031/4032</v>
      </c>
      <c r="L178" s="185" t="str">
        <f>VLOOKUP(A178,'Trips&amp;Operators'!$C$1:$G$99911,5,FALSE)</f>
        <v>MAINTENANCE VEHICLE</v>
      </c>
      <c r="M178" s="6">
        <f t="shared" si="224"/>
        <v>8.0208333383779973E-3</v>
      </c>
      <c r="N178" s="7">
        <f t="shared" si="270"/>
        <v>11.550000007264316</v>
      </c>
      <c r="O178" s="7"/>
      <c r="P178" s="7"/>
      <c r="Q178" s="22"/>
      <c r="R178" s="174"/>
      <c r="S178" s="221">
        <f t="shared" si="225"/>
        <v>1</v>
      </c>
      <c r="T178" s="174" t="str">
        <f t="shared" si="226"/>
        <v>Southbound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 t="shared" si="227"/>
        <v>https://d0f6bd738d7f1b3e5a7ca70fe4ff75f0.us-east-1.aws.found.io/app/kibana#/discover/Steve-Slow-Train-Analysis-(2080s-and-2083s)?_g=(refreshInterval:(display:Off,pause:!f,section:0,value:0),time:(from:'2017-11-01T11:25:20-0600',mode:absolute,to:'2017-11-01T13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8" s="204" t="str">
        <f>IF(AA178&lt;VLOOKUP(AG178,Variables!$AC$3:$AD$8,2,FALSE),"Y","N")</f>
        <v>N</v>
      </c>
      <c r="X178" s="204">
        <f t="shared" si="273"/>
        <v>1</v>
      </c>
      <c r="Y178" s="204">
        <f t="shared" si="271"/>
        <v>5.8635999999999999</v>
      </c>
      <c r="Z178" s="204">
        <f t="shared" si="272"/>
        <v>6.9900000000000004E-2</v>
      </c>
      <c r="AA178" s="204">
        <f t="shared" si="228"/>
        <v>5.7937000000000003</v>
      </c>
      <c r="AB178" s="54" t="e">
        <f>VLOOKUP(A178,Enforcements!$C$7:$K$10,8,0)</f>
        <v>#N/A</v>
      </c>
      <c r="AC178" s="51" t="e">
        <f>VLOOKUP(A178,Enforcements!$C$7:$E$10,3,0)</f>
        <v>#N/A</v>
      </c>
      <c r="AD178" s="179">
        <f t="shared" si="229"/>
        <v>820</v>
      </c>
      <c r="AE178" s="77" t="str">
        <f t="shared" si="230"/>
        <v>aws s3 cp s3://rtdc.mdm.uploadarchive.raw/RTDC4031/ "%USERPROFILE%\AppData\Local\Temp\OnboardLogs"\RTDC4031\2017-11-01 --exclude "*" --recursive --include "*20171101*" &amp; "%USERPROFILE%\Documents\GitHub\mrs-test-scripts\Headless Mode &amp; Sideloading\WalkAndUnGZ.bat" "%USERPROFILE%\AppData\Local\Temp\OnboardLogs"\RTDC4031\2017-11-01 &amp; 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</v>
      </c>
      <c r="AF178" s="74" t="str">
        <f t="shared" si="231"/>
        <v>"C:\Program Files (x86)\AstroGrep\AstroGrep.exe" /e /r /s /spath="%USERPROFILE%\AppData\Local\Temp\OnboardLogs" /stypes="app*4031*20171101*" /stext=" 18:.+((SYSTEM_STATE.+slice.+state.+changed )|(ment ac)|(multiple cpu faults)|(system.+state.+changed )|(\[timeout)|(PRM\|1\|D)|(kpr)|(kdp)|(train st.+moving)|(\|lc)|(penalty))"</v>
      </c>
      <c r="AG178" s="182" t="str">
        <f t="shared" si="232"/>
        <v>NW</v>
      </c>
      <c r="AH178" s="78" t="str">
        <f t="shared" si="249"/>
        <v>"%USERPROFILE%\Documents\GitHub\eaglep3\Utilities\RefineRTDCRunTimes.py" --tripid 820-01 --locoid 4031 --swversion DE.1.0.9.0 --startMP 300:58636 --initTime 2017-11-01T12:25:20 --startdatetime 2017-11-01T12:43:06 --delay 58 --endMP 204:699 --enddatetime 2017-11-01T12:54:39 --enforcementcount 0 &gt;&gt;%USERPROFILE%\Documents\GitHub\eaglep3-reporting\EC\2017-11-01-refined-times.txt</v>
      </c>
      <c r="AI178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{"issue":{"subject":"","project_id":79,"tracker_id":40,"status_id":1,"priority_id":2,"assigned_to_id":338,"start_date":"2017-11-01","description":"","custom_fields":[{"id":1,"name":"Subdivision","value":"NW"},{"id":4,"name":"Milepost","value":"0.0699"},{"id":17,"name":"Train ID","value":"820-01"},{"id":16,"name":"Locomotive ID","value":"4031"},{"id":130,"name":"Impact","value":""},{"id":150,"name":"Time of Event (Mountain Time)","value":"12:54:39"},{"id":151,"name":"Denver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47"/>
      <c r="AL178" s="47"/>
      <c r="AM178" s="142" t="str">
        <f t="shared" si="251"/>
        <v>start /low /b %USERPROFILE%\Documents\GitHub\eaglep3\Utilities\DownloadLogsFromS3.py --loco 4031 --day 2017-11-01</v>
      </c>
      <c r="AN178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18:54:39"},{"id":29,"name":"Sharepoint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253"/>
        <v>https://d0f6bd738d7f1b3e5a7ca70fe4ff75f0.us-east-1.aws.found.io/app/kibana#/discover/Steve-Slow-Train-Analysis-(2080s-and-2083s)?_g=(refreshInterval:(display:Off,pause:!f,section:0,value:0),time:(from:'2017-11-01T11:25:20-0600',mode:absolute,to:'2017-11-01T13:54:39-0600'))&amp;_a=(columns:!('Message%20ID',Summary),filters:!(),index:'emp_*',interval:auto,query:(query_string:(analyze_wildcard:!t,query:'%22rtdc.l.rtdc.4031%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767</v>
      </c>
      <c r="B179" s="7">
        <v>4032</v>
      </c>
      <c r="C179" s="21" t="s">
        <v>194</v>
      </c>
      <c r="D179" s="21" t="s">
        <v>1031</v>
      </c>
      <c r="E179" s="13">
        <v>43040.540925925925</v>
      </c>
      <c r="F179" s="13">
        <v>43040.548437500001</v>
      </c>
      <c r="G179" s="7">
        <v>89</v>
      </c>
      <c r="H179" s="21" t="s">
        <v>1043</v>
      </c>
      <c r="I179" s="13">
        <v>43040.558009259257</v>
      </c>
      <c r="J179" s="7">
        <v>0</v>
      </c>
      <c r="K179" s="89" t="str">
        <f t="shared" si="223"/>
        <v>4031/4032</v>
      </c>
      <c r="L179" s="185" t="str">
        <f>VLOOKUP(A179,'Trips&amp;Operators'!$C$1:$G$99911,5,FALSE)</f>
        <v>HAMMOND JUSTYNN</v>
      </c>
      <c r="M179" s="6">
        <f t="shared" si="224"/>
        <v>9.5717592557775788E-3</v>
      </c>
      <c r="N179" s="7">
        <f t="shared" si="270"/>
        <v>13.783333328319713</v>
      </c>
      <c r="O179" s="7"/>
      <c r="P179" s="7"/>
      <c r="Q179" s="22"/>
      <c r="R179" s="174"/>
      <c r="S179" s="221">
        <f t="shared" si="225"/>
        <v>1</v>
      </c>
      <c r="T179" s="174" t="str">
        <f t="shared" si="226"/>
        <v>NorthBound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 t="shared" si="227"/>
        <v>https://d0f6bd738d7f1b3e5a7ca70fe4ff75f0.us-east-1.aws.found.io/app/kibana#/discover/Steve-Slow-Train-Analysis-(2080s-and-2083s)?_g=(refreshInterval:(display:Off,pause:!f,section:0,value:0),time:(from:'2017-11-01T11:58:56-0600',mode:absolute,to:'2017-11-01T14:23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9" s="204" t="str">
        <f>IF(AA179&lt;VLOOKUP(AG179,Variables!$AC$3:$AD$8,2,FALSE),"Y","N")</f>
        <v>N</v>
      </c>
      <c r="X179" s="204">
        <f t="shared" si="273"/>
        <v>1</v>
      </c>
      <c r="Y179" s="204">
        <f t="shared" si="271"/>
        <v>0.1</v>
      </c>
      <c r="Z179" s="204">
        <f t="shared" si="272"/>
        <v>5.8959999999999999</v>
      </c>
      <c r="AA179" s="204">
        <f t="shared" si="228"/>
        <v>5.7960000000000003</v>
      </c>
      <c r="AB179" s="54" t="e">
        <f>VLOOKUP(A179,Enforcements!$C$7:$K$10,8,0)</f>
        <v>#N/A</v>
      </c>
      <c r="AC179" s="51" t="e">
        <f>VLOOKUP(A179,Enforcements!$C$7:$E$10,3,0)</f>
        <v>#N/A</v>
      </c>
      <c r="AD179" s="179">
        <f t="shared" si="229"/>
        <v>821</v>
      </c>
      <c r="AE179" s="77" t="str">
        <f t="shared" si="230"/>
        <v>aws s3 cp s3://rtdc.mdm.uploadarchive.raw/RTDC4032/ "%USERPROFILE%\AppData\Local\Temp\OnboardLogs"\RTDC4032\2017-11-01 --exclude "*" --recursive --include "*20171101*" &amp; "%USERPROFILE%\Documents\GitHub\mrs-test-scripts\Headless Mode &amp; Sideloading\WalkAndUnGZ.bat" "%USERPROFILE%\AppData\Local\Temp\OnboardLogs"\RTDC4032\2017-11-01 &amp; aws s3 cp s3://rtdc.mdm.uploadarchive.raw/RTDC4032/ "%USERPROFILE%\AppData\Local\Temp\OnboardLogs"\RTDC4032\2017-11-02 --exclude "*" --recursive --include "*20171102*" &amp; "%USERPROFILE%\Documents\GitHub\mrs-test-scripts\Headless Mode &amp; Sideloading\WalkAndUnGZ.bat" "%USERPROFILE%\AppData\Local\Temp\OnboardLogs"\RTDC4032\2017-11-02</v>
      </c>
      <c r="AF179" s="74" t="str">
        <f t="shared" si="231"/>
        <v>"C:\Program Files (x86)\AstroGrep\AstroGrep.exe" /e /r /s /spath="%USERPROFILE%\AppData\Local\Temp\OnboardLogs" /stypes="app*4032*20171101*" /stext=" 19:.+((SYSTEM_STATE.+slice.+state.+changed )|(ment ac)|(multiple cpu faults)|(system.+state.+changed )|(\[timeout)|(PRM\|1\|D)|(kpr)|(kdp)|(train st.+moving)|(\|lc)|(penalty))"</v>
      </c>
      <c r="AG179" s="182" t="str">
        <f t="shared" si="232"/>
        <v>NW</v>
      </c>
      <c r="AH179" s="78" t="str">
        <f t="shared" si="249"/>
        <v>"%USERPROFILE%\Documents\GitHub\eaglep3\Utilities\RefineRTDCRunTimes.py" --tripid 821-01 --locoid 4032 --swversion DE.1.0.9.0 --startMP 204:1000 --initTime 2017-11-01T12:58:56 --startdatetime 2017-11-01T13:09:45 --delay 89 --endMP 300:58960 --enddatetime 2017-11-01T13:23:32 --enforcementcount 0 &gt;&gt;%USERPROFILE%\Documents\GitHub\eaglep3-reporting\EC\2017-11-01-refined-times.txt</v>
      </c>
      <c r="AI179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{"issue":{"subject":"","project_id":79,"tracker_id":40,"status_id":1,"priority_id":2,"assigned_to_id":338,"start_date":"2017-11-01","description":"","custom_fields":[{"id":1,"name":"Subdivision","value":"NW"},{"id":4,"name":"Milepost","value":"5.896"},{"id":17,"name":"Train ID","value":"821-01"},{"id":16,"name":"Locomotive ID","value":"4032"},{"id":130,"name":"Impact","value":""},{"id":150,"name":"Time of Event (Mountain Time)","value":"13:23:32"},{"id":151,"name":"Denver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47"/>
      <c r="AL179" s="47"/>
      <c r="AM179" s="142" t="str">
        <f t="shared" si="251"/>
        <v>start /low /b %USERPROFILE%\Documents\GitHub\eaglep3\Utilities\DownloadLogsFromS3.py --loco 4032 --day 2017-11-01</v>
      </c>
      <c r="AN179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19:23:32"},{"id":29,"name":"Sharepoint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253"/>
        <v>https://d0f6bd738d7f1b3e5a7ca70fe4ff75f0.us-east-1.aws.found.io/app/kibana#/discover/Steve-Slow-Train-Analysis-(2080s-and-2083s)?_g=(refreshInterval:(display:Off,pause:!f,section:0,value:0),time:(from:'2017-11-01T11:58:56-0600',mode:absolute,to:'2017-11-01T14:23:32-0600'))&amp;_a=(columns:!('Message%20ID',Summary),filters:!(),index:'emp_*',interval:auto,query:(query_string:(analyze_wildcard:!t,query:'%22rtdc.l.rtdc.4032%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634</v>
      </c>
      <c r="B180" s="7">
        <v>4031</v>
      </c>
      <c r="C180" s="21" t="s">
        <v>194</v>
      </c>
      <c r="D180" s="21" t="s">
        <v>1044</v>
      </c>
      <c r="E180" s="13">
        <v>43040.5627662037</v>
      </c>
      <c r="F180" s="13">
        <v>43040.572268518517</v>
      </c>
      <c r="G180" s="7">
        <v>91</v>
      </c>
      <c r="H180" s="21" t="s">
        <v>1045</v>
      </c>
      <c r="I180" s="13">
        <v>43040.579652777778</v>
      </c>
      <c r="J180" s="7">
        <v>0</v>
      </c>
      <c r="K180" s="89" t="str">
        <f t="shared" si="223"/>
        <v>4031/4032</v>
      </c>
      <c r="L180" s="185" t="str">
        <f>VLOOKUP(A180,'Trips&amp;Operators'!$C$1:$G$99911,5,FALSE)</f>
        <v>HAMMOND JUSTYNN</v>
      </c>
      <c r="M180" s="6">
        <f t="shared" si="224"/>
        <v>7.3842592610162683E-3</v>
      </c>
      <c r="N180" s="7">
        <f t="shared" si="270"/>
        <v>10.633333335863426</v>
      </c>
      <c r="O180" s="7"/>
      <c r="P180" s="7"/>
      <c r="Q180" s="22"/>
      <c r="R180" s="174"/>
      <c r="S180" s="221">
        <f t="shared" si="225"/>
        <v>1</v>
      </c>
      <c r="T180" s="174" t="str">
        <f t="shared" si="226"/>
        <v>Southbound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 t="shared" si="227"/>
        <v>https://d0f6bd738d7f1b3e5a7ca70fe4ff75f0.us-east-1.aws.found.io/app/kibana#/discover/Steve-Slow-Train-Analysis-(2080s-and-2083s)?_g=(refreshInterval:(display:Off,pause:!f,section:0,value:0),time:(from:'2017-11-01T12:30:23-0600',mode:absolute,to:'2017-11-01T14:54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0" s="204" t="str">
        <f>IF(AA180&lt;VLOOKUP(AG180,Variables!$AC$3:$AD$8,2,FALSE),"Y","N")</f>
        <v>Y</v>
      </c>
      <c r="X180" s="204">
        <f t="shared" si="273"/>
        <v>1</v>
      </c>
      <c r="Y180" s="204">
        <f t="shared" si="271"/>
        <v>5.8639999999999999</v>
      </c>
      <c r="Z180" s="204">
        <f t="shared" si="272"/>
        <v>0.45779999999999998</v>
      </c>
      <c r="AA180" s="204">
        <f t="shared" si="228"/>
        <v>5.4062000000000001</v>
      </c>
      <c r="AB180" s="54" t="e">
        <f>VLOOKUP(A180,Enforcements!$C$7:$K$10,8,0)</f>
        <v>#N/A</v>
      </c>
      <c r="AC180" s="51" t="e">
        <f>VLOOKUP(A180,Enforcements!$C$7:$E$10,3,0)</f>
        <v>#N/A</v>
      </c>
      <c r="AD180" s="179">
        <f t="shared" si="229"/>
        <v>822</v>
      </c>
      <c r="AE180" s="77" t="str">
        <f t="shared" si="230"/>
        <v>aws s3 cp s3://rtdc.mdm.uploadarchive.raw/RTDC4031/ "%USERPROFILE%\AppData\Local\Temp\OnboardLogs"\RTDC4031\2017-11-01 --exclude "*" --recursive --include "*20171101*" &amp; "%USERPROFILE%\Documents\GitHub\mrs-test-scripts\Headless Mode &amp; Sideloading\WalkAndUnGZ.bat" "%USERPROFILE%\AppData\Local\Temp\OnboardLogs"\RTDC4031\2017-11-01 &amp; 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</v>
      </c>
      <c r="AF180" s="74" t="str">
        <f t="shared" si="231"/>
        <v>"C:\Program Files (x86)\AstroGrep\AstroGrep.exe" /e /r /s /spath="%USERPROFILE%\AppData\Local\Temp\OnboardLogs" /stypes="app*4031*20171101*" /stext=" 19:.+((SYSTEM_STATE.+slice.+state.+changed )|(ment ac)|(multiple cpu faults)|(system.+state.+changed )|(\[timeout)|(PRM\|1\|D)|(kpr)|(kdp)|(train st.+moving)|(\|lc)|(penalty))"</v>
      </c>
      <c r="AG180" s="182" t="str">
        <f t="shared" si="232"/>
        <v>NW</v>
      </c>
      <c r="AH180" s="78" t="str">
        <f t="shared" si="249"/>
        <v>"%USERPROFILE%\Documents\GitHub\eaglep3\Utilities\RefineRTDCRunTimes.py" --tripid 822-01 --locoid 4031 --swversion DE.1.0.9.0 --startMP 300:58640 --initTime 2017-11-01T13:30:23 --startdatetime 2017-11-01T13:44:04 --delay 91 --endMP 204:4578 --enddatetime 2017-11-01T13:54:42 --enforcementcount 0 &gt;&gt;%USERPROFILE%\Documents\GitHub\eaglep3-reporting\EC\2017-11-01-refined-times.txt</v>
      </c>
      <c r="AI180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{"issue":{"subject":"","project_id":79,"tracker_id":40,"status_id":1,"priority_id":2,"assigned_to_id":338,"start_date":"2017-11-01","description":"","custom_fields":[{"id":1,"name":"Subdivision","value":"NW"},{"id":4,"name":"Milepost","value":"0.4578"},{"id":17,"name":"Train ID","value":"822-01"},{"id":16,"name":"Locomotive ID","value":"4031"},{"id":130,"name":"Impact","value":""},{"id":150,"name":"Time of Event (Mountain Time)","value":"13:54:42"},{"id":151,"name":"Denver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47"/>
      <c r="AL180" s="47"/>
      <c r="AM180" s="142" t="str">
        <f t="shared" si="251"/>
        <v>start /low /b %USERPROFILE%\Documents\GitHub\eaglep3\Utilities\DownloadLogsFromS3.py --loco 4031 --day 2017-11-01</v>
      </c>
      <c r="AN180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19:54:42"},{"id":29,"name":"Sharepoint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253"/>
        <v>https://d0f6bd738d7f1b3e5a7ca70fe4ff75f0.us-east-1.aws.found.io/app/kibana#/discover/Steve-Slow-Train-Analysis-(2080s-and-2083s)?_g=(refreshInterval:(display:Off,pause:!f,section:0,value:0),time:(from:'2017-11-01T12:30:23-0600',mode:absolute,to:'2017-11-01T14:54:42-0600'))&amp;_a=(columns:!('Message%20ID',Summary),filters:!(),index:'emp_*',interval:auto,query:(query_string:(analyze_wildcard:!t,query:'%22rtdc.l.rtdc.4031%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775</v>
      </c>
      <c r="B181" s="7">
        <v>4032</v>
      </c>
      <c r="C181" s="21" t="s">
        <v>194</v>
      </c>
      <c r="D181" s="21" t="s">
        <v>1014</v>
      </c>
      <c r="E181" s="13">
        <v>43040.587199074071</v>
      </c>
      <c r="F181" s="13">
        <v>43040.589791666665</v>
      </c>
      <c r="G181" s="7">
        <v>65</v>
      </c>
      <c r="H181" s="21" t="s">
        <v>424</v>
      </c>
      <c r="I181" s="13">
        <v>43040.600474537037</v>
      </c>
      <c r="J181" s="7">
        <v>0</v>
      </c>
      <c r="K181" s="89" t="str">
        <f t="shared" si="223"/>
        <v>4031/4032</v>
      </c>
      <c r="L181" s="185" t="str">
        <f>VLOOKUP(A181,'Trips&amp;Operators'!$C$1:$G$99911,5,FALSE)</f>
        <v>HAMMOND JUSTYNN</v>
      </c>
      <c r="M181" s="6">
        <f t="shared" si="224"/>
        <v>1.0682870371965691E-2</v>
      </c>
      <c r="N181" s="7">
        <f t="shared" si="270"/>
        <v>15.383333335630596</v>
      </c>
      <c r="O181" s="7"/>
      <c r="P181" s="7"/>
      <c r="Q181" s="22"/>
      <c r="R181" s="174"/>
      <c r="S181" s="221">
        <f t="shared" si="225"/>
        <v>1</v>
      </c>
      <c r="T181" s="174" t="str">
        <f t="shared" si="226"/>
        <v>NorthBound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 t="shared" si="227"/>
        <v>https://d0f6bd738d7f1b3e5a7ca70fe4ff75f0.us-east-1.aws.found.io/app/kibana#/discover/Steve-Slow-Train-Analysis-(2080s-and-2083s)?_g=(refreshInterval:(display:Off,pause:!f,section:0,value:0),time:(from:'2017-11-01T13:05:34-0600',mode:absolute,to:'2017-11-01T15:24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1" s="204" t="str">
        <f>IF(AA181&lt;VLOOKUP(AG181,Variables!$AC$3:$AD$8,2,FALSE),"Y","N")</f>
        <v>N</v>
      </c>
      <c r="X181" s="204">
        <f t="shared" si="273"/>
        <v>1</v>
      </c>
      <c r="Y181" s="204">
        <f t="shared" si="271"/>
        <v>9.9000000000000005E-2</v>
      </c>
      <c r="Z181" s="204">
        <f t="shared" si="272"/>
        <v>5.8952</v>
      </c>
      <c r="AA181" s="204">
        <f t="shared" si="228"/>
        <v>5.7961999999999998</v>
      </c>
      <c r="AB181" s="54" t="e">
        <f>VLOOKUP(A181,Enforcements!$C$7:$K$10,8,0)</f>
        <v>#N/A</v>
      </c>
      <c r="AC181" s="51" t="e">
        <f>VLOOKUP(A181,Enforcements!$C$7:$E$10,3,0)</f>
        <v>#N/A</v>
      </c>
      <c r="AD181" s="179">
        <f t="shared" si="229"/>
        <v>823</v>
      </c>
      <c r="AE181" s="77" t="str">
        <f t="shared" si="230"/>
        <v>aws s3 cp s3://rtdc.mdm.uploadarchive.raw/RTDC4032/ "%USERPROFILE%\AppData\Local\Temp\OnboardLogs"\RTDC4032\2017-11-01 --exclude "*" --recursive --include "*20171101*" &amp; "%USERPROFILE%\Documents\GitHub\mrs-test-scripts\Headless Mode &amp; Sideloading\WalkAndUnGZ.bat" "%USERPROFILE%\AppData\Local\Temp\OnboardLogs"\RTDC4032\2017-11-01 &amp; aws s3 cp s3://rtdc.mdm.uploadarchive.raw/RTDC4032/ "%USERPROFILE%\AppData\Local\Temp\OnboardLogs"\RTDC4032\2017-11-02 --exclude "*" --recursive --include "*20171102*" &amp; "%USERPROFILE%\Documents\GitHub\mrs-test-scripts\Headless Mode &amp; Sideloading\WalkAndUnGZ.bat" "%USERPROFILE%\AppData\Local\Temp\OnboardLogs"\RTDC4032\2017-11-02</v>
      </c>
      <c r="AF181" s="74" t="str">
        <f t="shared" si="231"/>
        <v>"C:\Program Files (x86)\AstroGrep\AstroGrep.exe" /e /r /s /spath="%USERPROFILE%\AppData\Local\Temp\OnboardLogs" /stypes="app*4032*20171101*" /stext=" 20:.+((SYSTEM_STATE.+slice.+state.+changed )|(ment ac)|(multiple cpu faults)|(system.+state.+changed )|(\[timeout)|(PRM\|1\|D)|(kpr)|(kdp)|(train st.+moving)|(\|lc)|(penalty))"</v>
      </c>
      <c r="AG181" s="182" t="str">
        <f t="shared" si="232"/>
        <v>NW</v>
      </c>
      <c r="AH181" s="78" t="str">
        <f t="shared" si="249"/>
        <v>"%USERPROFILE%\Documents\GitHub\eaglep3\Utilities\RefineRTDCRunTimes.py" --tripid 823-01 --locoid 4032 --swversion DE.1.0.9.0 --startMP 204:990 --initTime 2017-11-01T14:05:34 --startdatetime 2017-11-01T14:09:18 --delay 65 --endMP 300:58952 --enddatetime 2017-11-01T14:24:41 --enforcementcount 0 &gt;&gt;%USERPROFILE%\Documents\GitHub\eaglep3-reporting\EC\2017-11-01-refined-times.txt</v>
      </c>
      <c r="AI181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{"issue":{"subject":"","project_id":79,"tracker_id":40,"status_id":1,"priority_id":2,"assigned_to_id":338,"start_date":"2017-11-01","description":"","custom_fields":[{"id":1,"name":"Subdivision","value":"NW"},{"id":4,"name":"Milepost","value":"5.8952"},{"id":17,"name":"Train ID","value":"823-01"},{"id":16,"name":"Locomotive ID","value":"4032"},{"id":130,"name":"Impact","value":""},{"id":150,"name":"Time of Event (Mountain Time)","value":"14:24:41"},{"id":151,"name":"Denver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47"/>
      <c r="AL181" s="47"/>
      <c r="AM181" s="142" t="str">
        <f t="shared" si="251"/>
        <v>start /low /b %USERPROFILE%\Documents\GitHub\eaglep3\Utilities\DownloadLogsFromS3.py --loco 4032 --day 2017-11-01</v>
      </c>
      <c r="AN181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20:24:41"},{"id":29,"name":"Sharepoint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253"/>
        <v>https://d0f6bd738d7f1b3e5a7ca70fe4ff75f0.us-east-1.aws.found.io/app/kibana#/discover/Steve-Slow-Train-Analysis-(2080s-and-2083s)?_g=(refreshInterval:(display:Off,pause:!f,section:0,value:0),time:(from:'2017-11-01T13:05:34-0600',mode:absolute,to:'2017-11-01T15:24:41-0600'))&amp;_a=(columns:!('Message%20ID',Summary),filters:!(),index:'emp_*',interval:auto,query:(query_string:(analyze_wildcard:!t,query:'%22rtdc.l.rtdc.4032%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778</v>
      </c>
      <c r="B182" s="7">
        <v>4031</v>
      </c>
      <c r="C182" s="21" t="s">
        <v>194</v>
      </c>
      <c r="D182" s="21" t="s">
        <v>1036</v>
      </c>
      <c r="E182" s="13">
        <v>43040.601909722223</v>
      </c>
      <c r="F182" s="13">
        <v>43040.613275462965</v>
      </c>
      <c r="G182" s="7">
        <v>57</v>
      </c>
      <c r="H182" s="21" t="s">
        <v>1046</v>
      </c>
      <c r="I182" s="13">
        <v>43040.622835648152</v>
      </c>
      <c r="J182" s="7">
        <v>0</v>
      </c>
      <c r="K182" s="89" t="str">
        <f t="shared" si="223"/>
        <v>4031/4032</v>
      </c>
      <c r="L182" s="185" t="str">
        <f>VLOOKUP(A182,'Trips&amp;Operators'!$C$1:$G$99911,5,FALSE)</f>
        <v>HAMMOND JUSTYNN</v>
      </c>
      <c r="M182" s="6">
        <f t="shared" si="224"/>
        <v>9.560185186273884E-3</v>
      </c>
      <c r="N182" s="7">
        <f t="shared" si="270"/>
        <v>13.766666668234393</v>
      </c>
      <c r="O182" s="7"/>
      <c r="P182" s="7"/>
      <c r="Q182" s="22"/>
      <c r="R182" s="174"/>
      <c r="S182" s="221">
        <f t="shared" si="225"/>
        <v>1</v>
      </c>
      <c r="T182" s="174" t="str">
        <f t="shared" si="226"/>
        <v>Southbound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 t="shared" si="227"/>
        <v>https://d0f6bd738d7f1b3e5a7ca70fe4ff75f0.us-east-1.aws.found.io/app/kibana#/discover/Steve-Slow-Train-Analysis-(2080s-and-2083s)?_g=(refreshInterval:(display:Off,pause:!f,section:0,value:0),time:(from:'2017-11-01T13:26:45-0600',mode:absolute,to:'2017-11-01T15:56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2" s="204" t="str">
        <f>IF(AA182&lt;VLOOKUP(AG182,Variables!$AC$3:$AD$8,2,FALSE),"Y","N")</f>
        <v>N</v>
      </c>
      <c r="X182" s="204">
        <f t="shared" si="273"/>
        <v>1</v>
      </c>
      <c r="Y182" s="204">
        <f t="shared" si="271"/>
        <v>5.8644999999999996</v>
      </c>
      <c r="Z182" s="204">
        <f t="shared" si="272"/>
        <v>1.4800000000000001E-2</v>
      </c>
      <c r="AA182" s="204">
        <f t="shared" si="228"/>
        <v>5.8496999999999995</v>
      </c>
      <c r="AB182" s="54" t="e">
        <f>VLOOKUP(A182,Enforcements!$C$7:$K$10,8,0)</f>
        <v>#N/A</v>
      </c>
      <c r="AC182" s="51" t="e">
        <f>VLOOKUP(A182,Enforcements!$C$7:$E$10,3,0)</f>
        <v>#N/A</v>
      </c>
      <c r="AD182" s="179">
        <f t="shared" si="229"/>
        <v>824</v>
      </c>
      <c r="AE182" s="77" t="str">
        <f t="shared" si="230"/>
        <v>aws s3 cp s3://rtdc.mdm.uploadarchive.raw/RTDC4031/ "%USERPROFILE%\AppData\Local\Temp\OnboardLogs"\RTDC4031\2017-11-01 --exclude "*" --recursive --include "*20171101*" &amp; "%USERPROFILE%\Documents\GitHub\mrs-test-scripts\Headless Mode &amp; Sideloading\WalkAndUnGZ.bat" "%USERPROFILE%\AppData\Local\Temp\OnboardLogs"\RTDC4031\2017-11-01 &amp; 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</v>
      </c>
      <c r="AF182" s="74" t="str">
        <f t="shared" si="231"/>
        <v>"C:\Program Files (x86)\AstroGrep\AstroGrep.exe" /e /r /s /spath="%USERPROFILE%\AppData\Local\Temp\OnboardLogs" /stypes="app*4031*20171101*" /stext=" 20:.+((SYSTEM_STATE.+slice.+state.+changed )|(ment ac)|(multiple cpu faults)|(system.+state.+changed )|(\[timeout)|(PRM\|1\|D)|(kpr)|(kdp)|(train st.+moving)|(\|lc)|(penalty))"</v>
      </c>
      <c r="AG182" s="182" t="str">
        <f t="shared" si="232"/>
        <v>NW</v>
      </c>
      <c r="AH182" s="78" t="str">
        <f t="shared" si="249"/>
        <v>"%USERPROFILE%\Documents\GitHub\eaglep3\Utilities\RefineRTDCRunTimes.py" --tripid 824-01 --locoid 4031 --swversion DE.1.0.9.0 --startMP 300:58645 --initTime 2017-11-01T14:26:45 --startdatetime 2017-11-01T14:43:07 --delay 57 --endMP 204:148 --enddatetime 2017-11-01T14:56:53 --enforcementcount 0 &gt;&gt;%USERPROFILE%\Documents\GitHub\eaglep3-reporting\EC\2017-11-01-refined-times.txt</v>
      </c>
      <c r="AI182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{"issue":{"subject":"","project_id":79,"tracker_id":40,"status_id":1,"priority_id":2,"assigned_to_id":338,"start_date":"2017-11-01","description":"","custom_fields":[{"id":1,"name":"Subdivision","value":"NW"},{"id":4,"name":"Milepost","value":"0.0148"},{"id":17,"name":"Train ID","value":"824-01"},{"id":16,"name":"Locomotive ID","value":"4031"},{"id":130,"name":"Impact","value":""},{"id":150,"name":"Time of Event (Mountain Time)","value":"14:56:53"},{"id":151,"name":"Denver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47"/>
      <c r="AL182" s="47"/>
      <c r="AM182" s="142" t="str">
        <f t="shared" si="251"/>
        <v>start /low /b %USERPROFILE%\Documents\GitHub\eaglep3\Utilities\DownloadLogsFromS3.py --loco 4031 --day 2017-11-01</v>
      </c>
      <c r="AN182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20:56:53"},{"id":29,"name":"Sharepoint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253"/>
        <v>https://d0f6bd738d7f1b3e5a7ca70fe4ff75f0.us-east-1.aws.found.io/app/kibana#/discover/Steve-Slow-Train-Analysis-(2080s-and-2083s)?_g=(refreshInterval:(display:Off,pause:!f,section:0,value:0),time:(from:'2017-11-01T13:26:45-0600',mode:absolute,to:'2017-11-01T15:56:53-0600'))&amp;_a=(columns:!('Message%20ID',Summary),filters:!(),index:'emp_*',interval:auto,query:(query_string:(analyze_wildcard:!t,query:'%22rtdc.l.rtdc.4031%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781</v>
      </c>
      <c r="B183" s="7">
        <v>4032</v>
      </c>
      <c r="C183" s="21" t="s">
        <v>194</v>
      </c>
      <c r="D183" s="21" t="s">
        <v>433</v>
      </c>
      <c r="E183" s="13">
        <v>43040.629178240742</v>
      </c>
      <c r="F183" s="13">
        <v>43040.631458333337</v>
      </c>
      <c r="G183" s="7">
        <v>57</v>
      </c>
      <c r="H183" s="21" t="s">
        <v>603</v>
      </c>
      <c r="I183" s="13">
        <v>43040.642777777779</v>
      </c>
      <c r="J183" s="7">
        <v>0</v>
      </c>
      <c r="K183" s="89" t="str">
        <f t="shared" si="223"/>
        <v>4031/4032</v>
      </c>
      <c r="L183" s="185" t="str">
        <f>VLOOKUP(A183,'Trips&amp;Operators'!$C$1:$G$99911,5,FALSE)</f>
        <v>HAMMOND JUSTYNN</v>
      </c>
      <c r="M183" s="6">
        <f t="shared" si="224"/>
        <v>1.1319444442051463E-2</v>
      </c>
      <c r="N183" s="7">
        <f t="shared" si="270"/>
        <v>16.299999996554106</v>
      </c>
      <c r="O183" s="7"/>
      <c r="P183" s="7"/>
      <c r="Q183" s="22"/>
      <c r="R183" s="174"/>
      <c r="S183" s="221">
        <f t="shared" si="225"/>
        <v>1</v>
      </c>
      <c r="T183" s="174" t="str">
        <f t="shared" si="226"/>
        <v>NorthBound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 t="shared" si="227"/>
        <v>https://d0f6bd738d7f1b3e5a7ca70fe4ff75f0.us-east-1.aws.found.io/app/kibana#/discover/Steve-Slow-Train-Analysis-(2080s-and-2083s)?_g=(refreshInterval:(display:Off,pause:!f,section:0,value:0),time:(from:'2017-11-01T14:06:01-0600',mode:absolute,to:'2017-11-01T16:25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3" s="204" t="str">
        <f>IF(AA183&lt;VLOOKUP(AG183,Variables!$AC$3:$AD$8,2,FALSE),"Y","N")</f>
        <v>N</v>
      </c>
      <c r="X183" s="204">
        <f t="shared" si="273"/>
        <v>1</v>
      </c>
      <c r="Y183" s="204">
        <f t="shared" si="271"/>
        <v>4.53E-2</v>
      </c>
      <c r="Z183" s="204">
        <f t="shared" si="272"/>
        <v>5.8948</v>
      </c>
      <c r="AA183" s="204">
        <f t="shared" si="228"/>
        <v>5.8494999999999999</v>
      </c>
      <c r="AB183" s="54" t="e">
        <f>VLOOKUP(A183,Enforcements!$C$7:$K$10,8,0)</f>
        <v>#N/A</v>
      </c>
      <c r="AC183" s="51" t="e">
        <f>VLOOKUP(A183,Enforcements!$C$7:$E$10,3,0)</f>
        <v>#N/A</v>
      </c>
      <c r="AD183" s="179">
        <f t="shared" si="229"/>
        <v>825</v>
      </c>
      <c r="AE183" s="77" t="str">
        <f t="shared" si="230"/>
        <v>aws s3 cp s3://rtdc.mdm.uploadarchive.raw/RTDC4032/ "%USERPROFILE%\AppData\Local\Temp\OnboardLogs"\RTDC4032\2017-11-01 --exclude "*" --recursive --include "*20171101*" &amp; "%USERPROFILE%\Documents\GitHub\mrs-test-scripts\Headless Mode &amp; Sideloading\WalkAndUnGZ.bat" "%USERPROFILE%\AppData\Local\Temp\OnboardLogs"\RTDC4032\2017-11-01 &amp; aws s3 cp s3://rtdc.mdm.uploadarchive.raw/RTDC4032/ "%USERPROFILE%\AppData\Local\Temp\OnboardLogs"\RTDC4032\2017-11-02 --exclude "*" --recursive --include "*20171102*" &amp; "%USERPROFILE%\Documents\GitHub\mrs-test-scripts\Headless Mode &amp; Sideloading\WalkAndUnGZ.bat" "%USERPROFILE%\AppData\Local\Temp\OnboardLogs"\RTDC4032\2017-11-02</v>
      </c>
      <c r="AF183" s="74" t="str">
        <f t="shared" si="231"/>
        <v>"C:\Program Files (x86)\AstroGrep\AstroGrep.exe" /e /r /s /spath="%USERPROFILE%\AppData\Local\Temp\OnboardLogs" /stypes="app*4032*20171101*" /stext=" 21:.+((SYSTEM_STATE.+slice.+state.+changed )|(ment ac)|(multiple cpu faults)|(system.+state.+changed )|(\[timeout)|(PRM\|1\|D)|(kpr)|(kdp)|(train st.+moving)|(\|lc)|(penalty))"</v>
      </c>
      <c r="AG183" s="182" t="str">
        <f t="shared" si="232"/>
        <v>NW</v>
      </c>
      <c r="AH183" s="78" t="str">
        <f t="shared" si="249"/>
        <v>"%USERPROFILE%\Documents\GitHub\eaglep3\Utilities\RefineRTDCRunTimes.py" --tripid 825-01 --locoid 4032 --swversion DE.1.0.9.0 --startMP 204:453 --initTime 2017-11-01T15:06:01 --startdatetime 2017-11-01T15:09:18 --delay 57 --endMP 300:58948 --enddatetime 2017-11-01T15:25:36 --enforcementcount 0 &gt;&gt;%USERPROFILE%\Documents\GitHub\eaglep3-reporting\EC\2017-11-01-refined-times.txt</v>
      </c>
      <c r="AI183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{"issue":{"subject":"","project_id":79,"tracker_id":40,"status_id":1,"priority_id":2,"assigned_to_id":338,"start_date":"2017-11-01","description":"","custom_fields":[{"id":1,"name":"Subdivision","value":"NW"},{"id":4,"name":"Milepost","value":"5.8948"},{"id":17,"name":"Train ID","value":"825-01"},{"id":16,"name":"Locomotive ID","value":"4032"},{"id":130,"name":"Impact","value":""},{"id":150,"name":"Time of Event (Mountain Time)","value":"15:25:36"},{"id":151,"name":"Denver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47"/>
      <c r="AL183" s="47"/>
      <c r="AM183" s="142" t="str">
        <f t="shared" si="251"/>
        <v>start /low /b %USERPROFILE%\Documents\GitHub\eaglep3\Utilities\DownloadLogsFromS3.py --loco 4032 --day 2017-11-01</v>
      </c>
      <c r="AN183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21:25:36"},{"id":29,"name":"Sharepoint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253"/>
        <v>https://d0f6bd738d7f1b3e5a7ca70fe4ff75f0.us-east-1.aws.found.io/app/kibana#/discover/Steve-Slow-Train-Analysis-(2080s-and-2083s)?_g=(refreshInterval:(display:Off,pause:!f,section:0,value:0),time:(from:'2017-11-01T14:06:01-0600',mode:absolute,to:'2017-11-01T16:25:36-0600'))&amp;_a=(columns:!('Message%20ID',Summary),filters:!(),index:'emp_*',interval:auto,query:(query_string:(analyze_wildcard:!t,query:'%22rtdc.l.rtdc.4032%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786</v>
      </c>
      <c r="B184" s="7">
        <v>4031</v>
      </c>
      <c r="C184" s="21" t="s">
        <v>194</v>
      </c>
      <c r="D184" s="21" t="s">
        <v>604</v>
      </c>
      <c r="E184" s="13">
        <v>43040.644189814811</v>
      </c>
      <c r="F184" s="13">
        <v>43040.654780092591</v>
      </c>
      <c r="G184" s="7">
        <v>64</v>
      </c>
      <c r="H184" s="21" t="s">
        <v>1047</v>
      </c>
      <c r="I184" s="13">
        <v>43040.664305555554</v>
      </c>
      <c r="J184" s="7">
        <v>0</v>
      </c>
      <c r="K184" s="89" t="str">
        <f t="shared" si="223"/>
        <v>4031/4032</v>
      </c>
      <c r="L184" s="185" t="str">
        <f>VLOOKUP(A184,'Trips&amp;Operators'!$C$1:$G$99911,5,FALSE)</f>
        <v>HAMMOND JUSTYNN</v>
      </c>
      <c r="M184" s="6">
        <f t="shared" si="224"/>
        <v>9.5254629632108845E-3</v>
      </c>
      <c r="N184" s="7">
        <f t="shared" si="270"/>
        <v>13.716666667023674</v>
      </c>
      <c r="O184" s="7"/>
      <c r="P184" s="7"/>
      <c r="Q184" s="22"/>
      <c r="R184" s="174"/>
      <c r="S184" s="221">
        <f t="shared" si="225"/>
        <v>1</v>
      </c>
      <c r="T184" s="174" t="str">
        <f t="shared" si="226"/>
        <v>Southbound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 t="shared" si="227"/>
        <v>https://d0f6bd738d7f1b3e5a7ca70fe4ff75f0.us-east-1.aws.found.io/app/kibana#/discover/Steve-Slow-Train-Analysis-(2080s-and-2083s)?_g=(refreshInterval:(display:Off,pause:!f,section:0,value:0),time:(from:'2017-11-01T14:27:38-0600',mode:absolute,to:'2017-11-01T16:56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4" s="204" t="str">
        <f>IF(AA184&lt;VLOOKUP(AG184,Variables!$AC$3:$AD$8,2,FALSE),"Y","N")</f>
        <v>N</v>
      </c>
      <c r="X184" s="204">
        <f t="shared" si="273"/>
        <v>1</v>
      </c>
      <c r="Y184" s="204">
        <f t="shared" si="271"/>
        <v>5.8630000000000004</v>
      </c>
      <c r="Z184" s="204">
        <f t="shared" si="272"/>
        <v>1.55E-2</v>
      </c>
      <c r="AA184" s="204">
        <f t="shared" si="228"/>
        <v>5.8475000000000001</v>
      </c>
      <c r="AB184" s="54" t="e">
        <f>VLOOKUP(A184,Enforcements!$C$7:$K$10,8,0)</f>
        <v>#N/A</v>
      </c>
      <c r="AC184" s="51" t="e">
        <f>VLOOKUP(A184,Enforcements!$C$7:$E$10,3,0)</f>
        <v>#N/A</v>
      </c>
      <c r="AD184" s="179">
        <f t="shared" si="229"/>
        <v>826</v>
      </c>
      <c r="AE184" s="77" t="str">
        <f t="shared" si="230"/>
        <v>aws s3 cp s3://rtdc.mdm.uploadarchive.raw/RTDC4031/ "%USERPROFILE%\AppData\Local\Temp\OnboardLogs"\RTDC4031\2017-11-01 --exclude "*" --recursive --include "*20171101*" &amp; "%USERPROFILE%\Documents\GitHub\mrs-test-scripts\Headless Mode &amp; Sideloading\WalkAndUnGZ.bat" "%USERPROFILE%\AppData\Local\Temp\OnboardLogs"\RTDC4031\2017-11-01 &amp; 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</v>
      </c>
      <c r="AF184" s="74" t="str">
        <f t="shared" si="231"/>
        <v>"C:\Program Files (x86)\AstroGrep\AstroGrep.exe" /e /r /s /spath="%USERPROFILE%\AppData\Local\Temp\OnboardLogs" /stypes="app*4031*20171101*" /stext=" 21:.+((SYSTEM_STATE.+slice.+state.+changed )|(ment ac)|(multiple cpu faults)|(system.+state.+changed )|(\[timeout)|(PRM\|1\|D)|(kpr)|(kdp)|(train st.+moving)|(\|lc)|(penalty))"</v>
      </c>
      <c r="AG184" s="182" t="str">
        <f t="shared" si="232"/>
        <v>NW</v>
      </c>
      <c r="AH184" s="78" t="str">
        <f t="shared" si="249"/>
        <v>"%USERPROFILE%\Documents\GitHub\eaglep3\Utilities\RefineRTDCRunTimes.py" --tripid 826-01 --locoid 4031 --swversion DE.1.0.9.0 --startMP 300:58630 --initTime 2017-11-01T15:27:38 --startdatetime 2017-11-01T15:42:53 --delay 64 --endMP 204:155 --enddatetime 2017-11-01T15:56:36 --enforcementcount 0 &gt;&gt;%USERPROFILE%\Documents\GitHub\eaglep3-reporting\EC\2017-11-01-refined-times.txt</v>
      </c>
      <c r="AI184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{"issue":{"subject":"","project_id":79,"tracker_id":40,"status_id":1,"priority_id":2,"assigned_to_id":338,"start_date":"2017-11-01","description":"","custom_fields":[{"id":1,"name":"Subdivision","value":"NW"},{"id":4,"name":"Milepost","value":"0.0155"},{"id":17,"name":"Train ID","value":"826-01"},{"id":16,"name":"Locomotive ID","value":"4031"},{"id":130,"name":"Impact","value":""},{"id":150,"name":"Time of Event (Mountain Time)","value":"15:56:36"},{"id":151,"name":"Denver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47"/>
      <c r="AL184" s="47"/>
      <c r="AM184" s="142" t="str">
        <f t="shared" si="251"/>
        <v>start /low /b %USERPROFILE%\Documents\GitHub\eaglep3\Utilities\DownloadLogsFromS3.py --loco 4031 --day 2017-11-01</v>
      </c>
      <c r="AN184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21:56:36"},{"id":29,"name":"Sharepoint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253"/>
        <v>https://d0f6bd738d7f1b3e5a7ca70fe4ff75f0.us-east-1.aws.found.io/app/kibana#/discover/Steve-Slow-Train-Analysis-(2080s-and-2083s)?_g=(refreshInterval:(display:Off,pause:!f,section:0,value:0),time:(from:'2017-11-01T14:27:38-0600',mode:absolute,to:'2017-11-01T16:56:36-0600'))&amp;_a=(columns:!('Message%20ID',Summary),filters:!(),index:'emp_*',interval:auto,query:(query_string:(analyze_wildcard:!t,query:'%22rtdc.l.rtdc.4031%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787</v>
      </c>
      <c r="B185" s="7">
        <v>4024</v>
      </c>
      <c r="C185" s="21" t="s">
        <v>194</v>
      </c>
      <c r="D185" s="21" t="s">
        <v>1048</v>
      </c>
      <c r="E185" s="13">
        <v>43040.649687500001</v>
      </c>
      <c r="F185" s="13">
        <v>43040.652662037035</v>
      </c>
      <c r="G185" s="7">
        <v>109</v>
      </c>
      <c r="H185" s="21" t="s">
        <v>424</v>
      </c>
      <c r="I185" s="13">
        <v>43040.663576388892</v>
      </c>
      <c r="J185" s="7">
        <v>0</v>
      </c>
      <c r="K185" s="89" t="str">
        <f t="shared" si="223"/>
        <v>4023/4024</v>
      </c>
      <c r="L185" s="185" t="str">
        <f>VLOOKUP(A185,'Trips&amp;Operators'!$C$1:$G$99911,5,FALSE)</f>
        <v>STAMBAUGH JAMES</v>
      </c>
      <c r="M185" s="6">
        <f t="shared" si="224"/>
        <v>1.0914351856627036E-2</v>
      </c>
      <c r="N185" s="7">
        <f t="shared" si="270"/>
        <v>15.716666673542932</v>
      </c>
      <c r="O185" s="7"/>
      <c r="P185" s="7"/>
      <c r="Q185" s="22"/>
      <c r="R185" s="174"/>
      <c r="S185" s="221">
        <f t="shared" si="225"/>
        <v>1</v>
      </c>
      <c r="T185" s="174" t="str">
        <f t="shared" si="226"/>
        <v>NorthBound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 t="shared" si="227"/>
        <v>https://d0f6bd738d7f1b3e5a7ca70fe4ff75f0.us-east-1.aws.found.io/app/kibana#/discover/Steve-Slow-Train-Analysis-(2080s-and-2083s)?_g=(refreshInterval:(display:Off,pause:!f,section:0,value:0),time:(from:'2017-11-01T14:35:33-0600',mode:absolute,to:'2017-11-01T16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5" s="204" t="str">
        <f>IF(AA185&lt;VLOOKUP(AG185,Variables!$AC$3:$AD$8,2,FALSE),"Y","N")</f>
        <v>N</v>
      </c>
      <c r="X185" s="204">
        <f t="shared" si="273"/>
        <v>1</v>
      </c>
      <c r="Y185" s="204">
        <f t="shared" si="271"/>
        <v>4.2999999999999997E-2</v>
      </c>
      <c r="Z185" s="204">
        <f t="shared" si="272"/>
        <v>5.8952</v>
      </c>
      <c r="AA185" s="204">
        <f t="shared" si="228"/>
        <v>5.8521999999999998</v>
      </c>
      <c r="AB185" s="54" t="e">
        <f>VLOOKUP(A185,Enforcements!$C$7:$K$10,8,0)</f>
        <v>#N/A</v>
      </c>
      <c r="AC185" s="51" t="e">
        <f>VLOOKUP(A185,Enforcements!$C$7:$E$10,3,0)</f>
        <v>#N/A</v>
      </c>
      <c r="AD185" s="179">
        <f t="shared" si="229"/>
        <v>827</v>
      </c>
      <c r="AE185" s="77" t="str">
        <f t="shared" si="230"/>
        <v>aws s3 cp s3://rtdc.mdm.uploadarchive.raw/RTDC4024/ "%USERPROFILE%\AppData\Local\Temp\OnboardLogs"\RTDC4024\2017-11-01 --exclude "*" --recursive --include "*20171101*" &amp; "%USERPROFILE%\Documents\GitHub\mrs-test-scripts\Headless Mode &amp; Sideloading\WalkAndUnGZ.bat" "%USERPROFILE%\AppData\Local\Temp\OnboardLogs"\RTDC4024\2017-11-01 &amp; aws s3 cp s3://rtdc.mdm.uploadarchive.raw/RTDC4024/ "%USERPROFILE%\AppData\Local\Temp\OnboardLogs"\RTDC4024\2017-11-02 --exclude "*" --recursive --include "*20171102*" &amp; "%USERPROFILE%\Documents\GitHub\mrs-test-scripts\Headless Mode &amp; Sideloading\WalkAndUnGZ.bat" "%USERPROFILE%\AppData\Local\Temp\OnboardLogs"\RTDC4024\2017-11-02</v>
      </c>
      <c r="AF185" s="74" t="str">
        <f t="shared" si="231"/>
        <v>"C:\Program Files (x86)\AstroGrep\AstroGrep.exe" /e /r /s /spath="%USERPROFILE%\AppData\Local\Temp\OnboardLogs" /stypes="app*4024*20171101*" /stext=" 21:.+((SYSTEM_STATE.+slice.+state.+changed )|(ment ac)|(multiple cpu faults)|(system.+state.+changed )|(\[timeout)|(PRM\|1\|D)|(kpr)|(kdp)|(train st.+moving)|(\|lc)|(penalty))"</v>
      </c>
      <c r="AG185" s="182" t="str">
        <f t="shared" si="232"/>
        <v>NW</v>
      </c>
      <c r="AH185" s="78" t="str">
        <f t="shared" si="249"/>
        <v>"%USERPROFILE%\Documents\GitHub\eaglep3\Utilities\RefineRTDCRunTimes.py" --tripid 827-01 --locoid 4024 --swversion DE.1.0.9.0 --startMP 204:430 --initTime 2017-11-01T15:35:33 --startdatetime 2017-11-01T15:39:50 --delay 109 --endMP 300:58952 --enddatetime 2017-11-01T15:55:33 --enforcementcount 0 &gt;&gt;%USERPROFILE%\Documents\GitHub\eaglep3-reporting\EC\2017-11-01-refined-times.txt</v>
      </c>
      <c r="AI185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{"issue":{"subject":"","project_id":79,"tracker_id":40,"status_id":1,"priority_id":2,"assigned_to_id":338,"start_date":"2017-11-01","description":"","custom_fields":[{"id":1,"name":"Subdivision","value":"NW"},{"id":4,"name":"Milepost","value":"5.8952"},{"id":17,"name":"Train ID","value":"827-01"},{"id":16,"name":"Locomotive ID","value":"4024"},{"id":130,"name":"Impact","value":""},{"id":150,"name":"Time of Event (Mountain Time)","value":"15:55:33"},{"id":151,"name":"Denver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47"/>
      <c r="AL185" s="47"/>
      <c r="AM185" s="142" t="str">
        <f t="shared" si="251"/>
        <v>start /low /b %USERPROFILE%\Documents\GitHub\eaglep3\Utilities\DownloadLogsFromS3.py --loco 4024 --day 2017-11-01</v>
      </c>
      <c r="AN185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21:55:33"},{"id":29,"name":"Sharepoint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253"/>
        <v>https://d0f6bd738d7f1b3e5a7ca70fe4ff75f0.us-east-1.aws.found.io/app/kibana#/discover/Steve-Slow-Train-Analysis-(2080s-and-2083s)?_g=(refreshInterval:(display:Off,pause:!f,section:0,value:0),time:(from:'2017-11-01T14:35:33-0600',mode:absolute,to:'2017-11-01T16:55:33-0600'))&amp;_a=(columns:!('Message%20ID',Summary),filters:!(),index:'emp_*',interval:auto,query:(query_string:(analyze_wildcard:!t,query:'%22rtdc.l.rtdc.4024%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792</v>
      </c>
      <c r="B186" s="7">
        <v>4023</v>
      </c>
      <c r="C186" s="21" t="s">
        <v>194</v>
      </c>
      <c r="D186" s="21" t="s">
        <v>605</v>
      </c>
      <c r="E186" s="13">
        <v>43040.664953703701</v>
      </c>
      <c r="F186" s="13">
        <v>43040.676053240742</v>
      </c>
      <c r="G186" s="7">
        <v>81</v>
      </c>
      <c r="H186" s="21" t="s">
        <v>877</v>
      </c>
      <c r="I186" s="13">
        <v>43040.683703703704</v>
      </c>
      <c r="J186" s="7">
        <v>0</v>
      </c>
      <c r="K186" s="89" t="str">
        <f t="shared" si="223"/>
        <v>4023/4024</v>
      </c>
      <c r="L186" s="185" t="str">
        <f>VLOOKUP(A186,'Trips&amp;Operators'!$C$1:$G$99911,5,FALSE)</f>
        <v>STAMBAUGH JAMES</v>
      </c>
      <c r="M186" s="6">
        <f t="shared" si="224"/>
        <v>7.6504629614646547E-3</v>
      </c>
      <c r="N186" s="7">
        <f t="shared" si="270"/>
        <v>11.016666664509103</v>
      </c>
      <c r="O186" s="7"/>
      <c r="P186" s="7"/>
      <c r="Q186" s="22"/>
      <c r="R186" s="174"/>
      <c r="S186" s="221">
        <f t="shared" si="225"/>
        <v>1</v>
      </c>
      <c r="T186" s="174" t="str">
        <f t="shared" si="226"/>
        <v>Southbound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 t="shared" si="227"/>
        <v>https://d0f6bd738d7f1b3e5a7ca70fe4ff75f0.us-east-1.aws.found.io/app/kibana#/discover/Steve-Slow-Train-Analysis-(2080s-and-2083s)?_g=(refreshInterval:(display:Off,pause:!f,section:0,value:0),time:(from:'2017-11-01T14:57:32-0600',mode:absolute,to:'2017-11-01T17:24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6" s="204" t="str">
        <f>IF(AA186&lt;VLOOKUP(AG186,Variables!$AC$3:$AD$8,2,FALSE),"Y","N")</f>
        <v>N</v>
      </c>
      <c r="X186" s="204">
        <f t="shared" si="273"/>
        <v>1</v>
      </c>
      <c r="Y186" s="204">
        <f t="shared" si="271"/>
        <v>5.8638000000000003</v>
      </c>
      <c r="Z186" s="204">
        <f t="shared" si="272"/>
        <v>1.38E-2</v>
      </c>
      <c r="AA186" s="204">
        <f t="shared" si="228"/>
        <v>5.8500000000000005</v>
      </c>
      <c r="AB186" s="54" t="e">
        <f>VLOOKUP(A186,Enforcements!$C$7:$K$10,8,0)</f>
        <v>#N/A</v>
      </c>
      <c r="AC186" s="51" t="e">
        <f>VLOOKUP(A186,Enforcements!$C$7:$E$10,3,0)</f>
        <v>#N/A</v>
      </c>
      <c r="AD186" s="179">
        <f t="shared" si="229"/>
        <v>828</v>
      </c>
      <c r="AE186" s="77" t="str">
        <f t="shared" si="230"/>
        <v>aws s3 cp s3://rtdc.mdm.uploadarchive.raw/RTDC4023/ "%USERPROFILE%\AppData\Local\Temp\OnboardLogs"\RTDC4023\2017-11-01 --exclude "*" --recursive --include "*20171101*" &amp; "%USERPROFILE%\Documents\GitHub\mrs-test-scripts\Headless Mode &amp; Sideloading\WalkAndUnGZ.bat" "%USERPROFILE%\AppData\Local\Temp\OnboardLogs"\RTDC4023\2017-11-01 &amp; aws s3 cp s3://rtdc.mdm.uploadarchive.raw/RTDC4023/ "%USERPROFILE%\AppData\Local\Temp\OnboardLogs"\RTDC4023\2017-11-02 --exclude "*" --recursive --include "*20171102*" &amp; "%USERPROFILE%\Documents\GitHub\mrs-test-scripts\Headless Mode &amp; Sideloading\WalkAndUnGZ.bat" "%USERPROFILE%\AppData\Local\Temp\OnboardLogs"\RTDC4023\2017-11-02</v>
      </c>
      <c r="AF186" s="74" t="str">
        <f t="shared" si="231"/>
        <v>"C:\Program Files (x86)\AstroGrep\AstroGrep.exe" /e /r /s /spath="%USERPROFILE%\AppData\Local\Temp\OnboardLogs" /stypes="app*4023*20171101*" /stext=" 22:.+((SYSTEM_STATE.+slice.+state.+changed )|(ment ac)|(multiple cpu faults)|(system.+state.+changed )|(\[timeout)|(PRM\|1\|D)|(kpr)|(kdp)|(train st.+moving)|(\|lc)|(penalty))"</v>
      </c>
      <c r="AG186" s="182" t="str">
        <f t="shared" si="232"/>
        <v>NW</v>
      </c>
      <c r="AH186" s="78" t="str">
        <f t="shared" si="249"/>
        <v>"%USERPROFILE%\Documents\GitHub\eaglep3\Utilities\RefineRTDCRunTimes.py" --tripid 828-01 --locoid 4023 --swversion DE.1.0.9.0 --startMP 300:58638 --initTime 2017-11-01T15:57:32 --startdatetime 2017-11-01T16:13:31 --delay 81 --endMP 204:138 --enddatetime 2017-11-01T16:24:32 --enforcementcount 0 &gt;&gt;%USERPROFILE%\Documents\GitHub\eaglep3-reporting\EC\2017-11-01-refined-times.txt</v>
      </c>
      <c r="AI186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{"issue":{"subject":"","project_id":79,"tracker_id":40,"status_id":1,"priority_id":2,"assigned_to_id":338,"start_date":"2017-11-01","description":"","custom_fields":[{"id":1,"name":"Subdivision","value":"NW"},{"id":4,"name":"Milepost","value":"0.0138"},{"id":17,"name":"Train ID","value":"828-01"},{"id":16,"name":"Locomotive ID","value":"4023"},{"id":130,"name":"Impact","value":""},{"id":150,"name":"Time of Event (Mountain Time)","value":"16:24:32"},{"id":151,"name":"Denver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47"/>
      <c r="AL186" s="47"/>
      <c r="AM186" s="142" t="str">
        <f t="shared" si="251"/>
        <v>start /low /b %USERPROFILE%\Documents\GitHub\eaglep3\Utilities\DownloadLogsFromS3.py --loco 4023 --day 2017-11-01</v>
      </c>
      <c r="AN186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22:24:32"},{"id":29,"name":"Sharepoint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253"/>
        <v>https://d0f6bd738d7f1b3e5a7ca70fe4ff75f0.us-east-1.aws.found.io/app/kibana#/discover/Steve-Slow-Train-Analysis-(2080s-and-2083s)?_g=(refreshInterval:(display:Off,pause:!f,section:0,value:0),time:(from:'2017-11-01T14:57:32-0600',mode:absolute,to:'2017-11-01T17:24:32-0600'))&amp;_a=(columns:!('Message%20ID',Summary),filters:!(),index:'emp_*',interval:auto,query:(query_string:(analyze_wildcard:!t,query:'%22rtdc.l.rtdc.4023%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793</v>
      </c>
      <c r="B187" s="7">
        <v>4032</v>
      </c>
      <c r="C187" s="21" t="s">
        <v>194</v>
      </c>
      <c r="D187" s="21" t="s">
        <v>394</v>
      </c>
      <c r="E187" s="13">
        <v>43040.669803240744</v>
      </c>
      <c r="F187" s="13">
        <v>43040.673125000001</v>
      </c>
      <c r="G187" s="7">
        <v>79</v>
      </c>
      <c r="H187" s="21" t="s">
        <v>1049</v>
      </c>
      <c r="I187" s="13">
        <v>43040.683854166666</v>
      </c>
      <c r="J187" s="7">
        <v>0</v>
      </c>
      <c r="K187" s="89" t="str">
        <f t="shared" si="223"/>
        <v>4031/4032</v>
      </c>
      <c r="L187" s="185" t="str">
        <f>VLOOKUP(A187,'Trips&amp;Operators'!$C$1:$G$99911,5,FALSE)</f>
        <v>HAMMOND JUSTYNN</v>
      </c>
      <c r="M187" s="6">
        <f t="shared" si="224"/>
        <v>1.0729166664532386E-2</v>
      </c>
      <c r="N187" s="7">
        <f t="shared" si="270"/>
        <v>15.449999996926636</v>
      </c>
      <c r="O187" s="7"/>
      <c r="P187" s="7"/>
      <c r="Q187" s="22"/>
      <c r="R187" s="174"/>
      <c r="S187" s="221">
        <f t="shared" si="225"/>
        <v>1</v>
      </c>
      <c r="T187" s="174" t="str">
        <f t="shared" si="226"/>
        <v>NorthBound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 t="shared" si="227"/>
        <v>https://d0f6bd738d7f1b3e5a7ca70fe4ff75f0.us-east-1.aws.found.io/app/kibana#/discover/Steve-Slow-Train-Analysis-(2080s-and-2083s)?_g=(refreshInterval:(display:Off,pause:!f,section:0,value:0),time:(from:'2017-11-01T15:04:31-0600',mode:absolute,to:'2017-11-01T17:24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7" s="204" t="str">
        <f>IF(AA187&lt;VLOOKUP(AG187,Variables!$AC$3:$AD$8,2,FALSE),"Y","N")</f>
        <v>N</v>
      </c>
      <c r="X187" s="204">
        <f t="shared" si="273"/>
        <v>1</v>
      </c>
      <c r="Y187" s="204">
        <f t="shared" si="271"/>
        <v>4.7699999999999999E-2</v>
      </c>
      <c r="Z187" s="204">
        <f t="shared" si="272"/>
        <v>5.8960999999999997</v>
      </c>
      <c r="AA187" s="204">
        <f t="shared" si="228"/>
        <v>5.8483999999999998</v>
      </c>
      <c r="AB187" s="54" t="e">
        <f>VLOOKUP(A187,Enforcements!$C$7:$K$10,8,0)</f>
        <v>#N/A</v>
      </c>
      <c r="AC187" s="51" t="e">
        <f>VLOOKUP(A187,Enforcements!$C$7:$E$10,3,0)</f>
        <v>#N/A</v>
      </c>
      <c r="AD187" s="179">
        <f t="shared" si="229"/>
        <v>829</v>
      </c>
      <c r="AE187" s="77" t="str">
        <f t="shared" si="230"/>
        <v>aws s3 cp s3://rtdc.mdm.uploadarchive.raw/RTDC4032/ "%USERPROFILE%\AppData\Local\Temp\OnboardLogs"\RTDC4032\2017-11-01 --exclude "*" --recursive --include "*20171101*" &amp; "%USERPROFILE%\Documents\GitHub\mrs-test-scripts\Headless Mode &amp; Sideloading\WalkAndUnGZ.bat" "%USERPROFILE%\AppData\Local\Temp\OnboardLogs"\RTDC4032\2017-11-01 &amp; aws s3 cp s3://rtdc.mdm.uploadarchive.raw/RTDC4032/ "%USERPROFILE%\AppData\Local\Temp\OnboardLogs"\RTDC4032\2017-11-02 --exclude "*" --recursive --include "*20171102*" &amp; "%USERPROFILE%\Documents\GitHub\mrs-test-scripts\Headless Mode &amp; Sideloading\WalkAndUnGZ.bat" "%USERPROFILE%\AppData\Local\Temp\OnboardLogs"\RTDC4032\2017-11-02</v>
      </c>
      <c r="AF187" s="74" t="str">
        <f t="shared" si="231"/>
        <v>"C:\Program Files (x86)\AstroGrep\AstroGrep.exe" /e /r /s /spath="%USERPROFILE%\AppData\Local\Temp\OnboardLogs" /stypes="app*4032*20171101*" /stext=" 22:.+((SYSTEM_STATE.+slice.+state.+changed )|(ment ac)|(multiple cpu faults)|(system.+state.+changed )|(\[timeout)|(PRM\|1\|D)|(kpr)|(kdp)|(train st.+moving)|(\|lc)|(penalty))"</v>
      </c>
      <c r="AG187" s="182" t="str">
        <f t="shared" si="232"/>
        <v>NW</v>
      </c>
      <c r="AH187" s="78" t="str">
        <f t="shared" si="249"/>
        <v>"%USERPROFILE%\Documents\GitHub\eaglep3\Utilities\RefineRTDCRunTimes.py" --tripid 829-01 --locoid 4032 --swversion DE.1.0.9.0 --startMP 204:477 --initTime 2017-11-01T16:04:31 --startdatetime 2017-11-01T16:09:18 --delay 79 --endMP 300:58961 --enddatetime 2017-11-01T16:24:45 --enforcementcount 0 &gt;&gt;%USERPROFILE%\Documents\GitHub\eaglep3-reporting\EC\2017-11-01-refined-times.txt</v>
      </c>
      <c r="AI187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{"issue":{"subject":"","project_id":79,"tracker_id":40,"status_id":1,"priority_id":2,"assigned_to_id":338,"start_date":"2017-11-01","description":"","custom_fields":[{"id":1,"name":"Subdivision","value":"NW"},{"id":4,"name":"Milepost","value":"5.8961"},{"id":17,"name":"Train ID","value":"829-01"},{"id":16,"name":"Locomotive ID","value":"4032"},{"id":130,"name":"Impact","value":""},{"id":150,"name":"Time of Event (Mountain Time)","value":"16:24:45"},{"id":151,"name":"Denver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47"/>
      <c r="AL187" s="47"/>
      <c r="AM187" s="142" t="str">
        <f t="shared" si="251"/>
        <v>start /low /b %USERPROFILE%\Documents\GitHub\eaglep3\Utilities\DownloadLogsFromS3.py --loco 4032 --day 2017-11-01</v>
      </c>
      <c r="AN187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22:24:45"},{"id":29,"name":"Sharepoint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253"/>
        <v>https://d0f6bd738d7f1b3e5a7ca70fe4ff75f0.us-east-1.aws.found.io/app/kibana#/discover/Steve-Slow-Train-Analysis-(2080s-and-2083s)?_g=(refreshInterval:(display:Off,pause:!f,section:0,value:0),time:(from:'2017-11-01T15:04:31-0600',mode:absolute,to:'2017-11-01T17:24:45-0600'))&amp;_a=(columns:!('Message%20ID',Summary),filters:!(),index:'emp_*',interval:auto,query:(query_string:(analyze_wildcard:!t,query:'%22rtdc.l.rtdc.4032%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797</v>
      </c>
      <c r="B188" s="7">
        <v>4031</v>
      </c>
      <c r="C188" s="21" t="s">
        <v>194</v>
      </c>
      <c r="D188" s="21" t="s">
        <v>1050</v>
      </c>
      <c r="E188" s="13">
        <v>43040.685034722221</v>
      </c>
      <c r="F188" s="13">
        <v>43040.696597222224</v>
      </c>
      <c r="G188" s="7">
        <v>77</v>
      </c>
      <c r="H188" s="21" t="s">
        <v>437</v>
      </c>
      <c r="I188" s="13">
        <v>43040.705555555556</v>
      </c>
      <c r="J188" s="7">
        <v>0</v>
      </c>
      <c r="K188" s="89" t="str">
        <f t="shared" si="223"/>
        <v>4031/4032</v>
      </c>
      <c r="L188" s="185" t="str">
        <f>VLOOKUP(A188,'Trips&amp;Operators'!$C$1:$G$99911,5,FALSE)</f>
        <v>HAMMOND JUSTYNN</v>
      </c>
      <c r="M188" s="6">
        <f t="shared" si="224"/>
        <v>8.9583333319751546E-3</v>
      </c>
      <c r="N188" s="7">
        <f t="shared" si="270"/>
        <v>12.899999998044223</v>
      </c>
      <c r="O188" s="7"/>
      <c r="P188" s="7"/>
      <c r="Q188" s="22"/>
      <c r="R188" s="174"/>
      <c r="S188" s="221">
        <f t="shared" si="225"/>
        <v>1</v>
      </c>
      <c r="T188" s="174" t="str">
        <f t="shared" si="226"/>
        <v>Southbound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 t="shared" si="227"/>
        <v>https://d0f6bd738d7f1b3e5a7ca70fe4ff75f0.us-east-1.aws.found.io/app/kibana#/discover/Steve-Slow-Train-Analysis-(2080s-and-2083s)?_g=(refreshInterval:(display:Off,pause:!f,section:0,value:0),time:(from:'2017-11-01T15:26:27-0600',mode:absolute,to:'2017-11-01T17:56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8" s="204" t="str">
        <f>IF(AA188&lt;VLOOKUP(AG188,Variables!$AC$3:$AD$8,2,FALSE),"Y","N")</f>
        <v>N</v>
      </c>
      <c r="X188" s="204">
        <f t="shared" si="273"/>
        <v>1</v>
      </c>
      <c r="Y188" s="204">
        <f t="shared" si="271"/>
        <v>5.8643000000000001</v>
      </c>
      <c r="Z188" s="204">
        <f t="shared" si="272"/>
        <v>1.6899999999999998E-2</v>
      </c>
      <c r="AA188" s="204">
        <f t="shared" si="228"/>
        <v>5.8474000000000004</v>
      </c>
      <c r="AB188" s="54" t="e">
        <f>VLOOKUP(A188,Enforcements!$C$7:$K$10,8,0)</f>
        <v>#N/A</v>
      </c>
      <c r="AC188" s="51" t="e">
        <f>VLOOKUP(A188,Enforcements!$C$7:$E$10,3,0)</f>
        <v>#N/A</v>
      </c>
      <c r="AD188" s="179">
        <f t="shared" si="229"/>
        <v>830</v>
      </c>
      <c r="AE188" s="77" t="str">
        <f t="shared" si="230"/>
        <v>aws s3 cp s3://rtdc.mdm.uploadarchive.raw/RTDC4031/ "%USERPROFILE%\AppData\Local\Temp\OnboardLogs"\RTDC4031\2017-11-01 --exclude "*" --recursive --include "*20171101*" &amp; "%USERPROFILE%\Documents\GitHub\mrs-test-scripts\Headless Mode &amp; Sideloading\WalkAndUnGZ.bat" "%USERPROFILE%\AppData\Local\Temp\OnboardLogs"\RTDC4031\2017-11-01 &amp; 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</v>
      </c>
      <c r="AF188" s="74" t="str">
        <f t="shared" si="231"/>
        <v>"C:\Program Files (x86)\AstroGrep\AstroGrep.exe" /e /r /s /spath="%USERPROFILE%\AppData\Local\Temp\OnboardLogs" /stypes="app*4031*20171101*" /stext=" 22:.+((SYSTEM_STATE.+slice.+state.+changed )|(ment ac)|(multiple cpu faults)|(system.+state.+changed )|(\[timeout)|(PRM\|1\|D)|(kpr)|(kdp)|(train st.+moving)|(\|lc)|(penalty))"</v>
      </c>
      <c r="AG188" s="182" t="str">
        <f t="shared" si="232"/>
        <v>NW</v>
      </c>
      <c r="AH188" s="78" t="str">
        <f t="shared" si="249"/>
        <v>"%USERPROFILE%\Documents\GitHub\eaglep3\Utilities\RefineRTDCRunTimes.py" --tripid 830-01 --locoid 4031 --swversion DE.1.0.9.0 --startMP 300:58643 --initTime 2017-11-01T16:26:27 --startdatetime 2017-11-01T16:43:06 --delay 77 --endMP 204:169 --enddatetime 2017-11-01T16:56:00 --enforcementcount 0 &gt;&gt;%USERPROFILE%\Documents\GitHub\eaglep3-reporting\EC\2017-11-01-refined-times.txt</v>
      </c>
      <c r="AI188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{"issue":{"subject":"","project_id":79,"tracker_id":40,"status_id":1,"priority_id":2,"assigned_to_id":338,"start_date":"2017-11-01","description":"","custom_fields":[{"id":1,"name":"Subdivision","value":"NW"},{"id":4,"name":"Milepost","value":"0.0169"},{"id":17,"name":"Train ID","value":"830-01"},{"id":16,"name":"Locomotive ID","value":"4031"},{"id":130,"name":"Impact","value":""},{"id":150,"name":"Time of Event (Mountain Time)","value":"16:56:00"},{"id":151,"name":"Denver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47"/>
      <c r="AL188" s="47"/>
      <c r="AM188" s="142" t="str">
        <f t="shared" si="251"/>
        <v>start /low /b %USERPROFILE%\Documents\GitHub\eaglep3\Utilities\DownloadLogsFromS3.py --loco 4031 --day 2017-11-01</v>
      </c>
      <c r="AN188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22:56:00"},{"id":29,"name":"Sharepoint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si="253"/>
        <v>https://d0f6bd738d7f1b3e5a7ca70fe4ff75f0.us-east-1.aws.found.io/app/kibana#/discover/Steve-Slow-Train-Analysis-(2080s-and-2083s)?_g=(refreshInterval:(display:Off,pause:!f,section:0,value:0),time:(from:'2017-11-01T15:26:27-0600',mode:absolute,to:'2017-11-01T17:56:00-0600'))&amp;_a=(columns:!('Message%20ID',Summary),filters:!(),index:'emp_*',interval:auto,query:(query_string:(analyze_wildcard:!t,query:'%22rtdc.l.rtdc.4031%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32" t="s">
        <v>798</v>
      </c>
      <c r="B189" s="7">
        <v>4024</v>
      </c>
      <c r="C189" s="21" t="s">
        <v>194</v>
      </c>
      <c r="D189" s="21" t="s">
        <v>1051</v>
      </c>
      <c r="E189" s="13">
        <v>43040.68849537037</v>
      </c>
      <c r="F189" s="13">
        <v>43040.693935185183</v>
      </c>
      <c r="G189" s="7">
        <v>182</v>
      </c>
      <c r="H189" s="21" t="s">
        <v>1052</v>
      </c>
      <c r="I189" s="13">
        <v>43040.704398148147</v>
      </c>
      <c r="J189" s="7">
        <v>0</v>
      </c>
      <c r="K189" s="89" t="str">
        <f t="shared" si="223"/>
        <v>4023/4024</v>
      </c>
      <c r="L189" s="185" t="str">
        <f>VLOOKUP(A189,'Trips&amp;Operators'!$C$1:$G$99911,5,FALSE)</f>
        <v>ZEWDU DEREJE</v>
      </c>
      <c r="M189" s="6">
        <f t="shared" si="224"/>
        <v>1.0462962964083999E-2</v>
      </c>
      <c r="N189" s="7">
        <f t="shared" si="270"/>
        <v>15.066666668280959</v>
      </c>
      <c r="O189" s="7"/>
      <c r="P189" s="7"/>
      <c r="Q189" s="22"/>
      <c r="R189" s="174"/>
      <c r="S189" s="221">
        <f t="shared" si="225"/>
        <v>1</v>
      </c>
      <c r="T189" s="174" t="str">
        <f t="shared" si="226"/>
        <v>NorthBound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 t="shared" si="227"/>
        <v>https://d0f6bd738d7f1b3e5a7ca70fe4ff75f0.us-east-1.aws.found.io/app/kibana#/discover/Steve-Slow-Train-Analysis-(2080s-and-2083s)?_g=(refreshInterval:(display:Off,pause:!f,section:0,value:0),time:(from:'2017-11-01T15:31:26-0600',mode:absolute,to:'2017-11-01T17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9" s="204" t="str">
        <f>IF(AA189&lt;VLOOKUP(AG189,Variables!$AC$3:$AD$8,2,FALSE),"Y","N")</f>
        <v>N</v>
      </c>
      <c r="X189" s="204">
        <f t="shared" si="273"/>
        <v>1</v>
      </c>
      <c r="Y189" s="204">
        <f t="shared" si="271"/>
        <v>4.2099999999999999E-2</v>
      </c>
      <c r="Z189" s="204">
        <f t="shared" si="272"/>
        <v>5.8914</v>
      </c>
      <c r="AA189" s="204">
        <f t="shared" si="228"/>
        <v>5.8493000000000004</v>
      </c>
      <c r="AB189" s="54" t="e">
        <f>VLOOKUP(A189,Enforcements!$C$7:$K$10,8,0)</f>
        <v>#N/A</v>
      </c>
      <c r="AC189" s="51" t="e">
        <f>VLOOKUP(A189,Enforcements!$C$7:$E$10,3,0)</f>
        <v>#N/A</v>
      </c>
      <c r="AD189" s="179">
        <f t="shared" si="229"/>
        <v>831</v>
      </c>
      <c r="AE189" s="77" t="str">
        <f t="shared" si="230"/>
        <v>aws s3 cp s3://rtdc.mdm.uploadarchive.raw/RTDC4024/ "%USERPROFILE%\AppData\Local\Temp\OnboardLogs"\RTDC4024\2017-11-01 --exclude "*" --recursive --include "*20171101*" &amp; "%USERPROFILE%\Documents\GitHub\mrs-test-scripts\Headless Mode &amp; Sideloading\WalkAndUnGZ.bat" "%USERPROFILE%\AppData\Local\Temp\OnboardLogs"\RTDC4024\2017-11-01 &amp; aws s3 cp s3://rtdc.mdm.uploadarchive.raw/RTDC4024/ "%USERPROFILE%\AppData\Local\Temp\OnboardLogs"\RTDC4024\2017-11-02 --exclude "*" --recursive --include "*20171102*" &amp; "%USERPROFILE%\Documents\GitHub\mrs-test-scripts\Headless Mode &amp; Sideloading\WalkAndUnGZ.bat" "%USERPROFILE%\AppData\Local\Temp\OnboardLogs"\RTDC4024\2017-11-02</v>
      </c>
      <c r="AF189" s="74" t="str">
        <f t="shared" si="231"/>
        <v>"C:\Program Files (x86)\AstroGrep\AstroGrep.exe" /e /r /s /spath="%USERPROFILE%\AppData\Local\Temp\OnboardLogs" /stypes="app*4024*20171101*" /stext=" 22:.+((SYSTEM_STATE.+slice.+state.+changed )|(ment ac)|(multiple cpu faults)|(system.+state.+changed )|(\[timeout)|(PRM\|1\|D)|(kpr)|(kdp)|(train st.+moving)|(\|lc)|(penalty))"</v>
      </c>
      <c r="AG189" s="182" t="str">
        <f t="shared" si="232"/>
        <v>NW</v>
      </c>
      <c r="AH189" s="78" t="str">
        <f t="shared" si="249"/>
        <v>"%USERPROFILE%\Documents\GitHub\eaglep3\Utilities\RefineRTDCRunTimes.py" --tripid 831-01 --locoid 4024 --swversion DE.1.0.9.0 --startMP 204:421 --initTime 2017-11-01T16:31:26 --startdatetime 2017-11-01T16:39:16 --delay 182 --endMP 300:58914 --enddatetime 2017-11-01T16:54:20 --enforcementcount 0 &gt;&gt;%USERPROFILE%\Documents\GitHub\eaglep3-reporting\EC\2017-11-01-refined-times.txt</v>
      </c>
      <c r="AI189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{"issue":{"subject":"","project_id":79,"tracker_id":40,"status_id":1,"priority_id":2,"assigned_to_id":338,"start_date":"2017-11-01","description":"","custom_fields":[{"id":1,"name":"Subdivision","value":"NW"},{"id":4,"name":"Milepost","value":"5.8914"},{"id":17,"name":"Train ID","value":"831-01"},{"id":16,"name":"Locomotive ID","value":"4024"},{"id":130,"name":"Impact","value":""},{"id":150,"name":"Time of Event (Mountain Time)","value":"16:54:20"},{"id":151,"name":"Denver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47"/>
      <c r="AL189" s="47"/>
      <c r="AM189" s="142" t="str">
        <f t="shared" si="251"/>
        <v>start /low /b %USERPROFILE%\Documents\GitHub\eaglep3\Utilities\DownloadLogsFromS3.py --loco 4024 --day 2017-11-01</v>
      </c>
      <c r="AN189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22:54:20"},{"id":29,"name":"Sharepoint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253"/>
        <v>https://d0f6bd738d7f1b3e5a7ca70fe4ff75f0.us-east-1.aws.found.io/app/kibana#/discover/Steve-Slow-Train-Analysis-(2080s-and-2083s)?_g=(refreshInterval:(display:Off,pause:!f,section:0,value:0),time:(from:'2017-11-01T15:31:26-0600',mode:absolute,to:'2017-11-01T17:54:20-0600'))&amp;_a=(columns:!('Message%20ID',Summary),filters:!(),index:'emp_*',interval:auto,query:(query_string:(analyze_wildcard:!t,query:'%22rtdc.l.rtdc.4024%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32" t="s">
        <v>807</v>
      </c>
      <c r="B190" s="7">
        <v>4023</v>
      </c>
      <c r="C190" s="21" t="s">
        <v>194</v>
      </c>
      <c r="D190" s="21" t="s">
        <v>1053</v>
      </c>
      <c r="E190" s="13">
        <v>43040.705578703702</v>
      </c>
      <c r="F190" s="13">
        <v>43040.717488425929</v>
      </c>
      <c r="G190" s="7">
        <v>75</v>
      </c>
      <c r="H190" s="21" t="s">
        <v>1054</v>
      </c>
      <c r="I190" s="13">
        <v>43040.726331018515</v>
      </c>
      <c r="J190" s="7">
        <v>0</v>
      </c>
      <c r="K190" s="89" t="str">
        <f t="shared" si="223"/>
        <v>4023/4024</v>
      </c>
      <c r="L190" s="185" t="str">
        <f>VLOOKUP(A190,'Trips&amp;Operators'!$C$1:$G$99911,5,FALSE)</f>
        <v>ZEWDU DEREJE</v>
      </c>
      <c r="M190" s="6">
        <f t="shared" si="224"/>
        <v>8.8425925860065036E-3</v>
      </c>
      <c r="N190" s="7">
        <f t="shared" si="270"/>
        <v>12.733333323849365</v>
      </c>
      <c r="O190" s="7"/>
      <c r="P190" s="7"/>
      <c r="Q190" s="22"/>
      <c r="R190" s="174"/>
      <c r="S190" s="221">
        <f t="shared" si="225"/>
        <v>1</v>
      </c>
      <c r="T190" s="174" t="str">
        <f t="shared" si="226"/>
        <v>Southbound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 t="shared" si="227"/>
        <v>https://d0f6bd738d7f1b3e5a7ca70fe4ff75f0.us-east-1.aws.found.io/app/kibana#/discover/Steve-Slow-Train-Analysis-(2080s-and-2083s)?_g=(refreshInterval:(display:Off,pause:!f,section:0,value:0),time:(from:'2017-11-01T15:56:02-0600',mode:absolute,to:'2017-11-01T18:25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0" s="204" t="str">
        <f>IF(AA190&lt;VLOOKUP(AG190,Variables!$AC$3:$AD$8,2,FALSE),"Y","N")</f>
        <v>N</v>
      </c>
      <c r="X190" s="204">
        <f t="shared" si="273"/>
        <v>1</v>
      </c>
      <c r="Y190" s="204">
        <f t="shared" si="271"/>
        <v>5.8593999999999999</v>
      </c>
      <c r="Z190" s="204">
        <f t="shared" si="272"/>
        <v>1.15E-2</v>
      </c>
      <c r="AA190" s="204">
        <f t="shared" si="228"/>
        <v>5.8479000000000001</v>
      </c>
      <c r="AB190" s="54" t="e">
        <f>VLOOKUP(A190,Enforcements!$C$7:$K$10,8,0)</f>
        <v>#N/A</v>
      </c>
      <c r="AC190" s="51" t="e">
        <f>VLOOKUP(A190,Enforcements!$C$7:$E$10,3,0)</f>
        <v>#N/A</v>
      </c>
      <c r="AD190" s="179">
        <f t="shared" si="229"/>
        <v>832</v>
      </c>
      <c r="AE190" s="77" t="str">
        <f t="shared" si="230"/>
        <v>aws s3 cp s3://rtdc.mdm.uploadarchive.raw/RTDC4023/ "%USERPROFILE%\AppData\Local\Temp\OnboardLogs"\RTDC4023\2017-11-01 --exclude "*" --recursive --include "*20171101*" &amp; "%USERPROFILE%\Documents\GitHub\mrs-test-scripts\Headless Mode &amp; Sideloading\WalkAndUnGZ.bat" "%USERPROFILE%\AppData\Local\Temp\OnboardLogs"\RTDC4023\2017-11-01 &amp; aws s3 cp s3://rtdc.mdm.uploadarchive.raw/RTDC4023/ "%USERPROFILE%\AppData\Local\Temp\OnboardLogs"\RTDC4023\2017-11-02 --exclude "*" --recursive --include "*20171102*" &amp; "%USERPROFILE%\Documents\GitHub\mrs-test-scripts\Headless Mode &amp; Sideloading\WalkAndUnGZ.bat" "%USERPROFILE%\AppData\Local\Temp\OnboardLogs"\RTDC4023\2017-11-02</v>
      </c>
      <c r="AF190" s="74" t="str">
        <f t="shared" si="231"/>
        <v>"C:\Program Files (x86)\AstroGrep\AstroGrep.exe" /e /r /s /spath="%USERPROFILE%\AppData\Local\Temp\OnboardLogs" /stypes="app*4023*20171101*" /stext=" 23:.+((SYSTEM_STATE.+slice.+state.+changed )|(ment ac)|(multiple cpu faults)|(system.+state.+changed )|(\[timeout)|(PRM\|1\|D)|(kpr)|(kdp)|(train st.+moving)|(\|lc)|(penalty))"</v>
      </c>
      <c r="AG190" s="182" t="str">
        <f t="shared" si="232"/>
        <v>NW</v>
      </c>
      <c r="AH190" s="78" t="str">
        <f t="shared" si="249"/>
        <v>"%USERPROFILE%\Documents\GitHub\eaglep3\Utilities\RefineRTDCRunTimes.py" --tripid 832-01 --locoid 4023 --swversion DE.1.0.9.0 --startMP 300:58594 --initTime 2017-11-01T16:56:02 --startdatetime 2017-11-01T17:13:11 --delay 75 --endMP 204:115 --enddatetime 2017-11-01T17:25:55 --enforcementcount 0 &gt;&gt;%USERPROFILE%\Documents\GitHub\eaglep3-reporting\EC\2017-11-01-refined-times.txt</v>
      </c>
      <c r="AI190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{"issue":{"subject":"","project_id":79,"tracker_id":40,"status_id":1,"priority_id":2,"assigned_to_id":338,"start_date":"2017-11-01","description":"","custom_fields":[{"id":1,"name":"Subdivision","value":"NW"},{"id":4,"name":"Milepost","value":"0.0115"},{"id":17,"name":"Train ID","value":"832-01"},{"id":16,"name":"Locomotive ID","value":"4023"},{"id":130,"name":"Impact","value":""},{"id":150,"name":"Time of Event (Mountain Time)","value":"17:25:55"},{"id":151,"name":"Denver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47"/>
      <c r="AL190" s="47"/>
      <c r="AM190" s="142" t="str">
        <f t="shared" si="251"/>
        <v>start /low /b %USERPROFILE%\Documents\GitHub\eaglep3\Utilities\DownloadLogsFromS3.py --loco 4023 --day 2017-11-01</v>
      </c>
      <c r="AN190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23:25:55"},{"id":29,"name":"Sharepoint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253"/>
        <v>https://d0f6bd738d7f1b3e5a7ca70fe4ff75f0.us-east-1.aws.found.io/app/kibana#/discover/Steve-Slow-Train-Analysis-(2080s-and-2083s)?_g=(refreshInterval:(display:Off,pause:!f,section:0,value:0),time:(from:'2017-11-01T15:56:02-0600',mode:absolute,to:'2017-11-01T18:25:55-0600'))&amp;_a=(columns:!('Message%20ID',Summary),filters:!(),index:'emp_*',interval:auto,query:(query_string:(analyze_wildcard:!t,query:'%22rtdc.l.rtdc.4023%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32" t="s">
        <v>808</v>
      </c>
      <c r="B191" s="7">
        <v>4032</v>
      </c>
      <c r="C191" s="21" t="s">
        <v>194</v>
      </c>
      <c r="D191" s="21" t="s">
        <v>434</v>
      </c>
      <c r="E191" s="13">
        <v>43040.710486111115</v>
      </c>
      <c r="F191" s="13">
        <v>43040.714884259258</v>
      </c>
      <c r="G191" s="7">
        <v>68</v>
      </c>
      <c r="H191" s="21" t="s">
        <v>457</v>
      </c>
      <c r="I191" s="13">
        <v>43040.725775462961</v>
      </c>
      <c r="J191" s="7">
        <v>0</v>
      </c>
      <c r="K191" s="89" t="str">
        <f t="shared" si="223"/>
        <v>4031/4032</v>
      </c>
      <c r="L191" s="185" t="str">
        <f>VLOOKUP(A191,'Trips&amp;Operators'!$C$1:$G$99911,5,FALSE)</f>
        <v>HAMMOND JUSTYNN</v>
      </c>
      <c r="M191" s="6">
        <f t="shared" si="224"/>
        <v>1.0891203703067731E-2</v>
      </c>
      <c r="N191" s="7">
        <f t="shared" si="270"/>
        <v>15.683333332417533</v>
      </c>
      <c r="O191" s="7"/>
      <c r="P191" s="7"/>
      <c r="Q191" s="22"/>
      <c r="R191" s="174"/>
      <c r="S191" s="221">
        <f t="shared" si="225"/>
        <v>1</v>
      </c>
      <c r="T191" s="174" t="str">
        <f t="shared" si="226"/>
        <v>NorthBound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 t="shared" si="227"/>
        <v>https://d0f6bd738d7f1b3e5a7ca70fe4ff75f0.us-east-1.aws.found.io/app/kibana#/discover/Steve-Slow-Train-Analysis-(2080s-and-2083s)?_g=(refreshInterval:(display:Off,pause:!f,section:0,value:0),time:(from:'2017-11-01T16:03:06-0600',mode:absolute,to:'2017-11-01T18:25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1" s="204" t="str">
        <f>IF(AA191&lt;VLOOKUP(AG191,Variables!$AC$3:$AD$8,2,FALSE),"Y","N")</f>
        <v>N</v>
      </c>
      <c r="X191" s="204">
        <f t="shared" si="273"/>
        <v>1</v>
      </c>
      <c r="Y191" s="204">
        <f t="shared" si="271"/>
        <v>4.6399999999999997E-2</v>
      </c>
      <c r="Z191" s="204">
        <f t="shared" si="272"/>
        <v>5.8954000000000004</v>
      </c>
      <c r="AA191" s="204">
        <f t="shared" si="228"/>
        <v>5.8490000000000002</v>
      </c>
      <c r="AB191" s="54" t="e">
        <f>VLOOKUP(A191,Enforcements!$C$7:$K$10,8,0)</f>
        <v>#N/A</v>
      </c>
      <c r="AC191" s="51" t="e">
        <f>VLOOKUP(A191,Enforcements!$C$7:$E$10,3,0)</f>
        <v>#N/A</v>
      </c>
      <c r="AD191" s="179">
        <f t="shared" si="229"/>
        <v>833</v>
      </c>
      <c r="AE191" s="77" t="str">
        <f t="shared" si="230"/>
        <v>aws s3 cp s3://rtdc.mdm.uploadarchive.raw/RTDC4032/ "%USERPROFILE%\AppData\Local\Temp\OnboardLogs"\RTDC4032\2017-11-01 --exclude "*" --recursive --include "*20171101*" &amp; "%USERPROFILE%\Documents\GitHub\mrs-test-scripts\Headless Mode &amp; Sideloading\WalkAndUnGZ.bat" "%USERPROFILE%\AppData\Local\Temp\OnboardLogs"\RTDC4032\2017-11-01 &amp; aws s3 cp s3://rtdc.mdm.uploadarchive.raw/RTDC4032/ "%USERPROFILE%\AppData\Local\Temp\OnboardLogs"\RTDC4032\2017-11-02 --exclude "*" --recursive --include "*20171102*" &amp; "%USERPROFILE%\Documents\GitHub\mrs-test-scripts\Headless Mode &amp; Sideloading\WalkAndUnGZ.bat" "%USERPROFILE%\AppData\Local\Temp\OnboardLogs"\RTDC4032\2017-11-02</v>
      </c>
      <c r="AF191" s="74" t="str">
        <f t="shared" si="231"/>
        <v>"C:\Program Files (x86)\AstroGrep\AstroGrep.exe" /e /r /s /spath="%USERPROFILE%\AppData\Local\Temp\OnboardLogs" /stypes="app*4032*20171101*" /stext=" 23:.+((SYSTEM_STATE.+slice.+state.+changed )|(ment ac)|(multiple cpu faults)|(system.+state.+changed )|(\[timeout)|(PRM\|1\|D)|(kpr)|(kdp)|(train st.+moving)|(\|lc)|(penalty))"</v>
      </c>
      <c r="AG191" s="182" t="str">
        <f t="shared" si="232"/>
        <v>NW</v>
      </c>
      <c r="AH191" s="78" t="str">
        <f t="shared" si="249"/>
        <v>"%USERPROFILE%\Documents\GitHub\eaglep3\Utilities\RefineRTDCRunTimes.py" --tripid 833-01 --locoid 4032 --swversion DE.1.0.9.0 --startMP 204:464 --initTime 2017-11-01T17:03:06 --startdatetime 2017-11-01T17:09:26 --delay 68 --endMP 300:58954 --enddatetime 2017-11-01T17:25:07 --enforcementcount 0 &gt;&gt;%USERPROFILE%\Documents\GitHub\eaglep3-reporting\EC\2017-11-01-refined-times.txt</v>
      </c>
      <c r="AI191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{"issue":{"subject":"","project_id":79,"tracker_id":40,"status_id":1,"priority_id":2,"assigned_to_id":338,"start_date":"2017-11-01","description":"","custom_fields":[{"id":1,"name":"Subdivision","value":"NW"},{"id":4,"name":"Milepost","value":"5.8954"},{"id":17,"name":"Train ID","value":"833-01"},{"id":16,"name":"Locomotive ID","value":"4032"},{"id":130,"name":"Impact","value":""},{"id":150,"name":"Time of Event (Mountain Time)","value":"17:25:07"},{"id":151,"name":"Denver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47"/>
      <c r="AL191" s="47"/>
      <c r="AM191" s="142" t="str">
        <f t="shared" si="251"/>
        <v>start /low /b %USERPROFILE%\Documents\GitHub\eaglep3\Utilities\DownloadLogsFromS3.py --loco 4032 --day 2017-11-01</v>
      </c>
      <c r="AN191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23:25:07"},{"id":29,"name":"Sharepoint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253"/>
        <v>https://d0f6bd738d7f1b3e5a7ca70fe4ff75f0.us-east-1.aws.found.io/app/kibana#/discover/Steve-Slow-Train-Analysis-(2080s-and-2083s)?_g=(refreshInterval:(display:Off,pause:!f,section:0,value:0),time:(from:'2017-11-01T16:03:06-0600',mode:absolute,to:'2017-11-01T18:25:07-0600'))&amp;_a=(columns:!('Message%20ID',Summary),filters:!(),index:'emp_*',interval:auto,query:(query_string:(analyze_wildcard:!t,query:'%22rtdc.l.rtdc.4032%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32" t="s">
        <v>813</v>
      </c>
      <c r="B192" s="7">
        <v>4031</v>
      </c>
      <c r="C192" s="21" t="s">
        <v>194</v>
      </c>
      <c r="D192" s="21" t="s">
        <v>605</v>
      </c>
      <c r="E192" s="13">
        <v>43040.726921296293</v>
      </c>
      <c r="F192" s="13">
        <v>43040.738229166665</v>
      </c>
      <c r="G192" s="7">
        <v>59</v>
      </c>
      <c r="H192" s="21" t="s">
        <v>1055</v>
      </c>
      <c r="I192" s="13">
        <v>43040.747407407405</v>
      </c>
      <c r="J192" s="7">
        <v>0</v>
      </c>
      <c r="K192" s="89" t="str">
        <f t="shared" si="223"/>
        <v>4031/4032</v>
      </c>
      <c r="L192" s="185" t="str">
        <f>VLOOKUP(A192,'Trips&amp;Operators'!$C$1:$G$99911,5,FALSE)</f>
        <v>HAMMOND JUSTYNN</v>
      </c>
      <c r="M192" s="6">
        <f t="shared" si="224"/>
        <v>9.1782407398568466E-3</v>
      </c>
      <c r="N192" s="7">
        <f t="shared" ref="N192:N222" si="274">24*60*SUM($M192:$M192)</f>
        <v>13.216666665393859</v>
      </c>
      <c r="O192" s="7"/>
      <c r="P192" s="7"/>
      <c r="Q192" s="22"/>
      <c r="R192" s="174"/>
      <c r="S192" s="221">
        <f t="shared" si="225"/>
        <v>1</v>
      </c>
      <c r="T192" s="174" t="str">
        <f t="shared" si="226"/>
        <v>Southbound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 t="shared" si="227"/>
        <v>https://d0f6bd738d7f1b3e5a7ca70fe4ff75f0.us-east-1.aws.found.io/app/kibana#/discover/Steve-Slow-Train-Analysis-(2080s-and-2083s)?_g=(refreshInterval:(display:Off,pause:!f,section:0,value:0),time:(from:'2017-11-01T16:26:46-0600',mode:absolute,to:'2017-11-01T18:56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2" s="204" t="str">
        <f>IF(AA192&lt;VLOOKUP(AG192,Variables!$AC$3:$AD$8,2,FALSE),"Y","N")</f>
        <v>N</v>
      </c>
      <c r="X192" s="204">
        <f t="shared" si="273"/>
        <v>1</v>
      </c>
      <c r="Y192" s="204">
        <f t="shared" ref="Y192:Y222" si="275">RIGHT(D192,LEN(D192)-4)/10000</f>
        <v>5.8638000000000003</v>
      </c>
      <c r="Z192" s="204">
        <f t="shared" ref="Z192:Z222" si="276">RIGHT(H192,LEN(H192)-4)/10000</f>
        <v>1.8200000000000001E-2</v>
      </c>
      <c r="AA192" s="204">
        <f t="shared" si="228"/>
        <v>5.8456000000000001</v>
      </c>
      <c r="AB192" s="54" t="e">
        <f>VLOOKUP(A192,Enforcements!$C$7:$K$10,8,0)</f>
        <v>#N/A</v>
      </c>
      <c r="AC192" s="51" t="e">
        <f>VLOOKUP(A192,Enforcements!$C$7:$E$10,3,0)</f>
        <v>#N/A</v>
      </c>
      <c r="AD192" s="179">
        <f t="shared" si="229"/>
        <v>834</v>
      </c>
      <c r="AE192" s="77" t="str">
        <f t="shared" si="230"/>
        <v>aws s3 cp s3://rtdc.mdm.uploadarchive.raw/RTDC4031/ "%USERPROFILE%\AppData\Local\Temp\OnboardLogs"\RTDC4031\2017-11-01 --exclude "*" --recursive --include "*20171101*" &amp; "%USERPROFILE%\Documents\GitHub\mrs-test-scripts\Headless Mode &amp; Sideloading\WalkAndUnGZ.bat" "%USERPROFILE%\AppData\Local\Temp\OnboardLogs"\RTDC4031\2017-11-01 &amp; 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</v>
      </c>
      <c r="AF192" s="74" t="str">
        <f t="shared" si="231"/>
        <v>"C:\Program Files (x86)\AstroGrep\AstroGrep.exe" /e /r /s /spath="%USERPROFILE%\AppData\Local\Temp\OnboardLogs" /stypes="app*4031*20171101*" /stext=" 23:.+((SYSTEM_STATE.+slice.+state.+changed )|(ment ac)|(multiple cpu faults)|(system.+state.+changed )|(\[timeout)|(PRM\|1\|D)|(kpr)|(kdp)|(train st.+moving)|(\|lc)|(penalty))"</v>
      </c>
      <c r="AG192" s="182" t="str">
        <f t="shared" si="232"/>
        <v>NW</v>
      </c>
      <c r="AH192" s="78" t="str">
        <f t="shared" si="249"/>
        <v>"%USERPROFILE%\Documents\GitHub\eaglep3\Utilities\RefineRTDCRunTimes.py" --tripid 834-01 --locoid 4031 --swversion DE.1.0.9.0 --startMP 300:58638 --initTime 2017-11-01T17:26:46 --startdatetime 2017-11-01T17:43:03 --delay 59 --endMP 204:182 --enddatetime 2017-11-01T17:56:16 --enforcementcount 0 &gt;&gt;%USERPROFILE%\Documents\GitHub\eaglep3-reporting\EC\2017-11-01-refined-times.txt</v>
      </c>
      <c r="AI192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{"issue":{"subject":"","project_id":79,"tracker_id":40,"status_id":1,"priority_id":2,"assigned_to_id":338,"start_date":"2017-11-01","description":"","custom_fields":[{"id":1,"name":"Subdivision","value":"NW"},{"id":4,"name":"Milepost","value":"0.0182"},{"id":17,"name":"Train ID","value":"834-01"},{"id":16,"name":"Locomotive ID","value":"4031"},{"id":130,"name":"Impact","value":""},{"id":150,"name":"Time of Event (Mountain Time)","value":"17:56:16"},{"id":151,"name":"Denver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47"/>
      <c r="AL192" s="47"/>
      <c r="AM192" s="142" t="str">
        <f t="shared" si="251"/>
        <v>start /low /b %USERPROFILE%\Documents\GitHub\eaglep3\Utilities\DownloadLogsFromS3.py --loco 4031 --day 2017-11-01</v>
      </c>
      <c r="AN192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23:56:16"},{"id":29,"name":"Sharepoint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253"/>
        <v>https://d0f6bd738d7f1b3e5a7ca70fe4ff75f0.us-east-1.aws.found.io/app/kibana#/discover/Steve-Slow-Train-Analysis-(2080s-and-2083s)?_g=(refreshInterval:(display:Off,pause:!f,section:0,value:0),time:(from:'2017-11-01T16:26:46-0600',mode:absolute,to:'2017-11-01T18:56:16-0600'))&amp;_a=(columns:!('Message%20ID',Summary),filters:!(),index:'emp_*',interval:auto,query:(query_string:(analyze_wildcard:!t,query:'%22rtdc.l.rtdc.4031%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32" t="s">
        <v>816</v>
      </c>
      <c r="B193" s="7">
        <v>4024</v>
      </c>
      <c r="C193" s="21" t="s">
        <v>194</v>
      </c>
      <c r="D193" s="21" t="s">
        <v>1056</v>
      </c>
      <c r="E193" s="13">
        <v>43040.733749999999</v>
      </c>
      <c r="F193" s="13">
        <v>43040.736076388886</v>
      </c>
      <c r="G193" s="7">
        <v>76</v>
      </c>
      <c r="H193" s="21" t="s">
        <v>458</v>
      </c>
      <c r="I193" s="13">
        <v>43040.745856481481</v>
      </c>
      <c r="J193" s="7">
        <v>0</v>
      </c>
      <c r="K193" s="89" t="str">
        <f t="shared" si="223"/>
        <v>4023/4024</v>
      </c>
      <c r="L193" s="185" t="str">
        <f>VLOOKUP(A193,'Trips&amp;Operators'!$C$1:$G$99911,5,FALSE)</f>
        <v>STAMBAUGH JAMES</v>
      </c>
      <c r="M193" s="6">
        <f t="shared" si="224"/>
        <v>9.7800925941555761E-3</v>
      </c>
      <c r="N193" s="7">
        <f t="shared" si="274"/>
        <v>14.08333333558403</v>
      </c>
      <c r="O193" s="7"/>
      <c r="P193" s="7"/>
      <c r="Q193" s="22"/>
      <c r="R193" s="174"/>
      <c r="S193" s="221">
        <f t="shared" si="225"/>
        <v>1</v>
      </c>
      <c r="T193" s="174" t="str">
        <f t="shared" si="226"/>
        <v>NorthBound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 t="shared" si="227"/>
        <v>https://d0f6bd738d7f1b3e5a7ca70fe4ff75f0.us-east-1.aws.found.io/app/kibana#/discover/Steve-Slow-Train-Analysis-(2080s-and-2083s)?_g=(refreshInterval:(display:Off,pause:!f,section:0,value:0),time:(from:'2017-11-01T16:36:36-0600',mode:absolute,to:'2017-11-01T18:54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3" s="204" t="str">
        <f>IF(AA193&lt;VLOOKUP(AG193,Variables!$AC$3:$AD$8,2,FALSE),"Y","N")</f>
        <v>N</v>
      </c>
      <c r="X193" s="204">
        <f t="shared" si="273"/>
        <v>1</v>
      </c>
      <c r="Y193" s="204">
        <f t="shared" si="275"/>
        <v>4.19E-2</v>
      </c>
      <c r="Z193" s="204">
        <f t="shared" si="276"/>
        <v>5.8943000000000003</v>
      </c>
      <c r="AA193" s="204">
        <f t="shared" si="228"/>
        <v>5.8524000000000003</v>
      </c>
      <c r="AB193" s="54" t="e">
        <f>VLOOKUP(A193,Enforcements!$C$7:$K$10,8,0)</f>
        <v>#N/A</v>
      </c>
      <c r="AC193" s="51" t="e">
        <f>VLOOKUP(A193,Enforcements!$C$7:$E$10,3,0)</f>
        <v>#N/A</v>
      </c>
      <c r="AD193" s="179">
        <f t="shared" si="229"/>
        <v>835</v>
      </c>
      <c r="AE193" s="77" t="str">
        <f t="shared" si="230"/>
        <v>aws s3 cp s3://rtdc.mdm.uploadarchive.raw/RTDC4024/ "%USERPROFILE%\AppData\Local\Temp\OnboardLogs"\RTDC4024\2017-11-01 --exclude "*" --recursive --include "*20171101*" &amp; "%USERPROFILE%\Documents\GitHub\mrs-test-scripts\Headless Mode &amp; Sideloading\WalkAndUnGZ.bat" "%USERPROFILE%\AppData\Local\Temp\OnboardLogs"\RTDC4024\2017-11-01 &amp; aws s3 cp s3://rtdc.mdm.uploadarchive.raw/RTDC4024/ "%USERPROFILE%\AppData\Local\Temp\OnboardLogs"\RTDC4024\2017-11-02 --exclude "*" --recursive --include "*20171102*" &amp; "%USERPROFILE%\Documents\GitHub\mrs-test-scripts\Headless Mode &amp; Sideloading\WalkAndUnGZ.bat" "%USERPROFILE%\AppData\Local\Temp\OnboardLogs"\RTDC4024\2017-11-02</v>
      </c>
      <c r="AF193" s="74" t="str">
        <f t="shared" si="231"/>
        <v>"C:\Program Files (x86)\AstroGrep\AstroGrep.exe" /e /r /s /spath="%USERPROFILE%\AppData\Local\Temp\OnboardLogs" /stypes="app*4024*20171101*" /stext=" 23:.+((SYSTEM_STATE.+slice.+state.+changed )|(ment ac)|(multiple cpu faults)|(system.+state.+changed )|(\[timeout)|(PRM\|1\|D)|(kpr)|(kdp)|(train st.+moving)|(\|lc)|(penalty))"</v>
      </c>
      <c r="AG193" s="182" t="str">
        <f t="shared" si="232"/>
        <v>NW</v>
      </c>
      <c r="AH193" s="78" t="str">
        <f t="shared" si="249"/>
        <v>"%USERPROFILE%\Documents\GitHub\eaglep3\Utilities\RefineRTDCRunTimes.py" --tripid 835-01 --locoid 4024 --swversion DE.1.0.9.0 --startMP 204:419 --initTime 2017-11-01T17:36:36 --startdatetime 2017-11-01T17:39:57 --delay 76 --endMP 300:58943 --enddatetime 2017-11-01T17:54:02 --enforcementcount 0 &gt;&gt;%USERPROFILE%\Documents\GitHub\eaglep3-reporting\EC\2017-11-01-refined-times.txt</v>
      </c>
      <c r="AI193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{"issue":{"subject":"","project_id":79,"tracker_id":40,"status_id":1,"priority_id":2,"assigned_to_id":338,"start_date":"2017-11-01","description":"","custom_fields":[{"id":1,"name":"Subdivision","value":"NW"},{"id":4,"name":"Milepost","value":"5.8943"},{"id":17,"name":"Train ID","value":"835-01"},{"id":16,"name":"Locomotive ID","value":"4024"},{"id":130,"name":"Impact","value":""},{"id":150,"name":"Time of Event (Mountain Time)","value":"17:54:02"},{"id":151,"name":"Denver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47"/>
      <c r="AL193" s="47"/>
      <c r="AM193" s="142" t="str">
        <f t="shared" si="251"/>
        <v>start /low /b %USERPROFILE%\Documents\GitHub\eaglep3\Utilities\DownloadLogsFromS3.py --loco 4024 --day 2017-11-01</v>
      </c>
      <c r="AN193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23:54:02"},{"id":29,"name":"Sharepoint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253"/>
        <v>https://d0f6bd738d7f1b3e5a7ca70fe4ff75f0.us-east-1.aws.found.io/app/kibana#/discover/Steve-Slow-Train-Analysis-(2080s-and-2083s)?_g=(refreshInterval:(display:Off,pause:!f,section:0,value:0),time:(from:'2017-11-01T16:36:36-0600',mode:absolute,to:'2017-11-01T18:54:02-0600'))&amp;_a=(columns:!('Message%20ID',Summary),filters:!(),index:'emp_*',interval:auto,query:(query_string:(analyze_wildcard:!t,query:'%22rtdc.l.rtdc.4024%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32" t="s">
        <v>819</v>
      </c>
      <c r="B194" s="7">
        <v>4023</v>
      </c>
      <c r="C194" s="21" t="s">
        <v>194</v>
      </c>
      <c r="D194" s="21" t="s">
        <v>604</v>
      </c>
      <c r="E194" s="13">
        <v>43040.746990740743</v>
      </c>
      <c r="F194" s="13">
        <v>43040.758611111109</v>
      </c>
      <c r="G194" s="7">
        <v>81</v>
      </c>
      <c r="H194" s="21" t="s">
        <v>1057</v>
      </c>
      <c r="I194" s="13">
        <v>43040.76662037037</v>
      </c>
      <c r="J194" s="7">
        <v>0</v>
      </c>
      <c r="K194" s="89" t="str">
        <f t="shared" si="223"/>
        <v>4023/4024</v>
      </c>
      <c r="L194" s="185" t="str">
        <f>VLOOKUP(A194,'Trips&amp;Operators'!$C$1:$G$99911,5,FALSE)</f>
        <v>STAMBAUGH JAMES</v>
      </c>
      <c r="M194" s="6">
        <f t="shared" si="224"/>
        <v>8.0092592615983449E-3</v>
      </c>
      <c r="N194" s="7">
        <f t="shared" si="274"/>
        <v>11.533333336701617</v>
      </c>
      <c r="O194" s="7"/>
      <c r="P194" s="7"/>
      <c r="Q194" s="22"/>
      <c r="R194" s="174"/>
      <c r="S194" s="221">
        <f t="shared" si="225"/>
        <v>1</v>
      </c>
      <c r="T194" s="174" t="str">
        <f t="shared" si="226"/>
        <v>Southbound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 t="shared" si="227"/>
        <v>https://d0f6bd738d7f1b3e5a7ca70fe4ff75f0.us-east-1.aws.found.io/app/kibana#/discover/Steve-Slow-Train-Analysis-(2080s-and-2083s)?_g=(refreshInterval:(display:Off,pause:!f,section:0,value:0),time:(from:'2017-11-01T16:55:40-0600',mode:absolute,to:'2017-11-01T19:23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4" s="204" t="str">
        <f>IF(AA194&lt;VLOOKUP(AG194,Variables!$AC$3:$AD$8,2,FALSE),"Y","N")</f>
        <v>N</v>
      </c>
      <c r="X194" s="204">
        <f t="shared" si="273"/>
        <v>1</v>
      </c>
      <c r="Y194" s="204">
        <f t="shared" si="275"/>
        <v>5.8630000000000004</v>
      </c>
      <c r="Z194" s="204">
        <f t="shared" si="276"/>
        <v>1.17E-2</v>
      </c>
      <c r="AA194" s="204">
        <f t="shared" si="228"/>
        <v>5.8513000000000002</v>
      </c>
      <c r="AB194" s="54" t="e">
        <f>VLOOKUP(A194,Enforcements!$C$7:$K$10,8,0)</f>
        <v>#N/A</v>
      </c>
      <c r="AC194" s="51" t="e">
        <f>VLOOKUP(A194,Enforcements!$C$7:$E$10,3,0)</f>
        <v>#N/A</v>
      </c>
      <c r="AD194" s="179">
        <f t="shared" si="229"/>
        <v>836</v>
      </c>
      <c r="AE194" s="77" t="str">
        <f t="shared" si="230"/>
        <v>aws s3 cp s3://rtdc.mdm.uploadarchive.raw/RTDC4023/ "%USERPROFILE%\AppData\Local\Temp\OnboardLogs"\RTDC4023\2017-11-01 --exclude "*" --recursive --include "*20171101*" &amp; "%USERPROFILE%\Documents\GitHub\mrs-test-scripts\Headless Mode &amp; Sideloading\WalkAndUnGZ.bat" "%USERPROFILE%\AppData\Local\Temp\OnboardLogs"\RTDC4023\2017-11-01 &amp; aws s3 cp s3://rtdc.mdm.uploadarchive.raw/RTDC4023/ "%USERPROFILE%\AppData\Local\Temp\OnboardLogs"\RTDC4023\2017-11-02 --exclude "*" --recursive --include "*20171102*" &amp; "%USERPROFILE%\Documents\GitHub\mrs-test-scripts\Headless Mode &amp; Sideloading\WalkAndUnGZ.bat" "%USERPROFILE%\AppData\Local\Temp\OnboardLogs"\RTDC4023\2017-11-02</v>
      </c>
      <c r="AF194" s="74" t="str">
        <f t="shared" si="231"/>
        <v>"C:\Program Files (x86)\AstroGrep\AstroGrep.exe" /e /r /s /spath="%USERPROFILE%\AppData\Local\Temp\OnboardLogs" /stypes="app*4023*20171102*" /stext=" 00:.+((SYSTEM_STATE.+slice.+state.+changed )|(ment ac)|(multiple cpu faults)|(system.+state.+changed )|(\[timeout)|(PRM\|1\|D)|(kpr)|(kdp)|(train st.+moving)|(\|lc)|(penalty))"</v>
      </c>
      <c r="AG194" s="182" t="str">
        <f t="shared" si="232"/>
        <v>NW</v>
      </c>
      <c r="AH194" s="78" t="str">
        <f t="shared" si="249"/>
        <v>"%USERPROFILE%\Documents\GitHub\eaglep3\Utilities\RefineRTDCRunTimes.py" --tripid 836-01 --locoid 4023 --swversion DE.1.0.9.0 --startMP 300:58630 --initTime 2017-11-01T17:55:40 --startdatetime 2017-11-01T18:12:24 --delay 81 --endMP 204:117 --enddatetime 2017-11-01T18:23:56 --enforcementcount 0 &gt;&gt;%USERPROFILE%\Documents\GitHub\eaglep3-reporting\EC\2017-11-01-refined-times.txt</v>
      </c>
      <c r="AI194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{"issue":{"subject":"","project_id":79,"tracker_id":40,"status_id":1,"priority_id":2,"assigned_to_id":338,"start_date":"2017-11-01","description":"","custom_fields":[{"id":1,"name":"Subdivision","value":"NW"},{"id":4,"name":"Milepost","value":"0.0117"},{"id":17,"name":"Train ID","value":"836-01"},{"id":16,"name":"Locomotive ID","value":"4023"},{"id":130,"name":"Impact","value":""},{"id":150,"name":"Time of Event (Mountain Time)","value":"18:23:56"},{"id":151,"name":"Denver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47"/>
      <c r="AL194" s="47"/>
      <c r="AM194" s="142" t="str">
        <f t="shared" si="251"/>
        <v>start /low /b %USERPROFILE%\Documents\GitHub\eaglep3\Utilities\DownloadLogsFromS3.py --loco 4023 --day 2017-11-01</v>
      </c>
      <c r="AN194" s="151" t="str">
        <f t="shared" si="2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00:23:56"},{"id":29,"name":"Sharepoint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253"/>
        <v>https://d0f6bd738d7f1b3e5a7ca70fe4ff75f0.us-east-1.aws.found.io/app/kibana#/discover/Steve-Slow-Train-Analysis-(2080s-and-2083s)?_g=(refreshInterval:(display:Off,pause:!f,section:0,value:0),time:(from:'2017-11-01T16:55:40-0600',mode:absolute,to:'2017-11-01T19:23:56-0600'))&amp;_a=(columns:!('Message%20ID',Summary),filters:!(),index:'emp_*',interval:auto,query:(query_string:(analyze_wildcard:!t,query:'%22rtdc.l.rtdc.4023%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32" t="s">
        <v>822</v>
      </c>
      <c r="B195" s="7">
        <v>4032</v>
      </c>
      <c r="C195" s="21" t="s">
        <v>194</v>
      </c>
      <c r="D195" s="21" t="s">
        <v>1058</v>
      </c>
      <c r="E195" s="13">
        <v>43040.751643518517</v>
      </c>
      <c r="F195" s="13">
        <v>43040.756550925929</v>
      </c>
      <c r="G195" s="7">
        <v>63</v>
      </c>
      <c r="H195" s="21" t="s">
        <v>606</v>
      </c>
      <c r="I195" s="13">
        <v>43040.767546296294</v>
      </c>
      <c r="J195" s="7">
        <v>0</v>
      </c>
      <c r="K195" s="89" t="str">
        <f t="shared" si="223"/>
        <v>4031/4032</v>
      </c>
      <c r="L195" s="185" t="str">
        <f>VLOOKUP(A195,'Trips&amp;Operators'!$C$1:$G$99911,5,FALSE)</f>
        <v>HAMMOND JUSTYNN</v>
      </c>
      <c r="M195" s="6">
        <f t="shared" si="224"/>
        <v>1.0995370364980772E-2</v>
      </c>
      <c r="N195" s="7">
        <f t="shared" si="274"/>
        <v>15.833333325572312</v>
      </c>
      <c r="O195" s="7"/>
      <c r="P195" s="7"/>
      <c r="Q195" s="22"/>
      <c r="R195" s="174"/>
      <c r="S195" s="221">
        <f t="shared" si="225"/>
        <v>1</v>
      </c>
      <c r="T195" s="174" t="str">
        <f t="shared" si="226"/>
        <v>NorthBound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 t="shared" si="227"/>
        <v>https://d0f6bd738d7f1b3e5a7ca70fe4ff75f0.us-east-1.aws.found.io/app/kibana#/discover/Steve-Slow-Train-Analysis-(2080s-and-2083s)?_g=(refreshInterval:(display:Off,pause:!f,section:0,value:0),time:(from:'2017-11-01T17:02:22-0600',mode:absolute,to:'2017-11-01T19:25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5" s="204" t="str">
        <f>IF(AA195&lt;VLOOKUP(AG195,Variables!$AC$3:$AD$8,2,FALSE),"Y","N")</f>
        <v>N</v>
      </c>
      <c r="X195" s="204">
        <f t="shared" si="273"/>
        <v>1</v>
      </c>
      <c r="Y195" s="204">
        <f t="shared" si="275"/>
        <v>4.7E-2</v>
      </c>
      <c r="Z195" s="204">
        <f t="shared" si="276"/>
        <v>5.8944000000000001</v>
      </c>
      <c r="AA195" s="204">
        <f t="shared" si="228"/>
        <v>5.8474000000000004</v>
      </c>
      <c r="AB195" s="54" t="e">
        <f>VLOOKUP(A195,Enforcements!$C$7:$K$10,8,0)</f>
        <v>#N/A</v>
      </c>
      <c r="AC195" s="51" t="e">
        <f>VLOOKUP(A195,Enforcements!$C$7:$E$10,3,0)</f>
        <v>#N/A</v>
      </c>
      <c r="AD195" s="179">
        <f t="shared" si="229"/>
        <v>837</v>
      </c>
      <c r="AE195" s="77" t="str">
        <f t="shared" si="230"/>
        <v>aws s3 cp s3://rtdc.mdm.uploadarchive.raw/RTDC4032/ "%USERPROFILE%\AppData\Local\Temp\OnboardLogs"\RTDC4032\2017-11-01 --exclude "*" --recursive --include "*20171101*" &amp; "%USERPROFILE%\Documents\GitHub\mrs-test-scripts\Headless Mode &amp; Sideloading\WalkAndUnGZ.bat" "%USERPROFILE%\AppData\Local\Temp\OnboardLogs"\RTDC4032\2017-11-01 &amp; aws s3 cp s3://rtdc.mdm.uploadarchive.raw/RTDC4032/ "%USERPROFILE%\AppData\Local\Temp\OnboardLogs"\RTDC4032\2017-11-02 --exclude "*" --recursive --include "*20171102*" &amp; "%USERPROFILE%\Documents\GitHub\mrs-test-scripts\Headless Mode &amp; Sideloading\WalkAndUnGZ.bat" "%USERPROFILE%\AppData\Local\Temp\OnboardLogs"\RTDC4032\2017-11-02</v>
      </c>
      <c r="AF195" s="74" t="str">
        <f t="shared" si="231"/>
        <v>"C:\Program Files (x86)\AstroGrep\AstroGrep.exe" /e /r /s /spath="%USERPROFILE%\AppData\Local\Temp\OnboardLogs" /stypes="app*4032*20171102*" /stext=" 00:.+((SYSTEM_STATE.+slice.+state.+changed )|(ment ac)|(multiple cpu faults)|(system.+state.+changed )|(\[timeout)|(PRM\|1\|D)|(kpr)|(kdp)|(train st.+moving)|(\|lc)|(penalty))"</v>
      </c>
      <c r="AG195" s="182" t="str">
        <f t="shared" si="232"/>
        <v>NW</v>
      </c>
      <c r="AH195" s="78" t="str">
        <f t="shared" si="249"/>
        <v>"%USERPROFILE%\Documents\GitHub\eaglep3\Utilities\RefineRTDCRunTimes.py" --tripid 837-01 --locoid 4032 --swversion DE.1.0.9.0 --startMP 204:470 --initTime 2017-11-01T18:02:22 --startdatetime 2017-11-01T18:09:26 --delay 63 --endMP 300:58944 --enddatetime 2017-11-01T18:25:16 --enforcementcount 0 &gt;&gt;%USERPROFILE%\Documents\GitHub\eaglep3-reporting\EC\2017-11-01-refined-times.txt</v>
      </c>
      <c r="AI195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{"issue":{"subject":"","project_id":79,"tracker_id":40,"status_id":1,"priority_id":2,"assigned_to_id":338,"start_date":"2017-11-01","description":"","custom_fields":[{"id":1,"name":"Subdivision","value":"NW"},{"id":4,"name":"Milepost","value":"5.8944"},{"id":17,"name":"Train ID","value":"837-01"},{"id":16,"name":"Locomotive ID","value":"4032"},{"id":130,"name":"Impact","value":""},{"id":150,"name":"Time of Event (Mountain Time)","value":"18:25:16"},{"id":151,"name":"Denver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47"/>
      <c r="AL195" s="47"/>
      <c r="AM195" s="142" t="str">
        <f t="shared" si="251"/>
        <v>start /low /b %USERPROFILE%\Documents\GitHub\eaglep3\Utilities\DownloadLogsFromS3.py --loco 4032 --day 2017-11-01</v>
      </c>
      <c r="AN195" s="151" t="str">
        <f t="shared" si="2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00:25:16"},{"id":29,"name":"Sharepoint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253"/>
        <v>https://d0f6bd738d7f1b3e5a7ca70fe4ff75f0.us-east-1.aws.found.io/app/kibana#/discover/Steve-Slow-Train-Analysis-(2080s-and-2083s)?_g=(refreshInterval:(display:Off,pause:!f,section:0,value:0),time:(from:'2017-11-01T17:02:22-0600',mode:absolute,to:'2017-11-01T19:25:16-0600'))&amp;_a=(columns:!('Message%20ID',Summary),filters:!(),index:'emp_*',interval:auto,query:(query_string:(analyze_wildcard:!t,query:'%22rtdc.l.rtdc.4032%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32" t="s">
        <v>646</v>
      </c>
      <c r="B196" s="7">
        <v>4031</v>
      </c>
      <c r="C196" s="21" t="s">
        <v>194</v>
      </c>
      <c r="D196" s="21" t="s">
        <v>1059</v>
      </c>
      <c r="E196" s="13">
        <v>43040.771608796298</v>
      </c>
      <c r="F196" s="13">
        <v>43040.779953703706</v>
      </c>
      <c r="G196" s="7">
        <v>181</v>
      </c>
      <c r="H196" s="21" t="s">
        <v>1060</v>
      </c>
      <c r="I196" s="13">
        <v>43040.789942129632</v>
      </c>
      <c r="J196" s="7">
        <v>0</v>
      </c>
      <c r="K196" s="89" t="str">
        <f t="shared" si="223"/>
        <v>4031/4032</v>
      </c>
      <c r="L196" s="185" t="str">
        <f>VLOOKUP(A196,'Trips&amp;Operators'!$C$1:$G$99911,5,FALSE)</f>
        <v>HAMMOND JUSTYNN</v>
      </c>
      <c r="M196" s="6">
        <f t="shared" si="224"/>
        <v>9.9884259252576157E-3</v>
      </c>
      <c r="N196" s="7">
        <f t="shared" si="274"/>
        <v>14.383333332370967</v>
      </c>
      <c r="O196" s="7"/>
      <c r="P196" s="7"/>
      <c r="Q196" s="22"/>
      <c r="R196" s="174" t="s">
        <v>1110</v>
      </c>
      <c r="S196" s="221">
        <f t="shared" si="225"/>
        <v>1</v>
      </c>
      <c r="T196" s="174" t="str">
        <f t="shared" si="226"/>
        <v>Southbound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 t="shared" si="227"/>
        <v>https://d0f6bd738d7f1b3e5a7ca70fe4ff75f0.us-east-1.aws.found.io/app/kibana#/discover/Steve-Slow-Train-Analysis-(2080s-and-2083s)?_g=(refreshInterval:(display:Off,pause:!f,section:0,value:0),time:(from:'2017-11-01T17:31:07-0600',mode:absolute,to:'2017-11-01T19:57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6" s="204" t="str">
        <f>IF(AA196&lt;VLOOKUP(AG196,Variables!$AC$3:$AD$8,2,FALSE),"Y","N")</f>
        <v>Y</v>
      </c>
      <c r="X196" s="204">
        <f t="shared" ref="X196:X226" si="277">VALUE(LEFT(AD196,4))-VALUE(LEFT(AD195,4))</f>
        <v>1</v>
      </c>
      <c r="Y196" s="204">
        <f t="shared" si="275"/>
        <v>5.7252999999999998</v>
      </c>
      <c r="Z196" s="204">
        <f t="shared" si="276"/>
        <v>0.4627</v>
      </c>
      <c r="AA196" s="204">
        <f t="shared" si="228"/>
        <v>5.2625999999999999</v>
      </c>
      <c r="AB196" s="54" t="e">
        <f>VLOOKUP(A196,Enforcements!$C$7:$K$10,8,0)</f>
        <v>#N/A</v>
      </c>
      <c r="AC196" s="51" t="e">
        <f>VLOOKUP(A196,Enforcements!$C$7:$E$10,3,0)</f>
        <v>#N/A</v>
      </c>
      <c r="AD196" s="179">
        <f t="shared" si="229"/>
        <v>838</v>
      </c>
      <c r="AE196" s="77" t="str">
        <f t="shared" si="230"/>
        <v>aws s3 cp s3://rtdc.mdm.uploadarchive.raw/RTDC4031/ "%USERPROFILE%\AppData\Local\Temp\OnboardLogs"\RTDC4031\2017-11-01 --exclude "*" --recursive --include "*20171101*" &amp; "%USERPROFILE%\Documents\GitHub\mrs-test-scripts\Headless Mode &amp; Sideloading\WalkAndUnGZ.bat" "%USERPROFILE%\AppData\Local\Temp\OnboardLogs"\RTDC4031\2017-11-01 &amp; 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</v>
      </c>
      <c r="AF196" s="74" t="str">
        <f t="shared" si="231"/>
        <v>"C:\Program Files (x86)\AstroGrep\AstroGrep.exe" /e /r /s /spath="%USERPROFILE%\AppData\Local\Temp\OnboardLogs" /stypes="app*4031*20171102*" /stext=" 00:.+((SYSTEM_STATE.+slice.+state.+changed )|(ment ac)|(multiple cpu faults)|(system.+state.+changed )|(\[timeout)|(PRM\|1\|D)|(kpr)|(kdp)|(train st.+moving)|(\|lc)|(penalty))"</v>
      </c>
      <c r="AG196" s="182" t="str">
        <f t="shared" si="232"/>
        <v>NW</v>
      </c>
      <c r="AH196" s="78" t="str">
        <f t="shared" si="249"/>
        <v>"%USERPROFILE%\Documents\GitHub\eaglep3\Utilities\RefineRTDCRunTimes.py" --tripid 838-01 --locoid 4031 --swversion DE.1.0.9.0 --startMP 300:57253 --initTime 2017-11-01T18:31:07 --startdatetime 2017-11-01T18:43:08 --delay 181 --endMP 204:4627 --enddatetime 2017-11-01T18:57:31 --enforcementcount 0 &gt;&gt;%USERPROFILE%\Documents\GitHub\eaglep3-reporting\EC\2017-11-01-refined-times.txt</v>
      </c>
      <c r="AI196" s="96" t="str">
        <f t="shared" si="250"/>
        <v>echo {"issue":{"subject":"Operator canceled first init attempt","project_id":79,"tracker_id":40,"status_id":1,"priority_id":2,"assigned_to_id":338,"start_date":"2017-11-01","description":"","custom_fields":[{"id":1,"name":"Subdivision","value":"NW"},{"id":4,"name":"Milepost","value":"0.4627"},{"id":17,"name":"Train ID","value":"838-01"},{"id":16,"name":"Locomotive ID","value":"4031"},{"id":130,"name":"Impact","value":""},{"id":150,"name":"Time of Event (Mountain Time)","value":"18:57:31"},{"id":151,"name":"Denver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47"/>
      <c r="AL196" s="47"/>
      <c r="AM196" s="142" t="str">
        <f t="shared" si="251"/>
        <v>start /low /b %USERPROFILE%\Documents\GitHub\eaglep3\Utilities\DownloadLogsFromS3.py --loco 4031 --day 2017-11-01</v>
      </c>
      <c r="AN196" s="151" t="str">
        <f t="shared" si="252"/>
        <v>echo {"issue":{"subject":"Operator canceled first init attempt","project_id":30,"tracker_id":4,"status_id":1,"priority_id":1,"assigned_to_id":10,"start_date":"2017-11-02","description":"","custom_fields":[{"id":30,"name":"Category","value":"Issue"},{"id":3,"name":"Functional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00:57:31"},{"id":29,"name":"Sharepoint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253"/>
        <v>https://d0f6bd738d7f1b3e5a7ca70fe4ff75f0.us-east-1.aws.found.io/app/kibana#/discover/Steve-Slow-Train-Analysis-(2080s-and-2083s)?_g=(refreshInterval:(display:Off,pause:!f,section:0,value:0),time:(from:'2017-11-01T17:31:07-0600',mode:absolute,to:'2017-11-01T19:57:31-0600'))&amp;_a=(columns:!('Message%20ID',Summary),filters:!(),index:'emp_*',interval:auto,query:(query_string:(analyze_wildcard:!t,query:'%22rtdc.l.rtdc.4031%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32" t="s">
        <v>828</v>
      </c>
      <c r="B197" s="7">
        <v>4024</v>
      </c>
      <c r="C197" s="21" t="s">
        <v>194</v>
      </c>
      <c r="D197" s="21" t="s">
        <v>1051</v>
      </c>
      <c r="E197" s="13">
        <v>43040.772291666668</v>
      </c>
      <c r="F197" s="13">
        <v>43040.777662037035</v>
      </c>
      <c r="G197" s="7">
        <v>58</v>
      </c>
      <c r="H197" s="21" t="s">
        <v>606</v>
      </c>
      <c r="I197" s="13">
        <v>43040.788564814815</v>
      </c>
      <c r="J197" s="7">
        <v>0</v>
      </c>
      <c r="K197" s="89" t="str">
        <f t="shared" si="223"/>
        <v>4023/4024</v>
      </c>
      <c r="L197" s="185" t="str">
        <f>VLOOKUP(A197,'Trips&amp;Operators'!$C$1:$G$99911,5,FALSE)</f>
        <v>STAMBAUGH JAMES</v>
      </c>
      <c r="M197" s="6">
        <f t="shared" si="224"/>
        <v>1.0902777779847383E-2</v>
      </c>
      <c r="N197" s="7">
        <f t="shared" si="274"/>
        <v>15.700000002980232</v>
      </c>
      <c r="O197" s="7"/>
      <c r="P197" s="7"/>
      <c r="Q197" s="22"/>
      <c r="R197" s="174"/>
      <c r="S197" s="221">
        <f t="shared" si="225"/>
        <v>1</v>
      </c>
      <c r="T197" s="174" t="str">
        <f t="shared" si="226"/>
        <v>NorthBound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 t="shared" si="227"/>
        <v>https://d0f6bd738d7f1b3e5a7ca70fe4ff75f0.us-east-1.aws.found.io/app/kibana#/discover/Steve-Slow-Train-Analysis-(2080s-and-2083s)?_g=(refreshInterval:(display:Off,pause:!f,section:0,value:0),time:(from:'2017-11-01T17:32:06-0600',mode:absolute,to:'2017-11-01T19:55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7" s="204" t="str">
        <f>IF(AA197&lt;VLOOKUP(AG197,Variables!$AC$3:$AD$8,2,FALSE),"Y","N")</f>
        <v>N</v>
      </c>
      <c r="X197" s="204">
        <f t="shared" si="277"/>
        <v>1</v>
      </c>
      <c r="Y197" s="204">
        <f t="shared" si="275"/>
        <v>4.2099999999999999E-2</v>
      </c>
      <c r="Z197" s="204">
        <f t="shared" si="276"/>
        <v>5.8944000000000001</v>
      </c>
      <c r="AA197" s="204">
        <f t="shared" si="228"/>
        <v>5.8523000000000005</v>
      </c>
      <c r="AB197" s="54" t="e">
        <f>VLOOKUP(A197,Enforcements!$C$7:$K$10,8,0)</f>
        <v>#N/A</v>
      </c>
      <c r="AC197" s="51" t="e">
        <f>VLOOKUP(A197,Enforcements!$C$7:$E$10,3,0)</f>
        <v>#N/A</v>
      </c>
      <c r="AD197" s="179">
        <f t="shared" si="229"/>
        <v>839</v>
      </c>
      <c r="AE197" s="77" t="str">
        <f t="shared" si="230"/>
        <v>aws s3 cp s3://rtdc.mdm.uploadarchive.raw/RTDC4024/ "%USERPROFILE%\AppData\Local\Temp\OnboardLogs"\RTDC4024\2017-11-01 --exclude "*" --recursive --include "*20171101*" &amp; "%USERPROFILE%\Documents\GitHub\mrs-test-scripts\Headless Mode &amp; Sideloading\WalkAndUnGZ.bat" "%USERPROFILE%\AppData\Local\Temp\OnboardLogs"\RTDC4024\2017-11-01 &amp; aws s3 cp s3://rtdc.mdm.uploadarchive.raw/RTDC4024/ "%USERPROFILE%\AppData\Local\Temp\OnboardLogs"\RTDC4024\2017-11-02 --exclude "*" --recursive --include "*20171102*" &amp; "%USERPROFILE%\Documents\GitHub\mrs-test-scripts\Headless Mode &amp; Sideloading\WalkAndUnGZ.bat" "%USERPROFILE%\AppData\Local\Temp\OnboardLogs"\RTDC4024\2017-11-02</v>
      </c>
      <c r="AF197" s="74" t="str">
        <f t="shared" si="231"/>
        <v>"C:\Program Files (x86)\AstroGrep\AstroGrep.exe" /e /r /s /spath="%USERPROFILE%\AppData\Local\Temp\OnboardLogs" /stypes="app*4024*20171102*" /stext=" 00:.+((SYSTEM_STATE.+slice.+state.+changed )|(ment ac)|(multiple cpu faults)|(system.+state.+changed )|(\[timeout)|(PRM\|1\|D)|(kpr)|(kdp)|(train st.+moving)|(\|lc)|(penalty))"</v>
      </c>
      <c r="AG197" s="182" t="str">
        <f t="shared" si="232"/>
        <v>NW</v>
      </c>
      <c r="AH197" s="78" t="str">
        <f t="shared" si="249"/>
        <v>"%USERPROFILE%\Documents\GitHub\eaglep3\Utilities\RefineRTDCRunTimes.py" --tripid 839-01 --locoid 4024 --swversion DE.1.0.9.0 --startMP 204:421 --initTime 2017-11-01T18:32:06 --startdatetime 2017-11-01T18:39:50 --delay 58 --endMP 300:58944 --enddatetime 2017-11-01T18:55:32 --enforcementcount 0 &gt;&gt;%USERPROFILE%\Documents\GitHub\eaglep3-reporting\EC\2017-11-01-refined-times.txt</v>
      </c>
      <c r="AI197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{"issue":{"subject":"","project_id":79,"tracker_id":40,"status_id":1,"priority_id":2,"assigned_to_id":338,"start_date":"2017-11-01","description":"","custom_fields":[{"id":1,"name":"Subdivision","value":"NW"},{"id":4,"name":"Milepost","value":"5.8944"},{"id":17,"name":"Train ID","value":"839-01"},{"id":16,"name":"Locomotive ID","value":"4024"},{"id":130,"name":"Impact","value":""},{"id":150,"name":"Time of Event (Mountain Time)","value":"18:55:32"},{"id":151,"name":"Denver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47"/>
      <c r="AL197" s="47"/>
      <c r="AM197" s="142" t="str">
        <f t="shared" si="251"/>
        <v>start /low /b %USERPROFILE%\Documents\GitHub\eaglep3\Utilities\DownloadLogsFromS3.py --loco 4024 --day 2017-11-01</v>
      </c>
      <c r="AN197" s="151" t="str">
        <f t="shared" si="2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00:55:32"},{"id":29,"name":"Sharepoint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253"/>
        <v>https://d0f6bd738d7f1b3e5a7ca70fe4ff75f0.us-east-1.aws.found.io/app/kibana#/discover/Steve-Slow-Train-Analysis-(2080s-and-2083s)?_g=(refreshInterval:(display:Off,pause:!f,section:0,value:0),time:(from:'2017-11-01T17:32:06-0600',mode:absolute,to:'2017-11-01T19:55:32-0600'))&amp;_a=(columns:!('Message%20ID',Summary),filters:!(),index:'emp_*',interval:auto,query:(query_string:(analyze_wildcard:!t,query:'%22rtdc.l.rtdc.4024%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32" t="s">
        <v>838</v>
      </c>
      <c r="B198" s="7">
        <v>4031</v>
      </c>
      <c r="C198" s="21" t="s">
        <v>194</v>
      </c>
      <c r="D198" s="21" t="s">
        <v>605</v>
      </c>
      <c r="E198" s="13">
        <v>43040.810069444444</v>
      </c>
      <c r="F198" s="13">
        <v>43040.821412037039</v>
      </c>
      <c r="G198" s="7">
        <v>68</v>
      </c>
      <c r="H198" s="21" t="s">
        <v>1061</v>
      </c>
      <c r="I198" s="13">
        <v>43040.831388888888</v>
      </c>
      <c r="J198" s="7">
        <v>0</v>
      </c>
      <c r="K198" s="89" t="str">
        <f t="shared" si="223"/>
        <v>4031/4032</v>
      </c>
      <c r="L198" s="185" t="str">
        <f>VLOOKUP(A198,'Trips&amp;Operators'!$C$1:$G$99911,5,FALSE)</f>
        <v>HAMMOND JUSTYNN</v>
      </c>
      <c r="M198" s="6">
        <f t="shared" si="224"/>
        <v>9.9768518484779634E-3</v>
      </c>
      <c r="N198" s="7">
        <f t="shared" si="274"/>
        <v>14.366666661808267</v>
      </c>
      <c r="O198" s="7"/>
      <c r="P198" s="7"/>
      <c r="Q198" s="22"/>
      <c r="R198" s="174"/>
      <c r="S198" s="221">
        <f t="shared" si="225"/>
        <v>1</v>
      </c>
      <c r="T198" s="174" t="str">
        <f t="shared" si="226"/>
        <v>Southbound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 t="shared" si="227"/>
        <v>https://d0f6bd738d7f1b3e5a7ca70fe4ff75f0.us-east-1.aws.found.io/app/kibana#/discover/Steve-Slow-Train-Analysis-(2080s-and-2083s)?_g=(refreshInterval:(display:Off,pause:!f,section:0,value:0),time:(from:'2017-11-01T18:26:30-0600',mode:absolute,to:'2017-11-01T20:57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8" s="204" t="str">
        <f>IF(AA198&lt;VLOOKUP(AG198,Variables!$AC$3:$AD$8,2,FALSE),"Y","N")</f>
        <v>N</v>
      </c>
      <c r="X198" s="204">
        <f t="shared" si="277"/>
        <v>1</v>
      </c>
      <c r="Y198" s="204">
        <f t="shared" si="275"/>
        <v>5.8638000000000003</v>
      </c>
      <c r="Z198" s="204">
        <f t="shared" si="276"/>
        <v>1.6400000000000001E-2</v>
      </c>
      <c r="AA198" s="204">
        <f t="shared" si="228"/>
        <v>5.8474000000000004</v>
      </c>
      <c r="AB198" s="54" t="e">
        <f>VLOOKUP(A198,Enforcements!$C$7:$K$10,8,0)</f>
        <v>#N/A</v>
      </c>
      <c r="AC198" s="51" t="e">
        <f>VLOOKUP(A198,Enforcements!$C$7:$E$10,3,0)</f>
        <v>#N/A</v>
      </c>
      <c r="AD198" s="179">
        <f t="shared" si="229"/>
        <v>840</v>
      </c>
      <c r="AE198" s="77" t="str">
        <f t="shared" si="230"/>
        <v>aws s3 cp s3://rtdc.mdm.uploadarchive.raw/RTDC4031/ "%USERPROFILE%\AppData\Local\Temp\OnboardLogs"\RTDC4031\2017-11-01 --exclude "*" --recursive --include "*20171101*" &amp; "%USERPROFILE%\Documents\GitHub\mrs-test-scripts\Headless Mode &amp; Sideloading\WalkAndUnGZ.bat" "%USERPROFILE%\AppData\Local\Temp\OnboardLogs"\RTDC4031\2017-11-01 &amp; 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</v>
      </c>
      <c r="AF198" s="74" t="str">
        <f t="shared" si="231"/>
        <v>"C:\Program Files (x86)\AstroGrep\AstroGrep.exe" /e /r /s /spath="%USERPROFILE%\AppData\Local\Temp\OnboardLogs" /stypes="app*4031*20171102*" /stext=" 01:.+((SYSTEM_STATE.+slice.+state.+changed )|(ment ac)|(multiple cpu faults)|(system.+state.+changed )|(\[timeout)|(PRM\|1\|D)|(kpr)|(kdp)|(train st.+moving)|(\|lc)|(penalty))"</v>
      </c>
      <c r="AG198" s="182" t="str">
        <f t="shared" si="232"/>
        <v>NW</v>
      </c>
      <c r="AH198" s="78" t="str">
        <f t="shared" si="249"/>
        <v>"%USERPROFILE%\Documents\GitHub\eaglep3\Utilities\RefineRTDCRunTimes.py" --tripid 840-01 --locoid 4031 --swversion DE.1.0.9.0 --startMP 300:58638 --initTime 2017-11-01T19:26:30 --startdatetime 2017-11-01T19:42:50 --delay 68 --endMP 204:164 --enddatetime 2017-11-01T19:57:12 --enforcementcount 0 &gt;&gt;%USERPROFILE%\Documents\GitHub\eaglep3-reporting\EC\2017-11-01-refined-times.txt</v>
      </c>
      <c r="AI198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{"issue":{"subject":"","project_id":79,"tracker_id":40,"status_id":1,"priority_id":2,"assigned_to_id":338,"start_date":"2017-11-01","description":"","custom_fields":[{"id":1,"name":"Subdivision","value":"NW"},{"id":4,"name":"Milepost","value":"0.0164"},{"id":17,"name":"Train ID","value":"840-01"},{"id":16,"name":"Locomotive ID","value":"4031"},{"id":130,"name":"Impact","value":""},{"id":150,"name":"Time of Event (Mountain Time)","value":"19:57:12"},{"id":151,"name":"Denver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47"/>
      <c r="AL198" s="47"/>
      <c r="AM198" s="142" t="str">
        <f t="shared" si="251"/>
        <v>start /low /b %USERPROFILE%\Documents\GitHub\eaglep3\Utilities\DownloadLogsFromS3.py --loco 4031 --day 2017-11-01</v>
      </c>
      <c r="AN198" s="151" t="str">
        <f t="shared" si="2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01:57:12"},{"id":29,"name":"Sharepoint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253"/>
        <v>https://d0f6bd738d7f1b3e5a7ca70fe4ff75f0.us-east-1.aws.found.io/app/kibana#/discover/Steve-Slow-Train-Analysis-(2080s-and-2083s)?_g=(refreshInterval:(display:Off,pause:!f,section:0,value:0),time:(from:'2017-11-01T18:26:30-0600',mode:absolute,to:'2017-11-01T20:57:12-0600'))&amp;_a=(columns:!('Message%20ID',Summary),filters:!(),index:'emp_*',interval:auto,query:(query_string:(analyze_wildcard:!t,query:'%22rtdc.l.rtdc.4031%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32" t="s">
        <v>834</v>
      </c>
      <c r="B199" s="7">
        <v>4032</v>
      </c>
      <c r="C199" s="21" t="s">
        <v>194</v>
      </c>
      <c r="D199" s="21" t="s">
        <v>421</v>
      </c>
      <c r="E199" s="13">
        <v>43040.794502314813</v>
      </c>
      <c r="F199" s="13">
        <v>43040.798113425924</v>
      </c>
      <c r="G199" s="7">
        <v>110</v>
      </c>
      <c r="H199" s="21" t="s">
        <v>1049</v>
      </c>
      <c r="I199" s="13">
        <v>43040.808958333335</v>
      </c>
      <c r="J199" s="7">
        <v>0</v>
      </c>
      <c r="K199" s="89" t="str">
        <f t="shared" si="223"/>
        <v>4031/4032</v>
      </c>
      <c r="L199" s="185" t="str">
        <f>VLOOKUP(A199,'Trips&amp;Operators'!$C$1:$G$99911,5,FALSE)</f>
        <v>HAMMOND JUSTYNN</v>
      </c>
      <c r="M199" s="6">
        <f t="shared" si="224"/>
        <v>1.0844907410501037E-2</v>
      </c>
      <c r="N199" s="7">
        <f t="shared" si="274"/>
        <v>15.616666671121493</v>
      </c>
      <c r="O199" s="7"/>
      <c r="P199" s="7"/>
      <c r="Q199" s="22"/>
      <c r="R199" s="174"/>
      <c r="S199" s="221">
        <f t="shared" si="225"/>
        <v>1</v>
      </c>
      <c r="T199" s="174" t="str">
        <f t="shared" si="226"/>
        <v>NorthBound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 t="shared" si="227"/>
        <v>https://d0f6bd738d7f1b3e5a7ca70fe4ff75f0.us-east-1.aws.found.io/app/kibana#/discover/Steve-Slow-Train-Analysis-(2080s-and-2083s)?_g=(refreshInterval:(display:Off,pause:!f,section:0,value:0),time:(from:'2017-11-01T18:04:05-0600',mode:absolute,to:'2017-11-01T20:24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9" s="204" t="str">
        <f>IF(AA199&lt;VLOOKUP(AG199,Variables!$AC$3:$AD$8,2,FALSE),"Y","N")</f>
        <v>N</v>
      </c>
      <c r="X199" s="204">
        <f t="shared" si="277"/>
        <v>1</v>
      </c>
      <c r="Y199" s="204">
        <f t="shared" si="275"/>
        <v>4.7500000000000001E-2</v>
      </c>
      <c r="Z199" s="204">
        <f t="shared" si="276"/>
        <v>5.8960999999999997</v>
      </c>
      <c r="AA199" s="204">
        <f t="shared" si="228"/>
        <v>5.8485999999999994</v>
      </c>
      <c r="AB199" s="54" t="e">
        <f>VLOOKUP(A199,Enforcements!$C$7:$K$10,8,0)</f>
        <v>#N/A</v>
      </c>
      <c r="AC199" s="51" t="e">
        <f>VLOOKUP(A199,Enforcements!$C$7:$E$10,3,0)</f>
        <v>#N/A</v>
      </c>
      <c r="AD199" s="179">
        <f t="shared" si="229"/>
        <v>841</v>
      </c>
      <c r="AE199" s="77" t="str">
        <f t="shared" si="230"/>
        <v>aws s3 cp s3://rtdc.mdm.uploadarchive.raw/RTDC4032/ "%USERPROFILE%\AppData\Local\Temp\OnboardLogs"\RTDC4032\2017-11-01 --exclude "*" --recursive --include "*20171101*" &amp; "%USERPROFILE%\Documents\GitHub\mrs-test-scripts\Headless Mode &amp; Sideloading\WalkAndUnGZ.bat" "%USERPROFILE%\AppData\Local\Temp\OnboardLogs"\RTDC4032\2017-11-01 &amp; aws s3 cp s3://rtdc.mdm.uploadarchive.raw/RTDC4032/ "%USERPROFILE%\AppData\Local\Temp\OnboardLogs"\RTDC4032\2017-11-02 --exclude "*" --recursive --include "*20171102*" &amp; "%USERPROFILE%\Documents\GitHub\mrs-test-scripts\Headless Mode &amp; Sideloading\WalkAndUnGZ.bat" "%USERPROFILE%\AppData\Local\Temp\OnboardLogs"\RTDC4032\2017-11-02</v>
      </c>
      <c r="AF199" s="74" t="str">
        <f t="shared" si="231"/>
        <v>"C:\Program Files (x86)\AstroGrep\AstroGrep.exe" /e /r /s /spath="%USERPROFILE%\AppData\Local\Temp\OnboardLogs" /stypes="app*4032*20171102*" /stext=" 01:.+((SYSTEM_STATE.+slice.+state.+changed )|(ment ac)|(multiple cpu faults)|(system.+state.+changed )|(\[timeout)|(PRM\|1\|D)|(kpr)|(kdp)|(train st.+moving)|(\|lc)|(penalty))"</v>
      </c>
      <c r="AG199" s="182" t="str">
        <f t="shared" si="232"/>
        <v>NW</v>
      </c>
      <c r="AH199" s="78" t="str">
        <f t="shared" si="249"/>
        <v>"%USERPROFILE%\Documents\GitHub\eaglep3\Utilities\RefineRTDCRunTimes.py" --tripid 841-01 --locoid 4032 --swversion DE.1.0.9.0 --startMP 204:475 --initTime 2017-11-01T19:04:05 --startdatetime 2017-11-01T19:09:17 --delay 110 --endMP 300:58961 --enddatetime 2017-11-01T19:24:54 --enforcementcount 0 &gt;&gt;%USERPROFILE%\Documents\GitHub\eaglep3-reporting\EC\2017-11-01-refined-times.txt</v>
      </c>
      <c r="AI199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{"issue":{"subject":"","project_id":79,"tracker_id":40,"status_id":1,"priority_id":2,"assigned_to_id":338,"start_date":"2017-11-01","description":"","custom_fields":[{"id":1,"name":"Subdivision","value":"NW"},{"id":4,"name":"Milepost","value":"5.8961"},{"id":17,"name":"Train ID","value":"841-01"},{"id":16,"name":"Locomotive ID","value":"4032"},{"id":130,"name":"Impact","value":""},{"id":150,"name":"Time of Event (Mountain Time)","value":"19:24:54"},{"id":151,"name":"Denver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47"/>
      <c r="AL199" s="47"/>
      <c r="AM199" s="142" t="str">
        <f t="shared" si="251"/>
        <v>start /low /b %USERPROFILE%\Documents\GitHub\eaglep3\Utilities\DownloadLogsFromS3.py --loco 4032 --day 2017-11-01</v>
      </c>
      <c r="AN199" s="151" t="str">
        <f t="shared" si="2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01:24:54"},{"id":29,"name":"Sharepoint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253"/>
        <v>https://d0f6bd738d7f1b3e5a7ca70fe4ff75f0.us-east-1.aws.found.io/app/kibana#/discover/Steve-Slow-Train-Analysis-(2080s-and-2083s)?_g=(refreshInterval:(display:Off,pause:!f,section:0,value:0),time:(from:'2017-11-01T18:04:05-0600',mode:absolute,to:'2017-11-01T20:24:54-0600'))&amp;_a=(columns:!('Message%20ID',Summary),filters:!(),index:'emp_*',interval:auto,query:(query_string:(analyze_wildcard:!t,query:'%22rtdc.l.rtdc.4032%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32" t="s">
        <v>647</v>
      </c>
      <c r="B200" s="7">
        <v>4031</v>
      </c>
      <c r="C200" s="21" t="s">
        <v>194</v>
      </c>
      <c r="D200" s="21" t="s">
        <v>1062</v>
      </c>
      <c r="E200" s="13">
        <v>43040.855034722219</v>
      </c>
      <c r="F200" s="13">
        <v>43040.86346064815</v>
      </c>
      <c r="G200" s="7">
        <v>70</v>
      </c>
      <c r="H200" s="21" t="s">
        <v>1063</v>
      </c>
      <c r="I200" s="13">
        <v>43040.875231481485</v>
      </c>
      <c r="J200" s="7">
        <v>0</v>
      </c>
      <c r="K200" s="89" t="str">
        <f t="shared" si="223"/>
        <v>4031/4032</v>
      </c>
      <c r="L200" s="185" t="str">
        <f>VLOOKUP(A200,'Trips&amp;Operators'!$C$1:$G$99911,5,FALSE)</f>
        <v>HAMMOND JUSTYNN</v>
      </c>
      <c r="M200" s="6">
        <f t="shared" si="224"/>
        <v>1.1770833334594499E-2</v>
      </c>
      <c r="N200" s="7"/>
      <c r="O200" s="7"/>
      <c r="P200" s="7"/>
      <c r="Q200" s="22"/>
      <c r="R200" s="174"/>
      <c r="S200" s="221"/>
      <c r="T200" s="174" t="str">
        <f t="shared" si="226"/>
        <v>Southbound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0</v>
      </c>
      <c r="V200" s="216" t="str">
        <f t="shared" si="227"/>
        <v>https://d0f6bd738d7f1b3e5a7ca70fe4ff75f0.us-east-1.aws.found.io/app/kibana#/discover/Steve-Slow-Train-Analysis-(2080s-and-2083s)?_g=(refreshInterval:(display:Off,pause:!f,section:0,value:0),time:(from:'2017-11-01T19:31:15-0600',mode:absolute,to:'2017-11-01T22:00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0" s="204" t="str">
        <f>IF(AA200&lt;VLOOKUP(AG200,Variables!$AC$3:$AD$8,2,FALSE),"Y","N")</f>
        <v>Y</v>
      </c>
      <c r="X200" s="204">
        <f t="shared" si="277"/>
        <v>1</v>
      </c>
      <c r="Y200" s="204">
        <f t="shared" si="275"/>
        <v>5.8582999999999998</v>
      </c>
      <c r="Z200" s="204">
        <f t="shared" si="276"/>
        <v>5.8349000000000002</v>
      </c>
      <c r="AA200" s="204">
        <f t="shared" si="228"/>
        <v>2.3399999999999643E-2</v>
      </c>
      <c r="AB200" s="54" t="e">
        <f>VLOOKUP(A200,Enforcements!$C$7:$K$10,8,0)</f>
        <v>#N/A</v>
      </c>
      <c r="AC200" s="51" t="e">
        <f>VLOOKUP(A200,Enforcements!$C$7:$E$10,3,0)</f>
        <v>#N/A</v>
      </c>
      <c r="AD200" s="179">
        <f t="shared" si="229"/>
        <v>842</v>
      </c>
      <c r="AE200" s="77" t="str">
        <f t="shared" si="230"/>
        <v>aws s3 cp s3://rtdc.mdm.uploadarchive.raw/RTDC4031/ "%USERPROFILE%\AppData\Local\Temp\OnboardLogs"\RTDC4031\2017-11-01 --exclude "*" --recursive --include "*20171101*" &amp; "%USERPROFILE%\Documents\GitHub\mrs-test-scripts\Headless Mode &amp; Sideloading\WalkAndUnGZ.bat" "%USERPROFILE%\AppData\Local\Temp\OnboardLogs"\RTDC4031\2017-11-01 &amp; 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</v>
      </c>
      <c r="AF200" s="74" t="str">
        <f t="shared" si="231"/>
        <v>"C:\Program Files (x86)\AstroGrep\AstroGrep.exe" /e /r /s /spath="%USERPROFILE%\AppData\Local\Temp\OnboardLogs" /stypes="app*4031*20171102*" /stext=" 03:.+((SYSTEM_STATE.+slice.+state.+changed )|(ment ac)|(multiple cpu faults)|(system.+state.+changed )|(\[timeout)|(PRM\|1\|D)|(kpr)|(kdp)|(train st.+moving)|(\|lc)|(penalty))"</v>
      </c>
      <c r="AG200" s="182" t="str">
        <f t="shared" si="232"/>
        <v>NW</v>
      </c>
      <c r="AH200" s="78" t="str">
        <f t="shared" si="249"/>
        <v>"%USERPROFILE%\Documents\GitHub\eaglep3\Utilities\RefineRTDCRunTimes.py" --tripid 842-01 --locoid 4031 --swversion DE.1.0.9.0 --startMP 300:58583 --initTime 2017-11-01T20:31:15 --startdatetime 2017-11-01T20:43:23 --delay 70 --endMP 300:58349 --enddatetime 2017-11-01T21:00:20 --enforcementcount 0 &gt;&gt;%USERPROFILE%\Documents\GitHub\eaglep3-reporting\EC\2017-11-01-refined-times.txt</v>
      </c>
      <c r="AI200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{"issue":{"subject":"","project_id":79,"tracker_id":40,"status_id":1,"priority_id":2,"assigned_to_id":338,"start_date":"2017-11-01","description":"","custom_fields":[{"id":1,"name":"Subdivision","value":"NW"},{"id":4,"name":"Milepost","value":"5.8349"},{"id":17,"name":"Train ID","value":"842-01"},{"id":16,"name":"Locomotive ID","value":"4031"},{"id":130,"name":"Impact","value":""},{"id":150,"name":"Time of Event (Mountain Time)","value":"21:00:20"},{"id":151,"name":"Denver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47"/>
      <c r="AL200" s="47"/>
      <c r="AM200" s="142" t="str">
        <f t="shared" si="251"/>
        <v>start /low /b %USERPROFILE%\Documents\GitHub\eaglep3\Utilities\DownloadLogsFromS3.py --loco 4031 --day 2017-11-01</v>
      </c>
      <c r="AN200" s="151" t="str">
        <f t="shared" si="2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03:00:20"},{"id":29,"name":"Sharepoint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253"/>
        <v>https://d0f6bd738d7f1b3e5a7ca70fe4ff75f0.us-east-1.aws.found.io/app/kibana#/discover/Steve-Slow-Train-Analysis-(2080s-and-2083s)?_g=(refreshInterval:(display:Off,pause:!f,section:0,value:0),time:(from:'2017-11-01T19:31:15-0600',mode:absolute,to:'2017-11-01T22:00:20-0600'))&amp;_a=(columns:!('Message%20ID',Summary),filters:!(),index:'emp_*',interval:auto,query:(query_string:(analyze_wildcard:!t,query:'%22rtdc.l.rtdc.4031%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32" t="s">
        <v>647</v>
      </c>
      <c r="B201" s="7">
        <v>4031</v>
      </c>
      <c r="C201" s="21" t="s">
        <v>194</v>
      </c>
      <c r="D201" s="21" t="s">
        <v>1064</v>
      </c>
      <c r="E201" s="13">
        <v>43040.858495370368</v>
      </c>
      <c r="F201" s="13">
        <v>43040.86346064815</v>
      </c>
      <c r="G201" s="7">
        <v>39</v>
      </c>
      <c r="H201" s="21" t="s">
        <v>886</v>
      </c>
      <c r="I201" s="13">
        <v>43040.875231481485</v>
      </c>
      <c r="J201" s="7">
        <v>0</v>
      </c>
      <c r="K201" s="89" t="str">
        <f t="shared" si="223"/>
        <v>4031/4032</v>
      </c>
      <c r="L201" s="185" t="str">
        <f>VLOOKUP(A201,'Trips&amp;Operators'!$C$1:$G$99911,5,FALSE)</f>
        <v>HAMMOND JUSTYNN</v>
      </c>
      <c r="M201" s="6">
        <f t="shared" si="224"/>
        <v>1.1770833334594499E-2</v>
      </c>
      <c r="N201" s="7">
        <f t="shared" si="274"/>
        <v>16.950000001816079</v>
      </c>
      <c r="O201" s="7"/>
      <c r="P201" s="7"/>
      <c r="Q201" s="22"/>
      <c r="R201" s="174" t="s">
        <v>1105</v>
      </c>
      <c r="S201" s="221">
        <f t="shared" si="225"/>
        <v>1</v>
      </c>
      <c r="T201" s="174" t="str">
        <f t="shared" si="226"/>
        <v>Southbound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 t="shared" si="227"/>
        <v>https://d0f6bd738d7f1b3e5a7ca70fe4ff75f0.us-east-1.aws.found.io/app/kibana#/discover/Steve-Slow-Train-Analysis-(2080s-and-2083s)?_g=(refreshInterval:(display:Off,pause:!f,section:0,value:0),time:(from:'2017-11-01T19:36:14-0600',mode:absolute,to:'2017-11-01T22:00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1" s="204" t="str">
        <f>IF(AA201&lt;VLOOKUP(AG201,Variables!$AC$3:$AD$8,2,FALSE),"Y","N")</f>
        <v>N</v>
      </c>
      <c r="X201" s="204">
        <f t="shared" si="277"/>
        <v>0</v>
      </c>
      <c r="Y201" s="204">
        <f t="shared" si="275"/>
        <v>5.7248000000000001</v>
      </c>
      <c r="Z201" s="204">
        <f t="shared" si="276"/>
        <v>1.49E-2</v>
      </c>
      <c r="AA201" s="204">
        <f t="shared" si="228"/>
        <v>5.7099000000000002</v>
      </c>
      <c r="AB201" s="54" t="e">
        <f>VLOOKUP(A201,Enforcements!$C$7:$K$10,8,0)</f>
        <v>#N/A</v>
      </c>
      <c r="AC201" s="51" t="e">
        <f>VLOOKUP(A201,Enforcements!$C$7:$E$10,3,0)</f>
        <v>#N/A</v>
      </c>
      <c r="AD201" s="179">
        <f t="shared" si="229"/>
        <v>842</v>
      </c>
      <c r="AE201" s="77" t="str">
        <f t="shared" si="230"/>
        <v>aws s3 cp s3://rtdc.mdm.uploadarchive.raw/RTDC4031/ "%USERPROFILE%\AppData\Local\Temp\OnboardLogs"\RTDC4031\2017-11-01 --exclude "*" --recursive --include "*20171101*" &amp; "%USERPROFILE%\Documents\GitHub\mrs-test-scripts\Headless Mode &amp; Sideloading\WalkAndUnGZ.bat" "%USERPROFILE%\AppData\Local\Temp\OnboardLogs"\RTDC4031\2017-11-01 &amp; 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</v>
      </c>
      <c r="AF201" s="74" t="str">
        <f t="shared" si="231"/>
        <v>"C:\Program Files (x86)\AstroGrep\AstroGrep.exe" /e /r /s /spath="%USERPROFILE%\AppData\Local\Temp\OnboardLogs" /stypes="app*4031*20171102*" /stext=" 03:.+((SYSTEM_STATE.+slice.+state.+changed )|(ment ac)|(multiple cpu faults)|(system.+state.+changed )|(\[timeout)|(PRM\|1\|D)|(kpr)|(kdp)|(train st.+moving)|(\|lc)|(penalty))"</v>
      </c>
      <c r="AG201" s="182" t="str">
        <f t="shared" si="232"/>
        <v>NW</v>
      </c>
      <c r="AH201" s="78" t="str">
        <f t="shared" si="249"/>
        <v>"%USERPROFILE%\Documents\GitHub\eaglep3\Utilities\RefineRTDCRunTimes.py" --tripid 842-01 --locoid 4031 --swversion DE.1.0.9.0 --startMP 300:57248 --initTime 2017-11-01T20:36:14 --startdatetime 2017-11-01T20:43:23 --delay 39 --endMP 204:149 --enddatetime 2017-11-01T21:00:20 --enforcementcount 0 &gt;&gt;%USERPROFILE%\Documents\GitHub\eaglep3-reporting\EC\2017-11-01-refined-times.txt</v>
      </c>
      <c r="AI201" s="96" t="str">
        <f t="shared" si="250"/>
        <v>echo {"issue":{"subject":"Observed onboard en route failure during init","project_id":79,"tracker_id":40,"status_id":1,"priority_id":2,"assigned_to_id":338,"start_date":"2017-11-01","description":"","custom_fields":[{"id":1,"name":"Subdivision","value":"NW"},{"id":4,"name":"Milepost","value":"0.0149"},{"id":17,"name":"Train ID","value":"842-01"},{"id":16,"name":"Locomotive ID","value":"4031"},{"id":130,"name":"Impact","value":""},{"id":150,"name":"Time of Event (Mountain Time)","value":"21:00:20"},{"id":151,"name":"Denver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47"/>
      <c r="AL201" s="47"/>
      <c r="AM201" s="142" t="str">
        <f t="shared" si="251"/>
        <v>start /low /b %USERPROFILE%\Documents\GitHub\eaglep3\Utilities\DownloadLogsFromS3.py --loco 4031 --day 2017-11-01</v>
      </c>
      <c r="AN201" s="151" t="str">
        <f t="shared" si="252"/>
        <v>echo {"issue":{"subject":"Observed onboard en route failure during init","project_id":30,"tracker_id":4,"status_id":1,"priority_id":1,"assigned_to_id":10,"start_date":"2017-11-02","description":"","custom_fields":[{"id":30,"name":"Category","value":"Issue"},{"id":3,"name":"Functional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03:00:20"},{"id":29,"name":"Sharepoint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si="253"/>
        <v>https://d0f6bd738d7f1b3e5a7ca70fe4ff75f0.us-east-1.aws.found.io/app/kibana#/discover/Steve-Slow-Train-Analysis-(2080s-and-2083s)?_g=(refreshInterval:(display:Off,pause:!f,section:0,value:0),time:(from:'2017-11-01T19:36:14-0600',mode:absolute,to:'2017-11-01T22:00:20-0600'))&amp;_a=(columns:!('Message%20ID',Summary),filters:!(),index:'emp_*',interval:auto,query:(query_string:(analyze_wildcard:!t,query:'%22rtdc.l.rtdc.4031%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32" t="s">
        <v>843</v>
      </c>
      <c r="B202" s="7">
        <v>4032</v>
      </c>
      <c r="C202" s="21" t="s">
        <v>194</v>
      </c>
      <c r="D202" s="21" t="s">
        <v>394</v>
      </c>
      <c r="E202" s="13">
        <v>43040.835729166669</v>
      </c>
      <c r="F202" s="13">
        <v>43040.839791666665</v>
      </c>
      <c r="G202" s="7">
        <v>57</v>
      </c>
      <c r="H202" s="21" t="s">
        <v>608</v>
      </c>
      <c r="I202" s="13">
        <v>43040.850694444445</v>
      </c>
      <c r="J202" s="7">
        <v>0</v>
      </c>
      <c r="K202" s="89" t="str">
        <f t="shared" si="223"/>
        <v>4031/4032</v>
      </c>
      <c r="L202" s="185" t="str">
        <f>VLOOKUP(A202,'Trips&amp;Operators'!$C$1:$G$99911,5,FALSE)</f>
        <v>HAMMOND JUSTYNN</v>
      </c>
      <c r="M202" s="6">
        <f t="shared" si="224"/>
        <v>1.0902777779847383E-2</v>
      </c>
      <c r="N202" s="7">
        <f t="shared" si="274"/>
        <v>15.700000002980232</v>
      </c>
      <c r="O202" s="7"/>
      <c r="P202" s="7"/>
      <c r="Q202" s="22"/>
      <c r="R202" s="174"/>
      <c r="S202" s="221">
        <f t="shared" si="225"/>
        <v>1</v>
      </c>
      <c r="T202" s="174" t="str">
        <f t="shared" si="226"/>
        <v>NorthBound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 t="shared" si="227"/>
        <v>https://d0f6bd738d7f1b3e5a7ca70fe4ff75f0.us-east-1.aws.found.io/app/kibana#/discover/Steve-Slow-Train-Analysis-(2080s-and-2083s)?_g=(refreshInterval:(display:Off,pause:!f,section:0,value:0),time:(from:'2017-11-01T19:03:27-0600',mode:absolute,to:'2017-11-01T21:25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2" s="204" t="str">
        <f>IF(AA202&lt;VLOOKUP(AG202,Variables!$AC$3:$AD$8,2,FALSE),"Y","N")</f>
        <v>N</v>
      </c>
      <c r="X202" s="204">
        <f t="shared" si="277"/>
        <v>1</v>
      </c>
      <c r="Y202" s="204">
        <f t="shared" si="275"/>
        <v>4.7699999999999999E-2</v>
      </c>
      <c r="Z202" s="204">
        <f t="shared" si="276"/>
        <v>5.8958000000000004</v>
      </c>
      <c r="AA202" s="204">
        <f t="shared" si="228"/>
        <v>5.8481000000000005</v>
      </c>
      <c r="AB202" s="54" t="e">
        <f>VLOOKUP(A202,Enforcements!$C$7:$K$10,8,0)</f>
        <v>#N/A</v>
      </c>
      <c r="AC202" s="51" t="e">
        <f>VLOOKUP(A202,Enforcements!$C$7:$E$10,3,0)</f>
        <v>#N/A</v>
      </c>
      <c r="AD202" s="179">
        <f t="shared" si="229"/>
        <v>843</v>
      </c>
      <c r="AE202" s="77" t="str">
        <f t="shared" si="230"/>
        <v>aws s3 cp s3://rtdc.mdm.uploadarchive.raw/RTDC4032/ "%USERPROFILE%\AppData\Local\Temp\OnboardLogs"\RTDC4032\2017-11-01 --exclude "*" --recursive --include "*20171101*" &amp; "%USERPROFILE%\Documents\GitHub\mrs-test-scripts\Headless Mode &amp; Sideloading\WalkAndUnGZ.bat" "%USERPROFILE%\AppData\Local\Temp\OnboardLogs"\RTDC4032\2017-11-01 &amp; aws s3 cp s3://rtdc.mdm.uploadarchive.raw/RTDC4032/ "%USERPROFILE%\AppData\Local\Temp\OnboardLogs"\RTDC4032\2017-11-02 --exclude "*" --recursive --include "*20171102*" &amp; "%USERPROFILE%\Documents\GitHub\mrs-test-scripts\Headless Mode &amp; Sideloading\WalkAndUnGZ.bat" "%USERPROFILE%\AppData\Local\Temp\OnboardLogs"\RTDC4032\2017-11-02</v>
      </c>
      <c r="AF202" s="74" t="str">
        <f t="shared" si="231"/>
        <v>"C:\Program Files (x86)\AstroGrep\AstroGrep.exe" /e /r /s /spath="%USERPROFILE%\AppData\Local\Temp\OnboardLogs" /stypes="app*4032*20171102*" /stext=" 02:.+((SYSTEM_STATE.+slice.+state.+changed )|(ment ac)|(multiple cpu faults)|(system.+state.+changed )|(\[timeout)|(PRM\|1\|D)|(kpr)|(kdp)|(train st.+moving)|(\|lc)|(penalty))"</v>
      </c>
      <c r="AG202" s="182" t="str">
        <f t="shared" si="232"/>
        <v>NW</v>
      </c>
      <c r="AH202" s="78" t="str">
        <f t="shared" si="249"/>
        <v>"%USERPROFILE%\Documents\GitHub\eaglep3\Utilities\RefineRTDCRunTimes.py" --tripid 843-01 --locoid 4032 --swversion DE.1.0.9.0 --startMP 204:477 --initTime 2017-11-01T20:03:27 --startdatetime 2017-11-01T20:09:18 --delay 57 --endMP 300:58958 --enddatetime 2017-11-01T20:25:00 --enforcementcount 0 &gt;&gt;%USERPROFILE%\Documents\GitHub\eaglep3-reporting\EC\2017-11-01-refined-times.txt</v>
      </c>
      <c r="AI202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{"issue":{"subject":"","project_id":79,"tracker_id":40,"status_id":1,"priority_id":2,"assigned_to_id":338,"start_date":"2017-11-01","description":"","custom_fields":[{"id":1,"name":"Subdivision","value":"NW"},{"id":4,"name":"Milepost","value":"5.8958"},{"id":17,"name":"Train ID","value":"843-01"},{"id":16,"name":"Locomotive ID","value":"4032"},{"id":130,"name":"Impact","value":""},{"id":150,"name":"Time of Event (Mountain Time)","value":"20:25:00"},{"id":151,"name":"Denver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47"/>
      <c r="AL202" s="47"/>
      <c r="AM202" s="142" t="str">
        <f t="shared" si="251"/>
        <v>start /low /b %USERPROFILE%\Documents\GitHub\eaglep3\Utilities\DownloadLogsFromS3.py --loco 4032 --day 2017-11-01</v>
      </c>
      <c r="AN202" s="151" t="str">
        <f t="shared" si="2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02:25:00"},{"id":29,"name":"Sharepoint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253"/>
        <v>https://d0f6bd738d7f1b3e5a7ca70fe4ff75f0.us-east-1.aws.found.io/app/kibana#/discover/Steve-Slow-Train-Analysis-(2080s-and-2083s)?_g=(refreshInterval:(display:Off,pause:!f,section:0,value:0),time:(from:'2017-11-01T19:03:27-0600',mode:absolute,to:'2017-11-01T21:25:00-0600'))&amp;_a=(columns:!('Message%20ID',Summary),filters:!(),index:'emp_*',interval:auto,query:(query_string:(analyze_wildcard:!t,query:'%22rtdc.l.rtdc.4032%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32" t="s">
        <v>648</v>
      </c>
      <c r="B203" s="7">
        <v>4031</v>
      </c>
      <c r="C203" s="21" t="s">
        <v>194</v>
      </c>
      <c r="D203" s="21" t="s">
        <v>607</v>
      </c>
      <c r="E203" s="13">
        <v>43040.891423611109</v>
      </c>
      <c r="F203" s="13">
        <v>43040.904930555553</v>
      </c>
      <c r="G203" s="7">
        <v>71</v>
      </c>
      <c r="H203" s="21" t="s">
        <v>1065</v>
      </c>
      <c r="I203" s="13">
        <v>43040.912835648145</v>
      </c>
      <c r="J203" s="7">
        <v>0</v>
      </c>
      <c r="K203" s="89" t="str">
        <f t="shared" si="223"/>
        <v>4031/4032</v>
      </c>
      <c r="L203" s="185" t="str">
        <f>VLOOKUP(A203,'Trips&amp;Operators'!$C$1:$G$99911,5,FALSE)</f>
        <v>STAMBAUGH JAMES</v>
      </c>
      <c r="M203" s="6">
        <f t="shared" si="224"/>
        <v>7.9050925924093463E-3</v>
      </c>
      <c r="N203" s="7">
        <f t="shared" si="274"/>
        <v>11.383333333069459</v>
      </c>
      <c r="O203" s="7"/>
      <c r="P203" s="7"/>
      <c r="Q203" s="22"/>
      <c r="R203" s="174"/>
      <c r="S203" s="221">
        <f t="shared" si="225"/>
        <v>1</v>
      </c>
      <c r="T203" s="174" t="str">
        <f t="shared" si="226"/>
        <v>Southbound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 t="shared" si="227"/>
        <v>https://d0f6bd738d7f1b3e5a7ca70fe4ff75f0.us-east-1.aws.found.io/app/kibana#/discover/Steve-Slow-Train-Analysis-(2080s-and-2083s)?_g=(refreshInterval:(display:Off,pause:!f,section:0,value:0),time:(from:'2017-11-01T20:23:39-0600',mode:absolute,to:'2017-11-01T22:54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3" s="204" t="str">
        <f>IF(AA203&lt;VLOOKUP(AG203,Variables!$AC$3:$AD$8,2,FALSE),"Y","N")</f>
        <v>N</v>
      </c>
      <c r="X203" s="204">
        <f t="shared" si="277"/>
        <v>1</v>
      </c>
      <c r="Y203" s="204">
        <f t="shared" si="275"/>
        <v>5.8628</v>
      </c>
      <c r="Z203" s="204">
        <f t="shared" si="276"/>
        <v>6.3E-3</v>
      </c>
      <c r="AA203" s="204">
        <f t="shared" si="228"/>
        <v>5.8564999999999996</v>
      </c>
      <c r="AB203" s="54" t="e">
        <f>VLOOKUP(A203,Enforcements!$C$7:$K$10,8,0)</f>
        <v>#N/A</v>
      </c>
      <c r="AC203" s="51" t="e">
        <f>VLOOKUP(A203,Enforcements!$C$7:$E$10,3,0)</f>
        <v>#N/A</v>
      </c>
      <c r="AD203" s="179">
        <f t="shared" si="229"/>
        <v>844</v>
      </c>
      <c r="AE203" s="77" t="str">
        <f t="shared" si="230"/>
        <v>aws s3 cp s3://rtdc.mdm.uploadarchive.raw/RTDC4031/ "%USERPROFILE%\AppData\Local\Temp\OnboardLogs"\RTDC4031\2017-11-01 --exclude "*" --recursive --include "*20171101*" &amp; "%USERPROFILE%\Documents\GitHub\mrs-test-scripts\Headless Mode &amp; Sideloading\WalkAndUnGZ.bat" "%USERPROFILE%\AppData\Local\Temp\OnboardLogs"\RTDC4031\2017-11-01 &amp; 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</v>
      </c>
      <c r="AF203" s="74" t="str">
        <f t="shared" si="231"/>
        <v>"C:\Program Files (x86)\AstroGrep\AstroGrep.exe" /e /r /s /spath="%USERPROFILE%\AppData\Local\Temp\OnboardLogs" /stypes="app*4031*20171102*" /stext=" 03:.+((SYSTEM_STATE.+slice.+state.+changed )|(ment ac)|(multiple cpu faults)|(system.+state.+changed )|(\[timeout)|(PRM\|1\|D)|(kpr)|(kdp)|(train st.+moving)|(\|lc)|(penalty))"</v>
      </c>
      <c r="AG203" s="182" t="str">
        <f t="shared" si="232"/>
        <v>NW</v>
      </c>
      <c r="AH203" s="78" t="str">
        <f t="shared" si="249"/>
        <v>"%USERPROFILE%\Documents\GitHub\eaglep3\Utilities\RefineRTDCRunTimes.py" --tripid 844-01 --locoid 4031 --swversion DE.1.0.9.0 --startMP 300:58628 --initTime 2017-11-01T21:23:39 --startdatetime 2017-11-01T21:43:06 --delay 71 --endMP 204:63 --enddatetime 2017-11-01T21:54:29 --enforcementcount 0 &gt;&gt;%USERPROFILE%\Documents\GitHub\eaglep3-reporting\EC\2017-11-01-refined-times.txt</v>
      </c>
      <c r="AI203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{"issue":{"subject":"","project_id":79,"tracker_id":40,"status_id":1,"priority_id":2,"assigned_to_id":338,"start_date":"2017-11-01","description":"","custom_fields":[{"id":1,"name":"Subdivision","value":"NW"},{"id":4,"name":"Milepost","value":"0.0063"},{"id":17,"name":"Train ID","value":"844-01"},{"id":16,"name":"Locomotive ID","value":"4031"},{"id":130,"name":"Impact","value":""},{"id":150,"name":"Time of Event (Mountain Time)","value":"21:54:29"},{"id":151,"name":"Denver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47"/>
      <c r="AL203" s="47"/>
      <c r="AM203" s="142" t="str">
        <f t="shared" si="251"/>
        <v>start /low /b %USERPROFILE%\Documents\GitHub\eaglep3\Utilities\DownloadLogsFromS3.py --loco 4031 --day 2017-11-01</v>
      </c>
      <c r="AN203" s="151" t="str">
        <f t="shared" si="2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03:54:29"},{"id":29,"name":"Sharepoint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253"/>
        <v>https://d0f6bd738d7f1b3e5a7ca70fe4ff75f0.us-east-1.aws.found.io/app/kibana#/discover/Steve-Slow-Train-Analysis-(2080s-and-2083s)?_g=(refreshInterval:(display:Off,pause:!f,section:0,value:0),time:(from:'2017-11-01T20:23:39-0600',mode:absolute,to:'2017-11-01T22:54:29-0600'))&amp;_a=(columns:!('Message%20ID',Summary),filters:!(),index:'emp_*',interval:auto,query:(query_string:(analyze_wildcard:!t,query:'%22rtdc.l.rtdc.4031%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32" t="s">
        <v>849</v>
      </c>
      <c r="B204" s="7">
        <v>4032</v>
      </c>
      <c r="C204" s="21" t="s">
        <v>194</v>
      </c>
      <c r="D204" s="21" t="s">
        <v>559</v>
      </c>
      <c r="E204" s="13">
        <v>43040.879814814813</v>
      </c>
      <c r="F204" s="13">
        <v>43040.881643518522</v>
      </c>
      <c r="G204" s="7">
        <v>74</v>
      </c>
      <c r="H204" s="21" t="s">
        <v>455</v>
      </c>
      <c r="I204" s="13">
        <v>43040.890497685185</v>
      </c>
      <c r="J204" s="7">
        <v>0</v>
      </c>
      <c r="K204" s="89" t="str">
        <f t="shared" si="223"/>
        <v>4031/4032</v>
      </c>
      <c r="L204" s="185" t="str">
        <f>VLOOKUP(A204,'Trips&amp;Operators'!$C$1:$G$99911,5,FALSE)</f>
        <v>STAMBAUGH JAMES</v>
      </c>
      <c r="M204" s="6">
        <f t="shared" si="224"/>
        <v>8.8541666627861559E-3</v>
      </c>
      <c r="N204" s="7">
        <f t="shared" si="274"/>
        <v>12.749999994412065</v>
      </c>
      <c r="O204" s="7"/>
      <c r="P204" s="7"/>
      <c r="Q204" s="22"/>
      <c r="R204" s="174"/>
      <c r="S204" s="221">
        <f t="shared" si="225"/>
        <v>1</v>
      </c>
      <c r="T204" s="174" t="str">
        <f t="shared" si="226"/>
        <v>NorthBound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 t="shared" si="227"/>
        <v>https://d0f6bd738d7f1b3e5a7ca70fe4ff75f0.us-east-1.aws.found.io/app/kibana#/discover/Steve-Slow-Train-Analysis-(2080s-and-2083s)?_g=(refreshInterval:(display:Off,pause:!f,section:0,value:0),time:(from:'2017-11-01T20:06:56-0600',mode:absolute,to:'2017-11-01T22:22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4" s="204" t="str">
        <f>IF(AA204&lt;VLOOKUP(AG204,Variables!$AC$3:$AD$8,2,FALSE),"Y","N")</f>
        <v>N</v>
      </c>
      <c r="X204" s="204">
        <f t="shared" si="277"/>
        <v>1</v>
      </c>
      <c r="Y204" s="204">
        <f t="shared" si="275"/>
        <v>4.5699999999999998E-2</v>
      </c>
      <c r="Z204" s="204">
        <f t="shared" si="276"/>
        <v>5.8935000000000004</v>
      </c>
      <c r="AA204" s="204">
        <f t="shared" si="228"/>
        <v>5.8478000000000003</v>
      </c>
      <c r="AB204" s="54" t="e">
        <f>VLOOKUP(A204,Enforcements!$C$7:$K$10,8,0)</f>
        <v>#N/A</v>
      </c>
      <c r="AC204" s="51" t="e">
        <f>VLOOKUP(A204,Enforcements!$C$7:$E$10,3,0)</f>
        <v>#N/A</v>
      </c>
      <c r="AD204" s="179">
        <f t="shared" si="229"/>
        <v>845</v>
      </c>
      <c r="AE204" s="77" t="str">
        <f t="shared" si="230"/>
        <v>aws s3 cp s3://rtdc.mdm.uploadarchive.raw/RTDC4032/ "%USERPROFILE%\AppData\Local\Temp\OnboardLogs"\RTDC4032\2017-11-01 --exclude "*" --recursive --include "*20171101*" &amp; "%USERPROFILE%\Documents\GitHub\mrs-test-scripts\Headless Mode &amp; Sideloading\WalkAndUnGZ.bat" "%USERPROFILE%\AppData\Local\Temp\OnboardLogs"\RTDC4032\2017-11-01 &amp; aws s3 cp s3://rtdc.mdm.uploadarchive.raw/RTDC4032/ "%USERPROFILE%\AppData\Local\Temp\OnboardLogs"\RTDC4032\2017-11-02 --exclude "*" --recursive --include "*20171102*" &amp; "%USERPROFILE%\Documents\GitHub\mrs-test-scripts\Headless Mode &amp; Sideloading\WalkAndUnGZ.bat" "%USERPROFILE%\AppData\Local\Temp\OnboardLogs"\RTDC4032\2017-11-02</v>
      </c>
      <c r="AF204" s="74" t="str">
        <f t="shared" si="231"/>
        <v>"C:\Program Files (x86)\AstroGrep\AstroGrep.exe" /e /r /s /spath="%USERPROFILE%\AppData\Local\Temp\OnboardLogs" /stypes="app*4032*20171102*" /stext=" 03:.+((SYSTEM_STATE.+slice.+state.+changed )|(ment ac)|(multiple cpu faults)|(system.+state.+changed )|(\[timeout)|(PRM\|1\|D)|(kpr)|(kdp)|(train st.+moving)|(\|lc)|(penalty))"</v>
      </c>
      <c r="AG204" s="182" t="str">
        <f t="shared" si="232"/>
        <v>NW</v>
      </c>
      <c r="AH204" s="78" t="str">
        <f t="shared" si="249"/>
        <v>"%USERPROFILE%\Documents\GitHub\eaglep3\Utilities\RefineRTDCRunTimes.py" --tripid 845-01 --locoid 4032 --swversion DE.1.0.9.0 --startMP 204:457 --initTime 2017-11-01T21:06:56 --startdatetime 2017-11-01T21:09:34 --delay 74 --endMP 300:58935 --enddatetime 2017-11-01T21:22:19 --enforcementcount 0 &gt;&gt;%USERPROFILE%\Documents\GitHub\eaglep3-reporting\EC\2017-11-01-refined-times.txt</v>
      </c>
      <c r="AI204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{"issue":{"subject":"","project_id":79,"tracker_id":40,"status_id":1,"priority_id":2,"assigned_to_id":338,"start_date":"2017-11-01","description":"","custom_fields":[{"id":1,"name":"Subdivision","value":"NW"},{"id":4,"name":"Milepost","value":"5.8935"},{"id":17,"name":"Train ID","value":"845-01"},{"id":16,"name":"Locomotive ID","value":"4032"},{"id":130,"name":"Impact","value":""},{"id":150,"name":"Time of Event (Mountain Time)","value":"21:22:19"},{"id":151,"name":"Denver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47"/>
      <c r="AL204" s="47"/>
      <c r="AM204" s="142" t="str">
        <f t="shared" si="251"/>
        <v>start /low /b %USERPROFILE%\Documents\GitHub\eaglep3\Utilities\DownloadLogsFromS3.py --loco 4032 --day 2017-11-01</v>
      </c>
      <c r="AN204" s="151" t="str">
        <f t="shared" si="2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03:22:19"},{"id":29,"name":"Sharepoint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si="253"/>
        <v>https://d0f6bd738d7f1b3e5a7ca70fe4ff75f0.us-east-1.aws.found.io/app/kibana#/discover/Steve-Slow-Train-Analysis-(2080s-and-2083s)?_g=(refreshInterval:(display:Off,pause:!f,section:0,value:0),time:(from:'2017-11-01T20:06:56-0600',mode:absolute,to:'2017-11-01T22:22:19-0600'))&amp;_a=(columns:!('Message%20ID',Summary),filters:!(),index:'emp_*',interval:auto,query:(query_string:(analyze_wildcard:!t,query:'%22rtdc.l.rtdc.4032%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32" t="s">
        <v>855</v>
      </c>
      <c r="B205" s="7">
        <v>4031</v>
      </c>
      <c r="C205" s="21" t="s">
        <v>194</v>
      </c>
      <c r="D205" s="21" t="s">
        <v>1066</v>
      </c>
      <c r="E205" s="13">
        <v>43040.93340277778</v>
      </c>
      <c r="F205" s="13">
        <v>43040.946655092594</v>
      </c>
      <c r="G205" s="7">
        <v>65</v>
      </c>
      <c r="H205" s="21" t="s">
        <v>1067</v>
      </c>
      <c r="I205" s="13">
        <v>43040.954363425924</v>
      </c>
      <c r="J205" s="7">
        <v>0</v>
      </c>
      <c r="K205" s="89" t="str">
        <f t="shared" si="223"/>
        <v>4031/4032</v>
      </c>
      <c r="L205" s="185" t="str">
        <f>VLOOKUP(A205,'Trips&amp;Operators'!$C$1:$G$99911,5,FALSE)</f>
        <v>STAMBAUGH JAMES</v>
      </c>
      <c r="M205" s="6">
        <f t="shared" si="224"/>
        <v>7.7083333308110014E-3</v>
      </c>
      <c r="N205" s="7">
        <f t="shared" si="274"/>
        <v>11.099999996367842</v>
      </c>
      <c r="O205" s="7"/>
      <c r="P205" s="7"/>
      <c r="Q205" s="22"/>
      <c r="R205" s="174"/>
      <c r="S205" s="221">
        <f t="shared" si="225"/>
        <v>1</v>
      </c>
      <c r="T205" s="174" t="str">
        <f t="shared" si="226"/>
        <v>Southbound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 t="shared" si="227"/>
        <v>https://d0f6bd738d7f1b3e5a7ca70fe4ff75f0.us-east-1.aws.found.io/app/kibana#/discover/Steve-Slow-Train-Analysis-(2080s-and-2083s)?_g=(refreshInterval:(display:Off,pause:!f,section:0,value:0),time:(from:'2017-11-01T21:24:06-0600',mode:absolute,to:'2017-11-01T23:54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5" s="204" t="str">
        <f>IF(AA205&lt;VLOOKUP(AG205,Variables!$AC$3:$AD$8,2,FALSE),"Y","N")</f>
        <v>N</v>
      </c>
      <c r="X205" s="204">
        <f t="shared" si="277"/>
        <v>1</v>
      </c>
      <c r="Y205" s="204">
        <f t="shared" si="275"/>
        <v>5.8651</v>
      </c>
      <c r="Z205" s="204">
        <f t="shared" si="276"/>
        <v>6.6799999999999998E-2</v>
      </c>
      <c r="AA205" s="204">
        <f t="shared" si="228"/>
        <v>5.7983000000000002</v>
      </c>
      <c r="AB205" s="54" t="e">
        <f>VLOOKUP(A205,Enforcements!$C$7:$K$10,8,0)</f>
        <v>#N/A</v>
      </c>
      <c r="AC205" s="51" t="e">
        <f>VLOOKUP(A205,Enforcements!$C$7:$E$10,3,0)</f>
        <v>#N/A</v>
      </c>
      <c r="AD205" s="179">
        <f t="shared" si="229"/>
        <v>846</v>
      </c>
      <c r="AE205" s="77" t="str">
        <f t="shared" si="230"/>
        <v>aws s3 cp s3://rtdc.mdm.uploadarchive.raw/RTDC4031/ "%USERPROFILE%\AppData\Local\Temp\OnboardLogs"\RTDC4031\2017-11-01 --exclude "*" --recursive --include "*20171101*" &amp; "%USERPROFILE%\Documents\GitHub\mrs-test-scripts\Headless Mode &amp; Sideloading\WalkAndUnGZ.bat" "%USERPROFILE%\AppData\Local\Temp\OnboardLogs"\RTDC4031\2017-11-01 &amp; 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</v>
      </c>
      <c r="AF205" s="74" t="str">
        <f t="shared" si="231"/>
        <v>"C:\Program Files (x86)\AstroGrep\AstroGrep.exe" /e /r /s /spath="%USERPROFILE%\AppData\Local\Temp\OnboardLogs" /stypes="app*4031*20171102*" /stext=" 04:.+((SYSTEM_STATE.+slice.+state.+changed )|(ment ac)|(multiple cpu faults)|(system.+state.+changed )|(\[timeout)|(PRM\|1\|D)|(kpr)|(kdp)|(train st.+moving)|(\|lc)|(penalty))"</v>
      </c>
      <c r="AG205" s="182" t="str">
        <f t="shared" si="232"/>
        <v>NW</v>
      </c>
      <c r="AH205" s="78" t="str">
        <f t="shared" si="249"/>
        <v>"%USERPROFILE%\Documents\GitHub\eaglep3\Utilities\RefineRTDCRunTimes.py" --tripid 846-01 --locoid 4031 --swversion DE.1.0.9.0 --startMP 300:58651 --initTime 2017-11-01T22:24:06 --startdatetime 2017-11-01T22:43:11 --delay 65 --endMP 204:668 --enddatetime 2017-11-01T22:54:17 --enforcementcount 0 &gt;&gt;%USERPROFILE%\Documents\GitHub\eaglep3-reporting\EC\2017-11-01-refined-times.txt</v>
      </c>
      <c r="AI205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{"issue":{"subject":"","project_id":79,"tracker_id":40,"status_id":1,"priority_id":2,"assigned_to_id":338,"start_date":"2017-11-01","description":"","custom_fields":[{"id":1,"name":"Subdivision","value":"NW"},{"id":4,"name":"Milepost","value":"0.0668"},{"id":17,"name":"Train ID","value":"846-01"},{"id":16,"name":"Locomotive ID","value":"4031"},{"id":130,"name":"Impact","value":""},{"id":150,"name":"Time of Event (Mountain Time)","value":"22:54:17"},{"id":151,"name":"Denver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47"/>
      <c r="AL205" s="47"/>
      <c r="AM205" s="142" t="str">
        <f t="shared" si="251"/>
        <v>start /low /b %USERPROFILE%\Documents\GitHub\eaglep3\Utilities\DownloadLogsFromS3.py --loco 4031 --day 2017-11-01</v>
      </c>
      <c r="AN205" s="151" t="str">
        <f t="shared" si="2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04:54:17"},{"id":29,"name":"Sharepoint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si="253"/>
        <v>https://d0f6bd738d7f1b3e5a7ca70fe4ff75f0.us-east-1.aws.found.io/app/kibana#/discover/Steve-Slow-Train-Analysis-(2080s-and-2083s)?_g=(refreshInterval:(display:Off,pause:!f,section:0,value:0),time:(from:'2017-11-01T21:24:06-0600',mode:absolute,to:'2017-11-01T23:54:17-0600'))&amp;_a=(columns:!('Message%20ID',Summary),filters:!(),index:'emp_*',interval:auto,query:(query_string:(analyze_wildcard:!t,query:'%22rtdc.l.rtdc.4031%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32" t="s">
        <v>853</v>
      </c>
      <c r="B206" s="7">
        <v>4032</v>
      </c>
      <c r="C206" s="21" t="s">
        <v>194</v>
      </c>
      <c r="D206" s="21" t="s">
        <v>1068</v>
      </c>
      <c r="E206" s="13">
        <v>43040.920219907406</v>
      </c>
      <c r="F206" s="13">
        <v>43040.923344907409</v>
      </c>
      <c r="G206" s="7">
        <v>56</v>
      </c>
      <c r="H206" s="21" t="s">
        <v>1032</v>
      </c>
      <c r="I206" s="13">
        <v>43040.932662037034</v>
      </c>
      <c r="J206" s="7">
        <v>0</v>
      </c>
      <c r="K206" s="89" t="str">
        <f t="shared" si="223"/>
        <v>4031/4032</v>
      </c>
      <c r="L206" s="185" t="str">
        <f>VLOOKUP(A206,'Trips&amp;Operators'!$C$1:$G$99911,5,FALSE)</f>
        <v>STAMBAUGH JAMES</v>
      </c>
      <c r="M206" s="6">
        <f t="shared" si="224"/>
        <v>9.3171296248328872E-3</v>
      </c>
      <c r="N206" s="7">
        <f t="shared" si="274"/>
        <v>13.416666659759358</v>
      </c>
      <c r="O206" s="7"/>
      <c r="P206" s="7"/>
      <c r="Q206" s="22"/>
      <c r="R206" s="174"/>
      <c r="S206" s="221">
        <f t="shared" si="225"/>
        <v>1</v>
      </c>
      <c r="T206" s="174" t="str">
        <f t="shared" si="226"/>
        <v>NorthBound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 t="shared" si="227"/>
        <v>https://d0f6bd738d7f1b3e5a7ca70fe4ff75f0.us-east-1.aws.found.io/app/kibana#/discover/Steve-Slow-Train-Analysis-(2080s-and-2083s)?_g=(refreshInterval:(display:Off,pause:!f,section:0,value:0),time:(from:'2017-11-01T21:05:07-0600',mode:absolute,to:'2017-11-01T23:23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6" s="204" t="str">
        <f>IF(AA206&lt;VLOOKUP(AG206,Variables!$AC$3:$AD$8,2,FALSE),"Y","N")</f>
        <v>N</v>
      </c>
      <c r="X206" s="204">
        <f t="shared" si="277"/>
        <v>1</v>
      </c>
      <c r="Y206" s="204">
        <f t="shared" si="275"/>
        <v>3.56E-2</v>
      </c>
      <c r="Z206" s="204">
        <f t="shared" si="276"/>
        <v>5.8975999999999997</v>
      </c>
      <c r="AA206" s="204">
        <f t="shared" si="228"/>
        <v>5.8620000000000001</v>
      </c>
      <c r="AB206" s="54" t="e">
        <f>VLOOKUP(A206,Enforcements!$C$7:$K$10,8,0)</f>
        <v>#N/A</v>
      </c>
      <c r="AC206" s="51" t="e">
        <f>VLOOKUP(A206,Enforcements!$C$7:$E$10,3,0)</f>
        <v>#N/A</v>
      </c>
      <c r="AD206" s="179">
        <f t="shared" si="229"/>
        <v>847</v>
      </c>
      <c r="AE206" s="77" t="str">
        <f t="shared" si="230"/>
        <v>aws s3 cp s3://rtdc.mdm.uploadarchive.raw/RTDC4032/ "%USERPROFILE%\AppData\Local\Temp\OnboardLogs"\RTDC4032\2017-11-01 --exclude "*" --recursive --include "*20171101*" &amp; "%USERPROFILE%\Documents\GitHub\mrs-test-scripts\Headless Mode &amp; Sideloading\WalkAndUnGZ.bat" "%USERPROFILE%\AppData\Local\Temp\OnboardLogs"\RTDC4032\2017-11-01 &amp; aws s3 cp s3://rtdc.mdm.uploadarchive.raw/RTDC4032/ "%USERPROFILE%\AppData\Local\Temp\OnboardLogs"\RTDC4032\2017-11-02 --exclude "*" --recursive --include "*20171102*" &amp; "%USERPROFILE%\Documents\GitHub\mrs-test-scripts\Headless Mode &amp; Sideloading\WalkAndUnGZ.bat" "%USERPROFILE%\AppData\Local\Temp\OnboardLogs"\RTDC4032\2017-11-02</v>
      </c>
      <c r="AF206" s="74" t="str">
        <f t="shared" si="231"/>
        <v>"C:\Program Files (x86)\AstroGrep\AstroGrep.exe" /e /r /s /spath="%USERPROFILE%\AppData\Local\Temp\OnboardLogs" /stypes="app*4032*20171102*" /stext=" 04:.+((SYSTEM_STATE.+slice.+state.+changed )|(ment ac)|(multiple cpu faults)|(system.+state.+changed )|(\[timeout)|(PRM\|1\|D)|(kpr)|(kdp)|(train st.+moving)|(\|lc)|(penalty))"</v>
      </c>
      <c r="AG206" s="182" t="str">
        <f t="shared" si="232"/>
        <v>NW</v>
      </c>
      <c r="AH206" s="78" t="str">
        <f t="shared" si="249"/>
        <v>"%USERPROFILE%\Documents\GitHub\eaglep3\Utilities\RefineRTDCRunTimes.py" --tripid 847-01 --locoid 4032 --swversion DE.1.0.9.0 --startMP 204:356 --initTime 2017-11-01T22:05:07 --startdatetime 2017-11-01T22:09:37 --delay 56 --endMP 300:58976 --enddatetime 2017-11-01T22:23:02 --enforcementcount 0 &gt;&gt;%USERPROFILE%\Documents\GitHub\eaglep3-reporting\EC\2017-11-01-refined-times.txt</v>
      </c>
      <c r="AI206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{"issue":{"subject":"","project_id":79,"tracker_id":40,"status_id":1,"priority_id":2,"assigned_to_id":338,"start_date":"2017-11-01","description":"","custom_fields":[{"id":1,"name":"Subdivision","value":"NW"},{"id":4,"name":"Milepost","value":"5.8976"},{"id":17,"name":"Train ID","value":"847-01"},{"id":16,"name":"Locomotive ID","value":"4032"},{"id":130,"name":"Impact","value":""},{"id":150,"name":"Time of Event (Mountain Time)","value":"22:23:02"},{"id":151,"name":"Denver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47"/>
      <c r="AL206" s="47"/>
      <c r="AM206" s="142" t="str">
        <f t="shared" si="251"/>
        <v>start /low /b %USERPROFILE%\Documents\GitHub\eaglep3\Utilities\DownloadLogsFromS3.py --loco 4032 --day 2017-11-01</v>
      </c>
      <c r="AN206" s="151" t="str">
        <f t="shared" si="2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04:23:02"},{"id":29,"name":"Sharepoint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si="253"/>
        <v>https://d0f6bd738d7f1b3e5a7ca70fe4ff75f0.us-east-1.aws.found.io/app/kibana#/discover/Steve-Slow-Train-Analysis-(2080s-and-2083s)?_g=(refreshInterval:(display:Off,pause:!f,section:0,value:0),time:(from:'2017-11-01T21:05:07-0600',mode:absolute,to:'2017-11-01T23:23:02-0600'))&amp;_a=(columns:!('Message%20ID',Summary),filters:!(),index:'emp_*',interval:auto,query:(query_string:(analyze_wildcard:!t,query:'%22rtdc.l.rtdc.4032%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32" t="s">
        <v>859</v>
      </c>
      <c r="B207" s="7">
        <v>4032</v>
      </c>
      <c r="C207" s="21" t="s">
        <v>194</v>
      </c>
      <c r="D207" s="21" t="s">
        <v>1069</v>
      </c>
      <c r="E207" s="13">
        <v>43040.960162037038</v>
      </c>
      <c r="F207" s="13">
        <v>43040.964768518519</v>
      </c>
      <c r="G207" s="7">
        <v>176</v>
      </c>
      <c r="H207" s="21" t="s">
        <v>425</v>
      </c>
      <c r="I207" s="13">
        <v>43040.973124999997</v>
      </c>
      <c r="J207" s="7">
        <v>0</v>
      </c>
      <c r="K207" s="89" t="str">
        <f t="shared" si="223"/>
        <v>4031/4032</v>
      </c>
      <c r="L207" s="185" t="str">
        <f>VLOOKUP(A207,'Trips&amp;Operators'!$C$1:$G$99911,5,FALSE)</f>
        <v>STAMBAUGH JAMES</v>
      </c>
      <c r="M207" s="6">
        <f t="shared" si="224"/>
        <v>8.3564814776764251E-3</v>
      </c>
      <c r="N207" s="7">
        <f t="shared" si="274"/>
        <v>12.033333327854052</v>
      </c>
      <c r="O207" s="7"/>
      <c r="P207" s="7"/>
      <c r="Q207" s="22"/>
      <c r="R207" s="174"/>
      <c r="S207" s="221">
        <f t="shared" si="225"/>
        <v>1</v>
      </c>
      <c r="T207" s="174" t="str">
        <f t="shared" si="226"/>
        <v>NorthBound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 t="shared" si="227"/>
        <v>https://d0f6bd738d7f1b3e5a7ca70fe4ff75f0.us-east-1.aws.found.io/app/kibana#/discover/Steve-Slow-Train-Analysis-(2080s-and-2083s)?_g=(refreshInterval:(display:Off,pause:!f,section:0,value:0),time:(from:'2017-11-01T22:02:38-0600',mode:absolute,to:'2017-11-02T00:21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7" s="204" t="str">
        <f>IF(AA207&lt;VLOOKUP(AG207,Variables!$AC$3:$AD$8,2,FALSE),"Y","N")</f>
        <v>N</v>
      </c>
      <c r="X207" s="204">
        <f t="shared" si="277"/>
        <v>2</v>
      </c>
      <c r="Y207" s="204">
        <f t="shared" si="275"/>
        <v>9.8100000000000007E-2</v>
      </c>
      <c r="Z207" s="204">
        <f t="shared" si="276"/>
        <v>5.8930999999999996</v>
      </c>
      <c r="AA207" s="204">
        <f t="shared" si="228"/>
        <v>5.7949999999999999</v>
      </c>
      <c r="AB207" s="54" t="e">
        <f>VLOOKUP(A207,Enforcements!$C$7:$K$10,8,0)</f>
        <v>#N/A</v>
      </c>
      <c r="AC207" s="51" t="e">
        <f>VLOOKUP(A207,Enforcements!$C$7:$E$10,3,0)</f>
        <v>#N/A</v>
      </c>
      <c r="AD207" s="179">
        <f t="shared" si="229"/>
        <v>849</v>
      </c>
      <c r="AE207" s="77" t="str">
        <f t="shared" si="230"/>
        <v>aws s3 cp s3://rtdc.mdm.uploadarchive.raw/RTDC4032/ "%USERPROFILE%\AppData\Local\Temp\OnboardLogs"\RTDC4032\2017-11-01 --exclude "*" --recursive --include "*20171101*" &amp; "%USERPROFILE%\Documents\GitHub\mrs-test-scripts\Headless Mode &amp; Sideloading\WalkAndUnGZ.bat" "%USERPROFILE%\AppData\Local\Temp\OnboardLogs"\RTDC4032\2017-11-01 &amp; aws s3 cp s3://rtdc.mdm.uploadarchive.raw/RTDC4032/ "%USERPROFILE%\AppData\Local\Temp\OnboardLogs"\RTDC4032\2017-11-02 --exclude "*" --recursive --include "*20171102*" &amp; "%USERPROFILE%\Documents\GitHub\mrs-test-scripts\Headless Mode &amp; Sideloading\WalkAndUnGZ.bat" "%USERPROFILE%\AppData\Local\Temp\OnboardLogs"\RTDC4032\2017-11-02</v>
      </c>
      <c r="AF207" s="74" t="str">
        <f t="shared" si="231"/>
        <v>"C:\Program Files (x86)\AstroGrep\AstroGrep.exe" /e /r /s /spath="%USERPROFILE%\AppData\Local\Temp\OnboardLogs" /stypes="app*4032*20171102*" /stext=" 05:.+((SYSTEM_STATE.+slice.+state.+changed )|(ment ac)|(multiple cpu faults)|(system.+state.+changed )|(\[timeout)|(PRM\|1\|D)|(kpr)|(kdp)|(train st.+moving)|(\|lc)|(penalty))"</v>
      </c>
      <c r="AG207" s="182" t="str">
        <f t="shared" si="232"/>
        <v>NW</v>
      </c>
      <c r="AH207" s="78" t="str">
        <f t="shared" si="249"/>
        <v>"%USERPROFILE%\Documents\GitHub\eaglep3\Utilities\RefineRTDCRunTimes.py" --tripid 849-01 --locoid 4032 --swversion DE.1.0.9.0 --startMP 204:981 --initTime 2017-11-01T23:02:38 --startdatetime 2017-11-01T23:09:16 --delay 176 --endMP 300:58931 --enddatetime 2017-11-01T23:21:18 --enforcementcount 0 &gt;&gt;%USERPROFILE%\Documents\GitHub\eaglep3-reporting\EC\2017-11-01-refined-times.txt</v>
      </c>
      <c r="AI207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{"issue":{"subject":"","project_id":79,"tracker_id":40,"status_id":1,"priority_id":2,"assigned_to_id":338,"start_date":"2017-11-01","description":"","custom_fields":[{"id":1,"name":"Subdivision","value":"NW"},{"id":4,"name":"Milepost","value":"5.8931"},{"id":17,"name":"Train ID","value":"849-01"},{"id":16,"name":"Locomotive ID","value":"4032"},{"id":130,"name":"Impact","value":""},{"id":150,"name":"Time of Event (Mountain Time)","value":"23:21:18"},{"id":151,"name":"Denver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47"/>
      <c r="AL207" s="47"/>
      <c r="AM207" s="142" t="str">
        <f t="shared" si="251"/>
        <v>start /low /b %USERPROFILE%\Documents\GitHub\eaglep3\Utilities\DownloadLogsFromS3.py --loco 4032 --day 2017-11-01</v>
      </c>
      <c r="AN207" s="151" t="str">
        <f t="shared" si="2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05:21:18"},{"id":29,"name":"Sharepoint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si="253"/>
        <v>https://d0f6bd738d7f1b3e5a7ca70fe4ff75f0.us-east-1.aws.found.io/app/kibana#/discover/Steve-Slow-Train-Analysis-(2080s-and-2083s)?_g=(refreshInterval:(display:Off,pause:!f,section:0,value:0),time:(from:'2017-11-01T22:02:38-0600',mode:absolute,to:'2017-11-02T00:21:18-0600'))&amp;_a=(columns:!('Message%20ID',Summary),filters:!(),index:'emp_*',interval:auto,query:(query_string:(analyze_wildcard:!t,query:'%22rtdc.l.rtdc.4032%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32" t="s">
        <v>651</v>
      </c>
      <c r="B208" s="7">
        <v>4003</v>
      </c>
      <c r="C208" s="21" t="s">
        <v>194</v>
      </c>
      <c r="D208" s="21" t="s">
        <v>980</v>
      </c>
      <c r="E208" s="13">
        <v>43040.116597222222</v>
      </c>
      <c r="F208" s="13">
        <v>43040.119664351849</v>
      </c>
      <c r="G208" s="7">
        <v>68</v>
      </c>
      <c r="H208" s="21" t="s">
        <v>884</v>
      </c>
      <c r="I208" s="13">
        <v>43040.128171296295</v>
      </c>
      <c r="J208" s="7">
        <v>0</v>
      </c>
      <c r="K208" s="89" t="str">
        <f t="shared" si="223"/>
        <v>4003/4004</v>
      </c>
      <c r="L208" s="185" t="str">
        <f>VLOOKUP(A208,'Trips&amp;Operators'!$C$1:$G$99911,5,FALSE)</f>
        <v>BONDS REYNALDO</v>
      </c>
      <c r="M208" s="6">
        <f t="shared" si="224"/>
        <v>8.5069444467080757E-3</v>
      </c>
      <c r="N208" s="7">
        <f t="shared" si="274"/>
        <v>12.250000003259629</v>
      </c>
      <c r="O208" s="7"/>
      <c r="P208" s="7"/>
      <c r="Q208" s="22"/>
      <c r="R208" s="174"/>
      <c r="S208" s="221">
        <f t="shared" si="225"/>
        <v>1</v>
      </c>
      <c r="T208" s="174" t="str">
        <f t="shared" si="226"/>
        <v>Southbound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6" t="str">
        <f t="shared" si="227"/>
        <v>https://d0f6bd738d7f1b3e5a7ca70fe4ff75f0.us-east-1.aws.found.io/app/kibana#/discover/Steve-Slow-Train-Analysis-(2080s-and-2083s)?_g=(refreshInterval:(display:Off,pause:!f,section:0,value:0),time:(from:'2017-11-01T01:47:54-0600',mode:absolute,to:'2017-11-01T04:04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8" s="204" t="str">
        <f>IF(AA208&lt;VLOOKUP(AG208,Variables!$AC$3:$AD$8,2,FALSE),"Y","N")</f>
        <v>Y</v>
      </c>
      <c r="X208" s="204">
        <f t="shared" si="277"/>
        <v>-549</v>
      </c>
      <c r="Y208" s="204">
        <f t="shared" si="275"/>
        <v>2.3496999999999999</v>
      </c>
      <c r="Z208" s="204">
        <f t="shared" si="276"/>
        <v>1.47E-2</v>
      </c>
      <c r="AA208" s="204">
        <f t="shared" si="228"/>
        <v>2.335</v>
      </c>
      <c r="AB208" s="54" t="e">
        <f>VLOOKUP(A208,Enforcements!$C$7:$K$10,8,0)</f>
        <v>#N/A</v>
      </c>
      <c r="AC208" s="51" t="e">
        <f>VLOOKUP(A208,Enforcements!$C$7:$E$10,3,0)</f>
        <v>#N/A</v>
      </c>
      <c r="AD208" s="179">
        <f t="shared" si="229"/>
        <v>300</v>
      </c>
      <c r="AE208" s="77" t="str">
        <f t="shared" si="230"/>
        <v>aws s3 cp s3://rtdc.mdm.uploadarchive.raw/RTDC4003/ "%USERPROFILE%\AppData\Local\Temp\OnboardLogs"\RTDC4003\2017-11-01 --exclude "*" --recursive --include "*20171101*" &amp; "%USERPROFILE%\Documents\GitHub\mrs-test-scripts\Headless Mode &amp; Sideloading\WalkAndUnGZ.bat" "%USERPROFILE%\AppData\Local\Temp\OnboardLogs"\RTDC4003\2017-11-01 &amp; aws s3 cp s3://rtdc.mdm.uploadarchive.raw/RTDC4003/ "%USERPROFILE%\AppData\Local\Temp\OnboardLogs"\RTDC4003\2017-11-02 --exclude "*" --recursive --include "*20171102*" &amp; "%USERPROFILE%\Documents\GitHub\mrs-test-scripts\Headless Mode &amp; Sideloading\WalkAndUnGZ.bat" "%USERPROFILE%\AppData\Local\Temp\OnboardLogs"\RTDC4003\2017-11-02</v>
      </c>
      <c r="AF208" s="74" t="str">
        <f t="shared" si="231"/>
        <v>"C:\Program Files (x86)\AstroGrep\AstroGrep.exe" /e /r /s /spath="%USERPROFILE%\AppData\Local\Temp\OnboardLogs" /stypes="app*4003*20171101*" /stext=" 09:.+((SYSTEM_STATE.+slice.+state.+changed )|(ment ac)|(multiple cpu faults)|(system.+state.+changed )|(\[timeout)|(PRM\|1\|D)|(kpr)|(kdp)|(train st.+moving)|(\|lc)|(penalty))"</v>
      </c>
      <c r="AG208" s="182" t="str">
        <f t="shared" si="232"/>
        <v>Other</v>
      </c>
      <c r="AH208" s="78" t="str">
        <f t="shared" si="249"/>
        <v>"%USERPROFILE%\Documents\GitHub\eaglep3\Utilities\RefineRTDCRunTimes.py" --tripid 300-01 --locoid 4003 --swversion DE.1.0.9.0 --startMP 300:23497 --initTime 2017-11-01T02:47:54 --startdatetime 2017-11-01T02:52:19 --delay 68 --endMP 204:147 --enddatetime 2017-11-01T03:04:34 --enforcementcount 0 &gt;&gt;%USERPROFILE%\Documents\GitHub\eaglep3-reporting\EC\2017-11-01-refined-times.txt</v>
      </c>
      <c r="AI208" s="96" t="str">
        <f t="shared" si="250"/>
        <v>echo {"issue":{"subject":"","project_id":79,"tracker_id":40,"status_id":1,"priority_id":2,"assigned_to_id":338,"start_date":"2017-11-01","description":"","custom_fields":[{"id":1,"name":"Subdivision","value":"Other"},{"id":4,"name":"Milepost","value":"0.0147"},{"id":17,"name":"Train ID","value":"300-01"},{"id":16,"name":"Locomotive ID","value":"4003"},{"id":130,"name":"Impact","value":""},{"id":150,"name":"Time of Event (Mountain Time)","value":"03:04:34"},{"id":151,"name":"Denver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47"/>
      <c r="AL208" s="47"/>
      <c r="AM208" s="142" t="str">
        <f t="shared" si="251"/>
        <v>start /low /b %USERPROFILE%\Documents\GitHub\eaglep3\Utilities\DownloadLogsFromS3.py --loco 4003 --day 2017-11-01</v>
      </c>
      <c r="AN208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09:04:34"},{"id":29,"name":"Sharepoint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si="253"/>
        <v>https://d0f6bd738d7f1b3e5a7ca70fe4ff75f0.us-east-1.aws.found.io/app/kibana#/discover/Steve-Slow-Train-Analysis-(2080s-and-2083s)?_g=(refreshInterval:(display:Off,pause:!f,section:0,value:0),time:(from:'2017-11-01T01:47:54-0600',mode:absolute,to:'2017-11-01T04:04:34-0600'))&amp;_a=(columns:!('Message%20ID',Summary),filters:!(),index:'emp_*',interval:auto,query:(query_string:(analyze_wildcard:!t,query:'%22rtdc.l.rtdc.4003%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32" t="s">
        <v>829</v>
      </c>
      <c r="B209" s="7">
        <v>4002</v>
      </c>
      <c r="C209" s="21" t="s">
        <v>194</v>
      </c>
      <c r="D209" s="21" t="s">
        <v>418</v>
      </c>
      <c r="E209" s="13">
        <v>43040.77615740741</v>
      </c>
      <c r="F209" s="13">
        <v>43040.277997685182</v>
      </c>
      <c r="G209" s="7">
        <v>69</v>
      </c>
      <c r="H209" s="21" t="s">
        <v>1046</v>
      </c>
      <c r="I209" s="13">
        <v>43040.278692129628</v>
      </c>
      <c r="J209" s="7">
        <v>0</v>
      </c>
      <c r="K209" s="89" t="str">
        <f t="shared" si="223"/>
        <v>4001/4002</v>
      </c>
      <c r="L209" s="185" t="str">
        <f>VLOOKUP(A209,'Trips&amp;Operators'!$C$1:$G$99911,5,FALSE)</f>
        <v>GUZMAN DANNY</v>
      </c>
      <c r="M209" s="6">
        <f t="shared" si="224"/>
        <v>6.944444467080757E-4</v>
      </c>
      <c r="N209" s="7">
        <f t="shared" si="274"/>
        <v>1.000000003259629</v>
      </c>
      <c r="O209" s="7"/>
      <c r="P209" s="7"/>
      <c r="Q209" s="22"/>
      <c r="R209" s="174" t="s">
        <v>1106</v>
      </c>
      <c r="S209" s="221">
        <f t="shared" si="225"/>
        <v>0</v>
      </c>
      <c r="T209" s="174" t="str">
        <f t="shared" si="226"/>
        <v>NorthBound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216" t="str">
        <f t="shared" si="227"/>
        <v>https://d0f6bd738d7f1b3e5a7ca70fe4ff75f0.us-east-1.aws.found.io/app/kibana#/discover/Steve-Slow-Train-Analysis-(2080s-and-2083s)?_g=(refreshInterval:(display:Off,pause:!f,section:0,value:0),time:(from:'2017-11-01T17:37:40-0600',mode:absolute,to:'2017-11-01T07:41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9" s="204" t="str">
        <f>IF(AA209&lt;VLOOKUP(AG209,Variables!$AC$3:$AD$8,2,FALSE),"Y","N")</f>
        <v>Y</v>
      </c>
      <c r="X209" s="204">
        <f t="shared" si="277"/>
        <v>1</v>
      </c>
      <c r="Y209" s="204">
        <f t="shared" si="275"/>
        <v>5.4899999999999997E-2</v>
      </c>
      <c r="Z209" s="204">
        <f t="shared" si="276"/>
        <v>1.4800000000000001E-2</v>
      </c>
      <c r="AA209" s="204">
        <f t="shared" si="228"/>
        <v>4.0099999999999997E-2</v>
      </c>
      <c r="AB209" s="54" t="e">
        <f>VLOOKUP(A209,Enforcements!$C$7:$K$10,8,0)</f>
        <v>#N/A</v>
      </c>
      <c r="AC209" s="51" t="e">
        <f>VLOOKUP(A209,Enforcements!$C$7:$E$10,3,0)</f>
        <v>#N/A</v>
      </c>
      <c r="AD209" s="179">
        <f t="shared" si="229"/>
        <v>301</v>
      </c>
      <c r="AE209" s="77" t="str">
        <f t="shared" si="230"/>
        <v>aws s3 cp s3://rtdc.mdm.uploadarchive.raw/RTDC4002/ "%USERPROFILE%\AppData\Local\Temp\OnboardLogs"\RTDC4002\2017-11-01 --exclude "*" --recursive --include "*20171101*" &amp; "%USERPROFILE%\Documents\GitHub\mrs-test-scripts\Headless Mode &amp; Sideloading\WalkAndUnGZ.bat" "%USERPROFILE%\AppData\Local\Temp\OnboardLogs"\RTDC4002\2017-11-01 &amp; aws s3 cp s3://rtdc.mdm.uploadarchive.raw/RTDC4002/ "%USERPROFILE%\AppData\Local\Temp\OnboardLogs"\RTDC4002\2017-11-02 --exclude "*" --recursive --include "*20171102*" &amp; "%USERPROFILE%\Documents\GitHub\mrs-test-scripts\Headless Mode &amp; Sideloading\WalkAndUnGZ.bat" "%USERPROFILE%\AppData\Local\Temp\OnboardLogs"\RTDC4002\2017-11-02</v>
      </c>
      <c r="AF209" s="74" t="str">
        <f t="shared" si="231"/>
        <v>"C:\Program Files (x86)\AstroGrep\AstroGrep.exe" /e /r /s /spath="%USERPROFILE%\AppData\Local\Temp\OnboardLogs" /stypes="app*4002*20171101*" /stext=" 12:.+((SYSTEM_STATE.+slice.+state.+changed )|(ment ac)|(multiple cpu faults)|(system.+state.+changed )|(\[timeout)|(PRM\|1\|D)|(kpr)|(kdp)|(train st.+moving)|(\|lc)|(penalty))"</v>
      </c>
      <c r="AG209" s="182" t="str">
        <f t="shared" si="232"/>
        <v>Other</v>
      </c>
      <c r="AH209" s="78" t="str">
        <f t="shared" si="249"/>
        <v>"%USERPROFILE%\Documents\GitHub\eaglep3\Utilities\RefineRTDCRunTimes.py" --tripid 301-01 --locoid 4002 --swversion DE.1.0.9.0 --startMP 204:549 --initTime 2017-11-01T18:37:40 --startdatetime 2017-11-01T06:40:19 --delay 69 --endMP 204:148 --enddatetime 2017-11-01T06:41:19 --enforcementcount 0 &gt;&gt;%USERPROFILE%\Documents\GitHub\eaglep3-reporting\EC\2017-11-01-refined-times.txt</v>
      </c>
      <c r="AI209" s="96" t="str">
        <f t="shared" si="250"/>
        <v>echo {"issue":{"subject":"Observed onboard en route failure","project_id":79,"tracker_id":40,"status_id":1,"priority_id":2,"assigned_to_id":338,"start_date":"2017-11-01","description":"","custom_fields":[{"id":1,"name":"Subdivision","value":"Other"},{"id":4,"name":"Milepost","value":"0.0148"},{"id":17,"name":"Train ID","value":"301-01"},{"id":16,"name":"Locomotive ID","value":"4002"},{"id":130,"name":"Impact","value":""},{"id":150,"name":"Time of Event (Mountain Time)","value":"06:41:19"},{"id":151,"name":"Denver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47"/>
      <c r="AL209" s="47"/>
      <c r="AM209" s="142" t="str">
        <f t="shared" si="251"/>
        <v>start /low /b %USERPROFILE%\Documents\GitHub\eaglep3\Utilities\DownloadLogsFromS3.py --loco 4002 --day 2017-11-01</v>
      </c>
      <c r="AN209" s="151" t="str">
        <f t="shared" si="252"/>
        <v>echo {"issue":{"subject":"Observed onboard en route failure","project_id":30,"tracker_id":4,"status_id":1,"priority_id":1,"assigned_to_id":10,"start_date":"2017-11-01","description":"","custom_fields":[{"id":30,"name":"Category","value":"Issue"},{"id":3,"name":"Functional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12:41:19"},{"id":29,"name":"Sharepoint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253"/>
        <v>https://d0f6bd738d7f1b3e5a7ca70fe4ff75f0.us-east-1.aws.found.io/app/kibana#/discover/Steve-Slow-Train-Analysis-(2080s-and-2083s)?_g=(refreshInterval:(display:Off,pause:!f,section:0,value:0),time:(from:'2017-11-01T17:37:40-0600',mode:absolute,to:'2017-11-01T07:41:19-0600'))&amp;_a=(columns:!('Message%20ID',Summary),filters:!(),index:'emp_*',interval:auto,query:(query_string:(analyze_wildcard:!t,query:'%22rtdc.l.rtdc.4002%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32" t="s">
        <v>657</v>
      </c>
      <c r="B210" s="7">
        <v>4013</v>
      </c>
      <c r="C210" s="21" t="s">
        <v>194</v>
      </c>
      <c r="D210" s="21" t="s">
        <v>981</v>
      </c>
      <c r="E210" s="13">
        <v>43040.144120370373</v>
      </c>
      <c r="F210" s="13">
        <v>43040.147222222222</v>
      </c>
      <c r="G210" s="7">
        <v>100</v>
      </c>
      <c r="H210" s="21" t="s">
        <v>892</v>
      </c>
      <c r="I210" s="13">
        <v>43040.152546296296</v>
      </c>
      <c r="J210" s="7">
        <v>0</v>
      </c>
      <c r="K210" s="89" t="str">
        <f t="shared" si="223"/>
        <v>4013/4014</v>
      </c>
      <c r="L210" s="185" t="str">
        <f>VLOOKUP(A210,'Trips&amp;Operators'!$C$1:$G$99911,5,FALSE)</f>
        <v>THOMPSON LESTER</v>
      </c>
      <c r="M210" s="6">
        <f t="shared" si="224"/>
        <v>5.324074074451346E-3</v>
      </c>
      <c r="N210" s="7">
        <f t="shared" si="274"/>
        <v>7.6666666672099382</v>
      </c>
      <c r="O210" s="7"/>
      <c r="P210" s="7"/>
      <c r="Q210" s="22"/>
      <c r="R210" s="174"/>
      <c r="S210" s="221">
        <f t="shared" si="225"/>
        <v>1</v>
      </c>
      <c r="T210" s="174" t="str">
        <f t="shared" si="226"/>
        <v>Southbound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6" t="str">
        <f t="shared" si="227"/>
        <v>https://d0f6bd738d7f1b3e5a7ca70fe4ff75f0.us-east-1.aws.found.io/app/kibana#/discover/Steve-Slow-Train-Analysis-(2080s-and-2083s)?_g=(refreshInterval:(display:Off,pause:!f,section:0,value:0),time:(from:'2017-11-01T02:27:32-0600',mode:absolute,to:'2017-11-01T04:39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0" s="204" t="str">
        <f>IF(AA210&lt;VLOOKUP(AG210,Variables!$AC$3:$AD$8,2,FALSE),"Y","N")</f>
        <v>Y</v>
      </c>
      <c r="X210" s="204">
        <f t="shared" si="277"/>
        <v>1</v>
      </c>
      <c r="Y210" s="204">
        <f t="shared" si="275"/>
        <v>2.3586</v>
      </c>
      <c r="Z210" s="204">
        <f t="shared" si="276"/>
        <v>1.83E-2</v>
      </c>
      <c r="AA210" s="204">
        <f t="shared" si="228"/>
        <v>2.3403</v>
      </c>
      <c r="AB210" s="54" t="e">
        <f>VLOOKUP(A210,Enforcements!$C$7:$K$10,8,0)</f>
        <v>#N/A</v>
      </c>
      <c r="AC210" s="51" t="e">
        <f>VLOOKUP(A210,Enforcements!$C$7:$E$10,3,0)</f>
        <v>#N/A</v>
      </c>
      <c r="AD210" s="179">
        <f t="shared" si="229"/>
        <v>302</v>
      </c>
      <c r="AE210" s="77" t="str">
        <f t="shared" si="230"/>
        <v>aws s3 cp s3://rtdc.mdm.uploadarchive.raw/RTDC4013/ "%USERPROFILE%\AppData\Local\Temp\OnboardLogs"\RTDC4013\2017-11-01 --exclude "*" --recursive --include "*20171101*" &amp; "%USERPROFILE%\Documents\GitHub\mrs-test-scripts\Headless Mode &amp; Sideloading\WalkAndUnGZ.bat" "%USERPROFILE%\AppData\Local\Temp\OnboardLogs"\RTDC4013\2017-11-01 &amp; aws s3 cp s3://rtdc.mdm.uploadarchive.raw/RTDC4013/ "%USERPROFILE%\AppData\Local\Temp\OnboardLogs"\RTDC4013\2017-11-02 --exclude "*" --recursive --include "*20171102*" &amp; "%USERPROFILE%\Documents\GitHub\mrs-test-scripts\Headless Mode &amp; Sideloading\WalkAndUnGZ.bat" "%USERPROFILE%\AppData\Local\Temp\OnboardLogs"\RTDC4013\2017-11-02</v>
      </c>
      <c r="AF210" s="74" t="str">
        <f t="shared" si="231"/>
        <v>"C:\Program Files (x86)\AstroGrep\AstroGrep.exe" /e /r /s /spath="%USERPROFILE%\AppData\Local\Temp\OnboardLogs" /stypes="app*4013*20171101*" /stext=" 09:.+((SYSTEM_STATE.+slice.+state.+changed )|(ment ac)|(multiple cpu faults)|(system.+state.+changed )|(\[timeout)|(PRM\|1\|D)|(kpr)|(kdp)|(train st.+moving)|(\|lc)|(penalty))"</v>
      </c>
      <c r="AG210" s="182" t="str">
        <f t="shared" si="232"/>
        <v>Other</v>
      </c>
      <c r="AH210" s="78" t="str">
        <f t="shared" si="249"/>
        <v>"%USERPROFILE%\Documents\GitHub\eaglep3\Utilities\RefineRTDCRunTimes.py" --tripid 302-01 --locoid 4013 --swversion DE.1.0.9.0 --startMP 300:23586 --initTime 2017-11-01T03:27:32 --startdatetime 2017-11-01T03:32:00 --delay 100 --endMP 204:183 --enddatetime 2017-11-01T03:39:40 --enforcementcount 0 &gt;&gt;%USERPROFILE%\Documents\GitHub\eaglep3-reporting\EC\2017-11-01-refined-times.txt</v>
      </c>
      <c r="AI210" s="96" t="str">
        <f t="shared" si="250"/>
        <v>echo {"issue":{"subject":"","project_id":79,"tracker_id":40,"status_id":1,"priority_id":2,"assigned_to_id":338,"start_date":"2017-11-01","description":"","custom_fields":[{"id":1,"name":"Subdivision","value":"Other"},{"id":4,"name":"Milepost","value":"0.0183"},{"id":17,"name":"Train ID","value":"302-01"},{"id":16,"name":"Locomotive ID","value":"4013"},{"id":130,"name":"Impact","value":""},{"id":150,"name":"Time of Event (Mountain Time)","value":"03:39:40"},{"id":151,"name":"Denver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47"/>
      <c r="AL210" s="47"/>
      <c r="AM210" s="142" t="str">
        <f t="shared" si="251"/>
        <v>start /low /b %USERPROFILE%\Documents\GitHub\eaglep3\Utilities\DownloadLogsFromS3.py --loco 4013 --day 2017-11-01</v>
      </c>
      <c r="AN210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09:39:40"},{"id":29,"name":"Sharepoint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si="253"/>
        <v>https://d0f6bd738d7f1b3e5a7ca70fe4ff75f0.us-east-1.aws.found.io/app/kibana#/discover/Steve-Slow-Train-Analysis-(2080s-and-2083s)?_g=(refreshInterval:(display:Off,pause:!f,section:0,value:0),time:(from:'2017-11-01T02:27:32-0600',mode:absolute,to:'2017-11-01T04:39:40-0600'))&amp;_a=(columns:!('Message%20ID',Summary),filters:!(),index:'emp_*',interval:auto,query:(query_string:(analyze_wildcard:!t,query:'%22rtdc.l.rtdc.4013%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32" t="s">
        <v>836</v>
      </c>
      <c r="B211" s="7">
        <v>4044</v>
      </c>
      <c r="C211" s="21" t="s">
        <v>194</v>
      </c>
      <c r="D211" s="21" t="s">
        <v>982</v>
      </c>
      <c r="E211" s="13">
        <v>43040.797210648147</v>
      </c>
      <c r="F211" s="13">
        <v>43040.802303240744</v>
      </c>
      <c r="G211" s="7">
        <v>54</v>
      </c>
      <c r="H211" s="21" t="s">
        <v>597</v>
      </c>
      <c r="I211" s="13">
        <v>43040.808634259258</v>
      </c>
      <c r="J211" s="7">
        <v>0</v>
      </c>
      <c r="K211" s="89" t="str">
        <f t="shared" si="223"/>
        <v>4043/4044</v>
      </c>
      <c r="L211" s="185" t="str">
        <f>VLOOKUP(A211,'Trips&amp;Operators'!$C$1:$G$99911,5,FALSE)</f>
        <v>BERLING GARY</v>
      </c>
      <c r="M211" s="6">
        <f t="shared" si="224"/>
        <v>6.3310185141745023E-3</v>
      </c>
      <c r="N211" s="7">
        <f t="shared" si="274"/>
        <v>9.1166666604112834</v>
      </c>
      <c r="O211" s="7"/>
      <c r="P211" s="7"/>
      <c r="Q211" s="22"/>
      <c r="R211" s="174"/>
      <c r="S211" s="221">
        <f t="shared" si="225"/>
        <v>1</v>
      </c>
      <c r="T211" s="174" t="str">
        <f t="shared" si="226"/>
        <v>NorthBound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6" t="str">
        <f t="shared" si="227"/>
        <v>https://d0f6bd738d7f1b3e5a7ca70fe4ff75f0.us-east-1.aws.found.io/app/kibana#/discover/Steve-Slow-Train-Analysis-(2080s-and-2083s)?_g=(refreshInterval:(display:Off,pause:!f,section:0,value:0),time:(from:'2017-11-01T18:07:59-0600',mode:absolute,to:'2017-11-01T20:24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1" s="204" t="str">
        <f>IF(AA211&lt;VLOOKUP(AG211,Variables!$AC$3:$AD$8,2,FALSE),"Y","N")</f>
        <v>Y</v>
      </c>
      <c r="X211" s="204">
        <f t="shared" si="277"/>
        <v>1</v>
      </c>
      <c r="Y211" s="204">
        <f t="shared" si="275"/>
        <v>6.3700000000000007E-2</v>
      </c>
      <c r="Z211" s="204">
        <f t="shared" si="276"/>
        <v>2.3346</v>
      </c>
      <c r="AA211" s="204">
        <f t="shared" si="228"/>
        <v>2.2709000000000001</v>
      </c>
      <c r="AB211" s="54" t="e">
        <f>VLOOKUP(A211,Enforcements!$C$7:$K$10,8,0)</f>
        <v>#N/A</v>
      </c>
      <c r="AC211" s="51" t="e">
        <f>VLOOKUP(A211,Enforcements!$C$7:$E$10,3,0)</f>
        <v>#N/A</v>
      </c>
      <c r="AD211" s="179">
        <f t="shared" si="229"/>
        <v>303</v>
      </c>
      <c r="AE211" s="77" t="str">
        <f t="shared" si="230"/>
        <v>aws s3 cp s3://rtdc.mdm.uploadarchive.raw/RTDC4044/ "%USERPROFILE%\AppData\Local\Temp\OnboardLogs"\RTDC4044\2017-11-01 --exclude "*" --recursive --include "*20171101*" &amp; "%USERPROFILE%\Documents\GitHub\mrs-test-scripts\Headless Mode &amp; Sideloading\WalkAndUnGZ.bat" "%USERPROFILE%\AppData\Local\Temp\OnboardLogs"\RTDC4044\2017-11-01 &amp; aws s3 cp s3://rtdc.mdm.uploadarchive.raw/RTDC4044/ "%USERPROFILE%\AppData\Local\Temp\OnboardLogs"\RTDC4044\2017-11-02 --exclude "*" --recursive --include "*20171102*" &amp; "%USERPROFILE%\Documents\GitHub\mrs-test-scripts\Headless Mode &amp; Sideloading\WalkAndUnGZ.bat" "%USERPROFILE%\AppData\Local\Temp\OnboardLogs"\RTDC4044\2017-11-02</v>
      </c>
      <c r="AF211" s="74" t="str">
        <f t="shared" si="231"/>
        <v>"C:\Program Files (x86)\AstroGrep\AstroGrep.exe" /e /r /s /spath="%USERPROFILE%\AppData\Local\Temp\OnboardLogs" /stypes="app*4044*20171102*" /stext=" 01:.+((SYSTEM_STATE.+slice.+state.+changed )|(ment ac)|(multiple cpu faults)|(system.+state.+changed )|(\[timeout)|(PRM\|1\|D)|(kpr)|(kdp)|(train st.+moving)|(\|lc)|(penalty))"</v>
      </c>
      <c r="AG211" s="182" t="str">
        <f t="shared" si="232"/>
        <v>Other</v>
      </c>
      <c r="AH211" s="78" t="str">
        <f t="shared" si="249"/>
        <v>"%USERPROFILE%\Documents\GitHub\eaglep3\Utilities\RefineRTDCRunTimes.py" --tripid 303-01 --locoid 4044 --swversion DE.1.0.9.0 --startMP 204:637 --initTime 2017-11-01T19:07:59 --startdatetime 2017-11-01T19:15:19 --delay 54 --endMP 300:23346 --enddatetime 2017-11-01T19:24:26 --enforcementcount 0 &gt;&gt;%USERPROFILE%\Documents\GitHub\eaglep3-reporting\EC\2017-11-01-refined-times.txt</v>
      </c>
      <c r="AI211" s="96" t="str">
        <f t="shared" si="250"/>
        <v>echo {"issue":{"subject":"","project_id":79,"tracker_id":40,"status_id":1,"priority_id":2,"assigned_to_id":338,"start_date":"2017-11-01","description":"","custom_fields":[{"id":1,"name":"Subdivision","value":"Other"},{"id":4,"name":"Milepost","value":"2.3346"},{"id":17,"name":"Train ID","value":"303-01"},{"id":16,"name":"Locomotive ID","value":"4044"},{"id":130,"name":"Impact","value":""},{"id":150,"name":"Time of Event (Mountain Time)","value":"19:24:26"},{"id":151,"name":"Denver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47"/>
      <c r="AL211" s="47"/>
      <c r="AM211" s="142" t="str">
        <f t="shared" si="251"/>
        <v>start /low /b %USERPROFILE%\Documents\GitHub\eaglep3\Utilities\DownloadLogsFromS3.py --loco 4044 --day 2017-11-01</v>
      </c>
      <c r="AN211" s="151" t="str">
        <f t="shared" si="2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01:24:26"},{"id":29,"name":"Sharepoint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253"/>
        <v>https://d0f6bd738d7f1b3e5a7ca70fe4ff75f0.us-east-1.aws.found.io/app/kibana#/discover/Steve-Slow-Train-Analysis-(2080s-and-2083s)?_g=(refreshInterval:(display:Off,pause:!f,section:0,value:0),time:(from:'2017-11-01T18:07:59-0600',mode:absolute,to:'2017-11-01T20:24:26-0600'))&amp;_a=(columns:!('Message%20ID',Summary),filters:!(),index:'emp_*',interval:auto,query:(query_string:(analyze_wildcard:!t,query:'%22rtdc.l.rtdc.4044%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32" t="s">
        <v>659</v>
      </c>
      <c r="B212" s="7">
        <v>4049</v>
      </c>
      <c r="C212" s="21" t="s">
        <v>194</v>
      </c>
      <c r="D212" s="21" t="s">
        <v>983</v>
      </c>
      <c r="E212" s="13">
        <v>43040.16138888889</v>
      </c>
      <c r="F212" s="13">
        <v>43040.163773148146</v>
      </c>
      <c r="G212" s="7">
        <v>58</v>
      </c>
      <c r="H212" s="21" t="s">
        <v>352</v>
      </c>
      <c r="I212" s="13">
        <v>43040.168414351851</v>
      </c>
      <c r="J212" s="7">
        <v>0</v>
      </c>
      <c r="K212" s="89" t="str">
        <f t="shared" si="223"/>
        <v>4049/4050</v>
      </c>
      <c r="L212" s="185" t="str">
        <f>VLOOKUP(A212,'Trips&amp;Operators'!$C$1:$G$99911,5,FALSE)</f>
        <v>YORK EDGAR</v>
      </c>
      <c r="M212" s="6">
        <f t="shared" si="224"/>
        <v>4.6412037045229226E-3</v>
      </c>
      <c r="N212" s="7">
        <f t="shared" si="274"/>
        <v>6.6833333345130086</v>
      </c>
      <c r="O212" s="7"/>
      <c r="P212" s="7"/>
      <c r="Q212" s="22"/>
      <c r="R212" s="174"/>
      <c r="S212" s="221">
        <f t="shared" si="225"/>
        <v>1</v>
      </c>
      <c r="T212" s="174" t="str">
        <f t="shared" si="226"/>
        <v>Southbound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6" t="str">
        <f t="shared" si="227"/>
        <v>https://d0f6bd738d7f1b3e5a7ca70fe4ff75f0.us-east-1.aws.found.io/app/kibana#/discover/Steve-Slow-Train-Analysis-(2080s-and-2083s)?_g=(refreshInterval:(display:Off,pause:!f,section:0,value:0),time:(from:'2017-11-01T02:52:24-0600',mode:absolute,to:'2017-11-01T05:02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12" s="204" t="str">
        <f>IF(AA212&lt;VLOOKUP(AG212,Variables!$AC$3:$AD$8,2,FALSE),"Y","N")</f>
        <v>Y</v>
      </c>
      <c r="X212" s="204">
        <f t="shared" si="277"/>
        <v>1</v>
      </c>
      <c r="Y212" s="204">
        <f t="shared" si="275"/>
        <v>2.3167</v>
      </c>
      <c r="Z212" s="204">
        <f t="shared" si="276"/>
        <v>1.5800000000000002E-2</v>
      </c>
      <c r="AA212" s="204">
        <f t="shared" si="228"/>
        <v>2.3008999999999999</v>
      </c>
      <c r="AB212" s="54" t="e">
        <f>VLOOKUP(A212,Enforcements!$C$7:$K$10,8,0)</f>
        <v>#N/A</v>
      </c>
      <c r="AC212" s="51" t="e">
        <f>VLOOKUP(A212,Enforcements!$C$7:$E$10,3,0)</f>
        <v>#N/A</v>
      </c>
      <c r="AD212" s="179">
        <f t="shared" si="229"/>
        <v>304</v>
      </c>
      <c r="AE212" s="77" t="str">
        <f t="shared" si="230"/>
        <v>aws s3 cp s3://rtdc.mdm.uploadarchive.raw/RTDC4049/ "%USERPROFILE%\AppData\Local\Temp\OnboardLogs"\RTDC4049\2017-11-01 --exclude "*" --recursive --include "*20171101*" &amp; "%USERPROFILE%\Documents\GitHub\mrs-test-scripts\Headless Mode &amp; Sideloading\WalkAndUnGZ.bat" "%USERPROFILE%\AppData\Local\Temp\OnboardLogs"\RTDC4049\2017-11-01 &amp; aws s3 cp s3://rtdc.mdm.uploadarchive.raw/RTDC4049/ "%USERPROFILE%\AppData\Local\Temp\OnboardLogs"\RTDC4049\2017-11-02 --exclude "*" --recursive --include "*20171102*" &amp; "%USERPROFILE%\Documents\GitHub\mrs-test-scripts\Headless Mode &amp; Sideloading\WalkAndUnGZ.bat" "%USERPROFILE%\AppData\Local\Temp\OnboardLogs"\RTDC4049\2017-11-02</v>
      </c>
      <c r="AF212" s="74" t="str">
        <f t="shared" si="231"/>
        <v>"C:\Program Files (x86)\AstroGrep\AstroGrep.exe" /e /r /s /spath="%USERPROFILE%\AppData\Local\Temp\OnboardLogs" /stypes="app*4049*20171101*" /stext=" 10:.+((SYSTEM_STATE.+slice.+state.+changed )|(ment ac)|(multiple cpu faults)|(system.+state.+changed )|(\[timeout)|(PRM\|1\|D)|(kpr)|(kdp)|(train st.+moving)|(\|lc)|(penalty))"</v>
      </c>
      <c r="AG212" s="182" t="str">
        <f t="shared" si="232"/>
        <v>Other</v>
      </c>
      <c r="AH212" s="78" t="str">
        <f t="shared" si="249"/>
        <v>"%USERPROFILE%\Documents\GitHub\eaglep3\Utilities\RefineRTDCRunTimes.py" --tripid 304-01 --locoid 4049 --swversion DE.1.0.9.0 --startMP 300:23167 --initTime 2017-11-01T03:52:24 --startdatetime 2017-11-01T03:55:50 --delay 58 --endMP 204:158 --enddatetime 2017-11-01T04:02:31 --enforcementcount 0 &gt;&gt;%USERPROFILE%\Documents\GitHub\eaglep3-reporting\EC\2017-11-01-refined-times.txt</v>
      </c>
      <c r="AI212" s="96" t="str">
        <f t="shared" si="250"/>
        <v>echo {"issue":{"subject":"","project_id":79,"tracker_id":40,"status_id":1,"priority_id":2,"assigned_to_id":338,"start_date":"2017-11-01","description":"","custom_fields":[{"id":1,"name":"Subdivision","value":"Other"},{"id":4,"name":"Milepost","value":"0.0158"},{"id":17,"name":"Train ID","value":"304-01"},{"id":16,"name":"Locomotive ID","value":"4049"},{"id":130,"name":"Impact","value":""},{"id":150,"name":"Time of Event (Mountain Time)","value":"04:02:31"},{"id":151,"name":"Denver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47"/>
      <c r="AL212" s="47"/>
      <c r="AM212" s="142" t="str">
        <f t="shared" si="251"/>
        <v>start /low /b %USERPROFILE%\Documents\GitHub\eaglep3\Utilities\DownloadLogsFromS3.py --loco 4049 --day 2017-11-01</v>
      </c>
      <c r="AN212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10:02:31"},{"id":29,"name":"Sharepoint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253"/>
        <v>https://d0f6bd738d7f1b3e5a7ca70fe4ff75f0.us-east-1.aws.found.io/app/kibana#/discover/Steve-Slow-Train-Analysis-(2080s-and-2083s)?_g=(refreshInterval:(display:Off,pause:!f,section:0,value:0),time:(from:'2017-11-01T02:52:24-0600',mode:absolute,to:'2017-11-01T05:02:31-0600'))&amp;_a=(columns:!('Message%20ID',Summary),filters:!(),index:'emp_*',interval:auto,query:(query_string:(analyze_wildcard:!t,query:'%22rtdc.l.rtdc.4049%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32" t="s">
        <v>840</v>
      </c>
      <c r="B213" s="7">
        <v>4042</v>
      </c>
      <c r="C213" s="21" t="s">
        <v>194</v>
      </c>
      <c r="D213" s="21" t="s">
        <v>984</v>
      </c>
      <c r="E213" s="13">
        <v>43040.81962962963</v>
      </c>
      <c r="F213" s="13">
        <v>43040.821539351855</v>
      </c>
      <c r="G213" s="7">
        <v>75</v>
      </c>
      <c r="H213" s="21" t="s">
        <v>985</v>
      </c>
      <c r="I213" s="13">
        <v>43040.828125</v>
      </c>
      <c r="J213" s="7">
        <v>0</v>
      </c>
      <c r="K213" s="89" t="str">
        <f t="shared" si="223"/>
        <v>4041/4042</v>
      </c>
      <c r="L213" s="185" t="str">
        <f>VLOOKUP(A213,'Trips&amp;Operators'!$C$1:$G$99911,5,FALSE)</f>
        <v>HOLCOMB KAMDEN</v>
      </c>
      <c r="M213" s="6">
        <f t="shared" si="224"/>
        <v>6.5856481451191939E-3</v>
      </c>
      <c r="N213" s="7">
        <f t="shared" si="274"/>
        <v>9.4833333289716393</v>
      </c>
      <c r="O213" s="7"/>
      <c r="P213" s="7"/>
      <c r="Q213" s="22"/>
      <c r="R213" s="174"/>
      <c r="S213" s="221">
        <f t="shared" si="225"/>
        <v>1</v>
      </c>
      <c r="T213" s="174" t="str">
        <f t="shared" si="226"/>
        <v>NorthBound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6" t="str">
        <f t="shared" si="227"/>
        <v>https://d0f6bd738d7f1b3e5a7ca70fe4ff75f0.us-east-1.aws.found.io/app/kibana#/discover/Steve-Slow-Train-Analysis-(2080s-and-2083s)?_g=(refreshInterval:(display:Off,pause:!f,section:0,value:0),time:(from:'2017-11-01T18:40:16-0600',mode:absolute,to:'2017-11-01T20:52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3" s="204" t="str">
        <f>IF(AA213&lt;VLOOKUP(AG213,Variables!$AC$3:$AD$8,2,FALSE),"Y","N")</f>
        <v>Y</v>
      </c>
      <c r="X213" s="204">
        <f t="shared" si="277"/>
        <v>1</v>
      </c>
      <c r="Y213" s="204">
        <f t="shared" si="275"/>
        <v>0.122</v>
      </c>
      <c r="Z213" s="204">
        <f t="shared" si="276"/>
        <v>2.3308</v>
      </c>
      <c r="AA213" s="204">
        <f t="shared" si="228"/>
        <v>2.2088000000000001</v>
      </c>
      <c r="AB213" s="54" t="e">
        <f>VLOOKUP(A213,Enforcements!$C$7:$K$10,8,0)</f>
        <v>#N/A</v>
      </c>
      <c r="AC213" s="51" t="e">
        <f>VLOOKUP(A213,Enforcements!$C$7:$E$10,3,0)</f>
        <v>#N/A</v>
      </c>
      <c r="AD213" s="179">
        <f t="shared" si="229"/>
        <v>305</v>
      </c>
      <c r="AE213" s="77" t="str">
        <f t="shared" si="230"/>
        <v>aws s3 cp s3://rtdc.mdm.uploadarchive.raw/RTDC4042/ "%USERPROFILE%\AppData\Local\Temp\OnboardLogs"\RTDC4042\2017-11-01 --exclude "*" --recursive --include "*20171101*" &amp; "%USERPROFILE%\Documents\GitHub\mrs-test-scripts\Headless Mode &amp; Sideloading\WalkAndUnGZ.bat" "%USERPROFILE%\AppData\Local\Temp\OnboardLogs"\RTDC4042\2017-11-01 &amp; aws s3 cp s3://rtdc.mdm.uploadarchive.raw/RTDC4042/ "%USERPROFILE%\AppData\Local\Temp\OnboardLogs"\RTDC4042\2017-11-02 --exclude "*" --recursive --include "*20171102*" &amp; "%USERPROFILE%\Documents\GitHub\mrs-test-scripts\Headless Mode &amp; Sideloading\WalkAndUnGZ.bat" "%USERPROFILE%\AppData\Local\Temp\OnboardLogs"\RTDC4042\2017-11-02</v>
      </c>
      <c r="AF213" s="74" t="str">
        <f t="shared" si="231"/>
        <v>"C:\Program Files (x86)\AstroGrep\AstroGrep.exe" /e /r /s /spath="%USERPROFILE%\AppData\Local\Temp\OnboardLogs" /stypes="app*4042*20171102*" /stext=" 01:.+((SYSTEM_STATE.+slice.+state.+changed )|(ment ac)|(multiple cpu faults)|(system.+state.+changed )|(\[timeout)|(PRM\|1\|D)|(kpr)|(kdp)|(train st.+moving)|(\|lc)|(penalty))"</v>
      </c>
      <c r="AG213" s="182" t="str">
        <f t="shared" si="232"/>
        <v>Other</v>
      </c>
      <c r="AH213" s="78" t="str">
        <f t="shared" si="249"/>
        <v>"%USERPROFILE%\Documents\GitHub\eaglep3\Utilities\RefineRTDCRunTimes.py" --tripid 305-01 --locoid 4042 --swversion DE.1.0.9.0 --startMP 204:1220 --initTime 2017-11-01T19:40:16 --startdatetime 2017-11-01T19:43:01 --delay 75 --endMP 300:23308 --enddatetime 2017-11-01T19:52:30 --enforcementcount 0 &gt;&gt;%USERPROFILE%\Documents\GitHub\eaglep3-reporting\EC\2017-11-01-refined-times.txt</v>
      </c>
      <c r="AI213" s="96" t="str">
        <f t="shared" si="250"/>
        <v>echo {"issue":{"subject":"","project_id":79,"tracker_id":40,"status_id":1,"priority_id":2,"assigned_to_id":338,"start_date":"2017-11-01","description":"","custom_fields":[{"id":1,"name":"Subdivision","value":"Other"},{"id":4,"name":"Milepost","value":"2.3308"},{"id":17,"name":"Train ID","value":"305-01"},{"id":16,"name":"Locomotive ID","value":"4042"},{"id":130,"name":"Impact","value":""},{"id":150,"name":"Time of Event (Mountain Time)","value":"19:52:30"},{"id":151,"name":"Denver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47"/>
      <c r="AL213" s="47"/>
      <c r="AM213" s="142" t="str">
        <f t="shared" si="251"/>
        <v>start /low /b %USERPROFILE%\Documents\GitHub\eaglep3\Utilities\DownloadLogsFromS3.py --loco 4042 --day 2017-11-01</v>
      </c>
      <c r="AN213" s="151" t="str">
        <f t="shared" si="2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01:52:30"},{"id":29,"name":"Sharepoint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253"/>
        <v>https://d0f6bd738d7f1b3e5a7ca70fe4ff75f0.us-east-1.aws.found.io/app/kibana#/discover/Steve-Slow-Train-Analysis-(2080s-and-2083s)?_g=(refreshInterval:(display:Off,pause:!f,section:0,value:0),time:(from:'2017-11-01T18:40:16-0600',mode:absolute,to:'2017-11-01T20:52:30-0600'))&amp;_a=(columns:!('Message%20ID',Summary),filters:!(),index:'emp_*',interval:auto,query:(query_string:(analyze_wildcard:!t,query:'%22rtdc.l.rtdc.4042%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32" t="s">
        <v>662</v>
      </c>
      <c r="B214" s="7">
        <v>4025</v>
      </c>
      <c r="C214" s="21" t="s">
        <v>194</v>
      </c>
      <c r="D214" s="21" t="s">
        <v>986</v>
      </c>
      <c r="E214" s="13">
        <v>43040.172488425924</v>
      </c>
      <c r="F214" s="13">
        <v>43040.175671296296</v>
      </c>
      <c r="G214" s="7">
        <v>62</v>
      </c>
      <c r="H214" s="21" t="s">
        <v>884</v>
      </c>
      <c r="I214" s="13">
        <v>43040.180648148147</v>
      </c>
      <c r="J214" s="7">
        <v>0</v>
      </c>
      <c r="K214" s="89" t="str">
        <f t="shared" si="223"/>
        <v>4025/4026</v>
      </c>
      <c r="L214" s="185" t="str">
        <f>VLOOKUP(A214,'Trips&amp;Operators'!$C$1:$G$99911,5,FALSE)</f>
        <v>BEAM ROSS</v>
      </c>
      <c r="M214" s="6">
        <f t="shared" si="224"/>
        <v>4.9768518510973081E-3</v>
      </c>
      <c r="N214" s="7">
        <f t="shared" si="274"/>
        <v>7.1666666655801237</v>
      </c>
      <c r="O214" s="7"/>
      <c r="P214" s="7"/>
      <c r="Q214" s="22"/>
      <c r="R214" s="174"/>
      <c r="S214" s="221">
        <f t="shared" si="225"/>
        <v>1</v>
      </c>
      <c r="T214" s="174" t="str">
        <f t="shared" si="226"/>
        <v>Southbound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16" t="str">
        <f t="shared" si="227"/>
        <v>https://d0f6bd738d7f1b3e5a7ca70fe4ff75f0.us-east-1.aws.found.io/app/kibana#/discover/Steve-Slow-Train-Analysis-(2080s-and-2083s)?_g=(refreshInterval:(display:Off,pause:!f,section:0,value:0),time:(from:'2017-11-01T03:08:23-0600',mode:absolute,to:'2017-11-01T05:20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4" s="204" t="str">
        <f>IF(AA214&lt;VLOOKUP(AG214,Variables!$AC$3:$AD$8,2,FALSE),"Y","N")</f>
        <v>Y</v>
      </c>
      <c r="X214" s="204">
        <f t="shared" si="277"/>
        <v>1</v>
      </c>
      <c r="Y214" s="204">
        <f t="shared" si="275"/>
        <v>2.0318000000000001</v>
      </c>
      <c r="Z214" s="204">
        <f t="shared" si="276"/>
        <v>1.47E-2</v>
      </c>
      <c r="AA214" s="204">
        <f t="shared" si="228"/>
        <v>2.0171000000000001</v>
      </c>
      <c r="AB214" s="54" t="e">
        <f>VLOOKUP(A214,Enforcements!$C$7:$K$10,8,0)</f>
        <v>#N/A</v>
      </c>
      <c r="AC214" s="51" t="e">
        <f>VLOOKUP(A214,Enforcements!$C$7:$E$10,3,0)</f>
        <v>#N/A</v>
      </c>
      <c r="AD214" s="179">
        <f t="shared" si="229"/>
        <v>306</v>
      </c>
      <c r="AE214" s="77" t="str">
        <f t="shared" si="230"/>
        <v>aws s3 cp s3://rtdc.mdm.uploadarchive.raw/RTDC4025/ "%USERPROFILE%\AppData\Local\Temp\OnboardLogs"\RTDC4025\2017-11-01 --exclude "*" --recursive --include "*20171101*" &amp; "%USERPROFILE%\Documents\GitHub\mrs-test-scripts\Headless Mode &amp; Sideloading\WalkAndUnGZ.bat" "%USERPROFILE%\AppData\Local\Temp\OnboardLogs"\RTDC4025\2017-11-01 &amp; aws s3 cp s3://rtdc.mdm.uploadarchive.raw/RTDC4025/ "%USERPROFILE%\AppData\Local\Temp\OnboardLogs"\RTDC4025\2017-11-02 --exclude "*" --recursive --include "*20171102*" &amp; "%USERPROFILE%\Documents\GitHub\mrs-test-scripts\Headless Mode &amp; Sideloading\WalkAndUnGZ.bat" "%USERPROFILE%\AppData\Local\Temp\OnboardLogs"\RTDC4025\2017-11-02</v>
      </c>
      <c r="AF214" s="74" t="str">
        <f t="shared" si="231"/>
        <v>"C:\Program Files (x86)\AstroGrep\AstroGrep.exe" /e /r /s /spath="%USERPROFILE%\AppData\Local\Temp\OnboardLogs" /stypes="app*4025*20171101*" /stext=" 10:.+((SYSTEM_STATE.+slice.+state.+changed )|(ment ac)|(multiple cpu faults)|(system.+state.+changed )|(\[timeout)|(PRM\|1\|D)|(kpr)|(kdp)|(train st.+moving)|(\|lc)|(penalty))"</v>
      </c>
      <c r="AG214" s="182" t="str">
        <f t="shared" si="232"/>
        <v>Other</v>
      </c>
      <c r="AH214" s="78" t="str">
        <f t="shared" si="249"/>
        <v>"%USERPROFILE%\Documents\GitHub\eaglep3\Utilities\RefineRTDCRunTimes.py" --tripid 306-01 --locoid 4025 --swversion DE.1.0.9.0 --startMP 300:20318 --initTime 2017-11-01T04:08:23 --startdatetime 2017-11-01T04:12:58 --delay 62 --endMP 204:147 --enddatetime 2017-11-01T04:20:08 --enforcementcount 0 &gt;&gt;%USERPROFILE%\Documents\GitHub\eaglep3-reporting\EC\2017-11-01-refined-times.txt</v>
      </c>
      <c r="AI214" s="96" t="str">
        <f t="shared" si="250"/>
        <v>echo {"issue":{"subject":"","project_id":79,"tracker_id":40,"status_id":1,"priority_id":2,"assigned_to_id":338,"start_date":"2017-11-01","description":"","custom_fields":[{"id":1,"name":"Subdivision","value":"Other"},{"id":4,"name":"Milepost","value":"0.0147"},{"id":17,"name":"Train ID","value":"306-01"},{"id":16,"name":"Locomotive ID","value":"4025"},{"id":130,"name":"Impact","value":""},{"id":150,"name":"Time of Event (Mountain Time)","value":"04:20:08"},{"id":151,"name":"Denver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47"/>
      <c r="AL214" s="47"/>
      <c r="AM214" s="142" t="str">
        <f t="shared" si="251"/>
        <v>start /low /b %USERPROFILE%\Documents\GitHub\eaglep3\Utilities\DownloadLogsFromS3.py --loco 4025 --day 2017-11-01</v>
      </c>
      <c r="AN214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10:20:08"},{"id":29,"name":"Sharepoint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253"/>
        <v>https://d0f6bd738d7f1b3e5a7ca70fe4ff75f0.us-east-1.aws.found.io/app/kibana#/discover/Steve-Slow-Train-Analysis-(2080s-and-2083s)?_g=(refreshInterval:(display:Off,pause:!f,section:0,value:0),time:(from:'2017-11-01T03:08:23-0600',mode:absolute,to:'2017-11-01T05:20:08-0600'))&amp;_a=(columns:!('Message%20ID',Summary),filters:!(),index:'emp_*',interval:auto,query:(query_string:(analyze_wildcard:!t,query:'%22rtdc.l.rtdc.4025%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32" t="s">
        <v>666</v>
      </c>
      <c r="B215" s="7">
        <v>4001</v>
      </c>
      <c r="C215" s="21" t="s">
        <v>194</v>
      </c>
      <c r="D215" s="21" t="s">
        <v>987</v>
      </c>
      <c r="E215" s="13">
        <v>43040.184131944443</v>
      </c>
      <c r="F215" s="13">
        <v>43040.186874999999</v>
      </c>
      <c r="G215" s="7">
        <v>72</v>
      </c>
      <c r="H215" s="21" t="s">
        <v>334</v>
      </c>
      <c r="I215" s="13">
        <v>43040.192858796298</v>
      </c>
      <c r="J215" s="7">
        <v>0</v>
      </c>
      <c r="K215" s="89" t="str">
        <f t="shared" si="223"/>
        <v>4001/4002</v>
      </c>
      <c r="L215" s="185" t="str">
        <f>VLOOKUP(A215,'Trips&amp;Operators'!$C$1:$G$99911,5,FALSE)</f>
        <v>STARKS ANGELINA</v>
      </c>
      <c r="M215" s="6">
        <f t="shared" si="224"/>
        <v>5.9837962980964221E-3</v>
      </c>
      <c r="N215" s="7">
        <f t="shared" si="274"/>
        <v>8.6166666692588478</v>
      </c>
      <c r="O215" s="7"/>
      <c r="P215" s="7"/>
      <c r="Q215" s="22"/>
      <c r="R215" s="174"/>
      <c r="S215" s="221">
        <f t="shared" si="225"/>
        <v>1</v>
      </c>
      <c r="T215" s="174" t="str">
        <f t="shared" si="226"/>
        <v>Southbound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6" t="str">
        <f t="shared" si="227"/>
        <v>https://d0f6bd738d7f1b3e5a7ca70fe4ff75f0.us-east-1.aws.found.io/app/kibana#/discover/Steve-Slow-Train-Analysis-(2080s-and-2083s)?_g=(refreshInterval:(display:Off,pause:!f,section:0,value:0),time:(from:'2017-11-01T03:25:09-0600',mode:absolute,to:'2017-11-01T05:37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5" s="204" t="str">
        <f>IF(AA215&lt;VLOOKUP(AG215,Variables!$AC$3:$AD$8,2,FALSE),"Y","N")</f>
        <v>Y</v>
      </c>
      <c r="X215" s="204">
        <f t="shared" si="277"/>
        <v>2</v>
      </c>
      <c r="Y215" s="204">
        <f t="shared" si="275"/>
        <v>2.1983000000000001</v>
      </c>
      <c r="Z215" s="204">
        <f t="shared" si="276"/>
        <v>1.4999999999999999E-2</v>
      </c>
      <c r="AA215" s="204">
        <f t="shared" si="228"/>
        <v>2.1833</v>
      </c>
      <c r="AB215" s="54" t="e">
        <f>VLOOKUP(A215,Enforcements!$C$7:$K$10,8,0)</f>
        <v>#N/A</v>
      </c>
      <c r="AC215" s="51" t="e">
        <f>VLOOKUP(A215,Enforcements!$C$7:$E$10,3,0)</f>
        <v>#N/A</v>
      </c>
      <c r="AD215" s="179">
        <f t="shared" si="229"/>
        <v>308</v>
      </c>
      <c r="AE215" s="77" t="str">
        <f t="shared" si="230"/>
        <v>aws s3 cp s3://rtdc.mdm.uploadarchive.raw/RTDC4001/ "%USERPROFILE%\AppData\Local\Temp\OnboardLogs"\RTDC4001\2017-11-01 --exclude "*" --recursive --include "*20171101*" &amp; "%USERPROFILE%\Documents\GitHub\mrs-test-scripts\Headless Mode &amp; Sideloading\WalkAndUnGZ.bat" "%USERPROFILE%\AppData\Local\Temp\OnboardLogs"\RTDC4001\2017-11-01 &amp; aws s3 cp s3://rtdc.mdm.uploadarchive.raw/RTDC4001/ "%USERPROFILE%\AppData\Local\Temp\OnboardLogs"\RTDC4001\2017-11-02 --exclude "*" --recursive --include "*20171102*" &amp; "%USERPROFILE%\Documents\GitHub\mrs-test-scripts\Headless Mode &amp; Sideloading\WalkAndUnGZ.bat" "%USERPROFILE%\AppData\Local\Temp\OnboardLogs"\RTDC4001\2017-11-02</v>
      </c>
      <c r="AF215" s="74" t="str">
        <f t="shared" si="231"/>
        <v>"C:\Program Files (x86)\AstroGrep\AstroGrep.exe" /e /r /s /spath="%USERPROFILE%\AppData\Local\Temp\OnboardLogs" /stypes="app*4001*20171101*" /stext=" 10:.+((SYSTEM_STATE.+slice.+state.+changed )|(ment ac)|(multiple cpu faults)|(system.+state.+changed )|(\[timeout)|(PRM\|1\|D)|(kpr)|(kdp)|(train st.+moving)|(\|lc)|(penalty))"</v>
      </c>
      <c r="AG215" s="182" t="str">
        <f t="shared" si="232"/>
        <v>Other</v>
      </c>
      <c r="AH215" s="78" t="str">
        <f t="shared" si="249"/>
        <v>"%USERPROFILE%\Documents\GitHub\eaglep3\Utilities\RefineRTDCRunTimes.py" --tripid 308-01 --locoid 4001 --swversion DE.1.0.9.0 --startMP 300:21983 --initTime 2017-11-01T04:25:09 --startdatetime 2017-11-01T04:29:06 --delay 72 --endMP 204:150 --enddatetime 2017-11-01T04:37:43 --enforcementcount 0 &gt;&gt;%USERPROFILE%\Documents\GitHub\eaglep3-reporting\EC\2017-11-01-refined-times.txt</v>
      </c>
      <c r="AI215" s="96" t="str">
        <f t="shared" si="250"/>
        <v>echo {"issue":{"subject":"","project_id":79,"tracker_id":40,"status_id":1,"priority_id":2,"assigned_to_id":338,"start_date":"2017-11-01","description":"","custom_fields":[{"id":1,"name":"Subdivision","value":"Other"},{"id":4,"name":"Milepost","value":"0.015"},{"id":17,"name":"Train ID","value":"308-01"},{"id":16,"name":"Locomotive ID","value":"4001"},{"id":130,"name":"Impact","value":""},{"id":150,"name":"Time of Event (Mountain Time)","value":"04:37:43"},{"id":151,"name":"Denver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47"/>
      <c r="AL215" s="47"/>
      <c r="AM215" s="142" t="str">
        <f t="shared" si="251"/>
        <v>start /low /b %USERPROFILE%\Documents\GitHub\eaglep3\Utilities\DownloadLogsFromS3.py --loco 4001 --day 2017-11-01</v>
      </c>
      <c r="AN215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10:37:43"},{"id":29,"name":"Sharepoint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253"/>
        <v>https://d0f6bd738d7f1b3e5a7ca70fe4ff75f0.us-east-1.aws.found.io/app/kibana#/discover/Steve-Slow-Train-Analysis-(2080s-and-2083s)?_g=(refreshInterval:(display:Off,pause:!f,section:0,value:0),time:(from:'2017-11-01T03:25:09-0600',mode:absolute,to:'2017-11-01T05:37:43-0600'))&amp;_a=(columns:!('Message%20ID',Summary),filters:!(),index:'emp_*',interval:auto,query:(query_string:(analyze_wildcard:!t,query:'%22rtdc.l.rtdc.4001%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32" t="s">
        <v>868</v>
      </c>
      <c r="B216" s="7">
        <v>4050</v>
      </c>
      <c r="C216" s="21" t="s">
        <v>194</v>
      </c>
      <c r="D216" s="21" t="s">
        <v>988</v>
      </c>
      <c r="E216" s="13">
        <v>43041.071435185186</v>
      </c>
      <c r="F216" s="13">
        <v>43041.073969907404</v>
      </c>
      <c r="G216" s="7">
        <v>126</v>
      </c>
      <c r="H216" s="21" t="s">
        <v>598</v>
      </c>
      <c r="I216" s="13">
        <v>43041.083495370367</v>
      </c>
      <c r="J216" s="7">
        <v>0</v>
      </c>
      <c r="K216" s="89" t="str">
        <f t="shared" ref="K216:K238" si="278">IF(ISEVEN(B216),(B216-1)&amp;"/"&amp;B216,B216&amp;"/"&amp;(B216+1))</f>
        <v>4049/4050</v>
      </c>
      <c r="L216" s="185" t="str">
        <f>VLOOKUP(A216,'Trips&amp;Operators'!$C$1:$G$99911,5,FALSE)</f>
        <v>ANDREA WILLIAMS</v>
      </c>
      <c r="M216" s="6">
        <f t="shared" ref="M216:M238" si="279">I216-F216</f>
        <v>9.5254629632108845E-3</v>
      </c>
      <c r="N216" s="7">
        <f t="shared" si="274"/>
        <v>13.716666667023674</v>
      </c>
      <c r="O216" s="7"/>
      <c r="P216" s="7"/>
      <c r="Q216" s="22"/>
      <c r="R216" s="174"/>
      <c r="S216" s="221">
        <f t="shared" ref="S216:S238" si="280">1/IF(AG216="EC",12,1)*SUM(U216:U216)</f>
        <v>1</v>
      </c>
      <c r="T216" s="174" t="str">
        <f t="shared" ref="T216:T238" si="281">IF(ISEVEN(LEFT(AD216,4)),"Southbound","NorthBound")</f>
        <v>NorthBound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6" t="str">
        <f t="shared" ref="V216:V238" si="282"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-11-02T00:42:52-0600',mode:absolute,to:'2017-11-02T03:00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6" s="204" t="str">
        <f>IF(AA216&lt;VLOOKUP(AG216,Variables!$AC$3:$AD$8,2,FALSE),"Y","N")</f>
        <v>Y</v>
      </c>
      <c r="X216" s="204">
        <f t="shared" si="277"/>
        <v>1</v>
      </c>
      <c r="Y216" s="204">
        <f t="shared" si="275"/>
        <v>5.1700000000000003E-2</v>
      </c>
      <c r="Z216" s="204">
        <f t="shared" si="276"/>
        <v>2.3304</v>
      </c>
      <c r="AA216" s="204">
        <f t="shared" ref="AA216:AA238" si="283">ABS(Z216-Y216)</f>
        <v>2.2787000000000002</v>
      </c>
      <c r="AB216" s="54" t="e">
        <f>VLOOKUP(A216,Enforcements!$C$7:$K$10,8,0)</f>
        <v>#N/A</v>
      </c>
      <c r="AC216" s="51" t="e">
        <f>VLOOKUP(A216,Enforcements!$C$7:$E$10,3,0)</f>
        <v>#N/A</v>
      </c>
      <c r="AD216" s="179">
        <f t="shared" ref="AD216:AD238" si="284">VALUE(LEFT(A216,LEN(A216)-3))</f>
        <v>309</v>
      </c>
      <c r="AE216" s="77" t="str">
        <f t="shared" ref="AE216:AE238" si="285"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s3://rtdc.mdm.uploadarchive.raw/RTDC4050/ "%USERPROFILE%\AppData\Local\Temp\OnboardLogs"\RTDC4050\2017-11-02 --exclude "*" --recursive --include "*20171102*" &amp; "%USERPROFILE%\Documents\GitHub\mrs-test-scripts\Headless Mode &amp; Sideloading\WalkAndUnGZ.bat" "%USERPROFILE%\AppData\Local\Temp\OnboardLogs"\RTDC4050\2017-11-02 &amp; aws s3 cp s3://rtdc.mdm.uploadarchive.raw/RTDC4050/ "%USERPROFILE%\AppData\Local\Temp\OnboardLogs"\RTDC4050\2017-11-03 --exclude "*" --recursive --include "*20171103*" &amp; "%USERPROFILE%\Documents\GitHub\mrs-test-scripts\Headless Mode &amp; Sideloading\WalkAndUnGZ.bat" "%USERPROFILE%\AppData\Local\Temp\OnboardLogs"\RTDC4050\2017-11-03</v>
      </c>
      <c r="AF216" s="74" t="str">
        <f t="shared" ref="AF216:AF238" si="286"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/stypes="app*4050*20171102*" /stext=" 08:.+((SYSTEM_STATE.+slice.+state.+changed )|(ment ac)|(multiple cpu faults)|(system.+state.+changed )|(\[timeout)|(PRM\|1\|D)|(kpr)|(kdp)|(train st.+moving)|(\|lc)|(penalty))"</v>
      </c>
      <c r="AG216" s="182" t="str">
        <f t="shared" ref="AG216:AG238" si="287">DetSubdiv(A216)</f>
        <v>Other</v>
      </c>
      <c r="AH216" s="78" t="str">
        <f t="shared" si="249"/>
        <v>"%USERPROFILE%\Documents\GitHub\eaglep3\Utilities\RefineRTDCRunTimes.py" --tripid 309-01 --locoid 4050 --swversion DE.1.0.9.0 --startMP 204:517 --initTime 2017-11-02T01:42:52 --startdatetime 2017-11-02T01:46:31 --delay 126 --endMP 300:23304 --enddatetime 2017-11-02T02:00:14 --enforcementcount 0 &gt;&gt;%USERPROFILE%\Documents\GitHub\eaglep3-reporting\EC\2017-11-01-refined-times.txt</v>
      </c>
      <c r="AI216" s="96" t="str">
        <f t="shared" si="250"/>
        <v>echo {"issue":{"subject":"","project_id":79,"tracker_id":40,"status_id":1,"priority_id":2,"assigned_to_id":338,"start_date":"2017-11-02","description":"","custom_fields":[{"id":1,"name":"Subdivision","value":"Other"},{"id":4,"name":"Milepost","value":"2.3304"},{"id":17,"name":"Train ID","value":"309-01"},{"id":16,"name":"Locomotive ID","value":"4050"},{"id":130,"name":"Impact","value":""},{"id":150,"name":"Time of Event (Mountain Time)","value":"02:00:14"},{"id":151,"name":"Denver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47"/>
      <c r="AL216" s="47"/>
      <c r="AM216" s="142" t="str">
        <f t="shared" si="251"/>
        <v>start /low /b %USERPROFILE%\Documents\GitHub\eaglep3\Utilities\DownloadLogsFromS3.py --loco 4050 --day 2017-11-02</v>
      </c>
      <c r="AN216" s="151" t="str">
        <f t="shared" si="2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08:00:14"},{"id":29,"name":"Sharepoint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253"/>
        <v>https://d0f6bd738d7f1b3e5a7ca70fe4ff75f0.us-east-1.aws.found.io/app/kibana#/discover/Steve-Slow-Train-Analysis-(2080s-and-2083s)?_g=(refreshInterval:(display:Off,pause:!f,section:0,value:0),time:(from:'2017-11-02T00:42:52-0600',mode:absolute,to:'2017-11-02T03:00:14-0600'))&amp;_a=(columns:!('Message%20ID',Summary),filters:!(),index:'emp_*',interval:auto,query:(query_string:(analyze_wildcard:!t,query:'%22rtdc.l.rtdc.4050%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32" t="s">
        <v>670</v>
      </c>
      <c r="B217" s="7">
        <v>4043</v>
      </c>
      <c r="C217" s="21" t="s">
        <v>194</v>
      </c>
      <c r="D217" s="21" t="s">
        <v>989</v>
      </c>
      <c r="E217" s="13">
        <v>43040.196770833332</v>
      </c>
      <c r="F217" s="13">
        <v>43040.199733796297</v>
      </c>
      <c r="G217" s="7">
        <v>147</v>
      </c>
      <c r="H217" s="21" t="s">
        <v>334</v>
      </c>
      <c r="I217" s="13">
        <v>43040.204768518517</v>
      </c>
      <c r="J217" s="7">
        <v>0</v>
      </c>
      <c r="K217" s="89" t="str">
        <f t="shared" si="278"/>
        <v>4043/4044</v>
      </c>
      <c r="L217" s="185" t="str">
        <f>VLOOKUP(A217,'Trips&amp;Operators'!$C$1:$G$99911,5,FALSE)</f>
        <v>AUSTIN THOMPSON</v>
      </c>
      <c r="M217" s="6">
        <f t="shared" si="279"/>
        <v>5.0347222204436548E-3</v>
      </c>
      <c r="N217" s="7">
        <f t="shared" si="274"/>
        <v>7.2499999974388629</v>
      </c>
      <c r="O217" s="7"/>
      <c r="P217" s="7"/>
      <c r="Q217" s="22"/>
      <c r="R217" s="174"/>
      <c r="S217" s="221">
        <f t="shared" si="280"/>
        <v>1</v>
      </c>
      <c r="T217" s="174" t="str">
        <f t="shared" si="281"/>
        <v>Southbound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6" t="str">
        <f t="shared" si="282"/>
        <v>https://d0f6bd738d7f1b3e5a7ca70fe4ff75f0.us-east-1.aws.found.io/app/kibana#/discover/Steve-Slow-Train-Analysis-(2080s-and-2083s)?_g=(refreshInterval:(display:Off,pause:!f,section:0,value:0),time:(from:'2017-11-01T03:43:21-0600',mode:absolute,to:'2017-11-01T05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7" s="204" t="str">
        <f>IF(AA217&lt;VLOOKUP(AG217,Variables!$AC$3:$AD$8,2,FALSE),"Y","N")</f>
        <v>Y</v>
      </c>
      <c r="X217" s="204">
        <f t="shared" si="277"/>
        <v>1</v>
      </c>
      <c r="Y217" s="204">
        <f t="shared" si="275"/>
        <v>2.3717999999999999</v>
      </c>
      <c r="Z217" s="204">
        <f t="shared" si="276"/>
        <v>1.4999999999999999E-2</v>
      </c>
      <c r="AA217" s="204">
        <f t="shared" si="283"/>
        <v>2.3567999999999998</v>
      </c>
      <c r="AB217" s="54" t="e">
        <f>VLOOKUP(A217,Enforcements!$C$7:$K$10,8,0)</f>
        <v>#N/A</v>
      </c>
      <c r="AC217" s="51" t="e">
        <f>VLOOKUP(A217,Enforcements!$C$7:$E$10,3,0)</f>
        <v>#N/A</v>
      </c>
      <c r="AD217" s="179">
        <f t="shared" si="284"/>
        <v>310</v>
      </c>
      <c r="AE217" s="77" t="str">
        <f t="shared" si="285"/>
        <v>aws s3 cp s3://rtdc.mdm.uploadarchive.raw/RTDC4043/ "%USERPROFILE%\AppData\Local\Temp\OnboardLogs"\RTDC4043\2017-11-01 --exclude "*" --recursive --include "*20171101*" &amp; "%USERPROFILE%\Documents\GitHub\mrs-test-scripts\Headless Mode &amp; Sideloading\WalkAndUnGZ.bat" "%USERPROFILE%\AppData\Local\Temp\OnboardLogs"\RTDC4043\2017-11-01 &amp; aws s3 cp s3://rtdc.mdm.uploadarchive.raw/RTDC4043/ "%USERPROFILE%\AppData\Local\Temp\OnboardLogs"\RTDC4043\2017-11-02 --exclude "*" --recursive --include "*20171102*" &amp; "%USERPROFILE%\Documents\GitHub\mrs-test-scripts\Headless Mode &amp; Sideloading\WalkAndUnGZ.bat" "%USERPROFILE%\AppData\Local\Temp\OnboardLogs"\RTDC4043\2017-11-02</v>
      </c>
      <c r="AF217" s="74" t="str">
        <f t="shared" si="286"/>
        <v>"C:\Program Files (x86)\AstroGrep\AstroGrep.exe" /e /r /s /spath="%USERPROFILE%\AppData\Local\Temp\OnboardLogs" /stypes="app*4043*20171101*" /stext=" 10:.+((SYSTEM_STATE.+slice.+state.+changed )|(ment ac)|(multiple cpu faults)|(system.+state.+changed )|(\[timeout)|(PRM\|1\|D)|(kpr)|(kdp)|(train st.+moving)|(\|lc)|(penalty))"</v>
      </c>
      <c r="AG217" s="182" t="str">
        <f t="shared" si="287"/>
        <v>Other</v>
      </c>
      <c r="AH217" s="78" t="str">
        <f t="shared" si="249"/>
        <v>"%USERPROFILE%\Documents\GitHub\eaglep3\Utilities\RefineRTDCRunTimes.py" --tripid 310-01 --locoid 4043 --swversion DE.1.0.9.0 --startMP 300:23718 --initTime 2017-11-01T04:43:21 --startdatetime 2017-11-01T04:47:37 --delay 147 --endMP 204:150 --enddatetime 2017-11-01T04:54:52 --enforcementcount 0 &gt;&gt;%USERPROFILE%\Documents\GitHub\eaglep3-reporting\EC\2017-11-01-refined-times.txt</v>
      </c>
      <c r="AI217" s="96" t="str">
        <f t="shared" si="250"/>
        <v>echo {"issue":{"subject":"","project_id":79,"tracker_id":40,"status_id":1,"priority_id":2,"assigned_to_id":338,"start_date":"2017-11-01","description":"","custom_fields":[{"id":1,"name":"Subdivision","value":"Other"},{"id":4,"name":"Milepost","value":"0.015"},{"id":17,"name":"Train ID","value":"310-01"},{"id":16,"name":"Locomotive ID","value":"4043"},{"id":130,"name":"Impact","value":""},{"id":150,"name":"Time of Event (Mountain Time)","value":"04:54:52"},{"id":151,"name":"Denver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47"/>
      <c r="AL217" s="47"/>
      <c r="AM217" s="142" t="str">
        <f t="shared" si="251"/>
        <v>start /low /b %USERPROFILE%\Documents\GitHub\eaglep3\Utilities\DownloadLogsFromS3.py --loco 4043 --day 2017-11-01</v>
      </c>
      <c r="AN217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10:54:52"},{"id":29,"name":"Sharepoint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253"/>
        <v>https://d0f6bd738d7f1b3e5a7ca70fe4ff75f0.us-east-1.aws.found.io/app/kibana#/discover/Steve-Slow-Train-Analysis-(2080s-and-2083s)?_g=(refreshInterval:(display:Off,pause:!f,section:0,value:0),time:(from:'2017-11-01T03:43:21-0600',mode:absolute,to:'2017-11-01T05:54:52-0600'))&amp;_a=(columns:!('Message%20ID',Summary),filters:!(),index:'emp_*',interval:auto,query:(query_string:(analyze_wildcard:!t,query:'%22rtdc.l.rtdc.4043%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32" t="s">
        <v>869</v>
      </c>
      <c r="B218" s="7">
        <v>4054</v>
      </c>
      <c r="C218" s="21" t="s">
        <v>194</v>
      </c>
      <c r="D218" s="21" t="s">
        <v>990</v>
      </c>
      <c r="E218" s="13">
        <v>43041.089097222219</v>
      </c>
      <c r="F218" s="13">
        <v>43041.091064814813</v>
      </c>
      <c r="G218" s="7">
        <v>78</v>
      </c>
      <c r="H218" s="21" t="s">
        <v>597</v>
      </c>
      <c r="I218" s="13">
        <v>43041.099097222221</v>
      </c>
      <c r="J218" s="7">
        <v>0</v>
      </c>
      <c r="K218" s="89" t="str">
        <f t="shared" si="278"/>
        <v>4053/4054</v>
      </c>
      <c r="L218" s="185" t="str">
        <f>VLOOKUP(A218,'Trips&amp;Operators'!$C$1:$G$99911,5,FALSE)</f>
        <v>MCREYNOLDS KYLE</v>
      </c>
      <c r="M218" s="6">
        <f t="shared" si="279"/>
        <v>8.0324074078816921E-3</v>
      </c>
      <c r="N218" s="7">
        <f t="shared" si="274"/>
        <v>11.566666667349637</v>
      </c>
      <c r="O218" s="7"/>
      <c r="P218" s="7"/>
      <c r="Q218" s="22"/>
      <c r="R218" s="174"/>
      <c r="S218" s="221">
        <f t="shared" si="280"/>
        <v>1</v>
      </c>
      <c r="T218" s="174" t="str">
        <f t="shared" si="281"/>
        <v>NorthBound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16" t="str">
        <f t="shared" si="282"/>
        <v>https://d0f6bd738d7f1b3e5a7ca70fe4ff75f0.us-east-1.aws.found.io/app/kibana#/discover/Steve-Slow-Train-Analysis-(2080s-and-2083s)?_g=(refreshInterval:(display:Off,pause:!f,section:0,value:0),time:(from:'2017-11-02T01:08:18-0600',mode:absolute,to:'2017-11-02T03:22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8" s="204" t="str">
        <f>IF(AA218&lt;VLOOKUP(AG218,Variables!$AC$3:$AD$8,2,FALSE),"Y","N")</f>
        <v>Y</v>
      </c>
      <c r="X218" s="204">
        <f t="shared" si="277"/>
        <v>1</v>
      </c>
      <c r="Y218" s="204">
        <f t="shared" si="275"/>
        <v>4.4999999999999998E-2</v>
      </c>
      <c r="Z218" s="204">
        <f t="shared" si="276"/>
        <v>2.3346</v>
      </c>
      <c r="AA218" s="204">
        <f t="shared" si="283"/>
        <v>2.2896000000000001</v>
      </c>
      <c r="AB218" s="54" t="e">
        <f>VLOOKUP(A218,Enforcements!$C$7:$K$10,8,0)</f>
        <v>#N/A</v>
      </c>
      <c r="AC218" s="51" t="e">
        <f>VLOOKUP(A218,Enforcements!$C$7:$E$10,3,0)</f>
        <v>#N/A</v>
      </c>
      <c r="AD218" s="179">
        <f t="shared" si="284"/>
        <v>311</v>
      </c>
      <c r="AE218" s="77" t="str">
        <f t="shared" si="285"/>
        <v>aws s3 cp s3://rtdc.mdm.uploadarchive.raw/RTDC4054/ "%USERPROFILE%\AppData\Local\Temp\OnboardLogs"\RTDC4054\2017-11-02 --exclude "*" --recursive --include "*20171102*" &amp; "%USERPROFILE%\Documents\GitHub\mrs-test-scripts\Headless Mode &amp; Sideloading\WalkAndUnGZ.bat" "%USERPROFILE%\AppData\Local\Temp\OnboardLogs"\RTDC4054\2017-11-02 &amp; aws s3 cp s3://rtdc.mdm.uploadarchive.raw/RTDC4054/ "%USERPROFILE%\AppData\Local\Temp\OnboardLogs"\RTDC4054\2017-11-03 --exclude "*" --recursive --include "*20171103*" &amp; "%USERPROFILE%\Documents\GitHub\mrs-test-scripts\Headless Mode &amp; Sideloading\WalkAndUnGZ.bat" "%USERPROFILE%\AppData\Local\Temp\OnboardLogs"\RTDC4054\2017-11-03</v>
      </c>
      <c r="AF218" s="74" t="str">
        <f t="shared" si="286"/>
        <v>"C:\Program Files (x86)\AstroGrep\AstroGrep.exe" /e /r /s /spath="%USERPROFILE%\AppData\Local\Temp\OnboardLogs" /stypes="app*4054*20171102*" /stext=" 08:.+((SYSTEM_STATE.+slice.+state.+changed )|(ment ac)|(multiple cpu faults)|(system.+state.+changed )|(\[timeout)|(PRM\|1\|D)|(kpr)|(kdp)|(train st.+moving)|(\|lc)|(penalty))"</v>
      </c>
      <c r="AG218" s="182" t="str">
        <f t="shared" si="287"/>
        <v>Other</v>
      </c>
      <c r="AH218" s="78" t="str">
        <f t="shared" si="249"/>
        <v>"%USERPROFILE%\Documents\GitHub\eaglep3\Utilities\RefineRTDCRunTimes.py" --tripid 311-01 --locoid 4054 --swversion DE.1.0.9.0 --startMP 204:450 --initTime 2017-11-02T02:08:18 --startdatetime 2017-11-02T02:11:08 --delay 78 --endMP 300:23346 --enddatetime 2017-11-02T02:22:42 --enforcementcount 0 &gt;&gt;%USERPROFILE%\Documents\GitHub\eaglep3-reporting\EC\2017-11-01-refined-times.txt</v>
      </c>
      <c r="AI218" s="96" t="str">
        <f t="shared" si="250"/>
        <v>echo {"issue":{"subject":"","project_id":79,"tracker_id":40,"status_id":1,"priority_id":2,"assigned_to_id":338,"start_date":"2017-11-02","description":"","custom_fields":[{"id":1,"name":"Subdivision","value":"Other"},{"id":4,"name":"Milepost","value":"2.3346"},{"id":17,"name":"Train ID","value":"311-01"},{"id":16,"name":"Locomotive ID","value":"4054"},{"id":130,"name":"Impact","value":""},{"id":150,"name":"Time of Event (Mountain Time)","value":"02:22:42"},{"id":151,"name":"Denver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47"/>
      <c r="AL218" s="47"/>
      <c r="AM218" s="142" t="str">
        <f t="shared" si="251"/>
        <v>start /low /b %USERPROFILE%\Documents\GitHub\eaglep3\Utilities\DownloadLogsFromS3.py --loco 4054 --day 2017-11-02</v>
      </c>
      <c r="AN218" s="151" t="str">
        <f t="shared" si="2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08:22:42"},{"id":29,"name":"Sharepoint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253"/>
        <v>https://d0f6bd738d7f1b3e5a7ca70fe4ff75f0.us-east-1.aws.found.io/app/kibana#/discover/Steve-Slow-Train-Analysis-(2080s-and-2083s)?_g=(refreshInterval:(display:Off,pause:!f,section:0,value:0),time:(from:'2017-11-02T01:08:18-0600',mode:absolute,to:'2017-11-02T03:22:42-0600'))&amp;_a=(columns:!('Message%20ID',Summary),filters:!(),index:'emp_*',interval:auto,query:(query_string:(analyze_wildcard:!t,query:'%22rtdc.l.rtdc.4054%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 s="32" t="s">
        <v>679</v>
      </c>
      <c r="B219" s="7">
        <v>4041</v>
      </c>
      <c r="C219" s="21" t="s">
        <v>194</v>
      </c>
      <c r="D219" s="21" t="s">
        <v>991</v>
      </c>
      <c r="E219" s="13">
        <v>43040.2190162037</v>
      </c>
      <c r="F219" s="13">
        <v>43040.222858796296</v>
      </c>
      <c r="G219" s="7">
        <v>137</v>
      </c>
      <c r="H219" s="21" t="s">
        <v>348</v>
      </c>
      <c r="I219" s="13">
        <v>43040.232210648152</v>
      </c>
      <c r="J219" s="7">
        <v>0</v>
      </c>
      <c r="K219" s="89" t="str">
        <f t="shared" si="278"/>
        <v>4041/4042</v>
      </c>
      <c r="L219" s="185" t="str">
        <f>VLOOKUP(A219,'Trips&amp;Operators'!$C$1:$G$99911,5,FALSE)</f>
        <v>ROMERO CHAD</v>
      </c>
      <c r="M219" s="6">
        <f t="shared" si="279"/>
        <v>9.3518518551718444E-3</v>
      </c>
      <c r="N219" s="7">
        <f t="shared" si="274"/>
        <v>13.466666671447456</v>
      </c>
      <c r="O219" s="7"/>
      <c r="P219" s="7"/>
      <c r="Q219" s="22"/>
      <c r="R219" s="174"/>
      <c r="S219" s="221">
        <f t="shared" si="280"/>
        <v>1</v>
      </c>
      <c r="T219" s="174" t="str">
        <f t="shared" si="281"/>
        <v>Southbound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16" t="str">
        <f t="shared" si="282"/>
        <v>https://d0f6bd738d7f1b3e5a7ca70fe4ff75f0.us-east-1.aws.found.io/app/kibana#/discover/Steve-Slow-Train-Analysis-(2080s-and-2083s)?_g=(refreshInterval:(display:Off,pause:!f,section:0,value:0),time:(from:'2017-11-01T04:15:23-0600',mode:absolute,to:'2017-11-01T06:34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9" s="204" t="str">
        <f>IF(AA219&lt;VLOOKUP(AG219,Variables!$AC$3:$AD$8,2,FALSE),"Y","N")</f>
        <v>Y</v>
      </c>
      <c r="X219" s="204">
        <f t="shared" si="277"/>
        <v>1</v>
      </c>
      <c r="Y219" s="204">
        <f t="shared" si="275"/>
        <v>2.3654000000000002</v>
      </c>
      <c r="Z219" s="204">
        <f t="shared" si="276"/>
        <v>1.4500000000000001E-2</v>
      </c>
      <c r="AA219" s="204">
        <f t="shared" si="283"/>
        <v>2.3509000000000002</v>
      </c>
      <c r="AB219" s="54" t="e">
        <f>VLOOKUP(A219,Enforcements!$C$7:$K$10,8,0)</f>
        <v>#N/A</v>
      </c>
      <c r="AC219" s="51" t="e">
        <f>VLOOKUP(A219,Enforcements!$C$7:$E$10,3,0)</f>
        <v>#N/A</v>
      </c>
      <c r="AD219" s="179">
        <f t="shared" si="284"/>
        <v>312</v>
      </c>
      <c r="AE219" s="77" t="str">
        <f t="shared" si="285"/>
        <v>aws s3 cp s3://rtdc.mdm.uploadarchive.raw/RTDC4041/ "%USERPROFILE%\AppData\Local\Temp\OnboardLogs"\RTDC4041\2017-11-01 --exclude "*" --recursive --include "*20171101*" &amp; "%USERPROFILE%\Documents\GitHub\mrs-test-scripts\Headless Mode &amp; Sideloading\WalkAndUnGZ.bat" "%USERPROFILE%\AppData\Local\Temp\OnboardLogs"\RTDC4041\2017-11-01 &amp; aws s3 cp s3://rtdc.mdm.uploadarchive.raw/RTDC4041/ "%USERPROFILE%\AppData\Local\Temp\OnboardLogs"\RTDC4041\2017-11-02 --exclude "*" --recursive --include "*20171102*" &amp; "%USERPROFILE%\Documents\GitHub\mrs-test-scripts\Headless Mode &amp; Sideloading\WalkAndUnGZ.bat" "%USERPROFILE%\AppData\Local\Temp\OnboardLogs"\RTDC4041\2017-11-02</v>
      </c>
      <c r="AF219" s="74" t="str">
        <f t="shared" si="286"/>
        <v>"C:\Program Files (x86)\AstroGrep\AstroGrep.exe" /e /r /s /spath="%USERPROFILE%\AppData\Local\Temp\OnboardLogs" /stypes="app*4041*20171101*" /stext=" 11:.+((SYSTEM_STATE.+slice.+state.+changed )|(ment ac)|(multiple cpu faults)|(system.+state.+changed )|(\[timeout)|(PRM\|1\|D)|(kpr)|(kdp)|(train st.+moving)|(\|lc)|(penalty))"</v>
      </c>
      <c r="AG219" s="182" t="str">
        <f t="shared" si="287"/>
        <v>Other</v>
      </c>
      <c r="AH219" s="78" t="str">
        <f t="shared" ref="AH219:AH238" si="288">refinertdcruntimes&amp;" --tripid "&amp;A219&amp;" --locoid "&amp;B219&amp;" --swversion "&amp;C219&amp;" --startMP "&amp;D219&amp;" --initTime "&amp;TEXT(E219,"yyyy-mm-ddTHH:MM:SS")&amp;" --startdatetime "&amp;TEXT(F219,"yyyy-mm-ddTHH:MM:SS")&amp;" --delay "&amp;G219&amp;" --endMP "&amp;H219&amp;" --enddatetime "&amp;TEXT(I219,"yyyy-mm-ddTHH:MM:SS")&amp;" --enforcementcount "&amp;J219&amp;IF(outputrefinedruntimes," &gt;&gt;"&amp;RefinedRTDCRunTimesOutputFile,"")</f>
        <v>"%USERPROFILE%\Documents\GitHub\eaglep3\Utilities\RefineRTDCRunTimes.py" --tripid 312-01 --locoid 4041 --swversion DE.1.0.9.0 --startMP 300:23654 --initTime 2017-11-01T05:15:23 --startdatetime 2017-11-01T05:20:55 --delay 137 --endMP 204:145 --enddatetime 2017-11-01T05:34:23 --enforcementcount 0 &gt;&gt;%USERPROFILE%\Documents\GitHub\eaglep3-reporting\EC\2017-11-01-refined-times.txt</v>
      </c>
      <c r="AI219" s="96" t="str">
        <f t="shared" ref="AI219:AI238" si="289">"echo {""issue"":{""subject"":"""&amp;R219&amp;""",""project_id"":79,""tracker_id"":40,""status_id"":"&amp;redmine_status&amp;",""priority_id"":"&amp;redmine_priority&amp;",""assigned_to_id"":"&amp;redmine_assignee&amp;",""start_date"":"""&amp;TEXT(I219,"YYYY-mm-dd")&amp;""",""description"":"""&amp;AJ219&amp;""",""custom_fields"":[{""id"":1,""name"":""Subdivision"",""value"":"""&amp;AG219&amp;"""},{""id"":4,""name"":""Milepost"",""value"":"""&amp;Z219&amp;"""},{""id"":17,""name"":""Train ID"",""value"":"""&amp;A219&amp;"""},{""id"":16,""name"":""Locomotive ID"",""value"":"""&amp;B219&amp;"""},{""id"":130,""name"":""Impact"",""value"":"""&amp;AK219&amp;"""},{""id"":150,""name"":""Time of Event (Mountain Time)"",""value"":"""&amp;TEXT(I219,"hh:mm:ss")&amp;"""},{""id"":151,""name"":""Denver Issue ID"",""value"":"""&amp;"""},{""id"":178,""name"":""Operational Impact"",""value"":"""&amp;redmine_op_impact&amp;"""},{""id"":179,""name"":""Denver Segment Assigned"",""value"":"""&amp;AL219&amp;"""}]}}"&amp;"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{"issue":{"subject":"","project_id":79,"tracker_id":40,"status_id":1,"priority_id":2,"assigned_to_id":338,"start_date":"2017-11-01","description":"","custom_fields":[{"id":1,"name":"Subdivision","value":"Other"},{"id":4,"name":"Milepost","value":"0.0145"},{"id":17,"name":"Train ID","value":"312-01"},{"id":16,"name":"Locomotive ID","value":"4041"},{"id":130,"name":"Impact","value":""},{"id":150,"name":"Time of Event (Mountain Time)","value":"05:34:23"},{"id":151,"name":"Denver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47"/>
      <c r="AL219" s="47"/>
      <c r="AM219" s="142" t="str">
        <f t="shared" ref="AM219:AM238" si="290">"start /low /b "&amp;dls3logs&amp;" --loco "&amp;B219&amp;" --day "&amp;TEXT(F219,"YYYY-MM-DD")</f>
        <v>start /low /b %USERPROFILE%\Documents\GitHub\eaglep3\Utilities\DownloadLogsFromS3.py --loco 4041 --day 2017-11-01</v>
      </c>
      <c r="AN219" s="151" t="str">
        <f t="shared" ref="AN219:AN238" si="291">"echo {""issue"":{""subject"":"""&amp;R219&amp;""",""project_id"":30,""tracker_id"":4,""status_id"":"&amp;redmine_status_wcr&amp;",""priority_id"":"&amp;redmine_priority_wcr&amp;",""assigned_to_id"":"&amp;redmine_assignee_wcr&amp;",""start_date"":"""&amp;TEXT(I219-utc_offset/24,"YYYY-mm-dd")&amp;""",""description"":"""&amp;AJ219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11:34:23"},{"id":29,"name":"Sharepoint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ref="AO219:AO238" si="292"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Message%20ID',Summary),filters:!(),index:'emp_*',interval:auto,query:"&amp;"(query_string:(analyze_wildcard:!t,query:'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-11-01T04:15:23-0600',mode:absolute,to:'2017-11-01T06:34:23-0600'))&amp;_a=(columns:!('Message%20ID',Summary),filters:!(),index:'emp_*',interval:auto,query:(query_string:(analyze_wildcard:!t,query:'%22rtdc.l.rtdc.4041%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 s="32" t="s">
        <v>864</v>
      </c>
      <c r="B220" s="7">
        <v>4064</v>
      </c>
      <c r="C220" s="21" t="s">
        <v>194</v>
      </c>
      <c r="D220" s="21" t="s">
        <v>590</v>
      </c>
      <c r="E220" s="13">
        <v>43041.033692129633</v>
      </c>
      <c r="F220" s="13">
        <v>43041.03597222222</v>
      </c>
      <c r="G220" s="7">
        <v>110</v>
      </c>
      <c r="H220" s="21" t="s">
        <v>992</v>
      </c>
      <c r="I220" s="13">
        <v>43041.044525462959</v>
      </c>
      <c r="J220" s="7">
        <v>0</v>
      </c>
      <c r="K220" s="89" t="str">
        <f t="shared" si="278"/>
        <v>4063/4064</v>
      </c>
      <c r="L220" s="185" t="str">
        <f>VLOOKUP(A220,'Trips&amp;Operators'!$C$1:$G$99911,5,FALSE)</f>
        <v>NICHOLSON WESLEY</v>
      </c>
      <c r="M220" s="6">
        <f t="shared" si="279"/>
        <v>8.55324073927477E-3</v>
      </c>
      <c r="N220" s="7">
        <f t="shared" si="274"/>
        <v>12.316666664555669</v>
      </c>
      <c r="O220" s="7"/>
      <c r="P220" s="7"/>
      <c r="Q220" s="22"/>
      <c r="R220" s="174"/>
      <c r="S220" s="221">
        <f t="shared" si="280"/>
        <v>1</v>
      </c>
      <c r="T220" s="174" t="str">
        <f t="shared" si="281"/>
        <v>NorthBound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16" t="str">
        <f t="shared" si="282"/>
        <v>https://d0f6bd738d7f1b3e5a7ca70fe4ff75f0.us-east-1.aws.found.io/app/kibana#/discover/Steve-Slow-Train-Analysis-(2080s-and-2083s)?_g=(refreshInterval:(display:Off,pause:!f,section:0,value:0),time:(from:'2017-11-01T23:48:31-0600',mode:absolute,to:'2017-11-02T02:04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20" s="204" t="str">
        <f>IF(AA220&lt;VLOOKUP(AG220,Variables!$AC$3:$AD$8,2,FALSE),"Y","N")</f>
        <v>Y</v>
      </c>
      <c r="X220" s="204">
        <f t="shared" si="277"/>
        <v>1</v>
      </c>
      <c r="Y220" s="204">
        <f t="shared" si="275"/>
        <v>6.3500000000000001E-2</v>
      </c>
      <c r="Z220" s="204">
        <f t="shared" si="276"/>
        <v>2.3296999999999999</v>
      </c>
      <c r="AA220" s="204">
        <f t="shared" si="283"/>
        <v>2.2662</v>
      </c>
      <c r="AB220" s="54" t="e">
        <f>VLOOKUP(A220,Enforcements!$C$7:$K$10,8,0)</f>
        <v>#N/A</v>
      </c>
      <c r="AC220" s="51" t="e">
        <f>VLOOKUP(A220,Enforcements!$C$7:$E$10,3,0)</f>
        <v>#N/A</v>
      </c>
      <c r="AD220" s="179">
        <f t="shared" si="284"/>
        <v>313</v>
      </c>
      <c r="AE220" s="77" t="str">
        <f t="shared" si="285"/>
        <v>aws s3 cp s3://rtdc.mdm.uploadarchive.raw/RTDC4064/ "%USERPROFILE%\AppData\Local\Temp\OnboardLogs"\RTDC4064\2017-11-02 --exclude "*" --recursive --include "*20171102*" &amp; "%USERPROFILE%\Documents\GitHub\mrs-test-scripts\Headless Mode &amp; Sideloading\WalkAndUnGZ.bat" "%USERPROFILE%\AppData\Local\Temp\OnboardLogs"\RTDC4064\2017-11-02 &amp; aws s3 cp s3://rtdc.mdm.uploadarchive.raw/RTDC4064/ "%USERPROFILE%\AppData\Local\Temp\OnboardLogs"\RTDC4064\2017-11-03 --exclude "*" --recursive --include "*20171103*" &amp; "%USERPROFILE%\Documents\GitHub\mrs-test-scripts\Headless Mode &amp; Sideloading\WalkAndUnGZ.bat" "%USERPROFILE%\AppData\Local\Temp\OnboardLogs"\RTDC4064\2017-11-03</v>
      </c>
      <c r="AF220" s="74" t="str">
        <f t="shared" si="286"/>
        <v>"C:\Program Files (x86)\AstroGrep\AstroGrep.exe" /e /r /s /spath="%USERPROFILE%\AppData\Local\Temp\OnboardLogs" /stypes="app*4064*20171102*" /stext=" 07:.+((SYSTEM_STATE.+slice.+state.+changed )|(ment ac)|(multiple cpu faults)|(system.+state.+changed )|(\[timeout)|(PRM\|1\|D)|(kpr)|(kdp)|(train st.+moving)|(\|lc)|(penalty))"</v>
      </c>
      <c r="AG220" s="182" t="str">
        <f t="shared" si="287"/>
        <v>Other</v>
      </c>
      <c r="AH220" s="78" t="str">
        <f t="shared" si="288"/>
        <v>"%USERPROFILE%\Documents\GitHub\eaglep3\Utilities\RefineRTDCRunTimes.py" --tripid 313-01 --locoid 4064 --swversion DE.1.0.9.0 --startMP 204:635 --initTime 2017-11-02T00:48:31 --startdatetime 2017-11-02T00:51:48 --delay 110 --endMP 300:23297 --enddatetime 2017-11-02T01:04:07 --enforcementcount 0 &gt;&gt;%USERPROFILE%\Documents\GitHub\eaglep3-reporting\EC\2017-11-01-refined-times.txt</v>
      </c>
      <c r="AI220" s="96" t="str">
        <f t="shared" si="289"/>
        <v>echo {"issue":{"subject":"","project_id":79,"tracker_id":40,"status_id":1,"priority_id":2,"assigned_to_id":338,"start_date":"2017-11-02","description":"","custom_fields":[{"id":1,"name":"Subdivision","value":"Other"},{"id":4,"name":"Milepost","value":"2.3297"},{"id":17,"name":"Train ID","value":"313-01"},{"id":16,"name":"Locomotive ID","value":"4064"},{"id":130,"name":"Impact","value":""},{"id":150,"name":"Time of Event (Mountain Time)","value":"01:04:07"},{"id":151,"name":"Denver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47"/>
      <c r="AL220" s="47"/>
      <c r="AM220" s="142" t="str">
        <f t="shared" si="290"/>
        <v>start /low /b %USERPROFILE%\Documents\GitHub\eaglep3\Utilities\DownloadLogsFromS3.py --loco 4064 --day 2017-11-02</v>
      </c>
      <c r="AN220" s="151" t="str">
        <f t="shared" si="291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07:04:07"},{"id":29,"name":"Sharepoint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292"/>
        <v>https://d0f6bd738d7f1b3e5a7ca70fe4ff75f0.us-east-1.aws.found.io/app/kibana#/discover/Steve-Slow-Train-Analysis-(2080s-and-2083s)?_g=(refreshInterval:(display:Off,pause:!f,section:0,value:0),time:(from:'2017-11-01T23:48:31-0600',mode:absolute,to:'2017-11-02T02:04:07-0600'))&amp;_a=(columns:!('Message%20ID',Summary),filters:!(),index:'emp_*',interval:auto,query:(query_string:(analyze_wildcard:!t,query:'%22rtdc.l.rtdc.4064%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32" t="s">
        <v>672</v>
      </c>
      <c r="B221" s="7">
        <v>4024</v>
      </c>
      <c r="C221" s="21" t="s">
        <v>194</v>
      </c>
      <c r="D221" s="21" t="s">
        <v>1070</v>
      </c>
      <c r="E221" s="13">
        <v>43040.201932870368</v>
      </c>
      <c r="F221" s="13">
        <v>43040.205567129633</v>
      </c>
      <c r="G221" s="7">
        <v>70</v>
      </c>
      <c r="H221" s="21" t="s">
        <v>1071</v>
      </c>
      <c r="I221" s="13">
        <v>43040.210740740738</v>
      </c>
      <c r="J221" s="7">
        <v>0</v>
      </c>
      <c r="K221" s="89" t="str">
        <f t="shared" si="278"/>
        <v>4023/4024</v>
      </c>
      <c r="L221" s="185" t="str">
        <f>VLOOKUP(A221,'Trips&amp;Operators'!$C$1:$G$99911,5,FALSE)</f>
        <v>LAMAR NEKESHA</v>
      </c>
      <c r="M221" s="6">
        <f t="shared" si="279"/>
        <v>5.1736111054196954E-3</v>
      </c>
      <c r="N221" s="7">
        <f t="shared" si="274"/>
        <v>7.4499999918043613</v>
      </c>
      <c r="O221" s="7"/>
      <c r="P221" s="7"/>
      <c r="Q221" s="22"/>
      <c r="R221" s="174"/>
      <c r="S221" s="221">
        <f t="shared" si="280"/>
        <v>0</v>
      </c>
      <c r="T221" s="174" t="str">
        <f t="shared" si="281"/>
        <v>NorthBound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216" t="str">
        <f t="shared" si="282"/>
        <v>https://d0f6bd738d7f1b3e5a7ca70fe4ff75f0.us-east-1.aws.found.io/app/kibana#/discover/Steve-Slow-Train-Analysis-(2080s-and-2083s)?_g=(refreshInterval:(display:Off,pause:!f,section:0,value:0),time:(from:'2017-11-01T03:50:47-0600',mode:absolute,to:'2017-11-01T06:03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21" s="204" t="str">
        <f>IF(AA221&lt;VLOOKUP(AG221,Variables!$AC$3:$AD$8,2,FALSE),"Y","N")</f>
        <v>Y</v>
      </c>
      <c r="X221" s="204">
        <f t="shared" si="277"/>
        <v>588</v>
      </c>
      <c r="Y221" s="204">
        <f t="shared" si="275"/>
        <v>2.9771000000000001</v>
      </c>
      <c r="Z221" s="204">
        <f t="shared" si="276"/>
        <v>5.9002999999999997</v>
      </c>
      <c r="AA221" s="204">
        <f t="shared" si="283"/>
        <v>2.9231999999999996</v>
      </c>
      <c r="AB221" s="54" t="e">
        <f>VLOOKUP(A221,Enforcements!$C$7:$K$10,8,0)</f>
        <v>#N/A</v>
      </c>
      <c r="AC221" s="51" t="e">
        <f>VLOOKUP(A221,Enforcements!$C$7:$E$10,3,0)</f>
        <v>#N/A</v>
      </c>
      <c r="AD221" s="179">
        <f t="shared" si="284"/>
        <v>901</v>
      </c>
      <c r="AE221" s="77" t="str">
        <f t="shared" si="285"/>
        <v>aws s3 cp s3://rtdc.mdm.uploadarchive.raw/RTDC4024/ "%USERPROFILE%\AppData\Local\Temp\OnboardLogs"\RTDC4024\2017-11-01 --exclude "*" --recursive --include "*20171101*" &amp; "%USERPROFILE%\Documents\GitHub\mrs-test-scripts\Headless Mode &amp; Sideloading\WalkAndUnGZ.bat" "%USERPROFILE%\AppData\Local\Temp\OnboardLogs"\RTDC4024\2017-11-01 &amp; aws s3 cp s3://rtdc.mdm.uploadarchive.raw/RTDC4024/ "%USERPROFILE%\AppData\Local\Temp\OnboardLogs"\RTDC4024\2017-11-02 --exclude "*" --recursive --include "*20171102*" &amp; "%USERPROFILE%\Documents\GitHub\mrs-test-scripts\Headless Mode &amp; Sideloading\WalkAndUnGZ.bat" "%USERPROFILE%\AppData\Local\Temp\OnboardLogs"\RTDC4024\2017-11-02</v>
      </c>
      <c r="AF221" s="74" t="str">
        <f t="shared" si="286"/>
        <v>"C:\Program Files (x86)\AstroGrep\AstroGrep.exe" /e /r /s /spath="%USERPROFILE%\AppData\Local\Temp\OnboardLogs" /stypes="app*4024*20171101*" /stext=" 11:.+((SYSTEM_STATE.+slice.+state.+changed )|(ment ac)|(multiple cpu faults)|(system.+state.+changed )|(\[timeout)|(PRM\|1\|D)|(kpr)|(kdp)|(train st.+moving)|(\|lc)|(penalty))"</v>
      </c>
      <c r="AG221" s="182" t="str">
        <f t="shared" si="287"/>
        <v>Other</v>
      </c>
      <c r="AH221" s="78" t="str">
        <f t="shared" si="288"/>
        <v>"%USERPROFILE%\Documents\GitHub\eaglep3\Utilities\RefineRTDCRunTimes.py" --tripid 901-01 --locoid 4024 --swversion DE.1.0.9.0 --startMP 300:29771 --initTime 2017-11-01T04:50:47 --startdatetime 2017-11-01T04:56:01 --delay 70 --endMP 300:59003 --enddatetime 2017-11-01T05:03:28 --enforcementcount 0 &gt;&gt;%USERPROFILE%\Documents\GitHub\eaglep3-reporting\EC\2017-11-01-refined-times.txt</v>
      </c>
      <c r="AI221" s="96" t="str">
        <f t="shared" si="289"/>
        <v>echo {"issue":{"subject":"","project_id":79,"tracker_id":40,"status_id":1,"priority_id":2,"assigned_to_id":338,"start_date":"2017-11-01","description":"","custom_fields":[{"id":1,"name":"Subdivision","value":"Other"},{"id":4,"name":"Milepost","value":"5.9003"},{"id":17,"name":"Train ID","value":"901-01"},{"id":16,"name":"Locomotive ID","value":"4024"},{"id":130,"name":"Impact","value":""},{"id":150,"name":"Time of Event (Mountain Time)","value":"05:03:28"},{"id":151,"name":"Denver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47"/>
      <c r="AL221" s="47"/>
      <c r="AM221" s="142" t="str">
        <f t="shared" si="290"/>
        <v>start /low /b %USERPROFILE%\Documents\GitHub\eaglep3\Utilities\DownloadLogsFromS3.py --loco 4024 --day 2017-11-01</v>
      </c>
      <c r="AN221" s="151" t="str">
        <f t="shared" si="291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11:03:28"},{"id":29,"name":"Sharepoint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292"/>
        <v>https://d0f6bd738d7f1b3e5a7ca70fe4ff75f0.us-east-1.aws.found.io/app/kibana#/discover/Steve-Slow-Train-Analysis-(2080s-and-2083s)?_g=(refreshInterval:(display:Off,pause:!f,section:0,value:0),time:(from:'2017-11-01T03:50:47-0600',mode:absolute,to:'2017-11-01T06:03:28-0600'))&amp;_a=(columns:!('Message%20ID',Summary),filters:!(),index:'emp_*',interval:auto,query:(query_string:(analyze_wildcard:!t,query:'%22rtdc.l.rtdc.4024%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 s="32" t="s">
        <v>682</v>
      </c>
      <c r="B222" s="7">
        <v>4031</v>
      </c>
      <c r="C222" s="21" t="s">
        <v>194</v>
      </c>
      <c r="D222" s="21" t="s">
        <v>1072</v>
      </c>
      <c r="E222" s="13">
        <v>43040.241782407407</v>
      </c>
      <c r="F222" s="13">
        <v>43040.244814814818</v>
      </c>
      <c r="G222" s="7">
        <v>63</v>
      </c>
      <c r="H222" s="21" t="s">
        <v>1020</v>
      </c>
      <c r="I222" s="13">
        <v>43040.249907407408</v>
      </c>
      <c r="J222" s="7">
        <v>0</v>
      </c>
      <c r="K222" s="89" t="str">
        <f t="shared" si="278"/>
        <v>4031/4032</v>
      </c>
      <c r="L222" s="185" t="str">
        <f>VLOOKUP(A222,'Trips&amp;Operators'!$C$1:$G$99911,5,FALSE)</f>
        <v>GEBRETEKLE DAGNEW</v>
      </c>
      <c r="M222" s="6">
        <f t="shared" si="279"/>
        <v>5.0925925897900015E-3</v>
      </c>
      <c r="N222" s="7">
        <f t="shared" si="274"/>
        <v>7.3333333292976022</v>
      </c>
      <c r="O222" s="7"/>
      <c r="P222" s="7"/>
      <c r="Q222" s="22"/>
      <c r="R222" s="174"/>
      <c r="S222" s="221">
        <f t="shared" si="280"/>
        <v>1</v>
      </c>
      <c r="T222" s="174" t="str">
        <f t="shared" si="281"/>
        <v>Southbound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16" t="str">
        <f t="shared" si="282"/>
        <v>https://d0f6bd738d7f1b3e5a7ca70fe4ff75f0.us-east-1.aws.found.io/app/kibana#/discover/Steve-Slow-Train-Analysis-(2080s-and-2083s)?_g=(refreshInterval:(display:Off,pause:!f,section:0,value:0),time:(from:'2017-11-01T04:48:10-0600',mode:absolute,to:'2017-11-01T06:59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2" s="204" t="str">
        <f>IF(AA222&lt;VLOOKUP(AG222,Variables!$AC$3:$AD$8,2,FALSE),"Y","N")</f>
        <v>Y</v>
      </c>
      <c r="X222" s="204">
        <f t="shared" si="277"/>
        <v>1</v>
      </c>
      <c r="Y222" s="204">
        <f t="shared" si="275"/>
        <v>2.3702999999999999</v>
      </c>
      <c r="Z222" s="204">
        <f t="shared" si="276"/>
        <v>7.3099999999999998E-2</v>
      </c>
      <c r="AA222" s="204">
        <f t="shared" si="283"/>
        <v>2.2971999999999997</v>
      </c>
      <c r="AB222" s="54" t="e">
        <f>VLOOKUP(A222,Enforcements!$C$7:$K$10,8,0)</f>
        <v>#N/A</v>
      </c>
      <c r="AC222" s="51" t="e">
        <f>VLOOKUP(A222,Enforcements!$C$7:$E$10,3,0)</f>
        <v>#N/A</v>
      </c>
      <c r="AD222" s="179">
        <f t="shared" si="284"/>
        <v>902</v>
      </c>
      <c r="AE222" s="77" t="str">
        <f t="shared" si="285"/>
        <v>aws s3 cp s3://rtdc.mdm.uploadarchive.raw/RTDC4031/ "%USERPROFILE%\AppData\Local\Temp\OnboardLogs"\RTDC4031\2017-11-01 --exclude "*" --recursive --include "*20171101*" &amp; "%USERPROFILE%\Documents\GitHub\mrs-test-scripts\Headless Mode &amp; Sideloading\WalkAndUnGZ.bat" "%USERPROFILE%\AppData\Local\Temp\OnboardLogs"\RTDC4031\2017-11-01 &amp; 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</v>
      </c>
      <c r="AF222" s="74" t="str">
        <f t="shared" si="286"/>
        <v>"C:\Program Files (x86)\AstroGrep\AstroGrep.exe" /e /r /s /spath="%USERPROFILE%\AppData\Local\Temp\OnboardLogs" /stypes="app*4031*20171101*" /stext=" 11:.+((SYSTEM_STATE.+slice.+state.+changed )|(ment ac)|(multiple cpu faults)|(system.+state.+changed )|(\[timeout)|(PRM\|1\|D)|(kpr)|(kdp)|(train st.+moving)|(\|lc)|(penalty))"</v>
      </c>
      <c r="AG222" s="182" t="str">
        <f t="shared" si="287"/>
        <v>Other</v>
      </c>
      <c r="AH222" s="78" t="str">
        <f t="shared" si="288"/>
        <v>"%USERPROFILE%\Documents\GitHub\eaglep3\Utilities\RefineRTDCRunTimes.py" --tripid 902-01 --locoid 4031 --swversion DE.1.0.9.0 --startMP 300:23703 --initTime 2017-11-01T05:48:10 --startdatetime 2017-11-01T05:52:32 --delay 63 --endMP 204:731 --enddatetime 2017-11-01T05:59:52 --enforcementcount 0 &gt;&gt;%USERPROFILE%\Documents\GitHub\eaglep3-reporting\EC\2017-11-01-refined-times.txt</v>
      </c>
      <c r="AI222" s="96" t="str">
        <f t="shared" si="289"/>
        <v>echo {"issue":{"subject":"","project_id":79,"tracker_id":40,"status_id":1,"priority_id":2,"assigned_to_id":338,"start_date":"2017-11-01","description":"","custom_fields":[{"id":1,"name":"Subdivision","value":"Other"},{"id":4,"name":"Milepost","value":"0.0731"},{"id":17,"name":"Train ID","value":"902-01"},{"id":16,"name":"Locomotive ID","value":"4031"},{"id":130,"name":"Impact","value":""},{"id":150,"name":"Time of Event (Mountain Time)","value":"05:59:52"},{"id":151,"name":"Denver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47"/>
      <c r="AL222" s="47"/>
      <c r="AM222" s="142" t="str">
        <f t="shared" si="290"/>
        <v>start /low /b %USERPROFILE%\Documents\GitHub\eaglep3\Utilities\DownloadLogsFromS3.py --loco 4031 --day 2017-11-01</v>
      </c>
      <c r="AN222" s="151" t="str">
        <f t="shared" si="291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11:59:52"},{"id":29,"name":"Sharepoint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292"/>
        <v>https://d0f6bd738d7f1b3e5a7ca70fe4ff75f0.us-east-1.aws.found.io/app/kibana#/discover/Steve-Slow-Train-Analysis-(2080s-and-2083s)?_g=(refreshInterval:(display:Off,pause:!f,section:0,value:0),time:(from:'2017-11-01T04:48:10-0600',mode:absolute,to:'2017-11-01T06:59:52-0600'))&amp;_a=(columns:!('Message%20ID',Summary),filters:!(),index:'emp_*',interval:auto,query:(query_string:(analyze_wildcard:!t,query:'%22rtdc.l.rtdc.4031%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 s="32" t="s">
        <v>618</v>
      </c>
      <c r="B223" s="7">
        <v>4024</v>
      </c>
      <c r="C223" s="21" t="s">
        <v>194</v>
      </c>
      <c r="D223" s="21" t="s">
        <v>1031</v>
      </c>
      <c r="E223" s="13">
        <v>43040.353171296294</v>
      </c>
      <c r="F223" s="13">
        <v>43040.356307870374</v>
      </c>
      <c r="G223" s="7">
        <v>59</v>
      </c>
      <c r="H223" s="21" t="s">
        <v>1073</v>
      </c>
      <c r="I223" s="13">
        <v>43040.361388888887</v>
      </c>
      <c r="J223" s="7">
        <v>0</v>
      </c>
      <c r="K223" s="89" t="str">
        <f t="shared" si="278"/>
        <v>4023/4024</v>
      </c>
      <c r="L223" s="185" t="str">
        <f>VLOOKUP(A223,'Trips&amp;Operators'!$C$1:$G$99911,5,FALSE)</f>
        <v>LAMAR NEKESHA</v>
      </c>
      <c r="M223" s="6">
        <f t="shared" si="279"/>
        <v>5.0810185130103491E-3</v>
      </c>
      <c r="N223" s="7">
        <f t="shared" ref="N223:N238" si="293">24*60*SUM($M223:$M223)</f>
        <v>7.3166666587349027</v>
      </c>
      <c r="O223" s="7"/>
      <c r="P223" s="7"/>
      <c r="Q223" s="22"/>
      <c r="R223" s="174" t="s">
        <v>1108</v>
      </c>
      <c r="S223" s="221">
        <f t="shared" si="280"/>
        <v>0</v>
      </c>
      <c r="T223" s="174" t="str">
        <f t="shared" si="281"/>
        <v>NorthBound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216" t="str">
        <f t="shared" si="282"/>
        <v>https://d0f6bd738d7f1b3e5a7ca70fe4ff75f0.us-east-1.aws.found.io/app/kibana#/discover/Steve-Slow-Train-Analysis-(2080s-and-2083s)?_g=(refreshInterval:(display:Off,pause:!f,section:0,value:0),time:(from:'2017-11-01T07:28:34-0600',mode:absolute,to:'2017-11-01T09:40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23" s="204" t="str">
        <f>IF(AA223&lt;VLOOKUP(AG223,Variables!$AC$3:$AD$8,2,FALSE),"Y","N")</f>
        <v>Y</v>
      </c>
      <c r="X223" s="204">
        <f t="shared" si="277"/>
        <v>1</v>
      </c>
      <c r="Y223" s="204">
        <f t="shared" ref="Y223:Y238" si="294">RIGHT(D223,LEN(D223)-4)/10000</f>
        <v>0.1</v>
      </c>
      <c r="Z223" s="204">
        <f t="shared" ref="Z223:Z238" si="295">RIGHT(H223,LEN(H223)-4)/10000</f>
        <v>0.1847</v>
      </c>
      <c r="AA223" s="204">
        <f t="shared" si="283"/>
        <v>8.4699999999999998E-2</v>
      </c>
      <c r="AB223" s="54" t="e">
        <f>VLOOKUP(A223,Enforcements!$C$7:$K$10,8,0)</f>
        <v>#N/A</v>
      </c>
      <c r="AC223" s="51" t="e">
        <f>VLOOKUP(A223,Enforcements!$C$7:$E$10,3,0)</f>
        <v>#N/A</v>
      </c>
      <c r="AD223" s="179">
        <f t="shared" si="284"/>
        <v>903</v>
      </c>
      <c r="AE223" s="77" t="str">
        <f t="shared" si="285"/>
        <v>aws s3 cp s3://rtdc.mdm.uploadarchive.raw/RTDC4024/ "%USERPROFILE%\AppData\Local\Temp\OnboardLogs"\RTDC4024\2017-11-01 --exclude "*" --recursive --include "*20171101*" &amp; "%USERPROFILE%\Documents\GitHub\mrs-test-scripts\Headless Mode &amp; Sideloading\WalkAndUnGZ.bat" "%USERPROFILE%\AppData\Local\Temp\OnboardLogs"\RTDC4024\2017-11-01 &amp; aws s3 cp s3://rtdc.mdm.uploadarchive.raw/RTDC4024/ "%USERPROFILE%\AppData\Local\Temp\OnboardLogs"\RTDC4024\2017-11-02 --exclude "*" --recursive --include "*20171102*" &amp; "%USERPROFILE%\Documents\GitHub\mrs-test-scripts\Headless Mode &amp; Sideloading\WalkAndUnGZ.bat" "%USERPROFILE%\AppData\Local\Temp\OnboardLogs"\RTDC4024\2017-11-02</v>
      </c>
      <c r="AF223" s="74" t="str">
        <f t="shared" si="286"/>
        <v>"C:\Program Files (x86)\AstroGrep\AstroGrep.exe" /e /r /s /spath="%USERPROFILE%\AppData\Local\Temp\OnboardLogs" /stypes="app*4024*20171101*" /stext=" 14:.+((SYSTEM_STATE.+slice.+state.+changed )|(ment ac)|(multiple cpu faults)|(system.+state.+changed )|(\[timeout)|(PRM\|1\|D)|(kpr)|(kdp)|(train st.+moving)|(\|lc)|(penalty))"</v>
      </c>
      <c r="AG223" s="182" t="str">
        <f t="shared" si="287"/>
        <v>Other</v>
      </c>
      <c r="AH223" s="78" t="str">
        <f t="shared" si="288"/>
        <v>"%USERPROFILE%\Documents\GitHub\eaglep3\Utilities\RefineRTDCRunTimes.py" --tripid 903-01 --locoid 4024 --swversion DE.1.0.9.0 --startMP 204:1000 --initTime 2017-11-01T08:28:34 --startdatetime 2017-11-01T08:33:05 --delay 59 --endMP 204:1847 --enddatetime 2017-11-01T08:40:24 --enforcementcount 0 &gt;&gt;%USERPROFILE%\Documents\GitHub\eaglep3-reporting\EC\2017-11-01-refined-times.txt</v>
      </c>
      <c r="AI223" s="96" t="str">
        <f t="shared" si="289"/>
        <v>echo {"issue":{"subject":"Observed poor GPS at DUS","project_id":79,"tracker_id":40,"status_id":1,"priority_id":2,"assigned_to_id":338,"start_date":"2017-11-01","description":"","custom_fields":[{"id":1,"name":"Subdivision","value":"Other"},{"id":4,"name":"Milepost","value":"0.1847"},{"id":17,"name":"Train ID","value":"903-01"},{"id":16,"name":"Locomotive ID","value":"4024"},{"id":130,"name":"Impact","value":""},{"id":150,"name":"Time of Event (Mountain Time)","value":"08:40:24"},{"id":151,"name":"Denver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47"/>
      <c r="AL223" s="47"/>
      <c r="AM223" s="142" t="str">
        <f t="shared" si="290"/>
        <v>start /low /b %USERPROFILE%\Documents\GitHub\eaglep3\Utilities\DownloadLogsFromS3.py --loco 4024 --day 2017-11-01</v>
      </c>
      <c r="AN223" s="151" t="str">
        <f t="shared" si="291"/>
        <v>echo {"issue":{"subject":"Observed poor GPS at DUS","project_id":30,"tracker_id":4,"status_id":1,"priority_id":1,"assigned_to_id":10,"start_date":"2017-11-01","description":"","custom_fields":[{"id":30,"name":"Category","value":"Issue"},{"id":3,"name":"Functional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14:40:24"},{"id":29,"name":"Sharepoint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292"/>
        <v>https://d0f6bd738d7f1b3e5a7ca70fe4ff75f0.us-east-1.aws.found.io/app/kibana#/discover/Steve-Slow-Train-Analysis-(2080s-and-2083s)?_g=(refreshInterval:(display:Off,pause:!f,section:0,value:0),time:(from:'2017-11-01T07:28:34-0600',mode:absolute,to:'2017-11-01T09:40:24-0600'))&amp;_a=(columns:!('Message%20ID',Summary),filters:!(),index:'emp_*',interval:auto,query:(query_string:(analyze_wildcard:!t,query:'%22rtdc.l.rtdc.4024%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 s="32" t="s">
        <v>618</v>
      </c>
      <c r="B224" s="7">
        <v>4024</v>
      </c>
      <c r="C224" s="21" t="s">
        <v>194</v>
      </c>
      <c r="D224" s="21" t="s">
        <v>1074</v>
      </c>
      <c r="E224" s="13">
        <v>43040.355405092596</v>
      </c>
      <c r="F224" s="13">
        <v>43040.356307870374</v>
      </c>
      <c r="G224" s="7">
        <v>43</v>
      </c>
      <c r="H224" s="21" t="s">
        <v>1075</v>
      </c>
      <c r="I224" s="13">
        <v>43040.361388888887</v>
      </c>
      <c r="J224" s="7">
        <v>0</v>
      </c>
      <c r="K224" s="89" t="str">
        <f t="shared" si="278"/>
        <v>4023/4024</v>
      </c>
      <c r="L224" s="185" t="str">
        <f>VLOOKUP(A224,'Trips&amp;Operators'!$C$1:$G$99911,5,FALSE)</f>
        <v>LAMAR NEKESHA</v>
      </c>
      <c r="M224" s="6">
        <f t="shared" si="279"/>
        <v>5.0810185130103491E-3</v>
      </c>
      <c r="N224" s="7">
        <f t="shared" si="293"/>
        <v>7.3166666587349027</v>
      </c>
      <c r="O224" s="7"/>
      <c r="P224" s="7"/>
      <c r="Q224" s="22"/>
      <c r="R224" s="174"/>
      <c r="S224" s="221">
        <f t="shared" si="280"/>
        <v>1</v>
      </c>
      <c r="T224" s="174" t="str">
        <f t="shared" si="281"/>
        <v>NorthBound</v>
      </c>
      <c r="U224" s="19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16" t="str">
        <f t="shared" si="282"/>
        <v>https://d0f6bd738d7f1b3e5a7ca70fe4ff75f0.us-east-1.aws.found.io/app/kibana#/discover/Steve-Slow-Train-Analysis-(2080s-and-2083s)?_g=(refreshInterval:(display:Off,pause:!f,section:0,value:0),time:(from:'2017-11-01T07:31:47-0600',mode:absolute,to:'2017-11-01T09:40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24" s="204" t="str">
        <f>IF(AA224&lt;VLOOKUP(AG224,Variables!$AC$3:$AD$8,2,FALSE),"Y","N")</f>
        <v>Y</v>
      </c>
      <c r="X224" s="204">
        <f t="shared" si="277"/>
        <v>0</v>
      </c>
      <c r="Y224" s="204">
        <f t="shared" si="294"/>
        <v>0.18440000000000001</v>
      </c>
      <c r="Z224" s="204">
        <f t="shared" si="295"/>
        <v>2.4237000000000002</v>
      </c>
      <c r="AA224" s="204">
        <f t="shared" si="283"/>
        <v>2.2393000000000001</v>
      </c>
      <c r="AB224" s="54" t="e">
        <f>VLOOKUP(A224,Enforcements!$C$7:$K$10,8,0)</f>
        <v>#N/A</v>
      </c>
      <c r="AC224" s="51" t="e">
        <f>VLOOKUP(A224,Enforcements!$C$7:$E$10,3,0)</f>
        <v>#N/A</v>
      </c>
      <c r="AD224" s="179">
        <f t="shared" si="284"/>
        <v>903</v>
      </c>
      <c r="AE224" s="77" t="str">
        <f t="shared" si="285"/>
        <v>aws s3 cp s3://rtdc.mdm.uploadarchive.raw/RTDC4024/ "%USERPROFILE%\AppData\Local\Temp\OnboardLogs"\RTDC4024\2017-11-01 --exclude "*" --recursive --include "*20171101*" &amp; "%USERPROFILE%\Documents\GitHub\mrs-test-scripts\Headless Mode &amp; Sideloading\WalkAndUnGZ.bat" "%USERPROFILE%\AppData\Local\Temp\OnboardLogs"\RTDC4024\2017-11-01 &amp; aws s3 cp s3://rtdc.mdm.uploadarchive.raw/RTDC4024/ "%USERPROFILE%\AppData\Local\Temp\OnboardLogs"\RTDC4024\2017-11-02 --exclude "*" --recursive --include "*20171102*" &amp; "%USERPROFILE%\Documents\GitHub\mrs-test-scripts\Headless Mode &amp; Sideloading\WalkAndUnGZ.bat" "%USERPROFILE%\AppData\Local\Temp\OnboardLogs"\RTDC4024\2017-11-02</v>
      </c>
      <c r="AF224" s="74" t="str">
        <f t="shared" si="286"/>
        <v>"C:\Program Files (x86)\AstroGrep\AstroGrep.exe" /e /r /s /spath="%USERPROFILE%\AppData\Local\Temp\OnboardLogs" /stypes="app*4024*20171101*" /stext=" 14:.+((SYSTEM_STATE.+slice.+state.+changed )|(ment ac)|(multiple cpu faults)|(system.+state.+changed )|(\[timeout)|(PRM\|1\|D)|(kpr)|(kdp)|(train st.+moving)|(\|lc)|(penalty))"</v>
      </c>
      <c r="AG224" s="182" t="str">
        <f t="shared" si="287"/>
        <v>Other</v>
      </c>
      <c r="AH224" s="78" t="str">
        <f t="shared" si="288"/>
        <v>"%USERPROFILE%\Documents\GitHub\eaglep3\Utilities\RefineRTDCRunTimes.py" --tripid 903-01 --locoid 4024 --swversion DE.1.0.9.0 --startMP 204:1844 --initTime 2017-11-01T08:31:47 --startdatetime 2017-11-01T08:33:05 --delay 43 --endMP 300:24237 --enddatetime 2017-11-01T08:40:24 --enforcementcount 0 &gt;&gt;%USERPROFILE%\Documents\GitHub\eaglep3-reporting\EC\2017-11-01-refined-times.txt</v>
      </c>
      <c r="AI224" s="96" t="str">
        <f t="shared" si="289"/>
        <v>echo {"issue":{"subject":"","project_id":79,"tracker_id":40,"status_id":1,"priority_id":2,"assigned_to_id":338,"start_date":"2017-11-01","description":"","custom_fields":[{"id":1,"name":"Subdivision","value":"Other"},{"id":4,"name":"Milepost","value":"2.4237"},{"id":17,"name":"Train ID","value":"903-01"},{"id":16,"name":"Locomotive ID","value":"4024"},{"id":130,"name":"Impact","value":""},{"id":150,"name":"Time of Event (Mountain Time)","value":"08:40:24"},{"id":151,"name":"Denver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4" s="47"/>
      <c r="AL224" s="47"/>
      <c r="AM224" s="142" t="str">
        <f t="shared" si="290"/>
        <v>start /low /b %USERPROFILE%\Documents\GitHub\eaglep3\Utilities\DownloadLogsFromS3.py --loco 4024 --day 2017-11-01</v>
      </c>
      <c r="AN224" s="151" t="str">
        <f t="shared" si="291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14:40:24"},{"id":29,"name":"Sharepoint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8" t="str">
        <f t="shared" si="292"/>
        <v>https://d0f6bd738d7f1b3e5a7ca70fe4ff75f0.us-east-1.aws.found.io/app/kibana#/discover/Steve-Slow-Train-Analysis-(2080s-and-2083s)?_g=(refreshInterval:(display:Off,pause:!f,section:0,value:0),time:(from:'2017-11-01T07:31:47-0600',mode:absolute,to:'2017-11-01T09:40:24-0600'))&amp;_a=(columns:!('Message%20ID',Summary),filters:!(),index:'emp_*',interval:auto,query:(query_string:(analyze_wildcard:!t,query:'%22rtdc.l.rtdc.4024%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 s="32" t="s">
        <v>784</v>
      </c>
      <c r="B225" s="7">
        <v>4023</v>
      </c>
      <c r="C225" s="21" t="s">
        <v>194</v>
      </c>
      <c r="D225" s="21" t="s">
        <v>1076</v>
      </c>
      <c r="E225" s="13">
        <v>43040.636400462965</v>
      </c>
      <c r="F225" s="13">
        <v>43040.63921296296</v>
      </c>
      <c r="G225" s="7">
        <v>81</v>
      </c>
      <c r="H225" s="21" t="s">
        <v>1077</v>
      </c>
      <c r="I225" s="13">
        <v>43040.644212962965</v>
      </c>
      <c r="J225" s="7">
        <v>0</v>
      </c>
      <c r="K225" s="89" t="str">
        <f t="shared" si="278"/>
        <v>4023/4024</v>
      </c>
      <c r="L225" s="185" t="str">
        <f>VLOOKUP(A225,'Trips&amp;Operators'!$C$1:$G$99911,5,FALSE)</f>
        <v>STAMBAUGH JAMES</v>
      </c>
      <c r="M225" s="6">
        <f t="shared" si="279"/>
        <v>5.0000000046566129E-3</v>
      </c>
      <c r="N225" s="7">
        <f t="shared" si="293"/>
        <v>7.2000000067055225</v>
      </c>
      <c r="O225" s="7"/>
      <c r="P225" s="7"/>
      <c r="Q225" s="22"/>
      <c r="R225" s="174"/>
      <c r="S225" s="221">
        <f t="shared" si="280"/>
        <v>1</v>
      </c>
      <c r="T225" s="174" t="str">
        <f t="shared" si="281"/>
        <v>Southbound</v>
      </c>
      <c r="U225" s="19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216" t="str">
        <f t="shared" si="282"/>
        <v>https://d0f6bd738d7f1b3e5a7ca70fe4ff75f0.us-east-1.aws.found.io/app/kibana#/discover/Steve-Slow-Train-Analysis-(2080s-and-2083s)?_g=(refreshInterval:(display:Off,pause:!f,section:0,value:0),time:(from:'2017-11-01T14:16:25-0600',mode:absolute,to:'2017-11-01T16:27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5" s="204" t="str">
        <f>IF(AA225&lt;VLOOKUP(AG225,Variables!$AC$3:$AD$8,2,FALSE),"Y","N")</f>
        <v>Y</v>
      </c>
      <c r="X225" s="204">
        <f t="shared" si="277"/>
        <v>1</v>
      </c>
      <c r="Y225" s="204">
        <f t="shared" si="294"/>
        <v>2.3666999999999998</v>
      </c>
      <c r="Z225" s="204">
        <f t="shared" si="295"/>
        <v>1.1299999999999999E-2</v>
      </c>
      <c r="AA225" s="204">
        <f t="shared" si="283"/>
        <v>2.3553999999999999</v>
      </c>
      <c r="AB225" s="54" t="e">
        <f>VLOOKUP(A225,Enforcements!$C$7:$K$10,8,0)</f>
        <v>#N/A</v>
      </c>
      <c r="AC225" s="51" t="e">
        <f>VLOOKUP(A225,Enforcements!$C$7:$E$10,3,0)</f>
        <v>#N/A</v>
      </c>
      <c r="AD225" s="179">
        <f t="shared" si="284"/>
        <v>904</v>
      </c>
      <c r="AE225" s="77" t="str">
        <f t="shared" si="285"/>
        <v>aws s3 cp s3://rtdc.mdm.uploadarchive.raw/RTDC4023/ "%USERPROFILE%\AppData\Local\Temp\OnboardLogs"\RTDC4023\2017-11-01 --exclude "*" --recursive --include "*20171101*" &amp; "%USERPROFILE%\Documents\GitHub\mrs-test-scripts\Headless Mode &amp; Sideloading\WalkAndUnGZ.bat" "%USERPROFILE%\AppData\Local\Temp\OnboardLogs"\RTDC4023\2017-11-01 &amp; aws s3 cp s3://rtdc.mdm.uploadarchive.raw/RTDC4023/ "%USERPROFILE%\AppData\Local\Temp\OnboardLogs"\RTDC4023\2017-11-02 --exclude "*" --recursive --include "*20171102*" &amp; "%USERPROFILE%\Documents\GitHub\mrs-test-scripts\Headless Mode &amp; Sideloading\WalkAndUnGZ.bat" "%USERPROFILE%\AppData\Local\Temp\OnboardLogs"\RTDC4023\2017-11-02</v>
      </c>
      <c r="AF225" s="74" t="str">
        <f t="shared" si="286"/>
        <v>"C:\Program Files (x86)\AstroGrep\AstroGrep.exe" /e /r /s /spath="%USERPROFILE%\AppData\Local\Temp\OnboardLogs" /stypes="app*4023*20171101*" /stext=" 21:.+((SYSTEM_STATE.+slice.+state.+changed )|(ment ac)|(multiple cpu faults)|(system.+state.+changed )|(\[timeout)|(PRM\|1\|D)|(kpr)|(kdp)|(train st.+moving)|(\|lc)|(penalty))"</v>
      </c>
      <c r="AG225" s="182" t="str">
        <f t="shared" si="287"/>
        <v>Other</v>
      </c>
      <c r="AH225" s="78" t="str">
        <f t="shared" si="288"/>
        <v>"%USERPROFILE%\Documents\GitHub\eaglep3\Utilities\RefineRTDCRunTimes.py" --tripid 904-01 --locoid 4023 --swversion DE.1.0.9.0 --startMP 300:23667 --initTime 2017-11-01T15:16:25 --startdatetime 2017-11-01T15:20:28 --delay 81 --endMP 204:113 --enddatetime 2017-11-01T15:27:40 --enforcementcount 0 &gt;&gt;%USERPROFILE%\Documents\GitHub\eaglep3-reporting\EC\2017-11-01-refined-times.txt</v>
      </c>
      <c r="AI225" s="96" t="str">
        <f t="shared" si="289"/>
        <v>echo {"issue":{"subject":"","project_id":79,"tracker_id":40,"status_id":1,"priority_id":2,"assigned_to_id":338,"start_date":"2017-11-01","description":"","custom_fields":[{"id":1,"name":"Subdivision","value":"Other"},{"id":4,"name":"Milepost","value":"0.0113"},{"id":17,"name":"Train ID","value":"904-01"},{"id":16,"name":"Locomotive ID","value":"4023"},{"id":130,"name":"Impact","value":""},{"id":150,"name":"Time of Event (Mountain Time)","value":"15:27:40"},{"id":151,"name":"Denver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5" s="47"/>
      <c r="AL225" s="47"/>
      <c r="AM225" s="142" t="str">
        <f t="shared" si="290"/>
        <v>start /low /b %USERPROFILE%\Documents\GitHub\eaglep3\Utilities\DownloadLogsFromS3.py --loco 4023 --day 2017-11-01</v>
      </c>
      <c r="AN225" s="151" t="str">
        <f t="shared" si="291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21:27:40"},{"id":29,"name":"Sharepoint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8" t="str">
        <f t="shared" si="292"/>
        <v>https://d0f6bd738d7f1b3e5a7ca70fe4ff75f0.us-east-1.aws.found.io/app/kibana#/discover/Steve-Slow-Train-Analysis-(2080s-and-2083s)?_g=(refreshInterval:(display:Off,pause:!f,section:0,value:0),time:(from:'2017-11-01T14:16:25-0600',mode:absolute,to:'2017-11-01T16:27:40-0600'))&amp;_a=(columns:!('Message%20ID',Summary),filters:!(),index:'emp_*',interval:auto,query:(query_string:(analyze_wildcard:!t,query:'%22rtdc.l.rtdc.4023%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 s="32" t="s">
        <v>833</v>
      </c>
      <c r="B226" s="7">
        <v>4023</v>
      </c>
      <c r="C226" s="21" t="s">
        <v>194</v>
      </c>
      <c r="D226" s="21" t="s">
        <v>1078</v>
      </c>
      <c r="E226" s="13">
        <v>43040.789375</v>
      </c>
      <c r="F226" s="13">
        <v>43040.790671296294</v>
      </c>
      <c r="G226" s="7">
        <v>55</v>
      </c>
      <c r="H226" s="21" t="s">
        <v>1079</v>
      </c>
      <c r="I226" s="13">
        <v>43040.796273148146</v>
      </c>
      <c r="J226" s="7">
        <v>0</v>
      </c>
      <c r="K226" s="89" t="str">
        <f t="shared" si="278"/>
        <v>4023/4024</v>
      </c>
      <c r="L226" s="185" t="str">
        <f>VLOOKUP(A226,'Trips&amp;Operators'!$C$1:$G$99911,5,FALSE)</f>
        <v>STAMBAUGH JAMES</v>
      </c>
      <c r="M226" s="6">
        <f t="shared" si="279"/>
        <v>5.6018518516793847E-3</v>
      </c>
      <c r="N226" s="7">
        <f t="shared" si="293"/>
        <v>8.066666666418314</v>
      </c>
      <c r="O226" s="7"/>
      <c r="P226" s="7"/>
      <c r="Q226" s="22"/>
      <c r="R226" s="174"/>
      <c r="S226" s="221">
        <f t="shared" si="280"/>
        <v>0</v>
      </c>
      <c r="T226" s="174" t="str">
        <f t="shared" si="281"/>
        <v>Southbound</v>
      </c>
      <c r="U226" s="19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16" t="str">
        <f t="shared" si="282"/>
        <v>https://d0f6bd738d7f1b3e5a7ca70fe4ff75f0.us-east-1.aws.found.io/app/kibana#/discover/Steve-Slow-Train-Analysis-(2080s-and-2083s)?_g=(refreshInterval:(display:Off,pause:!f,section:0,value:0),time:(from:'2017-11-01T17:56:42-0600',mode:absolute,to:'2017-11-01T20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6" s="204" t="str">
        <f>IF(AA226&lt;VLOOKUP(AG226,Variables!$AC$3:$AD$8,2,FALSE),"Y","N")</f>
        <v>Y</v>
      </c>
      <c r="X226" s="204">
        <f t="shared" si="277"/>
        <v>2</v>
      </c>
      <c r="Y226" s="204">
        <f t="shared" si="294"/>
        <v>5.8625999999999996</v>
      </c>
      <c r="Z226" s="204">
        <f t="shared" si="295"/>
        <v>2.8727</v>
      </c>
      <c r="AA226" s="204">
        <f t="shared" si="283"/>
        <v>2.9898999999999996</v>
      </c>
      <c r="AB226" s="54" t="e">
        <f>VLOOKUP(A226,Enforcements!$C$7:$K$10,8,0)</f>
        <v>#N/A</v>
      </c>
      <c r="AC226" s="51" t="e">
        <f>VLOOKUP(A226,Enforcements!$C$7:$E$10,3,0)</f>
        <v>#N/A</v>
      </c>
      <c r="AD226" s="179">
        <f t="shared" si="284"/>
        <v>906</v>
      </c>
      <c r="AE226" s="77" t="str">
        <f t="shared" si="285"/>
        <v>aws s3 cp s3://rtdc.mdm.uploadarchive.raw/RTDC4023/ "%USERPROFILE%\AppData\Local\Temp\OnboardLogs"\RTDC4023\2017-11-01 --exclude "*" --recursive --include "*20171101*" &amp; "%USERPROFILE%\Documents\GitHub\mrs-test-scripts\Headless Mode &amp; Sideloading\WalkAndUnGZ.bat" "%USERPROFILE%\AppData\Local\Temp\OnboardLogs"\RTDC4023\2017-11-01 &amp; aws s3 cp s3://rtdc.mdm.uploadarchive.raw/RTDC4023/ "%USERPROFILE%\AppData\Local\Temp\OnboardLogs"\RTDC4023\2017-11-02 --exclude "*" --recursive --include "*20171102*" &amp; "%USERPROFILE%\Documents\GitHub\mrs-test-scripts\Headless Mode &amp; Sideloading\WalkAndUnGZ.bat" "%USERPROFILE%\AppData\Local\Temp\OnboardLogs"\RTDC4023\2017-11-02</v>
      </c>
      <c r="AF226" s="74" t="str">
        <f t="shared" si="286"/>
        <v>"C:\Program Files (x86)\AstroGrep\AstroGrep.exe" /e /r /s /spath="%USERPROFILE%\AppData\Local\Temp\OnboardLogs" /stypes="app*4023*20171102*" /stext=" 01:.+((SYSTEM_STATE.+slice.+state.+changed )|(ment ac)|(multiple cpu faults)|(system.+state.+changed )|(\[timeout)|(PRM\|1\|D)|(kpr)|(kdp)|(train st.+moving)|(\|lc)|(penalty))"</v>
      </c>
      <c r="AG226" s="182" t="str">
        <f t="shared" si="287"/>
        <v>Other</v>
      </c>
      <c r="AH226" s="78" t="str">
        <f t="shared" si="288"/>
        <v>"%USERPROFILE%\Documents\GitHub\eaglep3\Utilities\RefineRTDCRunTimes.py" --tripid 906-01 --locoid 4023 --swversion DE.1.0.9.0 --startMP 300:58626 --initTime 2017-11-01T18:56:42 --startdatetime 2017-11-01T18:58:34 --delay 55 --endMP 300:28727 --enddatetime 2017-11-01T19:06:38 --enforcementcount 0 &gt;&gt;%USERPROFILE%\Documents\GitHub\eaglep3-reporting\EC\2017-11-01-refined-times.txt</v>
      </c>
      <c r="AI226" s="96" t="str">
        <f t="shared" si="289"/>
        <v>echo {"issue":{"subject":"","project_id":79,"tracker_id":40,"status_id":1,"priority_id":2,"assigned_to_id":338,"start_date":"2017-11-01","description":"","custom_fields":[{"id":1,"name":"Subdivision","value":"Other"},{"id":4,"name":"Milepost","value":"2.8727"},{"id":17,"name":"Train ID","value":"906-01"},{"id":16,"name":"Locomotive ID","value":"4023"},{"id":130,"name":"Impact","value":""},{"id":150,"name":"Time of Event (Mountain Time)","value":"19:06:38"},{"id":151,"name":"Denver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6" s="47"/>
      <c r="AL226" s="47"/>
      <c r="AM226" s="142" t="str">
        <f t="shared" si="290"/>
        <v>start /low /b %USERPROFILE%\Documents\GitHub\eaglep3\Utilities\DownloadLogsFromS3.py --loco 4023 --day 2017-11-01</v>
      </c>
      <c r="AN226" s="151" t="str">
        <f t="shared" si="291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01:06:38"},{"id":29,"name":"Sharepoint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8" t="str">
        <f t="shared" si="292"/>
        <v>https://d0f6bd738d7f1b3e5a7ca70fe4ff75f0.us-east-1.aws.found.io/app/kibana#/discover/Steve-Slow-Train-Analysis-(2080s-and-2083s)?_g=(refreshInterval:(display:Off,pause:!f,section:0,value:0),time:(from:'2017-11-01T17:56:42-0600',mode:absolute,to:'2017-11-01T20:06:38-0600'))&amp;_a=(columns:!('Message%20ID',Summary),filters:!(),index:'emp_*',interval:auto,query:(query_string:(analyze_wildcard:!t,query:'%22rtdc.l.rtdc.4023%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 s="32" t="s">
        <v>861</v>
      </c>
      <c r="B227" s="7">
        <v>4031</v>
      </c>
      <c r="C227" s="21" t="s">
        <v>194</v>
      </c>
      <c r="D227" s="21" t="s">
        <v>456</v>
      </c>
      <c r="E227" s="13">
        <v>43040.973668981482</v>
      </c>
      <c r="F227" s="13">
        <v>43040.975162037037</v>
      </c>
      <c r="G227" s="7">
        <v>50</v>
      </c>
      <c r="H227" s="21" t="s">
        <v>1080</v>
      </c>
      <c r="I227" s="13">
        <v>43041.018726851849</v>
      </c>
      <c r="J227" s="7">
        <v>0</v>
      </c>
      <c r="K227" s="89" t="str">
        <f t="shared" si="278"/>
        <v>4031/4032</v>
      </c>
      <c r="L227" s="185" t="str">
        <f>VLOOKUP(A227,'Trips&amp;Operators'!$C$1:$G$99911,5,FALSE)</f>
        <v>STAMBAUGH JAMES</v>
      </c>
      <c r="M227" s="6">
        <f t="shared" si="279"/>
        <v>4.3564814812270924E-2</v>
      </c>
      <c r="N227" s="7">
        <f t="shared" si="293"/>
        <v>62.733333329670131</v>
      </c>
      <c r="O227" s="7"/>
      <c r="P227" s="7"/>
      <c r="Q227" s="22"/>
      <c r="R227" s="174"/>
      <c r="S227" s="221">
        <f t="shared" si="280"/>
        <v>0</v>
      </c>
      <c r="T227" s="174" t="str">
        <f t="shared" si="281"/>
        <v>Southbound</v>
      </c>
      <c r="U227" s="198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16" t="str">
        <f t="shared" si="282"/>
        <v>https://d0f6bd738d7f1b3e5a7ca70fe4ff75f0.us-east-1.aws.found.io/app/kibana#/discover/Steve-Slow-Train-Analysis-(2080s-and-2083s)?_g=(refreshInterval:(display:Off,pause:!f,section:0,value:0),time:(from:'2017-11-01T22:22:05-0600',mode:absolute,to:'2017-11-02T01:26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7" s="204" t="str">
        <f>IF(AA227&lt;VLOOKUP(AG227,Variables!$AC$3:$AD$8,2,FALSE),"Y","N")</f>
        <v>Y</v>
      </c>
      <c r="X227" s="204">
        <f t="shared" ref="X227:X238" si="296">VALUE(LEFT(AD227,4))-VALUE(LEFT(AD226,4))</f>
        <v>2</v>
      </c>
      <c r="Y227" s="204">
        <f t="shared" si="294"/>
        <v>5.8615000000000004</v>
      </c>
      <c r="Z227" s="204">
        <f t="shared" si="295"/>
        <v>2.8788999999999998</v>
      </c>
      <c r="AA227" s="204">
        <f t="shared" si="283"/>
        <v>2.9826000000000006</v>
      </c>
      <c r="AB227" s="54" t="e">
        <f>VLOOKUP(A227,Enforcements!$C$7:$K$10,8,0)</f>
        <v>#N/A</v>
      </c>
      <c r="AC227" s="51" t="e">
        <f>VLOOKUP(A227,Enforcements!$C$7:$E$10,3,0)</f>
        <v>#N/A</v>
      </c>
      <c r="AD227" s="179">
        <f t="shared" si="284"/>
        <v>908</v>
      </c>
      <c r="AE227" s="77" t="str">
        <f t="shared" si="285"/>
        <v>aws s3 cp s3://rtdc.mdm.uploadarchive.raw/RTDC4031/ "%USERPROFILE%\AppData\Local\Temp\OnboardLogs"\RTDC4031\2017-11-01 --exclude "*" --recursive --include "*20171101*" &amp; "%USERPROFILE%\Documents\GitHub\mrs-test-scripts\Headless Mode &amp; Sideloading\WalkAndUnGZ.bat" "%USERPROFILE%\AppData\Local\Temp\OnboardLogs"\RTDC4031\2017-11-01 &amp; 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</v>
      </c>
      <c r="AF227" s="74" t="str">
        <f t="shared" si="286"/>
        <v>"C:\Program Files (x86)\AstroGrep\AstroGrep.exe" /e /r /s /spath="%USERPROFILE%\AppData\Local\Temp\OnboardLogs" /stypes="app*4031*20171102*" /stext=" 06:.+((SYSTEM_STATE.+slice.+state.+changed )|(ment ac)|(multiple cpu faults)|(system.+state.+changed )|(\[timeout)|(PRM\|1\|D)|(kpr)|(kdp)|(train st.+moving)|(\|lc)|(penalty))"</v>
      </c>
      <c r="AG227" s="182" t="str">
        <f t="shared" si="287"/>
        <v>Other</v>
      </c>
      <c r="AH227" s="78" t="str">
        <f t="shared" si="288"/>
        <v>"%USERPROFILE%\Documents\GitHub\eaglep3\Utilities\RefineRTDCRunTimes.py" --tripid 908-01 --locoid 4031 --swversion DE.1.0.9.0 --startMP 300:58615 --initTime 2017-11-01T23:22:05 --startdatetime 2017-11-01T23:24:14 --delay 50 --endMP 300:28789 --enddatetime 2017-11-02T00:26:58 --enforcementcount 0 &gt;&gt;%USERPROFILE%\Documents\GitHub\eaglep3-reporting\EC\2017-11-01-refined-times.txt</v>
      </c>
      <c r="AI227" s="96" t="str">
        <f t="shared" si="289"/>
        <v>echo {"issue":{"subject":"","project_id":79,"tracker_id":40,"status_id":1,"priority_id":2,"assigned_to_id":338,"start_date":"2017-11-02","description":"","custom_fields":[{"id":1,"name":"Subdivision","value":"Other"},{"id":4,"name":"Milepost","value":"2.8789"},{"id":17,"name":"Train ID","value":"908-01"},{"id":16,"name":"Locomotive ID","value":"4031"},{"id":130,"name":"Impact","value":""},{"id":150,"name":"Time of Event (Mountain Time)","value":"00:26:58"},{"id":151,"name":"Denver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47"/>
      <c r="AL227" s="47"/>
      <c r="AM227" s="142" t="str">
        <f t="shared" si="290"/>
        <v>start /low /b %USERPROFILE%\Documents\GitHub\eaglep3\Utilities\DownloadLogsFromS3.py --loco 4031 --day 2017-11-01</v>
      </c>
      <c r="AN227" s="151" t="str">
        <f t="shared" si="291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06:26:58"},{"id":29,"name":"Sharepoint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68" t="str">
        <f t="shared" si="292"/>
        <v>https://d0f6bd738d7f1b3e5a7ca70fe4ff75f0.us-east-1.aws.found.io/app/kibana#/discover/Steve-Slow-Train-Analysis-(2080s-and-2083s)?_g=(refreshInterval:(display:Off,pause:!f,section:0,value:0),time:(from:'2017-11-01T22:22:05-0600',mode:absolute,to:'2017-11-02T01:26:58-0600'))&amp;_a=(columns:!('Message%20ID',Summary),filters:!(),index:'emp_*',interval:auto,query:(query_string:(analyze_wildcard:!t,query:'%22rtdc.l.rtdc.4031%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 s="32" t="s">
        <v>654</v>
      </c>
      <c r="B228" s="7">
        <v>4004</v>
      </c>
      <c r="C228" s="21" t="s">
        <v>194</v>
      </c>
      <c r="D228" s="21" t="s">
        <v>993</v>
      </c>
      <c r="E228" s="13">
        <v>43040.12940972222</v>
      </c>
      <c r="F228" s="13">
        <v>43040.136631944442</v>
      </c>
      <c r="G228" s="7">
        <v>93</v>
      </c>
      <c r="H228" s="21" t="s">
        <v>994</v>
      </c>
      <c r="I228" s="13">
        <v>43040.137824074074</v>
      </c>
      <c r="J228" s="7">
        <v>0</v>
      </c>
      <c r="K228" s="89" t="str">
        <f t="shared" si="278"/>
        <v>4003/4004</v>
      </c>
      <c r="L228" s="185" t="str">
        <f>VLOOKUP(A228,'Trips&amp;Operators'!$C$1:$G$99911,5,FALSE)</f>
        <v>SPECTOR MICHAEL</v>
      </c>
      <c r="M228" s="6">
        <f t="shared" si="279"/>
        <v>1.1921296318178065E-3</v>
      </c>
      <c r="N228" s="7">
        <f t="shared" si="293"/>
        <v>1.7166666698176414</v>
      </c>
      <c r="O228" s="7"/>
      <c r="P228" s="7"/>
      <c r="Q228" s="22"/>
      <c r="R228" s="174"/>
      <c r="S228" s="221">
        <f t="shared" si="280"/>
        <v>0</v>
      </c>
      <c r="T228" s="174" t="str">
        <f t="shared" si="281"/>
        <v>NorthBound</v>
      </c>
      <c r="U228" s="198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16" t="str">
        <f t="shared" si="282"/>
        <v>https://d0f6bd738d7f1b3e5a7ca70fe4ff75f0.us-east-1.aws.found.io/app/kibana#/discover/Steve-Slow-Train-Analysis-(2080s-and-2083s)?_g=(refreshInterval:(display:Off,pause:!f,section:0,value:0),time:(from:'2017-11-01T02:06:21-0600',mode:absolute,to:'2017-11-01T04:18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28" s="204" t="str">
        <f>IF(AA228&lt;VLOOKUP(AG228,Variables!$AC$3:$AD$8,2,FALSE),"Y","N")</f>
        <v>Y</v>
      </c>
      <c r="X228" s="204">
        <f t="shared" si="296"/>
        <v>-857</v>
      </c>
      <c r="Y228" s="204">
        <f t="shared" si="294"/>
        <v>4.2599999999999999E-2</v>
      </c>
      <c r="Z228" s="204">
        <f t="shared" si="295"/>
        <v>0.35799999999999998</v>
      </c>
      <c r="AA228" s="204">
        <f t="shared" si="283"/>
        <v>0.31540000000000001</v>
      </c>
      <c r="AB228" s="54" t="e">
        <f>VLOOKUP(A228,Enforcements!$C$7:$K$10,8,0)</f>
        <v>#N/A</v>
      </c>
      <c r="AC228" s="51" t="e">
        <f>VLOOKUP(A228,Enforcements!$C$7:$E$10,3,0)</f>
        <v>#N/A</v>
      </c>
      <c r="AD228" s="179">
        <f t="shared" si="284"/>
        <v>51</v>
      </c>
      <c r="AE228" s="77" t="str">
        <f t="shared" si="285"/>
        <v>aws s3 cp s3://rtdc.mdm.uploadarchive.raw/RTDC4004/ "%USERPROFILE%\AppData\Local\Temp\OnboardLogs"\RTDC4004\2017-11-01 --exclude "*" --recursive --include "*20171101*" &amp; "%USERPROFILE%\Documents\GitHub\mrs-test-scripts\Headless Mode &amp; Sideloading\WalkAndUnGZ.bat" "%USERPROFILE%\AppData\Local\Temp\OnboardLogs"\RTDC4004\2017-11-01 &amp; aws s3 cp s3://rtdc.mdm.uploadarchive.raw/RTDC4004/ "%USERPROFILE%\AppData\Local\Temp\OnboardLogs"\RTDC4004\2017-11-02 --exclude "*" --recursive --include "*20171102*" &amp; "%USERPROFILE%\Documents\GitHub\mrs-test-scripts\Headless Mode &amp; Sideloading\WalkAndUnGZ.bat" "%USERPROFILE%\AppData\Local\Temp\OnboardLogs"\RTDC4004\2017-11-02</v>
      </c>
      <c r="AF228" s="74" t="str">
        <f t="shared" si="286"/>
        <v>"C:\Program Files (x86)\AstroGrep\AstroGrep.exe" /e /r /s /spath="%USERPROFILE%\AppData\Local\Temp\OnboardLogs" /stypes="app*4004*20171101*" /stext=" 09:.+((SYSTEM_STATE.+slice.+state.+changed )|(ment ac)|(multiple cpu faults)|(system.+state.+changed )|(\[timeout)|(PRM\|1\|D)|(kpr)|(kdp)|(train st.+moving)|(\|lc)|(penalty))"</v>
      </c>
      <c r="AG228" s="182" t="str">
        <f t="shared" si="287"/>
        <v>Shuttle/Test</v>
      </c>
      <c r="AH228" s="78" t="str">
        <f t="shared" si="288"/>
        <v>"%USERPROFILE%\Documents\GitHub\eaglep3\Utilities\RefineRTDCRunTimes.py" --tripid 51-01 --locoid 4004 --swversion DE.1.0.9.0 --startMP 204:426 --initTime 2017-11-01T03:06:21 --startdatetime 2017-11-01T03:16:45 --delay 93 --endMP 204:3580 --enddatetime 2017-11-01T03:18:28 --enforcementcount 0 &gt;&gt;%USERPROFILE%\Documents\GitHub\eaglep3-reporting\EC\2017-11-01-refined-times.txt</v>
      </c>
      <c r="AI228" s="96" t="str">
        <f t="shared" si="289"/>
        <v>echo {"issue":{"subject":"","project_id":79,"tracker_id":40,"status_id":1,"priority_id":2,"assigned_to_id":338,"start_date":"2017-11-01","description":"","custom_fields":[{"id":1,"name":"Subdivision","value":"Shuttle/Test"},{"id":4,"name":"Milepost","value":"0.358"},{"id":17,"name":"Train ID","value":"51-01"},{"id":16,"name":"Locomotive ID","value":"4004"},{"id":130,"name":"Impact","value":""},{"id":150,"name":"Time of Event (Mountain Time)","value":"03:18:28"},{"id":151,"name":"Denver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8" s="47"/>
      <c r="AL228" s="47"/>
      <c r="AM228" s="142" t="str">
        <f t="shared" si="290"/>
        <v>start /low /b %USERPROFILE%\Documents\GitHub\eaglep3\Utilities\DownloadLogsFromS3.py --loco 4004 --day 2017-11-01</v>
      </c>
      <c r="AN228" s="151" t="str">
        <f t="shared" si="291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09:18:28"},{"id":29,"name":"Sharepoint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68" t="str">
        <f t="shared" si="292"/>
        <v>https://d0f6bd738d7f1b3e5a7ca70fe4ff75f0.us-east-1.aws.found.io/app/kibana#/discover/Steve-Slow-Train-Analysis-(2080s-and-2083s)?_g=(refreshInterval:(display:Off,pause:!f,section:0,value:0),time:(from:'2017-11-01T02:06:21-0600',mode:absolute,to:'2017-11-01T04:18:28-0600'))&amp;_a=(columns:!('Message%20ID',Summary),filters:!(),index:'emp_*',interval:auto,query:(query_string:(analyze_wildcard:!t,query:'%22rtdc.l.rtdc.4004%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 s="32" t="s">
        <v>654</v>
      </c>
      <c r="B229" s="7">
        <v>4004</v>
      </c>
      <c r="C229" s="21" t="s">
        <v>194</v>
      </c>
      <c r="D229" s="21" t="s">
        <v>995</v>
      </c>
      <c r="E229" s="13">
        <v>43040.507245370369</v>
      </c>
      <c r="F229" s="13">
        <v>43040.512557870374</v>
      </c>
      <c r="G229" s="7">
        <v>97</v>
      </c>
      <c r="H229" s="21" t="s">
        <v>996</v>
      </c>
      <c r="I229" s="13">
        <v>43040.513645833336</v>
      </c>
      <c r="J229" s="7">
        <v>0</v>
      </c>
      <c r="K229" s="89" t="str">
        <f t="shared" si="278"/>
        <v>4003/4004</v>
      </c>
      <c r="L229" s="185" t="str">
        <f>VLOOKUP(A229,'Trips&amp;Operators'!$C$1:$G$99911,5,FALSE)</f>
        <v>SPECTOR MICHAEL</v>
      </c>
      <c r="M229" s="6">
        <f t="shared" si="279"/>
        <v>1.0879629626288079E-3</v>
      </c>
      <c r="N229" s="7">
        <f t="shared" si="293"/>
        <v>1.5666666661854833</v>
      </c>
      <c r="O229" s="7"/>
      <c r="P229" s="7"/>
      <c r="Q229" s="22"/>
      <c r="R229" s="174"/>
      <c r="S229" s="221">
        <f t="shared" si="280"/>
        <v>0</v>
      </c>
      <c r="T229" s="174" t="str">
        <f t="shared" si="281"/>
        <v>NorthBound</v>
      </c>
      <c r="U229" s="198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16" t="str">
        <f t="shared" si="282"/>
        <v>https://d0f6bd738d7f1b3e5a7ca70fe4ff75f0.us-east-1.aws.found.io/app/kibana#/discover/Steve-Slow-Train-Analysis-(2080s-and-2083s)?_g=(refreshInterval:(display:Off,pause:!f,section:0,value:0),time:(from:'2017-11-01T11:10:26-0600',mode:absolute,to:'2017-11-01T13:19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29" s="204" t="str">
        <f>IF(AA229&lt;VLOOKUP(AG229,Variables!$AC$3:$AD$8,2,FALSE),"Y","N")</f>
        <v>Y</v>
      </c>
      <c r="X229" s="204">
        <f t="shared" si="296"/>
        <v>0</v>
      </c>
      <c r="Y229" s="204">
        <f t="shared" si="294"/>
        <v>0.15029999999999999</v>
      </c>
      <c r="Z229" s="204">
        <f t="shared" si="295"/>
        <v>0.34539999999999998</v>
      </c>
      <c r="AA229" s="204">
        <f t="shared" si="283"/>
        <v>0.1951</v>
      </c>
      <c r="AB229" s="54" t="e">
        <f>VLOOKUP(A229,Enforcements!$C$7:$K$10,8,0)</f>
        <v>#N/A</v>
      </c>
      <c r="AC229" s="51" t="e">
        <f>VLOOKUP(A229,Enforcements!$C$7:$E$10,3,0)</f>
        <v>#N/A</v>
      </c>
      <c r="AD229" s="179">
        <f t="shared" si="284"/>
        <v>51</v>
      </c>
      <c r="AE229" s="77" t="str">
        <f t="shared" si="285"/>
        <v>aws s3 cp s3://rtdc.mdm.uploadarchive.raw/RTDC4004/ "%USERPROFILE%\AppData\Local\Temp\OnboardLogs"\RTDC4004\2017-11-01 --exclude "*" --recursive --include "*20171101*" &amp; "%USERPROFILE%\Documents\GitHub\mrs-test-scripts\Headless Mode &amp; Sideloading\WalkAndUnGZ.bat" "%USERPROFILE%\AppData\Local\Temp\OnboardLogs"\RTDC4004\2017-11-01 &amp; aws s3 cp s3://rtdc.mdm.uploadarchive.raw/RTDC4004/ "%USERPROFILE%\AppData\Local\Temp\OnboardLogs"\RTDC4004\2017-11-02 --exclude "*" --recursive --include "*20171102*" &amp; "%USERPROFILE%\Documents\GitHub\mrs-test-scripts\Headless Mode &amp; Sideloading\WalkAndUnGZ.bat" "%USERPROFILE%\AppData\Local\Temp\OnboardLogs"\RTDC4004\2017-11-02</v>
      </c>
      <c r="AF229" s="74" t="str">
        <f t="shared" si="286"/>
        <v>"C:\Program Files (x86)\AstroGrep\AstroGrep.exe" /e /r /s /spath="%USERPROFILE%\AppData\Local\Temp\OnboardLogs" /stypes="app*4004*20171101*" /stext=" 18:.+((SYSTEM_STATE.+slice.+state.+changed )|(ment ac)|(multiple cpu faults)|(system.+state.+changed )|(\[timeout)|(PRM\|1\|D)|(kpr)|(kdp)|(train st.+moving)|(\|lc)|(penalty))"</v>
      </c>
      <c r="AG229" s="182" t="str">
        <f t="shared" si="287"/>
        <v>Shuttle/Test</v>
      </c>
      <c r="AH229" s="78" t="str">
        <f t="shared" si="288"/>
        <v>"%USERPROFILE%\Documents\GitHub\eaglep3\Utilities\RefineRTDCRunTimes.py" --tripid 51-01 --locoid 4004 --swversion DE.1.0.9.0 --startMP 204:1503 --initTime 2017-11-01T12:10:26 --startdatetime 2017-11-01T12:18:05 --delay 97 --endMP 204:3454 --enddatetime 2017-11-01T12:19:39 --enforcementcount 0 &gt;&gt;%USERPROFILE%\Documents\GitHub\eaglep3-reporting\EC\2017-11-01-refined-times.txt</v>
      </c>
      <c r="AI229" s="96" t="str">
        <f t="shared" si="289"/>
        <v>echo {"issue":{"subject":"","project_id":79,"tracker_id":40,"status_id":1,"priority_id":2,"assigned_to_id":338,"start_date":"2017-11-01","description":"","custom_fields":[{"id":1,"name":"Subdivision","value":"Shuttle/Test"},{"id":4,"name":"Milepost","value":"0.3454"},{"id":17,"name":"Train ID","value":"51-01"},{"id":16,"name":"Locomotive ID","value":"4004"},{"id":130,"name":"Impact","value":""},{"id":150,"name":"Time of Event (Mountain Time)","value":"12:19:39"},{"id":151,"name":"Denver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9" s="47"/>
      <c r="AL229" s="47"/>
      <c r="AM229" s="142" t="str">
        <f t="shared" si="290"/>
        <v>start /low /b %USERPROFILE%\Documents\GitHub\eaglep3\Utilities\DownloadLogsFromS3.py --loco 4004 --day 2017-11-01</v>
      </c>
      <c r="AN229" s="151" t="str">
        <f t="shared" si="291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18:19:39"},{"id":29,"name":"Sharepoint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68" t="str">
        <f t="shared" si="292"/>
        <v>https://d0f6bd738d7f1b3e5a7ca70fe4ff75f0.us-east-1.aws.found.io/app/kibana#/discover/Steve-Slow-Train-Analysis-(2080s-and-2083s)?_g=(refreshInterval:(display:Off,pause:!f,section:0,value:0),time:(from:'2017-11-01T11:10:26-0600',mode:absolute,to:'2017-11-01T13:19:39-0600'))&amp;_a=(columns:!('Message%20ID',Summary),filters:!(),index:'emp_*',interval:auto,query:(query_string:(analyze_wildcard:!t,query:'%22rtdc.l.rtdc.4004%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 s="32" t="s">
        <v>654</v>
      </c>
      <c r="B230" s="7">
        <v>4003</v>
      </c>
      <c r="C230" s="21" t="s">
        <v>194</v>
      </c>
      <c r="D230" s="21" t="s">
        <v>997</v>
      </c>
      <c r="E230" s="13">
        <v>43040.511423611111</v>
      </c>
      <c r="F230" s="13">
        <v>43040.512557870374</v>
      </c>
      <c r="G230" s="7">
        <v>51</v>
      </c>
      <c r="H230" s="21" t="s">
        <v>443</v>
      </c>
      <c r="I230" s="13">
        <v>43040.513645833336</v>
      </c>
      <c r="J230" s="7">
        <v>0</v>
      </c>
      <c r="K230" s="89" t="str">
        <f t="shared" si="278"/>
        <v>4003/4004</v>
      </c>
      <c r="L230" s="185" t="str">
        <f>VLOOKUP(A230,'Trips&amp;Operators'!$C$1:$G$99911,5,FALSE)</f>
        <v>SPECTOR MICHAEL</v>
      </c>
      <c r="M230" s="6">
        <f t="shared" si="279"/>
        <v>1.0879629626288079E-3</v>
      </c>
      <c r="N230" s="7">
        <f t="shared" si="293"/>
        <v>1.5666666661854833</v>
      </c>
      <c r="O230" s="7"/>
      <c r="P230" s="7"/>
      <c r="Q230" s="22"/>
      <c r="R230" s="174"/>
      <c r="S230" s="221">
        <f t="shared" si="280"/>
        <v>0</v>
      </c>
      <c r="T230" s="174" t="str">
        <f t="shared" si="281"/>
        <v>NorthBound</v>
      </c>
      <c r="U230" s="198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16" t="str">
        <f t="shared" si="282"/>
        <v>https://d0f6bd738d7f1b3e5a7ca70fe4ff75f0.us-east-1.aws.found.io/app/kibana#/discover/Steve-Slow-Train-Analysis-(2080s-and-2083s)?_g=(refreshInterval:(display:Off,pause:!f,section:0,value:0),time:(from:'2017-11-01T11:16:27-0600',mode:absolute,to:'2017-11-01T13:19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30" s="204" t="str">
        <f>IF(AA230&lt;VLOOKUP(AG230,Variables!$AC$3:$AD$8,2,FALSE),"Y","N")</f>
        <v>Y</v>
      </c>
      <c r="X230" s="204">
        <f t="shared" si="296"/>
        <v>0</v>
      </c>
      <c r="Y230" s="204">
        <f t="shared" si="294"/>
        <v>0.3145</v>
      </c>
      <c r="Z230" s="204">
        <f t="shared" si="295"/>
        <v>2.6700000000000002E-2</v>
      </c>
      <c r="AA230" s="204">
        <f t="shared" si="283"/>
        <v>0.2878</v>
      </c>
      <c r="AB230" s="54" t="e">
        <f>VLOOKUP(A230,Enforcements!$C$7:$K$10,8,0)</f>
        <v>#N/A</v>
      </c>
      <c r="AC230" s="51" t="e">
        <f>VLOOKUP(A230,Enforcements!$C$7:$E$10,3,0)</f>
        <v>#N/A</v>
      </c>
      <c r="AD230" s="179">
        <f t="shared" si="284"/>
        <v>51</v>
      </c>
      <c r="AE230" s="77" t="str">
        <f t="shared" si="285"/>
        <v>aws s3 cp s3://rtdc.mdm.uploadarchive.raw/RTDC4003/ "%USERPROFILE%\AppData\Local\Temp\OnboardLogs"\RTDC4003\2017-11-01 --exclude "*" --recursive --include "*20171101*" &amp; "%USERPROFILE%\Documents\GitHub\mrs-test-scripts\Headless Mode &amp; Sideloading\WalkAndUnGZ.bat" "%USERPROFILE%\AppData\Local\Temp\OnboardLogs"\RTDC4003\2017-11-01 &amp; aws s3 cp s3://rtdc.mdm.uploadarchive.raw/RTDC4003/ "%USERPROFILE%\AppData\Local\Temp\OnboardLogs"\RTDC4003\2017-11-02 --exclude "*" --recursive --include "*20171102*" &amp; "%USERPROFILE%\Documents\GitHub\mrs-test-scripts\Headless Mode &amp; Sideloading\WalkAndUnGZ.bat" "%USERPROFILE%\AppData\Local\Temp\OnboardLogs"\RTDC4003\2017-11-02</v>
      </c>
      <c r="AF230" s="74" t="str">
        <f t="shared" si="286"/>
        <v>"C:\Program Files (x86)\AstroGrep\AstroGrep.exe" /e /r /s /spath="%USERPROFILE%\AppData\Local\Temp\OnboardLogs" /stypes="app*4003*20171101*" /stext=" 18:.+((SYSTEM_STATE.+slice.+state.+changed )|(ment ac)|(multiple cpu faults)|(system.+state.+changed )|(\[timeout)|(PRM\|1\|D)|(kpr)|(kdp)|(train st.+moving)|(\|lc)|(penalty))"</v>
      </c>
      <c r="AG230" s="182" t="str">
        <f t="shared" si="287"/>
        <v>Shuttle/Test</v>
      </c>
      <c r="AH230" s="78" t="str">
        <f t="shared" si="288"/>
        <v>"%USERPROFILE%\Documents\GitHub\eaglep3\Utilities\RefineRTDCRunTimes.py" --tripid 51-01 --locoid 4003 --swversion DE.1.0.9.0 --startMP 204:3145 --initTime 2017-11-01T12:16:27 --startdatetime 2017-11-01T12:18:05 --delay 51 --endMP 204:267 --enddatetime 2017-11-01T12:19:39 --enforcementcount 0 &gt;&gt;%USERPROFILE%\Documents\GitHub\eaglep3-reporting\EC\2017-11-01-refined-times.txt</v>
      </c>
      <c r="AI230" s="96" t="str">
        <f t="shared" si="289"/>
        <v>echo {"issue":{"subject":"","project_id":79,"tracker_id":40,"status_id":1,"priority_id":2,"assigned_to_id":338,"start_date":"2017-11-01","description":"","custom_fields":[{"id":1,"name":"Subdivision","value":"Shuttle/Test"},{"id":4,"name":"Milepost","value":"0.0267"},{"id":17,"name":"Train ID","value":"51-01"},{"id":16,"name":"Locomotive ID","value":"4003"},{"id":130,"name":"Impact","value":""},{"id":150,"name":"Time of Event (Mountain Time)","value":"12:19:39"},{"id":151,"name":"Denver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0" s="47"/>
      <c r="AL230" s="47"/>
      <c r="AM230" s="142" t="str">
        <f t="shared" si="290"/>
        <v>start /low /b %USERPROFILE%\Documents\GitHub\eaglep3\Utilities\DownloadLogsFromS3.py --loco 4003 --day 2017-11-01</v>
      </c>
      <c r="AN230" s="151" t="str">
        <f t="shared" si="291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18:19:39"},{"id":29,"name":"Sharepoint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68" t="str">
        <f t="shared" si="292"/>
        <v>https://d0f6bd738d7f1b3e5a7ca70fe4ff75f0.us-east-1.aws.found.io/app/kibana#/discover/Steve-Slow-Train-Analysis-(2080s-and-2083s)?_g=(refreshInterval:(display:Off,pause:!f,section:0,value:0),time:(from:'2017-11-01T11:16:27-0600',mode:absolute,to:'2017-11-01T13:19:39-0600'))&amp;_a=(columns:!('Message%20ID',Summary),filters:!(),index:'emp_*',interval:auto,query:(query_string:(analyze_wildcard:!t,query:'%22rtdc.l.rtdc.4003%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 s="32" t="s">
        <v>656</v>
      </c>
      <c r="B231" s="7">
        <v>4003</v>
      </c>
      <c r="C231" s="21" t="s">
        <v>194</v>
      </c>
      <c r="D231" s="21" t="s">
        <v>998</v>
      </c>
      <c r="E231" s="13">
        <v>43040.138749999998</v>
      </c>
      <c r="F231" s="13">
        <v>43040.140219907407</v>
      </c>
      <c r="G231" s="7">
        <v>74</v>
      </c>
      <c r="H231" s="21" t="s">
        <v>452</v>
      </c>
      <c r="I231" s="13">
        <v>43040.141238425924</v>
      </c>
      <c r="J231" s="7">
        <v>0</v>
      </c>
      <c r="K231" s="89" t="str">
        <f t="shared" si="278"/>
        <v>4003/4004</v>
      </c>
      <c r="L231" s="185" t="str">
        <f>VLOOKUP(A231,'Trips&amp;Operators'!$C$1:$G$99911,5,FALSE)</f>
        <v>SPECTOR MICHAEL</v>
      </c>
      <c r="M231" s="6">
        <f t="shared" si="279"/>
        <v>1.0185185165028088E-3</v>
      </c>
      <c r="N231" s="7">
        <f t="shared" si="293"/>
        <v>1.4666666637640446</v>
      </c>
      <c r="O231" s="7"/>
      <c r="P231" s="7"/>
      <c r="Q231" s="22"/>
      <c r="R231" s="174"/>
      <c r="S231" s="221">
        <f t="shared" si="280"/>
        <v>0</v>
      </c>
      <c r="T231" s="174" t="str">
        <f t="shared" si="281"/>
        <v>Southbound</v>
      </c>
      <c r="U231" s="198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16" t="str">
        <f t="shared" si="282"/>
        <v>https://d0f6bd738d7f1b3e5a7ca70fe4ff75f0.us-east-1.aws.found.io/app/kibana#/discover/Steve-Slow-Train-Analysis-(2080s-and-2083s)?_g=(refreshInterval:(display:Off,pause:!f,section:0,value:0),time:(from:'2017-11-01T02:19:48-0600',mode:absolute,to:'2017-11-01T04:23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31" s="204" t="str">
        <f>IF(AA231&lt;VLOOKUP(AG231,Variables!$AC$3:$AD$8,2,FALSE),"Y","N")</f>
        <v>Y</v>
      </c>
      <c r="X231" s="204">
        <f t="shared" si="296"/>
        <v>1</v>
      </c>
      <c r="Y231" s="204">
        <f t="shared" si="294"/>
        <v>0.3251</v>
      </c>
      <c r="Z231" s="204">
        <f t="shared" si="295"/>
        <v>0.11840000000000001</v>
      </c>
      <c r="AA231" s="204">
        <f t="shared" si="283"/>
        <v>0.20669999999999999</v>
      </c>
      <c r="AB231" s="54" t="e">
        <f>VLOOKUP(A231,Enforcements!$C$7:$K$10,8,0)</f>
        <v>#N/A</v>
      </c>
      <c r="AC231" s="51" t="e">
        <f>VLOOKUP(A231,Enforcements!$C$7:$E$10,3,0)</f>
        <v>#N/A</v>
      </c>
      <c r="AD231" s="179">
        <f t="shared" si="284"/>
        <v>52</v>
      </c>
      <c r="AE231" s="77" t="str">
        <f t="shared" si="285"/>
        <v>aws s3 cp s3://rtdc.mdm.uploadarchive.raw/RTDC4003/ "%USERPROFILE%\AppData\Local\Temp\OnboardLogs"\RTDC4003\2017-11-01 --exclude "*" --recursive --include "*20171101*" &amp; "%USERPROFILE%\Documents\GitHub\mrs-test-scripts\Headless Mode &amp; Sideloading\WalkAndUnGZ.bat" "%USERPROFILE%\AppData\Local\Temp\OnboardLogs"\RTDC4003\2017-11-01 &amp; aws s3 cp s3://rtdc.mdm.uploadarchive.raw/RTDC4003/ "%USERPROFILE%\AppData\Local\Temp\OnboardLogs"\RTDC4003\2017-11-02 --exclude "*" --recursive --include "*20171102*" &amp; "%USERPROFILE%\Documents\GitHub\mrs-test-scripts\Headless Mode &amp; Sideloading\WalkAndUnGZ.bat" "%USERPROFILE%\AppData\Local\Temp\OnboardLogs"\RTDC4003\2017-11-02</v>
      </c>
      <c r="AF231" s="74" t="str">
        <f t="shared" si="286"/>
        <v>"C:\Program Files (x86)\AstroGrep\AstroGrep.exe" /e /r /s /spath="%USERPROFILE%\AppData\Local\Temp\OnboardLogs" /stypes="app*4003*20171101*" /stext=" 09:.+((SYSTEM_STATE.+slice.+state.+changed )|(ment ac)|(multiple cpu faults)|(system.+state.+changed )|(\[timeout)|(PRM\|1\|D)|(kpr)|(kdp)|(train st.+moving)|(\|lc)|(penalty))"</v>
      </c>
      <c r="AG231" s="182" t="str">
        <f t="shared" si="287"/>
        <v>Shuttle/Test</v>
      </c>
      <c r="AH231" s="78" t="str">
        <f t="shared" si="288"/>
        <v>"%USERPROFILE%\Documents\GitHub\eaglep3\Utilities\RefineRTDCRunTimes.py" --tripid 52-01 --locoid 4003 --swversion DE.1.0.9.0 --startMP 204:3251 --initTime 2017-11-01T03:19:48 --startdatetime 2017-11-01T03:21:55 --delay 74 --endMP 204:1184 --enddatetime 2017-11-01T03:23:23 --enforcementcount 0 &gt;&gt;%USERPROFILE%\Documents\GitHub\eaglep3-reporting\EC\2017-11-01-refined-times.txt</v>
      </c>
      <c r="AI231" s="96" t="str">
        <f t="shared" si="289"/>
        <v>echo {"issue":{"subject":"","project_id":79,"tracker_id":40,"status_id":1,"priority_id":2,"assigned_to_id":338,"start_date":"2017-11-01","description":"","custom_fields":[{"id":1,"name":"Subdivision","value":"Shuttle/Test"},{"id":4,"name":"Milepost","value":"0.1184"},{"id":17,"name":"Train ID","value":"52-01"},{"id":16,"name":"Locomotive ID","value":"4003"},{"id":130,"name":"Impact","value":""},{"id":150,"name":"Time of Event (Mountain Time)","value":"03:23:23"},{"id":151,"name":"Denver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1" s="47"/>
      <c r="AL231" s="47"/>
      <c r="AM231" s="142" t="str">
        <f t="shared" si="290"/>
        <v>start /low /b %USERPROFILE%\Documents\GitHub\eaglep3\Utilities\DownloadLogsFromS3.py --loco 4003 --day 2017-11-01</v>
      </c>
      <c r="AN231" s="151" t="str">
        <f t="shared" si="291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09:23:23"},{"id":29,"name":"Sharepoint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68" t="str">
        <f t="shared" si="292"/>
        <v>https://d0f6bd738d7f1b3e5a7ca70fe4ff75f0.us-east-1.aws.found.io/app/kibana#/discover/Steve-Slow-Train-Analysis-(2080s-and-2083s)?_g=(refreshInterval:(display:Off,pause:!f,section:0,value:0),time:(from:'2017-11-01T02:19:48-0600',mode:absolute,to:'2017-11-01T04:23:23-0600'))&amp;_a=(columns:!('Message%20ID',Summary),filters:!(),index:'emp_*',interval:auto,query:(query_string:(analyze_wildcard:!t,query:'%22rtdc.l.rtdc.4003%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 s="32" t="s">
        <v>733</v>
      </c>
      <c r="B232" s="7">
        <v>4051</v>
      </c>
      <c r="C232" s="21" t="s">
        <v>194</v>
      </c>
      <c r="D232" s="21" t="s">
        <v>999</v>
      </c>
      <c r="E232" s="13">
        <v>43040.44027777778</v>
      </c>
      <c r="F232" s="13">
        <v>43040.444953703707</v>
      </c>
      <c r="G232" s="7">
        <v>126</v>
      </c>
      <c r="H232" s="21" t="s">
        <v>1000</v>
      </c>
      <c r="I232" s="13">
        <v>43040.449780092589</v>
      </c>
      <c r="J232" s="7">
        <v>0</v>
      </c>
      <c r="K232" s="89" t="str">
        <f t="shared" si="278"/>
        <v>4051/4052</v>
      </c>
      <c r="L232" s="185" t="str">
        <f>VLOOKUP(A232,'Trips&amp;Operators'!$C$1:$G$99911,5,FALSE)</f>
        <v>DELGADO DIANAH</v>
      </c>
      <c r="M232" s="6">
        <f t="shared" si="279"/>
        <v>4.8263888820656575E-3</v>
      </c>
      <c r="N232" s="7">
        <f t="shared" si="293"/>
        <v>6.9499999901745468</v>
      </c>
      <c r="O232" s="7"/>
      <c r="P232" s="7"/>
      <c r="Q232" s="22"/>
      <c r="R232" s="174"/>
      <c r="S232" s="221">
        <f t="shared" si="280"/>
        <v>1</v>
      </c>
      <c r="T232" s="174" t="str">
        <f t="shared" si="281"/>
        <v>Southbound</v>
      </c>
      <c r="U232" s="198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216" t="str">
        <f t="shared" si="282"/>
        <v>https://d0f6bd738d7f1b3e5a7ca70fe4ff75f0.us-east-1.aws.found.io/app/kibana#/discover/Steve-Slow-Train-Analysis-(2080s-and-2083s)?_g=(refreshInterval:(display:Off,pause:!f,section:0,value:0),time:(from:'2017-11-01T09:34:00-0600',mode:absolute,to:'2017-11-01T11:47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32" s="204" t="str">
        <f>IF(AA232&lt;VLOOKUP(AG232,Variables!$AC$3:$AD$8,2,FALSE),"Y","N")</f>
        <v>Y</v>
      </c>
      <c r="X232" s="204">
        <f t="shared" si="296"/>
        <v>2</v>
      </c>
      <c r="Y232" s="204">
        <f t="shared" si="294"/>
        <v>2.2004999999999999</v>
      </c>
      <c r="Z232" s="204">
        <f t="shared" si="295"/>
        <v>9.2399999999999996E-2</v>
      </c>
      <c r="AA232" s="204">
        <f t="shared" si="283"/>
        <v>2.1080999999999999</v>
      </c>
      <c r="AB232" s="54" t="e">
        <f>VLOOKUP(A232,Enforcements!$C$7:$K$10,8,0)</f>
        <v>#N/A</v>
      </c>
      <c r="AC232" s="51" t="e">
        <f>VLOOKUP(A232,Enforcements!$C$7:$E$10,3,0)</f>
        <v>#N/A</v>
      </c>
      <c r="AD232" s="179">
        <f t="shared" si="284"/>
        <v>54</v>
      </c>
      <c r="AE232" s="77" t="str">
        <f t="shared" si="285"/>
        <v>aws s3 cp s3://rtdc.mdm.uploadarchive.raw/RTDC4051/ "%USERPROFILE%\AppData\Local\Temp\OnboardLogs"\RTDC4051\2017-11-01 --exclude "*" --recursive --include "*20171101*" &amp; "%USERPROFILE%\Documents\GitHub\mrs-test-scripts\Headless Mode &amp; Sideloading\WalkAndUnGZ.bat" "%USERPROFILE%\AppData\Local\Temp\OnboardLogs"\RTDC4051\2017-11-01 &amp; aws s3 cp s3://rtdc.mdm.uploadarchive.raw/RTDC4051/ "%USERPROFILE%\AppData\Local\Temp\OnboardLogs"\RTDC4051\2017-11-02 --exclude "*" --recursive --include "*20171102*" &amp; "%USERPROFILE%\Documents\GitHub\mrs-test-scripts\Headless Mode &amp; Sideloading\WalkAndUnGZ.bat" "%USERPROFILE%\AppData\Local\Temp\OnboardLogs"\RTDC4051\2017-11-02</v>
      </c>
      <c r="AF232" s="74" t="str">
        <f t="shared" si="286"/>
        <v>"C:\Program Files (x86)\AstroGrep\AstroGrep.exe" /e /r /s /spath="%USERPROFILE%\AppData\Local\Temp\OnboardLogs" /stypes="app*4051*20171101*" /stext=" 16:.+((SYSTEM_STATE.+slice.+state.+changed )|(ment ac)|(multiple cpu faults)|(system.+state.+changed )|(\[timeout)|(PRM\|1\|D)|(kpr)|(kdp)|(train st.+moving)|(\|lc)|(penalty))"</v>
      </c>
      <c r="AG232" s="182" t="str">
        <f t="shared" si="287"/>
        <v>Shuttle/Test</v>
      </c>
      <c r="AH232" s="78" t="str">
        <f t="shared" si="288"/>
        <v>"%USERPROFILE%\Documents\GitHub\eaglep3\Utilities\RefineRTDCRunTimes.py" --tripid 54-01 --locoid 4051 --swversion DE.1.0.9.0 --startMP 300:22005 --initTime 2017-11-01T10:34:00 --startdatetime 2017-11-01T10:40:44 --delay 126 --endMP 204:924 --enddatetime 2017-11-01T10:47:41 --enforcementcount 0 &gt;&gt;%USERPROFILE%\Documents\GitHub\eaglep3-reporting\EC\2017-11-01-refined-times.txt</v>
      </c>
      <c r="AI232" s="96" t="str">
        <f t="shared" si="289"/>
        <v>echo {"issue":{"subject":"","project_id":79,"tracker_id":40,"status_id":1,"priority_id":2,"assigned_to_id":338,"start_date":"2017-11-01","description":"","custom_fields":[{"id":1,"name":"Subdivision","value":"Shuttle/Test"},{"id":4,"name":"Milepost","value":"0.0924"},{"id":17,"name":"Train ID","value":"54-01"},{"id":16,"name":"Locomotive ID","value":"4051"},{"id":130,"name":"Impact","value":""},{"id":150,"name":"Time of Event (Mountain Time)","value":"10:47:41"},{"id":151,"name":"Denver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2" s="47"/>
      <c r="AL232" s="47"/>
      <c r="AM232" s="142" t="str">
        <f t="shared" si="290"/>
        <v>start /low /b %USERPROFILE%\Documents\GitHub\eaglep3\Utilities\DownloadLogsFromS3.py --loco 4051 --day 2017-11-01</v>
      </c>
      <c r="AN232" s="151" t="str">
        <f t="shared" si="291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16:47:41"},{"id":29,"name":"Sharepoint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168" t="str">
        <f t="shared" si="292"/>
        <v>https://d0f6bd738d7f1b3e5a7ca70fe4ff75f0.us-east-1.aws.found.io/app/kibana#/discover/Steve-Slow-Train-Analysis-(2080s-and-2083s)?_g=(refreshInterval:(display:Off,pause:!f,section:0,value:0),time:(from:'2017-11-01T09:34:00-0600',mode:absolute,to:'2017-11-01T11:47:41-0600'))&amp;_a=(columns:!('Message%20ID',Summary),filters:!(),index:'emp_*',interval:auto,query:(query_string:(analyze_wildcard:!t,query:'%22rtdc.l.rtdc.4051%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 s="32" t="s">
        <v>742</v>
      </c>
      <c r="B233" s="7">
        <v>4052</v>
      </c>
      <c r="C233" s="21" t="s">
        <v>194</v>
      </c>
      <c r="D233" s="21" t="s">
        <v>1001</v>
      </c>
      <c r="E233" s="13">
        <v>43040.476030092592</v>
      </c>
      <c r="F233" s="13">
        <v>43040.477337962962</v>
      </c>
      <c r="G233" s="7">
        <v>64</v>
      </c>
      <c r="H233" s="21" t="s">
        <v>1002</v>
      </c>
      <c r="I233" s="13">
        <v>43040.482453703706</v>
      </c>
      <c r="J233" s="7">
        <v>0</v>
      </c>
      <c r="K233" s="89" t="str">
        <f t="shared" si="278"/>
        <v>4051/4052</v>
      </c>
      <c r="L233" s="185" t="str">
        <f>VLOOKUP(A233,'Trips&amp;Operators'!$C$1:$G$99911,5,FALSE)</f>
        <v>YORK EDGAR</v>
      </c>
      <c r="M233" s="6">
        <f t="shared" si="279"/>
        <v>5.1157407433493063E-3</v>
      </c>
      <c r="N233" s="7">
        <f t="shared" si="293"/>
        <v>7.3666666704230011</v>
      </c>
      <c r="O233" s="7"/>
      <c r="P233" s="7"/>
      <c r="Q233" s="22"/>
      <c r="R233" s="174"/>
      <c r="S233" s="221">
        <f t="shared" si="280"/>
        <v>1</v>
      </c>
      <c r="T233" s="174" t="str">
        <f t="shared" si="281"/>
        <v>NorthBound</v>
      </c>
      <c r="U233" s="198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216" t="str">
        <f t="shared" si="282"/>
        <v>https://d0f6bd738d7f1b3e5a7ca70fe4ff75f0.us-east-1.aws.found.io/app/kibana#/discover/Steve-Slow-Train-Analysis-(2080s-and-2083s)?_g=(refreshInterval:(display:Off,pause:!f,section:0,value:0),time:(from:'2017-11-01T10:25:29-0600',mode:absolute,to:'2017-11-01T12:34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33" s="204" t="str">
        <f>IF(AA233&lt;VLOOKUP(AG233,Variables!$AC$3:$AD$8,2,FALSE),"Y","N")</f>
        <v>Y</v>
      </c>
      <c r="X233" s="204">
        <f t="shared" si="296"/>
        <v>1</v>
      </c>
      <c r="Y233" s="204">
        <f t="shared" si="294"/>
        <v>0.12479999999999999</v>
      </c>
      <c r="Z233" s="204">
        <f t="shared" si="295"/>
        <v>2.4190999999999998</v>
      </c>
      <c r="AA233" s="204">
        <f t="shared" si="283"/>
        <v>2.2942999999999998</v>
      </c>
      <c r="AB233" s="54" t="e">
        <f>VLOOKUP(A233,Enforcements!$C$7:$K$10,8,0)</f>
        <v>#N/A</v>
      </c>
      <c r="AC233" s="51" t="e">
        <f>VLOOKUP(A233,Enforcements!$C$7:$E$10,3,0)</f>
        <v>#N/A</v>
      </c>
      <c r="AD233" s="179">
        <f t="shared" si="284"/>
        <v>55</v>
      </c>
      <c r="AE233" s="77" t="str">
        <f t="shared" si="285"/>
        <v>aws s3 cp s3://rtdc.mdm.uploadarchive.raw/RTDC4052/ "%USERPROFILE%\AppData\Local\Temp\OnboardLogs"\RTDC4052\2017-11-01 --exclude "*" --recursive --include "*20171101*" &amp; "%USERPROFILE%\Documents\GitHub\mrs-test-scripts\Headless Mode &amp; Sideloading\WalkAndUnGZ.bat" "%USERPROFILE%\AppData\Local\Temp\OnboardLogs"\RTDC4052\2017-11-01 &amp; aws s3 cp s3://rtdc.mdm.uploadarchive.raw/RTDC4052/ "%USERPROFILE%\AppData\Local\Temp\OnboardLogs"\RTDC4052\2017-11-02 --exclude "*" --recursive --include "*20171102*" &amp; "%USERPROFILE%\Documents\GitHub\mrs-test-scripts\Headless Mode &amp; Sideloading\WalkAndUnGZ.bat" "%USERPROFILE%\AppData\Local\Temp\OnboardLogs"\RTDC4052\2017-11-02</v>
      </c>
      <c r="AF233" s="74" t="str">
        <f t="shared" si="286"/>
        <v>"C:\Program Files (x86)\AstroGrep\AstroGrep.exe" /e /r /s /spath="%USERPROFILE%\AppData\Local\Temp\OnboardLogs" /stypes="app*4052*20171101*" /stext=" 17:.+((SYSTEM_STATE.+slice.+state.+changed )|(ment ac)|(multiple cpu faults)|(system.+state.+changed )|(\[timeout)|(PRM\|1\|D)|(kpr)|(kdp)|(train st.+moving)|(\|lc)|(penalty))"</v>
      </c>
      <c r="AG233" s="182" t="str">
        <f t="shared" si="287"/>
        <v>Shuttle/Test</v>
      </c>
      <c r="AH233" s="78" t="str">
        <f t="shared" si="288"/>
        <v>"%USERPROFILE%\Documents\GitHub\eaglep3\Utilities\RefineRTDCRunTimes.py" --tripid 55-01 --locoid 4052 --swversion DE.1.0.9.0 --startMP 204:1248 --initTime 2017-11-01T11:25:29 --startdatetime 2017-11-01T11:27:22 --delay 64 --endMP 300:24191 --enddatetime 2017-11-01T11:34:44 --enforcementcount 0 &gt;&gt;%USERPROFILE%\Documents\GitHub\eaglep3-reporting\EC\2017-11-01-refined-times.txt</v>
      </c>
      <c r="AI233" s="96" t="str">
        <f t="shared" si="289"/>
        <v>echo {"issue":{"subject":"","project_id":79,"tracker_id":40,"status_id":1,"priority_id":2,"assigned_to_id":338,"start_date":"2017-11-01","description":"","custom_fields":[{"id":1,"name":"Subdivision","value":"Shuttle/Test"},{"id":4,"name":"Milepost","value":"2.4191"},{"id":17,"name":"Train ID","value":"55-01"},{"id":16,"name":"Locomotive ID","value":"4052"},{"id":130,"name":"Impact","value":""},{"id":150,"name":"Time of Event (Mountain Time)","value":"11:34:44"},{"id":151,"name":"Denver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3" s="47"/>
      <c r="AL233" s="47"/>
      <c r="AM233" s="142" t="str">
        <f t="shared" si="290"/>
        <v>start /low /b %USERPROFILE%\Documents\GitHub\eaglep3\Utilities\DownloadLogsFromS3.py --loco 4052 --day 2017-11-01</v>
      </c>
      <c r="AN233" s="151" t="str">
        <f t="shared" si="291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17:34:44"},{"id":29,"name":"Sharepoint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168" t="str">
        <f t="shared" si="292"/>
        <v>https://d0f6bd738d7f1b3e5a7ca70fe4ff75f0.us-east-1.aws.found.io/app/kibana#/discover/Steve-Slow-Train-Analysis-(2080s-and-2083s)?_g=(refreshInterval:(display:Off,pause:!f,section:0,value:0),time:(from:'2017-11-01T10:25:29-0600',mode:absolute,to:'2017-11-01T12:34:44-0600'))&amp;_a=(columns:!('Message%20ID',Summary),filters:!(),index:'emp_*',interval:auto,query:(query_string:(analyze_wildcard:!t,query:'%22rtdc.l.rtdc.4052%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 s="32" t="s">
        <v>751</v>
      </c>
      <c r="B234" s="7">
        <v>4051</v>
      </c>
      <c r="C234" s="21" t="s">
        <v>194</v>
      </c>
      <c r="D234" s="21" t="s">
        <v>1003</v>
      </c>
      <c r="E234" s="13">
        <v>43040.502303240741</v>
      </c>
      <c r="F234" s="13">
        <v>43040.505833333336</v>
      </c>
      <c r="G234" s="7">
        <v>185</v>
      </c>
      <c r="H234" s="21" t="s">
        <v>1004</v>
      </c>
      <c r="I234" s="13">
        <v>43040.511122685188</v>
      </c>
      <c r="J234" s="7">
        <v>0</v>
      </c>
      <c r="K234" s="89" t="str">
        <f t="shared" si="278"/>
        <v>4051/4052</v>
      </c>
      <c r="L234" s="185" t="str">
        <f>VLOOKUP(A234,'Trips&amp;Operators'!$C$1:$G$99911,5,FALSE)</f>
        <v>KILLION DAVID</v>
      </c>
      <c r="M234" s="6">
        <f t="shared" si="279"/>
        <v>5.2893518513883464E-3</v>
      </c>
      <c r="N234" s="7">
        <f t="shared" si="293"/>
        <v>7.6166666659992188</v>
      </c>
      <c r="O234" s="7"/>
      <c r="P234" s="7"/>
      <c r="Q234" s="22"/>
      <c r="R234" s="174"/>
      <c r="S234" s="221">
        <f t="shared" si="280"/>
        <v>1</v>
      </c>
      <c r="T234" s="174" t="str">
        <f t="shared" si="281"/>
        <v>Southbound</v>
      </c>
      <c r="U234" s="198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216" t="str">
        <f t="shared" si="282"/>
        <v>https://d0f6bd738d7f1b3e5a7ca70fe4ff75f0.us-east-1.aws.found.io/app/kibana#/discover/Steve-Slow-Train-Analysis-(2080s-and-2083s)?_g=(refreshInterval:(display:Off,pause:!f,section:0,value:0),time:(from:'2017-11-01T11:03:19-0600',mode:absolute,to:'2017-11-01T13:16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34" s="204" t="str">
        <f>IF(AA234&lt;VLOOKUP(AG234,Variables!$AC$3:$AD$8,2,FALSE),"Y","N")</f>
        <v>Y</v>
      </c>
      <c r="X234" s="204">
        <f t="shared" si="296"/>
        <v>1</v>
      </c>
      <c r="Y234" s="204">
        <f t="shared" si="294"/>
        <v>2.3633000000000002</v>
      </c>
      <c r="Z234" s="204">
        <f t="shared" si="295"/>
        <v>8.9300000000000004E-2</v>
      </c>
      <c r="AA234" s="204">
        <f t="shared" si="283"/>
        <v>2.274</v>
      </c>
      <c r="AB234" s="54" t="e">
        <f>VLOOKUP(A234,Enforcements!$C$7:$K$10,8,0)</f>
        <v>#N/A</v>
      </c>
      <c r="AC234" s="51" t="e">
        <f>VLOOKUP(A234,Enforcements!$C$7:$E$10,3,0)</f>
        <v>#N/A</v>
      </c>
      <c r="AD234" s="179">
        <f t="shared" si="284"/>
        <v>56</v>
      </c>
      <c r="AE234" s="77" t="str">
        <f t="shared" si="285"/>
        <v>aws s3 cp s3://rtdc.mdm.uploadarchive.raw/RTDC4051/ "%USERPROFILE%\AppData\Local\Temp\OnboardLogs"\RTDC4051\2017-11-01 --exclude "*" --recursive --include "*20171101*" &amp; "%USERPROFILE%\Documents\GitHub\mrs-test-scripts\Headless Mode &amp; Sideloading\WalkAndUnGZ.bat" "%USERPROFILE%\AppData\Local\Temp\OnboardLogs"\RTDC4051\2017-11-01 &amp; aws s3 cp s3://rtdc.mdm.uploadarchive.raw/RTDC4051/ "%USERPROFILE%\AppData\Local\Temp\OnboardLogs"\RTDC4051\2017-11-02 --exclude "*" --recursive --include "*20171102*" &amp; "%USERPROFILE%\Documents\GitHub\mrs-test-scripts\Headless Mode &amp; Sideloading\WalkAndUnGZ.bat" "%USERPROFILE%\AppData\Local\Temp\OnboardLogs"\RTDC4051\2017-11-02</v>
      </c>
      <c r="AF234" s="74" t="str">
        <f t="shared" si="286"/>
        <v>"C:\Program Files (x86)\AstroGrep\AstroGrep.exe" /e /r /s /spath="%USERPROFILE%\AppData\Local\Temp\OnboardLogs" /stypes="app*4051*20171101*" /stext=" 18:.+((SYSTEM_STATE.+slice.+state.+changed )|(ment ac)|(multiple cpu faults)|(system.+state.+changed )|(\[timeout)|(PRM\|1\|D)|(kpr)|(kdp)|(train st.+moving)|(\|lc)|(penalty))"</v>
      </c>
      <c r="AG234" s="182" t="str">
        <f t="shared" si="287"/>
        <v>Shuttle/Test</v>
      </c>
      <c r="AH234" s="78" t="str">
        <f t="shared" si="288"/>
        <v>"%USERPROFILE%\Documents\GitHub\eaglep3\Utilities\RefineRTDCRunTimes.py" --tripid 56-01 --locoid 4051 --swversion DE.1.0.9.0 --startMP 300:23633 --initTime 2017-11-01T12:03:19 --startdatetime 2017-11-01T12:08:24 --delay 185 --endMP 204:893 --enddatetime 2017-11-01T12:16:01 --enforcementcount 0 &gt;&gt;%USERPROFILE%\Documents\GitHub\eaglep3-reporting\EC\2017-11-01-refined-times.txt</v>
      </c>
      <c r="AI234" s="96" t="str">
        <f t="shared" si="289"/>
        <v>echo {"issue":{"subject":"","project_id":79,"tracker_id":40,"status_id":1,"priority_id":2,"assigned_to_id":338,"start_date":"2017-11-01","description":"","custom_fields":[{"id":1,"name":"Subdivision","value":"Shuttle/Test"},{"id":4,"name":"Milepost","value":"0.0893"},{"id":17,"name":"Train ID","value":"56-01"},{"id":16,"name":"Locomotive ID","value":"4051"},{"id":130,"name":"Impact","value":""},{"id":150,"name":"Time of Event (Mountain Time)","value":"12:16:01"},{"id":151,"name":"Denver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4" s="47"/>
      <c r="AL234" s="47"/>
      <c r="AM234" s="142" t="str">
        <f t="shared" si="290"/>
        <v>start /low /b %USERPROFILE%\Documents\GitHub\eaglep3\Utilities\DownloadLogsFromS3.py --loco 4051 --day 2017-11-01</v>
      </c>
      <c r="AN234" s="151" t="str">
        <f t="shared" si="291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18:16:01"},{"id":29,"name":"Sharepoint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168" t="str">
        <f t="shared" si="292"/>
        <v>https://d0f6bd738d7f1b3e5a7ca70fe4ff75f0.us-east-1.aws.found.io/app/kibana#/discover/Steve-Slow-Train-Analysis-(2080s-and-2083s)?_g=(refreshInterval:(display:Off,pause:!f,section:0,value:0),time:(from:'2017-11-01T11:03:19-0600',mode:absolute,to:'2017-11-01T13:16:01-0600'))&amp;_a=(columns:!('Message%20ID',Summary),filters:!(),index:'emp_*',interval:auto,query:(query_string:(analyze_wildcard:!t,query:'%22rtdc.l.rtdc.4051%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 s="32" t="s">
        <v>764</v>
      </c>
      <c r="B235" s="7">
        <v>4052</v>
      </c>
      <c r="C235" s="21" t="s">
        <v>194</v>
      </c>
      <c r="D235" s="21" t="s">
        <v>1005</v>
      </c>
      <c r="E235" s="13">
        <v>43040.533518518518</v>
      </c>
      <c r="F235" s="13">
        <v>43040.53597222222</v>
      </c>
      <c r="G235" s="7">
        <v>136</v>
      </c>
      <c r="H235" s="21" t="s">
        <v>1006</v>
      </c>
      <c r="I235" s="13">
        <v>43040.559583333335</v>
      </c>
      <c r="J235" s="7">
        <v>0</v>
      </c>
      <c r="K235" s="89" t="str">
        <f t="shared" si="278"/>
        <v>4051/4052</v>
      </c>
      <c r="L235" s="185" t="str">
        <f>VLOOKUP(A235,'Trips&amp;Operators'!$C$1:$G$99911,5,FALSE)</f>
        <v>ROMERO CHAD</v>
      </c>
      <c r="M235" s="6">
        <f t="shared" si="279"/>
        <v>2.3611111115314998E-2</v>
      </c>
      <c r="N235" s="7">
        <f t="shared" si="293"/>
        <v>34.000000006053597</v>
      </c>
      <c r="O235" s="7"/>
      <c r="P235" s="7"/>
      <c r="Q235" s="22"/>
      <c r="R235" s="174"/>
      <c r="S235" s="221">
        <f t="shared" si="280"/>
        <v>1</v>
      </c>
      <c r="T235" s="174" t="str">
        <f t="shared" si="281"/>
        <v>NorthBound</v>
      </c>
      <c r="U235" s="198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216" t="str">
        <f t="shared" si="282"/>
        <v>https://d0f6bd738d7f1b3e5a7ca70fe4ff75f0.us-east-1.aws.found.io/app/kibana#/discover/Steve-Slow-Train-Analysis-(2080s-and-2083s)?_g=(refreshInterval:(display:Off,pause:!f,section:0,value:0),time:(from:'2017-11-01T11:48:16-0600',mode:absolute,to:'2017-11-01T14:25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35" s="204" t="str">
        <f>IF(AA235&lt;VLOOKUP(AG235,Variables!$AC$3:$AD$8,2,FALSE),"Y","N")</f>
        <v>Y</v>
      </c>
      <c r="X235" s="204">
        <f t="shared" si="296"/>
        <v>1</v>
      </c>
      <c r="Y235" s="204">
        <f t="shared" si="294"/>
        <v>0.1201</v>
      </c>
      <c r="Z235" s="204">
        <f t="shared" si="295"/>
        <v>2.4289999999999998</v>
      </c>
      <c r="AA235" s="204">
        <f t="shared" si="283"/>
        <v>2.3089</v>
      </c>
      <c r="AB235" s="54" t="e">
        <f>VLOOKUP(A235,Enforcements!$C$7:$K$10,8,0)</f>
        <v>#N/A</v>
      </c>
      <c r="AC235" s="51" t="e">
        <f>VLOOKUP(A235,Enforcements!$C$7:$E$10,3,0)</f>
        <v>#N/A</v>
      </c>
      <c r="AD235" s="179">
        <f t="shared" si="284"/>
        <v>57</v>
      </c>
      <c r="AE235" s="77" t="str">
        <f t="shared" si="285"/>
        <v>aws s3 cp s3://rtdc.mdm.uploadarchive.raw/RTDC4052/ "%USERPROFILE%\AppData\Local\Temp\OnboardLogs"\RTDC4052\2017-11-01 --exclude "*" --recursive --include "*20171101*" &amp; "%USERPROFILE%\Documents\GitHub\mrs-test-scripts\Headless Mode &amp; Sideloading\WalkAndUnGZ.bat" "%USERPROFILE%\AppData\Local\Temp\OnboardLogs"\RTDC4052\2017-11-01 &amp; aws s3 cp s3://rtdc.mdm.uploadarchive.raw/RTDC4052/ "%USERPROFILE%\AppData\Local\Temp\OnboardLogs"\RTDC4052\2017-11-02 --exclude "*" --recursive --include "*20171102*" &amp; "%USERPROFILE%\Documents\GitHub\mrs-test-scripts\Headless Mode &amp; Sideloading\WalkAndUnGZ.bat" "%USERPROFILE%\AppData\Local\Temp\OnboardLogs"\RTDC4052\2017-11-02</v>
      </c>
      <c r="AF235" s="74" t="str">
        <f t="shared" si="286"/>
        <v>"C:\Program Files (x86)\AstroGrep\AstroGrep.exe" /e /r /s /spath="%USERPROFILE%\AppData\Local\Temp\OnboardLogs" /stypes="app*4052*20171101*" /stext=" 19:.+((SYSTEM_STATE.+slice.+state.+changed )|(ment ac)|(multiple cpu faults)|(system.+state.+changed )|(\[timeout)|(PRM\|1\|D)|(kpr)|(kdp)|(train st.+moving)|(\|lc)|(penalty))"</v>
      </c>
      <c r="AG235" s="182" t="str">
        <f t="shared" si="287"/>
        <v>Shuttle/Test</v>
      </c>
      <c r="AH235" s="78" t="str">
        <f t="shared" si="288"/>
        <v>"%USERPROFILE%\Documents\GitHub\eaglep3\Utilities\RefineRTDCRunTimes.py" --tripid 57-01 --locoid 4052 --swversion DE.1.0.9.0 --startMP 204:1201 --initTime 2017-11-01T12:48:16 --startdatetime 2017-11-01T12:51:48 --delay 136 --endMP 300:24290 --enddatetime 2017-11-01T13:25:48 --enforcementcount 0 &gt;&gt;%USERPROFILE%\Documents\GitHub\eaglep3-reporting\EC\2017-11-01-refined-times.txt</v>
      </c>
      <c r="AI235" s="96" t="str">
        <f t="shared" si="289"/>
        <v>echo {"issue":{"subject":"","project_id":79,"tracker_id":40,"status_id":1,"priority_id":2,"assigned_to_id":338,"start_date":"2017-11-01","description":"","custom_fields":[{"id":1,"name":"Subdivision","value":"Shuttle/Test"},{"id":4,"name":"Milepost","value":"2.429"},{"id":17,"name":"Train ID","value":"57-01"},{"id":16,"name":"Locomotive ID","value":"4052"},{"id":130,"name":"Impact","value":""},{"id":150,"name":"Time of Event (Mountain Time)","value":"13:25:48"},{"id":151,"name":"Denver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5" s="47"/>
      <c r="AL235" s="47"/>
      <c r="AM235" s="142" t="str">
        <f t="shared" si="290"/>
        <v>start /low /b %USERPROFILE%\Documents\GitHub\eaglep3\Utilities\DownloadLogsFromS3.py --loco 4052 --day 2017-11-01</v>
      </c>
      <c r="AN235" s="151" t="str">
        <f t="shared" si="291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19:25:48"},{"id":29,"name":"Sharepoint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168" t="str">
        <f t="shared" si="292"/>
        <v>https://d0f6bd738d7f1b3e5a7ca70fe4ff75f0.us-east-1.aws.found.io/app/kibana#/discover/Steve-Slow-Train-Analysis-(2080s-and-2083s)?_g=(refreshInterval:(display:Off,pause:!f,section:0,value:0),time:(from:'2017-11-01T11:48:16-0600',mode:absolute,to:'2017-11-01T14:25:48-0600'))&amp;_a=(columns:!('Message%20ID',Summary),filters:!(),index:'emp_*',interval:auto,query:(query_string:(analyze_wildcard:!t,query:'%22rtdc.l.rtdc.4052%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 s="32" t="s">
        <v>795</v>
      </c>
      <c r="B236" s="7">
        <v>4014</v>
      </c>
      <c r="C236" s="21" t="s">
        <v>194</v>
      </c>
      <c r="D236" s="21" t="s">
        <v>1007</v>
      </c>
      <c r="E236" s="13">
        <v>43040.700486111113</v>
      </c>
      <c r="F236" s="13">
        <v>43040.713518518518</v>
      </c>
      <c r="G236" s="7">
        <v>199</v>
      </c>
      <c r="H236" s="21" t="s">
        <v>599</v>
      </c>
      <c r="I236" s="13">
        <v>43040.721180555556</v>
      </c>
      <c r="J236" s="7">
        <v>0</v>
      </c>
      <c r="K236" s="89" t="str">
        <f t="shared" si="278"/>
        <v>4013/4014</v>
      </c>
      <c r="L236" s="185" t="str">
        <f>VLOOKUP(A236,'Trips&amp;Operators'!$C$1:$G$99911,5,FALSE)</f>
        <v>MOSES BRADLEY</v>
      </c>
      <c r="M236" s="6">
        <f t="shared" si="279"/>
        <v>7.662037038244307E-3</v>
      </c>
      <c r="N236" s="7">
        <f t="shared" si="293"/>
        <v>11.033333335071802</v>
      </c>
      <c r="O236" s="7"/>
      <c r="P236" s="7"/>
      <c r="Q236" s="22"/>
      <c r="R236" s="174" t="s">
        <v>1109</v>
      </c>
      <c r="S236" s="221">
        <f t="shared" si="280"/>
        <v>1</v>
      </c>
      <c r="T236" s="174" t="str">
        <f t="shared" si="281"/>
        <v>NorthBound</v>
      </c>
      <c r="U236" s="198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1</v>
      </c>
      <c r="V236" s="216" t="str">
        <f t="shared" si="282"/>
        <v>https://d0f6bd738d7f1b3e5a7ca70fe4ff75f0.us-east-1.aws.found.io/app/kibana#/discover/Steve-Slow-Train-Analysis-(2080s-and-2083s)?_g=(refreshInterval:(display:Off,pause:!f,section:0,value:0),time:(from:'2017-11-01T15:48:42-0600',mode:absolute,to:'2017-11-01T18:18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36" s="204" t="str">
        <f>IF(AA236&lt;VLOOKUP(AG236,Variables!$AC$3:$AD$8,2,FALSE),"Y","N")</f>
        <v>Y</v>
      </c>
      <c r="X236" s="204">
        <f t="shared" si="296"/>
        <v>18</v>
      </c>
      <c r="Y236" s="204">
        <f t="shared" si="294"/>
        <v>3.95E-2</v>
      </c>
      <c r="Z236" s="204">
        <f t="shared" si="295"/>
        <v>2.3306</v>
      </c>
      <c r="AA236" s="204">
        <f t="shared" si="283"/>
        <v>2.2911000000000001</v>
      </c>
      <c r="AB236" s="54" t="e">
        <f>VLOOKUP(A236,Enforcements!$C$7:$K$10,8,0)</f>
        <v>#N/A</v>
      </c>
      <c r="AC236" s="51" t="e">
        <f>VLOOKUP(A236,Enforcements!$C$7:$E$10,3,0)</f>
        <v>#N/A</v>
      </c>
      <c r="AD236" s="179">
        <f t="shared" si="284"/>
        <v>75</v>
      </c>
      <c r="AE236" s="77" t="str">
        <f t="shared" si="285"/>
        <v>aws s3 cp s3://rtdc.mdm.uploadarchive.raw/RTDC4014/ "%USERPROFILE%\AppData\Local\Temp\OnboardLogs"\RTDC4014\2017-11-01 --exclude "*" --recursive --include "*20171101*" &amp; "%USERPROFILE%\Documents\GitHub\mrs-test-scripts\Headless Mode &amp; Sideloading\WalkAndUnGZ.bat" "%USERPROFILE%\AppData\Local\Temp\OnboardLogs"\RTDC4014\2017-11-01 &amp; aws s3 cp s3://rtdc.mdm.uploadarchive.raw/RTDC4014/ "%USERPROFILE%\AppData\Local\Temp\OnboardLogs"\RTDC4014\2017-11-02 --exclude "*" --recursive --include "*20171102*" &amp; "%USERPROFILE%\Documents\GitHub\mrs-test-scripts\Headless Mode &amp; Sideloading\WalkAndUnGZ.bat" "%USERPROFILE%\AppData\Local\Temp\OnboardLogs"\RTDC4014\2017-11-02</v>
      </c>
      <c r="AF236" s="74" t="str">
        <f t="shared" si="286"/>
        <v>"C:\Program Files (x86)\AstroGrep\AstroGrep.exe" /e /r /s /spath="%USERPROFILE%\AppData\Local\Temp\OnboardLogs" /stypes="app*4014*20171101*" /stext=" 23:.+((SYSTEM_STATE.+slice.+state.+changed )|(ment ac)|(multiple cpu faults)|(system.+state.+changed )|(\[timeout)|(PRM\|1\|D)|(kpr)|(kdp)|(train st.+moving)|(\|lc)|(penalty))"</v>
      </c>
      <c r="AG236" s="182" t="str">
        <f t="shared" si="287"/>
        <v>Shuttle/Test</v>
      </c>
      <c r="AH236" s="78" t="str">
        <f t="shared" si="288"/>
        <v>"%USERPROFILE%\Documents\GitHub\eaglep3\Utilities\RefineRTDCRunTimes.py" --tripid 75-01 --locoid 4014 --swversion DE.1.0.9.0 --startMP 204:395 --initTime 2017-11-01T16:48:42 --startdatetime 2017-11-01T17:07:28 --delay 199 --endMP 300:23306 --enddatetime 2017-11-01T17:18:30 --enforcementcount 0 &gt;&gt;%USERPROFILE%\Documents\GitHub\eaglep3-reporting\EC\2017-11-01-refined-times.txt</v>
      </c>
      <c r="AI236" s="96" t="str">
        <f t="shared" si="289"/>
        <v>echo {"issue":{"subject":"Observed extended Wi-MAX data drop","project_id":79,"tracker_id":40,"status_id":1,"priority_id":2,"assigned_to_id":338,"start_date":"2017-11-01","description":"","custom_fields":[{"id":1,"name":"Subdivision","value":"Shuttle/Test"},{"id":4,"name":"Milepost","value":"2.3306"},{"id":17,"name":"Train ID","value":"75-01"},{"id":16,"name":"Locomotive ID","value":"4014"},{"id":130,"name":"Impact","value":""},{"id":150,"name":"Time of Event (Mountain Time)","value":"17:18:30"},{"id":151,"name":"Denver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6" s="47"/>
      <c r="AL236" s="47"/>
      <c r="AM236" s="142" t="str">
        <f t="shared" si="290"/>
        <v>start /low /b %USERPROFILE%\Documents\GitHub\eaglep3\Utilities\DownloadLogsFromS3.py --loco 4014 --day 2017-11-01</v>
      </c>
      <c r="AN236" s="151" t="str">
        <f t="shared" si="291"/>
        <v>echo {"issue":{"subject":"Observed extended Wi-MAX data drop","project_id":30,"tracker_id":4,"status_id":1,"priority_id":1,"assigned_to_id":10,"start_date":"2017-11-01","description":"","custom_fields":[{"id":30,"name":"Category","value":"Issue"},{"id":3,"name":"Functional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23:18:30"},{"id":29,"name":"Sharepoint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168" t="str">
        <f t="shared" si="292"/>
        <v>https://d0f6bd738d7f1b3e5a7ca70fe4ff75f0.us-east-1.aws.found.io/app/kibana#/discover/Steve-Slow-Train-Analysis-(2080s-and-2083s)?_g=(refreshInterval:(display:Off,pause:!f,section:0,value:0),time:(from:'2017-11-01T15:48:42-0600',mode:absolute,to:'2017-11-01T18:18:30-0600'))&amp;_a=(columns:!('Message%20ID',Summary),filters:!(),index:'emp_*',interval:auto,query:(query_string:(analyze_wildcard:!t,query:'%22rtdc.l.rtdc.4014%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 s="32" t="s">
        <v>795</v>
      </c>
      <c r="B237" s="7">
        <v>4014</v>
      </c>
      <c r="C237" s="21" t="s">
        <v>194</v>
      </c>
      <c r="D237" s="21" t="s">
        <v>1008</v>
      </c>
      <c r="E237" s="13">
        <v>43040.672708333332</v>
      </c>
      <c r="F237" s="13">
        <v>43040.713518518518</v>
      </c>
      <c r="G237" s="7">
        <v>62</v>
      </c>
      <c r="H237" s="21" t="s">
        <v>1009</v>
      </c>
      <c r="I237" s="13">
        <v>43040.721180555556</v>
      </c>
      <c r="J237" s="7">
        <v>0</v>
      </c>
      <c r="K237" s="89" t="str">
        <f t="shared" si="278"/>
        <v>4013/4014</v>
      </c>
      <c r="L237" s="185" t="str">
        <f>VLOOKUP(A237,'Trips&amp;Operators'!$C$1:$G$99911,5,FALSE)</f>
        <v>MOSES BRADLEY</v>
      </c>
      <c r="M237" s="6">
        <f t="shared" si="279"/>
        <v>7.662037038244307E-3</v>
      </c>
      <c r="N237" s="7">
        <f t="shared" si="293"/>
        <v>11.033333335071802</v>
      </c>
      <c r="O237" s="7"/>
      <c r="P237" s="7"/>
      <c r="Q237" s="22"/>
      <c r="R237" s="174"/>
      <c r="S237" s="221">
        <f t="shared" si="280"/>
        <v>0</v>
      </c>
      <c r="T237" s="174" t="str">
        <f t="shared" si="281"/>
        <v>NorthBound</v>
      </c>
      <c r="U237" s="198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216" t="str">
        <f t="shared" si="282"/>
        <v>https://d0f6bd738d7f1b3e5a7ca70fe4ff75f0.us-east-1.aws.found.io/app/kibana#/discover/Steve-Slow-Train-Analysis-(2080s-and-2083s)?_g=(refreshInterval:(display:Off,pause:!f,section:0,value:0),time:(from:'2017-11-01T15:08:42-0600',mode:absolute,to:'2017-11-01T18:18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37" s="204" t="str">
        <f>IF(AA237&lt;VLOOKUP(AG237,Variables!$AC$3:$AD$8,2,FALSE),"Y","N")</f>
        <v>Y</v>
      </c>
      <c r="X237" s="204">
        <f t="shared" si="296"/>
        <v>0</v>
      </c>
      <c r="Y237" s="204">
        <f t="shared" si="294"/>
        <v>0.14879999999999999</v>
      </c>
      <c r="Z237" s="204">
        <f t="shared" si="295"/>
        <v>0.35089999999999999</v>
      </c>
      <c r="AA237" s="204">
        <f t="shared" si="283"/>
        <v>0.2021</v>
      </c>
      <c r="AB237" s="54" t="e">
        <f>VLOOKUP(A237,Enforcements!$C$7:$K$10,8,0)</f>
        <v>#N/A</v>
      </c>
      <c r="AC237" s="51" t="e">
        <f>VLOOKUP(A237,Enforcements!$C$7:$E$10,3,0)</f>
        <v>#N/A</v>
      </c>
      <c r="AD237" s="179">
        <f t="shared" si="284"/>
        <v>75</v>
      </c>
      <c r="AE237" s="77" t="str">
        <f t="shared" si="285"/>
        <v>aws s3 cp s3://rtdc.mdm.uploadarchive.raw/RTDC4014/ "%USERPROFILE%\AppData\Local\Temp\OnboardLogs"\RTDC4014\2017-11-01 --exclude "*" --recursive --include "*20171101*" &amp; "%USERPROFILE%\Documents\GitHub\mrs-test-scripts\Headless Mode &amp; Sideloading\WalkAndUnGZ.bat" "%USERPROFILE%\AppData\Local\Temp\OnboardLogs"\RTDC4014\2017-11-01 &amp; aws s3 cp s3://rtdc.mdm.uploadarchive.raw/RTDC4014/ "%USERPROFILE%\AppData\Local\Temp\OnboardLogs"\RTDC4014\2017-11-02 --exclude "*" --recursive --include "*20171102*" &amp; "%USERPROFILE%\Documents\GitHub\mrs-test-scripts\Headless Mode &amp; Sideloading\WalkAndUnGZ.bat" "%USERPROFILE%\AppData\Local\Temp\OnboardLogs"\RTDC4014\2017-11-02</v>
      </c>
      <c r="AF237" s="74" t="str">
        <f t="shared" si="286"/>
        <v>"C:\Program Files (x86)\AstroGrep\AstroGrep.exe" /e /r /s /spath="%USERPROFILE%\AppData\Local\Temp\OnboardLogs" /stypes="app*4014*20171101*" /stext=" 23:.+((SYSTEM_STATE.+slice.+state.+changed )|(ment ac)|(multiple cpu faults)|(system.+state.+changed )|(\[timeout)|(PRM\|1\|D)|(kpr)|(kdp)|(train st.+moving)|(\|lc)|(penalty))"</v>
      </c>
      <c r="AG237" s="182" t="str">
        <f t="shared" si="287"/>
        <v>Shuttle/Test</v>
      </c>
      <c r="AH237" s="78" t="str">
        <f t="shared" si="288"/>
        <v>"%USERPROFILE%\Documents\GitHub\eaglep3\Utilities\RefineRTDCRunTimes.py" --tripid 75-01 --locoid 4014 --swversion DE.1.0.9.0 --startMP 204:1488 --initTime 2017-11-01T16:08:42 --startdatetime 2017-11-01T17:07:28 --delay 62 --endMP 204:3509 --enddatetime 2017-11-01T17:18:30 --enforcementcount 0 &gt;&gt;%USERPROFILE%\Documents\GitHub\eaglep3-reporting\EC\2017-11-01-refined-times.txt</v>
      </c>
      <c r="AI237" s="96" t="str">
        <f t="shared" si="289"/>
        <v>echo {"issue":{"subject":"","project_id":79,"tracker_id":40,"status_id":1,"priority_id":2,"assigned_to_id":338,"start_date":"2017-11-01","description":"","custom_fields":[{"id":1,"name":"Subdivision","value":"Shuttle/Test"},{"id":4,"name":"Milepost","value":"0.3509"},{"id":17,"name":"Train ID","value":"75-01"},{"id":16,"name":"Locomotive ID","value":"4014"},{"id":130,"name":"Impact","value":""},{"id":150,"name":"Time of Event (Mountain Time)","value":"17:18:30"},{"id":151,"name":"Denver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7" s="47"/>
      <c r="AL237" s="47"/>
      <c r="AM237" s="142" t="str">
        <f t="shared" si="290"/>
        <v>start /low /b %USERPROFILE%\Documents\GitHub\eaglep3\Utilities\DownloadLogsFromS3.py --loco 4014 --day 2017-11-01</v>
      </c>
      <c r="AN237" s="151" t="str">
        <f t="shared" si="291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23:18:30"},{"id":29,"name":"Sharepoint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168" t="str">
        <f t="shared" si="292"/>
        <v>https://d0f6bd738d7f1b3e5a7ca70fe4ff75f0.us-east-1.aws.found.io/app/kibana#/discover/Steve-Slow-Train-Analysis-(2080s-and-2083s)?_g=(refreshInterval:(display:Off,pause:!f,section:0,value:0),time:(from:'2017-11-01T15:08:42-0600',mode:absolute,to:'2017-11-01T18:18:30-0600'))&amp;_a=(columns:!('Message%20ID',Summary),filters:!(),index:'emp_*',interval:auto,query:(query_string:(analyze_wildcard:!t,query:'%22rtdc.l.rtdc.4014%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 s="32" t="s">
        <v>804</v>
      </c>
      <c r="B238" s="7">
        <v>4026</v>
      </c>
      <c r="C238" s="21" t="s">
        <v>194</v>
      </c>
      <c r="D238" s="21" t="s">
        <v>1010</v>
      </c>
      <c r="E238" s="13">
        <v>43040.699247685188</v>
      </c>
      <c r="F238" s="13">
        <v>43040.705995370372</v>
      </c>
      <c r="G238" s="7">
        <v>71</v>
      </c>
      <c r="H238" s="21" t="s">
        <v>1011</v>
      </c>
      <c r="I238" s="13">
        <v>43040.712465277778</v>
      </c>
      <c r="J238" s="7">
        <v>0</v>
      </c>
      <c r="K238" s="89" t="str">
        <f t="shared" si="278"/>
        <v>4025/4026</v>
      </c>
      <c r="L238" s="185" t="str">
        <f>VLOOKUP(A238,'Trips&amp;Operators'!$C$1:$G$99911,5,FALSE)</f>
        <v>DELGADO DIANAH</v>
      </c>
      <c r="M238" s="6">
        <f t="shared" si="279"/>
        <v>6.4699074064265005E-3</v>
      </c>
      <c r="N238" s="7">
        <f t="shared" si="293"/>
        <v>9.3166666652541608</v>
      </c>
      <c r="O238" s="7"/>
      <c r="P238" s="7"/>
      <c r="Q238" s="22"/>
      <c r="R238" s="174"/>
      <c r="S238" s="221">
        <f t="shared" si="280"/>
        <v>1</v>
      </c>
      <c r="T238" s="174" t="str">
        <f t="shared" si="281"/>
        <v>NorthBound</v>
      </c>
      <c r="U238" s="198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1</v>
      </c>
      <c r="V238" s="216" t="str">
        <f t="shared" si="282"/>
        <v>https://d0f6bd738d7f1b3e5a7ca70fe4ff75f0.us-east-1.aws.found.io/app/kibana#/discover/Steve-Slow-Train-Analysis-(2080s-and-2083s)?_g=(refreshInterval:(display:Off,pause:!f,section:0,value:0),time:(from:'2017-11-01T15:46:55-0600',mode:absolute,to:'2017-11-01T18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8" s="204" t="str">
        <f>IF(AA238&lt;VLOOKUP(AG238,Variables!$AC$3:$AD$8,2,FALSE),"Y","N")</f>
        <v>Y</v>
      </c>
      <c r="X238" s="204">
        <f t="shared" si="296"/>
        <v>2</v>
      </c>
      <c r="Y238" s="204">
        <f t="shared" si="294"/>
        <v>0.1222</v>
      </c>
      <c r="Z238" s="204">
        <f t="shared" si="295"/>
        <v>2.3311999999999999</v>
      </c>
      <c r="AA238" s="204">
        <f t="shared" si="283"/>
        <v>2.2090000000000001</v>
      </c>
      <c r="AB238" s="54" t="e">
        <f>VLOOKUP(A238,Enforcements!$C$7:$K$10,8,0)</f>
        <v>#N/A</v>
      </c>
      <c r="AC238" s="51" t="e">
        <f>VLOOKUP(A238,Enforcements!$C$7:$E$10,3,0)</f>
        <v>#N/A</v>
      </c>
      <c r="AD238" s="179">
        <f t="shared" si="284"/>
        <v>77</v>
      </c>
      <c r="AE238" s="77" t="str">
        <f t="shared" si="285"/>
        <v>aws s3 cp s3://rtdc.mdm.uploadarchive.raw/RTDC4026/ "%USERPROFILE%\AppData\Local\Temp\OnboardLogs"\RTDC4026\2017-11-01 --exclude "*" --recursive --include "*20171101*" &amp; "%USERPROFILE%\Documents\GitHub\mrs-test-scripts\Headless Mode &amp; Sideloading\WalkAndUnGZ.bat" "%USERPROFILE%\AppData\Local\Temp\OnboardLogs"\RTDC4026\2017-11-01 &amp; aws s3 cp s3://rtdc.mdm.uploadarchive.raw/RTDC4026/ "%USERPROFILE%\AppData\Local\Temp\OnboardLogs"\RTDC4026\2017-11-02 --exclude "*" --recursive --include "*20171102*" &amp; "%USERPROFILE%\Documents\GitHub\mrs-test-scripts\Headless Mode &amp; Sideloading\WalkAndUnGZ.bat" "%USERPROFILE%\AppData\Local\Temp\OnboardLogs"\RTDC4026\2017-11-02</v>
      </c>
      <c r="AF238" s="74" t="str">
        <f t="shared" si="286"/>
        <v>"C:\Program Files (x86)\AstroGrep\AstroGrep.exe" /e /r /s /spath="%USERPROFILE%\AppData\Local\Temp\OnboardLogs" /stypes="app*4026*20171101*" /stext=" 23:.+((SYSTEM_STATE.+slice.+state.+changed )|(ment ac)|(multiple cpu faults)|(system.+state.+changed )|(\[timeout)|(PRM\|1\|D)|(kpr)|(kdp)|(train st.+moving)|(\|lc)|(penalty))"</v>
      </c>
      <c r="AG238" s="182" t="str">
        <f t="shared" si="287"/>
        <v>Shuttle/Test</v>
      </c>
      <c r="AH238" s="78" t="str">
        <f t="shared" si="288"/>
        <v>"%USERPROFILE%\Documents\GitHub\eaglep3\Utilities\RefineRTDCRunTimes.py" --tripid 77-01 --locoid 4026 --swversion DE.1.0.9.0 --startMP 204:1222 --initTime 2017-11-01T16:46:55 --startdatetime 2017-11-01T16:56:38 --delay 71 --endMP 300:23312 --enddatetime 2017-11-01T17:05:57 --enforcementcount 0 &gt;&gt;%USERPROFILE%\Documents\GitHub\eaglep3-reporting\EC\2017-11-01-refined-times.txt</v>
      </c>
      <c r="AI238" s="96" t="str">
        <f t="shared" si="289"/>
        <v>echo {"issue":{"subject":"","project_id":79,"tracker_id":40,"status_id":1,"priority_id":2,"assigned_to_id":338,"start_date":"2017-11-01","description":"","custom_fields":[{"id":1,"name":"Subdivision","value":"Shuttle/Test"},{"id":4,"name":"Milepost","value":"2.3312"},{"id":17,"name":"Train ID","value":"77-01"},{"id":16,"name":"Locomotive ID","value":"4026"},{"id":130,"name":"Impact","value":""},{"id":150,"name":"Time of Event (Mountain Time)","value":"17:05:57"},{"id":151,"name":"Denver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8" s="47"/>
      <c r="AL238" s="47"/>
      <c r="AM238" s="142" t="str">
        <f t="shared" si="290"/>
        <v>start /low /b %USERPROFILE%\Documents\GitHub\eaglep3\Utilities\DownloadLogsFromS3.py --loco 4026 --day 2017-11-01</v>
      </c>
      <c r="AN238" s="151" t="str">
        <f t="shared" si="291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23:05:57"},{"id":29,"name":"Sharepoint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168" t="str">
        <f t="shared" si="292"/>
        <v>https://d0f6bd738d7f1b3e5a7ca70fe4ff75f0.us-east-1.aws.found.io/app/kibana#/discover/Steve-Slow-Train-Analysis-(2080s-and-2083s)?_g=(refreshInterval:(display:Off,pause:!f,section:0,value:0),time:(from:'2017-11-01T15:46:55-0600',mode:absolute,to:'2017-11-01T18:05:57-0600'))&amp;_a=(columns:!('Message%20ID',Summary),filters:!(),index:'emp_*',interval:auto,query:(query_string:(analyze_wildcard:!t,query:'%22rtdc.l.rtdc.4026%22')),sort:!(Time.ISO8601,asc))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M327"/>
      <c r="AO327"/>
    </row>
    <row r="328" spans="1:91" s="2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M333"/>
      <c r="AO333"/>
    </row>
    <row r="334" spans="1:9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M334"/>
      <c r="AO334"/>
    </row>
    <row r="335" spans="1:91" s="2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M341"/>
      <c r="AO341"/>
    </row>
    <row r="342" spans="1:91" s="2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M343"/>
      <c r="AO343"/>
    </row>
    <row r="344" spans="1:91" s="2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M345"/>
      <c r="AO345"/>
    </row>
    <row r="346" spans="1:91" s="2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M347"/>
      <c r="AO347"/>
    </row>
    <row r="348" spans="1:91" s="2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M350"/>
      <c r="AO350"/>
    </row>
    <row r="351" spans="1:91" s="20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M352"/>
      <c r="AO352"/>
    </row>
    <row r="353" spans="1:91" s="2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M356"/>
      <c r="AO356"/>
    </row>
    <row r="357" spans="1:91" s="2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M360"/>
      <c r="AO360"/>
    </row>
    <row r="361" spans="1:91" s="2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M365"/>
      <c r="AO365"/>
    </row>
    <row r="366" spans="1:9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M366"/>
      <c r="AO366"/>
    </row>
    <row r="367" spans="1:91" s="20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M368"/>
      <c r="AO368"/>
    </row>
    <row r="369" spans="1:91" s="20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M372"/>
      <c r="AO372"/>
    </row>
    <row r="373" spans="1:9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M373"/>
      <c r="AO373"/>
    </row>
    <row r="374" spans="1:9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M374"/>
      <c r="AO374"/>
    </row>
    <row r="375" spans="1:91" s="20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M376"/>
      <c r="AO376"/>
    </row>
    <row r="377" spans="1:9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M377"/>
      <c r="AO377"/>
    </row>
    <row r="378" spans="1:9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M378"/>
      <c r="AO378"/>
    </row>
    <row r="379" spans="1:9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M379"/>
      <c r="AO379"/>
    </row>
    <row r="380" spans="1:9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M380"/>
      <c r="AO380"/>
    </row>
    <row r="381" spans="1:91" s="20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M383"/>
      <c r="AO383"/>
    </row>
    <row r="384" spans="1:9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M384"/>
      <c r="AO384"/>
    </row>
    <row r="385" spans="1:91" s="20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M386"/>
      <c r="AO386"/>
    </row>
    <row r="387" spans="1:9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M387"/>
      <c r="AO387"/>
    </row>
    <row r="388" spans="1:9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M388"/>
      <c r="AO388"/>
    </row>
    <row r="389" spans="1:9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M389"/>
      <c r="AO389"/>
    </row>
    <row r="390" spans="1:9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M390"/>
      <c r="AO390"/>
    </row>
    <row r="391" spans="1:9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M391"/>
      <c r="AO391"/>
    </row>
    <row r="392" spans="1:9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M392"/>
      <c r="AO392"/>
    </row>
    <row r="393" spans="1:9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M393"/>
      <c r="AO393"/>
    </row>
    <row r="394" spans="1:9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M394"/>
      <c r="AO394"/>
    </row>
    <row r="395" spans="1:9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M395"/>
      <c r="AO395"/>
    </row>
    <row r="396" spans="1:91" s="20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M397"/>
      <c r="AO397"/>
    </row>
    <row r="398" spans="1:9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M398"/>
      <c r="AO398"/>
    </row>
    <row r="399" spans="1:9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M399"/>
      <c r="AO399"/>
    </row>
    <row r="400" spans="1:9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M400"/>
      <c r="AO400"/>
    </row>
    <row r="401" spans="1:9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M401"/>
      <c r="AO401"/>
    </row>
    <row r="402" spans="1:91" s="20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M403"/>
      <c r="AO403"/>
    </row>
    <row r="404" spans="1:9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M404"/>
      <c r="AO404"/>
    </row>
    <row r="405" spans="1:9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M405"/>
      <c r="AO405"/>
    </row>
    <row r="406" spans="1:9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M406"/>
      <c r="AO406"/>
    </row>
    <row r="407" spans="1:9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M407"/>
      <c r="AO407"/>
    </row>
    <row r="408" spans="1:9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M408"/>
      <c r="AO408"/>
    </row>
    <row r="409" spans="1:9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M409"/>
      <c r="AO409"/>
    </row>
    <row r="410" spans="1:9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M410"/>
      <c r="AO410"/>
    </row>
    <row r="411" spans="1:9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M411"/>
      <c r="AO411"/>
    </row>
    <row r="412" spans="1:9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M412"/>
      <c r="AO412"/>
    </row>
    <row r="413" spans="1:9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M413"/>
      <c r="AO413"/>
    </row>
    <row r="414" spans="1:9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M414"/>
      <c r="AO414"/>
    </row>
    <row r="415" spans="1:9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M415"/>
      <c r="AO415"/>
    </row>
    <row r="416" spans="1:9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M416"/>
      <c r="AO416"/>
    </row>
    <row r="417" spans="1:9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M417"/>
      <c r="AO417"/>
    </row>
    <row r="418" spans="1:9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M418"/>
      <c r="AO418"/>
    </row>
    <row r="419" spans="1:91" s="20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M420"/>
      <c r="AO420"/>
    </row>
    <row r="421" spans="1:9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M421"/>
      <c r="AO421"/>
    </row>
    <row r="422" spans="1:9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M422"/>
      <c r="AO422"/>
    </row>
    <row r="423" spans="1:91" s="20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M424"/>
      <c r="AO424"/>
    </row>
    <row r="425" spans="1:9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M425"/>
      <c r="AO425"/>
    </row>
    <row r="426" spans="1:9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M426"/>
      <c r="AO426"/>
    </row>
    <row r="427" spans="1:9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M427"/>
      <c r="AO427"/>
    </row>
    <row r="428" spans="1:9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M428"/>
      <c r="AO428"/>
    </row>
    <row r="429" spans="1:9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M429"/>
      <c r="AO429"/>
    </row>
    <row r="430" spans="1:9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M430"/>
      <c r="AO430"/>
    </row>
    <row r="431" spans="1:9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M431"/>
      <c r="AO431"/>
    </row>
    <row r="432" spans="1:9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M432"/>
      <c r="AO432"/>
    </row>
    <row r="433" spans="1:4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M433"/>
      <c r="AO433"/>
    </row>
    <row r="434" spans="1:4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M434"/>
      <c r="AO434"/>
    </row>
    <row r="435" spans="1:4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M435"/>
      <c r="AO435"/>
    </row>
    <row r="436" spans="1:4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M436"/>
      <c r="AO436"/>
    </row>
    <row r="437" spans="1:4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M437"/>
      <c r="AO437"/>
    </row>
    <row r="438" spans="1:4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M438"/>
      <c r="AO438"/>
    </row>
    <row r="439" spans="1:4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M439"/>
      <c r="AO439"/>
    </row>
    <row r="440" spans="1:4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M440"/>
      <c r="AO440"/>
    </row>
    <row r="441" spans="1:4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M441"/>
      <c r="AO441"/>
    </row>
    <row r="442" spans="1:4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M442"/>
      <c r="AO442"/>
    </row>
    <row r="443" spans="1:4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M443"/>
      <c r="AO443"/>
    </row>
    <row r="444" spans="1:4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M444"/>
      <c r="AO444"/>
    </row>
  </sheetData>
  <autoFilter ref="A12:AG439">
    <sortState ref="A13:AG439">
      <sortCondition ref="AG13:AG238"/>
      <sortCondition ref="AD13:AD238"/>
    </sortState>
  </autoFilter>
  <sortState ref="A13:AN344">
    <sortCondition ref="AG13:AG344"/>
    <sortCondition ref="AD13:AD344"/>
  </sortState>
  <mergeCells count="1">
    <mergeCell ref="A11:P11"/>
  </mergeCells>
  <conditionalFormatting sqref="W11:W12 W445:X1048576 W13:X238">
    <cfRule type="cellIs" dxfId="10" priority="457" operator="equal">
      <formula>"Y"</formula>
    </cfRule>
  </conditionalFormatting>
  <conditionalFormatting sqref="X445:X1048576 X13:X238">
    <cfRule type="cellIs" dxfId="9" priority="440" operator="greaterThan">
      <formula>1</formula>
    </cfRule>
  </conditionalFormatting>
  <conditionalFormatting sqref="X445:X1048576 X12:X238">
    <cfRule type="cellIs" dxfId="8" priority="437" operator="equal">
      <formula>0</formula>
    </cfRule>
  </conditionalFormatting>
  <conditionalFormatting sqref="A13:S238">
    <cfRule type="expression" dxfId="7" priority="431" stopIfTrue="1">
      <formula>$P13&gt;0</formula>
    </cfRule>
    <cfRule type="expression" dxfId="6" priority="432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33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A13:S238</xm:sqref>
        </x14:conditionalFormatting>
        <x14:conditionalFormatting xmlns:xm="http://schemas.microsoft.com/office/excel/2006/main">
          <x14:cfRule type="expression" priority="116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AK13:AK238</xm:sqref>
        </x14:dataValidation>
        <x14:dataValidation type="list" allowBlank="1" showInputMessage="1" showErrorMessage="1">
          <x14:formula1>
            <xm:f>'Redmine List Values'!$C$2:$C$15</xm:f>
          </x14:formula1>
          <xm:sqref>AL13:AL238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3"/>
  <sheetViews>
    <sheetView topLeftCell="A2" zoomScaleNormal="100" workbookViewId="0">
      <selection activeCell="P39" sqref="P39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8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COUNTIF($O$7:$O$237,"=Y")</f>
        <v>7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COUNTA($O$7:$O$237)-O2</f>
        <v>26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26" t="str">
        <f>"Eagle P3 Braking Events - "&amp;TEXT(Variables!$A$2,"YYYY-mm-dd")</f>
        <v>Eagle P3 Braking Events - 2017-11-01</v>
      </c>
      <c r="B5" s="226"/>
      <c r="C5" s="226"/>
      <c r="D5" s="226"/>
      <c r="E5" s="226"/>
      <c r="F5" s="226"/>
      <c r="G5" s="226"/>
      <c r="H5" s="226"/>
      <c r="I5" s="226"/>
      <c r="J5" s="226"/>
      <c r="K5" s="226"/>
      <c r="L5" s="226"/>
      <c r="M5" s="226"/>
      <c r="N5" s="226"/>
      <c r="O5" s="226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346</v>
      </c>
      <c r="X6" s="181" t="s">
        <v>339</v>
      </c>
      <c r="Y6" s="105" t="s">
        <v>141</v>
      </c>
      <c r="Z6" s="158" t="s">
        <v>142</v>
      </c>
      <c r="AA6" s="106" t="s">
        <v>115</v>
      </c>
      <c r="AB6" s="106" t="s">
        <v>143</v>
      </c>
      <c r="AC6" s="118" t="s">
        <v>167</v>
      </c>
      <c r="AD6" s="107" t="s">
        <v>184</v>
      </c>
      <c r="AE6" s="143" t="s">
        <v>189</v>
      </c>
    </row>
    <row r="7" spans="1:32" s="1" customFormat="1" x14ac:dyDescent="0.25">
      <c r="A7" s="31">
        <v>43040.426145833335</v>
      </c>
      <c r="B7" s="30" t="s">
        <v>624</v>
      </c>
      <c r="C7" s="30" t="s">
        <v>625</v>
      </c>
      <c r="D7" s="30" t="s">
        <v>95</v>
      </c>
      <c r="E7" s="30" t="s">
        <v>185</v>
      </c>
      <c r="F7" s="42">
        <v>190</v>
      </c>
      <c r="G7" s="42">
        <v>240</v>
      </c>
      <c r="H7" s="42">
        <v>27021</v>
      </c>
      <c r="I7" s="42">
        <v>26533</v>
      </c>
      <c r="J7" s="30" t="s">
        <v>186</v>
      </c>
      <c r="K7" s="42">
        <v>27350</v>
      </c>
      <c r="L7" s="131" t="s">
        <v>51</v>
      </c>
      <c r="M7" s="132">
        <f t="shared" ref="M7:M39" si="0">CONVERT((I7-K7)/10000,"mi","ft")*IF(L7="Increasing Mileposts (1)",-1,1)</f>
        <v>-431.37599999999998</v>
      </c>
      <c r="N7" s="133" t="str">
        <f>VLOOKUP(C7,'Trips&amp;Operators'!$C$1:$G$99911,5,FALSE)</f>
        <v>AUSTIN THOMPSON</v>
      </c>
      <c r="O7" s="176" t="s">
        <v>178</v>
      </c>
      <c r="P7" s="134" t="s">
        <v>349</v>
      </c>
      <c r="Q7" s="30"/>
      <c r="R7" s="81" t="str">
        <f>VLOOKUP(C7,'Train Runs'!$A$13:$AE$10098,31,0)</f>
        <v>aws s3 cp s3://rtdc.mdm.uploadarchive.raw/RTDC4043/ "%USERPROFILE%\AppData\Local\Temp\OnboardLogs"\RTDC4043\2017-11-01 --exclude "*" --recursive --include "*20171101*" &amp; "%USERPROFILE%\Documents\GitHub\mrs-test-scripts\Headless Mode &amp; Sideloading\WalkAndUnGZ.bat" "%USERPROFILE%\AppData\Local\Temp\OnboardLogs"\RTDC4043\2017-11-01 &amp; aws s3 cp s3://rtdc.mdm.uploadarchive.raw/RTDC4043/ "%USERPROFILE%\AppData\Local\Temp\OnboardLogs"\RTDC4043\2017-11-02 --exclude "*" --recursive --include "*20171102*" &amp; "%USERPROFILE%\Documents\GitHub\mrs-test-scripts\Headless Mode &amp; Sideloading\WalkAndUnGZ.bat" "%USERPROFILE%\AppData\Local\Temp\OnboardLogs"\RTDC4043\2017-11-02</v>
      </c>
      <c r="S7" s="84" t="str">
        <f>VLOOKUP(C7,'Train Runs'!$A$13:$AE$10098,22,0)</f>
        <v>https://d0f6bd738d7f1b3e5a7ca70fe4ff75f0.us-east-1.aws.found.io/app/kibana#/discover/Steve-Slow-Train-Analysis-(2080s-and-2083s)?_g=(refreshInterval:(display:Off,pause:!f,section:0,value:0),time:(from:'2017-11-01T08:36:34-0600',mode:absolute,to:'2017-11-01T11:21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7" s="86" t="str">
        <f t="shared" ref="T7:T39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/stypes="*4043*201711011*" /stext=" 16:.+((SYSTEM_STATE.+slice.+state.+changed )|(ment ac)|(multiple cpu faults)|(system.+state.+changed )|(\[timeout)|(PRM\|1\|D)|(kpr)|(kdp)|(train st.+moving)|(\|lc)|(penalty))"</v>
      </c>
      <c r="U7" s="9" t="str">
        <f t="shared" ref="U7:U39" si="2">MID(B7,13,4)</f>
        <v>4043</v>
      </c>
      <c r="V7" s="31">
        <f t="shared" ref="V7:V39" si="3">A7-utc_offset/24</f>
        <v>43040.676145833335</v>
      </c>
      <c r="W7" s="45" t="str">
        <f t="shared" ref="W7:W39" si="4">DetSubdiv(C7)</f>
        <v>EC</v>
      </c>
      <c r="X7" s="22">
        <f t="shared" ref="X7:X39" si="5">VALUE(LEFT(C7,LEN(C7)-3))</f>
        <v>142</v>
      </c>
      <c r="Y7" s="96" t="str">
        <f t="shared" ref="Y7:Y39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Arrival","project_id":79,"tracker_id":40,"status_id":1,"priority_id":2,"assigned_to_id":338,"start_date":"2017-11-01","description":"","custom_fields":[{"id":1,"name":"Subdivision","value":"EC"},{"id":4,"name":"Milepost","value":"2.735"},{"id":17,"name":"Train ID","value":"142-01"},{"id":16,"name":"Locomotive ID","value":"4043"},{"id":130,"name":"Impact","value":""},{"id":150,"name":"Time of Event (Mountain Time)","value":"10:13:39"},{"id":151,"name":"Denver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9"/>
      <c r="AA7" s="47"/>
      <c r="AB7" s="47"/>
      <c r="AC7" s="115" t="str">
        <f t="shared" ref="AC7:AC39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/c/Users/stu/AppData/Local/Temp/OnboardLogs/RTDC4043 --include="*4043*201711011*"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"%USERPROFILE%\AppData\Local\Temp\OnboardLogs"\RTDC4043\*4043*201711011* &gt;&gt; 2017-11-01-SliceDisagreementCheck.txt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4043 --day 2017-11-01</v>
      </c>
    </row>
    <row r="8" spans="1:32" s="1" customFormat="1" x14ac:dyDescent="0.25">
      <c r="A8" s="31">
        <v>43040.237164351849</v>
      </c>
      <c r="B8" s="30" t="s">
        <v>379</v>
      </c>
      <c r="C8" s="30" t="s">
        <v>609</v>
      </c>
      <c r="D8" s="30" t="s">
        <v>49</v>
      </c>
      <c r="E8" s="30" t="s">
        <v>185</v>
      </c>
      <c r="F8" s="42">
        <v>0</v>
      </c>
      <c r="G8" s="42">
        <v>208</v>
      </c>
      <c r="H8" s="42">
        <v>31097</v>
      </c>
      <c r="I8" s="42">
        <v>30833</v>
      </c>
      <c r="J8" s="30" t="s">
        <v>186</v>
      </c>
      <c r="K8" s="42">
        <v>30970</v>
      </c>
      <c r="L8" s="131" t="s">
        <v>51</v>
      </c>
      <c r="M8" s="132">
        <f t="shared" si="0"/>
        <v>-72.335999999999999</v>
      </c>
      <c r="N8" s="133" t="str">
        <f>VLOOKUP(C8,'Trips&amp;Operators'!$C$1:$G$99911,5,FALSE)</f>
        <v>YORK EDGAR</v>
      </c>
      <c r="O8" s="176" t="s">
        <v>178</v>
      </c>
      <c r="P8" s="134" t="s">
        <v>349</v>
      </c>
      <c r="Q8" s="30"/>
      <c r="R8" s="81" t="str">
        <f>VLOOKUP(C8,'Train Runs'!$A$13:$AE$10098,31,0)</f>
        <v>aws s3 cp s3://rtdc.mdm.uploadarchive.raw/RTDC4049/ "%USERPROFILE%\AppData\Local\Temp\OnboardLogs"\RTDC4049\2017-11-01 --exclude "*" --recursive --include "*20171101*" &amp; "%USERPROFILE%\Documents\GitHub\mrs-test-scripts\Headless Mode &amp; Sideloading\WalkAndUnGZ.bat" "%USERPROFILE%\AppData\Local\Temp\OnboardLogs"\RTDC4049\2017-11-01 &amp; aws s3 cp s3://rtdc.mdm.uploadarchive.raw/RTDC4049/ "%USERPROFILE%\AppData\Local\Temp\OnboardLogs"\RTDC4049\2017-11-02 --exclude "*" --recursive --include "*20171102*" &amp; "%USERPROFILE%\Documents\GitHub\mrs-test-scripts\Headless Mode &amp; Sideloading\WalkAndUnGZ.bat" "%USERPROFILE%\AppData\Local\Temp\OnboardLogs"\RTDC4049\2017-11-02</v>
      </c>
      <c r="S8" s="84" t="str">
        <f>VLOOKUP(C8,'Train Runs'!$A$13:$AE$10098,22,0)</f>
        <v>https://d0f6bd738d7f1b3e5a7ca70fe4ff75f0.us-east-1.aws.found.io/app/kibana#/discover/Steve-Slow-Train-Analysis-(2080s-and-2083s)?_g=(refreshInterval:(display:Off,pause:!f,section:0,value:0),time:(from:'2017-11-01T03:50:54-0600',mode:absolute,to:'2017-11-01T06:49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8" s="86" t="str">
        <f t="shared" si="1"/>
        <v>"C:\Program Files (x86)\AstroGrep\AstroGrep.exe" /e /r /s /spath="%USERPROFILE%\AppData\Local\Temp\OnboardLogs" /stypes="*4049*201711011*" /stext=" 11:.+((SYSTEM_STATE.+slice.+state.+changed )|(ment ac)|(multiple cpu faults)|(system.+state.+changed )|(\[timeout)|(PRM\|1\|D)|(kpr)|(kdp)|(train st.+moving)|(\|lc)|(penalty))"</v>
      </c>
      <c r="U8" s="9" t="str">
        <f t="shared" si="2"/>
        <v>4049</v>
      </c>
      <c r="V8" s="31">
        <f t="shared" si="3"/>
        <v>43040.487164351849</v>
      </c>
      <c r="W8" s="45" t="str">
        <f t="shared" si="4"/>
        <v>EC</v>
      </c>
      <c r="X8" s="22">
        <f t="shared" si="5"/>
        <v>106</v>
      </c>
      <c r="Y8" s="96" t="str">
        <f t="shared" si="6"/>
        <v>echo {"issue":{"subject":"Early Arrival","project_id":79,"tracker_id":40,"status_id":1,"priority_id":2,"assigned_to_id":338,"start_date":"2017-11-01","description":"","custom_fields":[{"id":1,"name":"Subdivision","value":"EC"},{"id":4,"name":"Milepost","value":"3.097"},{"id":17,"name":"Train ID","value":"106-01"},{"id":16,"name":"Locomotive ID","value":"4049"},{"id":130,"name":"Impact","value":""},{"id":150,"name":"Time of Event (Mountain Time)","value":"05:41:31"},{"id":151,"name":"Denver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/c/Users/stu/AppData/Local/Temp/OnboardLogs/RTDC4049 --include="*4049*201711011*"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"%USERPROFILE%\AppData\Local\Temp\OnboardLogs"\RTDC4049\*4049*201711011* &gt;&gt; 2017-11-01-SliceDisagreementCheck.txt</v>
      </c>
      <c r="AE8" s="145" t="str">
        <f t="shared" ref="AE8:AE39" si="9">"start /low /b "&amp;dls3logs&amp;" --loco "&amp;U8&amp;" --day "&amp;TEXT(V8,"YYYY-MM-DD")</f>
        <v>start /low /b %USERPROFILE%\Documents\GitHub\eaglep3\Utilities\DownloadLogsFromS3.py --loco 4049 --day 2017-11-01</v>
      </c>
    </row>
    <row r="9" spans="1:32" s="1" customFormat="1" x14ac:dyDescent="0.25">
      <c r="A9" s="31">
        <v>43040.331643518519</v>
      </c>
      <c r="B9" s="30" t="s">
        <v>612</v>
      </c>
      <c r="C9" s="30" t="s">
        <v>615</v>
      </c>
      <c r="D9" s="30" t="s">
        <v>49</v>
      </c>
      <c r="E9" s="30" t="s">
        <v>185</v>
      </c>
      <c r="F9" s="42">
        <v>180</v>
      </c>
      <c r="G9" s="42">
        <v>234</v>
      </c>
      <c r="H9" s="42">
        <v>31754</v>
      </c>
      <c r="I9" s="42">
        <v>31302</v>
      </c>
      <c r="J9" s="30" t="s">
        <v>186</v>
      </c>
      <c r="K9" s="42">
        <v>30970</v>
      </c>
      <c r="L9" s="131" t="s">
        <v>51</v>
      </c>
      <c r="M9" s="132">
        <f t="shared" si="0"/>
        <v>175.29599999999999</v>
      </c>
      <c r="N9" s="133" t="str">
        <f>VLOOKUP(C9,'Trips&amp;Operators'!$C$1:$G$99911,5,FALSE)</f>
        <v>STARKS ANGELINA</v>
      </c>
      <c r="O9" s="176" t="s">
        <v>178</v>
      </c>
      <c r="P9" s="134" t="s">
        <v>349</v>
      </c>
      <c r="Q9" s="30"/>
      <c r="R9" s="81" t="str">
        <f>VLOOKUP(C9,'Train Runs'!$A$13:$AE$10098,31,0)</f>
        <v>aws s3 cp s3://rtdc.mdm.uploadarchive.raw/RTDC4001/ "%USERPROFILE%\AppData\Local\Temp\OnboardLogs"\RTDC4001\2017-11-01 --exclude "*" --recursive --include "*20171101*" &amp; "%USERPROFILE%\Documents\GitHub\mrs-test-scripts\Headless Mode &amp; Sideloading\WalkAndUnGZ.bat" "%USERPROFILE%\AppData\Local\Temp\OnboardLogs"\RTDC4001\2017-11-01 &amp; aws s3 cp s3://rtdc.mdm.uploadarchive.raw/RTDC4001/ "%USERPROFILE%\AppData\Local\Temp\OnboardLogs"\RTDC4001\2017-11-02 --exclude "*" --recursive --include "*20171102*" &amp; "%USERPROFILE%\Documents\GitHub\mrs-test-scripts\Headless Mode &amp; Sideloading\WalkAndUnGZ.bat" "%USERPROFILE%\AppData\Local\Temp\OnboardLogs"\RTDC4001\2017-11-02</v>
      </c>
      <c r="S9" s="84" t="str">
        <f>VLOOKUP(C9,'Train Runs'!$A$13:$AE$10098,22,0)</f>
        <v>https://d0f6bd738d7f1b3e5a7ca70fe4ff75f0.us-east-1.aws.found.io/app/kibana#/discover/Steve-Slow-Train-Analysis-(2080s-and-2083s)?_g=(refreshInterval:(display:Off,pause:!f,section:0,value:0),time:(from:'2017-11-01T06:10:35-0600',mode:absolute,to:'2017-11-01T09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9" s="86" t="str">
        <f t="shared" si="1"/>
        <v>"C:\Program Files (x86)\AstroGrep\AstroGrep.exe" /e /r /s /spath="%USERPROFILE%\AppData\Local\Temp\OnboardLogs" /stypes="*4001*201711011*" /stext=" 13:.+((SYSTEM_STATE.+slice.+state.+changed )|(ment ac)|(multiple cpu faults)|(system.+state.+changed )|(\[timeout)|(PRM\|1\|D)|(kpr)|(kdp)|(train st.+moving)|(\|lc)|(penalty))"</v>
      </c>
      <c r="U9" s="9" t="str">
        <f t="shared" si="2"/>
        <v>4001</v>
      </c>
      <c r="V9" s="31">
        <f t="shared" si="3"/>
        <v>43040.581643518519</v>
      </c>
      <c r="W9" s="45" t="str">
        <f t="shared" si="4"/>
        <v>EC</v>
      </c>
      <c r="X9" s="22">
        <f t="shared" si="5"/>
        <v>124</v>
      </c>
      <c r="Y9" s="96" t="str">
        <f t="shared" si="6"/>
        <v>echo {"issue":{"subject":"Early Arrival","project_id":79,"tracker_id":40,"status_id":1,"priority_id":2,"assigned_to_id":338,"start_date":"2017-11-01","description":"","custom_fields":[{"id":1,"name":"Subdivision","value":"EC"},{"id":4,"name":"Milepost","value":"3.097"},{"id":17,"name":"Train ID","value":"124-01"},{"id":16,"name":"Locomotive ID","value":"4001"},{"id":130,"name":"Impact","value":""},{"id":150,"name":"Time of Event (Mountain Time)","value":"07:57:34"},{"id":151,"name":"Denver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/c/Users/stu/AppData/Local/Temp/OnboardLogs/RTDC4001 --include="*4001*201711011*"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"%USERPROFILE%\AppData\Local\Temp\OnboardLogs"\RTDC4001\*4001*201711011* &gt;&gt; 2017-11-01-SliceDisagreementCheck.txt</v>
      </c>
      <c r="AE9" s="145" t="str">
        <f t="shared" si="9"/>
        <v>start /low /b %USERPROFILE%\Documents\GitHub\eaglep3\Utilities\DownloadLogsFromS3.py --loco 4001 --day 2017-11-01</v>
      </c>
    </row>
    <row r="10" spans="1:32" s="1" customFormat="1" x14ac:dyDescent="0.25">
      <c r="A10" s="31">
        <v>43040.984907407408</v>
      </c>
      <c r="B10" s="30" t="s">
        <v>400</v>
      </c>
      <c r="C10" s="30" t="s">
        <v>649</v>
      </c>
      <c r="D10" s="30" t="s">
        <v>49</v>
      </c>
      <c r="E10" s="30" t="s">
        <v>185</v>
      </c>
      <c r="F10" s="42">
        <v>410</v>
      </c>
      <c r="G10" s="42">
        <v>460</v>
      </c>
      <c r="H10" s="42">
        <v>32876</v>
      </c>
      <c r="I10" s="42">
        <v>33953</v>
      </c>
      <c r="J10" s="30" t="s">
        <v>186</v>
      </c>
      <c r="K10" s="42">
        <v>33137</v>
      </c>
      <c r="L10" s="131" t="s">
        <v>50</v>
      </c>
      <c r="M10" s="132">
        <f t="shared" si="0"/>
        <v>-430.84800000000001</v>
      </c>
      <c r="N10" s="133" t="str">
        <f>VLOOKUP(C10,'Trips&amp;Operators'!$C$1:$G$99911,5,FALSE)</f>
        <v>MAGEE KENYA</v>
      </c>
      <c r="O10" s="176" t="s">
        <v>178</v>
      </c>
      <c r="P10" s="134" t="s">
        <v>349</v>
      </c>
      <c r="Q10" s="30"/>
      <c r="R10" s="81" t="str">
        <f>VLOOKUP(C10,'Train Runs'!$A$13:$AE$10098,31,0)</f>
        <v>aws s3 cp s3://rtdc.mdm.uploadarchive.raw/RTDC4004/ "%USERPROFILE%\AppData\Local\Temp\OnboardLogs"\RTDC4004\2017-11-01 --exclude "*" --recursive --include "*20171101*" &amp; "%USERPROFILE%\Documents\GitHub\mrs-test-scripts\Headless Mode &amp; Sideloading\WalkAndUnGZ.bat" "%USERPROFILE%\AppData\Local\Temp\OnboardLogs"\RTDC4004\2017-11-01 &amp; aws s3 cp s3://rtdc.mdm.uploadarchive.raw/RTDC4004/ "%USERPROFILE%\AppData\Local\Temp\OnboardLogs"\RTDC4004\2017-11-02 --exclude "*" --recursive --include "*20171102*" &amp; "%USERPROFILE%\Documents\GitHub\mrs-test-scripts\Headless Mode &amp; Sideloading\WalkAndUnGZ.bat" "%USERPROFILE%\AppData\Local\Temp\OnboardLogs"\RTDC4004\2017-11-02</v>
      </c>
      <c r="S10" s="84" t="str">
        <f>VLOOKUP(C10,'Train Runs'!$A$13:$AE$10098,22,0)</f>
        <v>https://d0f6bd738d7f1b3e5a7ca70fe4ff75f0.us-east-1.aws.found.io/app/kibana#/discover/Steve-Slow-Train-Analysis-(2080s-and-2083s)?_g=(refreshInterval:(display:Off,pause:!f,section:0,value:0),time:(from:'2017-11-01T22:26:55-0600',mode:absolute,to:'2017-11-02T01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0" s="86" t="str">
        <f t="shared" si="1"/>
        <v>"C:\Program Files (x86)\AstroGrep\AstroGrep.exe" /e /r /s /spath="%USERPROFILE%\AppData\Local\Temp\OnboardLogs" /stypes="*4004*201711020*" /stext=" 05:.+((SYSTEM_STATE.+slice.+state.+changed )|(ment ac)|(multiple cpu faults)|(system.+state.+changed )|(\[timeout)|(PRM\|1\|D)|(kpr)|(kdp)|(train st.+moving)|(\|lc)|(penalty))"</v>
      </c>
      <c r="U10" s="9" t="str">
        <f t="shared" si="2"/>
        <v>4004</v>
      </c>
      <c r="V10" s="31">
        <f t="shared" si="3"/>
        <v>43041.234907407408</v>
      </c>
      <c r="W10" s="45" t="str">
        <f t="shared" si="4"/>
        <v>EC</v>
      </c>
      <c r="X10" s="22">
        <f t="shared" si="5"/>
        <v>239</v>
      </c>
      <c r="Y10" s="96" t="str">
        <f t="shared" si="6"/>
        <v>echo {"issue":{"subject":"Early Arrival","project_id":79,"tracker_id":40,"status_id":1,"priority_id":2,"assigned_to_id":338,"start_date":"2017-11-01","description":"","custom_fields":[{"id":1,"name":"Subdivision","value":"EC"},{"id":4,"name":"Milepost","value":"3.3137"},{"id":17,"name":"Train ID","value":"239-01"},{"id":16,"name":"Locomotive ID","value":"4004"},{"id":130,"name":"Impact","value":""},{"id":150,"name":"Time of Event (Mountain Time)","value":"23:38:16"},{"id":151,"name":"Denver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/c/Users/stu/AppData/Local/Temp/OnboardLogs/RTDC4004 --include="*4004*201711020*"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"%USERPROFILE%\AppData\Local\Temp\OnboardLogs"\RTDC4004\*4004*201711020* &gt;&gt; 2017-11-01-SliceDisagreementCheck.txt</v>
      </c>
      <c r="AE10" s="145" t="str">
        <f t="shared" si="9"/>
        <v>start /low /b %USERPROFILE%\Documents\GitHub\eaglep3\Utilities\DownloadLogsFromS3.py --loco 4004 --day 2017-11-02</v>
      </c>
    </row>
    <row r="11" spans="1:32" x14ac:dyDescent="0.25">
      <c r="A11" s="31">
        <v>43040.632847222223</v>
      </c>
      <c r="B11" s="30" t="s">
        <v>493</v>
      </c>
      <c r="C11" s="30" t="s">
        <v>639</v>
      </c>
      <c r="D11" s="30" t="s">
        <v>49</v>
      </c>
      <c r="E11" s="30" t="s">
        <v>185</v>
      </c>
      <c r="F11" s="42">
        <v>420</v>
      </c>
      <c r="G11" s="42">
        <v>487</v>
      </c>
      <c r="H11" s="42">
        <v>41868</v>
      </c>
      <c r="I11" s="42">
        <v>43221</v>
      </c>
      <c r="J11" s="30" t="s">
        <v>186</v>
      </c>
      <c r="K11" s="42">
        <v>42779</v>
      </c>
      <c r="L11" s="131" t="s">
        <v>50</v>
      </c>
      <c r="M11" s="132">
        <f t="shared" si="0"/>
        <v>-233.376</v>
      </c>
      <c r="N11" s="133" t="str">
        <f>VLOOKUP(C11,'Trips&amp;Operators'!$C$1:$G$99911,5,FALSE)</f>
        <v>STEWART MICHAEL</v>
      </c>
      <c r="O11" s="176" t="s">
        <v>178</v>
      </c>
      <c r="P11" s="134" t="s">
        <v>349</v>
      </c>
      <c r="Q11" s="30"/>
      <c r="R11" s="81" t="str">
        <f>VLOOKUP(C11,'Train Runs'!$A$13:$AE$10098,31,0)</f>
        <v>aws s3 cp s3://rtdc.mdm.uploadarchive.raw/RTDC4026/ "%USERPROFILE%\AppData\Local\Temp\OnboardLogs"\RTDC4026\2017-11-01 --exclude "*" --recursive --include "*20171101*" &amp; "%USERPROFILE%\Documents\GitHub\mrs-test-scripts\Headless Mode &amp; Sideloading\WalkAndUnGZ.bat" "%USERPROFILE%\AppData\Local\Temp\OnboardLogs"\RTDC4026\2017-11-01 &amp; aws s3 cp s3://rtdc.mdm.uploadarchive.raw/RTDC4026/ "%USERPROFILE%\AppData\Local\Temp\OnboardLogs"\RTDC4026\2017-11-02 --exclude "*" --recursive --include "*20171102*" &amp; "%USERPROFILE%\Documents\GitHub\mrs-test-scripts\Headless Mode &amp; Sideloading\WalkAndUnGZ.bat" "%USERPROFILE%\AppData\Local\Temp\OnboardLogs"\RTDC4026\2017-11-02</v>
      </c>
      <c r="S11" s="84" t="str">
        <f>VLOOKUP(C11,'Train Runs'!$A$13:$AE$10098,22,0)</f>
        <v>https://d0f6bd738d7f1b3e5a7ca70fe4ff75f0.us-east-1.aws.found.io/app/kibana#/discover/Steve-Slow-Train-Analysis-(2080s-and-2083s)?_g=(refreshInterval:(display:Off,pause:!f,section:0,value:0),time:(from:'2017-11-01T13:57:57-0600',mode:absolute,to:'2017-11-01T16:36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1" s="86" t="str">
        <f t="shared" si="1"/>
        <v>"C:\Program Files (x86)\AstroGrep\AstroGrep.exe" /e /r /s /spath="%USERPROFILE%\AppData\Local\Temp\OnboardLogs" /stypes="*4026*201711012*" /stext=" 21:.+((SYSTEM_STATE.+slice.+state.+changed )|(ment ac)|(multiple cpu faults)|(system.+state.+changed )|(\[timeout)|(PRM\|1\|D)|(kpr)|(kdp)|(train st.+moving)|(\|lc)|(penalty))"</v>
      </c>
      <c r="U11" s="9" t="str">
        <f t="shared" si="2"/>
        <v>4026</v>
      </c>
      <c r="V11" s="31">
        <f t="shared" si="3"/>
        <v>43040.882847222223</v>
      </c>
      <c r="W11" s="45" t="str">
        <f t="shared" si="4"/>
        <v>EC</v>
      </c>
      <c r="X11" s="22">
        <f t="shared" si="5"/>
        <v>191</v>
      </c>
      <c r="Y11" s="96" t="str">
        <f t="shared" si="6"/>
        <v>echo {"issue":{"subject":"Early Arrival","project_id":79,"tracker_id":40,"status_id":1,"priority_id":2,"assigned_to_id":338,"start_date":"2017-11-01","description":"","custom_fields":[{"id":1,"name":"Subdivision","value":"EC"},{"id":4,"name":"Milepost","value":"4.2779"},{"id":17,"name":"Train ID","value":"191-01"},{"id":16,"name":"Locomotive ID","value":"4026"},{"id":130,"name":"Impact","value":""},{"id":150,"name":"Time of Event (Mountain Time)","value":"15:11:18"},{"id":151,"name":"Denver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/c/Users/stu/AppData/Local/Temp/OnboardLogs/RTDC4026 --include="*4026*201711012*"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"%USERPROFILE%\AppData\Local\Temp\OnboardLogs"\RTDC4026\*4026*201711012* &gt;&gt; 2017-11-01-SliceDisagreementCheck.txt</v>
      </c>
      <c r="AE11" s="145" t="str">
        <f t="shared" si="9"/>
        <v>start /low /b %USERPROFILE%\Documents\GitHub\eaglep3\Utilities\DownloadLogsFromS3.py --loco 4026 --day 2017-11-01</v>
      </c>
      <c r="AF11" s="1"/>
    </row>
    <row r="12" spans="1:32" x14ac:dyDescent="0.25">
      <c r="A12" s="31">
        <v>43040.37060185185</v>
      </c>
      <c r="B12" s="30" t="s">
        <v>621</v>
      </c>
      <c r="C12" s="30" t="s">
        <v>622</v>
      </c>
      <c r="D12" s="30" t="s">
        <v>49</v>
      </c>
      <c r="E12" s="30" t="s">
        <v>185</v>
      </c>
      <c r="F12" s="42">
        <v>410</v>
      </c>
      <c r="G12" s="42">
        <v>473</v>
      </c>
      <c r="H12" s="42">
        <v>54231</v>
      </c>
      <c r="I12" s="42">
        <v>53009</v>
      </c>
      <c r="J12" s="30" t="s">
        <v>186</v>
      </c>
      <c r="K12" s="42">
        <v>53277</v>
      </c>
      <c r="L12" s="131" t="s">
        <v>51</v>
      </c>
      <c r="M12" s="132">
        <f t="shared" si="0"/>
        <v>-141.50399999999999</v>
      </c>
      <c r="N12" s="133" t="str">
        <f>VLOOKUP(C12,'Trips&amp;Operators'!$C$1:$G$99911,5,FALSE)</f>
        <v>BROWN JACOB</v>
      </c>
      <c r="O12" s="176" t="s">
        <v>178</v>
      </c>
      <c r="P12" s="134" t="s">
        <v>349</v>
      </c>
      <c r="Q12" s="30"/>
      <c r="R12" s="81" t="str">
        <f>VLOOKUP(C12,'Train Runs'!$A$13:$AE$10098,31,0)</f>
        <v>aws s3 cp s3://rtdc.mdm.uploadarchive.raw/RTDC4041/ "%USERPROFILE%\AppData\Local\Temp\OnboardLogs"\RTDC4041\2017-11-01 --exclude "*" --recursive --include "*20171101*" &amp; "%USERPROFILE%\Documents\GitHub\mrs-test-scripts\Headless Mode &amp; Sideloading\WalkAndUnGZ.bat" "%USERPROFILE%\AppData\Local\Temp\OnboardLogs"\RTDC4041\2017-11-01 &amp; aws s3 cp s3://rtdc.mdm.uploadarchive.raw/RTDC4041/ "%USERPROFILE%\AppData\Local\Temp\OnboardLogs"\RTDC4041\2017-11-02 --exclude "*" --recursive --include "*20171102*" &amp; "%USERPROFILE%\Documents\GitHub\mrs-test-scripts\Headless Mode &amp; Sideloading\WalkAndUnGZ.bat" "%USERPROFILE%\AppData\Local\Temp\OnboardLogs"\RTDC4041\2017-11-02</v>
      </c>
      <c r="S12" s="84" t="str">
        <f>VLOOKUP(C12,'Train Runs'!$A$13:$AE$10098,22,0)</f>
        <v>https://d0f6bd738d7f1b3e5a7ca70fe4ff75f0.us-east-1.aws.found.io/app/kibana#/discover/Steve-Slow-Train-Analysis-(2080s-and-2083s)?_g=(refreshInterval:(display:Off,pause:!f,section:0,value:0),time:(from:'2017-11-01T07:15:49-0600',mode:absolute,to:'2017-11-01T10:07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2" s="86" t="str">
        <f t="shared" si="1"/>
        <v>"C:\Program Files (x86)\AstroGrep\AstroGrep.exe" /e /r /s /spath="%USERPROFILE%\AppData\Local\Temp\OnboardLogs" /stypes="*4041*201711011*" /stext=" 14:.+((SYSTEM_STATE.+slice.+state.+changed )|(ment ac)|(multiple cpu faults)|(system.+state.+changed )|(\[timeout)|(PRM\|1\|D)|(kpr)|(kdp)|(train st.+moving)|(\|lc)|(penalty))"</v>
      </c>
      <c r="U12" s="9" t="str">
        <f t="shared" si="2"/>
        <v>4041</v>
      </c>
      <c r="V12" s="31">
        <f t="shared" si="3"/>
        <v>43040.62060185185</v>
      </c>
      <c r="W12" s="45" t="str">
        <f t="shared" si="4"/>
        <v>EC</v>
      </c>
      <c r="X12" s="22">
        <f t="shared" si="5"/>
        <v>132</v>
      </c>
      <c r="Y12" s="96" t="str">
        <f t="shared" si="6"/>
        <v>echo {"issue":{"subject":"Early Arrival","project_id":79,"tracker_id":40,"status_id":1,"priority_id":2,"assigned_to_id":338,"start_date":"2017-11-01","description":"","custom_fields":[{"id":1,"name":"Subdivision","value":"EC"},{"id":4,"name":"Milepost","value":"5.3277"},{"id":17,"name":"Train ID","value":"132-01"},{"id":16,"name":"Locomotive ID","value":"4041"},{"id":130,"name":"Impact","value":""},{"id":150,"name":"Time of Event (Mountain Time)","value":"08:53:40"},{"id":151,"name":"Denver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/c/Users/stu/AppData/Local/Temp/OnboardLogs/RTDC4041 --include="*4041*201711011*"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"%USERPROFILE%\AppData\Local\Temp\OnboardLogs"\RTDC4041\*4041*201711011* &gt;&gt; 2017-11-01-SliceDisagreementCheck.txt</v>
      </c>
      <c r="AE12" s="145" t="str">
        <f t="shared" si="9"/>
        <v>start /low /b %USERPROFILE%\Documents\GitHub\eaglep3\Utilities\DownloadLogsFromS3.py --loco 4041 --day 2017-11-01</v>
      </c>
      <c r="AF12" s="1"/>
    </row>
    <row r="13" spans="1:32" x14ac:dyDescent="0.25">
      <c r="A13" s="31">
        <v>43040.630590277775</v>
      </c>
      <c r="B13" s="30" t="s">
        <v>616</v>
      </c>
      <c r="C13" s="30" t="s">
        <v>638</v>
      </c>
      <c r="D13" s="30" t="s">
        <v>49</v>
      </c>
      <c r="E13" s="30" t="s">
        <v>185</v>
      </c>
      <c r="F13" s="42">
        <v>0</v>
      </c>
      <c r="G13" s="42">
        <v>299</v>
      </c>
      <c r="H13" s="42">
        <v>58535</v>
      </c>
      <c r="I13" s="42">
        <v>57979</v>
      </c>
      <c r="J13" s="30" t="s">
        <v>186</v>
      </c>
      <c r="K13" s="42">
        <v>58301</v>
      </c>
      <c r="L13" s="131" t="s">
        <v>51</v>
      </c>
      <c r="M13" s="132">
        <f t="shared" si="0"/>
        <v>-170.01599999999999</v>
      </c>
      <c r="N13" s="133" t="str">
        <f>VLOOKUP(C13,'Trips&amp;Operators'!$C$1:$G$99911,5,FALSE)</f>
        <v>LEVIN SCOTT</v>
      </c>
      <c r="O13" s="176" t="s">
        <v>178</v>
      </c>
      <c r="P13" s="134" t="s">
        <v>349</v>
      </c>
      <c r="Q13" s="30"/>
      <c r="R13" s="81" t="str">
        <f>VLOOKUP(C13,'Train Runs'!$A$13:$AE$10098,31,0)</f>
        <v>aws s3 cp s3://rtdc.mdm.uploadarchive.raw/RTDC4063/ "%USERPROFILE%\AppData\Local\Temp\OnboardLogs"\RTDC4063\2017-11-01 --exclude "*" --recursive --include "*20171101*" &amp; "%USERPROFILE%\Documents\GitHub\mrs-test-scripts\Headless Mode &amp; Sideloading\WalkAndUnGZ.bat" "%USERPROFILE%\AppData\Local\Temp\OnboardLogs"\RTDC4063\2017-11-01 &amp; aws s3 cp s3://rtdc.mdm.uploadarchive.raw/RTDC4063/ "%USERPROFILE%\AppData\Local\Temp\OnboardLogs"\RTDC4063\2017-11-02 --exclude "*" --recursive --include "*20171102*" &amp; "%USERPROFILE%\Documents\GitHub\mrs-test-scripts\Headless Mode &amp; Sideloading\WalkAndUnGZ.bat" "%USERPROFILE%\AppData\Local\Temp\OnboardLogs"\RTDC4063\2017-11-02</v>
      </c>
      <c r="S13" s="84" t="str">
        <f>VLOOKUP(C13,'Train Runs'!$A$13:$AE$10098,22,0)</f>
        <v>https://d0f6bd738d7f1b3e5a7ca70fe4ff75f0.us-east-1.aws.found.io/app/kibana#/discover/Steve-Slow-Train-Analysis-(2080s-and-2083s)?_g=(refreshInterval:(display:Off,pause:!f,section:0,value:0),time:(from:'2017-11-01T13:29:05-0600',mode:absolute,to:'2017-11-01T16:21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3" s="86" t="str">
        <f t="shared" si="1"/>
        <v>"C:\Program Files (x86)\AstroGrep\AstroGrep.exe" /e /r /s /spath="%USERPROFILE%\AppData\Local\Temp\OnboardLogs" /stypes="*4063*201711012*" /stext=" 21:.+((SYSTEM_STATE.+slice.+state.+changed )|(ment ac)|(multiple cpu faults)|(system.+state.+changed )|(\[timeout)|(PRM\|1\|D)|(kpr)|(kdp)|(train st.+moving)|(\|lc)|(penalty))"</v>
      </c>
      <c r="U13" s="9" t="str">
        <f t="shared" si="2"/>
        <v>4063</v>
      </c>
      <c r="V13" s="31">
        <f t="shared" si="3"/>
        <v>43040.880590277775</v>
      </c>
      <c r="W13" s="45" t="str">
        <f t="shared" si="4"/>
        <v>EC</v>
      </c>
      <c r="X13" s="22">
        <f t="shared" si="5"/>
        <v>182</v>
      </c>
      <c r="Y13" s="96" t="str">
        <f t="shared" si="6"/>
        <v>echo {"issue":{"subject":"Early Arrival","project_id":79,"tracker_id":40,"status_id":1,"priority_id":2,"assigned_to_id":338,"start_date":"2017-11-01","description":"","custom_fields":[{"id":1,"name":"Subdivision","value":"EC"},{"id":4,"name":"Milepost","value":"5.8301"},{"id":17,"name":"Train ID","value":"182-01"},{"id":16,"name":"Locomotive ID","value":"4063"},{"id":130,"name":"Impact","value":""},{"id":150,"name":"Time of Event (Mountain Time)","value":"15:08:03"},{"id":151,"name":"Denver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/c/Users/stu/AppData/Local/Temp/OnboardLogs/RTDC4063 --include="*4063*201711012*"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"%USERPROFILE%\AppData\Local\Temp\OnboardLogs"\RTDC4063\*4063*201711012* &gt;&gt; 2017-11-01-SliceDisagreementCheck.txt</v>
      </c>
      <c r="AE13" s="145" t="str">
        <f t="shared" si="9"/>
        <v>start /low /b %USERPROFILE%\Documents\GitHub\eaglep3\Utilities\DownloadLogsFromS3.py --loco 4063 --day 2017-11-01</v>
      </c>
      <c r="AF13" s="1"/>
    </row>
    <row r="14" spans="1:32" x14ac:dyDescent="0.25">
      <c r="A14" s="31">
        <v>43040.561053240737</v>
      </c>
      <c r="B14" s="30" t="s">
        <v>493</v>
      </c>
      <c r="C14" s="30" t="s">
        <v>633</v>
      </c>
      <c r="D14" s="30" t="s">
        <v>49</v>
      </c>
      <c r="E14" s="30" t="s">
        <v>185</v>
      </c>
      <c r="F14" s="42">
        <v>0</v>
      </c>
      <c r="G14" s="42">
        <v>470</v>
      </c>
      <c r="H14" s="42">
        <v>62494</v>
      </c>
      <c r="I14" s="42">
        <v>63678</v>
      </c>
      <c r="J14" s="30" t="s">
        <v>186</v>
      </c>
      <c r="K14" s="42">
        <v>63069</v>
      </c>
      <c r="L14" s="131" t="s">
        <v>50</v>
      </c>
      <c r="M14" s="132">
        <f t="shared" si="0"/>
        <v>-321.55200000000002</v>
      </c>
      <c r="N14" s="133" t="str">
        <f>VLOOKUP(C14,'Trips&amp;Operators'!$C$1:$G$99911,5,FALSE)</f>
        <v>STEWART MICHAEL</v>
      </c>
      <c r="O14" s="176" t="s">
        <v>178</v>
      </c>
      <c r="P14" s="134" t="s">
        <v>349</v>
      </c>
      <c r="Q14" s="30"/>
      <c r="R14" s="81" t="str">
        <f>VLOOKUP(C14,'Train Runs'!$A$13:$AE$10098,31,0)</f>
        <v>aws s3 cp s3://rtdc.mdm.uploadarchive.raw/RTDC4026/ "%USERPROFILE%\AppData\Local\Temp\OnboardLogs"\RTDC4026\2017-11-01 --exclude "*" --recursive --include "*20171101*" &amp; "%USERPROFILE%\Documents\GitHub\mrs-test-scripts\Headless Mode &amp; Sideloading\WalkAndUnGZ.bat" "%USERPROFILE%\AppData\Local\Temp\OnboardLogs"\RTDC4026\2017-11-01 &amp; aws s3 cp s3://rtdc.mdm.uploadarchive.raw/RTDC4026/ "%USERPROFILE%\AppData\Local\Temp\OnboardLogs"\RTDC4026\2017-11-02 --exclude "*" --recursive --include "*20171102*" &amp; "%USERPROFILE%\Documents\GitHub\mrs-test-scripts\Headless Mode &amp; Sideloading\WalkAndUnGZ.bat" "%USERPROFILE%\AppData\Local\Temp\OnboardLogs"\RTDC4026\2017-11-02</v>
      </c>
      <c r="S14" s="84" t="str">
        <f>VLOOKUP(C14,'Train Runs'!$A$13:$AE$10098,22,0)</f>
        <v>https://d0f6bd738d7f1b3e5a7ca70fe4ff75f0.us-east-1.aws.found.io/app/kibana#/discover/Steve-Slow-Train-Analysis-(2080s-and-2083s)?_g=(refreshInterval:(display:Off,pause:!f,section:0,value:0),time:(from:'2017-11-01T12:10:35-0600',mode:absolute,to:'2017-11-01T14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4" s="86" t="str">
        <f t="shared" si="1"/>
        <v>"C:\Program Files (x86)\AstroGrep\AstroGrep.exe" /e /r /s /spath="%USERPROFILE%\AppData\Local\Temp\OnboardLogs" /stypes="*4026*201711011*" /stext=" 19:.+((SYSTEM_STATE.+slice.+state.+changed )|(ment ac)|(multiple cpu faults)|(system.+state.+changed )|(\[timeout)|(PRM\|1\|D)|(kpr)|(kdp)|(train st.+moving)|(\|lc)|(penalty))"</v>
      </c>
      <c r="U14" s="9" t="str">
        <f t="shared" si="2"/>
        <v>4026</v>
      </c>
      <c r="V14" s="31">
        <f t="shared" si="3"/>
        <v>43040.811053240737</v>
      </c>
      <c r="W14" s="45" t="str">
        <f t="shared" si="4"/>
        <v>EC</v>
      </c>
      <c r="X14" s="22">
        <f t="shared" si="5"/>
        <v>177</v>
      </c>
      <c r="Y14" s="96" t="str">
        <f t="shared" si="6"/>
        <v>echo {"issue":{"subject":"Early Arrival","project_id":79,"tracker_id":40,"status_id":1,"priority_id":2,"assigned_to_id":338,"start_date":"2017-11-01","description":"","custom_fields":[{"id":1,"name":"Subdivision","value":"EC"},{"id":4,"name":"Milepost","value":"6.3069"},{"id":17,"name":"Train ID","value":"177-01"},{"id":16,"name":"Locomotive ID","value":"4026"},{"id":130,"name":"Impact","value":""},{"id":150,"name":"Time of Event (Mountain Time)","value":"13:27:55"},{"id":151,"name":"Denver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/c/Users/stu/AppData/Local/Temp/OnboardLogs/RTDC4026 --include="*4026*201711011*"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"%USERPROFILE%\AppData\Local\Temp\OnboardLogs"\RTDC4026\*4026*201711011* &gt;&gt; 2017-11-01-SliceDisagreementCheck.txt</v>
      </c>
      <c r="AE14" s="145" t="str">
        <f t="shared" si="9"/>
        <v>start /low /b %USERPROFILE%\Documents\GitHub\eaglep3\Utilities\DownloadLogsFromS3.py --loco 4026 --day 2017-11-01</v>
      </c>
      <c r="AF14" s="1"/>
    </row>
    <row r="15" spans="1:32" x14ac:dyDescent="0.25">
      <c r="A15" s="31">
        <v>43040.462754629632</v>
      </c>
      <c r="B15" s="30" t="s">
        <v>629</v>
      </c>
      <c r="C15" s="30" t="s">
        <v>630</v>
      </c>
      <c r="D15" s="30" t="s">
        <v>49</v>
      </c>
      <c r="E15" s="30" t="s">
        <v>185</v>
      </c>
      <c r="F15" s="42">
        <v>220</v>
      </c>
      <c r="G15" s="42">
        <v>273</v>
      </c>
      <c r="H15" s="42">
        <v>63444</v>
      </c>
      <c r="I15" s="42">
        <v>62940</v>
      </c>
      <c r="J15" s="30" t="s">
        <v>186</v>
      </c>
      <c r="K15" s="42">
        <v>63309</v>
      </c>
      <c r="L15" s="131" t="s">
        <v>51</v>
      </c>
      <c r="M15" s="132">
        <f t="shared" si="0"/>
        <v>-194.83199999999999</v>
      </c>
      <c r="N15" s="133" t="str">
        <f>VLOOKUP(C15,'Trips&amp;Operators'!$C$1:$G$99911,5,FALSE)</f>
        <v>BEAM ROSS</v>
      </c>
      <c r="O15" s="176" t="s">
        <v>178</v>
      </c>
      <c r="P15" s="134" t="s">
        <v>349</v>
      </c>
      <c r="Q15" s="30"/>
      <c r="R15" s="81" t="str">
        <f>VLOOKUP(C15,'Train Runs'!$A$13:$AE$10098,31,0)</f>
        <v>aws s3 cp s3://rtdc.mdm.uploadarchive.raw/RTDC4025/ "%USERPROFILE%\AppData\Local\Temp\OnboardLogs"\RTDC4025\2017-11-01 --exclude "*" --recursive --include "*20171101*" &amp; "%USERPROFILE%\Documents\GitHub\mrs-test-scripts\Headless Mode &amp; Sideloading\WalkAndUnGZ.bat" "%USERPROFILE%\AppData\Local\Temp\OnboardLogs"\RTDC4025\2017-11-01 &amp; aws s3 cp s3://rtdc.mdm.uploadarchive.raw/RTDC4025/ "%USERPROFILE%\AppData\Local\Temp\OnboardLogs"\RTDC4025\2017-11-02 --exclude "*" --recursive --include "*20171102*" &amp; "%USERPROFILE%\Documents\GitHub\mrs-test-scripts\Headless Mode &amp; Sideloading\WalkAndUnGZ.bat" "%USERPROFILE%\AppData\Local\Temp\OnboardLogs"\RTDC4025\2017-11-02</v>
      </c>
      <c r="S15" s="84" t="str">
        <f>VLOOKUP(C15,'Train Runs'!$A$13:$AE$10098,22,0)</f>
        <v>https://d0f6bd738d7f1b3e5a7ca70fe4ff75f0.us-east-1.aws.found.io/app/kibana#/discover/Steve-Slow-Train-Analysis-(2080s-and-2083s)?_g=(refreshInterval:(display:Off,pause:!f,section:0,value:0),time:(from:'2017-11-01T09:20:58-0600',mode:absolute,to:'2017-11-01T12:20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5" s="86" t="str">
        <f t="shared" si="1"/>
        <v>"C:\Program Files (x86)\AstroGrep\AstroGrep.exe" /e /r /s /spath="%USERPROFILE%\AppData\Local\Temp\OnboardLogs" /stypes="*4025*201711011*" /stext=" 17:.+((SYSTEM_STATE.+slice.+state.+changed )|(ment ac)|(multiple cpu faults)|(system.+state.+changed )|(\[timeout)|(PRM\|1\|D)|(kpr)|(kdp)|(train st.+moving)|(\|lc)|(penalty))"</v>
      </c>
      <c r="U15" s="9" t="str">
        <f t="shared" si="2"/>
        <v>4025</v>
      </c>
      <c r="V15" s="31">
        <f t="shared" si="3"/>
        <v>43040.712754629632</v>
      </c>
      <c r="W15" s="45" t="str">
        <f t="shared" si="4"/>
        <v>EC</v>
      </c>
      <c r="X15" s="22">
        <f t="shared" si="5"/>
        <v>150</v>
      </c>
      <c r="Y15" s="96" t="str">
        <f t="shared" si="6"/>
        <v>echo {"issue":{"subject":"Early Arrival","project_id":79,"tracker_id":40,"status_id":1,"priority_id":2,"assigned_to_id":338,"start_date":"2017-11-01","description":"","custom_fields":[{"id":1,"name":"Subdivision","value":"EC"},{"id":4,"name":"Milepost","value":"6.3309"},{"id":17,"name":"Train ID","value":"150-01"},{"id":16,"name":"Locomotive ID","value":"4025"},{"id":130,"name":"Impact","value":""},{"id":150,"name":"Time of Event (Mountain Time)","value":"11:06:22"},{"id":151,"name":"Denver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/c/Users/stu/AppData/Local/Temp/OnboardLogs/RTDC4025 --include="*4025*201711011*"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"%USERPROFILE%\AppData\Local\Temp\OnboardLogs"\RTDC4025\*4025*201711011* &gt;&gt; 2017-11-01-SliceDisagreementCheck.txt</v>
      </c>
      <c r="AE15" s="145" t="str">
        <f t="shared" si="9"/>
        <v>start /low /b %USERPROFILE%\Documents\GitHub\eaglep3\Utilities\DownloadLogsFromS3.py --loco 4025 --day 2017-11-01</v>
      </c>
      <c r="AF15" s="1"/>
    </row>
    <row r="16" spans="1:32" x14ac:dyDescent="0.25">
      <c r="A16" s="31">
        <v>43041.037291666667</v>
      </c>
      <c r="B16" s="30" t="s">
        <v>399</v>
      </c>
      <c r="C16" s="30" t="s">
        <v>650</v>
      </c>
      <c r="D16" s="30" t="s">
        <v>95</v>
      </c>
      <c r="E16" s="30" t="s">
        <v>185</v>
      </c>
      <c r="F16" s="42">
        <v>230</v>
      </c>
      <c r="G16" s="42">
        <v>283</v>
      </c>
      <c r="H16" s="42">
        <v>63224</v>
      </c>
      <c r="I16" s="42">
        <v>62834</v>
      </c>
      <c r="J16" s="30" t="s">
        <v>186</v>
      </c>
      <c r="K16" s="42">
        <v>63309</v>
      </c>
      <c r="L16" s="131" t="s">
        <v>51</v>
      </c>
      <c r="M16" s="132">
        <f t="shared" si="0"/>
        <v>-250.8</v>
      </c>
      <c r="N16" s="133" t="str">
        <f>VLOOKUP(C16,'Trips&amp;Operators'!$C$1:$G$99911,5,FALSE)</f>
        <v>MAGEE KENYA</v>
      </c>
      <c r="O16" s="176" t="s">
        <v>178</v>
      </c>
      <c r="P16" s="134" t="s">
        <v>349</v>
      </c>
      <c r="Q16" s="30"/>
      <c r="R16" s="81" t="str">
        <f>VLOOKUP(C16,'Train Runs'!$A$13:$AE$10098,31,0)</f>
        <v>aws s3 cp s3://rtdc.mdm.uploadarchive.raw/RTDC4003/ "%USERPROFILE%\AppData\Local\Temp\OnboardLogs"\RTDC4003\2017-11-02 --exclude "*" --recursive --include "*20171102*" &amp; "%USERPROFILE%\Documents\GitHub\mrs-test-scripts\Headless Mode &amp; Sideloading\WalkAndUnGZ.bat" "%USERPROFILE%\AppData\Local\Temp\OnboardLogs"\RTDC4003\2017-11-02 &amp; aws s3 cp s3://rtdc.mdm.uploadarchive.raw/RTDC4003/ "%USERPROFILE%\AppData\Local\Temp\OnboardLogs"\RTDC4003\2017-11-03 --exclude "*" --recursive --include "*20171103*" &amp; "%USERPROFILE%\Documents\GitHub\mrs-test-scripts\Headless Mode &amp; Sideloading\WalkAndUnGZ.bat" "%USERPROFILE%\AppData\Local\Temp\OnboardLogs"\RTDC4003\2017-11-03</v>
      </c>
      <c r="S16" s="84" t="str">
        <f>VLOOKUP(C16,'Train Runs'!$A$13:$AE$10098,22,0)</f>
        <v>https://d0f6bd738d7f1b3e5a7ca70fe4ff75f0.us-east-1.aws.found.io/app/kibana#/discover/Steve-Slow-Train-Analysis-(2080s-and-2083s)?_g=(refreshInterval:(display:Off,pause:!f,section:0,value:0),time:(from:'2017-11-01T22:26:55-0600',mode:absolute,to:'2017-11-02T02:12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6" s="86" t="str">
        <f t="shared" si="1"/>
        <v>"C:\Program Files (x86)\AstroGrep\AstroGrep.exe" /e /r /s /spath="%USERPROFILE%\AppData\Local\Temp\OnboardLogs" /stypes="*4003*201711020*" /stext=" 06:.+((SYSTEM_STATE.+slice.+state.+changed )|(ment ac)|(multiple cpu faults)|(system.+state.+changed )|(\[timeout)|(PRM\|1\|D)|(kpr)|(kdp)|(train st.+moving)|(\|lc)|(penalty))"</v>
      </c>
      <c r="U16" s="9" t="str">
        <f t="shared" si="2"/>
        <v>4003</v>
      </c>
      <c r="V16" s="31">
        <f t="shared" si="3"/>
        <v>43041.287291666667</v>
      </c>
      <c r="W16" s="45" t="str">
        <f t="shared" si="4"/>
        <v>EC</v>
      </c>
      <c r="X16" s="22">
        <f t="shared" si="5"/>
        <v>240</v>
      </c>
      <c r="Y16" s="96" t="str">
        <f t="shared" si="6"/>
        <v>echo {"issue":{"subject":"Early Arrival","project_id":79,"tracker_id":40,"status_id":1,"priority_id":2,"assigned_to_id":338,"start_date":"2017-11-02","description":"","custom_fields":[{"id":1,"name":"Subdivision","value":"EC"},{"id":4,"name":"Milepost","value":"6.3309"},{"id":17,"name":"Train ID","value":"240-01"},{"id":16,"name":"Locomotive ID","value":"4003"},{"id":130,"name":"Impact","value":""},{"id":150,"name":"Time of Event (Mountain Time)","value":"00:53:42"},{"id":151,"name":"Denver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/c/Users/stu/AppData/Local/Temp/OnboardLogs/RTDC4003 --include="*4003*201711020*"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"%USERPROFILE%\AppData\Local\Temp\OnboardLogs"\RTDC4003\*4003*201711020* &gt;&gt; 2017-11-01-SliceDisagreementCheck.txt</v>
      </c>
      <c r="AE16" s="145" t="str">
        <f t="shared" si="9"/>
        <v>start /low /b %USERPROFILE%\Documents\GitHub\eaglep3\Utilities\DownloadLogsFromS3.py --loco 4003 --day 2017-11-02</v>
      </c>
      <c r="AF16" s="1"/>
    </row>
    <row r="17" spans="1:32" x14ac:dyDescent="0.25">
      <c r="A17" s="31">
        <v>43040.468043981484</v>
      </c>
      <c r="B17" s="30" t="s">
        <v>612</v>
      </c>
      <c r="C17" s="30" t="s">
        <v>631</v>
      </c>
      <c r="D17" s="30" t="s">
        <v>49</v>
      </c>
      <c r="E17" s="30" t="s">
        <v>185</v>
      </c>
      <c r="F17" s="42">
        <v>0</v>
      </c>
      <c r="G17" s="42">
        <v>358</v>
      </c>
      <c r="H17" s="42">
        <v>109388</v>
      </c>
      <c r="I17" s="42">
        <v>108987</v>
      </c>
      <c r="J17" s="30" t="s">
        <v>186</v>
      </c>
      <c r="K17" s="42">
        <v>109135</v>
      </c>
      <c r="L17" s="131" t="s">
        <v>51</v>
      </c>
      <c r="M17" s="132">
        <f t="shared" si="0"/>
        <v>-78.144000000000005</v>
      </c>
      <c r="N17" s="133" t="str">
        <f>VLOOKUP(C17,'Trips&amp;Operators'!$C$1:$G$99911,5,FALSE)</f>
        <v>STARKS ANGELINA</v>
      </c>
      <c r="O17" s="176" t="s">
        <v>178</v>
      </c>
      <c r="P17" s="134" t="s">
        <v>349</v>
      </c>
      <c r="Q17" s="30"/>
      <c r="R17" s="81" t="str">
        <f>VLOOKUP(C17,'Train Runs'!$A$13:$AE$10098,31,0)</f>
        <v>aws s3 cp s3://rtdc.mdm.uploadarchive.raw/RTDC4001/ "%USERPROFILE%\AppData\Local\Temp\OnboardLogs"\RTDC4001\2017-11-01 --exclude "*" --recursive --include "*20171101*" &amp; "%USERPROFILE%\Documents\GitHub\mrs-test-scripts\Headless Mode &amp; Sideloading\WalkAndUnGZ.bat" "%USERPROFILE%\AppData\Local\Temp\OnboardLogs"\RTDC4001\2017-11-01 &amp; aws s3 cp s3://rtdc.mdm.uploadarchive.raw/RTDC4001/ "%USERPROFILE%\AppData\Local\Temp\OnboardLogs"\RTDC4001\2017-11-02 --exclude "*" --recursive --include "*20171102*" &amp; "%USERPROFILE%\Documents\GitHub\mrs-test-scripts\Headless Mode &amp; Sideloading\WalkAndUnGZ.bat" "%USERPROFILE%\AppData\Local\Temp\OnboardLogs"\RTDC4001\2017-11-02</v>
      </c>
      <c r="S17" s="84" t="str">
        <f>VLOOKUP(C17,'Train Runs'!$A$13:$AE$10098,22,0)</f>
        <v>https://d0f6bd738d7f1b3e5a7ca70fe4ff75f0.us-east-1.aws.found.io/app/kibana#/discover/Steve-Slow-Train-Analysis-(2080s-and-2083s)?_g=(refreshInterval:(display:Off,pause:!f,section:0,value:0),time:(from:'2017-11-01T09:41:34-0600',mode:absolute,to:'2017-11-01T12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7" s="86" t="str">
        <f t="shared" si="1"/>
        <v>"C:\Program Files (x86)\AstroGrep\AstroGrep.exe" /e /r /s /spath="%USERPROFILE%\AppData\Local\Temp\OnboardLogs" /stypes="*4001*201711011*" /stext=" 17:.+((SYSTEM_STATE.+slice.+state.+changed )|(ment ac)|(multiple cpu faults)|(system.+state.+changed )|(\[timeout)|(PRM\|1\|D)|(kpr)|(kdp)|(train st.+moving)|(\|lc)|(penalty))"</v>
      </c>
      <c r="U17" s="9" t="str">
        <f t="shared" si="2"/>
        <v>4001</v>
      </c>
      <c r="V17" s="31">
        <f t="shared" si="3"/>
        <v>43040.718043981484</v>
      </c>
      <c r="W17" s="45" t="str">
        <f t="shared" si="4"/>
        <v>EC</v>
      </c>
      <c r="X17" s="22">
        <f t="shared" si="5"/>
        <v>152</v>
      </c>
      <c r="Y17" s="96" t="str">
        <f t="shared" si="6"/>
        <v>echo {"issue":{"subject":"Early Arrival","project_id":79,"tracker_id":40,"status_id":1,"priority_id":2,"assigned_to_id":338,"start_date":"2017-11-01","description":"","custom_fields":[{"id":1,"name":"Subdivision","value":"EC"},{"id":4,"name":"Milepost","value":"10.9135"},{"id":17,"name":"Train ID","value":"152-01"},{"id":16,"name":"Locomotive ID","value":"4001"},{"id":130,"name":"Impact","value":""},{"id":150,"name":"Time of Event (Mountain Time)","value":"11:13:59"},{"id":151,"name":"Denver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/c/Users/stu/AppData/Local/Temp/OnboardLogs/RTDC4001 --include="*4001*201711011*"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"%USERPROFILE%\AppData\Local\Temp\OnboardLogs"\RTDC4001\*4001*201711011* &gt;&gt; 2017-11-01-SliceDisagreementCheck.txt</v>
      </c>
      <c r="AE17" s="145" t="str">
        <f t="shared" si="9"/>
        <v>start /low /b %USERPROFILE%\Documents\GitHub\eaglep3\Utilities\DownloadLogsFromS3.py --loco 4001 --day 2017-11-01</v>
      </c>
      <c r="AF17" s="1"/>
    </row>
    <row r="18" spans="1:32" x14ac:dyDescent="0.25">
      <c r="A18" s="31">
        <v>43040.405798611115</v>
      </c>
      <c r="B18" s="30" t="s">
        <v>616</v>
      </c>
      <c r="C18" s="30" t="s">
        <v>623</v>
      </c>
      <c r="D18" s="30" t="s">
        <v>49</v>
      </c>
      <c r="E18" s="30" t="s">
        <v>185</v>
      </c>
      <c r="F18" s="42">
        <v>370</v>
      </c>
      <c r="G18" s="42">
        <v>420</v>
      </c>
      <c r="H18" s="42">
        <v>110134</v>
      </c>
      <c r="I18" s="42">
        <v>109010</v>
      </c>
      <c r="J18" s="30" t="s">
        <v>186</v>
      </c>
      <c r="K18" s="42">
        <v>109135</v>
      </c>
      <c r="L18" s="131" t="s">
        <v>51</v>
      </c>
      <c r="M18" s="132">
        <f t="shared" si="0"/>
        <v>-66</v>
      </c>
      <c r="N18" s="133" t="str">
        <f>VLOOKUP(C18,'Trips&amp;Operators'!$C$1:$G$99911,5,FALSE)</f>
        <v>BONDS REYNALDO</v>
      </c>
      <c r="O18" s="176" t="s">
        <v>178</v>
      </c>
      <c r="P18" s="134" t="s">
        <v>349</v>
      </c>
      <c r="Q18" s="30"/>
      <c r="R18" s="81" t="str">
        <f>VLOOKUP(C18,'Train Runs'!$A$13:$AE$10098,31,0)</f>
        <v>aws s3 cp s3://rtdc.mdm.uploadarchive.raw/RTDC4063/ "%USERPROFILE%\AppData\Local\Temp\OnboardLogs"\RTDC4063\2017-11-01 --exclude "*" --recursive --include "*20171101*" &amp; "%USERPROFILE%\Documents\GitHub\mrs-test-scripts\Headless Mode &amp; Sideloading\WalkAndUnGZ.bat" "%USERPROFILE%\AppData\Local\Temp\OnboardLogs"\RTDC4063\2017-11-01 &amp; aws s3 cp s3://rtdc.mdm.uploadarchive.raw/RTDC4063/ "%USERPROFILE%\AppData\Local\Temp\OnboardLogs"\RTDC4063\2017-11-02 --exclude "*" --recursive --include "*20171102*" &amp; "%USERPROFILE%\Documents\GitHub\mrs-test-scripts\Headless Mode &amp; Sideloading\WalkAndUnGZ.bat" "%USERPROFILE%\AppData\Local\Temp\OnboardLogs"\RTDC4063\2017-11-02</v>
      </c>
      <c r="S18" s="84" t="str">
        <f>VLOOKUP(C18,'Train Runs'!$A$13:$AE$10098,22,0)</f>
        <v>https://d0f6bd738d7f1b3e5a7ca70fe4ff75f0.us-east-1.aws.found.io/app/kibana#/discover/Steve-Slow-Train-Analysis-(2080s-and-2083s)?_g=(refreshInterval:(display:Off,pause:!f,section:0,value:0),time:(from:'2017-11-01T08:22:01-0600',mode:absolute,to:'2017-11-01T11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8" s="86" t="str">
        <f t="shared" si="1"/>
        <v>"C:\Program Files (x86)\AstroGrep\AstroGrep.exe" /e /r /s /spath="%USERPROFILE%\AppData\Local\Temp\OnboardLogs" /stypes="*4063*201711011*" /stext=" 15:.+((SYSTEM_STATE.+slice.+state.+changed )|(ment ac)|(multiple cpu faults)|(system.+state.+changed )|(\[timeout)|(PRM\|1\|D)|(kpr)|(kdp)|(train st.+moving)|(\|lc)|(penalty))"</v>
      </c>
      <c r="U18" s="9" t="str">
        <f t="shared" si="2"/>
        <v>4063</v>
      </c>
      <c r="V18" s="31">
        <f t="shared" si="3"/>
        <v>43040.655798611115</v>
      </c>
      <c r="W18" s="45" t="str">
        <f t="shared" si="4"/>
        <v>EC</v>
      </c>
      <c r="X18" s="22">
        <f t="shared" si="5"/>
        <v>140</v>
      </c>
      <c r="Y18" s="96" t="str">
        <f t="shared" si="6"/>
        <v>echo {"issue":{"subject":"Early Arrival","project_id":79,"tracker_id":40,"status_id":1,"priority_id":2,"assigned_to_id":338,"start_date":"2017-11-01","description":"","custom_fields":[{"id":1,"name":"Subdivision","value":"EC"},{"id":4,"name":"Milepost","value":"10.9135"},{"id":17,"name":"Train ID","value":"140-01"},{"id":16,"name":"Locomotive ID","value":"4063"},{"id":130,"name":"Impact","value":""},{"id":150,"name":"Time of Event (Mountain Time)","value":"09:44:21"},{"id":151,"name":"Denver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/c/Users/stu/AppData/Local/Temp/OnboardLogs/RTDC4063 --include="*4063*201711011*"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"%USERPROFILE%\AppData\Local\Temp\OnboardLogs"\RTDC4063\*4063*201711011* &gt;&gt; 2017-11-01-SliceDisagreementCheck.txt</v>
      </c>
      <c r="AE18" s="145" t="str">
        <f t="shared" si="9"/>
        <v>start /low /b %USERPROFILE%\Documents\GitHub\eaglep3\Utilities\DownloadLogsFromS3.py --loco 4063 --day 2017-11-01</v>
      </c>
      <c r="AF18" s="1"/>
    </row>
    <row r="19" spans="1:32" x14ac:dyDescent="0.25">
      <c r="A19" s="31">
        <v>43040.607291666667</v>
      </c>
      <c r="B19" s="30" t="s">
        <v>635</v>
      </c>
      <c r="C19" s="30" t="s">
        <v>636</v>
      </c>
      <c r="D19" s="30" t="s">
        <v>49</v>
      </c>
      <c r="E19" s="30" t="s">
        <v>192</v>
      </c>
      <c r="F19" s="42">
        <v>400</v>
      </c>
      <c r="G19" s="42">
        <v>450</v>
      </c>
      <c r="H19" s="42">
        <v>17469</v>
      </c>
      <c r="I19" s="42">
        <v>18131</v>
      </c>
      <c r="J19" s="30" t="s">
        <v>193</v>
      </c>
      <c r="K19" s="42">
        <v>17867</v>
      </c>
      <c r="L19" s="131" t="s">
        <v>50</v>
      </c>
      <c r="M19" s="132">
        <f t="shared" si="0"/>
        <v>-139.392</v>
      </c>
      <c r="N19" s="133" t="str">
        <f>VLOOKUP(C19,'Trips&amp;Operators'!$C$1:$G$99911,5,FALSE)</f>
        <v>HOLCOMB KAMDEN</v>
      </c>
      <c r="O19" s="176" t="s">
        <v>178</v>
      </c>
      <c r="P19" s="134"/>
      <c r="Q19" s="30"/>
      <c r="R19" s="81" t="str">
        <f>VLOOKUP(C19,'Train Runs'!$A$13:$AE$10098,31,0)</f>
        <v>aws s3 cp s3://rtdc.mdm.uploadarchive.raw/RTDC4042/ "%USERPROFILE%\AppData\Local\Temp\OnboardLogs"\RTDC4042\2017-11-01 --exclude "*" --recursive --include "*20171101*" &amp; "%USERPROFILE%\Documents\GitHub\mrs-test-scripts\Headless Mode &amp; Sideloading\WalkAndUnGZ.bat" "%USERPROFILE%\AppData\Local\Temp\OnboardLogs"\RTDC4042\2017-11-01 &amp; aws s3 cp s3://rtdc.mdm.uploadarchive.raw/RTDC4042/ "%USERPROFILE%\AppData\Local\Temp\OnboardLogs"\RTDC4042\2017-11-02 --exclude "*" --recursive --include "*20171102*" &amp; "%USERPROFILE%\Documents\GitHub\mrs-test-scripts\Headless Mode &amp; Sideloading\WalkAndUnGZ.bat" "%USERPROFILE%\AppData\Local\Temp\OnboardLogs"\RTDC4042\2017-11-02</v>
      </c>
      <c r="S19" s="84" t="str">
        <f>VLOOKUP(C19,'Train Runs'!$A$13:$AE$10098,22,0)</f>
        <v>https://d0f6bd738d7f1b3e5a7ca70fe4ff75f0.us-east-1.aws.found.io/app/kibana#/discover/Steve-Slow-Train-Analysis-(2080s-and-2083s)?_g=(refreshInterval:(display:Off,pause:!f,section:0,value:0),time:(from:'2017-11-01T13:24:57-0600',mode:absolute,to:'2017-11-01T16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9" s="86" t="str">
        <f t="shared" si="1"/>
        <v>"C:\Program Files (x86)\AstroGrep\AstroGrep.exe" /e /r /s /spath="%USERPROFILE%\AppData\Local\Temp\OnboardLogs" /stypes="*4042*201711012*" /stext=" 20:.+((SYSTEM_STATE.+slice.+state.+changed )|(ment ac)|(multiple cpu faults)|(system.+state.+changed )|(\[timeout)|(PRM\|1\|D)|(kpr)|(kdp)|(train st.+moving)|(\|lc)|(penalty))"</v>
      </c>
      <c r="U19" s="9" t="str">
        <f t="shared" si="2"/>
        <v>4042</v>
      </c>
      <c r="V19" s="31">
        <f t="shared" si="3"/>
        <v>43040.857291666667</v>
      </c>
      <c r="W19" s="45" t="str">
        <f t="shared" si="4"/>
        <v>EC</v>
      </c>
      <c r="X19" s="22">
        <f t="shared" si="5"/>
        <v>187</v>
      </c>
      <c r="Y19" s="96" t="str">
        <f t="shared" si="6"/>
        <v>echo {"issue":{"subject":"","project_id":79,"tracker_id":40,"status_id":1,"priority_id":2,"assigned_to_id":338,"start_date":"2017-11-01","description":"","custom_fields":[{"id":1,"name":"Subdivision","value":"EC"},{"id":4,"name":"Milepost","value":"1.7867"},{"id":17,"name":"Train ID","value":"187-01"},{"id":16,"name":"Locomotive ID","value":"4042"},{"id":130,"name":"Impact","value":""},{"id":150,"name":"Time of Event (Mountain Time)","value":"14:34:30"},{"id":151,"name":"Denver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/c/Users/stu/AppData/Local/Temp/OnboardLogs/RTDC4042 --include="*4042*201711012*"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"%USERPROFILE%\AppData\Local\Temp\OnboardLogs"\RTDC4042\*4042*201711012* &gt;&gt; 2017-11-01-SliceDisagreementCheck.txt</v>
      </c>
      <c r="AE19" s="145" t="str">
        <f t="shared" si="9"/>
        <v>start /low /b %USERPROFILE%\Documents\GitHub\eaglep3\Utilities\DownloadLogsFromS3.py --loco 4042 --day 2017-11-01</v>
      </c>
      <c r="AF19" s="1"/>
    </row>
    <row r="20" spans="1:32" x14ac:dyDescent="0.25">
      <c r="A20" s="31">
        <v>43040.438668981478</v>
      </c>
      <c r="B20" s="30" t="s">
        <v>619</v>
      </c>
      <c r="C20" s="30" t="s">
        <v>626</v>
      </c>
      <c r="D20" s="30" t="s">
        <v>95</v>
      </c>
      <c r="E20" s="30" t="s">
        <v>192</v>
      </c>
      <c r="F20" s="42">
        <v>400</v>
      </c>
      <c r="G20" s="42">
        <v>450</v>
      </c>
      <c r="H20" s="42">
        <v>17845</v>
      </c>
      <c r="I20" s="42">
        <v>17144</v>
      </c>
      <c r="J20" s="30" t="s">
        <v>193</v>
      </c>
      <c r="K20" s="42">
        <v>20309</v>
      </c>
      <c r="L20" s="131" t="s">
        <v>51</v>
      </c>
      <c r="M20" s="132">
        <f t="shared" si="0"/>
        <v>-1671.12</v>
      </c>
      <c r="N20" s="133" t="str">
        <f>VLOOKUP(C20,'Trips&amp;Operators'!$C$1:$G$99911,5,FALSE)</f>
        <v>THOMPSON LESTER</v>
      </c>
      <c r="O20" s="176" t="s">
        <v>178</v>
      </c>
      <c r="P20" s="134"/>
      <c r="Q20" s="30"/>
      <c r="R20" s="81" t="str">
        <f>VLOOKUP(C20,'Train Runs'!$A$13:$AE$10098,31,0)</f>
        <v>aws s3 cp s3://rtdc.mdm.uploadarchive.raw/RTDC4013/ "%USERPROFILE%\AppData\Local\Temp\OnboardLogs"\RTDC4013\2017-11-01 --exclude "*" --recursive --include "*20171101*" &amp; "%USERPROFILE%\Documents\GitHub\mrs-test-scripts\Headless Mode &amp; Sideloading\WalkAndUnGZ.bat" "%USERPROFILE%\AppData\Local\Temp\OnboardLogs"\RTDC4013\2017-11-01 &amp; aws s3 cp s3://rtdc.mdm.uploadarchive.raw/RTDC4013/ "%USERPROFILE%\AppData\Local\Temp\OnboardLogs"\RTDC4013\2017-11-02 --exclude "*" --recursive --include "*20171102*" &amp; "%USERPROFILE%\Documents\GitHub\mrs-test-scripts\Headless Mode &amp; Sideloading\WalkAndUnGZ.bat" "%USERPROFILE%\AppData\Local\Temp\OnboardLogs"\RTDC4013\2017-11-02</v>
      </c>
      <c r="S20" s="84" t="str">
        <f>VLOOKUP(C20,'Train Runs'!$A$13:$AE$10098,22,0)</f>
        <v>https://d0f6bd738d7f1b3e5a7ca70fe4ff75f0.us-east-1.aws.found.io/app/kibana#/discover/Steve-Slow-Train-Analysis-(2080s-and-2083s)?_g=(refreshInterval:(display:Off,pause:!f,section:0,value:0),time:(from:'2017-11-01T08:53:04-0600',mode:absolute,to:'2017-11-01T11:37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0" s="86" t="str">
        <f t="shared" si="1"/>
        <v>"C:\Program Files (x86)\AstroGrep\AstroGrep.exe" /e /r /s /spath="%USERPROFILE%\AppData\Local\Temp\OnboardLogs" /stypes="*4013*201711011*" /stext=" 16:.+((SYSTEM_STATE.+slice.+state.+changed )|(ment ac)|(multiple cpu faults)|(system.+state.+changed )|(\[timeout)|(PRM\|1\|D)|(kpr)|(kdp)|(train st.+moving)|(\|lc)|(penalty))"</v>
      </c>
      <c r="U20" s="9" t="str">
        <f t="shared" si="2"/>
        <v>4013</v>
      </c>
      <c r="V20" s="31">
        <f t="shared" si="3"/>
        <v>43040.688668981478</v>
      </c>
      <c r="W20" s="45" t="str">
        <f t="shared" si="4"/>
        <v>EC</v>
      </c>
      <c r="X20" s="22">
        <f t="shared" si="5"/>
        <v>144</v>
      </c>
      <c r="Y20" s="96" t="str">
        <f t="shared" si="6"/>
        <v>echo {"issue":{"subject":"","project_id":79,"tracker_id":40,"status_id":1,"priority_id":2,"assigned_to_id":338,"start_date":"2017-11-01","description":"","custom_fields":[{"id":1,"name":"Subdivision","value":"EC"},{"id":4,"name":"Milepost","value":"2.0309"},{"id":17,"name":"Train ID","value":"144-01"},{"id":16,"name":"Locomotive ID","value":"4013"},{"id":130,"name":"Impact","value":""},{"id":150,"name":"Time of Event (Mountain Time)","value":"10:31:41"},{"id":151,"name":"Denver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/c/Users/stu/AppData/Local/Temp/OnboardLogs/RTDC4013 --include="*4013*201711011*"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"%USERPROFILE%\AppData\Local\Temp\OnboardLogs"\RTDC4013\*4013*201711011* &gt;&gt; 2017-11-01-SliceDisagreementCheck.txt</v>
      </c>
      <c r="AE20" s="145" t="str">
        <f t="shared" si="9"/>
        <v>start /low /b %USERPROFILE%\Documents\GitHub\eaglep3\Utilities\DownloadLogsFromS3.py --loco 4013 --day 2017-11-01</v>
      </c>
      <c r="AF20" s="1"/>
    </row>
    <row r="21" spans="1:32" x14ac:dyDescent="0.25">
      <c r="A21" s="31">
        <v>43040.666319444441</v>
      </c>
      <c r="B21" s="30" t="s">
        <v>640</v>
      </c>
      <c r="C21" s="30" t="s">
        <v>641</v>
      </c>
      <c r="D21" s="30" t="s">
        <v>95</v>
      </c>
      <c r="E21" s="30" t="s">
        <v>192</v>
      </c>
      <c r="F21" s="42">
        <v>700</v>
      </c>
      <c r="G21" s="42">
        <v>750</v>
      </c>
      <c r="H21" s="42">
        <v>180029</v>
      </c>
      <c r="I21" s="42">
        <v>183629</v>
      </c>
      <c r="J21" s="30" t="s">
        <v>193</v>
      </c>
      <c r="K21" s="42">
        <v>161962</v>
      </c>
      <c r="L21" s="131" t="s">
        <v>50</v>
      </c>
      <c r="M21" s="132">
        <f t="shared" si="0"/>
        <v>-11440.175999999999</v>
      </c>
      <c r="N21" s="133" t="str">
        <f>VLOOKUP(C21,'Trips&amp;Operators'!$C$1:$G$99911,5,FALSE)</f>
        <v>LEVIN SCOTT</v>
      </c>
      <c r="O21" s="176" t="s">
        <v>178</v>
      </c>
      <c r="P21" s="134"/>
      <c r="Q21" s="30"/>
      <c r="R21" s="81" t="str">
        <f>VLOOKUP(C21,'Train Runs'!$A$13:$AE$10098,31,0)</f>
        <v>aws s3 cp s3://rtdc.mdm.uploadarchive.raw/RTDC4064/ "%USERPROFILE%\AppData\Local\Temp\OnboardLogs"\RTDC4064\2017-11-01 --exclude "*" --recursive --include "*20171101*" &amp; "%USERPROFILE%\Documents\GitHub\mrs-test-scripts\Headless Mode &amp; Sideloading\WalkAndUnGZ.bat" "%USERPROFILE%\AppData\Local\Temp\OnboardLogs"\RTDC4064\2017-11-01 &amp; aws s3 cp s3://rtdc.mdm.uploadarchive.raw/RTDC4064/ "%USERPROFILE%\AppData\Local\Temp\OnboardLogs"\RTDC4064\2017-11-02 --exclude "*" --recursive --include "*20171102*" &amp; "%USERPROFILE%\Documents\GitHub\mrs-test-scripts\Headless Mode &amp; Sideloading\WalkAndUnGZ.bat" "%USERPROFILE%\AppData\Local\Temp\OnboardLogs"\RTDC4064\2017-11-02</v>
      </c>
      <c r="S21" s="84" t="str">
        <f>VLOOKUP(C21,'Train Runs'!$A$13:$AE$10098,22,0)</f>
        <v>https://d0f6bd738d7f1b3e5a7ca70fe4ff75f0.us-east-1.aws.found.io/app/kibana#/discover/Steve-Slow-Train-Analysis-(2080s-and-2083s)?_g=(refreshInterval:(display:Off,pause:!f,section:0,value:0),time:(from:'2017-11-01T14:28:04-0600',mode:absolute,to:'2017-11-01T17:07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21" s="86" t="str">
        <f t="shared" si="1"/>
        <v>"C:\Program Files (x86)\AstroGrep\AstroGrep.exe" /e /r /s /spath="%USERPROFILE%\AppData\Local\Temp\OnboardLogs" /stypes="*4064*201711012*" /stext=" 21:.+((SYSTEM_STATE.+slice.+state.+changed )|(ment ac)|(multiple cpu faults)|(system.+state.+changed )|(\[timeout)|(PRM\|1\|D)|(kpr)|(kdp)|(train st.+moving)|(\|lc)|(penalty))"</v>
      </c>
      <c r="U21" s="9" t="str">
        <f t="shared" si="2"/>
        <v>4064</v>
      </c>
      <c r="V21" s="31">
        <f t="shared" si="3"/>
        <v>43040.916319444441</v>
      </c>
      <c r="W21" s="45" t="str">
        <f t="shared" si="4"/>
        <v>EC</v>
      </c>
      <c r="X21" s="22">
        <f t="shared" si="5"/>
        <v>195</v>
      </c>
      <c r="Y21" s="96" t="str">
        <f t="shared" si="6"/>
        <v>echo {"issue":{"subject":"","project_id":79,"tracker_id":40,"status_id":1,"priority_id":2,"assigned_to_id":338,"start_date":"2017-11-01","description":"","custom_fields":[{"id":1,"name":"Subdivision","value":"EC"},{"id":4,"name":"Milepost","value":"16.1962"},{"id":17,"name":"Train ID","value":"195-01"},{"id":16,"name":"Locomotive ID","value":"4064"},{"id":130,"name":"Impact","value":""},{"id":150,"name":"Time of Event (Mountain Time)","value":"15:59:30"},{"id":151,"name":"Denver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/c/Users/stu/AppData/Local/Temp/OnboardLogs/RTDC4064 --include="*4064*201711012*"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"%USERPROFILE%\AppData\Local\Temp\OnboardLogs"\RTDC4064\*4064*201711012* &gt;&gt; 2017-11-01-SliceDisagreementCheck.txt</v>
      </c>
      <c r="AE21" s="145" t="str">
        <f t="shared" si="9"/>
        <v>start /low /b %USERPROFILE%\Documents\GitHub\eaglep3\Utilities\DownloadLogsFromS3.py --loco 4064 --day 2017-11-01</v>
      </c>
      <c r="AF21" s="1"/>
    </row>
    <row r="22" spans="1:32" x14ac:dyDescent="0.25">
      <c r="A22" s="31">
        <v>43040.722731481481</v>
      </c>
      <c r="B22" s="30" t="s">
        <v>621</v>
      </c>
      <c r="C22" s="30" t="s">
        <v>644</v>
      </c>
      <c r="D22" s="30" t="s">
        <v>95</v>
      </c>
      <c r="E22" s="30" t="s">
        <v>192</v>
      </c>
      <c r="F22" s="42">
        <v>600</v>
      </c>
      <c r="G22" s="42">
        <v>650</v>
      </c>
      <c r="H22" s="42">
        <v>184480</v>
      </c>
      <c r="I22" s="42">
        <v>181579</v>
      </c>
      <c r="J22" s="30" t="s">
        <v>193</v>
      </c>
      <c r="K22" s="42">
        <v>190834</v>
      </c>
      <c r="L22" s="131" t="s">
        <v>51</v>
      </c>
      <c r="M22" s="132">
        <f t="shared" si="0"/>
        <v>-4886.6400000000003</v>
      </c>
      <c r="N22" s="133" t="str">
        <f>VLOOKUP(C22,'Trips&amp;Operators'!$C$1:$G$99911,5,FALSE)</f>
        <v>HOLCOMB KAMDEN</v>
      </c>
      <c r="O22" s="176" t="s">
        <v>178</v>
      </c>
      <c r="P22" s="134"/>
      <c r="Q22" s="30"/>
      <c r="R22" s="81" t="str">
        <f>VLOOKUP(C22,'Train Runs'!$A$13:$AE$10098,31,0)</f>
        <v>aws s3 cp s3://rtdc.mdm.uploadarchive.raw/RTDC4041/ "%USERPROFILE%\AppData\Local\Temp\OnboardLogs"\RTDC4041\2017-11-01 --exclude "*" --recursive --include "*20171101*" &amp; "%USERPROFILE%\Documents\GitHub\mrs-test-scripts\Headless Mode &amp; Sideloading\WalkAndUnGZ.bat" "%USERPROFILE%\AppData\Local\Temp\OnboardLogs"\RTDC4041\2017-11-01 &amp; aws s3 cp s3://rtdc.mdm.uploadarchive.raw/RTDC4041/ "%USERPROFILE%\AppData\Local\Temp\OnboardLogs"\RTDC4041\2017-11-02 --exclude "*" --recursive --include "*20171102*" &amp; "%USERPROFILE%\Documents\GitHub\mrs-test-scripts\Headless Mode &amp; Sideloading\WalkAndUnGZ.bat" "%USERPROFILE%\AppData\Local\Temp\OnboardLogs"\RTDC4041\2017-11-02</v>
      </c>
      <c r="S22" s="84" t="str">
        <f>VLOOKUP(C22,'Train Runs'!$A$13:$AE$10098,22,0)</f>
        <v>https://d0f6bd738d7f1b3e5a7ca70fe4ff75f0.us-east-1.aws.found.io/app/kibana#/discover/Steve-Slow-Train-Analysis-(2080s-and-2083s)?_g=(refreshInterval:(display:Off,pause:!f,section:0,value:0),time:(from:'2017-11-01T16:09:01-0600',mode:absolute,to:'2017-11-01T18:53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2" s="86" t="str">
        <f t="shared" si="1"/>
        <v>"C:\Program Files (x86)\AstroGrep\AstroGrep.exe" /e /r /s /spath="%USERPROFILE%\AppData\Local\Temp\OnboardLogs" /stypes="*4041*201711012*" /stext=" 23:.+((SYSTEM_STATE.+slice.+state.+changed )|(ment ac)|(multiple cpu faults)|(system.+state.+changed )|(\[timeout)|(PRM\|1\|D)|(kpr)|(kdp)|(train st.+moving)|(\|lc)|(penalty))"</v>
      </c>
      <c r="U22" s="9" t="str">
        <f t="shared" si="2"/>
        <v>4041</v>
      </c>
      <c r="V22" s="31">
        <f t="shared" si="3"/>
        <v>43040.972731481481</v>
      </c>
      <c r="W22" s="45" t="str">
        <f t="shared" si="4"/>
        <v>EC</v>
      </c>
      <c r="X22" s="22">
        <f t="shared" si="5"/>
        <v>202</v>
      </c>
      <c r="Y22" s="96" t="str">
        <f t="shared" si="6"/>
        <v>echo {"issue":{"subject":"","project_id":79,"tracker_id":40,"status_id":1,"priority_id":2,"assigned_to_id":338,"start_date":"2017-11-01","description":"","custom_fields":[{"id":1,"name":"Subdivision","value":"EC"},{"id":4,"name":"Milepost","value":"19.0834"},{"id":17,"name":"Train ID","value":"202-01"},{"id":16,"name":"Locomotive ID","value":"4041"},{"id":130,"name":"Impact","value":""},{"id":150,"name":"Time of Event (Mountain Time)","value":"17:20:44"},{"id":151,"name":"Denver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/c/Users/stu/AppData/Local/Temp/OnboardLogs/RTDC4041 --include="*4041*201711012*"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"%USERPROFILE%\AppData\Local\Temp\OnboardLogs"\RTDC4041\*4041*201711012* &gt;&gt; 2017-11-01-SliceDisagreementCheck.txt</v>
      </c>
      <c r="AE22" s="145" t="str">
        <f t="shared" si="9"/>
        <v>start /low /b %USERPROFILE%\Documents\GitHub\eaglep3\Utilities\DownloadLogsFromS3.py --loco 4041 --day 2017-11-01</v>
      </c>
      <c r="AF22" s="1"/>
    </row>
    <row r="23" spans="1:32" x14ac:dyDescent="0.25">
      <c r="A23" s="31">
        <v>43040.253344907411</v>
      </c>
      <c r="B23" s="30" t="s">
        <v>610</v>
      </c>
      <c r="C23" s="30" t="s">
        <v>611</v>
      </c>
      <c r="D23" s="30" t="s">
        <v>49</v>
      </c>
      <c r="E23" s="30" t="s">
        <v>192</v>
      </c>
      <c r="F23" s="42">
        <v>550</v>
      </c>
      <c r="G23" s="42">
        <v>776</v>
      </c>
      <c r="H23" s="42">
        <v>217979</v>
      </c>
      <c r="I23" s="42">
        <v>221743</v>
      </c>
      <c r="J23" s="30" t="s">
        <v>193</v>
      </c>
      <c r="K23" s="42">
        <v>222091</v>
      </c>
      <c r="L23" s="131" t="s">
        <v>50</v>
      </c>
      <c r="M23" s="132">
        <f t="shared" si="0"/>
        <v>183.744</v>
      </c>
      <c r="N23" s="133" t="str">
        <f>VLOOKUP(C23,'Trips&amp;Operators'!$C$1:$G$99911,5,FALSE)</f>
        <v>THOMPSON LESTER</v>
      </c>
      <c r="O23" s="176" t="s">
        <v>178</v>
      </c>
      <c r="P23" s="134"/>
      <c r="Q23" s="30"/>
      <c r="R23" s="81" t="str">
        <f>VLOOKUP(C23,'Train Runs'!$A$13:$AE$10098,31,0)</f>
        <v>aws s3 cp s3://rtdc.mdm.uploadarchive.raw/RTDC4014/ "%USERPROFILE%\AppData\Local\Temp\OnboardLogs"\RTDC4014\2017-11-01 --exclude "*" --recursive --include "*20171101*" &amp; "%USERPROFILE%\Documents\GitHub\mrs-test-scripts\Headless Mode &amp; Sideloading\WalkAndUnGZ.bat" "%USERPROFILE%\AppData\Local\Temp\OnboardLogs"\RTDC4014\2017-11-01 &amp; aws s3 cp s3://rtdc.mdm.uploadarchive.raw/RTDC4014/ "%USERPROFILE%\AppData\Local\Temp\OnboardLogs"\RTDC4014\2017-11-02 --exclude "*" --recursive --include "*20171102*" &amp; "%USERPROFILE%\Documents\GitHub\mrs-test-scripts\Headless Mode &amp; Sideloading\WalkAndUnGZ.bat" "%USERPROFILE%\AppData\Local\Temp\OnboardLogs"\RTDC4014\2017-11-02</v>
      </c>
      <c r="S23" s="84" t="str">
        <f>VLOOKUP(C23,'Train Runs'!$A$13:$AE$10098,22,0)</f>
        <v>https://d0f6bd738d7f1b3e5a7ca70fe4ff75f0.us-east-1.aws.found.io/app/kibana#/discover/Steve-Slow-Train-Analysis-(2080s-and-2083s)?_g=(refreshInterval:(display:Off,pause:!f,section:0,value:0),time:(from:'2017-11-01T04:27:11-0600',mode:absolute,to:'2017-11-01T07:08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23" s="86" t="str">
        <f t="shared" si="1"/>
        <v>"C:\Program Files (x86)\AstroGrep\AstroGrep.exe" /e /r /s /spath="%USERPROFILE%\AppData\Local\Temp\OnboardLogs" /stypes="*4014*201711011*" /stext=" 12:.+((SYSTEM_STATE.+slice.+state.+changed )|(ment ac)|(multiple cpu faults)|(system.+state.+changed )|(\[timeout)|(PRM\|1\|D)|(kpr)|(kdp)|(train st.+moving)|(\|lc)|(penalty))"</v>
      </c>
      <c r="U23" s="9" t="str">
        <f t="shared" si="2"/>
        <v>4014</v>
      </c>
      <c r="V23" s="31">
        <f t="shared" si="3"/>
        <v>43040.503344907411</v>
      </c>
      <c r="W23" s="45" t="str">
        <f t="shared" si="4"/>
        <v>EC</v>
      </c>
      <c r="X23" s="22">
        <f t="shared" si="5"/>
        <v>115</v>
      </c>
      <c r="Y23" s="96" t="str">
        <f t="shared" si="6"/>
        <v>echo {"issue":{"subject":"","project_id":79,"tracker_id":40,"status_id":1,"priority_id":2,"assigned_to_id":338,"start_date":"2017-11-01","description":"","custom_fields":[{"id":1,"name":"Subdivision","value":"EC"},{"id":4,"name":"Milepost","value":"22.2091"},{"id":17,"name":"Train ID","value":"115-01"},{"id":16,"name":"Locomotive ID","value":"4014"},{"id":130,"name":"Impact","value":""},{"id":150,"name":"Time of Event (Mountain Time)","value":"06:04:49"},{"id":151,"name":"Denver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/c/Users/stu/AppData/Local/Temp/OnboardLogs/RTDC4014 --include="*4014*201711011*"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"%USERPROFILE%\AppData\Local\Temp\OnboardLogs"\RTDC4014\*4014*201711011* &gt;&gt; 2017-11-01-SliceDisagreementCheck.txt</v>
      </c>
      <c r="AE23" s="145" t="str">
        <f t="shared" si="9"/>
        <v>start /low /b %USERPROFILE%\Documents\GitHub\eaglep3\Utilities\DownloadLogsFromS3.py --loco 4014 --day 2017-11-01</v>
      </c>
      <c r="AF23" s="1"/>
    </row>
    <row r="24" spans="1:32" x14ac:dyDescent="0.25">
      <c r="A24" s="31">
        <v>43040.693310185183</v>
      </c>
      <c r="B24" s="30" t="s">
        <v>378</v>
      </c>
      <c r="C24" s="30" t="s">
        <v>643</v>
      </c>
      <c r="D24" s="30" t="s">
        <v>49</v>
      </c>
      <c r="E24" s="30" t="s">
        <v>362</v>
      </c>
      <c r="F24" s="42">
        <v>0</v>
      </c>
      <c r="G24" s="42">
        <v>38</v>
      </c>
      <c r="H24" s="42">
        <v>2690</v>
      </c>
      <c r="I24" s="42">
        <v>2705</v>
      </c>
      <c r="J24" s="30" t="s">
        <v>363</v>
      </c>
      <c r="K24" s="42">
        <v>2789</v>
      </c>
      <c r="L24" s="131" t="s">
        <v>50</v>
      </c>
      <c r="M24" s="132">
        <f t="shared" si="0"/>
        <v>44.351999999999997</v>
      </c>
      <c r="N24" s="133" t="str">
        <f>VLOOKUP(C24,'Trips&amp;Operators'!$C$1:$G$99911,5,FALSE)</f>
        <v>BRUDER RICHARD</v>
      </c>
      <c r="O24" s="176" t="s">
        <v>356</v>
      </c>
      <c r="P24" s="134" t="s">
        <v>364</v>
      </c>
      <c r="Q24" s="30"/>
      <c r="R24" s="81" t="str">
        <f>VLOOKUP(C24,'Train Runs'!$A$13:$AE$10098,31,0)</f>
        <v>aws s3 cp s3://rtdc.mdm.uploadarchive.raw/RTDC4050/ "%USERPROFILE%\AppData\Local\Temp\OnboardLogs"\RTDC4050\2017-11-01 --exclude "*" --recursive --include "*20171101*" &amp; "%USERPROFILE%\Documents\GitHub\mrs-test-scripts\Headless Mode &amp; Sideloading\WalkAndUnGZ.bat" "%USERPROFILE%\AppData\Local\Temp\OnboardLogs"\RTDC4050\2017-11-01 &amp; aws s3 cp s3://rtdc.mdm.uploadarchive.raw/RTDC4050/ "%USERPROFILE%\AppData\Local\Temp\OnboardLogs"\RTDC4050\2017-11-02 --exclude "*" --recursive --include "*20171102*" &amp; "%USERPROFILE%\Documents\GitHub\mrs-test-scripts\Headless Mode &amp; Sideloading\WalkAndUnGZ.bat" "%USERPROFILE%\AppData\Local\Temp\OnboardLogs"\RTDC4050\2017-11-02</v>
      </c>
      <c r="S24" s="84" t="str">
        <f>VLOOKUP(C24,'Train Runs'!$A$13:$AE$10098,22,0)</f>
        <v>https://d0f6bd738d7f1b3e5a7ca70fe4ff75f0.us-east-1.aws.found.io/app/kibana#/discover/Steve-Slow-Train-Analysis-(2080s-and-2083s)?_g=(refreshInterval:(display:Off,pause:!f,section:0,value:0),time:(from:'2017-11-01T15:42:45-0600',mode:absolute,to:'2017-11-01T18:17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4" s="86" t="str">
        <f t="shared" si="1"/>
        <v>"C:\Program Files (x86)\AstroGrep\AstroGrep.exe" /e /r /s /spath="%USERPROFILE%\AppData\Local\Temp\OnboardLogs" /stypes="*4050*201711012*" /stext=" 22:.+((SYSTEM_STATE.+slice.+state.+changed )|(ment ac)|(multiple cpu faults)|(system.+state.+changed )|(\[timeout)|(PRM\|1\|D)|(kpr)|(kdp)|(train st.+moving)|(\|lc)|(penalty))"</v>
      </c>
      <c r="U24" s="9" t="str">
        <f t="shared" si="2"/>
        <v>4050</v>
      </c>
      <c r="V24" s="31">
        <f t="shared" si="3"/>
        <v>43040.943310185183</v>
      </c>
      <c r="W24" s="45" t="str">
        <f t="shared" si="4"/>
        <v>EC</v>
      </c>
      <c r="X24" s="22">
        <f t="shared" si="5"/>
        <v>203</v>
      </c>
      <c r="Y24" s="96" t="str">
        <f t="shared" si="6"/>
        <v>echo {"issue":{"subject":"Wi-MAX data drop","project_id":79,"tracker_id":40,"status_id":1,"priority_id":2,"assigned_to_id":338,"start_date":"2017-11-01","description":"","custom_fields":[{"id":1,"name":"Subdivision","value":"EC"},{"id":4,"name":"Milepost","value":"0.2789"},{"id":17,"name":"Train ID","value":"203-01"},{"id":16,"name":"Locomotive ID","value":"4050"},{"id":130,"name":"Impact","value":""},{"id":150,"name":"Time of Event (Mountain Time)","value":"16:38:22"},{"id":151,"name":"Denver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/c/Users/stu/AppData/Local/Temp/OnboardLogs/RTDC4050 --include="*4050*201711012*"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"%USERPROFILE%\AppData\Local\Temp\OnboardLogs"\RTDC4050\*4050*201711012* &gt;&gt; 2017-11-01-SliceDisagreementCheck.txt</v>
      </c>
      <c r="AE24" s="145" t="str">
        <f t="shared" si="9"/>
        <v>start /low /b %USERPROFILE%\Documents\GitHub\eaglep3\Utilities\DownloadLogsFromS3.py --loco 4050 --day 2017-11-01</v>
      </c>
      <c r="AF24" s="1"/>
    </row>
    <row r="25" spans="1:32" x14ac:dyDescent="0.25">
      <c r="A25" s="31">
        <v>43040.539780092593</v>
      </c>
      <c r="B25" s="30" t="s">
        <v>400</v>
      </c>
      <c r="C25" s="30" t="s">
        <v>632</v>
      </c>
      <c r="D25" s="30" t="s">
        <v>49</v>
      </c>
      <c r="E25" s="30" t="s">
        <v>362</v>
      </c>
      <c r="F25" s="42">
        <v>0</v>
      </c>
      <c r="G25" s="42">
        <v>804</v>
      </c>
      <c r="H25" s="42">
        <v>146033</v>
      </c>
      <c r="I25" s="42">
        <v>150288</v>
      </c>
      <c r="J25" s="30" t="s">
        <v>363</v>
      </c>
      <c r="K25" s="42">
        <v>149694</v>
      </c>
      <c r="L25" s="131" t="s">
        <v>50</v>
      </c>
      <c r="M25" s="132">
        <f t="shared" si="0"/>
        <v>-313.63200000000001</v>
      </c>
      <c r="N25" s="133" t="str">
        <f>VLOOKUP(C25,'Trips&amp;Operators'!$C$1:$G$99911,5,FALSE)</f>
        <v>NEWELL JAMES</v>
      </c>
      <c r="O25" s="176" t="s">
        <v>356</v>
      </c>
      <c r="P25" s="134" t="s">
        <v>364</v>
      </c>
      <c r="Q25" s="30"/>
      <c r="R25" s="81" t="str">
        <f>VLOOKUP(C25,'Train Runs'!$A$13:$AE$10098,31,0)</f>
        <v>aws s3 cp s3://rtdc.mdm.uploadarchive.raw/RTDC4004/ "%USERPROFILE%\AppData\Local\Temp\OnboardLogs"\RTDC4004\2017-11-01 --exclude "*" --recursive --include "*20171101*" &amp; "%USERPROFILE%\Documents\GitHub\mrs-test-scripts\Headless Mode &amp; Sideloading\WalkAndUnGZ.bat" "%USERPROFILE%\AppData\Local\Temp\OnboardLogs"\RTDC4004\2017-11-01 &amp; aws s3 cp s3://rtdc.mdm.uploadarchive.raw/RTDC4004/ "%USERPROFILE%\AppData\Local\Temp\OnboardLogs"\RTDC4004\2017-11-02 --exclude "*" --recursive --include "*20171102*" &amp; "%USERPROFILE%\Documents\GitHub\mrs-test-scripts\Headless Mode &amp; Sideloading\WalkAndUnGZ.bat" "%USERPROFILE%\AppData\Local\Temp\OnboardLogs"\RTDC4004\2017-11-02</v>
      </c>
      <c r="S25" s="84" t="str">
        <f>VLOOKUP(C25,'Train Runs'!$A$13:$AE$10098,22,0)</f>
        <v>https://d0f6bd738d7f1b3e5a7ca70fe4ff75f0.us-east-1.aws.found.io/app/kibana#/discover/Steve-Slow-Train-Analysis-(2080s-and-2083s)?_g=(refreshInterval:(display:Off,pause:!f,section:0,value:0),time:(from:'2017-11-01T12:05:36-0600',mode:absolute,to:'2017-11-01T13:57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5" s="86" t="str">
        <f t="shared" si="1"/>
        <v>"C:\Program Files (x86)\AstroGrep\AstroGrep.exe" /e /r /s /spath="%USERPROFILE%\AppData\Local\Temp\OnboardLogs" /stypes="*4004*201711011*" /stext=" 18:.+((SYSTEM_STATE.+slice.+state.+changed )|(ment ac)|(multiple cpu faults)|(system.+state.+changed )|(\[timeout)|(PRM\|1\|D)|(kpr)|(kdp)|(train st.+moving)|(\|lc)|(penalty))"</v>
      </c>
      <c r="U25" s="9" t="str">
        <f t="shared" si="2"/>
        <v>4004</v>
      </c>
      <c r="V25" s="31">
        <f t="shared" si="3"/>
        <v>43040.789780092593</v>
      </c>
      <c r="W25" s="45" t="str">
        <f t="shared" si="4"/>
        <v>EC</v>
      </c>
      <c r="X25" s="22">
        <f t="shared" si="5"/>
        <v>171</v>
      </c>
      <c r="Y25" s="96" t="str">
        <f t="shared" si="6"/>
        <v>echo {"issue":{"subject":"Wi-MAX data drop","project_id":79,"tracker_id":40,"status_id":1,"priority_id":2,"assigned_to_id":338,"start_date":"2017-11-01","description":"","custom_fields":[{"id":1,"name":"Subdivision","value":"EC"},{"id":4,"name":"Milepost","value":"14.9694"},{"id":17,"name":"Train ID","value":"171-01"},{"id":16,"name":"Locomotive ID","value":"4004"},{"id":130,"name":"Impact","value":""},{"id":150,"name":"Time of Event (Mountain Time)","value":"12:57:17"},{"id":151,"name":"Denver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/c/Users/stu/AppData/Local/Temp/OnboardLogs/RTDC4004 --include="*4004*201711011*"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"%USERPROFILE%\AppData\Local\Temp\OnboardLogs"\RTDC4004\*4004*201711011* &gt;&gt; 2017-11-01-SliceDisagreementCheck.txt</v>
      </c>
      <c r="AE25" s="145" t="str">
        <f t="shared" si="9"/>
        <v>start /low /b %USERPROFILE%\Documents\GitHub\eaglep3\Utilities\DownloadLogsFromS3.py --loco 4004 --day 2017-11-01</v>
      </c>
      <c r="AF25" s="1"/>
    </row>
    <row r="26" spans="1:32" x14ac:dyDescent="0.25">
      <c r="A26" s="31">
        <v>43040.692777777775</v>
      </c>
      <c r="B26" s="30" t="s">
        <v>378</v>
      </c>
      <c r="C26" s="30" t="s">
        <v>643</v>
      </c>
      <c r="D26" s="30" t="s">
        <v>95</v>
      </c>
      <c r="E26" s="30" t="s">
        <v>465</v>
      </c>
      <c r="F26" s="42">
        <v>0</v>
      </c>
      <c r="G26" s="42">
        <v>152</v>
      </c>
      <c r="H26" s="42">
        <v>2255</v>
      </c>
      <c r="I26" s="42">
        <v>0</v>
      </c>
      <c r="J26" s="30" t="s">
        <v>459</v>
      </c>
      <c r="K26" s="42">
        <v>1692</v>
      </c>
      <c r="L26" s="131" t="s">
        <v>50</v>
      </c>
      <c r="M26" s="132">
        <f t="shared" si="0"/>
        <v>893.37599999999998</v>
      </c>
      <c r="N26" s="133" t="str">
        <f>VLOOKUP(C26,'Trips&amp;Operators'!$C$1:$G$99911,5,FALSE)</f>
        <v>BRUDER RICHARD</v>
      </c>
      <c r="O26" s="176" t="s">
        <v>356</v>
      </c>
      <c r="P26" s="134" t="s">
        <v>364</v>
      </c>
      <c r="Q26" s="30"/>
      <c r="R26" s="81" t="str">
        <f>VLOOKUP(C26,'Train Runs'!$A$13:$AE$10098,31,0)</f>
        <v>aws s3 cp s3://rtdc.mdm.uploadarchive.raw/RTDC4050/ "%USERPROFILE%\AppData\Local\Temp\OnboardLogs"\RTDC4050\2017-11-01 --exclude "*" --recursive --include "*20171101*" &amp; "%USERPROFILE%\Documents\GitHub\mrs-test-scripts\Headless Mode &amp; Sideloading\WalkAndUnGZ.bat" "%USERPROFILE%\AppData\Local\Temp\OnboardLogs"\RTDC4050\2017-11-01 &amp; aws s3 cp s3://rtdc.mdm.uploadarchive.raw/RTDC4050/ "%USERPROFILE%\AppData\Local\Temp\OnboardLogs"\RTDC4050\2017-11-02 --exclude "*" --recursive --include "*20171102*" &amp; "%USERPROFILE%\Documents\GitHub\mrs-test-scripts\Headless Mode &amp; Sideloading\WalkAndUnGZ.bat" "%USERPROFILE%\AppData\Local\Temp\OnboardLogs"\RTDC4050\2017-11-02</v>
      </c>
      <c r="S26" s="84" t="str">
        <f>VLOOKUP(C26,'Train Runs'!$A$13:$AE$10098,22,0)</f>
        <v>https://d0f6bd738d7f1b3e5a7ca70fe4ff75f0.us-east-1.aws.found.io/app/kibana#/discover/Steve-Slow-Train-Analysis-(2080s-and-2083s)?_g=(refreshInterval:(display:Off,pause:!f,section:0,value:0),time:(from:'2017-11-01T15:42:45-0600',mode:absolute,to:'2017-11-01T18:17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6" s="86" t="str">
        <f t="shared" si="1"/>
        <v>"C:\Program Files (x86)\AstroGrep\AstroGrep.exe" /e /r /s /spath="%USERPROFILE%\AppData\Local\Temp\OnboardLogs" /stypes="*4050*201711012*" /stext=" 22:.+((SYSTEM_STATE.+slice.+state.+changed )|(ment ac)|(multiple cpu faults)|(system.+state.+changed )|(\[timeout)|(PRM\|1\|D)|(kpr)|(kdp)|(train st.+moving)|(\|lc)|(penalty))"</v>
      </c>
      <c r="U26" s="9" t="str">
        <f t="shared" si="2"/>
        <v>4050</v>
      </c>
      <c r="V26" s="31">
        <f t="shared" si="3"/>
        <v>43040.942777777775</v>
      </c>
      <c r="W26" s="45" t="str">
        <f t="shared" si="4"/>
        <v>EC</v>
      </c>
      <c r="X26" s="22">
        <f t="shared" si="5"/>
        <v>203</v>
      </c>
      <c r="Y26" s="96" t="str">
        <f t="shared" si="6"/>
        <v>echo {"issue":{"subject":"Wi-MAX data drop","project_id":79,"tracker_id":40,"status_id":1,"priority_id":2,"assigned_to_id":338,"start_date":"2017-11-01","description":"","custom_fields":[{"id":1,"name":"Subdivision","value":"EC"},{"id":4,"name":"Milepost","value":"0.1692"},{"id":17,"name":"Train ID","value":"203-01"},{"id":16,"name":"Locomotive ID","value":"4050"},{"id":130,"name":"Impact","value":""},{"id":150,"name":"Time of Event (Mountain Time)","value":"16:37:36"},{"id":151,"name":"Denver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/c/Users/stu/AppData/Local/Temp/OnboardLogs/RTDC4050 --include="*4050*201711012*"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"%USERPROFILE%\AppData\Local\Temp\OnboardLogs"\RTDC4050\*4050*201711012* &gt;&gt; 2017-11-01-SliceDisagreementCheck.txt</v>
      </c>
      <c r="AE26" s="145" t="str">
        <f t="shared" si="9"/>
        <v>start /low /b %USERPROFILE%\Documents\GitHub\eaglep3\Utilities\DownloadLogsFromS3.py --loco 4050 --day 2017-11-01</v>
      </c>
      <c r="AF26" s="1"/>
    </row>
    <row r="27" spans="1:32" x14ac:dyDescent="0.25">
      <c r="A27" s="31">
        <v>43040.264999999999</v>
      </c>
      <c r="B27" s="30" t="s">
        <v>612</v>
      </c>
      <c r="C27" s="30" t="s">
        <v>613</v>
      </c>
      <c r="D27" s="30" t="s">
        <v>49</v>
      </c>
      <c r="E27" s="30" t="s">
        <v>179</v>
      </c>
      <c r="F27" s="42">
        <v>0</v>
      </c>
      <c r="G27" s="42">
        <v>56</v>
      </c>
      <c r="H27" s="42">
        <v>189</v>
      </c>
      <c r="I27" s="42">
        <v>129</v>
      </c>
      <c r="J27" s="30" t="s">
        <v>180</v>
      </c>
      <c r="K27" s="42">
        <v>1</v>
      </c>
      <c r="L27" s="131" t="s">
        <v>51</v>
      </c>
      <c r="M27" s="132">
        <f t="shared" si="0"/>
        <v>67.584000000000003</v>
      </c>
      <c r="N27" s="133" t="str">
        <f>VLOOKUP(C27,'Trips&amp;Operators'!$C$1:$G$99911,5,FALSE)</f>
        <v>STARKS ANGELINA</v>
      </c>
      <c r="O27" s="176" t="s">
        <v>178</v>
      </c>
      <c r="P27" s="134"/>
      <c r="Q27" s="30"/>
      <c r="R27" s="81" t="str">
        <f>VLOOKUP(C27,'Train Runs'!$A$13:$AE$10098,31,0)</f>
        <v>aws s3 cp s3://rtdc.mdm.uploadarchive.raw/RTDC4001/ "%USERPROFILE%\AppData\Local\Temp\OnboardLogs"\RTDC4001\2017-11-01 --exclude "*" --recursive --include "*20171101*" &amp; "%USERPROFILE%\Documents\GitHub\mrs-test-scripts\Headless Mode &amp; Sideloading\WalkAndUnGZ.bat" "%USERPROFILE%\AppData\Local\Temp\OnboardLogs"\RTDC4001\2017-11-01 &amp; aws s3 cp s3://rtdc.mdm.uploadarchive.raw/RTDC4001/ "%USERPROFILE%\AppData\Local\Temp\OnboardLogs"\RTDC4001\2017-11-02 --exclude "*" --recursive --include "*20171102*" &amp; "%USERPROFILE%\Documents\GitHub\mrs-test-scripts\Headless Mode &amp; Sideloading\WalkAndUnGZ.bat" "%USERPROFILE%\AppData\Local\Temp\OnboardLogs"\RTDC4001\2017-11-02</v>
      </c>
      <c r="S27" s="84" t="str">
        <f>VLOOKUP(C27,'Train Runs'!$A$13:$AE$10098,22,0)</f>
        <v>https://d0f6bd738d7f1b3e5a7ca70fe4ff75f0.us-east-1.aws.found.io/app/kibana#/discover/Steve-Slow-Train-Analysis-(2080s-and-2083s)?_g=(refreshInterval:(display:Off,pause:!f,section:0,value:0),time:(from:'2017-11-01T04:35:58-0600',mode:absolute,to:'2017-11-01T07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7" s="86" t="str">
        <f t="shared" si="1"/>
        <v>"C:\Program Files (x86)\AstroGrep\AstroGrep.exe" /e /r /s /spath="%USERPROFILE%\AppData\Local\Temp\OnboardLogs" /stypes="*4001*201711011*" /stext=" 12:.+((SYSTEM_STATE.+slice.+state.+changed )|(ment ac)|(multiple cpu faults)|(system.+state.+changed )|(\[timeout)|(PRM\|1\|D)|(kpr)|(kdp)|(train st.+moving)|(\|lc)|(penalty))"</v>
      </c>
      <c r="U27" s="9" t="str">
        <f t="shared" si="2"/>
        <v>4001</v>
      </c>
      <c r="V27" s="31">
        <f t="shared" si="3"/>
        <v>43040.514999999999</v>
      </c>
      <c r="W27" s="45" t="str">
        <f t="shared" si="4"/>
        <v>EC</v>
      </c>
      <c r="X27" s="22">
        <f t="shared" si="5"/>
        <v>110</v>
      </c>
      <c r="Y27" s="96" t="str">
        <f t="shared" si="6"/>
        <v>echo {"issue":{"subject":"","project_id":79,"tracker_id":40,"status_id":1,"priority_id":2,"assigned_to_id":338,"start_date":"2017-11-01","description":"","custom_fields":[{"id":1,"name":"Subdivision","value":"EC"},{"id":4,"name":"Milepost","value":"0.0001"},{"id":17,"name":"Train ID","value":"110-01"},{"id":16,"name":"Locomotive ID","value":"4001"},{"id":130,"name":"Impact","value":""},{"id":150,"name":"Time of Event (Mountain Time)","value":"06:21:36"},{"id":151,"name":"Denver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/c/Users/stu/AppData/Local/Temp/OnboardLogs/RTDC4001 --include="*4001*201711011*"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"%USERPROFILE%\AppData\Local\Temp\OnboardLogs"\RTDC4001\*4001*201711011* &gt;&gt; 2017-11-01-SliceDisagreementCheck.txt</v>
      </c>
      <c r="AE27" s="145" t="str">
        <f t="shared" si="9"/>
        <v>start /low /b %USERPROFILE%\Documents\GitHub\eaglep3\Utilities\DownloadLogsFromS3.py --loco 4001 --day 2017-11-01</v>
      </c>
      <c r="AF27" s="1"/>
    </row>
    <row r="28" spans="1:32" x14ac:dyDescent="0.25">
      <c r="A28" s="31">
        <v>43040.34752314815</v>
      </c>
      <c r="B28" s="30" t="s">
        <v>616</v>
      </c>
      <c r="C28" s="30" t="s">
        <v>617</v>
      </c>
      <c r="D28" s="30" t="s">
        <v>49</v>
      </c>
      <c r="E28" s="30" t="s">
        <v>179</v>
      </c>
      <c r="F28" s="42">
        <v>0</v>
      </c>
      <c r="G28" s="42">
        <v>68</v>
      </c>
      <c r="H28" s="42">
        <v>218</v>
      </c>
      <c r="I28" s="42">
        <v>156</v>
      </c>
      <c r="J28" s="30" t="s">
        <v>180</v>
      </c>
      <c r="K28" s="42">
        <v>1</v>
      </c>
      <c r="L28" s="131" t="s">
        <v>51</v>
      </c>
      <c r="M28" s="132">
        <f t="shared" si="0"/>
        <v>81.84</v>
      </c>
      <c r="N28" s="133" t="str">
        <f>VLOOKUP(C28,'Trips&amp;Operators'!$C$1:$G$99911,5,FALSE)</f>
        <v>BONDS REYNALDO</v>
      </c>
      <c r="O28" s="176" t="s">
        <v>178</v>
      </c>
      <c r="P28" s="134"/>
      <c r="Q28" s="30"/>
      <c r="R28" s="81" t="str">
        <f>VLOOKUP(C28,'Train Runs'!$A$13:$AE$10098,31,0)</f>
        <v>aws s3 cp s3://rtdc.mdm.uploadarchive.raw/RTDC4063/ "%USERPROFILE%\AppData\Local\Temp\OnboardLogs"\RTDC4063\2017-11-01 --exclude "*" --recursive --include "*20171101*" &amp; "%USERPROFILE%\Documents\GitHub\mrs-test-scripts\Headless Mode &amp; Sideloading\WalkAndUnGZ.bat" "%USERPROFILE%\AppData\Local\Temp\OnboardLogs"\RTDC4063\2017-11-01 &amp; aws s3 cp s3://rtdc.mdm.uploadarchive.raw/RTDC4063/ "%USERPROFILE%\AppData\Local\Temp\OnboardLogs"\RTDC4063\2017-11-02 --exclude "*" --recursive --include "*20171102*" &amp; "%USERPROFILE%\Documents\GitHub\mrs-test-scripts\Headless Mode &amp; Sideloading\WalkAndUnGZ.bat" "%USERPROFILE%\AppData\Local\Temp\OnboardLogs"\RTDC4063\2017-11-02</v>
      </c>
      <c r="S28" s="84" t="str">
        <f>VLOOKUP(C28,'Train Runs'!$A$13:$AE$10098,22,0)</f>
        <v>https://d0f6bd738d7f1b3e5a7ca70fe4ff75f0.us-east-1.aws.found.io/app/kibana#/discover/Steve-Slow-Train-Analysis-(2080s-and-2083s)?_g=(refreshInterval:(display:Off,pause:!f,section:0,value:0),time:(from:'2017-11-01T06:36:31-0600',mode:absolute,to:'2017-11-01T09:20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8" s="86" t="str">
        <f t="shared" si="1"/>
        <v>"C:\Program Files (x86)\AstroGrep\AstroGrep.exe" /e /r /s /spath="%USERPROFILE%\AppData\Local\Temp\OnboardLogs" /stypes="*4063*201711011*" /stext=" 14:.+((SYSTEM_STATE.+slice.+state.+changed )|(ment ac)|(multiple cpu faults)|(system.+state.+changed )|(\[timeout)|(PRM\|1\|D)|(kpr)|(kdp)|(train st.+moving)|(\|lc)|(penalty))"</v>
      </c>
      <c r="U28" s="9" t="str">
        <f t="shared" si="2"/>
        <v>4063</v>
      </c>
      <c r="V28" s="31">
        <f t="shared" si="3"/>
        <v>43040.59752314815</v>
      </c>
      <c r="W28" s="45" t="str">
        <f t="shared" si="4"/>
        <v>EC</v>
      </c>
      <c r="X28" s="22">
        <f t="shared" si="5"/>
        <v>126</v>
      </c>
      <c r="Y28" s="96" t="str">
        <f t="shared" si="6"/>
        <v>echo {"issue":{"subject":"","project_id":79,"tracker_id":40,"status_id":1,"priority_id":2,"assigned_to_id":338,"start_date":"2017-11-01","description":"","custom_fields":[{"id":1,"name":"Subdivision","value":"EC"},{"id":4,"name":"Milepost","value":"0.0001"},{"id":17,"name":"Train ID","value":"126-01"},{"id":16,"name":"Locomotive ID","value":"4063"},{"id":130,"name":"Impact","value":""},{"id":150,"name":"Time of Event (Mountain Time)","value":"08:20:26"},{"id":151,"name":"Denver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/c/Users/stu/AppData/Local/Temp/OnboardLogs/RTDC4063 --include="*4063*201711011*"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"%USERPROFILE%\AppData\Local\Temp\OnboardLogs"\RTDC4063\*4063*201711011* &gt;&gt; 2017-11-01-SliceDisagreementCheck.txt</v>
      </c>
      <c r="AE28" s="145" t="str">
        <f t="shared" si="9"/>
        <v>start /low /b %USERPROFILE%\Documents\GitHub\eaglep3\Utilities\DownloadLogsFromS3.py --loco 4063 --day 2017-11-01</v>
      </c>
      <c r="AF28" s="1"/>
    </row>
    <row r="29" spans="1:32" x14ac:dyDescent="0.25">
      <c r="A29" s="31">
        <v>43040.369189814817</v>
      </c>
      <c r="B29" s="30" t="s">
        <v>619</v>
      </c>
      <c r="C29" s="30" t="s">
        <v>620</v>
      </c>
      <c r="D29" s="30" t="s">
        <v>49</v>
      </c>
      <c r="E29" s="30" t="s">
        <v>179</v>
      </c>
      <c r="F29" s="42">
        <v>0</v>
      </c>
      <c r="G29" s="42">
        <v>46</v>
      </c>
      <c r="H29" s="42">
        <v>141</v>
      </c>
      <c r="I29" s="42">
        <v>118</v>
      </c>
      <c r="J29" s="30" t="s">
        <v>180</v>
      </c>
      <c r="K29" s="42">
        <v>1</v>
      </c>
      <c r="L29" s="131" t="s">
        <v>51</v>
      </c>
      <c r="M29" s="132">
        <f t="shared" si="0"/>
        <v>61.776000000000003</v>
      </c>
      <c r="N29" s="133" t="str">
        <f>VLOOKUP(C29,'Trips&amp;Operators'!$C$1:$G$99911,5,FALSE)</f>
        <v>THOMPSON LESTER</v>
      </c>
      <c r="O29" s="176" t="s">
        <v>178</v>
      </c>
      <c r="P29" s="134"/>
      <c r="Q29" s="30"/>
      <c r="R29" s="81" t="str">
        <f>VLOOKUP(C29,'Train Runs'!$A$13:$AE$10098,31,0)</f>
        <v>aws s3 cp s3://rtdc.mdm.uploadarchive.raw/RTDC4013/ "%USERPROFILE%\AppData\Local\Temp\OnboardLogs"\RTDC4013\2017-11-01 --exclude "*" --recursive --include "*20171101*" &amp; "%USERPROFILE%\Documents\GitHub\mrs-test-scripts\Headless Mode &amp; Sideloading\WalkAndUnGZ.bat" "%USERPROFILE%\AppData\Local\Temp\OnboardLogs"\RTDC4013\2017-11-01 &amp; aws s3 cp s3://rtdc.mdm.uploadarchive.raw/RTDC4013/ "%USERPROFILE%\AppData\Local\Temp\OnboardLogs"\RTDC4013\2017-11-02 --exclude "*" --recursive --include "*20171102*" &amp; "%USERPROFILE%\Documents\GitHub\mrs-test-scripts\Headless Mode &amp; Sideloading\WalkAndUnGZ.bat" "%USERPROFILE%\AppData\Local\Temp\OnboardLogs"\RTDC4013\2017-11-02</v>
      </c>
      <c r="S29" s="84" t="str">
        <f>VLOOKUP(C29,'Train Runs'!$A$13:$AE$10098,22,0)</f>
        <v>https://d0f6bd738d7f1b3e5a7ca70fe4ff75f0.us-east-1.aws.found.io/app/kibana#/discover/Steve-Slow-Train-Analysis-(2080s-and-2083s)?_g=(refreshInterval:(display:Off,pause:!f,section:0,value:0),time:(from:'2017-11-01T07:10:00-0600',mode:absolute,to:'2017-11-01T09:51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9" s="86" t="str">
        <f t="shared" si="1"/>
        <v>"C:\Program Files (x86)\AstroGrep\AstroGrep.exe" /e /r /s /spath="%USERPROFILE%\AppData\Local\Temp\OnboardLogs" /stypes="*4013*201711011*" /stext=" 14:.+((SYSTEM_STATE.+slice.+state.+changed )|(ment ac)|(multiple cpu faults)|(system.+state.+changed )|(\[timeout)|(PRM\|1\|D)|(kpr)|(kdp)|(train st.+moving)|(\|lc)|(penalty))"</v>
      </c>
      <c r="U29" s="9" t="str">
        <f t="shared" si="2"/>
        <v>4013</v>
      </c>
      <c r="V29" s="31">
        <f t="shared" si="3"/>
        <v>43040.619189814817</v>
      </c>
      <c r="W29" s="45" t="str">
        <f t="shared" si="4"/>
        <v>EC</v>
      </c>
      <c r="X29" s="22">
        <f t="shared" si="5"/>
        <v>130</v>
      </c>
      <c r="Y29" s="96" t="str">
        <f t="shared" si="6"/>
        <v>echo {"issue":{"subject":"","project_id":79,"tracker_id":40,"status_id":1,"priority_id":2,"assigned_to_id":338,"start_date":"2017-11-01","description":"","custom_fields":[{"id":1,"name":"Subdivision","value":"EC"},{"id":4,"name":"Milepost","value":"0.0001"},{"id":17,"name":"Train ID","value":"130-01"},{"id":16,"name":"Locomotive ID","value":"4013"},{"id":130,"name":"Impact","value":""},{"id":150,"name":"Time of Event (Mountain Time)","value":"08:51:38"},{"id":151,"name":"Denver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/c/Users/stu/AppData/Local/Temp/OnboardLogs/RTDC4013 --include="*4013*201711011*"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"%USERPROFILE%\AppData\Local\Temp\OnboardLogs"\RTDC4013\*4013*201711011* &gt;&gt; 2017-11-01-SliceDisagreementCheck.txt</v>
      </c>
      <c r="AE29" s="145" t="str">
        <f t="shared" si="9"/>
        <v>start /low /b %USERPROFILE%\Documents\GitHub\eaglep3\Utilities\DownloadLogsFromS3.py --loco 4013 --day 2017-11-01</v>
      </c>
      <c r="AF29" s="1"/>
    </row>
    <row r="30" spans="1:32" x14ac:dyDescent="0.25">
      <c r="A30" s="31">
        <v>43040.619652777779</v>
      </c>
      <c r="B30" s="30" t="s">
        <v>629</v>
      </c>
      <c r="C30" s="30" t="s">
        <v>637</v>
      </c>
      <c r="D30" s="30" t="s">
        <v>49</v>
      </c>
      <c r="E30" s="30" t="s">
        <v>179</v>
      </c>
      <c r="F30" s="42">
        <v>0</v>
      </c>
      <c r="G30" s="42">
        <v>94</v>
      </c>
      <c r="H30" s="42">
        <v>362</v>
      </c>
      <c r="I30" s="42">
        <v>262</v>
      </c>
      <c r="J30" s="30" t="s">
        <v>180</v>
      </c>
      <c r="K30" s="42">
        <v>1</v>
      </c>
      <c r="L30" s="131" t="s">
        <v>51</v>
      </c>
      <c r="M30" s="132">
        <f t="shared" si="0"/>
        <v>137.80799999999999</v>
      </c>
      <c r="N30" s="133" t="str">
        <f>VLOOKUP(C30,'Trips&amp;Operators'!$C$1:$G$99911,5,FALSE)</f>
        <v>STEWART MICHAEL</v>
      </c>
      <c r="O30" s="176" t="s">
        <v>178</v>
      </c>
      <c r="P30" s="134"/>
      <c r="Q30" s="30"/>
      <c r="R30" s="81" t="str">
        <f>VLOOKUP(C30,'Train Runs'!$A$13:$AE$10098,31,0)</f>
        <v>aws s3 cp s3://rtdc.mdm.uploadarchive.raw/RTDC4025/ "%USERPROFILE%\AppData\Local\Temp\OnboardLogs"\RTDC4025\2017-11-01 --exclude "*" --recursive --include "*20171101*" &amp; "%USERPROFILE%\Documents\GitHub\mrs-test-scripts\Headless Mode &amp; Sideloading\WalkAndUnGZ.bat" "%USERPROFILE%\AppData\Local\Temp\OnboardLogs"\RTDC4025\2017-11-01 &amp; aws s3 cp s3://rtdc.mdm.uploadarchive.raw/RTDC4025/ "%USERPROFILE%\AppData\Local\Temp\OnboardLogs"\RTDC4025\2017-11-02 --exclude "*" --recursive --include "*20171102*" &amp; "%USERPROFILE%\Documents\GitHub\mrs-test-scripts\Headless Mode &amp; Sideloading\WalkAndUnGZ.bat" "%USERPROFILE%\AppData\Local\Temp\OnboardLogs"\RTDC4025\2017-11-02</v>
      </c>
      <c r="S30" s="84" t="str">
        <f>VLOOKUP(C30,'Train Runs'!$A$13:$AE$10098,22,0)</f>
        <v>https://d0f6bd738d7f1b3e5a7ca70fe4ff75f0.us-east-1.aws.found.io/app/kibana#/discover/Steve-Slow-Train-Analysis-(2080s-and-2083s)?_g=(refreshInterval:(display:Off,pause:!f,section:0,value:0),time:(from:'2017-11-01T13:11:59-0600',mode:absolute,to:'2017-11-01T15:52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30" s="86" t="str">
        <f t="shared" si="1"/>
        <v>"C:\Program Files (x86)\AstroGrep\AstroGrep.exe" /e /r /s /spath="%USERPROFILE%\AppData\Local\Temp\OnboardLogs" /stypes="*4025*201711012*" /stext=" 20:.+((SYSTEM_STATE.+slice.+state.+changed )|(ment ac)|(multiple cpu faults)|(system.+state.+changed )|(\[timeout)|(PRM\|1\|D)|(kpr)|(kdp)|(train st.+moving)|(\|lc)|(penalty))"</v>
      </c>
      <c r="U30" s="9" t="str">
        <f t="shared" si="2"/>
        <v>4025</v>
      </c>
      <c r="V30" s="31">
        <f t="shared" si="3"/>
        <v>43040.869652777779</v>
      </c>
      <c r="W30" s="45" t="str">
        <f t="shared" si="4"/>
        <v>EC</v>
      </c>
      <c r="X30" s="22">
        <f t="shared" si="5"/>
        <v>178</v>
      </c>
      <c r="Y30" s="96" t="str">
        <f t="shared" si="6"/>
        <v>echo {"issue":{"subject":"","project_id":79,"tracker_id":40,"status_id":1,"priority_id":2,"assigned_to_id":338,"start_date":"2017-11-01","description":"","custom_fields":[{"id":1,"name":"Subdivision","value":"EC"},{"id":4,"name":"Milepost","value":"0.0001"},{"id":17,"name":"Train ID","value":"178-01"},{"id":16,"name":"Locomotive ID","value":"4025"},{"id":130,"name":"Impact","value":""},{"id":150,"name":"Time of Event (Mountain Time)","value":"14:52:18"},{"id":151,"name":"Denver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/c/Users/stu/AppData/Local/Temp/OnboardLogs/RTDC4025 --include="*4025*201711012*"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"%USERPROFILE%\AppData\Local\Temp\OnboardLogs"\RTDC4025\*4025*201711012* &gt;&gt; 2017-11-01-SliceDisagreementCheck.txt</v>
      </c>
      <c r="AE30" s="145" t="str">
        <f t="shared" si="9"/>
        <v>start /low /b %USERPROFILE%\Documents\GitHub\eaglep3\Utilities\DownloadLogsFromS3.py --loco 4025 --day 2017-11-01</v>
      </c>
      <c r="AF30" s="1"/>
    </row>
    <row r="31" spans="1:32" x14ac:dyDescent="0.25">
      <c r="A31" s="31">
        <v>43040.692071759258</v>
      </c>
      <c r="B31" s="30" t="s">
        <v>629</v>
      </c>
      <c r="C31" s="30" t="s">
        <v>642</v>
      </c>
      <c r="D31" s="30" t="s">
        <v>49</v>
      </c>
      <c r="E31" s="30" t="s">
        <v>179</v>
      </c>
      <c r="F31" s="42">
        <v>0</v>
      </c>
      <c r="G31" s="42">
        <v>107</v>
      </c>
      <c r="H31" s="42">
        <v>1361</v>
      </c>
      <c r="I31" s="42">
        <v>1257</v>
      </c>
      <c r="J31" s="30" t="s">
        <v>180</v>
      </c>
      <c r="K31" s="42">
        <v>826</v>
      </c>
      <c r="L31" s="131" t="s">
        <v>51</v>
      </c>
      <c r="M31" s="132">
        <f t="shared" si="0"/>
        <v>227.56800000000001</v>
      </c>
      <c r="N31" s="133" t="str">
        <f>VLOOKUP(C31,'Trips&amp;Operators'!$C$1:$G$99911,5,FALSE)</f>
        <v>STEWART MICHAEL</v>
      </c>
      <c r="O31" s="176" t="s">
        <v>178</v>
      </c>
      <c r="P31" s="134"/>
      <c r="Q31" s="30"/>
      <c r="R31" s="81" t="str">
        <f>VLOOKUP(C31,'Train Runs'!$A$13:$AE$10098,31,0)</f>
        <v>aws s3 cp s3://rtdc.mdm.uploadarchive.raw/RTDC4025/ "%USERPROFILE%\AppData\Local\Temp\OnboardLogs"\RTDC4025\2017-11-01 --exclude "*" --recursive --include "*20171101*" &amp; "%USERPROFILE%\Documents\GitHub\mrs-test-scripts\Headless Mode &amp; Sideloading\WalkAndUnGZ.bat" "%USERPROFILE%\AppData\Local\Temp\OnboardLogs"\RTDC4025\2017-11-01 &amp; aws s3 cp s3://rtdc.mdm.uploadarchive.raw/RTDC4025/ "%USERPROFILE%\AppData\Local\Temp\OnboardLogs"\RTDC4025\2017-11-02 --exclude "*" --recursive --include "*20171102*" &amp; "%USERPROFILE%\Documents\GitHub\mrs-test-scripts\Headless Mode &amp; Sideloading\WalkAndUnGZ.bat" "%USERPROFILE%\AppData\Local\Temp\OnboardLogs"\RTDC4025\2017-11-02</v>
      </c>
      <c r="S31" s="84" t="str">
        <f>VLOOKUP(C31,'Train Runs'!$A$13:$AE$10098,22,0)</f>
        <v>https://d0f6bd738d7f1b3e5a7ca70fe4ff75f0.us-east-1.aws.found.io/app/kibana#/discover/Steve-Slow-Train-Analysis-(2080s-and-2083s)?_g=(refreshInterval:(display:Off,pause:!f,section:0,value:0),time:(from:'2017-11-01T14:55:49-0600',mode:absolute,to:'2017-11-01T18:23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31" s="86" t="str">
        <f t="shared" si="1"/>
        <v>"C:\Program Files (x86)\AstroGrep\AstroGrep.exe" /e /r /s /spath="%USERPROFILE%\AppData\Local\Temp\OnboardLogs" /stypes="*4025*201711012*" /stext=" 22:.+((SYSTEM_STATE.+slice.+state.+changed )|(ment ac)|(multiple cpu faults)|(system.+state.+changed )|(\[timeout)|(PRM\|1\|D)|(kpr)|(kdp)|(train st.+moving)|(\|lc)|(penalty))"</v>
      </c>
      <c r="U31" s="9" t="str">
        <f t="shared" si="2"/>
        <v>4025</v>
      </c>
      <c r="V31" s="31">
        <f t="shared" si="3"/>
        <v>43040.942071759258</v>
      </c>
      <c r="W31" s="45" t="str">
        <f t="shared" si="4"/>
        <v>EC</v>
      </c>
      <c r="X31" s="22">
        <f t="shared" si="5"/>
        <v>192</v>
      </c>
      <c r="Y31" s="96" t="str">
        <f t="shared" si="6"/>
        <v>echo {"issue":{"subject":"","project_id":79,"tracker_id":40,"status_id":1,"priority_id":2,"assigned_to_id":338,"start_date":"2017-11-01","description":"","custom_fields":[{"id":1,"name":"Subdivision","value":"EC"},{"id":4,"name":"Milepost","value":"0.0826"},{"id":17,"name":"Train ID","value":"192-01"},{"id":16,"name":"Locomotive ID","value":"4025"},{"id":130,"name":"Impact","value":""},{"id":150,"name":"Time of Event (Mountain Time)","value":"16:36:35"},{"id":151,"name":"Denver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/c/Users/stu/AppData/Local/Temp/OnboardLogs/RTDC4025 --include="*4025*201711012*"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"%USERPROFILE%\AppData\Local\Temp\OnboardLogs"\RTDC4025\*4025*201711012* &gt;&gt; 2017-11-01-SliceDisagreementCheck.txt</v>
      </c>
      <c r="AE31" s="145" t="str">
        <f t="shared" si="9"/>
        <v>start /low /b %USERPROFILE%\Documents\GitHub\eaglep3\Utilities\DownloadLogsFromS3.py --loco 4025 --day 2017-11-01</v>
      </c>
      <c r="AF31" s="1"/>
    </row>
    <row r="32" spans="1:32" x14ac:dyDescent="0.25">
      <c r="A32" s="31">
        <v>43040.453252314815</v>
      </c>
      <c r="B32" s="30" t="s">
        <v>627</v>
      </c>
      <c r="C32" s="30" t="s">
        <v>628</v>
      </c>
      <c r="D32" s="30" t="s">
        <v>95</v>
      </c>
      <c r="E32" s="30" t="s">
        <v>362</v>
      </c>
      <c r="F32" s="42">
        <v>0</v>
      </c>
      <c r="G32" s="42">
        <v>91</v>
      </c>
      <c r="H32" s="42">
        <v>4774</v>
      </c>
      <c r="I32" s="42">
        <v>4653</v>
      </c>
      <c r="J32" s="30" t="s">
        <v>363</v>
      </c>
      <c r="K32" s="42">
        <v>4798</v>
      </c>
      <c r="L32" s="131" t="s">
        <v>51</v>
      </c>
      <c r="M32" s="132">
        <f t="shared" si="0"/>
        <v>-76.56</v>
      </c>
      <c r="N32" s="133" t="str">
        <f>VLOOKUP(C32,'Trips&amp;Operators'!$C$1:$G$99911,5,FALSE)</f>
        <v>GEBRETEKLE DAGNEW</v>
      </c>
      <c r="O32" s="176" t="s">
        <v>356</v>
      </c>
      <c r="P32" s="134" t="s">
        <v>1104</v>
      </c>
      <c r="Q32" s="30"/>
      <c r="R32" s="81" t="str">
        <f>VLOOKUP(C32,'Train Runs'!$A$13:$AE$10098,31,0)</f>
        <v>aws s3 cp s3://rtdc.mdm.uploadarchive.raw/RTDC4031/ "%USERPROFILE%\AppData\Local\Temp\OnboardLogs"\RTDC4031\2017-11-01 --exclude "*" --recursive --include "*20171101*" &amp; "%USERPROFILE%\Documents\GitHub\mrs-test-scripts\Headless Mode &amp; Sideloading\WalkAndUnGZ.bat" "%USERPROFILE%\AppData\Local\Temp\OnboardLogs"\RTDC4031\2017-11-01 &amp; 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</v>
      </c>
      <c r="S32" s="84" t="str">
        <f>VLOOKUP(C32,'Train Runs'!$A$13:$AE$10098,22,0)</f>
        <v>https://d0f6bd738d7f1b3e5a7ca70fe4ff75f0.us-east-1.aws.found.io/app/kibana#/discover/Steve-Slow-Train-Analysis-(2080s-and-2083s)?_g=(refreshInterval:(display:Off,pause:!f,section:0,value:0),time:(from:'2017-11-01T09:25:59-0600',mode:absolute,to:'2017-11-01T11:52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2" s="86" t="str">
        <f t="shared" si="1"/>
        <v>"C:\Program Files (x86)\AstroGrep\AstroGrep.exe" /e /r /s /spath="%USERPROFILE%\AppData\Local\Temp\OnboardLogs" /stypes="*4031*201711011*" /stext=" 16:.+((SYSTEM_STATE.+slice.+state.+changed )|(ment ac)|(multiple cpu faults)|(system.+state.+changed )|(\[timeout)|(PRM\|1\|D)|(kpr)|(kdp)|(train st.+moving)|(\|lc)|(penalty))"</v>
      </c>
      <c r="U32" s="9" t="str">
        <f t="shared" si="2"/>
        <v>4031</v>
      </c>
      <c r="V32" s="31">
        <f t="shared" si="3"/>
        <v>43040.703252314815</v>
      </c>
      <c r="W32" s="45" t="str">
        <f t="shared" si="4"/>
        <v>NW</v>
      </c>
      <c r="X32" s="22">
        <f t="shared" si="5"/>
        <v>816</v>
      </c>
      <c r="Y32" s="96" t="str">
        <f t="shared" si="6"/>
        <v>echo {"issue":{"subject":"Poor GPS under Wewatta St overpass","project_id":79,"tracker_id":40,"status_id":1,"priority_id":2,"assigned_to_id":338,"start_date":"2017-11-01","description":"","custom_fields":[{"id":1,"name":"Subdivision","value":"NW"},{"id":4,"name":"Milepost","value":"0.4798"},{"id":17,"name":"Train ID","value":"816-01"},{"id":16,"name":"Locomotive ID","value":"4031"},{"id":130,"name":"Impact","value":""},{"id":150,"name":"Time of Event (Mountain Time)","value":"10:52:41"},{"id":151,"name":"Denver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/c/Users/stu/AppData/Local/Temp/OnboardLogs/RTDC4031 --include="*4031*201711011*"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"%USERPROFILE%\AppData\Local\Temp\OnboardLogs"\RTDC4031\*4031*201711011* &gt;&gt; 2017-11-01-SliceDisagreementCheck.txt</v>
      </c>
      <c r="AE32" s="145" t="str">
        <f t="shared" si="9"/>
        <v>start /low /b %USERPROFILE%\Documents\GitHub\eaglep3\Utilities\DownloadLogsFromS3.py --loco 4031 --day 2017-11-01</v>
      </c>
      <c r="AF32" s="1"/>
    </row>
    <row r="33" spans="1:32" x14ac:dyDescent="0.25">
      <c r="A33" s="31">
        <v>43040.579652777778</v>
      </c>
      <c r="B33" s="30" t="s">
        <v>627</v>
      </c>
      <c r="C33" s="30" t="s">
        <v>634</v>
      </c>
      <c r="D33" s="30" t="s">
        <v>49</v>
      </c>
      <c r="E33" s="30" t="s">
        <v>362</v>
      </c>
      <c r="F33" s="42">
        <v>0</v>
      </c>
      <c r="G33" s="42">
        <v>81</v>
      </c>
      <c r="H33" s="42">
        <v>4819</v>
      </c>
      <c r="I33" s="42">
        <v>4712</v>
      </c>
      <c r="J33" s="30" t="s">
        <v>363</v>
      </c>
      <c r="K33" s="42">
        <v>4798</v>
      </c>
      <c r="L33" s="131" t="s">
        <v>51</v>
      </c>
      <c r="M33" s="132">
        <f t="shared" si="0"/>
        <v>-45.408000000000001</v>
      </c>
      <c r="N33" s="133" t="str">
        <f>VLOOKUP(C33,'Trips&amp;Operators'!$C$1:$G$99911,5,FALSE)</f>
        <v>HAMMOND JUSTYNN</v>
      </c>
      <c r="O33" s="176" t="s">
        <v>356</v>
      </c>
      <c r="P33" s="134" t="s">
        <v>1104</v>
      </c>
      <c r="Q33" s="30"/>
      <c r="R33" s="81" t="str">
        <f>VLOOKUP(C33,'Train Runs'!$A$13:$AE$10098,31,0)</f>
        <v>aws s3 cp s3://rtdc.mdm.uploadarchive.raw/RTDC4031/ "%USERPROFILE%\AppData\Local\Temp\OnboardLogs"\RTDC4031\2017-11-01 --exclude "*" --recursive --include "*20171101*" &amp; "%USERPROFILE%\Documents\GitHub\mrs-test-scripts\Headless Mode &amp; Sideloading\WalkAndUnGZ.bat" "%USERPROFILE%\AppData\Local\Temp\OnboardLogs"\RTDC4031\2017-11-01 &amp; 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</v>
      </c>
      <c r="S33" s="84" t="str">
        <f>VLOOKUP(C33,'Train Runs'!$A$13:$AE$10098,22,0)</f>
        <v>https://d0f6bd738d7f1b3e5a7ca70fe4ff75f0.us-east-1.aws.found.io/app/kibana#/discover/Steve-Slow-Train-Analysis-(2080s-and-2083s)?_g=(refreshInterval:(display:Off,pause:!f,section:0,value:0),time:(from:'2017-11-01T12:30:23-0600',mode:absolute,to:'2017-11-01T14:54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3" s="86" t="str">
        <f t="shared" si="1"/>
        <v>"C:\Program Files (x86)\AstroGrep\AstroGrep.exe" /e /r /s /spath="%USERPROFILE%\AppData\Local\Temp\OnboardLogs" /stypes="*4031*201711011*" /stext=" 19:.+((SYSTEM_STATE.+slice.+state.+changed )|(ment ac)|(multiple cpu faults)|(system.+state.+changed )|(\[timeout)|(PRM\|1\|D)|(kpr)|(kdp)|(train st.+moving)|(\|lc)|(penalty))"</v>
      </c>
      <c r="U33" s="9" t="str">
        <f t="shared" si="2"/>
        <v>4031</v>
      </c>
      <c r="V33" s="31">
        <f t="shared" si="3"/>
        <v>43040.829652777778</v>
      </c>
      <c r="W33" s="45" t="str">
        <f t="shared" si="4"/>
        <v>NW</v>
      </c>
      <c r="X33" s="22">
        <f t="shared" si="5"/>
        <v>822</v>
      </c>
      <c r="Y33" s="96" t="str">
        <f t="shared" si="6"/>
        <v>echo {"issue":{"subject":"Poor GPS under Wewatta St overpass","project_id":79,"tracker_id":40,"status_id":1,"priority_id":2,"assigned_to_id":338,"start_date":"2017-11-01","description":"","custom_fields":[{"id":1,"name":"Subdivision","value":"NW"},{"id":4,"name":"Milepost","value":"0.4798"},{"id":17,"name":"Train ID","value":"822-01"},{"id":16,"name":"Locomotive ID","value":"4031"},{"id":130,"name":"Impact","value":""},{"id":150,"name":"Time of Event (Mountain Time)","value":"13:54:42"},{"id":151,"name":"Denver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/c/Users/stu/AppData/Local/Temp/OnboardLogs/RTDC4031 --include="*4031*201711011*"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"%USERPROFILE%\AppData\Local\Temp\OnboardLogs"\RTDC4031\*4031*201711011* &gt;&gt; 2017-11-01-SliceDisagreementCheck.txt</v>
      </c>
      <c r="AE33" s="145" t="str">
        <f t="shared" si="9"/>
        <v>start /low /b %USERPROFILE%\Documents\GitHub\eaglep3\Utilities\DownloadLogsFromS3.py --loco 4031 --day 2017-11-01</v>
      </c>
      <c r="AF33" s="1"/>
    </row>
    <row r="34" spans="1:32" x14ac:dyDescent="0.25">
      <c r="A34" s="31">
        <v>43040.789942129632</v>
      </c>
      <c r="B34" s="30" t="s">
        <v>627</v>
      </c>
      <c r="C34" s="30" t="s">
        <v>646</v>
      </c>
      <c r="D34" s="30" t="s">
        <v>95</v>
      </c>
      <c r="E34" s="30" t="s">
        <v>362</v>
      </c>
      <c r="F34" s="42">
        <v>0</v>
      </c>
      <c r="G34" s="42">
        <v>63</v>
      </c>
      <c r="H34" s="42">
        <v>4792</v>
      </c>
      <c r="I34" s="42">
        <v>4720</v>
      </c>
      <c r="J34" s="30" t="s">
        <v>363</v>
      </c>
      <c r="K34" s="42">
        <v>4798</v>
      </c>
      <c r="L34" s="131" t="s">
        <v>51</v>
      </c>
      <c r="M34" s="132">
        <f t="shared" si="0"/>
        <v>-41.183999999999997</v>
      </c>
      <c r="N34" s="133" t="str">
        <f>VLOOKUP(C34,'Trips&amp;Operators'!$C$1:$G$99911,5,FALSE)</f>
        <v>HAMMOND JUSTYNN</v>
      </c>
      <c r="O34" s="176" t="s">
        <v>356</v>
      </c>
      <c r="P34" s="134" t="s">
        <v>1104</v>
      </c>
      <c r="Q34" s="30"/>
      <c r="R34" s="81" t="str">
        <f>VLOOKUP(C34,'Train Runs'!$A$13:$AE$10098,31,0)</f>
        <v>aws s3 cp s3://rtdc.mdm.uploadarchive.raw/RTDC4031/ "%USERPROFILE%\AppData\Local\Temp\OnboardLogs"\RTDC4031\2017-11-01 --exclude "*" --recursive --include "*20171101*" &amp; "%USERPROFILE%\Documents\GitHub\mrs-test-scripts\Headless Mode &amp; Sideloading\WalkAndUnGZ.bat" "%USERPROFILE%\AppData\Local\Temp\OnboardLogs"\RTDC4031\2017-11-01 &amp; 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</v>
      </c>
      <c r="S34" s="84" t="str">
        <f>VLOOKUP(C34,'Train Runs'!$A$13:$AE$10098,22,0)</f>
        <v>https://d0f6bd738d7f1b3e5a7ca70fe4ff75f0.us-east-1.aws.found.io/app/kibana#/discover/Steve-Slow-Train-Analysis-(2080s-and-2083s)?_g=(refreshInterval:(display:Off,pause:!f,section:0,value:0),time:(from:'2017-11-01T17:31:07-0600',mode:absolute,to:'2017-11-01T19:57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4" s="86" t="str">
        <f t="shared" si="1"/>
        <v>"C:\Program Files (x86)\AstroGrep\AstroGrep.exe" /e /r /s /spath="%USERPROFILE%\AppData\Local\Temp\OnboardLogs" /stypes="*4031*201711020*" /stext=" 00:.+((SYSTEM_STATE.+slice.+state.+changed )|(ment ac)|(multiple cpu faults)|(system.+state.+changed )|(\[timeout)|(PRM\|1\|D)|(kpr)|(kdp)|(train st.+moving)|(\|lc)|(penalty))"</v>
      </c>
      <c r="U34" s="9" t="str">
        <f t="shared" si="2"/>
        <v>4031</v>
      </c>
      <c r="V34" s="31">
        <f t="shared" si="3"/>
        <v>43041.039942129632</v>
      </c>
      <c r="W34" s="45" t="str">
        <f t="shared" si="4"/>
        <v>NW</v>
      </c>
      <c r="X34" s="22">
        <f t="shared" si="5"/>
        <v>838</v>
      </c>
      <c r="Y34" s="96" t="str">
        <f t="shared" si="6"/>
        <v>echo {"issue":{"subject":"Poor GPS under Wewatta St overpass","project_id":79,"tracker_id":40,"status_id":1,"priority_id":2,"assigned_to_id":338,"start_date":"2017-11-01","description":"","custom_fields":[{"id":1,"name":"Subdivision","value":"NW"},{"id":4,"name":"Milepost","value":"0.4798"},{"id":17,"name":"Train ID","value":"838-01"},{"id":16,"name":"Locomotive ID","value":"4031"},{"id":130,"name":"Impact","value":""},{"id":150,"name":"Time of Event (Mountain Time)","value":"18:57:31"},{"id":151,"name":"Denver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/c/Users/stu/AppData/Local/Temp/OnboardLogs/RTDC4031 --include="*4031*201711020*"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"%USERPROFILE%\AppData\Local\Temp\OnboardLogs"\RTDC4031\*4031*201711020* &gt;&gt; 2017-11-01-SliceDisagreementCheck.txt</v>
      </c>
      <c r="AE34" s="145" t="str">
        <f t="shared" si="9"/>
        <v>start /low /b %USERPROFILE%\Documents\GitHub\eaglep3\Utilities\DownloadLogsFromS3.py --loco 4031 --day 2017-11-02</v>
      </c>
      <c r="AF34" s="1"/>
    </row>
    <row r="35" spans="1:32" x14ac:dyDescent="0.25">
      <c r="A35" s="31">
        <v>43040.856747685182</v>
      </c>
      <c r="B35" s="30" t="s">
        <v>627</v>
      </c>
      <c r="C35" s="30" t="s">
        <v>647</v>
      </c>
      <c r="D35" s="30" t="s">
        <v>95</v>
      </c>
      <c r="E35" s="30" t="s">
        <v>362</v>
      </c>
      <c r="F35" s="42">
        <v>0</v>
      </c>
      <c r="G35" s="42">
        <v>51</v>
      </c>
      <c r="H35" s="42">
        <v>58373</v>
      </c>
      <c r="I35" s="42">
        <v>58318</v>
      </c>
      <c r="J35" s="30" t="s">
        <v>363</v>
      </c>
      <c r="K35" s="42">
        <v>58472</v>
      </c>
      <c r="L35" s="131" t="s">
        <v>51</v>
      </c>
      <c r="M35" s="132">
        <f t="shared" si="0"/>
        <v>-81.311999999999998</v>
      </c>
      <c r="N35" s="133" t="str">
        <f>VLOOKUP(C35,'Trips&amp;Operators'!$C$1:$G$99911,5,FALSE)</f>
        <v>HAMMOND JUSTYNN</v>
      </c>
      <c r="O35" s="176" t="s">
        <v>356</v>
      </c>
      <c r="P35" s="134" t="s">
        <v>1106</v>
      </c>
      <c r="Q35" s="30"/>
      <c r="R35" s="81" t="str">
        <f>VLOOKUP(C35,'Train Runs'!$A$13:$AE$10098,31,0)</f>
        <v>aws s3 cp s3://rtdc.mdm.uploadarchive.raw/RTDC4031/ "%USERPROFILE%\AppData\Local\Temp\OnboardLogs"\RTDC4031\2017-11-01 --exclude "*" --recursive --include "*20171101*" &amp; "%USERPROFILE%\Documents\GitHub\mrs-test-scripts\Headless Mode &amp; Sideloading\WalkAndUnGZ.bat" "%USERPROFILE%\AppData\Local\Temp\OnboardLogs"\RTDC4031\2017-11-01 &amp; 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</v>
      </c>
      <c r="S35" s="84" t="str">
        <f>VLOOKUP(C35,'Train Runs'!$A$13:$AE$10098,22,0)</f>
        <v>https://d0f6bd738d7f1b3e5a7ca70fe4ff75f0.us-east-1.aws.found.io/app/kibana#/discover/Steve-Slow-Train-Analysis-(2080s-and-2083s)?_g=(refreshInterval:(display:Off,pause:!f,section:0,value:0),time:(from:'2017-11-01T19:31:15-0600',mode:absolute,to:'2017-11-01T22:00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5" s="86" t="str">
        <f t="shared" si="1"/>
        <v>"C:\Program Files (x86)\AstroGrep\AstroGrep.exe" /e /r /s /spath="%USERPROFILE%\AppData\Local\Temp\OnboardLogs" /stypes="*4031*201711020*" /stext=" 02:.+((SYSTEM_STATE.+slice.+state.+changed )|(ment ac)|(multiple cpu faults)|(system.+state.+changed )|(\[timeout)|(PRM\|1\|D)|(kpr)|(kdp)|(train st.+moving)|(\|lc)|(penalty))"</v>
      </c>
      <c r="U35" s="9" t="str">
        <f t="shared" si="2"/>
        <v>4031</v>
      </c>
      <c r="V35" s="31">
        <f t="shared" si="3"/>
        <v>43041.106747685182</v>
      </c>
      <c r="W35" s="45" t="str">
        <f t="shared" si="4"/>
        <v>NW</v>
      </c>
      <c r="X35" s="22">
        <f t="shared" si="5"/>
        <v>842</v>
      </c>
      <c r="Y35" s="96" t="str">
        <f t="shared" si="6"/>
        <v>echo {"issue":{"subject":"Observed onboard en route failure","project_id":79,"tracker_id":40,"status_id":1,"priority_id":2,"assigned_to_id":338,"start_date":"2017-11-01","description":"","custom_fields":[{"id":1,"name":"Subdivision","value":"NW"},{"id":4,"name":"Milepost","value":"5.8472"},{"id":17,"name":"Train ID","value":"842-01"},{"id":16,"name":"Locomotive ID","value":"4031"},{"id":130,"name":"Impact","value":""},{"id":150,"name":"Time of Event (Mountain Time)","value":"20:33:43"},{"id":151,"name":"Denver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/c/Users/stu/AppData/Local/Temp/OnboardLogs/RTDC4031 --include="*4031*201711020*"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"%USERPROFILE%\AppData\Local\Temp\OnboardLogs"\RTDC4031\*4031*201711020* &gt;&gt; 2017-11-01-SliceDisagreementCheck.txt</v>
      </c>
      <c r="AE35" s="145" t="str">
        <f t="shared" si="9"/>
        <v>start /low /b %USERPROFILE%\Documents\GitHub\eaglep3\Utilities\DownloadLogsFromS3.py --loco 4031 --day 2017-11-02</v>
      </c>
      <c r="AF35" s="1"/>
    </row>
    <row r="36" spans="1:32" x14ac:dyDescent="0.25">
      <c r="A36" s="31">
        <v>43040.912835648145</v>
      </c>
      <c r="B36" s="30" t="s">
        <v>627</v>
      </c>
      <c r="C36" s="30" t="s">
        <v>648</v>
      </c>
      <c r="D36" s="30" t="s">
        <v>49</v>
      </c>
      <c r="E36" s="30" t="s">
        <v>179</v>
      </c>
      <c r="F36" s="42">
        <v>0</v>
      </c>
      <c r="G36" s="42">
        <v>22</v>
      </c>
      <c r="H36" s="42">
        <v>41</v>
      </c>
      <c r="I36" s="42">
        <v>28</v>
      </c>
      <c r="J36" s="30" t="s">
        <v>180</v>
      </c>
      <c r="K36" s="42">
        <v>1</v>
      </c>
      <c r="L36" s="131" t="s">
        <v>51</v>
      </c>
      <c r="M36" s="132">
        <f t="shared" si="0"/>
        <v>14.256</v>
      </c>
      <c r="N36" s="133" t="str">
        <f>VLOOKUP(C36,'Trips&amp;Operators'!$C$1:$G$99911,5,FALSE)</f>
        <v>STAMBAUGH JAMES</v>
      </c>
      <c r="O36" s="176" t="s">
        <v>178</v>
      </c>
      <c r="P36" s="134"/>
      <c r="Q36" s="30"/>
      <c r="R36" s="81" t="str">
        <f>VLOOKUP(C36,'Train Runs'!$A$13:$AE$10098,31,0)</f>
        <v>aws s3 cp s3://rtdc.mdm.uploadarchive.raw/RTDC4031/ "%USERPROFILE%\AppData\Local\Temp\OnboardLogs"\RTDC4031\2017-11-01 --exclude "*" --recursive --include "*20171101*" &amp; "%USERPROFILE%\Documents\GitHub\mrs-test-scripts\Headless Mode &amp; Sideloading\WalkAndUnGZ.bat" "%USERPROFILE%\AppData\Local\Temp\OnboardLogs"\RTDC4031\2017-11-01 &amp; 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</v>
      </c>
      <c r="S36" s="84" t="str">
        <f>VLOOKUP(C36,'Train Runs'!$A$13:$AE$10098,22,0)</f>
        <v>https://d0f6bd738d7f1b3e5a7ca70fe4ff75f0.us-east-1.aws.found.io/app/kibana#/discover/Steve-Slow-Train-Analysis-(2080s-and-2083s)?_g=(refreshInterval:(display:Off,pause:!f,section:0,value:0),time:(from:'2017-11-01T20:23:39-0600',mode:absolute,to:'2017-11-01T22:54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6" s="86" t="str">
        <f t="shared" si="1"/>
        <v>"C:\Program Files (x86)\AstroGrep\AstroGrep.exe" /e /r /s /spath="%USERPROFILE%\AppData\Local\Temp\OnboardLogs" /stypes="*4031*201711020*" /stext=" 03:.+((SYSTEM_STATE.+slice.+state.+changed )|(ment ac)|(multiple cpu faults)|(system.+state.+changed )|(\[timeout)|(PRM\|1\|D)|(kpr)|(kdp)|(train st.+moving)|(\|lc)|(penalty))"</v>
      </c>
      <c r="U36" s="9" t="str">
        <f t="shared" si="2"/>
        <v>4031</v>
      </c>
      <c r="V36" s="31">
        <f t="shared" si="3"/>
        <v>43041.162835648145</v>
      </c>
      <c r="W36" s="45" t="str">
        <f t="shared" si="4"/>
        <v>NW</v>
      </c>
      <c r="X36" s="22">
        <f t="shared" si="5"/>
        <v>844</v>
      </c>
      <c r="Y36" s="96" t="str">
        <f t="shared" si="6"/>
        <v>echo {"issue":{"subject":"","project_id":79,"tracker_id":40,"status_id":1,"priority_id":2,"assigned_to_id":338,"start_date":"2017-11-01","description":"","custom_fields":[{"id":1,"name":"Subdivision","value":"NW"},{"id":4,"name":"Milepost","value":"0.0001"},{"id":17,"name":"Train ID","value":"844-01"},{"id":16,"name":"Locomotive ID","value":"4031"},{"id":130,"name":"Impact","value":""},{"id":150,"name":"Time of Event (Mountain Time)","value":"21:54:29"},{"id":151,"name":"Denver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/c/Users/stu/AppData/Local/Temp/OnboardLogs/RTDC4031 --include="*4031*201711020*"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"%USERPROFILE%\AppData\Local\Temp\OnboardLogs"\RTDC4031\*4031*201711020* &gt;&gt; 2017-11-01-SliceDisagreementCheck.txt</v>
      </c>
      <c r="AE36" s="145" t="str">
        <f t="shared" si="9"/>
        <v>start /low /b %USERPROFILE%\Documents\GitHub\eaglep3\Utilities\DownloadLogsFromS3.py --loco 4031 --day 2017-11-02</v>
      </c>
      <c r="AF36" s="1"/>
    </row>
    <row r="37" spans="1:32" x14ac:dyDescent="0.25">
      <c r="A37" s="31">
        <v>43040.287708333337</v>
      </c>
      <c r="B37" s="30" t="s">
        <v>373</v>
      </c>
      <c r="C37" s="30" t="s">
        <v>614</v>
      </c>
      <c r="D37" s="30" t="s">
        <v>95</v>
      </c>
      <c r="E37" s="30" t="s">
        <v>179</v>
      </c>
      <c r="F37" s="42">
        <v>0</v>
      </c>
      <c r="G37" s="42">
        <v>3</v>
      </c>
      <c r="H37" s="42">
        <v>59048</v>
      </c>
      <c r="I37" s="42">
        <v>59042</v>
      </c>
      <c r="J37" s="30" t="s">
        <v>180</v>
      </c>
      <c r="K37" s="42">
        <v>59048</v>
      </c>
      <c r="L37" s="131" t="s">
        <v>50</v>
      </c>
      <c r="M37" s="132">
        <f t="shared" si="0"/>
        <v>3.1680000000000001</v>
      </c>
      <c r="N37" s="133" t="str">
        <f>VLOOKUP(C37,'Trips&amp;Operators'!$C$1:$G$99911,5,FALSE)</f>
        <v>LAMAR NEKESHA</v>
      </c>
      <c r="O37" s="176" t="s">
        <v>178</v>
      </c>
      <c r="P37" s="134"/>
      <c r="Q37" s="30"/>
      <c r="R37" s="81" t="str">
        <f>VLOOKUP(C37,'Train Runs'!$A$13:$AE$10098,31,0)</f>
        <v>aws s3 cp s3://rtdc.mdm.uploadarchive.raw/RTDC4024/ "%USERPROFILE%\AppData\Local\Temp\OnboardLogs"\RTDC4024\2017-11-01 --exclude "*" --recursive --include "*20171101*" &amp; "%USERPROFILE%\Documents\GitHub\mrs-test-scripts\Headless Mode &amp; Sideloading\WalkAndUnGZ.bat" "%USERPROFILE%\AppData\Local\Temp\OnboardLogs"\RTDC4024\2017-11-01 &amp; aws s3 cp s3://rtdc.mdm.uploadarchive.raw/RTDC4024/ "%USERPROFILE%\AppData\Local\Temp\OnboardLogs"\RTDC4024\2017-11-02 --exclude "*" --recursive --include "*20171102*" &amp; "%USERPROFILE%\Documents\GitHub\mrs-test-scripts\Headless Mode &amp; Sideloading\WalkAndUnGZ.bat" "%USERPROFILE%\AppData\Local\Temp\OnboardLogs"\RTDC4024\2017-11-02</v>
      </c>
      <c r="S37" s="84" t="str">
        <f>VLOOKUP(C37,'Train Runs'!$A$13:$AE$10098,22,0)</f>
        <v>https://d0f6bd738d7f1b3e5a7ca70fe4ff75f0.us-east-1.aws.found.io/app/kibana#/discover/Steve-Slow-Train-Analysis-(2080s-and-2083s)?_g=(refreshInterval:(display:Off,pause:!f,section:0,value:0),time:(from:'2017-11-01T05:36:35-0600',mode:absolute,to:'2017-11-01T07:54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37" s="86" t="str">
        <f t="shared" si="1"/>
        <v>"C:\Program Files (x86)\AstroGrep\AstroGrep.exe" /e /r /s /spath="%USERPROFILE%\AppData\Local\Temp\OnboardLogs" /stypes="*4024*201711011*" /stext=" 12:.+((SYSTEM_STATE.+slice.+state.+changed )|(ment ac)|(multiple cpu faults)|(system.+state.+changed )|(\[timeout)|(PRM\|1\|D)|(kpr)|(kdp)|(train st.+moving)|(\|lc)|(penalty))"</v>
      </c>
      <c r="U37" s="9" t="str">
        <f t="shared" si="2"/>
        <v>4024</v>
      </c>
      <c r="V37" s="31">
        <f t="shared" si="3"/>
        <v>43040.537708333337</v>
      </c>
      <c r="W37" s="45" t="str">
        <f t="shared" si="4"/>
        <v>NW</v>
      </c>
      <c r="X37" s="22">
        <f t="shared" si="5"/>
        <v>805</v>
      </c>
      <c r="Y37" s="96" t="str">
        <f t="shared" si="6"/>
        <v>echo {"issue":{"subject":"","project_id":79,"tracker_id":40,"status_id":1,"priority_id":2,"assigned_to_id":338,"start_date":"2017-11-01","description":"","custom_fields":[{"id":1,"name":"Subdivision","value":"NW"},{"id":4,"name":"Milepost","value":"5.9048"},{"id":17,"name":"Train ID","value":"805-01"},{"id":16,"name":"Locomotive ID","value":"4024"},{"id":130,"name":"Impact","value":""},{"id":150,"name":"Time of Event (Mountain Time)","value":"06:54:18"},{"id":151,"name":"Denver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/c/Users/stu/AppData/Local/Temp/OnboardLogs/RTDC4024 --include="*4024*201711011*"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"%USERPROFILE%\AppData\Local\Temp\OnboardLogs"\RTDC4024\*4024*201711011* &gt;&gt; 2017-11-01-SliceDisagreementCheck.txt</v>
      </c>
      <c r="AE37" s="145" t="str">
        <f t="shared" si="9"/>
        <v>start /low /b %USERPROFILE%\Documents\GitHub\eaglep3\Utilities\DownloadLogsFromS3.py --loco 4024 --day 2017-11-01</v>
      </c>
      <c r="AF37" s="1"/>
    </row>
    <row r="38" spans="1:32" x14ac:dyDescent="0.25">
      <c r="A38" s="31">
        <v>43040.354895833334</v>
      </c>
      <c r="B38" s="30" t="s">
        <v>373</v>
      </c>
      <c r="C38" s="30" t="s">
        <v>618</v>
      </c>
      <c r="D38" s="30" t="s">
        <v>95</v>
      </c>
      <c r="E38" s="30" t="s">
        <v>362</v>
      </c>
      <c r="F38" s="42">
        <v>0</v>
      </c>
      <c r="G38" s="42">
        <v>86</v>
      </c>
      <c r="H38" s="42">
        <v>1793</v>
      </c>
      <c r="I38" s="42">
        <v>1875</v>
      </c>
      <c r="J38" s="30" t="s">
        <v>363</v>
      </c>
      <c r="K38" s="42">
        <v>1725</v>
      </c>
      <c r="L38" s="131" t="s">
        <v>50</v>
      </c>
      <c r="M38" s="132">
        <f t="shared" si="0"/>
        <v>-79.2</v>
      </c>
      <c r="N38" s="133" t="str">
        <f>VLOOKUP(C38,'Trips&amp;Operators'!$C$1:$G$99911,5,FALSE)</f>
        <v>LAMAR NEKESHA</v>
      </c>
      <c r="O38" s="176" t="s">
        <v>178</v>
      </c>
      <c r="P38" s="134" t="s">
        <v>1108</v>
      </c>
      <c r="Q38" s="30"/>
      <c r="R38" s="81" t="str">
        <f>VLOOKUP(C38,'Train Runs'!$A$13:$AE$10098,31,0)</f>
        <v>aws s3 cp s3://rtdc.mdm.uploadarchive.raw/RTDC4024/ "%USERPROFILE%\AppData\Local\Temp\OnboardLogs"\RTDC4024\2017-11-01 --exclude "*" --recursive --include "*20171101*" &amp; "%USERPROFILE%\Documents\GitHub\mrs-test-scripts\Headless Mode &amp; Sideloading\WalkAndUnGZ.bat" "%USERPROFILE%\AppData\Local\Temp\OnboardLogs"\RTDC4024\2017-11-01 &amp; aws s3 cp s3://rtdc.mdm.uploadarchive.raw/RTDC4024/ "%USERPROFILE%\AppData\Local\Temp\OnboardLogs"\RTDC4024\2017-11-02 --exclude "*" --recursive --include "*20171102*" &amp; "%USERPROFILE%\Documents\GitHub\mrs-test-scripts\Headless Mode &amp; Sideloading\WalkAndUnGZ.bat" "%USERPROFILE%\AppData\Local\Temp\OnboardLogs"\RTDC4024\2017-11-02</v>
      </c>
      <c r="S38" s="84" t="str">
        <f>VLOOKUP(C38,'Train Runs'!$A$13:$AE$10098,22,0)</f>
        <v>https://d0f6bd738d7f1b3e5a7ca70fe4ff75f0.us-east-1.aws.found.io/app/kibana#/discover/Steve-Slow-Train-Analysis-(2080s-and-2083s)?_g=(refreshInterval:(display:Off,pause:!f,section:0,value:0),time:(from:'2017-11-01T07:28:34-0600',mode:absolute,to:'2017-11-01T09:40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38" s="86" t="str">
        <f t="shared" si="1"/>
        <v>"C:\Program Files (x86)\AstroGrep\AstroGrep.exe" /e /r /s /spath="%USERPROFILE%\AppData\Local\Temp\OnboardLogs" /stypes="*4024*201711011*" /stext=" 14:.+((SYSTEM_STATE.+slice.+state.+changed )|(ment ac)|(multiple cpu faults)|(system.+state.+changed )|(\[timeout)|(PRM\|1\|D)|(kpr)|(kdp)|(train st.+moving)|(\|lc)|(penalty))"</v>
      </c>
      <c r="U38" s="9" t="str">
        <f t="shared" si="2"/>
        <v>4024</v>
      </c>
      <c r="V38" s="31">
        <f t="shared" si="3"/>
        <v>43040.604895833334</v>
      </c>
      <c r="W38" s="45" t="str">
        <f t="shared" si="4"/>
        <v>Other</v>
      </c>
      <c r="X38" s="22">
        <f t="shared" si="5"/>
        <v>903</v>
      </c>
      <c r="Y38" s="96" t="str">
        <f t="shared" si="6"/>
        <v>echo {"issue":{"subject":"Observed poor GPS at DUS","project_id":79,"tracker_id":40,"status_id":1,"priority_id":2,"assigned_to_id":338,"start_date":"2017-11-01","description":"","custom_fields":[{"id":1,"name":"Subdivision","value":"Other"},{"id":4,"name":"Milepost","value":"0.1725"},{"id":17,"name":"Train ID","value":"903-01"},{"id":16,"name":"Locomotive ID","value":"4024"},{"id":130,"name":"Impact","value":""},{"id":150,"name":"Time of Event (Mountain Time)","value":"08:31:03"},{"id":151,"name":"Denver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/c/Users/stu/AppData/Local/Temp/OnboardLogs/RTDC4024 --include="*4024*201711011*"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"%USERPROFILE%\AppData\Local\Temp\OnboardLogs"\RTDC4024\*4024*201711011* &gt;&gt; 2017-11-01-SliceDisagreementCheck.txt</v>
      </c>
      <c r="AE38" s="145" t="str">
        <f t="shared" si="9"/>
        <v>start /low /b %USERPROFILE%\Documents\GitHub\eaglep3\Utilities\DownloadLogsFromS3.py --loco 4024 --day 2017-11-01</v>
      </c>
      <c r="AF38" s="1"/>
    </row>
    <row r="39" spans="1:32" x14ac:dyDescent="0.25">
      <c r="A39" s="31">
        <v>43040.726053240738</v>
      </c>
      <c r="B39" s="30" t="s">
        <v>463</v>
      </c>
      <c r="C39" s="30" t="s">
        <v>645</v>
      </c>
      <c r="D39" s="30" t="s">
        <v>95</v>
      </c>
      <c r="E39" s="30" t="s">
        <v>179</v>
      </c>
      <c r="F39" s="42">
        <v>0</v>
      </c>
      <c r="G39" s="42">
        <v>5</v>
      </c>
      <c r="H39" s="42">
        <v>839</v>
      </c>
      <c r="I39" s="42">
        <v>0</v>
      </c>
      <c r="J39" s="30" t="s">
        <v>180</v>
      </c>
      <c r="K39" s="42">
        <v>839</v>
      </c>
      <c r="L39" s="131" t="s">
        <v>51</v>
      </c>
      <c r="M39" s="132">
        <f t="shared" si="0"/>
        <v>-442.99200000000002</v>
      </c>
      <c r="N39" s="133" t="str">
        <f>VLOOKUP(C39,'Trips&amp;Operators'!$C$1:$G$99911,5,FALSE)</f>
        <v>LOPES KIMBERLY</v>
      </c>
      <c r="O39" s="176" t="s">
        <v>178</v>
      </c>
      <c r="P39" s="134"/>
      <c r="Q39" s="30"/>
      <c r="R39" s="81" t="e">
        <f>VLOOKUP(C39,'Train Runs'!$A$13:$AE$10098,31,0)</f>
        <v>#N/A</v>
      </c>
      <c r="S39" s="84" t="e">
        <f>VLOOKUP(C39,'Train Runs'!$A$13:$AE$10098,22,0)</f>
        <v>#N/A</v>
      </c>
      <c r="T39" s="86" t="str">
        <f t="shared" si="1"/>
        <v>"C:\Program Files (x86)\AstroGrep\AstroGrep.exe" /e /r /s /spath="%USERPROFILE%\AppData\Local\Temp\OnboardLogs" /stypes="*4027*201711012*" /stext=" 23:.+((SYSTEM_STATE.+slice.+state.+changed )|(ment ac)|(multiple cpu faults)|(system.+state.+changed )|(\[timeout)|(PRM\|1\|D)|(kpr)|(kdp)|(train st.+moving)|(\|lc)|(penalty))"</v>
      </c>
      <c r="U39" s="9" t="str">
        <f t="shared" si="2"/>
        <v>4027</v>
      </c>
      <c r="V39" s="31">
        <f t="shared" si="3"/>
        <v>43040.976053240738</v>
      </c>
      <c r="W39" s="45" t="str">
        <f t="shared" si="4"/>
        <v>Shuttle/Test</v>
      </c>
      <c r="X39" s="22">
        <f t="shared" si="5"/>
        <v>74</v>
      </c>
      <c r="Y39" s="96" t="str">
        <f t="shared" si="6"/>
        <v>echo {"issue":{"subject":"","project_id":79,"tracker_id":40,"status_id":1,"priority_id":2,"assigned_to_id":338,"start_date":"2017-11-01","description":"","custom_fields":[{"id":1,"name":"Subdivision","value":"Shuttle/Test"},{"id":4,"name":"Milepost","value":"0.0839"},{"id":17,"name":"Train ID","value":"74-01"},{"id":16,"name":"Locomotive ID","value":"4027"},{"id":130,"name":"Impact","value":""},{"id":150,"name":"Time of Event (Mountain Time)","value":"17:25:31"},{"id":151,"name":"Denver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9" s="159"/>
      <c r="AA39" s="47"/>
      <c r="AB39" s="47"/>
      <c r="AC39" s="115" t="str">
        <f t="shared" si="7"/>
        <v>grep -hrE -A400 "Enforcement Action" /c/Users/stu/AppData/Local/Temp/OnboardLogs/RTDC4027 --include="*4027*201711012*"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"%USERPROFILE%\AppData\Local\Temp\OnboardLogs"\RTDC4027\*4027*201711012* &gt;&gt; 2017-11-01-SliceDisagreementCheck.txt</v>
      </c>
      <c r="AE39" s="145" t="str">
        <f t="shared" si="9"/>
        <v>start /low /b %USERPROFILE%\Documents\GitHub\eaglep3\Utilities\DownloadLogsFromS3.py --loco 4027 --day 2017-11-01</v>
      </c>
      <c r="AF39" s="1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</sheetData>
  <autoFilter ref="A6:AC36">
    <sortState ref="A7:AC39">
      <sortCondition ref="W7:W39"/>
      <sortCondition ref="E7:E39"/>
      <sortCondition ref="K7:K39"/>
      <sortCondition ref="F7:F39"/>
    </sortState>
  </autoFilter>
  <sortState ref="A7:AE24">
    <sortCondition ref="W7:W24"/>
    <sortCondition ref="E7:E24"/>
    <sortCondition ref="K7:K24"/>
    <sortCondition ref="C7:C24"/>
    <sortCondition ref="F7:F24"/>
  </sortState>
  <mergeCells count="1">
    <mergeCell ref="A5:O5"/>
  </mergeCells>
  <conditionalFormatting sqref="O6:P6 R6 O54:O1048576 O7:O39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39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AA7:AA39</xm:sqref>
        </x14:dataValidation>
        <x14:dataValidation type="list" allowBlank="1" showInputMessage="1" showErrorMessage="1">
          <x14:formula1>
            <xm:f>'Redmine List Values'!$C$2:$C$15</xm:f>
          </x14:formula1>
          <xm:sqref>AB7:AB39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5" x14ac:dyDescent="0.25"/>
  <cols>
    <col min="1" max="1" width="8" style="196" customWidth="1"/>
    <col min="2" max="2" width="9.140625" style="2" customWidth="1"/>
    <col min="3" max="3" width="8" style="88" bestFit="1" customWidth="1"/>
    <col min="4" max="4" width="11.2851562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9" customWidth="1"/>
    <col min="10" max="10" width="9.140625" customWidth="1"/>
  </cols>
  <sheetData>
    <row r="1" spans="1:10" s="20" customFormat="1" x14ac:dyDescent="0.25">
      <c r="A1" s="196"/>
      <c r="B1" s="227" t="str">
        <f>"Trips that did not appear in PTC Data "&amp;TEXT(Variables!$A$2,"YYYY-mm-dd")</f>
        <v>Trips that did not appear in PTC Data 2017-11-01</v>
      </c>
      <c r="C1" s="227"/>
      <c r="D1" s="227"/>
      <c r="E1" s="227"/>
      <c r="F1" s="227"/>
      <c r="I1" s="189"/>
    </row>
    <row r="2" spans="1:10" s="23" customFormat="1" ht="45" x14ac:dyDescent="0.25">
      <c r="A2" s="224" t="s">
        <v>146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25">
      <c r="A3" s="198">
        <v>243</v>
      </c>
      <c r="B3" s="42" t="str">
        <f>A3&amp;"-"&amp;IF(DAY(Variables!$A$2)&lt;10,0,"")&amp;DAY(Variables!$A$2)</f>
        <v>243-01</v>
      </c>
      <c r="C3" s="135"/>
      <c r="D3" s="225" t="e">
        <f>VLOOKUP(B3,'Trips&amp;Operators'!$C$1:$H$1072,6,FALSE)</f>
        <v>#N/A</v>
      </c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22243-01%22)),sort:!(Time.ISO8601,asc))</v>
      </c>
      <c r="J3" s="30" t="str">
        <f>VLOOKUP(B3,'Train Runs'!$A$13:$A$100095,1,FALSE)</f>
        <v>243-01</v>
      </c>
    </row>
    <row r="4" spans="1:10" x14ac:dyDescent="0.25">
      <c r="A4" s="198"/>
      <c r="B4" s="42" t="str">
        <f>A4&amp;"-"&amp;IF(DAY(Variables!$A$2)&lt;10,0,"")&amp;DAY(Variables!$A$2)</f>
        <v>-01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" s="30" t="e">
        <f>VLOOKUP(B4,'Train Runs'!$A$13:$A$100095,1,FALSE)</f>
        <v>#N/A</v>
      </c>
    </row>
    <row r="5" spans="1:10" x14ac:dyDescent="0.25">
      <c r="A5" s="198"/>
      <c r="B5" s="42" t="str">
        <f>A5&amp;"-"&amp;IF(DAY(Variables!$A$2)&lt;10,0,"")&amp;DAY(Variables!$A$2)</f>
        <v>-01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" s="30" t="e">
        <f>VLOOKUP(B5,'Train Runs'!$A$13:$A$100095,1,FALSE)</f>
        <v>#N/A</v>
      </c>
    </row>
    <row r="6" spans="1:10" x14ac:dyDescent="0.25">
      <c r="A6" s="198"/>
      <c r="B6" s="42" t="str">
        <f>A6&amp;"-"&amp;IF(DAY(Variables!$A$2)&lt;10,0,"")&amp;DAY(Variables!$A$2)</f>
        <v>-01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6" s="30" t="e">
        <f>VLOOKUP(B6,'Train Runs'!$A$13:$A$100095,1,FALSE)</f>
        <v>#N/A</v>
      </c>
    </row>
    <row r="7" spans="1:10" x14ac:dyDescent="0.25">
      <c r="A7" s="198"/>
      <c r="B7" s="42" t="str">
        <f>A7&amp;"-"&amp;IF(DAY(Variables!$A$2)&lt;10,0,"")&amp;DAY(Variables!$A$2)</f>
        <v>-01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7" s="30" t="e">
        <f>VLOOKUP(B7,'Train Runs'!$A$13:$A$100095,1,FALSE)</f>
        <v>#N/A</v>
      </c>
    </row>
    <row r="8" spans="1:10" x14ac:dyDescent="0.25">
      <c r="A8" s="198"/>
      <c r="B8" s="42" t="str">
        <f>A8&amp;"-"&amp;IF(DAY(Variables!$A$2)&lt;10,0,"")&amp;DAY(Variables!$A$2)</f>
        <v>-01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8" s="30" t="e">
        <f>VLOOKUP(B8,'Train Runs'!$A$13:$A$100095,1,FALSE)</f>
        <v>#N/A</v>
      </c>
    </row>
    <row r="9" spans="1:10" x14ac:dyDescent="0.25">
      <c r="A9" s="198"/>
      <c r="B9" s="42" t="str">
        <f>A9&amp;"-"&amp;IF(DAY(Variables!$A$2)&lt;10,0,"")&amp;DAY(Variables!$A$2)</f>
        <v>-01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9" s="30" t="e">
        <f>VLOOKUP(B9,'Train Runs'!$A$13:$A$100095,1,FALSE)</f>
        <v>#N/A</v>
      </c>
    </row>
    <row r="10" spans="1:10" x14ac:dyDescent="0.25">
      <c r="A10" s="198"/>
      <c r="B10" s="42" t="str">
        <f>A10&amp;"-"&amp;IF(DAY(Variables!$A$2)&lt;10,0,"")&amp;DAY(Variables!$A$2)</f>
        <v>-01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0" s="30" t="e">
        <f>VLOOKUP(B10,'Train Runs'!$A$13:$A$100095,1,FALSE)</f>
        <v>#N/A</v>
      </c>
    </row>
    <row r="11" spans="1:10" x14ac:dyDescent="0.25">
      <c r="A11" s="198"/>
      <c r="B11" s="42" t="str">
        <f>A11&amp;"-"&amp;IF(DAY(Variables!$A$2)&lt;10,0,"")&amp;DAY(Variables!$A$2)</f>
        <v>-01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1" s="30" t="e">
        <f>VLOOKUP(B11,'Train Runs'!$A$13:$A$100095,1,FALSE)</f>
        <v>#N/A</v>
      </c>
    </row>
    <row r="12" spans="1:10" x14ac:dyDescent="0.25">
      <c r="A12" s="198"/>
      <c r="B12" s="42" t="str">
        <f>A12&amp;"-"&amp;IF(DAY(Variables!$A$2)&lt;10,0,"")&amp;DAY(Variables!$A$2)</f>
        <v>-01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2" s="30" t="e">
        <f>VLOOKUP(B12,'Train Runs'!$A$13:$A$100095,1,FALSE)</f>
        <v>#N/A</v>
      </c>
    </row>
    <row r="13" spans="1:10" x14ac:dyDescent="0.25">
      <c r="A13" s="198"/>
      <c r="B13" s="42" t="str">
        <f>A13&amp;"-"&amp;IF(DAY(Variables!$A$2)&lt;10,0,"")&amp;DAY(Variables!$A$2)</f>
        <v>-01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3" s="30" t="e">
        <f>VLOOKUP(B13,'Train Runs'!$A$13:$A$100095,1,FALSE)</f>
        <v>#N/A</v>
      </c>
    </row>
    <row r="14" spans="1:10" x14ac:dyDescent="0.25">
      <c r="A14" s="198"/>
      <c r="B14" s="42" t="str">
        <f>A14&amp;"-"&amp;IF(DAY(Variables!$A$2)&lt;10,0,"")&amp;DAY(Variables!$A$2)</f>
        <v>-01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4" s="30" t="e">
        <f>VLOOKUP(B14,'Train Runs'!$A$13:$A$100095,1,FALSE)</f>
        <v>#N/A</v>
      </c>
    </row>
    <row r="15" spans="1:10" x14ac:dyDescent="0.25">
      <c r="A15" s="198"/>
      <c r="B15" s="42" t="str">
        <f>A15&amp;"-"&amp;IF(DAY(Variables!$A$2)&lt;10,0,"")&amp;DAY(Variables!$A$2)</f>
        <v>-01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5" s="30" t="e">
        <f>VLOOKUP(B15,'Train Runs'!$A$13:$A$100095,1,FALSE)</f>
        <v>#N/A</v>
      </c>
    </row>
    <row r="16" spans="1:10" x14ac:dyDescent="0.25">
      <c r="A16" s="198"/>
      <c r="B16" s="42" t="str">
        <f>A16&amp;"-"&amp;IF(DAY(Variables!$A$2)&lt;10,0,"")&amp;DAY(Variables!$A$2)</f>
        <v>-01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6" s="30" t="e">
        <f>VLOOKUP(B16,'Train Runs'!$A$13:$A$100095,1,FALSE)</f>
        <v>#N/A</v>
      </c>
    </row>
    <row r="17" spans="1:10" x14ac:dyDescent="0.25">
      <c r="A17" s="198"/>
      <c r="B17" s="42" t="str">
        <f>A17&amp;"-"&amp;IF(DAY(Variables!$A$2)&lt;10,0,"")&amp;DAY(Variables!$A$2)</f>
        <v>-01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7" s="30" t="e">
        <f>VLOOKUP(B17,'Train Runs'!$A$13:$A$100095,1,FALSE)</f>
        <v>#N/A</v>
      </c>
    </row>
    <row r="18" spans="1:10" x14ac:dyDescent="0.25">
      <c r="A18" s="198"/>
      <c r="B18" s="42" t="str">
        <f>A18&amp;"-"&amp;IF(DAY(Variables!$A$2)&lt;10,0,"")&amp;DAY(Variables!$A$2)</f>
        <v>-01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8" s="30" t="e">
        <f>VLOOKUP(B18,'Train Runs'!$A$13:$A$100095,1,FALSE)</f>
        <v>#N/A</v>
      </c>
    </row>
    <row r="19" spans="1:10" x14ac:dyDescent="0.25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25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25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25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25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25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25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25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25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25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25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25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25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25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25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25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25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25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25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25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25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25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25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25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25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25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25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25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25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25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25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25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25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25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25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25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25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25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25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25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25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25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25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25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25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25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25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25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25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25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25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25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25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25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25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25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76" workbookViewId="0">
      <selection sqref="A1:F243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8" t="s">
        <v>170</v>
      </c>
      <c r="E1" s="20" t="s">
        <v>171</v>
      </c>
      <c r="F1" s="20" t="s">
        <v>188</v>
      </c>
      <c r="G1" s="8" t="s">
        <v>187</v>
      </c>
      <c r="H1" s="20" t="s">
        <v>60</v>
      </c>
    </row>
    <row r="2" spans="1:8" x14ac:dyDescent="0.25">
      <c r="A2" s="8">
        <v>43040.031851851854</v>
      </c>
      <c r="B2" s="20" t="s">
        <v>406</v>
      </c>
      <c r="C2" s="20" t="s">
        <v>550</v>
      </c>
      <c r="D2" s="138">
        <v>3320000</v>
      </c>
      <c r="E2" s="20" t="s">
        <v>375</v>
      </c>
      <c r="F2" s="20" t="s">
        <v>376</v>
      </c>
      <c r="G2" s="8" t="str">
        <f>E2&amp;" "&amp;F2</f>
        <v>NICHOLSON WESLEY</v>
      </c>
      <c r="H2" t="str">
        <f>MID(B2,13,4)</f>
        <v>4011</v>
      </c>
    </row>
    <row r="3" spans="1:8" x14ac:dyDescent="0.25">
      <c r="A3" s="8">
        <v>43040.047708333332</v>
      </c>
      <c r="B3" s="20" t="s">
        <v>476</v>
      </c>
      <c r="C3" s="20" t="s">
        <v>551</v>
      </c>
      <c r="D3" s="138">
        <v>3670000</v>
      </c>
      <c r="E3" s="20" t="s">
        <v>432</v>
      </c>
      <c r="F3" s="20" t="s">
        <v>386</v>
      </c>
      <c r="G3" s="8" t="str">
        <f t="shared" ref="G3:G66" si="0">E3&amp;" "&amp;F3</f>
        <v>ANDREA WILLIAMS</v>
      </c>
      <c r="H3" s="20" t="str">
        <f t="shared" ref="H3:H66" si="1">MID(B3,13,4)</f>
        <v>4030</v>
      </c>
    </row>
    <row r="4" spans="1:8" x14ac:dyDescent="0.25">
      <c r="A4" s="8">
        <v>43040.057928240742</v>
      </c>
      <c r="B4" s="20" t="s">
        <v>382</v>
      </c>
      <c r="C4" s="20" t="s">
        <v>552</v>
      </c>
      <c r="D4" s="138">
        <v>2040000</v>
      </c>
      <c r="E4" s="20" t="s">
        <v>509</v>
      </c>
      <c r="F4" s="20" t="s">
        <v>510</v>
      </c>
      <c r="G4" s="8" t="str">
        <f t="shared" si="0"/>
        <v>MOSES BRADLEY</v>
      </c>
      <c r="H4" s="20" t="str">
        <f t="shared" si="1"/>
        <v>4035</v>
      </c>
    </row>
    <row r="5" spans="1:8" x14ac:dyDescent="0.25">
      <c r="A5" s="8">
        <v>43040.072083333333</v>
      </c>
      <c r="B5" s="20" t="s">
        <v>405</v>
      </c>
      <c r="C5" s="20" t="s">
        <v>553</v>
      </c>
      <c r="D5" s="138">
        <v>3320000</v>
      </c>
      <c r="E5" s="20" t="s">
        <v>375</v>
      </c>
      <c r="F5" s="20" t="s">
        <v>376</v>
      </c>
      <c r="G5" s="8" t="str">
        <f t="shared" si="0"/>
        <v>NICHOLSON WESLEY</v>
      </c>
      <c r="H5" s="20" t="str">
        <f t="shared" si="1"/>
        <v>4012</v>
      </c>
    </row>
    <row r="6" spans="1:8" x14ac:dyDescent="0.25">
      <c r="A6" s="8">
        <v>43040.088807870372</v>
      </c>
      <c r="B6" s="20" t="s">
        <v>381</v>
      </c>
      <c r="C6" s="20" t="s">
        <v>554</v>
      </c>
      <c r="D6" s="138">
        <v>2040000</v>
      </c>
      <c r="E6" s="20" t="s">
        <v>509</v>
      </c>
      <c r="F6" s="20" t="s">
        <v>510</v>
      </c>
      <c r="G6" s="8" t="str">
        <f t="shared" si="0"/>
        <v>MOSES BRADLEY</v>
      </c>
      <c r="H6" s="20" t="str">
        <f t="shared" si="1"/>
        <v>4036</v>
      </c>
    </row>
    <row r="7" spans="1:8" x14ac:dyDescent="0.25">
      <c r="A7" s="8">
        <v>43040.1171412037</v>
      </c>
      <c r="B7" s="20" t="s">
        <v>399</v>
      </c>
      <c r="C7" s="20" t="s">
        <v>651</v>
      </c>
      <c r="D7" s="138">
        <v>940000</v>
      </c>
      <c r="E7" s="20" t="s">
        <v>652</v>
      </c>
      <c r="F7" s="20" t="s">
        <v>653</v>
      </c>
      <c r="G7" s="8" t="str">
        <f t="shared" si="0"/>
        <v>BONDS REYNALDO</v>
      </c>
      <c r="H7" s="20" t="str">
        <f t="shared" si="1"/>
        <v>4003</v>
      </c>
    </row>
    <row r="8" spans="1:8" x14ac:dyDescent="0.25">
      <c r="A8" s="8">
        <v>43040.13013888889</v>
      </c>
      <c r="B8" s="20" t="s">
        <v>400</v>
      </c>
      <c r="C8" s="20" t="s">
        <v>654</v>
      </c>
      <c r="D8" s="138">
        <v>1090000</v>
      </c>
      <c r="E8" s="20" t="s">
        <v>428</v>
      </c>
      <c r="F8" s="20" t="s">
        <v>360</v>
      </c>
      <c r="G8" s="8" t="str">
        <f t="shared" si="0"/>
        <v>SPECTOR MICHAEL</v>
      </c>
      <c r="H8" s="20" t="str">
        <f t="shared" si="1"/>
        <v>4004</v>
      </c>
    </row>
    <row r="9" spans="1:8" ht="15.75" thickBot="1" x14ac:dyDescent="0.3">
      <c r="A9" s="24">
        <v>43040.131898148145</v>
      </c>
      <c r="B9" s="20" t="s">
        <v>640</v>
      </c>
      <c r="C9" s="20" t="s">
        <v>655</v>
      </c>
      <c r="D9" s="138">
        <v>940000</v>
      </c>
      <c r="E9" s="20" t="s">
        <v>652</v>
      </c>
      <c r="F9" s="20" t="s">
        <v>653</v>
      </c>
      <c r="G9" s="8" t="str">
        <f t="shared" si="0"/>
        <v>BONDS REYNALDO</v>
      </c>
      <c r="H9" s="20" t="str">
        <f t="shared" si="1"/>
        <v>4064</v>
      </c>
    </row>
    <row r="10" spans="1:8" x14ac:dyDescent="0.25">
      <c r="A10" s="8">
        <v>43040.139282407406</v>
      </c>
      <c r="B10" s="20" t="s">
        <v>399</v>
      </c>
      <c r="C10" s="20" t="s">
        <v>656</v>
      </c>
      <c r="D10" s="138">
        <v>1090000</v>
      </c>
      <c r="E10" s="20" t="s">
        <v>428</v>
      </c>
      <c r="F10" s="20" t="s">
        <v>360</v>
      </c>
      <c r="G10" s="8" t="str">
        <f t="shared" si="0"/>
        <v>SPECTOR MICHAEL</v>
      </c>
      <c r="H10" s="20" t="str">
        <f t="shared" si="1"/>
        <v>4003</v>
      </c>
    </row>
    <row r="11" spans="1:8" x14ac:dyDescent="0.25">
      <c r="A11" s="8">
        <v>43040.144988425927</v>
      </c>
      <c r="B11" s="20" t="s">
        <v>619</v>
      </c>
      <c r="C11" s="20" t="s">
        <v>657</v>
      </c>
      <c r="D11" s="138">
        <v>3120000</v>
      </c>
      <c r="E11" s="20" t="s">
        <v>401</v>
      </c>
      <c r="F11" s="20" t="s">
        <v>402</v>
      </c>
      <c r="G11" s="8" t="str">
        <f t="shared" si="0"/>
        <v>THOMPSON LESTER</v>
      </c>
      <c r="H11" s="20" t="str">
        <f t="shared" si="1"/>
        <v>4013</v>
      </c>
    </row>
    <row r="12" spans="1:8" x14ac:dyDescent="0.25">
      <c r="A12" s="8">
        <v>43040.154282407406</v>
      </c>
      <c r="B12" s="20" t="s">
        <v>610</v>
      </c>
      <c r="C12" s="20" t="s">
        <v>658</v>
      </c>
      <c r="D12" s="138">
        <v>3120000</v>
      </c>
      <c r="E12" s="20" t="s">
        <v>401</v>
      </c>
      <c r="F12" s="20" t="s">
        <v>402</v>
      </c>
      <c r="G12" s="8" t="str">
        <f t="shared" si="0"/>
        <v>THOMPSON LESTER</v>
      </c>
      <c r="H12" s="20" t="str">
        <f t="shared" si="1"/>
        <v>4014</v>
      </c>
    </row>
    <row r="13" spans="1:8" x14ac:dyDescent="0.25">
      <c r="A13" s="8">
        <v>43040.161851851852</v>
      </c>
      <c r="B13" s="20" t="s">
        <v>379</v>
      </c>
      <c r="C13" s="20" t="s">
        <v>659</v>
      </c>
      <c r="D13" s="138">
        <v>1830000</v>
      </c>
      <c r="E13" s="20" t="s">
        <v>354</v>
      </c>
      <c r="F13" s="20" t="s">
        <v>355</v>
      </c>
      <c r="G13" s="8" t="str">
        <f t="shared" si="0"/>
        <v>YORK EDGAR</v>
      </c>
      <c r="H13" s="20" t="str">
        <f t="shared" si="1"/>
        <v>4049</v>
      </c>
    </row>
    <row r="14" spans="1:8" x14ac:dyDescent="0.25">
      <c r="A14" s="8">
        <v>43040.169444444444</v>
      </c>
      <c r="B14" s="20" t="s">
        <v>616</v>
      </c>
      <c r="C14" s="20" t="s">
        <v>660</v>
      </c>
      <c r="D14" s="138">
        <v>940000</v>
      </c>
      <c r="E14" s="20" t="s">
        <v>652</v>
      </c>
      <c r="F14" s="20" t="s">
        <v>653</v>
      </c>
      <c r="G14" s="8" t="str">
        <f t="shared" si="0"/>
        <v>BONDS REYNALDO</v>
      </c>
      <c r="H14" s="20" t="str">
        <f t="shared" si="1"/>
        <v>4063</v>
      </c>
    </row>
    <row r="15" spans="1:8" x14ac:dyDescent="0.25">
      <c r="A15" s="8">
        <v>43040.169953703706</v>
      </c>
      <c r="B15" s="20" t="s">
        <v>378</v>
      </c>
      <c r="C15" s="20" t="s">
        <v>661</v>
      </c>
      <c r="D15" s="138">
        <v>1830000</v>
      </c>
      <c r="E15" s="20" t="s">
        <v>354</v>
      </c>
      <c r="F15" s="20" t="s">
        <v>355</v>
      </c>
      <c r="G15" s="8" t="str">
        <f t="shared" si="0"/>
        <v>YORK EDGAR</v>
      </c>
      <c r="H15" s="20" t="str">
        <f t="shared" si="1"/>
        <v>4050</v>
      </c>
    </row>
    <row r="16" spans="1:8" x14ac:dyDescent="0.25">
      <c r="A16" s="8">
        <v>43040.172974537039</v>
      </c>
      <c r="B16" s="20" t="s">
        <v>629</v>
      </c>
      <c r="C16" s="20" t="s">
        <v>662</v>
      </c>
      <c r="D16" s="138">
        <v>1340000</v>
      </c>
      <c r="E16" s="20" t="s">
        <v>663</v>
      </c>
      <c r="F16" s="20" t="s">
        <v>664</v>
      </c>
      <c r="G16" s="8" t="str">
        <f t="shared" si="0"/>
        <v>BEAM ROSS</v>
      </c>
      <c r="H16" s="20" t="str">
        <f t="shared" si="1"/>
        <v>4025</v>
      </c>
    </row>
    <row r="17" spans="1:8" x14ac:dyDescent="0.25">
      <c r="A17" s="8">
        <v>43040.183796296296</v>
      </c>
      <c r="B17" s="20" t="s">
        <v>493</v>
      </c>
      <c r="C17" s="20" t="s">
        <v>665</v>
      </c>
      <c r="D17" s="138">
        <v>1340000</v>
      </c>
      <c r="E17" s="20" t="s">
        <v>663</v>
      </c>
      <c r="F17" s="20" t="s">
        <v>664</v>
      </c>
      <c r="G17" s="8" t="str">
        <f t="shared" si="0"/>
        <v>BEAM ROSS</v>
      </c>
      <c r="H17" s="20" t="str">
        <f t="shared" si="1"/>
        <v>4026</v>
      </c>
    </row>
    <row r="18" spans="1:8" x14ac:dyDescent="0.25">
      <c r="A18" s="8">
        <v>43040.184756944444</v>
      </c>
      <c r="B18" s="20" t="s">
        <v>612</v>
      </c>
      <c r="C18" s="20" t="s">
        <v>666</v>
      </c>
      <c r="D18" s="138">
        <v>1110000</v>
      </c>
      <c r="E18" s="20" t="s">
        <v>472</v>
      </c>
      <c r="F18" s="20" t="s">
        <v>473</v>
      </c>
      <c r="G18" s="8" t="str">
        <f t="shared" si="0"/>
        <v>STARKS ANGELINA</v>
      </c>
      <c r="H18" s="20" t="str">
        <f t="shared" si="1"/>
        <v>4001</v>
      </c>
    </row>
    <row r="19" spans="1:8" x14ac:dyDescent="0.25">
      <c r="A19" s="8">
        <v>43040.195254629631</v>
      </c>
      <c r="B19" s="20" t="s">
        <v>619</v>
      </c>
      <c r="C19" s="20" t="s">
        <v>667</v>
      </c>
      <c r="D19" s="138">
        <v>3120000</v>
      </c>
      <c r="E19" s="20" t="s">
        <v>401</v>
      </c>
      <c r="F19" s="20" t="s">
        <v>402</v>
      </c>
      <c r="G19" s="8" t="str">
        <f t="shared" si="0"/>
        <v>THOMPSON LESTER</v>
      </c>
      <c r="H19" s="20" t="str">
        <f t="shared" si="1"/>
        <v>4013</v>
      </c>
    </row>
    <row r="20" spans="1:8" x14ac:dyDescent="0.25">
      <c r="A20" s="8">
        <v>43040.195960648147</v>
      </c>
      <c r="B20" s="20" t="s">
        <v>668</v>
      </c>
      <c r="C20" s="20" t="s">
        <v>669</v>
      </c>
      <c r="D20" s="138">
        <v>1110000</v>
      </c>
      <c r="E20" s="20" t="s">
        <v>472</v>
      </c>
      <c r="F20" s="20" t="s">
        <v>473</v>
      </c>
      <c r="G20" s="8" t="str">
        <f t="shared" si="0"/>
        <v>STARKS ANGELINA</v>
      </c>
      <c r="H20" s="20" t="str">
        <f t="shared" si="1"/>
        <v>4002</v>
      </c>
    </row>
    <row r="21" spans="1:8" x14ac:dyDescent="0.25">
      <c r="A21" s="8">
        <v>43040.198252314818</v>
      </c>
      <c r="B21" s="20" t="s">
        <v>624</v>
      </c>
      <c r="C21" s="20" t="s">
        <v>670</v>
      </c>
      <c r="D21" s="138">
        <v>3700000</v>
      </c>
      <c r="E21" s="20" t="s">
        <v>671</v>
      </c>
      <c r="F21" s="20" t="s">
        <v>401</v>
      </c>
      <c r="G21" s="8" t="str">
        <f t="shared" si="0"/>
        <v>AUSTIN THOMPSON</v>
      </c>
      <c r="H21" s="20" t="str">
        <f t="shared" si="1"/>
        <v>4043</v>
      </c>
    </row>
    <row r="22" spans="1:8" x14ac:dyDescent="0.25">
      <c r="A22" s="26">
        <v>43040.202511574076</v>
      </c>
      <c r="B22" s="20" t="s">
        <v>373</v>
      </c>
      <c r="C22" s="20" t="s">
        <v>672</v>
      </c>
      <c r="D22" s="138">
        <v>3090000</v>
      </c>
      <c r="E22" s="20" t="s">
        <v>403</v>
      </c>
      <c r="F22" s="20" t="s">
        <v>404</v>
      </c>
      <c r="G22" s="8" t="str">
        <f t="shared" si="0"/>
        <v>LAMAR NEKESHA</v>
      </c>
      <c r="H22" s="20" t="str">
        <f t="shared" si="1"/>
        <v>4024</v>
      </c>
    </row>
    <row r="23" spans="1:8" x14ac:dyDescent="0.25">
      <c r="A23" s="8">
        <v>43040.2028125</v>
      </c>
      <c r="B23" s="20" t="s">
        <v>379</v>
      </c>
      <c r="C23" s="20" t="s">
        <v>609</v>
      </c>
      <c r="D23" s="138">
        <v>1830000</v>
      </c>
      <c r="E23" s="20" t="s">
        <v>354</v>
      </c>
      <c r="F23" s="20" t="s">
        <v>355</v>
      </c>
      <c r="G23" s="8" t="str">
        <f t="shared" si="0"/>
        <v>YORK EDGAR</v>
      </c>
      <c r="H23" s="20" t="str">
        <f t="shared" si="1"/>
        <v>4049</v>
      </c>
    </row>
    <row r="24" spans="1:8" x14ac:dyDescent="0.25">
      <c r="A24" s="8">
        <v>43040.207361111112</v>
      </c>
      <c r="B24" s="20" t="s">
        <v>640</v>
      </c>
      <c r="C24" s="20" t="s">
        <v>673</v>
      </c>
      <c r="D24" s="138">
        <v>940000</v>
      </c>
      <c r="E24" s="20" t="s">
        <v>652</v>
      </c>
      <c r="F24" s="20" t="s">
        <v>653</v>
      </c>
      <c r="G24" s="8" t="str">
        <f t="shared" si="0"/>
        <v>BONDS REYNALDO</v>
      </c>
      <c r="H24" s="20" t="str">
        <f t="shared" si="1"/>
        <v>4064</v>
      </c>
    </row>
    <row r="25" spans="1:8" x14ac:dyDescent="0.25">
      <c r="A25" s="8">
        <v>43040.210104166668</v>
      </c>
      <c r="B25" s="20" t="s">
        <v>674</v>
      </c>
      <c r="C25" s="20" t="s">
        <v>675</v>
      </c>
      <c r="D25" s="138">
        <v>3700000</v>
      </c>
      <c r="E25" s="20" t="s">
        <v>671</v>
      </c>
      <c r="F25" s="20" t="s">
        <v>401</v>
      </c>
      <c r="G25" s="8" t="str">
        <f t="shared" si="0"/>
        <v>AUSTIN THOMPSON</v>
      </c>
      <c r="H25" s="20" t="str">
        <f t="shared" si="1"/>
        <v>4044</v>
      </c>
    </row>
    <row r="26" spans="1:8" x14ac:dyDescent="0.25">
      <c r="A26" s="8">
        <v>43040.213206018518</v>
      </c>
      <c r="B26" s="20" t="s">
        <v>676</v>
      </c>
      <c r="C26" s="20" t="s">
        <v>677</v>
      </c>
      <c r="D26" s="138">
        <v>3090000</v>
      </c>
      <c r="E26" s="20" t="s">
        <v>403</v>
      </c>
      <c r="F26" s="20" t="s">
        <v>404</v>
      </c>
      <c r="G26" s="8" t="str">
        <f t="shared" si="0"/>
        <v>LAMAR NEKESHA</v>
      </c>
      <c r="H26" s="20" t="str">
        <f t="shared" si="1"/>
        <v>4023</v>
      </c>
    </row>
    <row r="27" spans="1:8" x14ac:dyDescent="0.25">
      <c r="A27" s="8">
        <v>43040.214097222219</v>
      </c>
      <c r="B27" s="20" t="s">
        <v>629</v>
      </c>
      <c r="C27" s="20" t="s">
        <v>678</v>
      </c>
      <c r="D27" s="138">
        <v>1340000</v>
      </c>
      <c r="E27" s="20" t="s">
        <v>663</v>
      </c>
      <c r="F27" s="20" t="s">
        <v>664</v>
      </c>
      <c r="G27" s="8" t="str">
        <f t="shared" si="0"/>
        <v>BEAM ROSS</v>
      </c>
      <c r="H27" s="20" t="str">
        <f t="shared" si="1"/>
        <v>4025</v>
      </c>
    </row>
    <row r="28" spans="1:8" x14ac:dyDescent="0.25">
      <c r="A28" s="8">
        <v>43040.220312500001</v>
      </c>
      <c r="B28" s="20" t="s">
        <v>621</v>
      </c>
      <c r="C28" s="20" t="s">
        <v>679</v>
      </c>
      <c r="D28" s="138">
        <v>2470000</v>
      </c>
      <c r="E28" s="20" t="s">
        <v>407</v>
      </c>
      <c r="F28" s="20" t="s">
        <v>408</v>
      </c>
      <c r="G28" s="8" t="str">
        <f t="shared" si="0"/>
        <v>ROMERO CHAD</v>
      </c>
      <c r="H28" s="20" t="str">
        <f t="shared" si="1"/>
        <v>4041</v>
      </c>
    </row>
    <row r="29" spans="1:8" x14ac:dyDescent="0.25">
      <c r="A29" s="8">
        <v>43040.22761574074</v>
      </c>
      <c r="B29" s="20" t="s">
        <v>610</v>
      </c>
      <c r="C29" s="20" t="s">
        <v>611</v>
      </c>
      <c r="D29" s="138">
        <v>3120000</v>
      </c>
      <c r="E29" s="20" t="s">
        <v>401</v>
      </c>
      <c r="F29" s="20" t="s">
        <v>402</v>
      </c>
      <c r="G29" s="8" t="str">
        <f t="shared" si="0"/>
        <v>THOMPSON LESTER</v>
      </c>
      <c r="H29" s="20" t="str">
        <f t="shared" si="1"/>
        <v>4014</v>
      </c>
    </row>
    <row r="30" spans="1:8" x14ac:dyDescent="0.25">
      <c r="A30" s="8">
        <v>43040.233668981484</v>
      </c>
      <c r="B30" s="20" t="s">
        <v>612</v>
      </c>
      <c r="C30" s="20" t="s">
        <v>613</v>
      </c>
      <c r="D30" s="138">
        <v>1110000</v>
      </c>
      <c r="E30" s="20" t="s">
        <v>472</v>
      </c>
      <c r="F30" s="20" t="s">
        <v>473</v>
      </c>
      <c r="G30" s="8" t="str">
        <f t="shared" si="0"/>
        <v>STARKS ANGELINA</v>
      </c>
      <c r="H30" s="20" t="str">
        <f t="shared" si="1"/>
        <v>4001</v>
      </c>
    </row>
    <row r="31" spans="1:8" x14ac:dyDescent="0.25">
      <c r="A31" s="8">
        <v>43040.233738425923</v>
      </c>
      <c r="B31" s="20" t="s">
        <v>373</v>
      </c>
      <c r="C31" s="20" t="s">
        <v>680</v>
      </c>
      <c r="D31" s="138">
        <v>3090000</v>
      </c>
      <c r="E31" s="20" t="s">
        <v>403</v>
      </c>
      <c r="F31" s="20" t="s">
        <v>404</v>
      </c>
      <c r="G31" s="8" t="str">
        <f t="shared" si="0"/>
        <v>LAMAR NEKESHA</v>
      </c>
      <c r="H31" s="20" t="str">
        <f t="shared" si="1"/>
        <v>4024</v>
      </c>
    </row>
    <row r="32" spans="1:8" x14ac:dyDescent="0.25">
      <c r="A32" s="8">
        <v>43040.235868055555</v>
      </c>
      <c r="B32" s="20" t="s">
        <v>635</v>
      </c>
      <c r="C32" s="20" t="s">
        <v>681</v>
      </c>
      <c r="D32" s="138">
        <v>2470000</v>
      </c>
      <c r="E32" s="20" t="s">
        <v>407</v>
      </c>
      <c r="F32" s="20" t="s">
        <v>408</v>
      </c>
      <c r="G32" s="8" t="str">
        <f t="shared" si="0"/>
        <v>ROMERO CHAD</v>
      </c>
      <c r="H32" s="20" t="str">
        <f t="shared" si="1"/>
        <v>4042</v>
      </c>
    </row>
    <row r="33" spans="1:8" x14ac:dyDescent="0.25">
      <c r="A33" s="8">
        <v>43040.242291666669</v>
      </c>
      <c r="B33" s="20" t="s">
        <v>627</v>
      </c>
      <c r="C33" s="20" t="s">
        <v>682</v>
      </c>
      <c r="D33" s="138">
        <v>1100000</v>
      </c>
      <c r="E33" s="20" t="s">
        <v>683</v>
      </c>
      <c r="F33" s="20" t="s">
        <v>684</v>
      </c>
      <c r="G33" s="8" t="str">
        <f t="shared" si="0"/>
        <v>GEBRETEKLE DAGNEW</v>
      </c>
      <c r="H33" s="20" t="str">
        <f t="shared" si="1"/>
        <v>4031</v>
      </c>
    </row>
    <row r="34" spans="1:8" x14ac:dyDescent="0.25">
      <c r="A34" s="8">
        <v>43040.244189814817</v>
      </c>
      <c r="B34" s="20" t="s">
        <v>378</v>
      </c>
      <c r="C34" s="20" t="s">
        <v>685</v>
      </c>
      <c r="D34" s="138">
        <v>1830000</v>
      </c>
      <c r="E34" s="20" t="s">
        <v>354</v>
      </c>
      <c r="F34" s="20" t="s">
        <v>355</v>
      </c>
      <c r="G34" s="8" t="str">
        <f t="shared" si="0"/>
        <v>YORK EDGAR</v>
      </c>
      <c r="H34" s="20" t="str">
        <f t="shared" si="1"/>
        <v>4050</v>
      </c>
    </row>
    <row r="35" spans="1:8" x14ac:dyDescent="0.25">
      <c r="A35" s="8">
        <v>43040.245104166665</v>
      </c>
      <c r="B35" s="20" t="s">
        <v>616</v>
      </c>
      <c r="C35" s="20" t="s">
        <v>686</v>
      </c>
      <c r="D35" s="138">
        <v>940000</v>
      </c>
      <c r="E35" s="20" t="s">
        <v>652</v>
      </c>
      <c r="F35" s="20" t="s">
        <v>653</v>
      </c>
      <c r="G35" s="8" t="str">
        <f t="shared" si="0"/>
        <v>BONDS REYNALDO</v>
      </c>
      <c r="H35" s="20" t="str">
        <f t="shared" si="1"/>
        <v>4063</v>
      </c>
    </row>
    <row r="36" spans="1:8" x14ac:dyDescent="0.25">
      <c r="A36" s="8">
        <v>43040.245555555557</v>
      </c>
      <c r="B36" s="20" t="s">
        <v>624</v>
      </c>
      <c r="C36" s="20" t="s">
        <v>687</v>
      </c>
      <c r="D36" s="138">
        <v>3700000</v>
      </c>
      <c r="E36" s="20" t="s">
        <v>671</v>
      </c>
      <c r="F36" s="20" t="s">
        <v>401</v>
      </c>
      <c r="G36" s="8" t="str">
        <f t="shared" si="0"/>
        <v>AUSTIN THOMPSON</v>
      </c>
      <c r="H36" s="20" t="str">
        <f t="shared" si="1"/>
        <v>4043</v>
      </c>
    </row>
    <row r="37" spans="1:8" x14ac:dyDescent="0.25">
      <c r="A37" s="8">
        <v>43040.247604166667</v>
      </c>
      <c r="B37" s="20" t="s">
        <v>676</v>
      </c>
      <c r="C37" s="20" t="s">
        <v>688</v>
      </c>
      <c r="D37" s="138">
        <v>3090000</v>
      </c>
      <c r="E37" s="20" t="s">
        <v>403</v>
      </c>
      <c r="F37" s="20" t="s">
        <v>404</v>
      </c>
      <c r="G37" s="8" t="str">
        <f t="shared" si="0"/>
        <v>LAMAR NEKESHA</v>
      </c>
      <c r="H37" s="20" t="str">
        <f t="shared" si="1"/>
        <v>4023</v>
      </c>
    </row>
    <row r="38" spans="1:8" x14ac:dyDescent="0.25">
      <c r="A38" s="8">
        <v>43040.25309027778</v>
      </c>
      <c r="B38" s="20" t="s">
        <v>689</v>
      </c>
      <c r="C38" s="20" t="s">
        <v>690</v>
      </c>
      <c r="D38" s="138">
        <v>1100000</v>
      </c>
      <c r="E38" s="20" t="s">
        <v>683</v>
      </c>
      <c r="F38" s="20" t="s">
        <v>684</v>
      </c>
      <c r="G38" s="8" t="str">
        <f t="shared" si="0"/>
        <v>GEBRETEKLE DAGNEW</v>
      </c>
      <c r="H38" s="20" t="str">
        <f t="shared" si="1"/>
        <v>4032</v>
      </c>
    </row>
    <row r="39" spans="1:8" x14ac:dyDescent="0.25">
      <c r="A39" s="8">
        <v>43040.258032407408</v>
      </c>
      <c r="B39" s="20" t="s">
        <v>493</v>
      </c>
      <c r="C39" s="20" t="s">
        <v>691</v>
      </c>
      <c r="D39" s="138">
        <v>1340000</v>
      </c>
      <c r="E39" s="20" t="s">
        <v>663</v>
      </c>
      <c r="F39" s="20" t="s">
        <v>664</v>
      </c>
      <c r="G39" s="8" t="str">
        <f t="shared" si="0"/>
        <v>BEAM ROSS</v>
      </c>
      <c r="H39" s="20" t="str">
        <f t="shared" si="1"/>
        <v>4026</v>
      </c>
    </row>
    <row r="40" spans="1:8" x14ac:dyDescent="0.25">
      <c r="A40" s="8">
        <v>43040.266481481478</v>
      </c>
      <c r="B40" s="25" t="s">
        <v>619</v>
      </c>
      <c r="C40" s="20" t="s">
        <v>692</v>
      </c>
      <c r="D40" s="138">
        <v>3120000</v>
      </c>
      <c r="E40" s="20" t="s">
        <v>401</v>
      </c>
      <c r="F40" s="20" t="s">
        <v>402</v>
      </c>
      <c r="G40" s="8" t="str">
        <f t="shared" si="0"/>
        <v>THOMPSON LESTER</v>
      </c>
      <c r="H40" s="20" t="str">
        <f t="shared" si="1"/>
        <v>4013</v>
      </c>
    </row>
    <row r="41" spans="1:8" x14ac:dyDescent="0.25">
      <c r="A41" s="8">
        <v>43040.267118055555</v>
      </c>
      <c r="B41" s="20" t="s">
        <v>621</v>
      </c>
      <c r="C41" s="20" t="s">
        <v>693</v>
      </c>
      <c r="D41" s="138">
        <v>2470000</v>
      </c>
      <c r="E41" s="20" t="s">
        <v>407</v>
      </c>
      <c r="F41" s="20" t="s">
        <v>408</v>
      </c>
      <c r="G41" s="8" t="str">
        <f t="shared" si="0"/>
        <v>ROMERO CHAD</v>
      </c>
      <c r="H41" s="20" t="str">
        <f t="shared" si="1"/>
        <v>4041</v>
      </c>
    </row>
    <row r="42" spans="1:8" x14ac:dyDescent="0.25">
      <c r="A42" s="8">
        <v>43040.267476851855</v>
      </c>
      <c r="B42" s="20" t="s">
        <v>668</v>
      </c>
      <c r="C42" s="20" t="s">
        <v>694</v>
      </c>
      <c r="D42" s="138">
        <v>1110000</v>
      </c>
      <c r="E42" s="20" t="s">
        <v>472</v>
      </c>
      <c r="F42" s="20" t="s">
        <v>473</v>
      </c>
      <c r="G42" s="8" t="str">
        <f t="shared" si="0"/>
        <v>STARKS ANGELINA</v>
      </c>
      <c r="H42" s="20" t="str">
        <f t="shared" si="1"/>
        <v>4002</v>
      </c>
    </row>
    <row r="43" spans="1:8" x14ac:dyDescent="0.25">
      <c r="A43" s="8">
        <v>43040.268993055557</v>
      </c>
      <c r="B43" s="20" t="s">
        <v>627</v>
      </c>
      <c r="C43" s="20" t="s">
        <v>695</v>
      </c>
      <c r="D43" s="138">
        <v>1100000</v>
      </c>
      <c r="E43" s="20" t="s">
        <v>683</v>
      </c>
      <c r="F43" s="20" t="s">
        <v>684</v>
      </c>
      <c r="G43" s="8" t="str">
        <f t="shared" si="0"/>
        <v>GEBRETEKLE DAGNEW</v>
      </c>
      <c r="H43" s="20" t="str">
        <f t="shared" si="1"/>
        <v>4031</v>
      </c>
    </row>
    <row r="44" spans="1:8" x14ac:dyDescent="0.25">
      <c r="A44" s="8">
        <v>43040.275833333333</v>
      </c>
      <c r="B44" s="20" t="s">
        <v>373</v>
      </c>
      <c r="C44" s="20" t="s">
        <v>614</v>
      </c>
      <c r="D44" s="138">
        <v>3090000</v>
      </c>
      <c r="E44" s="20" t="s">
        <v>403</v>
      </c>
      <c r="F44" s="20" t="s">
        <v>404</v>
      </c>
      <c r="G44" s="8" t="str">
        <f t="shared" si="0"/>
        <v>LAMAR NEKESHA</v>
      </c>
      <c r="H44" s="20" t="str">
        <f t="shared" si="1"/>
        <v>4024</v>
      </c>
    </row>
    <row r="45" spans="1:8" x14ac:dyDescent="0.25">
      <c r="A45" s="8">
        <v>43040.277916666666</v>
      </c>
      <c r="B45" s="20" t="s">
        <v>640</v>
      </c>
      <c r="C45" s="20" t="s">
        <v>696</v>
      </c>
      <c r="D45" s="138">
        <v>940000</v>
      </c>
      <c r="E45" s="20" t="s">
        <v>652</v>
      </c>
      <c r="F45" s="20" t="s">
        <v>653</v>
      </c>
      <c r="G45" s="8" t="str">
        <f t="shared" si="0"/>
        <v>BONDS REYNALDO</v>
      </c>
      <c r="H45" s="20" t="str">
        <f t="shared" si="1"/>
        <v>4064</v>
      </c>
    </row>
    <row r="46" spans="1:8" x14ac:dyDescent="0.25">
      <c r="A46" s="8">
        <v>43040.286631944444</v>
      </c>
      <c r="B46" s="20" t="s">
        <v>629</v>
      </c>
      <c r="C46" s="20" t="s">
        <v>697</v>
      </c>
      <c r="D46" s="138">
        <v>1340000</v>
      </c>
      <c r="E46" s="20" t="s">
        <v>663</v>
      </c>
      <c r="F46" s="20" t="s">
        <v>664</v>
      </c>
      <c r="G46" s="8" t="str">
        <f t="shared" si="0"/>
        <v>BEAM ROSS</v>
      </c>
      <c r="H46" s="20" t="str">
        <f t="shared" si="1"/>
        <v>4025</v>
      </c>
    </row>
    <row r="47" spans="1:8" x14ac:dyDescent="0.25">
      <c r="A47" s="8">
        <v>43040.287962962961</v>
      </c>
      <c r="B47" s="20" t="s">
        <v>379</v>
      </c>
      <c r="C47" s="20" t="s">
        <v>698</v>
      </c>
      <c r="D47" s="138">
        <v>1830000</v>
      </c>
      <c r="E47" s="20" t="s">
        <v>354</v>
      </c>
      <c r="F47" s="20" t="s">
        <v>355</v>
      </c>
      <c r="G47" s="8" t="str">
        <f t="shared" si="0"/>
        <v>YORK EDGAR</v>
      </c>
      <c r="H47" s="20" t="str">
        <f t="shared" si="1"/>
        <v>4049</v>
      </c>
    </row>
    <row r="48" spans="1:8" x14ac:dyDescent="0.25">
      <c r="A48" s="8">
        <v>43040.288993055554</v>
      </c>
      <c r="B48" s="20" t="s">
        <v>674</v>
      </c>
      <c r="C48" s="20" t="s">
        <v>699</v>
      </c>
      <c r="D48" s="138">
        <v>3700000</v>
      </c>
      <c r="E48" s="20" t="s">
        <v>671</v>
      </c>
      <c r="F48" s="20" t="s">
        <v>401</v>
      </c>
      <c r="G48" s="8" t="str">
        <f t="shared" si="0"/>
        <v>AUSTIN THOMPSON</v>
      </c>
      <c r="H48" s="20" t="str">
        <f t="shared" si="1"/>
        <v>4044</v>
      </c>
    </row>
    <row r="49" spans="1:8" x14ac:dyDescent="0.25">
      <c r="A49" s="8">
        <v>43040.289884259262</v>
      </c>
      <c r="B49" s="20" t="s">
        <v>676</v>
      </c>
      <c r="C49" s="20" t="s">
        <v>700</v>
      </c>
      <c r="D49" s="138">
        <v>3090000</v>
      </c>
      <c r="E49" s="20" t="s">
        <v>403</v>
      </c>
      <c r="F49" s="20" t="s">
        <v>404</v>
      </c>
      <c r="G49" s="8" t="str">
        <f t="shared" si="0"/>
        <v>LAMAR NEKESHA</v>
      </c>
      <c r="H49" s="20" t="str">
        <f t="shared" si="1"/>
        <v>4023</v>
      </c>
    </row>
    <row r="50" spans="1:8" x14ac:dyDescent="0.25">
      <c r="A50" s="8">
        <v>43040.290891203702</v>
      </c>
      <c r="B50" s="20" t="s">
        <v>689</v>
      </c>
      <c r="C50" s="20" t="s">
        <v>701</v>
      </c>
      <c r="D50" s="138">
        <v>1100000</v>
      </c>
      <c r="E50" s="20" t="s">
        <v>683</v>
      </c>
      <c r="F50" s="20" t="s">
        <v>684</v>
      </c>
      <c r="G50" s="8" t="str">
        <f t="shared" si="0"/>
        <v>GEBRETEKLE DAGNEW</v>
      </c>
      <c r="H50" s="20" t="str">
        <f t="shared" si="1"/>
        <v>4032</v>
      </c>
    </row>
    <row r="51" spans="1:8" x14ac:dyDescent="0.25">
      <c r="A51" s="8">
        <v>43040.299386574072</v>
      </c>
      <c r="B51" s="20" t="s">
        <v>612</v>
      </c>
      <c r="C51" s="20" t="s">
        <v>615</v>
      </c>
      <c r="D51" s="138">
        <v>1110000</v>
      </c>
      <c r="E51" s="20" t="s">
        <v>472</v>
      </c>
      <c r="F51" s="20" t="s">
        <v>473</v>
      </c>
      <c r="G51" s="8" t="str">
        <f t="shared" si="0"/>
        <v>STARKS ANGELINA</v>
      </c>
      <c r="H51" s="20" t="str">
        <f t="shared" si="1"/>
        <v>4001</v>
      </c>
    </row>
    <row r="52" spans="1:8" x14ac:dyDescent="0.25">
      <c r="A52" s="8">
        <v>43040.300011574072</v>
      </c>
      <c r="B52" s="20" t="s">
        <v>610</v>
      </c>
      <c r="C52" s="20" t="s">
        <v>702</v>
      </c>
      <c r="D52" s="138">
        <v>3120000</v>
      </c>
      <c r="E52" s="20" t="s">
        <v>401</v>
      </c>
      <c r="F52" s="20" t="s">
        <v>402</v>
      </c>
      <c r="G52" s="8" t="str">
        <f t="shared" si="0"/>
        <v>THOMPSON LESTER</v>
      </c>
      <c r="H52" s="20" t="str">
        <f t="shared" si="1"/>
        <v>4014</v>
      </c>
    </row>
    <row r="53" spans="1:8" x14ac:dyDescent="0.25">
      <c r="A53" s="8">
        <v>43040.307986111111</v>
      </c>
      <c r="B53" s="20" t="s">
        <v>635</v>
      </c>
      <c r="C53" s="20" t="s">
        <v>703</v>
      </c>
      <c r="D53" s="138">
        <v>2470000</v>
      </c>
      <c r="E53" s="20" t="s">
        <v>407</v>
      </c>
      <c r="F53" s="20" t="s">
        <v>408</v>
      </c>
      <c r="G53" s="8" t="str">
        <f t="shared" si="0"/>
        <v>ROMERO CHAD</v>
      </c>
      <c r="H53" s="20" t="str">
        <f t="shared" si="1"/>
        <v>4042</v>
      </c>
    </row>
    <row r="54" spans="1:8" x14ac:dyDescent="0.25">
      <c r="A54" s="8">
        <v>43040.311793981484</v>
      </c>
      <c r="B54" s="20" t="s">
        <v>627</v>
      </c>
      <c r="C54" s="20" t="s">
        <v>704</v>
      </c>
      <c r="D54" s="138">
        <v>1100000</v>
      </c>
      <c r="E54" s="20" t="s">
        <v>683</v>
      </c>
      <c r="F54" s="20" t="s">
        <v>684</v>
      </c>
      <c r="G54" s="8" t="str">
        <f t="shared" si="0"/>
        <v>GEBRETEKLE DAGNEW</v>
      </c>
      <c r="H54" s="20" t="str">
        <f t="shared" si="1"/>
        <v>4031</v>
      </c>
    </row>
    <row r="55" spans="1:8" x14ac:dyDescent="0.25">
      <c r="A55" s="8">
        <v>43040.311840277776</v>
      </c>
      <c r="B55" s="20" t="s">
        <v>373</v>
      </c>
      <c r="C55" s="20" t="s">
        <v>705</v>
      </c>
      <c r="D55" s="138">
        <v>3090000</v>
      </c>
      <c r="E55" s="20" t="s">
        <v>403</v>
      </c>
      <c r="F55" s="20" t="s">
        <v>404</v>
      </c>
      <c r="G55" s="8" t="str">
        <f t="shared" si="0"/>
        <v>LAMAR NEKESHA</v>
      </c>
      <c r="H55" s="20" t="str">
        <f t="shared" si="1"/>
        <v>4024</v>
      </c>
    </row>
    <row r="56" spans="1:8" x14ac:dyDescent="0.25">
      <c r="A56" s="8">
        <v>43040.31758101852</v>
      </c>
      <c r="B56" s="20" t="s">
        <v>378</v>
      </c>
      <c r="C56" s="20" t="s">
        <v>706</v>
      </c>
      <c r="D56" s="138">
        <v>1830000</v>
      </c>
      <c r="E56" s="20" t="s">
        <v>354</v>
      </c>
      <c r="F56" s="20" t="s">
        <v>355</v>
      </c>
      <c r="G56" s="8" t="str">
        <f t="shared" si="0"/>
        <v>YORK EDGAR</v>
      </c>
      <c r="H56" s="20" t="str">
        <f t="shared" si="1"/>
        <v>4050</v>
      </c>
    </row>
    <row r="57" spans="1:8" x14ac:dyDescent="0.25">
      <c r="A57" s="8">
        <v>43040.317824074074</v>
      </c>
      <c r="B57" s="20" t="s">
        <v>616</v>
      </c>
      <c r="C57" s="20" t="s">
        <v>617</v>
      </c>
      <c r="D57" s="138">
        <v>940000</v>
      </c>
      <c r="E57" s="20" t="s">
        <v>652</v>
      </c>
      <c r="F57" s="20" t="s">
        <v>653</v>
      </c>
      <c r="G57" s="8" t="str">
        <f t="shared" si="0"/>
        <v>BONDS REYNALDO</v>
      </c>
      <c r="H57" s="20" t="str">
        <f t="shared" si="1"/>
        <v>4063</v>
      </c>
    </row>
    <row r="58" spans="1:8" x14ac:dyDescent="0.25">
      <c r="A58" s="8">
        <v>43040.32916666667</v>
      </c>
      <c r="B58" s="20" t="s">
        <v>624</v>
      </c>
      <c r="C58" s="20" t="s">
        <v>707</v>
      </c>
      <c r="D58" s="138">
        <v>3700000</v>
      </c>
      <c r="E58" s="20" t="s">
        <v>671</v>
      </c>
      <c r="F58" s="20" t="s">
        <v>401</v>
      </c>
      <c r="G58" s="8" t="str">
        <f t="shared" si="0"/>
        <v>AUSTIN THOMPSON</v>
      </c>
      <c r="H58" s="20" t="str">
        <f t="shared" si="1"/>
        <v>4043</v>
      </c>
    </row>
    <row r="59" spans="1:8" x14ac:dyDescent="0.25">
      <c r="A59" s="8">
        <v>43040.330879629626</v>
      </c>
      <c r="B59" s="20" t="s">
        <v>493</v>
      </c>
      <c r="C59" s="20" t="s">
        <v>708</v>
      </c>
      <c r="D59" s="138">
        <v>1340000</v>
      </c>
      <c r="E59" s="20" t="s">
        <v>663</v>
      </c>
      <c r="F59" s="20" t="s">
        <v>664</v>
      </c>
      <c r="G59" s="8" t="str">
        <f t="shared" si="0"/>
        <v>BEAM ROSS</v>
      </c>
      <c r="H59" s="20" t="str">
        <f t="shared" si="1"/>
        <v>4026</v>
      </c>
    </row>
    <row r="60" spans="1:8" x14ac:dyDescent="0.25">
      <c r="A60" s="8">
        <v>43040.331550925926</v>
      </c>
      <c r="B60" s="20" t="s">
        <v>676</v>
      </c>
      <c r="C60" s="20" t="s">
        <v>709</v>
      </c>
      <c r="D60" s="138">
        <v>3090000</v>
      </c>
      <c r="E60" s="20" t="s">
        <v>403</v>
      </c>
      <c r="F60" s="20" t="s">
        <v>404</v>
      </c>
      <c r="G60" s="8" t="str">
        <f t="shared" si="0"/>
        <v>LAMAR NEKESHA</v>
      </c>
      <c r="H60" s="20" t="str">
        <f t="shared" si="1"/>
        <v>4023</v>
      </c>
    </row>
    <row r="61" spans="1:8" x14ac:dyDescent="0.25">
      <c r="A61" s="8">
        <v>43040.332048611112</v>
      </c>
      <c r="B61" s="20" t="s">
        <v>689</v>
      </c>
      <c r="C61" s="20" t="s">
        <v>710</v>
      </c>
      <c r="D61" s="138">
        <v>1100000</v>
      </c>
      <c r="E61" s="20" t="s">
        <v>683</v>
      </c>
      <c r="F61" s="20" t="s">
        <v>684</v>
      </c>
      <c r="G61" s="8" t="str">
        <f t="shared" si="0"/>
        <v>GEBRETEKLE DAGNEW</v>
      </c>
      <c r="H61" s="20" t="str">
        <f t="shared" si="1"/>
        <v>4032</v>
      </c>
    </row>
    <row r="62" spans="1:8" x14ac:dyDescent="0.25">
      <c r="A62" s="8">
        <v>43040.340798611112</v>
      </c>
      <c r="B62" s="20" t="s">
        <v>619</v>
      </c>
      <c r="C62" s="20" t="s">
        <v>620</v>
      </c>
      <c r="D62" s="138">
        <v>3120000</v>
      </c>
      <c r="E62" s="20" t="s">
        <v>401</v>
      </c>
      <c r="F62" s="20" t="s">
        <v>402</v>
      </c>
      <c r="G62" s="8" t="str">
        <f t="shared" si="0"/>
        <v>THOMPSON LESTER</v>
      </c>
      <c r="H62" s="20" t="str">
        <f t="shared" si="1"/>
        <v>4013</v>
      </c>
    </row>
    <row r="63" spans="1:8" x14ac:dyDescent="0.25">
      <c r="A63" s="8">
        <v>43040.340914351851</v>
      </c>
      <c r="B63" s="20" t="s">
        <v>668</v>
      </c>
      <c r="C63" s="20" t="s">
        <v>711</v>
      </c>
      <c r="D63" s="138">
        <v>1110000</v>
      </c>
      <c r="E63" s="20" t="s">
        <v>472</v>
      </c>
      <c r="F63" s="20" t="s">
        <v>473</v>
      </c>
      <c r="G63" s="8" t="str">
        <f t="shared" si="0"/>
        <v>STARKS ANGELINA</v>
      </c>
      <c r="H63" s="20" t="str">
        <f t="shared" si="1"/>
        <v>4002</v>
      </c>
    </row>
    <row r="64" spans="1:8" x14ac:dyDescent="0.25">
      <c r="A64" s="26">
        <v>43040.344826388886</v>
      </c>
      <c r="B64" s="20" t="s">
        <v>621</v>
      </c>
      <c r="C64" s="20" t="s">
        <v>622</v>
      </c>
      <c r="D64" s="138">
        <v>2270000</v>
      </c>
      <c r="E64" s="20" t="s">
        <v>712</v>
      </c>
      <c r="F64" s="20" t="s">
        <v>713</v>
      </c>
      <c r="G64" s="8" t="str">
        <f t="shared" si="0"/>
        <v>BROWN JACOB</v>
      </c>
      <c r="H64" s="20" t="str">
        <f t="shared" si="1"/>
        <v>4041</v>
      </c>
    </row>
    <row r="65" spans="1:8" x14ac:dyDescent="0.25">
      <c r="A65" s="8">
        <v>43040.34952546296</v>
      </c>
      <c r="B65" s="20" t="s">
        <v>640</v>
      </c>
      <c r="C65" s="20" t="s">
        <v>714</v>
      </c>
      <c r="D65" s="138">
        <v>940000</v>
      </c>
      <c r="E65" s="20" t="s">
        <v>652</v>
      </c>
      <c r="F65" s="20" t="s">
        <v>653</v>
      </c>
      <c r="G65" s="8" t="str">
        <f t="shared" si="0"/>
        <v>BONDS REYNALDO</v>
      </c>
      <c r="H65" s="20" t="str">
        <f t="shared" si="1"/>
        <v>4064</v>
      </c>
    </row>
    <row r="66" spans="1:8" x14ac:dyDescent="0.25">
      <c r="A66" s="8">
        <v>43040.349548611113</v>
      </c>
      <c r="B66" s="20" t="s">
        <v>379</v>
      </c>
      <c r="C66" s="20" t="s">
        <v>715</v>
      </c>
      <c r="D66" s="138">
        <v>1830000</v>
      </c>
      <c r="E66" s="20" t="s">
        <v>354</v>
      </c>
      <c r="F66" s="20" t="s">
        <v>355</v>
      </c>
      <c r="G66" s="8" t="str">
        <f t="shared" si="0"/>
        <v>YORK EDGAR</v>
      </c>
      <c r="H66" s="20" t="str">
        <f t="shared" si="1"/>
        <v>4049</v>
      </c>
    </row>
    <row r="67" spans="1:8" x14ac:dyDescent="0.25">
      <c r="A67" s="8">
        <v>43040.352152777778</v>
      </c>
      <c r="B67" s="20" t="s">
        <v>627</v>
      </c>
      <c r="C67" s="20" t="s">
        <v>716</v>
      </c>
      <c r="D67" s="138">
        <v>1100000</v>
      </c>
      <c r="E67" s="20" t="s">
        <v>683</v>
      </c>
      <c r="F67" s="20" t="s">
        <v>684</v>
      </c>
      <c r="G67" s="8" t="str">
        <f t="shared" ref="G67:G130" si="2">E67&amp;" "&amp;F67</f>
        <v>GEBRETEKLE DAGNEW</v>
      </c>
      <c r="H67" s="20" t="str">
        <f t="shared" ref="H67:H130" si="3">MID(B67,13,4)</f>
        <v>4031</v>
      </c>
    </row>
    <row r="68" spans="1:8" x14ac:dyDescent="0.25">
      <c r="A68" s="8">
        <v>43040.353495370371</v>
      </c>
      <c r="B68" s="20" t="s">
        <v>373</v>
      </c>
      <c r="C68" s="20" t="s">
        <v>618</v>
      </c>
      <c r="D68" s="138">
        <v>3090000</v>
      </c>
      <c r="E68" s="20" t="s">
        <v>403</v>
      </c>
      <c r="F68" s="20" t="s">
        <v>404</v>
      </c>
      <c r="G68" s="8" t="str">
        <f t="shared" si="2"/>
        <v>LAMAR NEKESHA</v>
      </c>
      <c r="H68" s="20" t="str">
        <f t="shared" si="3"/>
        <v>4024</v>
      </c>
    </row>
    <row r="69" spans="1:8" x14ac:dyDescent="0.25">
      <c r="A69" s="8">
        <v>43040.355671296296</v>
      </c>
      <c r="B69" s="20" t="s">
        <v>373</v>
      </c>
      <c r="C69" s="20" t="s">
        <v>618</v>
      </c>
      <c r="D69" s="138">
        <v>3090000</v>
      </c>
      <c r="E69" s="20" t="s">
        <v>403</v>
      </c>
      <c r="F69" s="20" t="s">
        <v>404</v>
      </c>
      <c r="G69" s="8" t="str">
        <f t="shared" si="2"/>
        <v>LAMAR NEKESHA</v>
      </c>
      <c r="H69" s="20" t="str">
        <f t="shared" si="3"/>
        <v>4024</v>
      </c>
    </row>
    <row r="70" spans="1:8" x14ac:dyDescent="0.25">
      <c r="A70" s="8">
        <v>43040.359884259262</v>
      </c>
      <c r="B70" s="20" t="s">
        <v>629</v>
      </c>
      <c r="C70" s="20" t="s">
        <v>717</v>
      </c>
      <c r="D70" s="138">
        <v>1340000</v>
      </c>
      <c r="E70" s="20" t="s">
        <v>663</v>
      </c>
      <c r="F70" s="20" t="s">
        <v>664</v>
      </c>
      <c r="G70" s="8" t="str">
        <f t="shared" si="2"/>
        <v>BEAM ROSS</v>
      </c>
      <c r="H70" s="20" t="str">
        <f t="shared" si="3"/>
        <v>4025</v>
      </c>
    </row>
    <row r="71" spans="1:8" x14ac:dyDescent="0.25">
      <c r="A71" s="8">
        <v>43040.360555555555</v>
      </c>
      <c r="B71" s="20" t="s">
        <v>674</v>
      </c>
      <c r="C71" s="20" t="s">
        <v>718</v>
      </c>
      <c r="D71" s="138">
        <v>3700000</v>
      </c>
      <c r="E71" s="20" t="s">
        <v>671</v>
      </c>
      <c r="F71" s="20" t="s">
        <v>401</v>
      </c>
      <c r="G71" s="8" t="str">
        <f t="shared" si="2"/>
        <v>AUSTIN THOMPSON</v>
      </c>
      <c r="H71" s="20" t="str">
        <f t="shared" si="3"/>
        <v>4044</v>
      </c>
    </row>
    <row r="72" spans="1:8" x14ac:dyDescent="0.25">
      <c r="A72" s="8">
        <v>43040.373518518521</v>
      </c>
      <c r="B72" s="20" t="s">
        <v>610</v>
      </c>
      <c r="C72" s="20" t="s">
        <v>719</v>
      </c>
      <c r="D72" s="138">
        <v>3120000</v>
      </c>
      <c r="E72" s="20" t="s">
        <v>401</v>
      </c>
      <c r="F72" s="20" t="s">
        <v>402</v>
      </c>
      <c r="G72" s="8" t="str">
        <f t="shared" si="2"/>
        <v>THOMPSON LESTER</v>
      </c>
      <c r="H72" s="20" t="str">
        <f t="shared" si="3"/>
        <v>4014</v>
      </c>
    </row>
    <row r="73" spans="1:8" x14ac:dyDescent="0.25">
      <c r="A73" s="8">
        <v>43040.373854166668</v>
      </c>
      <c r="B73" s="20" t="s">
        <v>689</v>
      </c>
      <c r="C73" s="20" t="s">
        <v>720</v>
      </c>
      <c r="D73" s="138">
        <v>1100000</v>
      </c>
      <c r="E73" s="20" t="s">
        <v>683</v>
      </c>
      <c r="F73" s="20" t="s">
        <v>684</v>
      </c>
      <c r="G73" s="8" t="str">
        <f t="shared" si="2"/>
        <v>GEBRETEKLE DAGNEW</v>
      </c>
      <c r="H73" s="20" t="str">
        <f t="shared" si="3"/>
        <v>4032</v>
      </c>
    </row>
    <row r="74" spans="1:8" x14ac:dyDescent="0.25">
      <c r="A74" s="8">
        <v>43040.381643518522</v>
      </c>
      <c r="B74" s="20" t="s">
        <v>612</v>
      </c>
      <c r="C74" s="20" t="s">
        <v>721</v>
      </c>
      <c r="D74" s="138">
        <v>1110000</v>
      </c>
      <c r="E74" s="20" t="s">
        <v>472</v>
      </c>
      <c r="F74" s="20" t="s">
        <v>473</v>
      </c>
      <c r="G74" s="8" t="str">
        <f t="shared" si="2"/>
        <v>STARKS ANGELINA</v>
      </c>
      <c r="H74" s="20" t="str">
        <f t="shared" si="3"/>
        <v>4001</v>
      </c>
    </row>
    <row r="75" spans="1:8" x14ac:dyDescent="0.25">
      <c r="A75" s="8">
        <v>43040.382592592592</v>
      </c>
      <c r="B75" s="20" t="s">
        <v>635</v>
      </c>
      <c r="C75" s="20" t="s">
        <v>722</v>
      </c>
      <c r="D75" s="138">
        <v>2470000</v>
      </c>
      <c r="E75" s="20" t="s">
        <v>407</v>
      </c>
      <c r="F75" s="20" t="s">
        <v>408</v>
      </c>
      <c r="G75" s="8" t="str">
        <f t="shared" si="2"/>
        <v>ROMERO CHAD</v>
      </c>
      <c r="H75" s="20" t="str">
        <f t="shared" si="3"/>
        <v>4042</v>
      </c>
    </row>
    <row r="76" spans="1:8" x14ac:dyDescent="0.25">
      <c r="A76" s="8">
        <v>43040.390706018516</v>
      </c>
      <c r="B76" s="20" t="s">
        <v>616</v>
      </c>
      <c r="C76" s="20" t="s">
        <v>623</v>
      </c>
      <c r="D76" s="138">
        <v>940000</v>
      </c>
      <c r="E76" s="20" t="s">
        <v>652</v>
      </c>
      <c r="F76" s="20" t="s">
        <v>653</v>
      </c>
      <c r="G76" s="8" t="str">
        <f t="shared" si="2"/>
        <v>BONDS REYNALDO</v>
      </c>
      <c r="H76" s="20" t="str">
        <f t="shared" si="3"/>
        <v>4063</v>
      </c>
    </row>
    <row r="77" spans="1:8" x14ac:dyDescent="0.25">
      <c r="A77" s="8">
        <v>43040.391770833332</v>
      </c>
      <c r="B77" s="20" t="s">
        <v>378</v>
      </c>
      <c r="C77" s="20" t="s">
        <v>723</v>
      </c>
      <c r="D77" s="138">
        <v>1830000</v>
      </c>
      <c r="E77" s="20" t="s">
        <v>354</v>
      </c>
      <c r="F77" s="20" t="s">
        <v>355</v>
      </c>
      <c r="G77" s="8" t="str">
        <f t="shared" si="2"/>
        <v>YORK EDGAR</v>
      </c>
      <c r="H77" s="20" t="str">
        <f t="shared" si="3"/>
        <v>4050</v>
      </c>
    </row>
    <row r="78" spans="1:8" x14ac:dyDescent="0.25">
      <c r="A78" s="8">
        <v>43040.39298611111</v>
      </c>
      <c r="B78" s="20" t="s">
        <v>627</v>
      </c>
      <c r="C78" s="20" t="s">
        <v>724</v>
      </c>
      <c r="D78" s="138">
        <v>1100000</v>
      </c>
      <c r="E78" s="20" t="s">
        <v>683</v>
      </c>
      <c r="F78" s="20" t="s">
        <v>684</v>
      </c>
      <c r="G78" s="8" t="str">
        <f t="shared" si="2"/>
        <v>GEBRETEKLE DAGNEW</v>
      </c>
      <c r="H78" s="20" t="str">
        <f t="shared" si="3"/>
        <v>4031</v>
      </c>
    </row>
    <row r="79" spans="1:8" x14ac:dyDescent="0.25">
      <c r="A79" s="8">
        <v>43040.400902777779</v>
      </c>
      <c r="B79" s="20" t="s">
        <v>624</v>
      </c>
      <c r="C79" s="20" t="s">
        <v>625</v>
      </c>
      <c r="D79" s="138">
        <v>3700000</v>
      </c>
      <c r="E79" s="20" t="s">
        <v>671</v>
      </c>
      <c r="F79" s="20" t="s">
        <v>401</v>
      </c>
      <c r="G79" s="8" t="str">
        <f t="shared" si="2"/>
        <v>AUSTIN THOMPSON</v>
      </c>
      <c r="H79" s="20" t="str">
        <f t="shared" si="3"/>
        <v>4043</v>
      </c>
    </row>
    <row r="80" spans="1:8" x14ac:dyDescent="0.25">
      <c r="A80" s="8">
        <v>43040.403240740743</v>
      </c>
      <c r="B80" s="20" t="s">
        <v>493</v>
      </c>
      <c r="C80" s="20" t="s">
        <v>725</v>
      </c>
      <c r="D80" s="138">
        <v>1340000</v>
      </c>
      <c r="E80" s="20" t="s">
        <v>663</v>
      </c>
      <c r="F80" s="20" t="s">
        <v>664</v>
      </c>
      <c r="G80" s="8" t="str">
        <f t="shared" si="2"/>
        <v>BEAM ROSS</v>
      </c>
      <c r="H80" s="20" t="str">
        <f t="shared" si="3"/>
        <v>4026</v>
      </c>
    </row>
    <row r="81" spans="1:8" x14ac:dyDescent="0.25">
      <c r="A81" s="8">
        <v>43040.411064814813</v>
      </c>
      <c r="B81" s="20" t="s">
        <v>621</v>
      </c>
      <c r="C81" s="20" t="s">
        <v>726</v>
      </c>
      <c r="D81" s="138">
        <v>2470000</v>
      </c>
      <c r="E81" s="20" t="s">
        <v>407</v>
      </c>
      <c r="F81" s="20" t="s">
        <v>408</v>
      </c>
      <c r="G81" s="8" t="str">
        <f t="shared" si="2"/>
        <v>ROMERO CHAD</v>
      </c>
      <c r="H81" s="20" t="str">
        <f t="shared" si="3"/>
        <v>4041</v>
      </c>
    </row>
    <row r="82" spans="1:8" x14ac:dyDescent="0.25">
      <c r="A82" s="8">
        <v>43040.412199074075</v>
      </c>
      <c r="B82" s="20" t="s">
        <v>619</v>
      </c>
      <c r="C82" s="20" t="s">
        <v>626</v>
      </c>
      <c r="D82" s="138">
        <v>3120000</v>
      </c>
      <c r="E82" s="20" t="s">
        <v>401</v>
      </c>
      <c r="F82" s="20" t="s">
        <v>402</v>
      </c>
      <c r="G82" s="8" t="str">
        <f t="shared" si="2"/>
        <v>THOMPSON LESTER</v>
      </c>
      <c r="H82" s="20" t="str">
        <f t="shared" si="3"/>
        <v>4013</v>
      </c>
    </row>
    <row r="83" spans="1:8" x14ac:dyDescent="0.25">
      <c r="A83" s="8">
        <v>43040.415300925924</v>
      </c>
      <c r="B83" s="20" t="s">
        <v>668</v>
      </c>
      <c r="C83" s="20" t="s">
        <v>727</v>
      </c>
      <c r="D83" s="138">
        <v>1110000</v>
      </c>
      <c r="E83" s="20" t="s">
        <v>472</v>
      </c>
      <c r="F83" s="20" t="s">
        <v>473</v>
      </c>
      <c r="G83" s="8" t="str">
        <f t="shared" si="2"/>
        <v>STARKS ANGELINA</v>
      </c>
      <c r="H83" s="20" t="str">
        <f t="shared" si="3"/>
        <v>4002</v>
      </c>
    </row>
    <row r="84" spans="1:8" x14ac:dyDescent="0.25">
      <c r="A84" s="8">
        <v>43040.415821759256</v>
      </c>
      <c r="B84" s="20" t="s">
        <v>689</v>
      </c>
      <c r="C84" s="20" t="s">
        <v>728</v>
      </c>
      <c r="D84" s="138">
        <v>1100000</v>
      </c>
      <c r="E84" s="20" t="s">
        <v>683</v>
      </c>
      <c r="F84" s="20" t="s">
        <v>684</v>
      </c>
      <c r="G84" s="8" t="str">
        <f t="shared" si="2"/>
        <v>GEBRETEKLE DAGNEW</v>
      </c>
      <c r="H84" s="20" t="str">
        <f t="shared" si="3"/>
        <v>4032</v>
      </c>
    </row>
    <row r="85" spans="1:8" x14ac:dyDescent="0.25">
      <c r="A85" s="8">
        <v>43040.424305555556</v>
      </c>
      <c r="B85" s="20" t="s">
        <v>640</v>
      </c>
      <c r="C85" s="20" t="s">
        <v>729</v>
      </c>
      <c r="D85" s="138">
        <v>3090000</v>
      </c>
      <c r="E85" s="20" t="s">
        <v>403</v>
      </c>
      <c r="F85" s="20" t="s">
        <v>404</v>
      </c>
      <c r="G85" s="8" t="str">
        <f t="shared" si="2"/>
        <v>LAMAR NEKESHA</v>
      </c>
      <c r="H85" s="20" t="str">
        <f t="shared" si="3"/>
        <v>4064</v>
      </c>
    </row>
    <row r="86" spans="1:8" x14ac:dyDescent="0.25">
      <c r="A86" s="8">
        <v>43040.425057870372</v>
      </c>
      <c r="B86" s="20" t="s">
        <v>379</v>
      </c>
      <c r="C86" s="20" t="s">
        <v>730</v>
      </c>
      <c r="D86" s="138">
        <v>1830000</v>
      </c>
      <c r="E86" s="20" t="s">
        <v>354</v>
      </c>
      <c r="F86" s="20" t="s">
        <v>355</v>
      </c>
      <c r="G86" s="8" t="str">
        <f t="shared" si="2"/>
        <v>YORK EDGAR</v>
      </c>
      <c r="H86" s="20" t="str">
        <f t="shared" si="3"/>
        <v>4049</v>
      </c>
    </row>
    <row r="87" spans="1:8" x14ac:dyDescent="0.25">
      <c r="A87" s="8">
        <v>43040.431539351855</v>
      </c>
      <c r="B87" s="20" t="s">
        <v>629</v>
      </c>
      <c r="C87" s="20" t="s">
        <v>630</v>
      </c>
      <c r="D87" s="138">
        <v>1340000</v>
      </c>
      <c r="E87" s="20" t="s">
        <v>663</v>
      </c>
      <c r="F87" s="20" t="s">
        <v>664</v>
      </c>
      <c r="G87" s="8" t="str">
        <f t="shared" si="2"/>
        <v>BEAM ROSS</v>
      </c>
      <c r="H87" s="20" t="str">
        <f t="shared" si="3"/>
        <v>4025</v>
      </c>
    </row>
    <row r="88" spans="1:8" x14ac:dyDescent="0.25">
      <c r="A88" s="8">
        <v>43040.43513888889</v>
      </c>
      <c r="B88" s="20" t="s">
        <v>627</v>
      </c>
      <c r="C88" s="20" t="s">
        <v>628</v>
      </c>
      <c r="D88" s="138">
        <v>1100000</v>
      </c>
      <c r="E88" s="20" t="s">
        <v>683</v>
      </c>
      <c r="F88" s="20" t="s">
        <v>684</v>
      </c>
      <c r="G88" s="8" t="str">
        <f t="shared" si="2"/>
        <v>GEBRETEKLE DAGNEW</v>
      </c>
      <c r="H88" s="20" t="str">
        <f t="shared" si="3"/>
        <v>4031</v>
      </c>
    </row>
    <row r="89" spans="1:8" x14ac:dyDescent="0.25">
      <c r="A89" s="8">
        <v>43040.435300925928</v>
      </c>
      <c r="B89" s="20" t="s">
        <v>674</v>
      </c>
      <c r="C89" s="20" t="s">
        <v>731</v>
      </c>
      <c r="D89" s="138">
        <v>3700000</v>
      </c>
      <c r="E89" s="20" t="s">
        <v>671</v>
      </c>
      <c r="F89" s="20" t="s">
        <v>401</v>
      </c>
      <c r="G89" s="8" t="str">
        <f t="shared" si="2"/>
        <v>AUSTIN THOMPSON</v>
      </c>
      <c r="H89" s="20" t="str">
        <f t="shared" si="3"/>
        <v>4044</v>
      </c>
    </row>
    <row r="90" spans="1:8" x14ac:dyDescent="0.25">
      <c r="A90" s="8">
        <v>43040.441423611112</v>
      </c>
      <c r="B90" s="20" t="s">
        <v>732</v>
      </c>
      <c r="C90" s="20" t="s">
        <v>733</v>
      </c>
      <c r="D90" s="138">
        <v>2370000</v>
      </c>
      <c r="E90" s="20" t="s">
        <v>477</v>
      </c>
      <c r="F90" s="20" t="s">
        <v>478</v>
      </c>
      <c r="G90" s="8" t="str">
        <f t="shared" si="2"/>
        <v>DELGADO DIANAH</v>
      </c>
      <c r="H90" s="20" t="str">
        <f t="shared" si="3"/>
        <v>4051</v>
      </c>
    </row>
    <row r="91" spans="1:8" x14ac:dyDescent="0.25">
      <c r="A91" s="8">
        <v>43040.445949074077</v>
      </c>
      <c r="B91" s="20" t="s">
        <v>612</v>
      </c>
      <c r="C91" s="20" t="s">
        <v>631</v>
      </c>
      <c r="D91" s="138">
        <v>1110000</v>
      </c>
      <c r="E91" s="20" t="s">
        <v>472</v>
      </c>
      <c r="F91" s="20" t="s">
        <v>473</v>
      </c>
      <c r="G91" s="8" t="str">
        <f t="shared" si="2"/>
        <v>STARKS ANGELINA</v>
      </c>
      <c r="H91" s="20" t="str">
        <f t="shared" si="3"/>
        <v>4001</v>
      </c>
    </row>
    <row r="92" spans="1:8" x14ac:dyDescent="0.25">
      <c r="A92" s="8">
        <v>43040.446805555555</v>
      </c>
      <c r="B92" s="20" t="s">
        <v>610</v>
      </c>
      <c r="C92" s="20" t="s">
        <v>734</v>
      </c>
      <c r="D92" s="138">
        <v>920000</v>
      </c>
      <c r="E92" s="20" t="s">
        <v>372</v>
      </c>
      <c r="F92" s="20" t="s">
        <v>360</v>
      </c>
      <c r="G92" s="8" t="str">
        <f t="shared" si="2"/>
        <v>DAVIS MICHAEL</v>
      </c>
      <c r="H92" s="20" t="str">
        <f t="shared" si="3"/>
        <v>4014</v>
      </c>
    </row>
    <row r="93" spans="1:8" x14ac:dyDescent="0.25">
      <c r="A93" s="8">
        <v>43040.453483796293</v>
      </c>
      <c r="B93" s="20" t="s">
        <v>635</v>
      </c>
      <c r="C93" s="20" t="s">
        <v>735</v>
      </c>
      <c r="D93" s="138">
        <v>2370000</v>
      </c>
      <c r="E93" s="20" t="s">
        <v>477</v>
      </c>
      <c r="F93" s="20" t="s">
        <v>478</v>
      </c>
      <c r="G93" s="8" t="str">
        <f t="shared" si="2"/>
        <v>DELGADO DIANAH</v>
      </c>
      <c r="H93" s="20" t="str">
        <f t="shared" si="3"/>
        <v>4042</v>
      </c>
    </row>
    <row r="94" spans="1:8" x14ac:dyDescent="0.25">
      <c r="A94" s="8">
        <v>43040.45758101852</v>
      </c>
      <c r="B94" s="20" t="s">
        <v>689</v>
      </c>
      <c r="C94" s="20" t="s">
        <v>736</v>
      </c>
      <c r="D94" s="138">
        <v>1100000</v>
      </c>
      <c r="E94" s="20" t="s">
        <v>683</v>
      </c>
      <c r="F94" s="20" t="s">
        <v>684</v>
      </c>
      <c r="G94" s="8" t="str">
        <f t="shared" si="2"/>
        <v>GEBRETEKLE DAGNEW</v>
      </c>
      <c r="H94" s="20" t="str">
        <f t="shared" si="3"/>
        <v>4032</v>
      </c>
    </row>
    <row r="95" spans="1:8" x14ac:dyDescent="0.25">
      <c r="A95" s="8">
        <v>43040.465254629627</v>
      </c>
      <c r="B95" s="20" t="s">
        <v>624</v>
      </c>
      <c r="C95" s="20" t="s">
        <v>737</v>
      </c>
      <c r="D95" s="138">
        <v>3700000</v>
      </c>
      <c r="E95" s="20" t="s">
        <v>671</v>
      </c>
      <c r="F95" s="20" t="s">
        <v>401</v>
      </c>
      <c r="G95" s="8" t="str">
        <f t="shared" si="2"/>
        <v>AUSTIN THOMPSON</v>
      </c>
      <c r="H95" s="20" t="str">
        <f t="shared" si="3"/>
        <v>4043</v>
      </c>
    </row>
    <row r="96" spans="1:8" x14ac:dyDescent="0.25">
      <c r="A96" s="8">
        <v>43040.465578703705</v>
      </c>
      <c r="B96" s="20" t="s">
        <v>616</v>
      </c>
      <c r="C96" s="20" t="s">
        <v>738</v>
      </c>
      <c r="D96" s="138">
        <v>3090000</v>
      </c>
      <c r="E96" s="20" t="s">
        <v>403</v>
      </c>
      <c r="F96" s="20" t="s">
        <v>404</v>
      </c>
      <c r="G96" s="8" t="str">
        <f t="shared" si="2"/>
        <v>LAMAR NEKESHA</v>
      </c>
      <c r="H96" s="20" t="str">
        <f t="shared" si="3"/>
        <v>4063</v>
      </c>
    </row>
    <row r="97" spans="1:8" x14ac:dyDescent="0.25">
      <c r="A97" s="8">
        <v>43040.466469907406</v>
      </c>
      <c r="B97" s="20" t="s">
        <v>378</v>
      </c>
      <c r="C97" s="20" t="s">
        <v>739</v>
      </c>
      <c r="D97" s="138">
        <v>1770000</v>
      </c>
      <c r="E97" s="20" t="s">
        <v>479</v>
      </c>
      <c r="F97" s="20" t="s">
        <v>480</v>
      </c>
      <c r="G97" s="8" t="str">
        <f t="shared" si="2"/>
        <v>BRUDER RICHARD</v>
      </c>
      <c r="H97" s="20" t="str">
        <f t="shared" si="3"/>
        <v>4050</v>
      </c>
    </row>
    <row r="98" spans="1:8" x14ac:dyDescent="0.25">
      <c r="A98" s="8">
        <v>43040.47587962963</v>
      </c>
      <c r="B98" s="20" t="s">
        <v>493</v>
      </c>
      <c r="C98" s="20" t="s">
        <v>740</v>
      </c>
      <c r="D98" s="138">
        <v>880000</v>
      </c>
      <c r="E98" s="20" t="s">
        <v>429</v>
      </c>
      <c r="F98" s="20" t="s">
        <v>360</v>
      </c>
      <c r="G98" s="8" t="str">
        <f t="shared" si="2"/>
        <v>STEWART MICHAEL</v>
      </c>
      <c r="H98" s="20" t="str">
        <f t="shared" si="3"/>
        <v>4026</v>
      </c>
    </row>
    <row r="99" spans="1:8" x14ac:dyDescent="0.25">
      <c r="A99" s="8">
        <v>43040.476469907408</v>
      </c>
      <c r="B99" s="20" t="s">
        <v>741</v>
      </c>
      <c r="C99" s="20" t="s">
        <v>742</v>
      </c>
      <c r="D99" s="138">
        <v>1830000</v>
      </c>
      <c r="E99" s="20" t="s">
        <v>354</v>
      </c>
      <c r="F99" s="20" t="s">
        <v>355</v>
      </c>
      <c r="G99" s="8" t="str">
        <f t="shared" si="2"/>
        <v>YORK EDGAR</v>
      </c>
      <c r="H99" s="20" t="str">
        <f t="shared" si="3"/>
        <v>4052</v>
      </c>
    </row>
    <row r="100" spans="1:8" x14ac:dyDescent="0.25">
      <c r="A100" s="8">
        <v>43040.476944444446</v>
      </c>
      <c r="B100" s="20" t="s">
        <v>627</v>
      </c>
      <c r="C100" s="20" t="s">
        <v>743</v>
      </c>
      <c r="D100" s="138">
        <v>0</v>
      </c>
      <c r="E100" s="20" t="s">
        <v>744</v>
      </c>
      <c r="F100" s="20" t="s">
        <v>745</v>
      </c>
      <c r="G100" s="8" t="str">
        <f t="shared" si="2"/>
        <v>MAINTENANCE VEHICLE</v>
      </c>
      <c r="H100" s="20" t="str">
        <f t="shared" si="3"/>
        <v>4031</v>
      </c>
    </row>
    <row r="101" spans="1:8" x14ac:dyDescent="0.25">
      <c r="A101" s="8">
        <v>43040.486145833333</v>
      </c>
      <c r="B101" s="20" t="s">
        <v>668</v>
      </c>
      <c r="C101" s="20" t="s">
        <v>746</v>
      </c>
      <c r="D101" s="138">
        <v>2970000</v>
      </c>
      <c r="E101" s="20" t="s">
        <v>411</v>
      </c>
      <c r="F101" s="20" t="s">
        <v>412</v>
      </c>
      <c r="G101" s="8" t="str">
        <f t="shared" si="2"/>
        <v>GUZMAN DANNY</v>
      </c>
      <c r="H101" s="20" t="str">
        <f t="shared" si="3"/>
        <v>4002</v>
      </c>
    </row>
    <row r="102" spans="1:8" x14ac:dyDescent="0.25">
      <c r="A102" s="8">
        <v>43040.486481481479</v>
      </c>
      <c r="B102" s="20" t="s">
        <v>619</v>
      </c>
      <c r="C102" s="20" t="s">
        <v>747</v>
      </c>
      <c r="D102" s="138">
        <v>920000</v>
      </c>
      <c r="E102" s="20" t="s">
        <v>372</v>
      </c>
      <c r="F102" s="20" t="s">
        <v>360</v>
      </c>
      <c r="G102" s="8" t="str">
        <f t="shared" si="2"/>
        <v>DAVIS MICHAEL</v>
      </c>
      <c r="H102" s="20" t="str">
        <f t="shared" si="3"/>
        <v>4013</v>
      </c>
    </row>
    <row r="103" spans="1:8" x14ac:dyDescent="0.25">
      <c r="A103" s="8">
        <v>43040.486516203702</v>
      </c>
      <c r="B103" s="20" t="s">
        <v>621</v>
      </c>
      <c r="C103" s="20" t="s">
        <v>748</v>
      </c>
      <c r="D103" s="138">
        <v>2370000</v>
      </c>
      <c r="E103" s="20" t="s">
        <v>477</v>
      </c>
      <c r="F103" s="20" t="s">
        <v>478</v>
      </c>
      <c r="G103" s="8" t="str">
        <f t="shared" si="2"/>
        <v>DELGADO DIANAH</v>
      </c>
      <c r="H103" s="20" t="str">
        <f t="shared" si="3"/>
        <v>4041</v>
      </c>
    </row>
    <row r="104" spans="1:8" x14ac:dyDescent="0.25">
      <c r="A104" s="8">
        <v>43040.496921296297</v>
      </c>
      <c r="B104" s="20" t="s">
        <v>640</v>
      </c>
      <c r="C104" s="20" t="s">
        <v>749</v>
      </c>
      <c r="D104" s="138">
        <v>1300000</v>
      </c>
      <c r="E104" s="20" t="s">
        <v>367</v>
      </c>
      <c r="F104" s="20" t="s">
        <v>368</v>
      </c>
      <c r="G104" s="8" t="str">
        <f t="shared" si="2"/>
        <v>LEVIN SCOTT</v>
      </c>
      <c r="H104" s="20" t="str">
        <f t="shared" si="3"/>
        <v>4064</v>
      </c>
    </row>
    <row r="105" spans="1:8" x14ac:dyDescent="0.25">
      <c r="A105" s="8">
        <v>43040.499791666669</v>
      </c>
      <c r="B105" s="20" t="s">
        <v>689</v>
      </c>
      <c r="C105" s="20" t="s">
        <v>750</v>
      </c>
      <c r="D105" s="138">
        <v>1100000</v>
      </c>
      <c r="E105" s="20" t="s">
        <v>683</v>
      </c>
      <c r="F105" s="20" t="s">
        <v>684</v>
      </c>
      <c r="G105" s="8" t="str">
        <f t="shared" si="2"/>
        <v>GEBRETEKLE DAGNEW</v>
      </c>
      <c r="H105" s="20" t="str">
        <f t="shared" si="3"/>
        <v>4032</v>
      </c>
    </row>
    <row r="106" spans="1:8" x14ac:dyDescent="0.25">
      <c r="A106" s="8">
        <v>43040.504224537035</v>
      </c>
      <c r="B106" s="20" t="s">
        <v>732</v>
      </c>
      <c r="C106" s="20" t="s">
        <v>751</v>
      </c>
      <c r="D106" s="138">
        <v>2030000</v>
      </c>
      <c r="E106" s="20" t="s">
        <v>752</v>
      </c>
      <c r="F106" s="20" t="s">
        <v>753</v>
      </c>
      <c r="G106" s="8" t="str">
        <f t="shared" si="2"/>
        <v>KILLION DAVID</v>
      </c>
      <c r="H106" s="20" t="str">
        <f t="shared" si="3"/>
        <v>4051</v>
      </c>
    </row>
    <row r="107" spans="1:8" x14ac:dyDescent="0.25">
      <c r="A107" s="8">
        <v>43040.505486111113</v>
      </c>
      <c r="B107" s="20" t="s">
        <v>379</v>
      </c>
      <c r="C107" s="20" t="s">
        <v>754</v>
      </c>
      <c r="D107" s="138">
        <v>1770000</v>
      </c>
      <c r="E107" s="20" t="s">
        <v>479</v>
      </c>
      <c r="F107" s="20" t="s">
        <v>480</v>
      </c>
      <c r="G107" s="8" t="str">
        <f t="shared" si="2"/>
        <v>BRUDER RICHARD</v>
      </c>
      <c r="H107" s="20" t="str">
        <f t="shared" si="3"/>
        <v>4049</v>
      </c>
    </row>
    <row r="108" spans="1:8" x14ac:dyDescent="0.25">
      <c r="A108" s="8">
        <v>43040.505706018521</v>
      </c>
      <c r="B108" s="20" t="s">
        <v>674</v>
      </c>
      <c r="C108" s="20" t="s">
        <v>755</v>
      </c>
      <c r="D108" s="138">
        <v>2350000</v>
      </c>
      <c r="E108" s="20" t="s">
        <v>756</v>
      </c>
      <c r="F108" s="20" t="s">
        <v>757</v>
      </c>
      <c r="G108" s="8" t="str">
        <f t="shared" si="2"/>
        <v>BERLING GARY</v>
      </c>
      <c r="H108" s="20" t="str">
        <f t="shared" si="3"/>
        <v>4044</v>
      </c>
    </row>
    <row r="109" spans="1:8" x14ac:dyDescent="0.25">
      <c r="A109" s="8">
        <v>43040.50677083333</v>
      </c>
      <c r="B109" s="20" t="s">
        <v>400</v>
      </c>
      <c r="C109" s="20" t="s">
        <v>654</v>
      </c>
      <c r="D109" s="138">
        <v>1810000</v>
      </c>
      <c r="E109" s="20" t="s">
        <v>488</v>
      </c>
      <c r="F109" s="20" t="s">
        <v>487</v>
      </c>
      <c r="G109" s="8" t="str">
        <f t="shared" si="2"/>
        <v>NEWELL JAMES</v>
      </c>
      <c r="H109" s="20" t="str">
        <f t="shared" si="3"/>
        <v>4004</v>
      </c>
    </row>
    <row r="110" spans="1:8" x14ac:dyDescent="0.25">
      <c r="A110" s="8">
        <v>43040.507627314815</v>
      </c>
      <c r="B110" s="20" t="s">
        <v>400</v>
      </c>
      <c r="C110" s="20" t="s">
        <v>654</v>
      </c>
      <c r="D110" s="138">
        <v>1810000</v>
      </c>
      <c r="E110" s="20" t="s">
        <v>488</v>
      </c>
      <c r="F110" s="20" t="s">
        <v>487</v>
      </c>
      <c r="G110" s="8" t="str">
        <f t="shared" si="2"/>
        <v>NEWELL JAMES</v>
      </c>
      <c r="H110" s="20" t="str">
        <f t="shared" si="3"/>
        <v>4004</v>
      </c>
    </row>
    <row r="111" spans="1:8" x14ac:dyDescent="0.25">
      <c r="A111" s="8">
        <v>43040.510775462964</v>
      </c>
      <c r="B111" s="20" t="s">
        <v>399</v>
      </c>
      <c r="C111" s="20" t="s">
        <v>654</v>
      </c>
      <c r="D111" s="138">
        <v>1810000</v>
      </c>
      <c r="E111" s="20" t="s">
        <v>488</v>
      </c>
      <c r="F111" s="20" t="s">
        <v>487</v>
      </c>
      <c r="G111" s="8" t="str">
        <f t="shared" si="2"/>
        <v>NEWELL JAMES</v>
      </c>
      <c r="H111" s="20" t="str">
        <f t="shared" si="3"/>
        <v>4003</v>
      </c>
    </row>
    <row r="112" spans="1:8" x14ac:dyDescent="0.25">
      <c r="A112" s="8">
        <v>43040.511770833335</v>
      </c>
      <c r="B112" s="20" t="s">
        <v>399</v>
      </c>
      <c r="C112" s="20" t="s">
        <v>654</v>
      </c>
      <c r="D112" s="138">
        <v>1810000</v>
      </c>
      <c r="E112" s="20" t="s">
        <v>488</v>
      </c>
      <c r="F112" s="20" t="s">
        <v>487</v>
      </c>
      <c r="G112" s="8" t="str">
        <f t="shared" si="2"/>
        <v>NEWELL JAMES</v>
      </c>
      <c r="H112" s="20" t="str">
        <f t="shared" si="3"/>
        <v>4003</v>
      </c>
    </row>
    <row r="113" spans="1:8" x14ac:dyDescent="0.25">
      <c r="A113" s="8">
        <v>43040.515092592592</v>
      </c>
      <c r="B113" s="20" t="s">
        <v>629</v>
      </c>
      <c r="C113" s="20" t="s">
        <v>758</v>
      </c>
      <c r="D113" s="138">
        <v>880000</v>
      </c>
      <c r="E113" s="20" t="s">
        <v>429</v>
      </c>
      <c r="F113" s="20" t="s">
        <v>360</v>
      </c>
      <c r="G113" s="8" t="str">
        <f t="shared" si="2"/>
        <v>STEWART MICHAEL</v>
      </c>
      <c r="H113" s="20" t="str">
        <f t="shared" si="3"/>
        <v>4025</v>
      </c>
    </row>
    <row r="114" spans="1:8" x14ac:dyDescent="0.25">
      <c r="A114" s="8">
        <v>43040.515868055554</v>
      </c>
      <c r="B114" s="20" t="s">
        <v>612</v>
      </c>
      <c r="C114" s="20" t="s">
        <v>759</v>
      </c>
      <c r="D114" s="138">
        <v>2970000</v>
      </c>
      <c r="E114" s="20" t="s">
        <v>411</v>
      </c>
      <c r="F114" s="20" t="s">
        <v>412</v>
      </c>
      <c r="G114" s="8" t="str">
        <f t="shared" si="2"/>
        <v>GUZMAN DANNY</v>
      </c>
      <c r="H114" s="20" t="str">
        <f t="shared" si="3"/>
        <v>4001</v>
      </c>
    </row>
    <row r="115" spans="1:8" x14ac:dyDescent="0.25">
      <c r="A115" s="8">
        <v>43040.516539351855</v>
      </c>
      <c r="B115" s="20" t="s">
        <v>400</v>
      </c>
      <c r="C115" s="20" t="s">
        <v>632</v>
      </c>
      <c r="D115" s="138">
        <v>1810000</v>
      </c>
      <c r="E115" s="20" t="s">
        <v>488</v>
      </c>
      <c r="F115" s="20" t="s">
        <v>487</v>
      </c>
      <c r="G115" s="8" t="str">
        <f t="shared" si="2"/>
        <v>NEWELL JAMES</v>
      </c>
      <c r="H115" s="20" t="str">
        <f t="shared" si="3"/>
        <v>4004</v>
      </c>
    </row>
    <row r="116" spans="1:8" x14ac:dyDescent="0.25">
      <c r="A116" s="8">
        <v>43040.518043981479</v>
      </c>
      <c r="B116" s="20" t="s">
        <v>627</v>
      </c>
      <c r="C116" s="20" t="s">
        <v>760</v>
      </c>
      <c r="D116" s="138">
        <v>0</v>
      </c>
      <c r="E116" s="20" t="s">
        <v>744</v>
      </c>
      <c r="F116" s="20" t="s">
        <v>745</v>
      </c>
      <c r="G116" s="8" t="str">
        <f t="shared" si="2"/>
        <v>MAINTENANCE VEHICLE</v>
      </c>
      <c r="H116" s="20" t="str">
        <f t="shared" si="3"/>
        <v>4031</v>
      </c>
    </row>
    <row r="117" spans="1:8" x14ac:dyDescent="0.25">
      <c r="A117" s="8">
        <v>43040.530115740738</v>
      </c>
      <c r="B117" s="20" t="s">
        <v>635</v>
      </c>
      <c r="C117" s="20" t="s">
        <v>761</v>
      </c>
      <c r="D117" s="138">
        <v>2420000</v>
      </c>
      <c r="E117" s="20" t="s">
        <v>762</v>
      </c>
      <c r="F117" s="20" t="s">
        <v>763</v>
      </c>
      <c r="G117" s="8" t="str">
        <f t="shared" si="2"/>
        <v>HOLCOMB KAMDEN</v>
      </c>
      <c r="H117" s="20" t="str">
        <f t="shared" si="3"/>
        <v>4042</v>
      </c>
    </row>
    <row r="118" spans="1:8" x14ac:dyDescent="0.25">
      <c r="A118" s="8">
        <v>43040.534733796296</v>
      </c>
      <c r="B118" s="20" t="s">
        <v>741</v>
      </c>
      <c r="C118" s="20" t="s">
        <v>764</v>
      </c>
      <c r="D118" s="138">
        <v>2470000</v>
      </c>
      <c r="E118" s="20" t="s">
        <v>407</v>
      </c>
      <c r="F118" s="20" t="s">
        <v>408</v>
      </c>
      <c r="G118" s="8" t="str">
        <f t="shared" si="2"/>
        <v>ROMERO CHAD</v>
      </c>
      <c r="H118" s="20" t="str">
        <f t="shared" si="3"/>
        <v>4052</v>
      </c>
    </row>
    <row r="119" spans="1:8" x14ac:dyDescent="0.25">
      <c r="A119" s="8">
        <v>43040.537986111114</v>
      </c>
      <c r="B119" s="20" t="s">
        <v>378</v>
      </c>
      <c r="C119" s="20" t="s">
        <v>765</v>
      </c>
      <c r="D119" s="138">
        <v>1770000</v>
      </c>
      <c r="E119" s="20" t="s">
        <v>479</v>
      </c>
      <c r="F119" s="20" t="s">
        <v>480</v>
      </c>
      <c r="G119" s="8" t="str">
        <f t="shared" si="2"/>
        <v>BRUDER RICHARD</v>
      </c>
      <c r="H119" s="20" t="str">
        <f t="shared" si="3"/>
        <v>4050</v>
      </c>
    </row>
    <row r="120" spans="1:8" x14ac:dyDescent="0.25">
      <c r="A120" s="8">
        <v>43040.538495370369</v>
      </c>
      <c r="B120" s="20" t="s">
        <v>616</v>
      </c>
      <c r="C120" s="20" t="s">
        <v>766</v>
      </c>
      <c r="D120" s="138">
        <v>1300000</v>
      </c>
      <c r="E120" s="20" t="s">
        <v>367</v>
      </c>
      <c r="F120" s="20" t="s">
        <v>368</v>
      </c>
      <c r="G120" s="8" t="str">
        <f t="shared" si="2"/>
        <v>LEVIN SCOTT</v>
      </c>
      <c r="H120" s="20" t="str">
        <f t="shared" si="3"/>
        <v>4063</v>
      </c>
    </row>
    <row r="121" spans="1:8" x14ac:dyDescent="0.25">
      <c r="A121" s="8">
        <v>43040.54173611111</v>
      </c>
      <c r="B121" s="20" t="s">
        <v>689</v>
      </c>
      <c r="C121" s="20" t="s">
        <v>767</v>
      </c>
      <c r="D121" s="138">
        <v>3680000</v>
      </c>
      <c r="E121" s="20" t="s">
        <v>481</v>
      </c>
      <c r="F121" s="20" t="s">
        <v>482</v>
      </c>
      <c r="G121" s="8" t="str">
        <f t="shared" si="2"/>
        <v>HAMMOND JUSTYNN</v>
      </c>
      <c r="H121" s="20" t="str">
        <f t="shared" si="3"/>
        <v>4032</v>
      </c>
    </row>
    <row r="122" spans="1:8" x14ac:dyDescent="0.25">
      <c r="A122" s="8">
        <v>43040.546412037038</v>
      </c>
      <c r="B122" s="25" t="s">
        <v>624</v>
      </c>
      <c r="C122" s="20" t="s">
        <v>768</v>
      </c>
      <c r="D122" s="138">
        <v>2350000</v>
      </c>
      <c r="E122" s="20" t="s">
        <v>756</v>
      </c>
      <c r="F122" s="20" t="s">
        <v>757</v>
      </c>
      <c r="G122" s="8" t="str">
        <f t="shared" si="2"/>
        <v>BERLING GARY</v>
      </c>
      <c r="H122" s="20" t="str">
        <f t="shared" si="3"/>
        <v>4043</v>
      </c>
    </row>
    <row r="123" spans="1:8" x14ac:dyDescent="0.25">
      <c r="A123" s="8">
        <v>43040.549780092595</v>
      </c>
      <c r="B123" s="20" t="s">
        <v>493</v>
      </c>
      <c r="C123" s="20" t="s">
        <v>633</v>
      </c>
      <c r="D123" s="138">
        <v>880000</v>
      </c>
      <c r="E123" s="20" t="s">
        <v>429</v>
      </c>
      <c r="F123" s="20" t="s">
        <v>360</v>
      </c>
      <c r="G123" s="8" t="str">
        <f t="shared" si="2"/>
        <v>STEWART MICHAEL</v>
      </c>
      <c r="H123" s="20" t="str">
        <f t="shared" si="3"/>
        <v>4026</v>
      </c>
    </row>
    <row r="124" spans="1:8" x14ac:dyDescent="0.25">
      <c r="A124" s="8">
        <v>43040.549861111111</v>
      </c>
      <c r="B124" s="20" t="s">
        <v>399</v>
      </c>
      <c r="C124" s="20" t="s">
        <v>769</v>
      </c>
      <c r="D124" s="138">
        <v>1810000</v>
      </c>
      <c r="E124" s="20" t="s">
        <v>488</v>
      </c>
      <c r="F124" s="20" t="s">
        <v>487</v>
      </c>
      <c r="G124" s="8" t="str">
        <f t="shared" si="2"/>
        <v>NEWELL JAMES</v>
      </c>
      <c r="H124" s="20" t="str">
        <f t="shared" si="3"/>
        <v>4003</v>
      </c>
    </row>
    <row r="125" spans="1:8" x14ac:dyDescent="0.25">
      <c r="A125" s="8">
        <v>43040.558553240742</v>
      </c>
      <c r="B125" s="20" t="s">
        <v>668</v>
      </c>
      <c r="C125" s="20" t="s">
        <v>770</v>
      </c>
      <c r="D125" s="138">
        <v>2970000</v>
      </c>
      <c r="E125" s="20" t="s">
        <v>411</v>
      </c>
      <c r="F125" s="20" t="s">
        <v>412</v>
      </c>
      <c r="G125" s="8" t="str">
        <f t="shared" si="2"/>
        <v>GUZMAN DANNY</v>
      </c>
      <c r="H125" s="20" t="str">
        <f t="shared" si="3"/>
        <v>4002</v>
      </c>
    </row>
    <row r="126" spans="1:8" x14ac:dyDescent="0.25">
      <c r="A126" s="8">
        <v>43040.563564814816</v>
      </c>
      <c r="B126" s="20" t="s">
        <v>627</v>
      </c>
      <c r="C126" s="20" t="s">
        <v>634</v>
      </c>
      <c r="D126" s="138">
        <v>3680000</v>
      </c>
      <c r="E126" s="20" t="s">
        <v>481</v>
      </c>
      <c r="F126" s="20" t="s">
        <v>482</v>
      </c>
      <c r="G126" s="8" t="str">
        <f t="shared" si="2"/>
        <v>HAMMOND JUSTYNN</v>
      </c>
      <c r="H126" s="20" t="str">
        <f t="shared" si="3"/>
        <v>4031</v>
      </c>
    </row>
    <row r="127" spans="1:8" x14ac:dyDescent="0.25">
      <c r="A127" s="8">
        <v>43040.568715277775</v>
      </c>
      <c r="B127" s="20" t="s">
        <v>621</v>
      </c>
      <c r="C127" s="20" t="s">
        <v>771</v>
      </c>
      <c r="D127" s="138">
        <v>2420000</v>
      </c>
      <c r="E127" s="20" t="s">
        <v>762</v>
      </c>
      <c r="F127" s="20" t="s">
        <v>763</v>
      </c>
      <c r="G127" s="8" t="str">
        <f t="shared" si="2"/>
        <v>HOLCOMB KAMDEN</v>
      </c>
      <c r="H127" s="20" t="str">
        <f t="shared" si="3"/>
        <v>4041</v>
      </c>
    </row>
    <row r="128" spans="1:8" x14ac:dyDescent="0.25">
      <c r="A128" s="8">
        <v>43040.569120370368</v>
      </c>
      <c r="B128" s="20" t="s">
        <v>640</v>
      </c>
      <c r="C128" s="20" t="s">
        <v>772</v>
      </c>
      <c r="D128" s="138">
        <v>1300000</v>
      </c>
      <c r="E128" s="20" t="s">
        <v>367</v>
      </c>
      <c r="F128" s="20" t="s">
        <v>368</v>
      </c>
      <c r="G128" s="8" t="str">
        <f t="shared" si="2"/>
        <v>LEVIN SCOTT</v>
      </c>
      <c r="H128" s="20" t="str">
        <f t="shared" si="3"/>
        <v>4064</v>
      </c>
    </row>
    <row r="129" spans="1:8" x14ac:dyDescent="0.25">
      <c r="A129" s="8">
        <v>43040.578449074077</v>
      </c>
      <c r="B129" s="20" t="s">
        <v>379</v>
      </c>
      <c r="C129" s="20" t="s">
        <v>773</v>
      </c>
      <c r="D129" s="138">
        <v>1770000</v>
      </c>
      <c r="E129" s="20" t="s">
        <v>479</v>
      </c>
      <c r="F129" s="20" t="s">
        <v>480</v>
      </c>
      <c r="G129" s="8" t="str">
        <f t="shared" si="2"/>
        <v>BRUDER RICHARD</v>
      </c>
      <c r="H129" s="20" t="str">
        <f t="shared" si="3"/>
        <v>4049</v>
      </c>
    </row>
    <row r="130" spans="1:8" x14ac:dyDescent="0.25">
      <c r="A130" s="8">
        <v>43040.580289351848</v>
      </c>
      <c r="B130" s="20" t="s">
        <v>674</v>
      </c>
      <c r="C130" s="20" t="s">
        <v>774</v>
      </c>
      <c r="D130" s="138">
        <v>2350000</v>
      </c>
      <c r="E130" s="20" t="s">
        <v>756</v>
      </c>
      <c r="F130" s="20" t="s">
        <v>757</v>
      </c>
      <c r="G130" s="8" t="str">
        <f t="shared" si="2"/>
        <v>BERLING GARY</v>
      </c>
      <c r="H130" s="20" t="str">
        <f t="shared" si="3"/>
        <v>4044</v>
      </c>
    </row>
    <row r="131" spans="1:8" x14ac:dyDescent="0.25">
      <c r="A131" s="8">
        <v>43040.587719907409</v>
      </c>
      <c r="B131" s="20" t="s">
        <v>689</v>
      </c>
      <c r="C131" s="20" t="s">
        <v>775</v>
      </c>
      <c r="D131" s="138">
        <v>3680000</v>
      </c>
      <c r="E131" s="20" t="s">
        <v>481</v>
      </c>
      <c r="F131" s="20" t="s">
        <v>482</v>
      </c>
      <c r="G131" s="8" t="str">
        <f t="shared" ref="G131:G194" si="4">E131&amp;" "&amp;F131</f>
        <v>HAMMOND JUSTYNN</v>
      </c>
      <c r="H131" s="20" t="str">
        <f t="shared" ref="H131:H194" si="5">MID(B131,13,4)</f>
        <v>4032</v>
      </c>
    </row>
    <row r="132" spans="1:8" x14ac:dyDescent="0.25">
      <c r="A132" s="8">
        <v>43040.590497685182</v>
      </c>
      <c r="B132" s="20" t="s">
        <v>629</v>
      </c>
      <c r="C132" s="20" t="s">
        <v>637</v>
      </c>
      <c r="D132" s="138">
        <v>880000</v>
      </c>
      <c r="E132" s="20" t="s">
        <v>429</v>
      </c>
      <c r="F132" s="20" t="s">
        <v>360</v>
      </c>
      <c r="G132" s="8" t="str">
        <f t="shared" si="4"/>
        <v>STEWART MICHAEL</v>
      </c>
      <c r="H132" s="20" t="str">
        <f t="shared" si="5"/>
        <v>4025</v>
      </c>
    </row>
    <row r="133" spans="1:8" x14ac:dyDescent="0.25">
      <c r="A133" s="8">
        <v>43040.591261574074</v>
      </c>
      <c r="B133" s="20" t="s">
        <v>400</v>
      </c>
      <c r="C133" s="20" t="s">
        <v>776</v>
      </c>
      <c r="D133" s="138">
        <v>920000</v>
      </c>
      <c r="E133" s="20" t="s">
        <v>372</v>
      </c>
      <c r="F133" s="20" t="s">
        <v>360</v>
      </c>
      <c r="G133" s="8" t="str">
        <f t="shared" si="4"/>
        <v>DAVIS MICHAEL</v>
      </c>
      <c r="H133" s="20" t="str">
        <f t="shared" si="5"/>
        <v>4004</v>
      </c>
    </row>
    <row r="134" spans="1:8" x14ac:dyDescent="0.25">
      <c r="A134" s="8">
        <v>43040.591631944444</v>
      </c>
      <c r="B134" s="20" t="s">
        <v>612</v>
      </c>
      <c r="C134" s="20" t="s">
        <v>777</v>
      </c>
      <c r="D134" s="138">
        <v>2970000</v>
      </c>
      <c r="E134" s="20" t="s">
        <v>411</v>
      </c>
      <c r="F134" s="20" t="s">
        <v>412</v>
      </c>
      <c r="G134" s="8" t="str">
        <f t="shared" si="4"/>
        <v>GUZMAN DANNY</v>
      </c>
      <c r="H134" s="20" t="str">
        <f t="shared" si="5"/>
        <v>4001</v>
      </c>
    </row>
    <row r="135" spans="1:8" x14ac:dyDescent="0.25">
      <c r="A135" s="8">
        <v>43040.59202546296</v>
      </c>
      <c r="B135" s="20" t="s">
        <v>629</v>
      </c>
      <c r="C135" s="20" t="s">
        <v>637</v>
      </c>
      <c r="D135" s="138">
        <v>880000</v>
      </c>
      <c r="E135" s="20" t="s">
        <v>429</v>
      </c>
      <c r="F135" s="20" t="s">
        <v>360</v>
      </c>
      <c r="G135" s="8" t="str">
        <f t="shared" si="4"/>
        <v>STEWART MICHAEL</v>
      </c>
      <c r="H135" s="20" t="str">
        <f t="shared" si="5"/>
        <v>4025</v>
      </c>
    </row>
    <row r="136" spans="1:8" x14ac:dyDescent="0.25">
      <c r="A136" s="8">
        <v>43040.601099537038</v>
      </c>
      <c r="B136" s="20" t="s">
        <v>635</v>
      </c>
      <c r="C136" s="20" t="s">
        <v>636</v>
      </c>
      <c r="D136" s="138">
        <v>2420000</v>
      </c>
      <c r="E136" s="20" t="s">
        <v>762</v>
      </c>
      <c r="F136" s="20" t="s">
        <v>763</v>
      </c>
      <c r="G136" s="8" t="str">
        <f t="shared" si="4"/>
        <v>HOLCOMB KAMDEN</v>
      </c>
      <c r="H136" s="20" t="str">
        <f t="shared" si="5"/>
        <v>4042</v>
      </c>
    </row>
    <row r="137" spans="1:8" x14ac:dyDescent="0.25">
      <c r="A137" s="8">
        <v>43040.602280092593</v>
      </c>
      <c r="B137" s="20" t="s">
        <v>627</v>
      </c>
      <c r="C137" s="20" t="s">
        <v>778</v>
      </c>
      <c r="D137" s="138">
        <v>3680000</v>
      </c>
      <c r="E137" s="20" t="s">
        <v>481</v>
      </c>
      <c r="F137" s="20" t="s">
        <v>482</v>
      </c>
      <c r="G137" s="8" t="str">
        <f t="shared" si="4"/>
        <v>HAMMOND JUSTYNN</v>
      </c>
      <c r="H137" s="20" t="str">
        <f t="shared" si="5"/>
        <v>4031</v>
      </c>
    </row>
    <row r="138" spans="1:8" x14ac:dyDescent="0.25">
      <c r="A138" s="8">
        <v>43040.603877314818</v>
      </c>
      <c r="B138" s="20" t="s">
        <v>616</v>
      </c>
      <c r="C138" s="20" t="s">
        <v>638</v>
      </c>
      <c r="D138" s="138">
        <v>1300000</v>
      </c>
      <c r="E138" s="20" t="s">
        <v>367</v>
      </c>
      <c r="F138" s="20" t="s">
        <v>368</v>
      </c>
      <c r="G138" s="8" t="str">
        <f t="shared" si="4"/>
        <v>LEVIN SCOTT</v>
      </c>
      <c r="H138" s="20" t="str">
        <f t="shared" si="5"/>
        <v>4063</v>
      </c>
    </row>
    <row r="139" spans="1:8" x14ac:dyDescent="0.25">
      <c r="A139" s="8">
        <v>43040.610960648148</v>
      </c>
      <c r="B139" s="20" t="s">
        <v>378</v>
      </c>
      <c r="C139" s="20" t="s">
        <v>779</v>
      </c>
      <c r="D139" s="138">
        <v>1770000</v>
      </c>
      <c r="E139" s="20" t="s">
        <v>479</v>
      </c>
      <c r="F139" s="20" t="s">
        <v>480</v>
      </c>
      <c r="G139" s="8" t="str">
        <f t="shared" si="4"/>
        <v>BRUDER RICHARD</v>
      </c>
      <c r="H139" s="20" t="str">
        <f t="shared" si="5"/>
        <v>4050</v>
      </c>
    </row>
    <row r="140" spans="1:8" x14ac:dyDescent="0.25">
      <c r="A140" s="8">
        <v>43040.617476851854</v>
      </c>
      <c r="B140" s="20" t="s">
        <v>624</v>
      </c>
      <c r="C140" s="20" t="s">
        <v>780</v>
      </c>
      <c r="D140" s="138">
        <v>2350000</v>
      </c>
      <c r="E140" s="20" t="s">
        <v>756</v>
      </c>
      <c r="F140" s="20" t="s">
        <v>757</v>
      </c>
      <c r="G140" s="8" t="str">
        <f t="shared" si="4"/>
        <v>BERLING GARY</v>
      </c>
      <c r="H140" s="20" t="str">
        <f t="shared" si="5"/>
        <v>4043</v>
      </c>
    </row>
    <row r="141" spans="1:8" x14ac:dyDescent="0.25">
      <c r="A141" s="8">
        <v>43040.62394675926</v>
      </c>
      <c r="B141" s="20" t="s">
        <v>493</v>
      </c>
      <c r="C141" s="20" t="s">
        <v>639</v>
      </c>
      <c r="D141" s="138">
        <v>880000</v>
      </c>
      <c r="E141" s="20" t="s">
        <v>429</v>
      </c>
      <c r="F141" s="20" t="s">
        <v>360</v>
      </c>
      <c r="G141" s="8" t="str">
        <f t="shared" si="4"/>
        <v>STEWART MICHAEL</v>
      </c>
      <c r="H141" s="20" t="str">
        <f t="shared" si="5"/>
        <v>4026</v>
      </c>
    </row>
    <row r="142" spans="1:8" x14ac:dyDescent="0.25">
      <c r="A142" s="8">
        <v>43040.629618055558</v>
      </c>
      <c r="B142" s="20" t="s">
        <v>689</v>
      </c>
      <c r="C142" s="20" t="s">
        <v>781</v>
      </c>
      <c r="D142" s="138">
        <v>3680000</v>
      </c>
      <c r="E142" s="20" t="s">
        <v>481</v>
      </c>
      <c r="F142" s="20" t="s">
        <v>482</v>
      </c>
      <c r="G142" s="8" t="str">
        <f t="shared" si="4"/>
        <v>HAMMOND JUSTYNN</v>
      </c>
      <c r="H142" s="20" t="str">
        <f t="shared" si="5"/>
        <v>4032</v>
      </c>
    </row>
    <row r="143" spans="1:8" x14ac:dyDescent="0.25">
      <c r="A143" s="8">
        <v>43040.632488425923</v>
      </c>
      <c r="B143" s="20" t="s">
        <v>668</v>
      </c>
      <c r="C143" s="20" t="s">
        <v>782</v>
      </c>
      <c r="D143" s="138">
        <v>2970000</v>
      </c>
      <c r="E143" s="20" t="s">
        <v>411</v>
      </c>
      <c r="F143" s="20" t="s">
        <v>412</v>
      </c>
      <c r="G143" s="8" t="str">
        <f t="shared" si="4"/>
        <v>GUZMAN DANNY</v>
      </c>
      <c r="H143" s="20" t="str">
        <f t="shared" si="5"/>
        <v>4002</v>
      </c>
    </row>
    <row r="144" spans="1:8" x14ac:dyDescent="0.25">
      <c r="A144" s="8">
        <v>43040.632824074077</v>
      </c>
      <c r="B144" s="20" t="s">
        <v>399</v>
      </c>
      <c r="C144" s="20" t="s">
        <v>783</v>
      </c>
      <c r="D144" s="138">
        <v>920000</v>
      </c>
      <c r="E144" s="20" t="s">
        <v>372</v>
      </c>
      <c r="F144" s="20" t="s">
        <v>360</v>
      </c>
      <c r="G144" s="8" t="str">
        <f t="shared" si="4"/>
        <v>DAVIS MICHAEL</v>
      </c>
      <c r="H144" s="20" t="str">
        <f t="shared" si="5"/>
        <v>4003</v>
      </c>
    </row>
    <row r="145" spans="1:8" x14ac:dyDescent="0.25">
      <c r="A145" s="8">
        <v>43040.637106481481</v>
      </c>
      <c r="B145" s="20" t="s">
        <v>676</v>
      </c>
      <c r="C145" s="20" t="s">
        <v>784</v>
      </c>
      <c r="D145" s="138">
        <v>2000000</v>
      </c>
      <c r="E145" s="20" t="s">
        <v>486</v>
      </c>
      <c r="F145" s="20" t="s">
        <v>487</v>
      </c>
      <c r="G145" s="8" t="str">
        <f t="shared" si="4"/>
        <v>STAMBAUGH JAMES</v>
      </c>
      <c r="H145" s="20" t="str">
        <f t="shared" si="5"/>
        <v>4023</v>
      </c>
    </row>
    <row r="146" spans="1:8" x14ac:dyDescent="0.25">
      <c r="A146" s="8">
        <v>43040.641504629632</v>
      </c>
      <c r="B146" s="20" t="s">
        <v>621</v>
      </c>
      <c r="C146" s="20" t="s">
        <v>785</v>
      </c>
      <c r="D146" s="138">
        <v>2420000</v>
      </c>
      <c r="E146" s="20" t="s">
        <v>762</v>
      </c>
      <c r="F146" s="20" t="s">
        <v>763</v>
      </c>
      <c r="G146" s="8" t="str">
        <f t="shared" si="4"/>
        <v>HOLCOMB KAMDEN</v>
      </c>
      <c r="H146" s="20" t="str">
        <f t="shared" si="5"/>
        <v>4041</v>
      </c>
    </row>
    <row r="147" spans="1:8" x14ac:dyDescent="0.25">
      <c r="A147" s="8">
        <v>43040.64471064815</v>
      </c>
      <c r="B147" s="20" t="s">
        <v>627</v>
      </c>
      <c r="C147" s="20" t="s">
        <v>786</v>
      </c>
      <c r="D147" s="138">
        <v>3680000</v>
      </c>
      <c r="E147" s="20" t="s">
        <v>481</v>
      </c>
      <c r="F147" s="20" t="s">
        <v>482</v>
      </c>
      <c r="G147" s="8" t="str">
        <f t="shared" si="4"/>
        <v>HAMMOND JUSTYNN</v>
      </c>
      <c r="H147" s="20" t="str">
        <f t="shared" si="5"/>
        <v>4031</v>
      </c>
    </row>
    <row r="148" spans="1:8" x14ac:dyDescent="0.25">
      <c r="A148" s="8">
        <v>43040.644930555558</v>
      </c>
      <c r="B148" s="20" t="s">
        <v>640</v>
      </c>
      <c r="C148" s="20" t="s">
        <v>641</v>
      </c>
      <c r="D148" s="138">
        <v>1300000</v>
      </c>
      <c r="E148" s="20" t="s">
        <v>367</v>
      </c>
      <c r="F148" s="20" t="s">
        <v>368</v>
      </c>
      <c r="G148" s="8" t="str">
        <f t="shared" si="4"/>
        <v>LEVIN SCOTT</v>
      </c>
      <c r="H148" s="20" t="str">
        <f t="shared" si="5"/>
        <v>4064</v>
      </c>
    </row>
    <row r="149" spans="1:8" x14ac:dyDescent="0.25">
      <c r="A149" s="8">
        <v>43040.650717592594</v>
      </c>
      <c r="B149" s="20" t="s">
        <v>373</v>
      </c>
      <c r="C149" s="20" t="s">
        <v>787</v>
      </c>
      <c r="D149" s="138">
        <v>2000000</v>
      </c>
      <c r="E149" s="20" t="s">
        <v>486</v>
      </c>
      <c r="F149" s="20" t="s">
        <v>487</v>
      </c>
      <c r="G149" s="8" t="str">
        <f t="shared" si="4"/>
        <v>STAMBAUGH JAMES</v>
      </c>
      <c r="H149" s="20" t="str">
        <f t="shared" si="5"/>
        <v>4024</v>
      </c>
    </row>
    <row r="150" spans="1:8" x14ac:dyDescent="0.25">
      <c r="A150" s="8">
        <v>43040.651504629626</v>
      </c>
      <c r="B150" s="20" t="s">
        <v>379</v>
      </c>
      <c r="C150" s="20" t="s">
        <v>788</v>
      </c>
      <c r="D150" s="138">
        <v>1770000</v>
      </c>
      <c r="E150" s="20" t="s">
        <v>479</v>
      </c>
      <c r="F150" s="20" t="s">
        <v>480</v>
      </c>
      <c r="G150" s="8" t="str">
        <f t="shared" si="4"/>
        <v>BRUDER RICHARD</v>
      </c>
      <c r="H150" s="20" t="str">
        <f t="shared" si="5"/>
        <v>4049</v>
      </c>
    </row>
    <row r="151" spans="1:8" x14ac:dyDescent="0.25">
      <c r="A151" s="8">
        <v>43040.654456018521</v>
      </c>
      <c r="B151" s="20" t="s">
        <v>674</v>
      </c>
      <c r="C151" s="20" t="s">
        <v>789</v>
      </c>
      <c r="D151" s="138">
        <v>2350000</v>
      </c>
      <c r="E151" s="20" t="s">
        <v>756</v>
      </c>
      <c r="F151" s="20" t="s">
        <v>757</v>
      </c>
      <c r="G151" s="8" t="str">
        <f t="shared" si="4"/>
        <v>BERLING GARY</v>
      </c>
      <c r="H151" s="20" t="str">
        <f t="shared" si="5"/>
        <v>4044</v>
      </c>
    </row>
    <row r="152" spans="1:8" x14ac:dyDescent="0.25">
      <c r="A152" s="8">
        <v>43040.66207175926</v>
      </c>
      <c r="B152" s="20" t="s">
        <v>612</v>
      </c>
      <c r="C152" s="20" t="s">
        <v>790</v>
      </c>
      <c r="D152" s="138">
        <v>2970000</v>
      </c>
      <c r="E152" s="20" t="s">
        <v>411</v>
      </c>
      <c r="F152" s="20" t="s">
        <v>412</v>
      </c>
      <c r="G152" s="8" t="str">
        <f t="shared" si="4"/>
        <v>GUZMAN DANNY</v>
      </c>
      <c r="H152" s="20" t="str">
        <f t="shared" si="5"/>
        <v>4001</v>
      </c>
    </row>
    <row r="153" spans="1:8" x14ac:dyDescent="0.25">
      <c r="A153" s="8">
        <v>43040.662453703706</v>
      </c>
      <c r="B153" s="20" t="s">
        <v>629</v>
      </c>
      <c r="C153" s="20" t="s">
        <v>642</v>
      </c>
      <c r="D153" s="138">
        <v>880000</v>
      </c>
      <c r="E153" s="20" t="s">
        <v>429</v>
      </c>
      <c r="F153" s="20" t="s">
        <v>360</v>
      </c>
      <c r="G153" s="8" t="str">
        <f t="shared" si="4"/>
        <v>STEWART MICHAEL</v>
      </c>
      <c r="H153" s="20" t="str">
        <f t="shared" si="5"/>
        <v>4025</v>
      </c>
    </row>
    <row r="154" spans="1:8" x14ac:dyDescent="0.25">
      <c r="A154" s="8">
        <v>43040.663310185184</v>
      </c>
      <c r="B154" s="20" t="s">
        <v>629</v>
      </c>
      <c r="C154" s="20" t="s">
        <v>642</v>
      </c>
      <c r="D154" s="138">
        <v>880000</v>
      </c>
      <c r="E154" s="20" t="s">
        <v>429</v>
      </c>
      <c r="F154" s="20" t="s">
        <v>360</v>
      </c>
      <c r="G154" s="8" t="str">
        <f t="shared" si="4"/>
        <v>STEWART MICHAEL</v>
      </c>
      <c r="H154" s="20" t="str">
        <f t="shared" si="5"/>
        <v>4025</v>
      </c>
    </row>
    <row r="155" spans="1:8" x14ac:dyDescent="0.25">
      <c r="A155" s="8">
        <v>43040.664131944446</v>
      </c>
      <c r="B155" s="20" t="s">
        <v>629</v>
      </c>
      <c r="C155" s="20" t="s">
        <v>642</v>
      </c>
      <c r="D155" s="138">
        <v>880000</v>
      </c>
      <c r="E155" s="20" t="s">
        <v>429</v>
      </c>
      <c r="F155" s="20" t="s">
        <v>360</v>
      </c>
      <c r="G155" s="8" t="str">
        <f t="shared" si="4"/>
        <v>STEWART MICHAEL</v>
      </c>
      <c r="H155" s="20" t="str">
        <f t="shared" si="5"/>
        <v>4025</v>
      </c>
    </row>
    <row r="156" spans="1:8" x14ac:dyDescent="0.25">
      <c r="A156" s="8">
        <v>43040.664803240739</v>
      </c>
      <c r="B156" s="20" t="s">
        <v>400</v>
      </c>
      <c r="C156" s="20" t="s">
        <v>791</v>
      </c>
      <c r="D156" s="138">
        <v>920000</v>
      </c>
      <c r="E156" s="20" t="s">
        <v>372</v>
      </c>
      <c r="F156" s="20" t="s">
        <v>360</v>
      </c>
      <c r="G156" s="8" t="str">
        <f t="shared" si="4"/>
        <v>DAVIS MICHAEL</v>
      </c>
      <c r="H156" s="20" t="str">
        <f t="shared" si="5"/>
        <v>4004</v>
      </c>
    </row>
    <row r="157" spans="1:8" x14ac:dyDescent="0.25">
      <c r="A157" s="8">
        <v>43040.665439814817</v>
      </c>
      <c r="B157" s="20" t="s">
        <v>676</v>
      </c>
      <c r="C157" s="20" t="s">
        <v>792</v>
      </c>
      <c r="D157" s="138">
        <v>2000000</v>
      </c>
      <c r="E157" s="20" t="s">
        <v>486</v>
      </c>
      <c r="F157" s="20" t="s">
        <v>487</v>
      </c>
      <c r="G157" s="8" t="str">
        <f t="shared" si="4"/>
        <v>STAMBAUGH JAMES</v>
      </c>
      <c r="H157" s="20" t="str">
        <f t="shared" si="5"/>
        <v>4023</v>
      </c>
    </row>
    <row r="158" spans="1:8" x14ac:dyDescent="0.25">
      <c r="A158" s="8">
        <v>43040.670439814814</v>
      </c>
      <c r="B158" s="20" t="s">
        <v>689</v>
      </c>
      <c r="C158" s="20" t="s">
        <v>793</v>
      </c>
      <c r="D158" s="138">
        <v>3680000</v>
      </c>
      <c r="E158" s="20" t="s">
        <v>481</v>
      </c>
      <c r="F158" s="20" t="s">
        <v>482</v>
      </c>
      <c r="G158" s="8" t="str">
        <f t="shared" si="4"/>
        <v>HAMMOND JUSTYNN</v>
      </c>
      <c r="H158" s="20" t="str">
        <f t="shared" si="5"/>
        <v>4032</v>
      </c>
    </row>
    <row r="159" spans="1:8" x14ac:dyDescent="0.25">
      <c r="A159" s="8">
        <v>43040.672210648147</v>
      </c>
      <c r="B159" s="20" t="s">
        <v>635</v>
      </c>
      <c r="C159" s="20" t="s">
        <v>794</v>
      </c>
      <c r="D159" s="138">
        <v>2420000</v>
      </c>
      <c r="E159" s="20" t="s">
        <v>762</v>
      </c>
      <c r="F159" s="20" t="s">
        <v>763</v>
      </c>
      <c r="G159" s="8" t="str">
        <f t="shared" si="4"/>
        <v>HOLCOMB KAMDEN</v>
      </c>
      <c r="H159" s="20" t="str">
        <f t="shared" si="5"/>
        <v>4042</v>
      </c>
    </row>
    <row r="160" spans="1:8" x14ac:dyDescent="0.25">
      <c r="A160" s="8">
        <v>43040.673148148147</v>
      </c>
      <c r="B160" s="20" t="s">
        <v>610</v>
      </c>
      <c r="C160" s="20" t="s">
        <v>795</v>
      </c>
      <c r="D160" s="138">
        <v>2040000</v>
      </c>
      <c r="E160" s="20" t="s">
        <v>509</v>
      </c>
      <c r="F160" s="20" t="s">
        <v>510</v>
      </c>
      <c r="G160" s="8" t="str">
        <f t="shared" si="4"/>
        <v>MOSES BRADLEY</v>
      </c>
      <c r="H160" s="20" t="str">
        <f t="shared" si="5"/>
        <v>4014</v>
      </c>
    </row>
    <row r="161" spans="1:8" x14ac:dyDescent="0.25">
      <c r="A161" s="8">
        <v>43040.682511574072</v>
      </c>
      <c r="B161" s="20" t="s">
        <v>616</v>
      </c>
      <c r="C161" s="20" t="s">
        <v>796</v>
      </c>
      <c r="D161" s="138">
        <v>1300000</v>
      </c>
      <c r="E161" s="20" t="s">
        <v>367</v>
      </c>
      <c r="F161" s="20" t="s">
        <v>368</v>
      </c>
      <c r="G161" s="8" t="str">
        <f t="shared" si="4"/>
        <v>LEVIN SCOTT</v>
      </c>
      <c r="H161" s="20" t="str">
        <f t="shared" si="5"/>
        <v>4063</v>
      </c>
    </row>
    <row r="162" spans="1:8" x14ac:dyDescent="0.25">
      <c r="A162" s="8">
        <v>43040.684652777774</v>
      </c>
      <c r="B162" s="20" t="s">
        <v>378</v>
      </c>
      <c r="C162" s="20" t="s">
        <v>643</v>
      </c>
      <c r="D162" s="138">
        <v>1770000</v>
      </c>
      <c r="E162" s="20" t="s">
        <v>479</v>
      </c>
      <c r="F162" s="20" t="s">
        <v>480</v>
      </c>
      <c r="G162" s="8" t="str">
        <f t="shared" si="4"/>
        <v>BRUDER RICHARD</v>
      </c>
      <c r="H162" s="20" t="str">
        <f t="shared" si="5"/>
        <v>4050</v>
      </c>
    </row>
    <row r="163" spans="1:8" x14ac:dyDescent="0.25">
      <c r="A163" s="8">
        <v>43040.685706018521</v>
      </c>
      <c r="B163" s="20" t="s">
        <v>627</v>
      </c>
      <c r="C163" s="20" t="s">
        <v>797</v>
      </c>
      <c r="D163" s="138">
        <v>3680000</v>
      </c>
      <c r="E163" s="20" t="s">
        <v>481</v>
      </c>
      <c r="F163" s="20" t="s">
        <v>482</v>
      </c>
      <c r="G163" s="8" t="str">
        <f t="shared" si="4"/>
        <v>HAMMOND JUSTYNN</v>
      </c>
      <c r="H163" s="20" t="str">
        <f t="shared" si="5"/>
        <v>4031</v>
      </c>
    </row>
    <row r="164" spans="1:8" x14ac:dyDescent="0.25">
      <c r="A164" s="8">
        <v>43040.690324074072</v>
      </c>
      <c r="B164" s="20" t="s">
        <v>373</v>
      </c>
      <c r="C164" s="20" t="s">
        <v>798</v>
      </c>
      <c r="D164" s="138">
        <v>3130000</v>
      </c>
      <c r="E164" s="20" t="s">
        <v>799</v>
      </c>
      <c r="F164" s="20" t="s">
        <v>800</v>
      </c>
      <c r="G164" s="8" t="str">
        <f t="shared" si="4"/>
        <v>ZEWDU DEREJE</v>
      </c>
      <c r="H164" s="20" t="str">
        <f t="shared" si="5"/>
        <v>4024</v>
      </c>
    </row>
    <row r="165" spans="1:8" x14ac:dyDescent="0.25">
      <c r="A165" s="8">
        <v>43040.691469907404</v>
      </c>
      <c r="B165" s="20" t="s">
        <v>801</v>
      </c>
      <c r="C165" s="20" t="s">
        <v>642</v>
      </c>
      <c r="D165" s="138">
        <v>880000</v>
      </c>
      <c r="E165" s="20" t="s">
        <v>429</v>
      </c>
      <c r="F165" s="20" t="s">
        <v>360</v>
      </c>
      <c r="G165" s="8" t="str">
        <f t="shared" si="4"/>
        <v>STEWART MICHAEL</v>
      </c>
      <c r="H165" s="20" t="str">
        <f t="shared" si="5"/>
        <v>4054</v>
      </c>
    </row>
    <row r="166" spans="1:8" x14ac:dyDescent="0.25">
      <c r="A166" s="8">
        <v>43040.691990740743</v>
      </c>
      <c r="B166" s="20" t="s">
        <v>801</v>
      </c>
      <c r="C166" s="20" t="s">
        <v>802</v>
      </c>
      <c r="D166" s="138">
        <v>880000</v>
      </c>
      <c r="E166" s="20" t="s">
        <v>429</v>
      </c>
      <c r="F166" s="20" t="s">
        <v>360</v>
      </c>
      <c r="G166" s="8" t="str">
        <f t="shared" si="4"/>
        <v>STEWART MICHAEL</v>
      </c>
      <c r="H166" s="20" t="str">
        <f t="shared" si="5"/>
        <v>4054</v>
      </c>
    </row>
    <row r="167" spans="1:8" x14ac:dyDescent="0.25">
      <c r="A167" s="8">
        <v>43040.693148148152</v>
      </c>
      <c r="B167" s="20" t="s">
        <v>624</v>
      </c>
      <c r="C167" s="20" t="s">
        <v>803</v>
      </c>
      <c r="D167" s="138">
        <v>2350000</v>
      </c>
      <c r="E167" s="20" t="s">
        <v>756</v>
      </c>
      <c r="F167" s="20" t="s">
        <v>757</v>
      </c>
      <c r="G167" s="8" t="str">
        <f t="shared" si="4"/>
        <v>BERLING GARY</v>
      </c>
      <c r="H167" s="20" t="str">
        <f t="shared" si="5"/>
        <v>4043</v>
      </c>
    </row>
    <row r="168" spans="1:8" x14ac:dyDescent="0.25">
      <c r="A168" s="8">
        <v>43040.696574074071</v>
      </c>
      <c r="B168" s="20" t="s">
        <v>378</v>
      </c>
      <c r="C168" s="20" t="s">
        <v>643</v>
      </c>
      <c r="D168" s="138">
        <v>1770000</v>
      </c>
      <c r="E168" s="20" t="s">
        <v>479</v>
      </c>
      <c r="F168" s="20" t="s">
        <v>480</v>
      </c>
      <c r="G168" s="8" t="str">
        <f t="shared" si="4"/>
        <v>BRUDER RICHARD</v>
      </c>
      <c r="H168" s="20" t="str">
        <f t="shared" si="5"/>
        <v>4050</v>
      </c>
    </row>
    <row r="169" spans="1:8" x14ac:dyDescent="0.25">
      <c r="A169" s="8">
        <v>43040.699861111112</v>
      </c>
      <c r="B169" s="20" t="s">
        <v>493</v>
      </c>
      <c r="C169" s="20" t="s">
        <v>804</v>
      </c>
      <c r="D169" s="138">
        <v>2370000</v>
      </c>
      <c r="E169" s="20" t="s">
        <v>477</v>
      </c>
      <c r="F169" s="20" t="s">
        <v>478</v>
      </c>
      <c r="G169" s="8" t="str">
        <f t="shared" si="4"/>
        <v>DELGADO DIANAH</v>
      </c>
      <c r="H169" s="20" t="str">
        <f t="shared" si="5"/>
        <v>4026</v>
      </c>
    </row>
    <row r="170" spans="1:8" x14ac:dyDescent="0.25">
      <c r="A170" s="8">
        <v>43040.701435185183</v>
      </c>
      <c r="B170" s="20" t="s">
        <v>610</v>
      </c>
      <c r="C170" s="20" t="s">
        <v>795</v>
      </c>
      <c r="D170" s="138">
        <v>2040000</v>
      </c>
      <c r="E170" s="20" t="s">
        <v>509</v>
      </c>
      <c r="F170" s="20" t="s">
        <v>510</v>
      </c>
      <c r="G170" s="8" t="str">
        <f t="shared" si="4"/>
        <v>MOSES BRADLEY</v>
      </c>
      <c r="H170" s="20" t="str">
        <f t="shared" si="5"/>
        <v>4014</v>
      </c>
    </row>
    <row r="171" spans="1:8" x14ac:dyDescent="0.25">
      <c r="A171" s="8">
        <v>43040.704432870371</v>
      </c>
      <c r="B171" s="20" t="s">
        <v>399</v>
      </c>
      <c r="C171" s="20" t="s">
        <v>805</v>
      </c>
      <c r="D171" s="138">
        <v>920000</v>
      </c>
      <c r="E171" s="20" t="s">
        <v>372</v>
      </c>
      <c r="F171" s="20" t="s">
        <v>360</v>
      </c>
      <c r="G171" s="8" t="str">
        <f t="shared" si="4"/>
        <v>DAVIS MICHAEL</v>
      </c>
      <c r="H171" s="20" t="str">
        <f t="shared" si="5"/>
        <v>4003</v>
      </c>
    </row>
    <row r="172" spans="1:8" x14ac:dyDescent="0.25">
      <c r="A172" s="8">
        <v>43040.705023148148</v>
      </c>
      <c r="B172" s="20" t="s">
        <v>668</v>
      </c>
      <c r="C172" s="20" t="s">
        <v>806</v>
      </c>
      <c r="D172" s="138">
        <v>2970000</v>
      </c>
      <c r="E172" s="20" t="s">
        <v>411</v>
      </c>
      <c r="F172" s="20" t="s">
        <v>412</v>
      </c>
      <c r="G172" s="8" t="str">
        <f t="shared" si="4"/>
        <v>GUZMAN DANNY</v>
      </c>
      <c r="H172" s="20" t="str">
        <f t="shared" si="5"/>
        <v>4002</v>
      </c>
    </row>
    <row r="173" spans="1:8" x14ac:dyDescent="0.25">
      <c r="A173" s="8">
        <v>43040.706203703703</v>
      </c>
      <c r="B173" s="20" t="s">
        <v>676</v>
      </c>
      <c r="C173" s="20" t="s">
        <v>807</v>
      </c>
      <c r="D173" s="138">
        <v>3130000</v>
      </c>
      <c r="E173" s="20" t="s">
        <v>799</v>
      </c>
      <c r="F173" s="20" t="s">
        <v>800</v>
      </c>
      <c r="G173" s="8" t="str">
        <f t="shared" si="4"/>
        <v>ZEWDU DEREJE</v>
      </c>
      <c r="H173" s="20" t="str">
        <f t="shared" si="5"/>
        <v>4023</v>
      </c>
    </row>
    <row r="174" spans="1:8" x14ac:dyDescent="0.25">
      <c r="A174" s="8">
        <v>43040.711064814815</v>
      </c>
      <c r="B174" s="20" t="s">
        <v>689</v>
      </c>
      <c r="C174" s="20" t="s">
        <v>808</v>
      </c>
      <c r="D174" s="138">
        <v>3680000</v>
      </c>
      <c r="E174" s="20" t="s">
        <v>481</v>
      </c>
      <c r="F174" s="20" t="s">
        <v>482</v>
      </c>
      <c r="G174" s="8" t="str">
        <f t="shared" si="4"/>
        <v>HAMMOND JUSTYNN</v>
      </c>
      <c r="H174" s="20" t="str">
        <f t="shared" si="5"/>
        <v>4032</v>
      </c>
    </row>
    <row r="175" spans="1:8" x14ac:dyDescent="0.25">
      <c r="A175" s="8">
        <v>43040.712650462963</v>
      </c>
      <c r="B175" s="20" t="s">
        <v>463</v>
      </c>
      <c r="C175" s="20" t="s">
        <v>645</v>
      </c>
      <c r="D175" s="138">
        <v>2440000</v>
      </c>
      <c r="E175" s="20" t="s">
        <v>809</v>
      </c>
      <c r="F175" s="20" t="s">
        <v>810</v>
      </c>
      <c r="G175" s="8" t="str">
        <f t="shared" si="4"/>
        <v>LOPES KIMBERLY</v>
      </c>
      <c r="H175" s="20" t="str">
        <f t="shared" si="5"/>
        <v>4027</v>
      </c>
    </row>
    <row r="176" spans="1:8" x14ac:dyDescent="0.25">
      <c r="A176" s="8">
        <v>43040.714699074073</v>
      </c>
      <c r="B176" s="20" t="s">
        <v>640</v>
      </c>
      <c r="C176" s="20" t="s">
        <v>811</v>
      </c>
      <c r="D176" s="138">
        <v>1300000</v>
      </c>
      <c r="E176" s="20" t="s">
        <v>367</v>
      </c>
      <c r="F176" s="20" t="s">
        <v>368</v>
      </c>
      <c r="G176" s="8" t="str">
        <f t="shared" si="4"/>
        <v>LEVIN SCOTT</v>
      </c>
      <c r="H176" s="20" t="str">
        <f t="shared" si="5"/>
        <v>4064</v>
      </c>
    </row>
    <row r="177" spans="1:8" x14ac:dyDescent="0.25">
      <c r="A177" s="8">
        <v>43040.714895833335</v>
      </c>
      <c r="B177" s="20" t="s">
        <v>621</v>
      </c>
      <c r="C177" s="20" t="s">
        <v>644</v>
      </c>
      <c r="D177" s="138">
        <v>2420000</v>
      </c>
      <c r="E177" s="20" t="s">
        <v>762</v>
      </c>
      <c r="F177" s="20" t="s">
        <v>763</v>
      </c>
      <c r="G177" s="8" t="str">
        <f t="shared" si="4"/>
        <v>HOLCOMB KAMDEN</v>
      </c>
      <c r="H177" s="20" t="str">
        <f t="shared" si="5"/>
        <v>4041</v>
      </c>
    </row>
    <row r="178" spans="1:8" x14ac:dyDescent="0.25">
      <c r="A178" s="8">
        <v>43040.724409722221</v>
      </c>
      <c r="B178" s="20" t="s">
        <v>379</v>
      </c>
      <c r="C178" s="20" t="s">
        <v>812</v>
      </c>
      <c r="D178" s="138">
        <v>1770000</v>
      </c>
      <c r="E178" s="20" t="s">
        <v>479</v>
      </c>
      <c r="F178" s="20" t="s">
        <v>480</v>
      </c>
      <c r="G178" s="8" t="str">
        <f t="shared" si="4"/>
        <v>BRUDER RICHARD</v>
      </c>
      <c r="H178" s="20" t="str">
        <f t="shared" si="5"/>
        <v>4049</v>
      </c>
    </row>
    <row r="179" spans="1:8" x14ac:dyDescent="0.25">
      <c r="A179" s="8">
        <v>43040.727384259262</v>
      </c>
      <c r="B179" s="20" t="s">
        <v>627</v>
      </c>
      <c r="C179" s="20" t="s">
        <v>813</v>
      </c>
      <c r="D179" s="138">
        <v>3680000</v>
      </c>
      <c r="E179" s="20" t="s">
        <v>481</v>
      </c>
      <c r="F179" s="20" t="s">
        <v>482</v>
      </c>
      <c r="G179" s="8" t="str">
        <f t="shared" si="4"/>
        <v>HAMMOND JUSTYNN</v>
      </c>
      <c r="H179" s="20" t="str">
        <f t="shared" si="5"/>
        <v>4031</v>
      </c>
    </row>
    <row r="180" spans="1:8" x14ac:dyDescent="0.25">
      <c r="A180" s="8">
        <v>43040.728888888887</v>
      </c>
      <c r="B180" s="20" t="s">
        <v>674</v>
      </c>
      <c r="C180" s="20" t="s">
        <v>814</v>
      </c>
      <c r="D180" s="138">
        <v>2350000</v>
      </c>
      <c r="E180" s="20" t="s">
        <v>756</v>
      </c>
      <c r="F180" s="20" t="s">
        <v>757</v>
      </c>
      <c r="G180" s="8" t="str">
        <f t="shared" si="4"/>
        <v>BERLING GARY</v>
      </c>
      <c r="H180" s="20" t="str">
        <f t="shared" si="5"/>
        <v>4044</v>
      </c>
    </row>
    <row r="181" spans="1:8" x14ac:dyDescent="0.25">
      <c r="A181" s="8">
        <v>43040.733888888892</v>
      </c>
      <c r="B181" s="20" t="s">
        <v>385</v>
      </c>
      <c r="C181" s="20" t="s">
        <v>815</v>
      </c>
      <c r="D181" s="138">
        <v>880000</v>
      </c>
      <c r="E181" s="20" t="s">
        <v>429</v>
      </c>
      <c r="F181" s="20" t="s">
        <v>360</v>
      </c>
      <c r="G181" s="8" t="str">
        <f t="shared" si="4"/>
        <v>STEWART MICHAEL</v>
      </c>
      <c r="H181" s="20" t="str">
        <f t="shared" si="5"/>
        <v>4053</v>
      </c>
    </row>
    <row r="182" spans="1:8" x14ac:dyDescent="0.25">
      <c r="A182" s="8">
        <v>43040.734363425923</v>
      </c>
      <c r="B182" s="20" t="s">
        <v>373</v>
      </c>
      <c r="C182" s="20" t="s">
        <v>816</v>
      </c>
      <c r="D182" s="138">
        <v>2000000</v>
      </c>
      <c r="E182" s="20" t="s">
        <v>486</v>
      </c>
      <c r="F182" s="20" t="s">
        <v>487</v>
      </c>
      <c r="G182" s="8" t="str">
        <f t="shared" si="4"/>
        <v>STAMBAUGH JAMES</v>
      </c>
      <c r="H182" s="20" t="str">
        <f t="shared" si="5"/>
        <v>4024</v>
      </c>
    </row>
    <row r="183" spans="1:8" x14ac:dyDescent="0.25">
      <c r="A183" s="8">
        <v>43040.736388888887</v>
      </c>
      <c r="B183" s="20" t="s">
        <v>612</v>
      </c>
      <c r="C183" s="20" t="s">
        <v>817</v>
      </c>
      <c r="D183" s="138">
        <v>2970000</v>
      </c>
      <c r="E183" s="20" t="s">
        <v>411</v>
      </c>
      <c r="F183" s="20" t="s">
        <v>412</v>
      </c>
      <c r="G183" s="8" t="str">
        <f t="shared" si="4"/>
        <v>GUZMAN DANNY</v>
      </c>
      <c r="H183" s="20" t="str">
        <f t="shared" si="5"/>
        <v>4001</v>
      </c>
    </row>
    <row r="184" spans="1:8" x14ac:dyDescent="0.25">
      <c r="A184" s="8">
        <v>43040.737939814811</v>
      </c>
      <c r="B184" s="20" t="s">
        <v>400</v>
      </c>
      <c r="C184" s="20" t="s">
        <v>818</v>
      </c>
      <c r="D184" s="138">
        <v>2610000</v>
      </c>
      <c r="E184" s="20" t="s">
        <v>430</v>
      </c>
      <c r="F184" s="20" t="s">
        <v>431</v>
      </c>
      <c r="G184" s="8" t="str">
        <f t="shared" si="4"/>
        <v>MAGEE KENYA</v>
      </c>
      <c r="H184" s="20" t="str">
        <f t="shared" si="5"/>
        <v>4004</v>
      </c>
    </row>
    <row r="185" spans="1:8" x14ac:dyDescent="0.25">
      <c r="A185" s="8">
        <v>43040.747627314813</v>
      </c>
      <c r="B185" s="20" t="s">
        <v>676</v>
      </c>
      <c r="C185" s="20" t="s">
        <v>819</v>
      </c>
      <c r="D185" s="138">
        <v>2000000</v>
      </c>
      <c r="E185" s="20" t="s">
        <v>486</v>
      </c>
      <c r="F185" s="20" t="s">
        <v>487</v>
      </c>
      <c r="G185" s="8" t="str">
        <f t="shared" si="4"/>
        <v>STAMBAUGH JAMES</v>
      </c>
      <c r="H185" s="20" t="str">
        <f t="shared" si="5"/>
        <v>4023</v>
      </c>
    </row>
    <row r="186" spans="1:8" x14ac:dyDescent="0.25">
      <c r="A186" s="8">
        <v>43040.747974537036</v>
      </c>
      <c r="B186" s="20" t="s">
        <v>635</v>
      </c>
      <c r="C186" s="20" t="s">
        <v>820</v>
      </c>
      <c r="D186" s="138">
        <v>3130000</v>
      </c>
      <c r="E186" s="20" t="s">
        <v>799</v>
      </c>
      <c r="F186" s="20" t="s">
        <v>800</v>
      </c>
      <c r="G186" s="8" t="str">
        <f t="shared" si="4"/>
        <v>ZEWDU DEREJE</v>
      </c>
      <c r="H186" s="20" t="str">
        <f t="shared" si="5"/>
        <v>4042</v>
      </c>
    </row>
    <row r="187" spans="1:8" x14ac:dyDescent="0.25">
      <c r="A187" s="8">
        <v>43040.749224537038</v>
      </c>
      <c r="B187" s="20" t="s">
        <v>616</v>
      </c>
      <c r="C187" s="20" t="s">
        <v>821</v>
      </c>
      <c r="D187" s="138">
        <v>1300000</v>
      </c>
      <c r="E187" s="20" t="s">
        <v>367</v>
      </c>
      <c r="F187" s="20" t="s">
        <v>368</v>
      </c>
      <c r="G187" s="8" t="str">
        <f t="shared" si="4"/>
        <v>LEVIN SCOTT</v>
      </c>
      <c r="H187" s="20" t="str">
        <f t="shared" si="5"/>
        <v>4063</v>
      </c>
    </row>
    <row r="188" spans="1:8" x14ac:dyDescent="0.25">
      <c r="A188" s="8">
        <v>43040.752152777779</v>
      </c>
      <c r="B188" s="20" t="s">
        <v>689</v>
      </c>
      <c r="C188" s="20" t="s">
        <v>822</v>
      </c>
      <c r="D188" s="138">
        <v>3680000</v>
      </c>
      <c r="E188" s="20" t="s">
        <v>481</v>
      </c>
      <c r="F188" s="20" t="s">
        <v>482</v>
      </c>
      <c r="G188" s="8" t="str">
        <f t="shared" si="4"/>
        <v>HAMMOND JUSTYNN</v>
      </c>
      <c r="H188" s="20" t="str">
        <f t="shared" si="5"/>
        <v>4032</v>
      </c>
    </row>
    <row r="189" spans="1:8" x14ac:dyDescent="0.25">
      <c r="A189" s="8">
        <v>43040.759641203702</v>
      </c>
      <c r="B189" s="20" t="s">
        <v>378</v>
      </c>
      <c r="C189" s="20" t="s">
        <v>823</v>
      </c>
      <c r="D189" s="138">
        <v>3670000</v>
      </c>
      <c r="E189" s="20" t="s">
        <v>432</v>
      </c>
      <c r="F189" s="20" t="s">
        <v>386</v>
      </c>
      <c r="G189" s="8" t="str">
        <f t="shared" si="4"/>
        <v>ANDREA WILLIAMS</v>
      </c>
      <c r="H189" s="20" t="str">
        <f t="shared" si="5"/>
        <v>4050</v>
      </c>
    </row>
    <row r="190" spans="1:8" x14ac:dyDescent="0.25">
      <c r="A190" s="8">
        <v>43040.763981481483</v>
      </c>
      <c r="B190" s="20" t="s">
        <v>624</v>
      </c>
      <c r="C190" s="20" t="s">
        <v>824</v>
      </c>
      <c r="D190" s="138">
        <v>2350000</v>
      </c>
      <c r="E190" s="20" t="s">
        <v>756</v>
      </c>
      <c r="F190" s="20" t="s">
        <v>757</v>
      </c>
      <c r="G190" s="8" t="str">
        <f t="shared" si="4"/>
        <v>BERLING GARY</v>
      </c>
      <c r="H190" s="20" t="str">
        <f t="shared" si="5"/>
        <v>4043</v>
      </c>
    </row>
    <row r="191" spans="1:8" x14ac:dyDescent="0.25">
      <c r="A191" s="8">
        <v>43040.767164351855</v>
      </c>
      <c r="B191" s="20" t="s">
        <v>801</v>
      </c>
      <c r="C191" s="20" t="s">
        <v>825</v>
      </c>
      <c r="D191" s="138">
        <v>2540000</v>
      </c>
      <c r="E191" s="20" t="s">
        <v>826</v>
      </c>
      <c r="F191" s="20" t="s">
        <v>827</v>
      </c>
      <c r="G191" s="8" t="str">
        <f t="shared" si="4"/>
        <v>MCREYNOLDS KYLE</v>
      </c>
      <c r="H191" s="20" t="str">
        <f t="shared" si="5"/>
        <v>4054</v>
      </c>
    </row>
    <row r="192" spans="1:8" x14ac:dyDescent="0.25">
      <c r="A192" s="8">
        <v>43040.77275462963</v>
      </c>
      <c r="B192" s="20" t="s">
        <v>373</v>
      </c>
      <c r="C192" s="20" t="s">
        <v>828</v>
      </c>
      <c r="D192" s="138">
        <v>2000000</v>
      </c>
      <c r="E192" s="20" t="s">
        <v>486</v>
      </c>
      <c r="F192" s="20" t="s">
        <v>487</v>
      </c>
      <c r="G192" s="8" t="str">
        <f t="shared" si="4"/>
        <v>STAMBAUGH JAMES</v>
      </c>
      <c r="H192" s="20" t="str">
        <f t="shared" si="5"/>
        <v>4024</v>
      </c>
    </row>
    <row r="193" spans="1:8" x14ac:dyDescent="0.25">
      <c r="A193" s="8">
        <v>43040.7734837963</v>
      </c>
      <c r="B193" s="20" t="s">
        <v>627</v>
      </c>
      <c r="C193" s="20" t="s">
        <v>646</v>
      </c>
      <c r="D193" s="138">
        <v>3680000</v>
      </c>
      <c r="E193" s="20" t="s">
        <v>481</v>
      </c>
      <c r="F193" s="20" t="s">
        <v>482</v>
      </c>
      <c r="G193" s="8" t="str">
        <f t="shared" si="4"/>
        <v>HAMMOND JUSTYNN</v>
      </c>
      <c r="H193" s="20" t="str">
        <f t="shared" si="5"/>
        <v>4031</v>
      </c>
    </row>
    <row r="194" spans="1:8" x14ac:dyDescent="0.25">
      <c r="A194" s="8">
        <v>43040.776620370372</v>
      </c>
      <c r="B194" s="20" t="s">
        <v>668</v>
      </c>
      <c r="C194" s="20" t="s">
        <v>829</v>
      </c>
      <c r="D194" s="138">
        <v>2970000</v>
      </c>
      <c r="E194" s="20" t="s">
        <v>411</v>
      </c>
      <c r="F194" s="20" t="s">
        <v>412</v>
      </c>
      <c r="G194" s="8" t="str">
        <f t="shared" si="4"/>
        <v>GUZMAN DANNY</v>
      </c>
      <c r="H194" s="20" t="str">
        <f t="shared" si="5"/>
        <v>4002</v>
      </c>
    </row>
    <row r="195" spans="1:8" x14ac:dyDescent="0.25">
      <c r="A195" s="8">
        <v>43040.777743055558</v>
      </c>
      <c r="B195" s="20" t="s">
        <v>399</v>
      </c>
      <c r="C195" s="20" t="s">
        <v>830</v>
      </c>
      <c r="D195" s="138">
        <v>2610000</v>
      </c>
      <c r="E195" s="20" t="s">
        <v>430</v>
      </c>
      <c r="F195" s="20" t="s">
        <v>431</v>
      </c>
      <c r="G195" s="8" t="str">
        <f t="shared" ref="G195:G258" si="6">E195&amp;" "&amp;F195</f>
        <v>MAGEE KENYA</v>
      </c>
      <c r="H195" s="20" t="str">
        <f t="shared" ref="H195:H258" si="7">MID(B195,13,4)</f>
        <v>4003</v>
      </c>
    </row>
    <row r="196" spans="1:8" x14ac:dyDescent="0.25">
      <c r="A196" s="8">
        <v>43040.779247685183</v>
      </c>
      <c r="B196" s="20" t="s">
        <v>399</v>
      </c>
      <c r="C196" s="20" t="s">
        <v>830</v>
      </c>
      <c r="D196" s="138">
        <v>2610000</v>
      </c>
      <c r="E196" s="20" t="s">
        <v>430</v>
      </c>
      <c r="F196" s="20" t="s">
        <v>431</v>
      </c>
      <c r="G196" s="8" t="str">
        <f t="shared" si="6"/>
        <v>MAGEE KENYA</v>
      </c>
      <c r="H196" s="20" t="str">
        <f t="shared" si="7"/>
        <v>4003</v>
      </c>
    </row>
    <row r="197" spans="1:8" x14ac:dyDescent="0.25">
      <c r="A197" s="8">
        <v>43040.779293981483</v>
      </c>
      <c r="B197" s="20" t="s">
        <v>621</v>
      </c>
      <c r="C197" s="20" t="s">
        <v>831</v>
      </c>
      <c r="D197" s="138">
        <v>3130000</v>
      </c>
      <c r="E197" s="20" t="s">
        <v>799</v>
      </c>
      <c r="F197" s="20" t="s">
        <v>800</v>
      </c>
      <c r="G197" s="8" t="str">
        <f t="shared" si="6"/>
        <v>ZEWDU DEREJE</v>
      </c>
      <c r="H197" s="20" t="str">
        <f t="shared" si="7"/>
        <v>4041</v>
      </c>
    </row>
    <row r="198" spans="1:8" x14ac:dyDescent="0.25">
      <c r="A198" s="8">
        <v>43040.788171296299</v>
      </c>
      <c r="B198" s="20" t="s">
        <v>640</v>
      </c>
      <c r="C198" s="20" t="s">
        <v>832</v>
      </c>
      <c r="D198" s="138">
        <v>3320000</v>
      </c>
      <c r="E198" s="20" t="s">
        <v>375</v>
      </c>
      <c r="F198" s="20" t="s">
        <v>376</v>
      </c>
      <c r="G198" s="8" t="str">
        <f t="shared" si="6"/>
        <v>NICHOLSON WESLEY</v>
      </c>
      <c r="H198" s="20" t="str">
        <f t="shared" si="7"/>
        <v>4064</v>
      </c>
    </row>
    <row r="199" spans="1:8" x14ac:dyDescent="0.25">
      <c r="A199" s="8">
        <v>43040.78979166667</v>
      </c>
      <c r="B199" s="20" t="s">
        <v>676</v>
      </c>
      <c r="C199" s="20" t="s">
        <v>833</v>
      </c>
      <c r="D199" s="138">
        <v>2000000</v>
      </c>
      <c r="E199" s="20" t="s">
        <v>486</v>
      </c>
      <c r="F199" s="20" t="s">
        <v>487</v>
      </c>
      <c r="G199" s="8" t="str">
        <f t="shared" si="6"/>
        <v>STAMBAUGH JAMES</v>
      </c>
      <c r="H199" s="20" t="str">
        <f t="shared" si="7"/>
        <v>4023</v>
      </c>
    </row>
    <row r="200" spans="1:8" x14ac:dyDescent="0.25">
      <c r="A200" s="8">
        <v>43040.795393518521</v>
      </c>
      <c r="B200" s="20" t="s">
        <v>689</v>
      </c>
      <c r="C200" s="20" t="s">
        <v>834</v>
      </c>
      <c r="D200" s="138">
        <v>3680000</v>
      </c>
      <c r="E200" s="20" t="s">
        <v>481</v>
      </c>
      <c r="F200" s="20" t="s">
        <v>482</v>
      </c>
      <c r="G200" s="8" t="str">
        <f t="shared" si="6"/>
        <v>HAMMOND JUSTYNN</v>
      </c>
      <c r="H200" s="20" t="str">
        <f t="shared" si="7"/>
        <v>4032</v>
      </c>
    </row>
    <row r="201" spans="1:8" x14ac:dyDescent="0.25">
      <c r="A201" s="8">
        <v>43040.795671296299</v>
      </c>
      <c r="B201" s="20" t="s">
        <v>379</v>
      </c>
      <c r="C201" s="20" t="s">
        <v>835</v>
      </c>
      <c r="D201" s="138">
        <v>3670000</v>
      </c>
      <c r="E201" s="20" t="s">
        <v>432</v>
      </c>
      <c r="F201" s="20" t="s">
        <v>386</v>
      </c>
      <c r="G201" s="8" t="str">
        <f t="shared" si="6"/>
        <v>ANDREA WILLIAMS</v>
      </c>
      <c r="H201" s="20" t="str">
        <f t="shared" si="7"/>
        <v>4049</v>
      </c>
    </row>
    <row r="202" spans="1:8" x14ac:dyDescent="0.25">
      <c r="A202" s="26">
        <v>43040.797615740739</v>
      </c>
      <c r="B202" s="20" t="s">
        <v>674</v>
      </c>
      <c r="C202" s="20" t="s">
        <v>836</v>
      </c>
      <c r="D202" s="138">
        <v>2350000</v>
      </c>
      <c r="E202" s="20" t="s">
        <v>756</v>
      </c>
      <c r="F202" s="20" t="s">
        <v>757</v>
      </c>
      <c r="G202" s="8" t="str">
        <f t="shared" si="6"/>
        <v>BERLING GARY</v>
      </c>
      <c r="H202" s="20" t="str">
        <f t="shared" si="7"/>
        <v>4044</v>
      </c>
    </row>
    <row r="203" spans="1:8" x14ac:dyDescent="0.25">
      <c r="A203" s="8">
        <v>43040.804768518516</v>
      </c>
      <c r="B203" s="20" t="s">
        <v>385</v>
      </c>
      <c r="C203" s="20" t="s">
        <v>837</v>
      </c>
      <c r="D203" s="138">
        <v>2540000</v>
      </c>
      <c r="E203" s="20" t="s">
        <v>826</v>
      </c>
      <c r="F203" s="20" t="s">
        <v>827</v>
      </c>
      <c r="G203" s="8" t="str">
        <f t="shared" si="6"/>
        <v>MCREYNOLDS KYLE</v>
      </c>
      <c r="H203" s="20" t="str">
        <f t="shared" si="7"/>
        <v>4053</v>
      </c>
    </row>
    <row r="204" spans="1:8" x14ac:dyDescent="0.25">
      <c r="A204" s="8">
        <v>43040.810648148145</v>
      </c>
      <c r="B204" s="20" t="s">
        <v>627</v>
      </c>
      <c r="C204" s="20" t="s">
        <v>838</v>
      </c>
      <c r="D204" s="138">
        <v>3680000</v>
      </c>
      <c r="E204" s="20" t="s">
        <v>481</v>
      </c>
      <c r="F204" s="20" t="s">
        <v>482</v>
      </c>
      <c r="G204" s="8" t="str">
        <f t="shared" si="6"/>
        <v>HAMMOND JUSTYNN</v>
      </c>
      <c r="H204" s="20" t="str">
        <f t="shared" si="7"/>
        <v>4031</v>
      </c>
    </row>
    <row r="205" spans="1:8" x14ac:dyDescent="0.25">
      <c r="A205" s="8">
        <v>43040.814016203702</v>
      </c>
      <c r="B205" s="20" t="s">
        <v>475</v>
      </c>
      <c r="C205" s="20" t="s">
        <v>839</v>
      </c>
      <c r="D205" s="138">
        <v>3220000</v>
      </c>
      <c r="E205" s="20" t="s">
        <v>415</v>
      </c>
      <c r="F205" s="20" t="s">
        <v>416</v>
      </c>
      <c r="G205" s="8" t="str">
        <f t="shared" si="6"/>
        <v>RESPASS AARON</v>
      </c>
      <c r="H205" s="20" t="str">
        <f t="shared" si="7"/>
        <v>4028</v>
      </c>
    </row>
    <row r="206" spans="1:8" x14ac:dyDescent="0.25">
      <c r="A206" s="8">
        <v>43040.820092592592</v>
      </c>
      <c r="B206" s="20" t="s">
        <v>635</v>
      </c>
      <c r="C206" s="20" t="s">
        <v>840</v>
      </c>
      <c r="D206" s="138">
        <v>2420000</v>
      </c>
      <c r="E206" s="20" t="s">
        <v>762</v>
      </c>
      <c r="F206" s="20" t="s">
        <v>763</v>
      </c>
      <c r="G206" s="8" t="str">
        <f t="shared" si="6"/>
        <v>HOLCOMB KAMDEN</v>
      </c>
      <c r="H206" s="20" t="str">
        <f t="shared" si="7"/>
        <v>4042</v>
      </c>
    </row>
    <row r="207" spans="1:8" x14ac:dyDescent="0.25">
      <c r="A207" s="8">
        <v>43040.824756944443</v>
      </c>
      <c r="B207" s="20" t="s">
        <v>616</v>
      </c>
      <c r="C207" s="20" t="s">
        <v>832</v>
      </c>
      <c r="D207" s="138">
        <v>3320000</v>
      </c>
      <c r="E207" s="20" t="s">
        <v>375</v>
      </c>
      <c r="F207" s="20" t="s">
        <v>376</v>
      </c>
      <c r="G207" s="8" t="str">
        <f t="shared" si="6"/>
        <v>NICHOLSON WESLEY</v>
      </c>
      <c r="H207" s="20" t="str">
        <f t="shared" si="7"/>
        <v>4063</v>
      </c>
    </row>
    <row r="208" spans="1:8" x14ac:dyDescent="0.25">
      <c r="A208" s="8">
        <v>43040.83048611111</v>
      </c>
      <c r="B208" s="20" t="s">
        <v>616</v>
      </c>
      <c r="C208" s="20" t="s">
        <v>841</v>
      </c>
      <c r="D208" s="138">
        <v>3320000</v>
      </c>
      <c r="E208" s="20" t="s">
        <v>375</v>
      </c>
      <c r="F208" s="20" t="s">
        <v>376</v>
      </c>
      <c r="G208" s="8" t="str">
        <f t="shared" si="6"/>
        <v>NICHOLSON WESLEY</v>
      </c>
      <c r="H208" s="20" t="str">
        <f t="shared" si="7"/>
        <v>4063</v>
      </c>
    </row>
    <row r="209" spans="1:8" x14ac:dyDescent="0.25">
      <c r="A209" s="8">
        <v>43040.831423611111</v>
      </c>
      <c r="B209" s="20" t="s">
        <v>378</v>
      </c>
      <c r="C209" s="20" t="s">
        <v>842</v>
      </c>
      <c r="D209" s="138">
        <v>890000</v>
      </c>
      <c r="E209" s="20" t="s">
        <v>350</v>
      </c>
      <c r="F209" s="20" t="s">
        <v>351</v>
      </c>
      <c r="G209" s="8" t="str">
        <f t="shared" si="6"/>
        <v>LOZA FIDEL</v>
      </c>
      <c r="H209" s="20" t="str">
        <f t="shared" si="7"/>
        <v>4050</v>
      </c>
    </row>
    <row r="210" spans="1:8" x14ac:dyDescent="0.25">
      <c r="A210" s="8">
        <v>43040.836157407408</v>
      </c>
      <c r="B210" s="20" t="s">
        <v>689</v>
      </c>
      <c r="C210" s="20" t="s">
        <v>843</v>
      </c>
      <c r="D210" s="138">
        <v>3680000</v>
      </c>
      <c r="E210" s="20" t="s">
        <v>481</v>
      </c>
      <c r="F210" s="20" t="s">
        <v>482</v>
      </c>
      <c r="G210" s="8" t="str">
        <f t="shared" si="6"/>
        <v>HAMMOND JUSTYNN</v>
      </c>
      <c r="H210" s="20" t="str">
        <f t="shared" si="7"/>
        <v>4032</v>
      </c>
    </row>
    <row r="211" spans="1:8" x14ac:dyDescent="0.25">
      <c r="A211" s="8">
        <v>43040.849965277775</v>
      </c>
      <c r="B211" s="20" t="s">
        <v>801</v>
      </c>
      <c r="C211" s="20" t="s">
        <v>844</v>
      </c>
      <c r="D211" s="138">
        <v>2540000</v>
      </c>
      <c r="E211" s="20" t="s">
        <v>826</v>
      </c>
      <c r="F211" s="20" t="s">
        <v>827</v>
      </c>
      <c r="G211" s="8" t="str">
        <f t="shared" si="6"/>
        <v>MCREYNOLDS KYLE</v>
      </c>
      <c r="H211" s="20" t="str">
        <f t="shared" si="7"/>
        <v>4054</v>
      </c>
    </row>
    <row r="212" spans="1:8" x14ac:dyDescent="0.25">
      <c r="A212" s="8">
        <v>43040.850069444445</v>
      </c>
      <c r="B212" s="20" t="s">
        <v>463</v>
      </c>
      <c r="C212" s="20" t="s">
        <v>845</v>
      </c>
      <c r="D212" s="138">
        <v>3220000</v>
      </c>
      <c r="E212" s="20" t="s">
        <v>415</v>
      </c>
      <c r="F212" s="20" t="s">
        <v>416</v>
      </c>
      <c r="G212" s="8" t="str">
        <f t="shared" si="6"/>
        <v>RESPASS AARON</v>
      </c>
      <c r="H212" s="20" t="str">
        <f t="shared" si="7"/>
        <v>4027</v>
      </c>
    </row>
    <row r="213" spans="1:8" x14ac:dyDescent="0.25">
      <c r="A213" s="8">
        <v>43040.852824074071</v>
      </c>
      <c r="B213" s="20" t="s">
        <v>627</v>
      </c>
      <c r="C213" s="20" t="s">
        <v>647</v>
      </c>
      <c r="D213" s="138">
        <v>3680000</v>
      </c>
      <c r="E213" s="20" t="s">
        <v>481</v>
      </c>
      <c r="F213" s="20" t="s">
        <v>482</v>
      </c>
      <c r="G213" s="8" t="str">
        <f t="shared" si="6"/>
        <v>HAMMOND JUSTYNN</v>
      </c>
      <c r="H213" s="20" t="str">
        <f t="shared" si="7"/>
        <v>4031</v>
      </c>
    </row>
    <row r="214" spans="1:8" x14ac:dyDescent="0.25">
      <c r="A214" s="8">
        <v>43040.855613425927</v>
      </c>
      <c r="B214" s="20" t="s">
        <v>627</v>
      </c>
      <c r="C214" s="20" t="s">
        <v>647</v>
      </c>
      <c r="D214" s="138">
        <v>3680000</v>
      </c>
      <c r="E214" s="20" t="s">
        <v>481</v>
      </c>
      <c r="F214" s="20" t="s">
        <v>482</v>
      </c>
      <c r="G214" s="8" t="str">
        <f t="shared" si="6"/>
        <v>HAMMOND JUSTYNN</v>
      </c>
      <c r="H214" s="20" t="str">
        <f t="shared" si="7"/>
        <v>4031</v>
      </c>
    </row>
    <row r="215" spans="1:8" x14ac:dyDescent="0.25">
      <c r="A215" s="8">
        <v>43040.858726851853</v>
      </c>
      <c r="B215" s="20" t="s">
        <v>627</v>
      </c>
      <c r="C215" s="20" t="s">
        <v>647</v>
      </c>
      <c r="D215" s="138">
        <v>3680000</v>
      </c>
      <c r="E215" s="20" t="s">
        <v>481</v>
      </c>
      <c r="F215" s="20" t="s">
        <v>482</v>
      </c>
      <c r="G215" s="8" t="str">
        <f t="shared" si="6"/>
        <v>HAMMOND JUSTYNN</v>
      </c>
      <c r="H215" s="20" t="str">
        <f t="shared" si="7"/>
        <v>4031</v>
      </c>
    </row>
    <row r="216" spans="1:8" x14ac:dyDescent="0.25">
      <c r="A216" s="8">
        <v>43040.867696759262</v>
      </c>
      <c r="B216" s="20" t="s">
        <v>640</v>
      </c>
      <c r="C216" s="20" t="s">
        <v>846</v>
      </c>
      <c r="D216" s="138">
        <v>3320000</v>
      </c>
      <c r="E216" s="20" t="s">
        <v>375</v>
      </c>
      <c r="F216" s="20" t="s">
        <v>376</v>
      </c>
      <c r="G216" s="8" t="str">
        <f t="shared" si="6"/>
        <v>NICHOLSON WESLEY</v>
      </c>
      <c r="H216" s="20" t="str">
        <f t="shared" si="7"/>
        <v>4064</v>
      </c>
    </row>
    <row r="217" spans="1:8" x14ac:dyDescent="0.25">
      <c r="A217" s="8">
        <v>43040.872118055559</v>
      </c>
      <c r="B217" s="20" t="s">
        <v>379</v>
      </c>
      <c r="C217" s="20" t="s">
        <v>847</v>
      </c>
      <c r="D217" s="138">
        <v>890000</v>
      </c>
      <c r="E217" s="20" t="s">
        <v>350</v>
      </c>
      <c r="F217" s="20" t="s">
        <v>351</v>
      </c>
      <c r="G217" s="8" t="str">
        <f t="shared" si="6"/>
        <v>LOZA FIDEL</v>
      </c>
      <c r="H217" s="20" t="str">
        <f t="shared" si="7"/>
        <v>4049</v>
      </c>
    </row>
    <row r="218" spans="1:8" x14ac:dyDescent="0.25">
      <c r="A218" s="8">
        <v>43040.880127314813</v>
      </c>
      <c r="B218" s="20" t="s">
        <v>400</v>
      </c>
      <c r="C218" s="20" t="s">
        <v>848</v>
      </c>
      <c r="D218" s="138">
        <v>2610000</v>
      </c>
      <c r="E218" s="20" t="s">
        <v>430</v>
      </c>
      <c r="F218" s="20" t="s">
        <v>431</v>
      </c>
      <c r="G218" s="8" t="str">
        <f t="shared" si="6"/>
        <v>MAGEE KENYA</v>
      </c>
      <c r="H218" s="20" t="str">
        <f t="shared" si="7"/>
        <v>4004</v>
      </c>
    </row>
    <row r="219" spans="1:8" x14ac:dyDescent="0.25">
      <c r="A219" s="8">
        <v>43040.88045138889</v>
      </c>
      <c r="B219" s="20" t="s">
        <v>689</v>
      </c>
      <c r="C219" s="20" t="s">
        <v>849</v>
      </c>
      <c r="D219" s="138">
        <v>2000000</v>
      </c>
      <c r="E219" s="20" t="s">
        <v>486</v>
      </c>
      <c r="F219" s="20" t="s">
        <v>487</v>
      </c>
      <c r="G219" s="8" t="str">
        <f t="shared" si="6"/>
        <v>STAMBAUGH JAMES</v>
      </c>
      <c r="H219" s="20" t="str">
        <f t="shared" si="7"/>
        <v>4032</v>
      </c>
    </row>
    <row r="220" spans="1:8" x14ac:dyDescent="0.25">
      <c r="A220" s="8">
        <v>43040.889317129629</v>
      </c>
      <c r="B220" s="20" t="s">
        <v>385</v>
      </c>
      <c r="C220" s="20" t="s">
        <v>850</v>
      </c>
      <c r="D220" s="138">
        <v>2540000</v>
      </c>
      <c r="E220" s="20" t="s">
        <v>826</v>
      </c>
      <c r="F220" s="20" t="s">
        <v>827</v>
      </c>
      <c r="G220" s="8" t="str">
        <f t="shared" si="6"/>
        <v>MCREYNOLDS KYLE</v>
      </c>
      <c r="H220" s="20" t="str">
        <f t="shared" si="7"/>
        <v>4053</v>
      </c>
    </row>
    <row r="221" spans="1:8" x14ac:dyDescent="0.25">
      <c r="A221" s="8">
        <v>43040.892025462963</v>
      </c>
      <c r="B221" s="20" t="s">
        <v>627</v>
      </c>
      <c r="C221" s="20" t="s">
        <v>648</v>
      </c>
      <c r="D221" s="138">
        <v>2000000</v>
      </c>
      <c r="E221" s="20" t="s">
        <v>486</v>
      </c>
      <c r="F221" s="20" t="s">
        <v>487</v>
      </c>
      <c r="G221" s="8" t="str">
        <f t="shared" si="6"/>
        <v>STAMBAUGH JAMES</v>
      </c>
      <c r="H221" s="20" t="str">
        <f t="shared" si="7"/>
        <v>4031</v>
      </c>
    </row>
    <row r="222" spans="1:8" x14ac:dyDescent="0.25">
      <c r="A222" s="8">
        <v>43040.907997685186</v>
      </c>
      <c r="B222" s="20" t="s">
        <v>616</v>
      </c>
      <c r="C222" s="20" t="s">
        <v>851</v>
      </c>
      <c r="D222" s="138">
        <v>3320000</v>
      </c>
      <c r="E222" s="20" t="s">
        <v>375</v>
      </c>
      <c r="F222" s="20" t="s">
        <v>376</v>
      </c>
      <c r="G222" s="8" t="str">
        <f t="shared" si="6"/>
        <v>NICHOLSON WESLEY</v>
      </c>
      <c r="H222" s="20" t="str">
        <f t="shared" si="7"/>
        <v>4063</v>
      </c>
    </row>
    <row r="223" spans="1:8" x14ac:dyDescent="0.25">
      <c r="A223" s="8">
        <v>43040.91265046296</v>
      </c>
      <c r="B223" s="20" t="s">
        <v>378</v>
      </c>
      <c r="C223" s="20" t="s">
        <v>852</v>
      </c>
      <c r="D223" s="138">
        <v>3670000</v>
      </c>
      <c r="E223" s="20" t="s">
        <v>432</v>
      </c>
      <c r="F223" s="20" t="s">
        <v>386</v>
      </c>
      <c r="G223" s="8" t="str">
        <f t="shared" si="6"/>
        <v>ANDREA WILLIAMS</v>
      </c>
      <c r="H223" s="20" t="str">
        <f t="shared" si="7"/>
        <v>4050</v>
      </c>
    </row>
    <row r="224" spans="1:8" x14ac:dyDescent="0.25">
      <c r="A224" s="8">
        <v>43040.920648148145</v>
      </c>
      <c r="B224" t="s">
        <v>689</v>
      </c>
      <c r="C224" t="s">
        <v>853</v>
      </c>
      <c r="D224" s="138">
        <v>2000000</v>
      </c>
      <c r="E224" t="s">
        <v>486</v>
      </c>
      <c r="F224" s="20" t="s">
        <v>487</v>
      </c>
      <c r="G224" s="8" t="str">
        <f t="shared" si="6"/>
        <v>STAMBAUGH JAMES</v>
      </c>
      <c r="H224" s="20" t="str">
        <f t="shared" si="7"/>
        <v>4032</v>
      </c>
    </row>
    <row r="225" spans="1:8" x14ac:dyDescent="0.25">
      <c r="A225" s="8">
        <v>43040.929513888892</v>
      </c>
      <c r="B225" t="s">
        <v>801</v>
      </c>
      <c r="C225" t="s">
        <v>854</v>
      </c>
      <c r="D225" s="138">
        <v>2540000</v>
      </c>
      <c r="E225" t="s">
        <v>826</v>
      </c>
      <c r="F225" s="20" t="s">
        <v>827</v>
      </c>
      <c r="G225" s="8" t="str">
        <f t="shared" si="6"/>
        <v>MCREYNOLDS KYLE</v>
      </c>
      <c r="H225" s="20" t="str">
        <f t="shared" si="7"/>
        <v>4054</v>
      </c>
    </row>
    <row r="226" spans="1:8" x14ac:dyDescent="0.25">
      <c r="A226" s="8">
        <v>43040.933923611112</v>
      </c>
      <c r="B226" t="s">
        <v>627</v>
      </c>
      <c r="C226" t="s">
        <v>855</v>
      </c>
      <c r="D226" s="138">
        <v>2000000</v>
      </c>
      <c r="E226" t="s">
        <v>486</v>
      </c>
      <c r="F226" s="20" t="s">
        <v>487</v>
      </c>
      <c r="G226" s="8" t="str">
        <f t="shared" si="6"/>
        <v>STAMBAUGH JAMES</v>
      </c>
      <c r="H226" s="20" t="str">
        <f t="shared" si="7"/>
        <v>4031</v>
      </c>
    </row>
    <row r="227" spans="1:8" x14ac:dyDescent="0.25">
      <c r="A227" s="8">
        <v>43040.934120370373</v>
      </c>
      <c r="B227" t="s">
        <v>399</v>
      </c>
      <c r="C227" t="s">
        <v>856</v>
      </c>
      <c r="D227" s="138">
        <v>2610000</v>
      </c>
      <c r="E227" t="s">
        <v>430</v>
      </c>
      <c r="F227" s="20" t="s">
        <v>431</v>
      </c>
      <c r="G227" s="8" t="str">
        <f t="shared" si="6"/>
        <v>MAGEE KENYA</v>
      </c>
      <c r="H227" s="20" t="str">
        <f t="shared" si="7"/>
        <v>4003</v>
      </c>
    </row>
    <row r="228" spans="1:8" x14ac:dyDescent="0.25">
      <c r="A228" s="8">
        <v>43040.952002314814</v>
      </c>
      <c r="B228" t="s">
        <v>379</v>
      </c>
      <c r="C228" t="s">
        <v>857</v>
      </c>
      <c r="D228" s="138">
        <v>3670000</v>
      </c>
      <c r="E228" t="s">
        <v>432</v>
      </c>
      <c r="F228" s="20" t="s">
        <v>386</v>
      </c>
      <c r="G228" s="8" t="str">
        <f t="shared" si="6"/>
        <v>ANDREA WILLIAMS</v>
      </c>
      <c r="H228" s="20" t="str">
        <f t="shared" si="7"/>
        <v>4049</v>
      </c>
    </row>
    <row r="229" spans="1:8" x14ac:dyDescent="0.25">
      <c r="A229" s="8">
        <v>43040.954571759263</v>
      </c>
      <c r="B229" t="s">
        <v>640</v>
      </c>
      <c r="C229" t="s">
        <v>858</v>
      </c>
      <c r="D229" s="138">
        <v>3320000</v>
      </c>
      <c r="E229" t="s">
        <v>375</v>
      </c>
      <c r="F229" s="20" t="s">
        <v>376</v>
      </c>
      <c r="G229" s="8" t="str">
        <f t="shared" si="6"/>
        <v>NICHOLSON WESLEY</v>
      </c>
      <c r="H229" s="20" t="str">
        <f t="shared" si="7"/>
        <v>4064</v>
      </c>
    </row>
    <row r="230" spans="1:8" x14ac:dyDescent="0.25">
      <c r="A230" s="8">
        <v>43040.960729166669</v>
      </c>
      <c r="B230" t="s">
        <v>689</v>
      </c>
      <c r="C230" t="s">
        <v>859</v>
      </c>
      <c r="D230" s="138">
        <v>2000000</v>
      </c>
      <c r="E230" t="s">
        <v>486</v>
      </c>
      <c r="F230" s="20" t="s">
        <v>487</v>
      </c>
      <c r="G230" s="8" t="str">
        <f t="shared" si="6"/>
        <v>STAMBAUGH JAMES</v>
      </c>
      <c r="H230" s="20" t="str">
        <f t="shared" si="7"/>
        <v>4032</v>
      </c>
    </row>
    <row r="231" spans="1:8" x14ac:dyDescent="0.25">
      <c r="A231" s="8">
        <v>43040.970439814817</v>
      </c>
      <c r="B231" t="s">
        <v>385</v>
      </c>
      <c r="C231" t="s">
        <v>860</v>
      </c>
      <c r="D231" s="138">
        <v>2540000</v>
      </c>
      <c r="E231" t="s">
        <v>826</v>
      </c>
      <c r="F231" s="20" t="s">
        <v>827</v>
      </c>
      <c r="G231" s="8" t="str">
        <f t="shared" si="6"/>
        <v>MCREYNOLDS KYLE</v>
      </c>
      <c r="H231" s="20" t="str">
        <f t="shared" si="7"/>
        <v>4053</v>
      </c>
    </row>
    <row r="232" spans="1:8" x14ac:dyDescent="0.25">
      <c r="A232" s="8">
        <v>43040.974016203705</v>
      </c>
      <c r="B232" t="s">
        <v>627</v>
      </c>
      <c r="C232" t="s">
        <v>861</v>
      </c>
      <c r="D232" s="138">
        <v>2000000</v>
      </c>
      <c r="E232" t="s">
        <v>486</v>
      </c>
      <c r="F232" s="20" t="s">
        <v>487</v>
      </c>
      <c r="G232" s="8" t="str">
        <f t="shared" si="6"/>
        <v>STAMBAUGH JAMES</v>
      </c>
      <c r="H232" s="20" t="str">
        <f t="shared" si="7"/>
        <v>4031</v>
      </c>
    </row>
    <row r="233" spans="1:8" x14ac:dyDescent="0.25">
      <c r="A233" s="8">
        <v>43040.977418981478</v>
      </c>
      <c r="B233" t="s">
        <v>400</v>
      </c>
      <c r="C233" t="s">
        <v>649</v>
      </c>
      <c r="D233" s="138">
        <v>2610000</v>
      </c>
      <c r="E233" t="s">
        <v>430</v>
      </c>
      <c r="F233" s="20" t="s">
        <v>431</v>
      </c>
      <c r="G233" s="8" t="str">
        <f t="shared" si="6"/>
        <v>MAGEE KENYA</v>
      </c>
      <c r="H233" s="20" t="str">
        <f t="shared" si="7"/>
        <v>4004</v>
      </c>
    </row>
    <row r="234" spans="1:8" x14ac:dyDescent="0.25">
      <c r="A234" s="8">
        <v>43040.996435185189</v>
      </c>
      <c r="B234" t="s">
        <v>616</v>
      </c>
      <c r="C234" t="s">
        <v>862</v>
      </c>
      <c r="D234" s="138">
        <v>3320000</v>
      </c>
      <c r="E234" t="s">
        <v>375</v>
      </c>
      <c r="F234" s="20" t="s">
        <v>376</v>
      </c>
      <c r="G234" s="8" t="str">
        <f t="shared" si="6"/>
        <v>NICHOLSON WESLEY</v>
      </c>
      <c r="H234" s="20" t="str">
        <f t="shared" si="7"/>
        <v>4063</v>
      </c>
    </row>
    <row r="235" spans="1:8" x14ac:dyDescent="0.25">
      <c r="A235" s="8">
        <v>43040.998530092591</v>
      </c>
      <c r="B235" t="s">
        <v>378</v>
      </c>
      <c r="C235" t="s">
        <v>863</v>
      </c>
      <c r="D235" s="138">
        <v>890000</v>
      </c>
      <c r="E235" t="s">
        <v>350</v>
      </c>
      <c r="F235" s="20" t="s">
        <v>351</v>
      </c>
      <c r="G235" s="8" t="str">
        <f t="shared" si="6"/>
        <v>LOZA FIDEL</v>
      </c>
      <c r="H235" s="20" t="str">
        <f t="shared" si="7"/>
        <v>4050</v>
      </c>
    </row>
    <row r="236" spans="1:8" x14ac:dyDescent="0.25">
      <c r="A236" s="8">
        <v>43041.016875000001</v>
      </c>
      <c r="B236" t="s">
        <v>399</v>
      </c>
      <c r="C236" t="s">
        <v>650</v>
      </c>
      <c r="D236" s="138">
        <v>2610000</v>
      </c>
      <c r="E236" t="s">
        <v>430</v>
      </c>
      <c r="F236" s="20" t="s">
        <v>431</v>
      </c>
      <c r="G236" s="8" t="str">
        <f t="shared" si="6"/>
        <v>MAGEE KENYA</v>
      </c>
      <c r="H236" s="20" t="str">
        <f t="shared" si="7"/>
        <v>4003</v>
      </c>
    </row>
    <row r="237" spans="1:8" x14ac:dyDescent="0.25">
      <c r="A237" s="8">
        <v>43041.034594907411</v>
      </c>
      <c r="B237" t="s">
        <v>640</v>
      </c>
      <c r="C237" t="s">
        <v>864</v>
      </c>
      <c r="D237" s="138">
        <v>3320000</v>
      </c>
      <c r="E237" t="s">
        <v>375</v>
      </c>
      <c r="F237" s="20" t="s">
        <v>376</v>
      </c>
      <c r="G237" s="8" t="str">
        <f t="shared" si="6"/>
        <v>NICHOLSON WESLEY</v>
      </c>
      <c r="H237" s="20" t="str">
        <f t="shared" si="7"/>
        <v>4064</v>
      </c>
    </row>
    <row r="238" spans="1:8" x14ac:dyDescent="0.25">
      <c r="A238" s="8">
        <v>43041.038831018515</v>
      </c>
      <c r="B238" t="s">
        <v>379</v>
      </c>
      <c r="C238" t="s">
        <v>865</v>
      </c>
      <c r="D238" s="138">
        <v>890000</v>
      </c>
      <c r="E238" t="s">
        <v>350</v>
      </c>
      <c r="F238" s="20" t="s">
        <v>351</v>
      </c>
      <c r="G238" s="8" t="str">
        <f t="shared" si="6"/>
        <v>LOZA FIDEL</v>
      </c>
      <c r="H238" s="20" t="str">
        <f t="shared" si="7"/>
        <v>4049</v>
      </c>
    </row>
    <row r="239" spans="1:8" x14ac:dyDescent="0.25">
      <c r="A239" s="8">
        <v>43041.049351851849</v>
      </c>
      <c r="B239" t="s">
        <v>385</v>
      </c>
      <c r="C239" t="s">
        <v>866</v>
      </c>
      <c r="D239" s="138">
        <v>2540000</v>
      </c>
      <c r="E239" t="s">
        <v>826</v>
      </c>
      <c r="F239" s="20" t="s">
        <v>827</v>
      </c>
      <c r="G239" s="8" t="str">
        <f t="shared" si="6"/>
        <v>MCREYNOLDS KYLE</v>
      </c>
      <c r="H239" s="20" t="str">
        <f t="shared" si="7"/>
        <v>4053</v>
      </c>
    </row>
    <row r="240" spans="1:8" x14ac:dyDescent="0.25">
      <c r="A240" s="8">
        <v>43041.050636574073</v>
      </c>
      <c r="B240" t="s">
        <v>400</v>
      </c>
      <c r="C240" t="s">
        <v>867</v>
      </c>
      <c r="D240" s="138">
        <v>2610000</v>
      </c>
      <c r="E240" t="s">
        <v>430</v>
      </c>
      <c r="F240" s="20" t="s">
        <v>431</v>
      </c>
      <c r="G240" s="8" t="str">
        <f t="shared" si="6"/>
        <v>MAGEE KENYA</v>
      </c>
      <c r="H240" s="20" t="str">
        <f t="shared" si="7"/>
        <v>4004</v>
      </c>
    </row>
    <row r="241" spans="1:8" x14ac:dyDescent="0.25">
      <c r="A241" s="8">
        <v>43041.072615740741</v>
      </c>
      <c r="B241" t="s">
        <v>378</v>
      </c>
      <c r="C241" t="s">
        <v>868</v>
      </c>
      <c r="D241" s="138">
        <v>3670000</v>
      </c>
      <c r="E241" t="s">
        <v>432</v>
      </c>
      <c r="F241" s="20" t="s">
        <v>386</v>
      </c>
      <c r="G241" s="8" t="str">
        <f t="shared" si="6"/>
        <v>ANDREA WILLIAMS</v>
      </c>
      <c r="H241" s="20" t="str">
        <f t="shared" si="7"/>
        <v>4050</v>
      </c>
    </row>
    <row r="242" spans="1:8" x14ac:dyDescent="0.25">
      <c r="A242" s="8">
        <v>43041.089780092596</v>
      </c>
      <c r="B242" t="s">
        <v>801</v>
      </c>
      <c r="C242" t="s">
        <v>869</v>
      </c>
      <c r="D242" s="138">
        <v>2540000</v>
      </c>
      <c r="E242" t="s">
        <v>826</v>
      </c>
      <c r="F242" s="20" t="s">
        <v>827</v>
      </c>
      <c r="G242" s="8" t="str">
        <f t="shared" si="6"/>
        <v>MCREYNOLDS KYLE</v>
      </c>
      <c r="H242" s="20" t="str">
        <f t="shared" si="7"/>
        <v>4054</v>
      </c>
    </row>
    <row r="243" spans="1:8" x14ac:dyDescent="0.25">
      <c r="A243" s="8">
        <v>43041.113657407404</v>
      </c>
      <c r="B243" t="s">
        <v>464</v>
      </c>
      <c r="C243" t="s">
        <v>870</v>
      </c>
      <c r="D243" s="138">
        <v>1830000</v>
      </c>
      <c r="E243" t="s">
        <v>354</v>
      </c>
      <c r="F243" s="20" t="s">
        <v>355</v>
      </c>
      <c r="G243" s="8" t="str">
        <f t="shared" si="6"/>
        <v>YORK EDGAR</v>
      </c>
      <c r="H243" s="20" t="str">
        <f t="shared" si="7"/>
        <v>4029</v>
      </c>
    </row>
    <row r="244" spans="1:8" x14ac:dyDescent="0.25">
      <c r="A244" s="8">
        <v>43039.707546296297</v>
      </c>
      <c r="B244" t="s">
        <v>460</v>
      </c>
      <c r="C244" t="s">
        <v>490</v>
      </c>
      <c r="D244" s="138">
        <v>2970000</v>
      </c>
      <c r="E244" t="s">
        <v>411</v>
      </c>
      <c r="F244" s="20" t="s">
        <v>412</v>
      </c>
      <c r="G244" s="8" t="str">
        <f t="shared" si="6"/>
        <v>GUZMAN DANNY</v>
      </c>
      <c r="H244" s="20" t="str">
        <f t="shared" si="7"/>
        <v>4062</v>
      </c>
    </row>
    <row r="245" spans="1:8" x14ac:dyDescent="0.25">
      <c r="A245" s="8">
        <v>43039.708657407406</v>
      </c>
      <c r="B245" t="s">
        <v>374</v>
      </c>
      <c r="C245" t="s">
        <v>489</v>
      </c>
      <c r="D245" s="138">
        <v>920000</v>
      </c>
      <c r="E245" t="s">
        <v>372</v>
      </c>
      <c r="F245" s="20" t="s">
        <v>360</v>
      </c>
      <c r="G245" s="8" t="str">
        <f t="shared" si="6"/>
        <v>DAVIS MICHAEL</v>
      </c>
      <c r="H245" s="20" t="str">
        <f t="shared" si="7"/>
        <v>4016</v>
      </c>
    </row>
    <row r="246" spans="1:8" x14ac:dyDescent="0.25">
      <c r="A246" s="8">
        <v>43039.708993055552</v>
      </c>
      <c r="B246" t="s">
        <v>474</v>
      </c>
      <c r="C246" t="s">
        <v>491</v>
      </c>
      <c r="D246" s="138">
        <v>2230000</v>
      </c>
      <c r="E246" t="s">
        <v>483</v>
      </c>
      <c r="F246" s="20" t="s">
        <v>360</v>
      </c>
      <c r="G246" s="8" t="str">
        <f t="shared" si="6"/>
        <v>SMITH MICHAEL</v>
      </c>
      <c r="H246" s="20" t="str">
        <f t="shared" si="7"/>
        <v>4059</v>
      </c>
    </row>
    <row r="247" spans="1:8" x14ac:dyDescent="0.25">
      <c r="A247" s="8">
        <v>43039.715358796297</v>
      </c>
      <c r="B247" t="s">
        <v>365</v>
      </c>
      <c r="C247" t="s">
        <v>492</v>
      </c>
      <c r="D247" s="138">
        <v>3680000</v>
      </c>
      <c r="E247" t="s">
        <v>481</v>
      </c>
      <c r="F247" s="20" t="s">
        <v>482</v>
      </c>
      <c r="G247" s="8" t="str">
        <f t="shared" si="6"/>
        <v>HAMMOND JUSTYNN</v>
      </c>
      <c r="H247" s="20" t="str">
        <f t="shared" si="7"/>
        <v>4008</v>
      </c>
    </row>
    <row r="248" spans="1:8" x14ac:dyDescent="0.25">
      <c r="A248" s="8">
        <v>43039.721898148149</v>
      </c>
      <c r="B248" t="s">
        <v>493</v>
      </c>
      <c r="C248" t="s">
        <v>494</v>
      </c>
      <c r="D248" s="138">
        <v>1780000</v>
      </c>
      <c r="E248" t="s">
        <v>484</v>
      </c>
      <c r="F248" s="20" t="s">
        <v>485</v>
      </c>
      <c r="G248" s="8" t="str">
        <f t="shared" si="6"/>
        <v>DE LA ROSA ALEX</v>
      </c>
      <c r="H248" s="20" t="str">
        <f t="shared" si="7"/>
        <v>4026</v>
      </c>
    </row>
    <row r="249" spans="1:8" x14ac:dyDescent="0.25">
      <c r="A249" s="8">
        <v>43039.724768518521</v>
      </c>
      <c r="B249" t="s">
        <v>406</v>
      </c>
      <c r="C249" t="s">
        <v>495</v>
      </c>
      <c r="D249" s="138">
        <v>1770000</v>
      </c>
      <c r="E249" t="s">
        <v>479</v>
      </c>
      <c r="F249" s="20" t="s">
        <v>480</v>
      </c>
      <c r="G249" s="8" t="str">
        <f t="shared" si="6"/>
        <v>BRUDER RICHARD</v>
      </c>
      <c r="H249" s="20" t="str">
        <f t="shared" si="7"/>
        <v>4011</v>
      </c>
    </row>
    <row r="250" spans="1:8" x14ac:dyDescent="0.25">
      <c r="A250" s="8">
        <v>43039.726331018515</v>
      </c>
      <c r="B250" t="s">
        <v>475</v>
      </c>
      <c r="C250" t="s">
        <v>496</v>
      </c>
      <c r="D250" s="138">
        <v>2630000</v>
      </c>
      <c r="E250" t="s">
        <v>409</v>
      </c>
      <c r="F250" s="20" t="s">
        <v>410</v>
      </c>
      <c r="G250" s="8" t="str">
        <f t="shared" si="6"/>
        <v>SAFIEF AEIMEN</v>
      </c>
      <c r="H250" s="20" t="str">
        <f t="shared" si="7"/>
        <v>4028</v>
      </c>
    </row>
    <row r="251" spans="1:8" x14ac:dyDescent="0.25">
      <c r="A251" s="8">
        <v>43039.726701388892</v>
      </c>
      <c r="B251" t="s">
        <v>462</v>
      </c>
      <c r="C251" t="s">
        <v>497</v>
      </c>
      <c r="D251" s="138">
        <v>2970000</v>
      </c>
      <c r="E251" t="s">
        <v>411</v>
      </c>
      <c r="F251" s="20" t="s">
        <v>412</v>
      </c>
      <c r="G251" s="8" t="str">
        <f t="shared" si="6"/>
        <v>GUZMAN DANNY</v>
      </c>
      <c r="H251" s="20" t="str">
        <f t="shared" si="7"/>
        <v>4061</v>
      </c>
    </row>
    <row r="252" spans="1:8" x14ac:dyDescent="0.25">
      <c r="A252" s="8">
        <v>43039.733553240738</v>
      </c>
      <c r="B252" t="s">
        <v>369</v>
      </c>
      <c r="C252" t="s">
        <v>498</v>
      </c>
      <c r="D252" s="138">
        <v>2000000</v>
      </c>
      <c r="E252" t="s">
        <v>486</v>
      </c>
      <c r="F252" s="20" t="s">
        <v>487</v>
      </c>
      <c r="G252" s="8" t="str">
        <f t="shared" si="6"/>
        <v>STAMBAUGH JAMES</v>
      </c>
      <c r="H252" s="20" t="str">
        <f t="shared" si="7"/>
        <v>4018</v>
      </c>
    </row>
    <row r="253" spans="1:8" x14ac:dyDescent="0.25">
      <c r="A253" s="8">
        <v>43039.734456018516</v>
      </c>
      <c r="B253" t="s">
        <v>382</v>
      </c>
      <c r="C253" t="s">
        <v>467</v>
      </c>
      <c r="D253" s="138">
        <v>880000</v>
      </c>
      <c r="E253" t="s">
        <v>429</v>
      </c>
      <c r="F253" s="20" t="s">
        <v>360</v>
      </c>
      <c r="G253" s="8" t="str">
        <f t="shared" si="6"/>
        <v>STEWART MICHAEL</v>
      </c>
      <c r="H253" s="20" t="str">
        <f t="shared" si="7"/>
        <v>4035</v>
      </c>
    </row>
    <row r="254" spans="1:8" x14ac:dyDescent="0.25">
      <c r="A254" s="8">
        <v>43039.735381944447</v>
      </c>
      <c r="B254" t="s">
        <v>476</v>
      </c>
      <c r="C254" t="s">
        <v>499</v>
      </c>
      <c r="D254" s="138">
        <v>3670000</v>
      </c>
      <c r="E254" t="s">
        <v>432</v>
      </c>
      <c r="F254" s="20" t="s">
        <v>386</v>
      </c>
      <c r="G254" s="8" t="str">
        <f t="shared" si="6"/>
        <v>ANDREA WILLIAMS</v>
      </c>
      <c r="H254" s="20" t="str">
        <f t="shared" si="7"/>
        <v>4030</v>
      </c>
    </row>
    <row r="255" spans="1:8" x14ac:dyDescent="0.25">
      <c r="A255" s="8">
        <v>43039.736122685186</v>
      </c>
      <c r="B255" t="s">
        <v>385</v>
      </c>
      <c r="C255" t="s">
        <v>500</v>
      </c>
      <c r="D255" s="138">
        <v>3220000</v>
      </c>
      <c r="E255" t="s">
        <v>415</v>
      </c>
      <c r="F255" s="20" t="s">
        <v>416</v>
      </c>
      <c r="G255" s="8" t="str">
        <f t="shared" si="6"/>
        <v>RESPASS AARON</v>
      </c>
      <c r="H255" s="20" t="str">
        <f t="shared" si="7"/>
        <v>4053</v>
      </c>
    </row>
    <row r="256" spans="1:8" x14ac:dyDescent="0.25">
      <c r="A256" s="8">
        <v>43039.737118055556</v>
      </c>
      <c r="B256" t="s">
        <v>466</v>
      </c>
      <c r="C256" t="s">
        <v>468</v>
      </c>
      <c r="D256" s="138">
        <v>1300000</v>
      </c>
      <c r="E256" t="s">
        <v>367</v>
      </c>
      <c r="F256" s="20" t="s">
        <v>368</v>
      </c>
      <c r="G256" s="8" t="str">
        <f t="shared" si="6"/>
        <v>LEVIN SCOTT</v>
      </c>
      <c r="H256" s="20" t="str">
        <f t="shared" si="7"/>
        <v>4021</v>
      </c>
    </row>
    <row r="257" spans="1:8" x14ac:dyDescent="0.25">
      <c r="A257" s="8">
        <v>43039.745717592596</v>
      </c>
      <c r="B257" t="s">
        <v>366</v>
      </c>
      <c r="C257" t="s">
        <v>501</v>
      </c>
      <c r="D257" s="138">
        <v>2230000</v>
      </c>
      <c r="E257" t="s">
        <v>483</v>
      </c>
      <c r="F257" s="20" t="s">
        <v>360</v>
      </c>
      <c r="G257" s="8" t="str">
        <f t="shared" si="6"/>
        <v>SMITH MICHAEL</v>
      </c>
      <c r="H257" s="20" t="str">
        <f t="shared" si="7"/>
        <v>4060</v>
      </c>
    </row>
    <row r="258" spans="1:8" x14ac:dyDescent="0.25">
      <c r="A258" s="8">
        <v>43039.747546296298</v>
      </c>
      <c r="B258" t="s">
        <v>371</v>
      </c>
      <c r="C258" t="s">
        <v>502</v>
      </c>
      <c r="D258" s="138">
        <v>2000000</v>
      </c>
      <c r="E258" t="s">
        <v>486</v>
      </c>
      <c r="F258" s="20" t="s">
        <v>487</v>
      </c>
      <c r="G258" s="8" t="str">
        <f t="shared" si="6"/>
        <v>STAMBAUGH JAMES</v>
      </c>
      <c r="H258" s="20" t="str">
        <f t="shared" si="7"/>
        <v>4017</v>
      </c>
    </row>
    <row r="259" spans="1:8" x14ac:dyDescent="0.25">
      <c r="A259" s="8">
        <v>43039.748310185183</v>
      </c>
      <c r="B259" t="s">
        <v>460</v>
      </c>
      <c r="C259" t="s">
        <v>503</v>
      </c>
      <c r="D259" s="138">
        <v>2970000</v>
      </c>
      <c r="E259" t="s">
        <v>411</v>
      </c>
      <c r="F259" s="20" t="s">
        <v>412</v>
      </c>
      <c r="G259" s="8" t="str">
        <f t="shared" ref="G259:G313" si="8">E259&amp;" "&amp;F259</f>
        <v>GUZMAN DANNY</v>
      </c>
      <c r="H259" s="20" t="str">
        <f t="shared" ref="H259:H313" si="9">MID(B259,13,4)</f>
        <v>4062</v>
      </c>
    </row>
    <row r="260" spans="1:8" x14ac:dyDescent="0.25">
      <c r="A260" s="8">
        <v>43039.754444444443</v>
      </c>
      <c r="B260" t="s">
        <v>370</v>
      </c>
      <c r="C260" t="s">
        <v>504</v>
      </c>
      <c r="D260" s="138">
        <v>3680000</v>
      </c>
      <c r="E260" t="s">
        <v>481</v>
      </c>
      <c r="F260" s="20" t="s">
        <v>482</v>
      </c>
      <c r="G260" s="8" t="str">
        <f t="shared" si="8"/>
        <v>HAMMOND JUSTYNN</v>
      </c>
      <c r="H260" s="20" t="str">
        <f t="shared" si="9"/>
        <v>4007</v>
      </c>
    </row>
    <row r="261" spans="1:8" x14ac:dyDescent="0.25">
      <c r="A261" s="8">
        <v>43039.756747685184</v>
      </c>
      <c r="B261" t="s">
        <v>405</v>
      </c>
      <c r="C261" t="s">
        <v>505</v>
      </c>
      <c r="D261" s="138">
        <v>3320000</v>
      </c>
      <c r="E261" t="s">
        <v>375</v>
      </c>
      <c r="F261" s="20" t="s">
        <v>376</v>
      </c>
      <c r="G261" s="8" t="str">
        <f t="shared" si="8"/>
        <v>NICHOLSON WESLEY</v>
      </c>
      <c r="H261" s="20" t="str">
        <f t="shared" si="9"/>
        <v>4012</v>
      </c>
    </row>
    <row r="262" spans="1:8" x14ac:dyDescent="0.25">
      <c r="A262" s="8">
        <v>43039.761863425927</v>
      </c>
      <c r="B262" t="s">
        <v>463</v>
      </c>
      <c r="C262" t="s">
        <v>506</v>
      </c>
      <c r="D262" s="138">
        <v>2630000</v>
      </c>
      <c r="E262" t="s">
        <v>409</v>
      </c>
      <c r="F262" s="20" t="s">
        <v>410</v>
      </c>
      <c r="G262" s="8" t="str">
        <f t="shared" si="8"/>
        <v>SAFIEF AEIMEN</v>
      </c>
      <c r="H262" s="20" t="str">
        <f t="shared" si="9"/>
        <v>4027</v>
      </c>
    </row>
    <row r="263" spans="1:8" x14ac:dyDescent="0.25">
      <c r="A263" s="8">
        <v>43039.768055555556</v>
      </c>
      <c r="B263" t="s">
        <v>462</v>
      </c>
      <c r="C263" t="s">
        <v>507</v>
      </c>
      <c r="D263" s="138">
        <v>2970000</v>
      </c>
      <c r="E263" t="s">
        <v>411</v>
      </c>
      <c r="F263" s="20" t="s">
        <v>412</v>
      </c>
      <c r="G263" s="8" t="str">
        <f t="shared" si="8"/>
        <v>GUZMAN DANNY</v>
      </c>
      <c r="H263" s="20" t="str">
        <f t="shared" si="9"/>
        <v>4061</v>
      </c>
    </row>
    <row r="264" spans="1:8" x14ac:dyDescent="0.25">
      <c r="A264" s="8">
        <v>43039.769641203704</v>
      </c>
      <c r="B264" t="s">
        <v>381</v>
      </c>
      <c r="C264" t="s">
        <v>508</v>
      </c>
      <c r="D264" s="138">
        <v>2040000</v>
      </c>
      <c r="E264" t="s">
        <v>509</v>
      </c>
      <c r="F264" s="20" t="s">
        <v>510</v>
      </c>
      <c r="G264" s="8" t="str">
        <f t="shared" si="8"/>
        <v>MOSES BRADLEY</v>
      </c>
      <c r="H264" s="20" t="str">
        <f t="shared" si="9"/>
        <v>4036</v>
      </c>
    </row>
    <row r="265" spans="1:8" x14ac:dyDescent="0.25">
      <c r="A265" s="8">
        <v>43039.772962962961</v>
      </c>
      <c r="B265" t="s">
        <v>464</v>
      </c>
      <c r="C265" t="s">
        <v>511</v>
      </c>
      <c r="D265" s="138">
        <v>3670000</v>
      </c>
      <c r="E265" t="s">
        <v>432</v>
      </c>
      <c r="F265" s="20" t="s">
        <v>386</v>
      </c>
      <c r="G265" s="8" t="str">
        <f t="shared" si="8"/>
        <v>ANDREA WILLIAMS</v>
      </c>
      <c r="H265" s="20" t="str">
        <f t="shared" si="9"/>
        <v>4029</v>
      </c>
    </row>
    <row r="266" spans="1:8" x14ac:dyDescent="0.25">
      <c r="A266" s="8">
        <v>43039.775405092594</v>
      </c>
      <c r="B266" t="s">
        <v>369</v>
      </c>
      <c r="C266" t="s">
        <v>512</v>
      </c>
      <c r="D266" s="138">
        <v>2000000</v>
      </c>
      <c r="E266" t="s">
        <v>486</v>
      </c>
      <c r="F266" s="20" t="s">
        <v>487</v>
      </c>
      <c r="G266" s="8" t="str">
        <f t="shared" si="8"/>
        <v>STAMBAUGH JAMES</v>
      </c>
      <c r="H266" s="20" t="str">
        <f t="shared" si="9"/>
        <v>4018</v>
      </c>
    </row>
    <row r="267" spans="1:8" x14ac:dyDescent="0.25">
      <c r="A267" s="8">
        <v>43039.778333333335</v>
      </c>
      <c r="B267" t="s">
        <v>461</v>
      </c>
      <c r="C267" t="s">
        <v>513</v>
      </c>
      <c r="D267" s="138">
        <v>1300000</v>
      </c>
      <c r="E267" t="s">
        <v>367</v>
      </c>
      <c r="F267" s="20" t="s">
        <v>368</v>
      </c>
      <c r="G267" s="8" t="str">
        <f t="shared" si="8"/>
        <v>LEVIN SCOTT</v>
      </c>
      <c r="H267" s="20" t="str">
        <f t="shared" si="9"/>
        <v>4022</v>
      </c>
    </row>
    <row r="268" spans="1:8" x14ac:dyDescent="0.25">
      <c r="A268" s="8">
        <v>43039.779745370368</v>
      </c>
      <c r="B268" t="s">
        <v>474</v>
      </c>
      <c r="C268" t="s">
        <v>514</v>
      </c>
      <c r="D268" s="138">
        <v>2230000</v>
      </c>
      <c r="E268" t="s">
        <v>483</v>
      </c>
      <c r="F268" s="20" t="s">
        <v>360</v>
      </c>
      <c r="G268" s="8" t="str">
        <f t="shared" si="8"/>
        <v>SMITH MICHAEL</v>
      </c>
      <c r="H268" s="20" t="str">
        <f t="shared" si="9"/>
        <v>4059</v>
      </c>
    </row>
    <row r="269" spans="1:8" x14ac:dyDescent="0.25">
      <c r="A269" s="8">
        <v>43039.788460648146</v>
      </c>
      <c r="B269" t="s">
        <v>371</v>
      </c>
      <c r="C269" t="s">
        <v>515</v>
      </c>
      <c r="D269" s="138">
        <v>2000000</v>
      </c>
      <c r="E269" t="s">
        <v>486</v>
      </c>
      <c r="F269" s="20" t="s">
        <v>487</v>
      </c>
      <c r="G269" s="8" t="str">
        <f t="shared" si="8"/>
        <v>STAMBAUGH JAMES</v>
      </c>
      <c r="H269" s="20" t="str">
        <f t="shared" si="9"/>
        <v>4017</v>
      </c>
    </row>
    <row r="270" spans="1:8" x14ac:dyDescent="0.25">
      <c r="A270" s="8">
        <v>43039.79</v>
      </c>
      <c r="B270" t="s">
        <v>365</v>
      </c>
      <c r="C270" t="s">
        <v>516</v>
      </c>
      <c r="D270" s="138">
        <v>3500000</v>
      </c>
      <c r="E270" t="s">
        <v>413</v>
      </c>
      <c r="F270" s="20" t="s">
        <v>414</v>
      </c>
      <c r="G270" s="8" t="str">
        <f t="shared" si="8"/>
        <v>GUNTHIER ERIC</v>
      </c>
      <c r="H270" s="20" t="str">
        <f t="shared" si="9"/>
        <v>4008</v>
      </c>
    </row>
    <row r="271" spans="1:8" x14ac:dyDescent="0.25">
      <c r="A271" s="8">
        <v>43039.790324074071</v>
      </c>
      <c r="B271" t="s">
        <v>406</v>
      </c>
      <c r="C271" t="s">
        <v>517</v>
      </c>
      <c r="D271" s="138">
        <v>3320000</v>
      </c>
      <c r="E271" t="s">
        <v>375</v>
      </c>
      <c r="F271" s="20" t="s">
        <v>376</v>
      </c>
      <c r="G271" s="8" t="str">
        <f t="shared" si="8"/>
        <v>NICHOLSON WESLEY</v>
      </c>
      <c r="H271" s="20" t="str">
        <f t="shared" si="9"/>
        <v>4011</v>
      </c>
    </row>
    <row r="272" spans="1:8" x14ac:dyDescent="0.25">
      <c r="A272" s="8">
        <v>43039.795312499999</v>
      </c>
      <c r="B272" t="s">
        <v>460</v>
      </c>
      <c r="C272" t="s">
        <v>518</v>
      </c>
      <c r="D272" s="138">
        <v>2610000</v>
      </c>
      <c r="E272" t="s">
        <v>430</v>
      </c>
      <c r="F272" s="20" t="s">
        <v>431</v>
      </c>
      <c r="G272" s="8" t="str">
        <f t="shared" si="8"/>
        <v>MAGEE KENYA</v>
      </c>
      <c r="H272" s="20" t="str">
        <f t="shared" si="9"/>
        <v>4062</v>
      </c>
    </row>
    <row r="273" spans="1:8" x14ac:dyDescent="0.25">
      <c r="A273" s="8">
        <v>43039.801539351851</v>
      </c>
      <c r="B273" t="s">
        <v>475</v>
      </c>
      <c r="C273" t="s">
        <v>519</v>
      </c>
      <c r="D273" s="138">
        <v>2630000</v>
      </c>
      <c r="E273" t="s">
        <v>409</v>
      </c>
      <c r="F273" s="20" t="s">
        <v>410</v>
      </c>
      <c r="G273" s="8" t="str">
        <f t="shared" si="8"/>
        <v>SAFIEF AEIMEN</v>
      </c>
      <c r="H273" s="20" t="str">
        <f t="shared" si="9"/>
        <v>4028</v>
      </c>
    </row>
    <row r="274" spans="1:8" x14ac:dyDescent="0.25">
      <c r="A274" s="8">
        <v>43039.809201388889</v>
      </c>
      <c r="B274" t="s">
        <v>476</v>
      </c>
      <c r="C274" t="s">
        <v>520</v>
      </c>
      <c r="D274" s="138">
        <v>3670000</v>
      </c>
      <c r="E274" t="s">
        <v>432</v>
      </c>
      <c r="F274" s="20" t="s">
        <v>386</v>
      </c>
      <c r="G274" s="8" t="str">
        <f t="shared" si="8"/>
        <v>ANDREA WILLIAMS</v>
      </c>
      <c r="H274" s="20" t="str">
        <f t="shared" si="9"/>
        <v>4030</v>
      </c>
    </row>
    <row r="275" spans="1:8" x14ac:dyDescent="0.25">
      <c r="A275" s="8">
        <v>43039.809328703705</v>
      </c>
      <c r="B275" t="s">
        <v>382</v>
      </c>
      <c r="C275" t="s">
        <v>521</v>
      </c>
      <c r="D275" s="138">
        <v>2040000</v>
      </c>
      <c r="E275" t="s">
        <v>509</v>
      </c>
      <c r="F275" s="20" t="s">
        <v>510</v>
      </c>
      <c r="G275" s="8" t="str">
        <f t="shared" si="8"/>
        <v>MOSES BRADLEY</v>
      </c>
      <c r="H275" s="20" t="str">
        <f t="shared" si="9"/>
        <v>4035</v>
      </c>
    </row>
    <row r="276" spans="1:8" x14ac:dyDescent="0.25">
      <c r="A276" s="8">
        <v>43039.810011574074</v>
      </c>
      <c r="B276" t="s">
        <v>462</v>
      </c>
      <c r="C276" t="s">
        <v>522</v>
      </c>
      <c r="D276" s="138">
        <v>2610000</v>
      </c>
      <c r="E276" t="s">
        <v>430</v>
      </c>
      <c r="F276" s="20" t="s">
        <v>431</v>
      </c>
      <c r="G276" s="8" t="str">
        <f t="shared" si="8"/>
        <v>MAGEE KENYA</v>
      </c>
      <c r="H276" s="20" t="str">
        <f t="shared" si="9"/>
        <v>4061</v>
      </c>
    </row>
    <row r="277" spans="1:8" x14ac:dyDescent="0.25">
      <c r="A277" s="8">
        <v>43039.818749999999</v>
      </c>
      <c r="B277" t="s">
        <v>366</v>
      </c>
      <c r="C277" t="s">
        <v>523</v>
      </c>
      <c r="D277" s="138">
        <v>2230000</v>
      </c>
      <c r="E277" t="s">
        <v>483</v>
      </c>
      <c r="F277" s="20" t="s">
        <v>360</v>
      </c>
      <c r="G277" s="8" t="str">
        <f t="shared" si="8"/>
        <v>SMITH MICHAEL</v>
      </c>
      <c r="H277" s="20" t="str">
        <f t="shared" si="9"/>
        <v>4060</v>
      </c>
    </row>
    <row r="278" spans="1:8" x14ac:dyDescent="0.25">
      <c r="A278" s="8">
        <v>43039.830092592594</v>
      </c>
      <c r="B278" t="s">
        <v>370</v>
      </c>
      <c r="C278" t="s">
        <v>524</v>
      </c>
      <c r="D278" s="138">
        <v>3500000</v>
      </c>
      <c r="E278" t="s">
        <v>413</v>
      </c>
      <c r="F278" s="20" t="s">
        <v>414</v>
      </c>
      <c r="G278" s="8" t="str">
        <f t="shared" si="8"/>
        <v>GUNTHIER ERIC</v>
      </c>
      <c r="H278" s="20" t="str">
        <f t="shared" si="9"/>
        <v>4007</v>
      </c>
    </row>
    <row r="279" spans="1:8" x14ac:dyDescent="0.25">
      <c r="A279" s="8">
        <v>43039.831967592596</v>
      </c>
      <c r="B279" t="s">
        <v>460</v>
      </c>
      <c r="C279" t="s">
        <v>525</v>
      </c>
      <c r="D279" s="138">
        <v>2970000</v>
      </c>
      <c r="E279" t="s">
        <v>411</v>
      </c>
      <c r="F279" s="20" t="s">
        <v>412</v>
      </c>
      <c r="G279" s="8" t="str">
        <f t="shared" si="8"/>
        <v>GUZMAN DANNY</v>
      </c>
      <c r="H279" s="20" t="str">
        <f t="shared" si="9"/>
        <v>4062</v>
      </c>
    </row>
    <row r="280" spans="1:8" x14ac:dyDescent="0.25">
      <c r="A280" s="8">
        <v>43039.833067129628</v>
      </c>
      <c r="B280" t="s">
        <v>405</v>
      </c>
      <c r="C280" t="s">
        <v>526</v>
      </c>
      <c r="D280" s="138">
        <v>3320000</v>
      </c>
      <c r="E280" t="s">
        <v>375</v>
      </c>
      <c r="F280" s="20" t="s">
        <v>376</v>
      </c>
      <c r="G280" s="8" t="str">
        <f t="shared" si="8"/>
        <v>NICHOLSON WESLEY</v>
      </c>
      <c r="H280" s="20" t="str">
        <f t="shared" si="9"/>
        <v>4012</v>
      </c>
    </row>
    <row r="281" spans="1:8" x14ac:dyDescent="0.25">
      <c r="A281" s="8">
        <v>43039.845081018517</v>
      </c>
      <c r="B281" t="s">
        <v>464</v>
      </c>
      <c r="C281" t="s">
        <v>469</v>
      </c>
      <c r="D281" s="138">
        <v>3670000</v>
      </c>
      <c r="E281" t="s">
        <v>432</v>
      </c>
      <c r="F281" s="20" t="s">
        <v>386</v>
      </c>
      <c r="G281" s="8" t="str">
        <f t="shared" si="8"/>
        <v>ANDREA WILLIAMS</v>
      </c>
      <c r="H281" s="20" t="str">
        <f t="shared" si="9"/>
        <v>4029</v>
      </c>
    </row>
    <row r="282" spans="1:8" x14ac:dyDescent="0.25">
      <c r="A282" s="8">
        <v>43039.85119212963</v>
      </c>
      <c r="B282" t="s">
        <v>462</v>
      </c>
      <c r="C282" t="s">
        <v>527</v>
      </c>
      <c r="D282" s="138">
        <v>2970000</v>
      </c>
      <c r="E282" t="s">
        <v>411</v>
      </c>
      <c r="F282" s="20" t="s">
        <v>412</v>
      </c>
      <c r="G282" s="8" t="str">
        <f t="shared" si="8"/>
        <v>GUZMAN DANNY</v>
      </c>
      <c r="H282" s="20" t="str">
        <f t="shared" si="9"/>
        <v>4061</v>
      </c>
    </row>
    <row r="283" spans="1:8" x14ac:dyDescent="0.25">
      <c r="A283" s="8">
        <v>43039.852789351855</v>
      </c>
      <c r="B283" t="s">
        <v>381</v>
      </c>
      <c r="C283" t="s">
        <v>528</v>
      </c>
      <c r="D283" s="138">
        <v>2040000</v>
      </c>
      <c r="E283" t="s">
        <v>509</v>
      </c>
      <c r="F283" s="20" t="s">
        <v>510</v>
      </c>
      <c r="G283" s="8" t="str">
        <f t="shared" si="8"/>
        <v>MOSES BRADLEY</v>
      </c>
      <c r="H283" s="20" t="str">
        <f t="shared" si="9"/>
        <v>4036</v>
      </c>
    </row>
    <row r="284" spans="1:8" x14ac:dyDescent="0.25">
      <c r="A284" s="8">
        <v>43039.863391203704</v>
      </c>
      <c r="B284" t="s">
        <v>365</v>
      </c>
      <c r="C284" t="s">
        <v>529</v>
      </c>
      <c r="D284" s="138">
        <v>3500000</v>
      </c>
      <c r="E284" t="s">
        <v>413</v>
      </c>
      <c r="F284" s="20" t="s">
        <v>414</v>
      </c>
      <c r="G284" s="8" t="str">
        <f t="shared" si="8"/>
        <v>GUNTHIER ERIC</v>
      </c>
      <c r="H284" s="20" t="str">
        <f t="shared" si="9"/>
        <v>4008</v>
      </c>
    </row>
    <row r="285" spans="1:8" x14ac:dyDescent="0.25">
      <c r="A285" s="8">
        <v>43039.864340277774</v>
      </c>
      <c r="B285" t="s">
        <v>406</v>
      </c>
      <c r="C285" t="s">
        <v>530</v>
      </c>
      <c r="D285" s="138">
        <v>3320000</v>
      </c>
      <c r="E285" t="s">
        <v>375</v>
      </c>
      <c r="F285" s="20" t="s">
        <v>376</v>
      </c>
      <c r="G285" s="8" t="str">
        <f t="shared" si="8"/>
        <v>NICHOLSON WESLEY</v>
      </c>
      <c r="H285" s="20" t="str">
        <f t="shared" si="9"/>
        <v>4011</v>
      </c>
    </row>
    <row r="286" spans="1:8" x14ac:dyDescent="0.25">
      <c r="A286" s="8">
        <v>43039.87841435185</v>
      </c>
      <c r="B286" t="s">
        <v>460</v>
      </c>
      <c r="C286" t="s">
        <v>531</v>
      </c>
      <c r="D286" s="138">
        <v>2000000</v>
      </c>
      <c r="E286" t="s">
        <v>486</v>
      </c>
      <c r="F286" s="20" t="s">
        <v>487</v>
      </c>
      <c r="G286" s="8" t="str">
        <f t="shared" si="8"/>
        <v>STAMBAUGH JAMES</v>
      </c>
      <c r="H286" s="20" t="str">
        <f t="shared" si="9"/>
        <v>4062</v>
      </c>
    </row>
    <row r="287" spans="1:8" x14ac:dyDescent="0.25">
      <c r="A287" s="8">
        <v>43039.882118055553</v>
      </c>
      <c r="B287" t="s">
        <v>460</v>
      </c>
      <c r="C287" t="s">
        <v>531</v>
      </c>
      <c r="D287" s="138">
        <v>2000000</v>
      </c>
      <c r="E287" t="s">
        <v>486</v>
      </c>
      <c r="F287" s="20" t="s">
        <v>487</v>
      </c>
      <c r="G287" s="8" t="str">
        <f t="shared" si="8"/>
        <v>STAMBAUGH JAMES</v>
      </c>
      <c r="H287" s="20" t="str">
        <f t="shared" si="9"/>
        <v>4062</v>
      </c>
    </row>
    <row r="288" spans="1:8" x14ac:dyDescent="0.25">
      <c r="A288" s="8">
        <v>43039.883923611109</v>
      </c>
      <c r="B288" t="s">
        <v>476</v>
      </c>
      <c r="C288" t="s">
        <v>532</v>
      </c>
      <c r="D288" s="138">
        <v>3670000</v>
      </c>
      <c r="E288" t="s">
        <v>432</v>
      </c>
      <c r="F288" s="20" t="s">
        <v>386</v>
      </c>
      <c r="G288" s="8" t="str">
        <f t="shared" si="8"/>
        <v>ANDREA WILLIAMS</v>
      </c>
      <c r="H288" s="20" t="str">
        <f t="shared" si="9"/>
        <v>4030</v>
      </c>
    </row>
    <row r="289" spans="1:8" x14ac:dyDescent="0.25">
      <c r="A289" s="8">
        <v>43039.891932870371</v>
      </c>
      <c r="B289" t="s">
        <v>382</v>
      </c>
      <c r="C289" t="s">
        <v>533</v>
      </c>
      <c r="D289" s="138">
        <v>2040000</v>
      </c>
      <c r="E289" t="s">
        <v>509</v>
      </c>
      <c r="F289" s="20" t="s">
        <v>510</v>
      </c>
      <c r="G289" s="8" t="str">
        <f t="shared" si="8"/>
        <v>MOSES BRADLEY</v>
      </c>
      <c r="H289" s="20" t="str">
        <f t="shared" si="9"/>
        <v>4035</v>
      </c>
    </row>
    <row r="290" spans="1:8" x14ac:dyDescent="0.25">
      <c r="A290" s="8">
        <v>43039.893888888888</v>
      </c>
      <c r="B290" t="s">
        <v>462</v>
      </c>
      <c r="C290" t="s">
        <v>534</v>
      </c>
      <c r="D290" s="138">
        <v>2000000</v>
      </c>
      <c r="E290" t="s">
        <v>486</v>
      </c>
      <c r="F290" s="20" t="s">
        <v>487</v>
      </c>
      <c r="G290" s="8" t="str">
        <f t="shared" si="8"/>
        <v>STAMBAUGH JAMES</v>
      </c>
      <c r="H290" s="20" t="str">
        <f t="shared" si="9"/>
        <v>4061</v>
      </c>
    </row>
    <row r="291" spans="1:8" x14ac:dyDescent="0.25">
      <c r="A291" s="8">
        <v>43039.904629629629</v>
      </c>
      <c r="B291" t="s">
        <v>405</v>
      </c>
      <c r="C291" t="s">
        <v>535</v>
      </c>
      <c r="D291" s="138">
        <v>3320000</v>
      </c>
      <c r="E291" t="s">
        <v>375</v>
      </c>
      <c r="F291" s="20" t="s">
        <v>376</v>
      </c>
      <c r="G291" s="8" t="str">
        <f t="shared" si="8"/>
        <v>NICHOLSON WESLEY</v>
      </c>
      <c r="H291" s="20" t="str">
        <f t="shared" si="9"/>
        <v>4012</v>
      </c>
    </row>
    <row r="292" spans="1:8" x14ac:dyDescent="0.25">
      <c r="A292" s="8">
        <v>43039.90934027778</v>
      </c>
      <c r="B292" t="s">
        <v>370</v>
      </c>
      <c r="C292" t="s">
        <v>536</v>
      </c>
      <c r="D292" s="138">
        <v>3500000</v>
      </c>
      <c r="E292" t="s">
        <v>413</v>
      </c>
      <c r="F292" s="20" t="s">
        <v>414</v>
      </c>
      <c r="G292" s="8" t="str">
        <f t="shared" si="8"/>
        <v>GUNTHIER ERIC</v>
      </c>
      <c r="H292" s="20" t="str">
        <f t="shared" si="9"/>
        <v>4007</v>
      </c>
    </row>
    <row r="293" spans="1:8" x14ac:dyDescent="0.25">
      <c r="A293" s="8">
        <v>43039.915127314816</v>
      </c>
      <c r="B293" t="s">
        <v>460</v>
      </c>
      <c r="C293" t="s">
        <v>537</v>
      </c>
      <c r="D293" s="138">
        <v>3220000</v>
      </c>
      <c r="E293" t="s">
        <v>415</v>
      </c>
      <c r="F293" s="20" t="s">
        <v>416</v>
      </c>
      <c r="G293" s="8" t="str">
        <f t="shared" si="8"/>
        <v>RESPASS AARON</v>
      </c>
      <c r="H293" s="20" t="str">
        <f t="shared" si="9"/>
        <v>4062</v>
      </c>
    </row>
    <row r="294" spans="1:8" x14ac:dyDescent="0.25">
      <c r="A294" s="8">
        <v>43039.926076388889</v>
      </c>
      <c r="B294" t="s">
        <v>464</v>
      </c>
      <c r="C294" t="s">
        <v>470</v>
      </c>
      <c r="D294" s="138">
        <v>3670000</v>
      </c>
      <c r="E294" t="s">
        <v>432</v>
      </c>
      <c r="F294" s="20" t="s">
        <v>386</v>
      </c>
      <c r="G294" s="8" t="str">
        <f t="shared" si="8"/>
        <v>ANDREA WILLIAMS</v>
      </c>
      <c r="H294" s="20" t="str">
        <f t="shared" si="9"/>
        <v>4029</v>
      </c>
    </row>
    <row r="295" spans="1:8" x14ac:dyDescent="0.25">
      <c r="A295" s="8">
        <v>43039.936041666668</v>
      </c>
      <c r="B295" t="s">
        <v>381</v>
      </c>
      <c r="C295" t="s">
        <v>538</v>
      </c>
      <c r="D295" s="138">
        <v>2040000</v>
      </c>
      <c r="E295" t="s">
        <v>509</v>
      </c>
      <c r="F295" s="20" t="s">
        <v>510</v>
      </c>
      <c r="G295" s="8" t="str">
        <f t="shared" si="8"/>
        <v>MOSES BRADLEY</v>
      </c>
      <c r="H295" s="20" t="str">
        <f t="shared" si="9"/>
        <v>4036</v>
      </c>
    </row>
    <row r="296" spans="1:8" x14ac:dyDescent="0.25">
      <c r="A296" s="8">
        <v>43039.945428240739</v>
      </c>
      <c r="B296" t="s">
        <v>462</v>
      </c>
      <c r="C296" t="s">
        <v>539</v>
      </c>
      <c r="D296" s="138">
        <v>3220000</v>
      </c>
      <c r="E296" t="s">
        <v>415</v>
      </c>
      <c r="F296" s="20" t="s">
        <v>416</v>
      </c>
      <c r="G296" s="8" t="str">
        <f t="shared" si="8"/>
        <v>RESPASS AARON</v>
      </c>
      <c r="H296" s="20" t="str">
        <f t="shared" si="9"/>
        <v>4061</v>
      </c>
    </row>
    <row r="297" spans="1:8" x14ac:dyDescent="0.25">
      <c r="A297" s="8">
        <v>43039.951365740744</v>
      </c>
      <c r="B297" t="s">
        <v>365</v>
      </c>
      <c r="C297" t="s">
        <v>540</v>
      </c>
      <c r="D297" s="138">
        <v>3500000</v>
      </c>
      <c r="E297" t="s">
        <v>413</v>
      </c>
      <c r="F297" s="20" t="s">
        <v>414</v>
      </c>
      <c r="G297" s="8" t="str">
        <f t="shared" si="8"/>
        <v>GUNTHIER ERIC</v>
      </c>
      <c r="H297" s="20" t="str">
        <f t="shared" si="9"/>
        <v>4008</v>
      </c>
    </row>
    <row r="298" spans="1:8" x14ac:dyDescent="0.25">
      <c r="A298" s="8">
        <v>43039.95175925926</v>
      </c>
      <c r="B298" t="s">
        <v>406</v>
      </c>
      <c r="C298" t="s">
        <v>541</v>
      </c>
      <c r="D298" s="138">
        <v>3320000</v>
      </c>
      <c r="E298" t="s">
        <v>375</v>
      </c>
      <c r="F298" s="20" t="s">
        <v>376</v>
      </c>
      <c r="G298" s="8" t="str">
        <f t="shared" si="8"/>
        <v>NICHOLSON WESLEY</v>
      </c>
      <c r="H298" s="20" t="str">
        <f t="shared" si="9"/>
        <v>4011</v>
      </c>
    </row>
    <row r="299" spans="1:8" x14ac:dyDescent="0.25">
      <c r="A299" s="8">
        <v>43039.962673611109</v>
      </c>
      <c r="B299" t="s">
        <v>460</v>
      </c>
      <c r="C299" t="s">
        <v>542</v>
      </c>
      <c r="D299" s="138">
        <v>2000000</v>
      </c>
      <c r="E299" t="s">
        <v>486</v>
      </c>
      <c r="F299" s="20" t="s">
        <v>487</v>
      </c>
      <c r="G299" s="8" t="str">
        <f t="shared" si="8"/>
        <v>STAMBAUGH JAMES</v>
      </c>
      <c r="H299" s="20" t="str">
        <f t="shared" si="9"/>
        <v>4062</v>
      </c>
    </row>
    <row r="300" spans="1:8" x14ac:dyDescent="0.25">
      <c r="A300" s="8">
        <v>43039.966550925928</v>
      </c>
      <c r="B300" t="s">
        <v>476</v>
      </c>
      <c r="C300" t="s">
        <v>543</v>
      </c>
      <c r="D300" s="138">
        <v>3670000</v>
      </c>
      <c r="E300" t="s">
        <v>432</v>
      </c>
      <c r="F300" s="20" t="s">
        <v>386</v>
      </c>
      <c r="G300" s="8" t="str">
        <f t="shared" si="8"/>
        <v>ANDREA WILLIAMS</v>
      </c>
      <c r="H300" s="20" t="str">
        <f t="shared" si="9"/>
        <v>4030</v>
      </c>
    </row>
    <row r="301" spans="1:8" x14ac:dyDescent="0.25">
      <c r="A301" s="8">
        <v>43039.974039351851</v>
      </c>
      <c r="B301" t="s">
        <v>382</v>
      </c>
      <c r="C301" t="s">
        <v>544</v>
      </c>
      <c r="D301" s="138">
        <v>2040000</v>
      </c>
      <c r="E301" t="s">
        <v>509</v>
      </c>
      <c r="F301" s="20" t="s">
        <v>510</v>
      </c>
      <c r="G301" s="8" t="str">
        <f t="shared" si="8"/>
        <v>MOSES BRADLEY</v>
      </c>
      <c r="H301" s="20" t="str">
        <f t="shared" si="9"/>
        <v>4035</v>
      </c>
    </row>
    <row r="302" spans="1:8" x14ac:dyDescent="0.25">
      <c r="A302" s="8">
        <v>43039.975474537037</v>
      </c>
      <c r="B302" t="s">
        <v>462</v>
      </c>
      <c r="C302" t="s">
        <v>545</v>
      </c>
      <c r="D302" s="138">
        <v>2000000</v>
      </c>
      <c r="E302" t="s">
        <v>486</v>
      </c>
      <c r="F302" s="20" t="s">
        <v>487</v>
      </c>
      <c r="G302" s="8" t="str">
        <f t="shared" si="8"/>
        <v>STAMBAUGH JAMES</v>
      </c>
      <c r="H302" s="20" t="str">
        <f t="shared" si="9"/>
        <v>4061</v>
      </c>
    </row>
    <row r="303" spans="1:8" x14ac:dyDescent="0.25">
      <c r="A303" s="8">
        <v>43039.989895833336</v>
      </c>
      <c r="B303" t="s">
        <v>370</v>
      </c>
      <c r="C303" t="s">
        <v>471</v>
      </c>
      <c r="D303" s="138">
        <v>3500000</v>
      </c>
      <c r="E303" t="s">
        <v>413</v>
      </c>
      <c r="F303" s="20" t="s">
        <v>414</v>
      </c>
      <c r="G303" s="8" t="str">
        <f t="shared" si="8"/>
        <v>GUNTHIER ERIC</v>
      </c>
      <c r="H303" s="20" t="str">
        <f t="shared" si="9"/>
        <v>4007</v>
      </c>
    </row>
    <row r="304" spans="1:8" x14ac:dyDescent="0.25">
      <c r="A304" s="8">
        <v>43039.991041666668</v>
      </c>
      <c r="B304" t="s">
        <v>405</v>
      </c>
      <c r="C304" t="s">
        <v>546</v>
      </c>
      <c r="D304" s="138">
        <v>3320000</v>
      </c>
      <c r="E304" t="s">
        <v>375</v>
      </c>
      <c r="F304" s="20" t="s">
        <v>376</v>
      </c>
      <c r="G304" s="8" t="str">
        <f t="shared" si="8"/>
        <v>NICHOLSON WESLEY</v>
      </c>
      <c r="H304" s="20" t="str">
        <f t="shared" si="9"/>
        <v>4012</v>
      </c>
    </row>
    <row r="305" spans="1:8" x14ac:dyDescent="0.25">
      <c r="A305" s="8">
        <v>43040.010729166665</v>
      </c>
      <c r="B305" t="s">
        <v>464</v>
      </c>
      <c r="C305" t="s">
        <v>547</v>
      </c>
      <c r="D305" s="138">
        <v>3670000</v>
      </c>
      <c r="E305" t="s">
        <v>432</v>
      </c>
      <c r="F305" s="20" t="s">
        <v>386</v>
      </c>
      <c r="G305" s="8" t="str">
        <f t="shared" si="8"/>
        <v>ANDREA WILLIAMS</v>
      </c>
      <c r="H305" s="20" t="str">
        <f t="shared" si="9"/>
        <v>4029</v>
      </c>
    </row>
    <row r="306" spans="1:8" x14ac:dyDescent="0.25">
      <c r="A306" s="8">
        <v>43040.017592592594</v>
      </c>
      <c r="B306" t="s">
        <v>381</v>
      </c>
      <c r="C306" t="s">
        <v>548</v>
      </c>
      <c r="D306" s="138">
        <v>2040000</v>
      </c>
      <c r="E306" t="s">
        <v>509</v>
      </c>
      <c r="F306" s="20" t="s">
        <v>510</v>
      </c>
      <c r="G306" s="8" t="str">
        <f t="shared" si="8"/>
        <v>MOSES BRADLEY</v>
      </c>
      <c r="H306" s="20" t="str">
        <f t="shared" si="9"/>
        <v>4036</v>
      </c>
    </row>
    <row r="307" spans="1:8" x14ac:dyDescent="0.25">
      <c r="A307" s="8">
        <v>43040.028287037036</v>
      </c>
      <c r="B307" t="s">
        <v>365</v>
      </c>
      <c r="C307" t="s">
        <v>549</v>
      </c>
      <c r="D307" s="138">
        <v>3500000</v>
      </c>
      <c r="E307" t="s">
        <v>413</v>
      </c>
      <c r="F307" s="20" t="s">
        <v>414</v>
      </c>
      <c r="G307" s="8" t="str">
        <f t="shared" si="8"/>
        <v>GUNTHIER ERIC</v>
      </c>
      <c r="H307" s="20" t="str">
        <f t="shared" si="9"/>
        <v>4008</v>
      </c>
    </row>
    <row r="308" spans="1:8" x14ac:dyDescent="0.25">
      <c r="A308" s="8">
        <v>43040.031851851854</v>
      </c>
      <c r="B308" t="s">
        <v>406</v>
      </c>
      <c r="C308" t="s">
        <v>550</v>
      </c>
      <c r="D308" s="138">
        <v>3320000</v>
      </c>
      <c r="E308" t="s">
        <v>375</v>
      </c>
      <c r="F308" s="20" t="s">
        <v>376</v>
      </c>
      <c r="G308" s="8" t="str">
        <f t="shared" si="8"/>
        <v>NICHOLSON WESLEY</v>
      </c>
      <c r="H308" s="20" t="str">
        <f t="shared" si="9"/>
        <v>4011</v>
      </c>
    </row>
    <row r="309" spans="1:8" x14ac:dyDescent="0.25">
      <c r="A309" s="8">
        <v>43040.047708333332</v>
      </c>
      <c r="B309" t="s">
        <v>476</v>
      </c>
      <c r="C309" t="s">
        <v>551</v>
      </c>
      <c r="D309" s="138">
        <v>3670000</v>
      </c>
      <c r="E309" t="s">
        <v>432</v>
      </c>
      <c r="F309" s="20" t="s">
        <v>386</v>
      </c>
      <c r="G309" s="8" t="str">
        <f t="shared" si="8"/>
        <v>ANDREA WILLIAMS</v>
      </c>
      <c r="H309" s="20" t="str">
        <f t="shared" si="9"/>
        <v>4030</v>
      </c>
    </row>
    <row r="310" spans="1:8" x14ac:dyDescent="0.25">
      <c r="A310" s="8">
        <v>43040.057928240742</v>
      </c>
      <c r="B310" t="s">
        <v>382</v>
      </c>
      <c r="C310" t="s">
        <v>552</v>
      </c>
      <c r="D310" s="138">
        <v>2040000</v>
      </c>
      <c r="E310" t="s">
        <v>509</v>
      </c>
      <c r="F310" s="20" t="s">
        <v>510</v>
      </c>
      <c r="G310" s="8" t="str">
        <f t="shared" si="8"/>
        <v>MOSES BRADLEY</v>
      </c>
      <c r="H310" s="20" t="str">
        <f t="shared" si="9"/>
        <v>4035</v>
      </c>
    </row>
    <row r="311" spans="1:8" x14ac:dyDescent="0.25">
      <c r="A311" s="8">
        <v>43040.072083333333</v>
      </c>
      <c r="B311" t="s">
        <v>405</v>
      </c>
      <c r="C311" t="s">
        <v>553</v>
      </c>
      <c r="D311" s="138">
        <v>3320000</v>
      </c>
      <c r="E311" t="s">
        <v>375</v>
      </c>
      <c r="F311" s="20" t="s">
        <v>376</v>
      </c>
      <c r="G311" s="8" t="str">
        <f t="shared" si="8"/>
        <v>NICHOLSON WESLEY</v>
      </c>
      <c r="H311" s="20" t="str">
        <f t="shared" si="9"/>
        <v>4012</v>
      </c>
    </row>
    <row r="312" spans="1:8" x14ac:dyDescent="0.25">
      <c r="A312" s="8">
        <v>43040.088807870372</v>
      </c>
      <c r="B312" t="s">
        <v>381</v>
      </c>
      <c r="C312" t="s">
        <v>554</v>
      </c>
      <c r="D312" s="138">
        <v>2040000</v>
      </c>
      <c r="E312" t="s">
        <v>509</v>
      </c>
      <c r="F312" s="20" t="s">
        <v>510</v>
      </c>
      <c r="G312" s="8" t="str">
        <f t="shared" si="8"/>
        <v>MOSES BRADLEY</v>
      </c>
      <c r="H312" s="20" t="str">
        <f t="shared" si="9"/>
        <v>4036</v>
      </c>
    </row>
    <row r="313" spans="1:8" x14ac:dyDescent="0.25">
      <c r="A313" s="8">
        <v>43028.111273148148</v>
      </c>
      <c r="B313" t="s">
        <v>359</v>
      </c>
      <c r="C313" t="s">
        <v>377</v>
      </c>
      <c r="D313" s="138">
        <v>1830000</v>
      </c>
      <c r="E313" t="s">
        <v>354</v>
      </c>
      <c r="F313" s="20" t="s">
        <v>355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S29"/>
    </sheetView>
  </sheetViews>
  <sheetFormatPr defaultColWidth="9.140625"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20" s="111" customFormat="1" x14ac:dyDescent="0.25">
      <c r="A1" s="218" t="s">
        <v>156</v>
      </c>
      <c r="B1" s="218" t="s">
        <v>159</v>
      </c>
      <c r="C1" s="218" t="s">
        <v>152</v>
      </c>
      <c r="D1" s="136" t="s">
        <v>164</v>
      </c>
      <c r="E1" s="218" t="s">
        <v>153</v>
      </c>
      <c r="F1" s="218" t="s">
        <v>151</v>
      </c>
      <c r="G1" s="218" t="s">
        <v>149</v>
      </c>
      <c r="H1" s="218" t="s">
        <v>162</v>
      </c>
      <c r="I1" s="218" t="s">
        <v>163</v>
      </c>
      <c r="J1" s="218" t="s">
        <v>384</v>
      </c>
      <c r="K1" s="218" t="s">
        <v>157</v>
      </c>
      <c r="L1" s="218" t="s">
        <v>155</v>
      </c>
      <c r="M1" s="218" t="s">
        <v>150</v>
      </c>
      <c r="N1" s="218" t="s">
        <v>160</v>
      </c>
      <c r="O1" s="218" t="s">
        <v>337</v>
      </c>
      <c r="P1" s="218" t="s">
        <v>154</v>
      </c>
      <c r="Q1" s="218" t="s">
        <v>161</v>
      </c>
      <c r="R1" s="218" t="s">
        <v>338</v>
      </c>
      <c r="S1" s="218" t="s">
        <v>158</v>
      </c>
      <c r="T1"/>
    </row>
    <row r="2" spans="1:20" x14ac:dyDescent="0.25">
      <c r="A2" s="196">
        <v>46.87</v>
      </c>
      <c r="B2" s="196">
        <v>0.1</v>
      </c>
      <c r="C2" s="196">
        <v>23.46</v>
      </c>
      <c r="D2" s="8">
        <v>43040</v>
      </c>
      <c r="E2" s="196">
        <v>0.39</v>
      </c>
      <c r="F2" s="196" t="s">
        <v>558</v>
      </c>
      <c r="G2" s="196">
        <v>276.88</v>
      </c>
      <c r="H2" s="196">
        <v>0</v>
      </c>
      <c r="I2" s="196">
        <v>0</v>
      </c>
      <c r="J2" s="196"/>
      <c r="K2" s="196">
        <v>1000.96</v>
      </c>
      <c r="L2" s="196" t="s">
        <v>557</v>
      </c>
      <c r="M2" s="196">
        <v>46.87</v>
      </c>
      <c r="N2" s="196">
        <v>1509516000</v>
      </c>
      <c r="O2" s="196">
        <v>0</v>
      </c>
      <c r="P2" s="196">
        <v>2.78</v>
      </c>
      <c r="Q2" s="196">
        <v>212</v>
      </c>
      <c r="R2" s="196">
        <v>5.9</v>
      </c>
      <c r="S2" s="196">
        <v>0.17</v>
      </c>
      <c r="T2"/>
    </row>
    <row r="3" spans="1:20" x14ac:dyDescent="0.25">
      <c r="A3" s="196">
        <v>47.64</v>
      </c>
      <c r="B3" s="196">
        <v>0.31</v>
      </c>
      <c r="C3" s="196">
        <v>22.54</v>
      </c>
      <c r="D3" s="8">
        <v>43040.041666666664</v>
      </c>
      <c r="E3" s="196">
        <v>0.37</v>
      </c>
      <c r="F3" s="196" t="s">
        <v>387</v>
      </c>
      <c r="G3" s="196">
        <v>276.88</v>
      </c>
      <c r="H3" s="196">
        <v>0</v>
      </c>
      <c r="I3" s="196">
        <v>0</v>
      </c>
      <c r="J3" s="196"/>
      <c r="K3" s="196">
        <v>1000.54</v>
      </c>
      <c r="L3" s="196" t="s">
        <v>388</v>
      </c>
      <c r="M3" s="196">
        <v>47.64</v>
      </c>
      <c r="N3" s="196">
        <v>1509519600</v>
      </c>
      <c r="O3" s="196">
        <v>0</v>
      </c>
      <c r="P3" s="196">
        <v>3.26</v>
      </c>
      <c r="Q3" s="196">
        <v>214</v>
      </c>
      <c r="R3" s="196">
        <v>7</v>
      </c>
      <c r="S3" s="196">
        <v>0.98</v>
      </c>
      <c r="T3"/>
    </row>
    <row r="4" spans="1:20" x14ac:dyDescent="0.25">
      <c r="A4" s="196">
        <v>49.53</v>
      </c>
      <c r="B4" s="196">
        <v>0.22</v>
      </c>
      <c r="C4" s="196">
        <v>21.39</v>
      </c>
      <c r="D4" s="8">
        <v>43040.083333333336</v>
      </c>
      <c r="E4" s="196">
        <v>0.33</v>
      </c>
      <c r="F4" s="196" t="s">
        <v>558</v>
      </c>
      <c r="G4" s="196">
        <v>276.64</v>
      </c>
      <c r="H4" s="196">
        <v>0</v>
      </c>
      <c r="I4" s="196">
        <v>0</v>
      </c>
      <c r="J4" s="196"/>
      <c r="K4" s="196">
        <v>998.99</v>
      </c>
      <c r="L4" s="196" t="s">
        <v>557</v>
      </c>
      <c r="M4" s="196">
        <v>49.53</v>
      </c>
      <c r="N4" s="196">
        <v>1509523200</v>
      </c>
      <c r="O4" s="196">
        <v>0</v>
      </c>
      <c r="P4" s="196">
        <v>3.12</v>
      </c>
      <c r="Q4" s="196">
        <v>233</v>
      </c>
      <c r="R4" s="196">
        <v>9.5399999999999991</v>
      </c>
      <c r="S4" s="196">
        <v>2.0699999999999998</v>
      </c>
      <c r="T4"/>
    </row>
    <row r="5" spans="1:20" x14ac:dyDescent="0.25">
      <c r="A5" s="196">
        <v>51.39</v>
      </c>
      <c r="B5" s="196">
        <v>0.31</v>
      </c>
      <c r="C5" s="196">
        <v>20.34</v>
      </c>
      <c r="D5" s="8">
        <v>43040.125</v>
      </c>
      <c r="E5" s="196">
        <v>0.28999999999999998</v>
      </c>
      <c r="F5" s="196" t="s">
        <v>387</v>
      </c>
      <c r="G5" s="196">
        <v>275.91000000000003</v>
      </c>
      <c r="H5" s="196">
        <v>0</v>
      </c>
      <c r="I5" s="196">
        <v>0</v>
      </c>
      <c r="J5" s="196"/>
      <c r="K5" s="196">
        <v>999.67</v>
      </c>
      <c r="L5" s="196" t="s">
        <v>388</v>
      </c>
      <c r="M5" s="196">
        <v>51.39</v>
      </c>
      <c r="N5" s="196">
        <v>1509526800</v>
      </c>
      <c r="O5" s="196">
        <v>0</v>
      </c>
      <c r="P5" s="196">
        <v>6.43</v>
      </c>
      <c r="Q5" s="196">
        <v>251</v>
      </c>
      <c r="R5" s="196">
        <v>9.5299999999999994</v>
      </c>
      <c r="S5" s="196">
        <v>1.93</v>
      </c>
      <c r="T5"/>
    </row>
    <row r="6" spans="1:20" x14ac:dyDescent="0.25">
      <c r="A6" s="196">
        <v>48.97</v>
      </c>
      <c r="B6" s="196">
        <v>0.25</v>
      </c>
      <c r="C6" s="196">
        <v>20.55</v>
      </c>
      <c r="D6" s="8">
        <v>43040.166666666664</v>
      </c>
      <c r="E6" s="196">
        <v>0.32</v>
      </c>
      <c r="F6" s="196" t="s">
        <v>387</v>
      </c>
      <c r="G6" s="196">
        <v>274.47000000000003</v>
      </c>
      <c r="H6" s="196">
        <v>0</v>
      </c>
      <c r="I6" s="196">
        <v>0</v>
      </c>
      <c r="J6" s="196"/>
      <c r="K6" s="196">
        <v>997.83</v>
      </c>
      <c r="L6" s="196" t="s">
        <v>388</v>
      </c>
      <c r="M6" s="196">
        <v>48.97</v>
      </c>
      <c r="N6" s="196">
        <v>1509530400</v>
      </c>
      <c r="O6" s="196">
        <v>0</v>
      </c>
      <c r="P6" s="196">
        <v>3.24</v>
      </c>
      <c r="Q6" s="196">
        <v>145</v>
      </c>
      <c r="R6" s="196">
        <v>8.86</v>
      </c>
      <c r="S6" s="196">
        <v>1.31</v>
      </c>
      <c r="T6"/>
    </row>
    <row r="7" spans="1:20" x14ac:dyDescent="0.25">
      <c r="A7" s="196">
        <v>48.71</v>
      </c>
      <c r="B7" s="196">
        <v>0.24</v>
      </c>
      <c r="C7" s="196">
        <v>20.85</v>
      </c>
      <c r="D7" s="8">
        <v>43040.208333333336</v>
      </c>
      <c r="E7" s="196">
        <v>0.33</v>
      </c>
      <c r="F7" s="196" t="s">
        <v>558</v>
      </c>
      <c r="G7" s="196">
        <v>272.64999999999998</v>
      </c>
      <c r="H7" s="196">
        <v>0</v>
      </c>
      <c r="I7" s="196">
        <v>0</v>
      </c>
      <c r="J7" s="196"/>
      <c r="K7" s="196">
        <v>999.29</v>
      </c>
      <c r="L7" s="196" t="s">
        <v>557</v>
      </c>
      <c r="M7" s="196">
        <v>48.71</v>
      </c>
      <c r="N7" s="196">
        <v>1509534000</v>
      </c>
      <c r="O7" s="196">
        <v>0</v>
      </c>
      <c r="P7" s="196">
        <v>2.82</v>
      </c>
      <c r="Q7" s="196">
        <v>169</v>
      </c>
      <c r="R7" s="196">
        <v>6.75</v>
      </c>
      <c r="S7" s="196">
        <v>0.98</v>
      </c>
      <c r="T7"/>
    </row>
    <row r="8" spans="1:20" x14ac:dyDescent="0.25">
      <c r="A8" s="196">
        <v>49.06</v>
      </c>
      <c r="B8" s="196">
        <v>0.08</v>
      </c>
      <c r="C8" s="196">
        <v>20.92</v>
      </c>
      <c r="D8" s="8">
        <v>43040.25</v>
      </c>
      <c r="E8" s="196">
        <v>0.33</v>
      </c>
      <c r="F8" s="196" t="s">
        <v>558</v>
      </c>
      <c r="G8" s="196">
        <v>273.75</v>
      </c>
      <c r="H8" s="196">
        <v>0</v>
      </c>
      <c r="I8" s="196">
        <v>0</v>
      </c>
      <c r="J8" s="196"/>
      <c r="K8" s="196">
        <v>998.36</v>
      </c>
      <c r="L8" s="196" t="s">
        <v>557</v>
      </c>
      <c r="M8" s="196">
        <v>49.06</v>
      </c>
      <c r="N8" s="196">
        <v>1509537600</v>
      </c>
      <c r="O8" s="196">
        <v>0</v>
      </c>
      <c r="P8" s="196">
        <v>3.06</v>
      </c>
      <c r="Q8" s="196">
        <v>161</v>
      </c>
      <c r="R8" s="196">
        <v>7.88</v>
      </c>
      <c r="S8" s="196">
        <v>1.44</v>
      </c>
      <c r="T8"/>
    </row>
    <row r="9" spans="1:20" x14ac:dyDescent="0.25">
      <c r="A9" s="196">
        <v>49.13</v>
      </c>
      <c r="B9" s="196">
        <v>0.18</v>
      </c>
      <c r="C9" s="196">
        <v>21.22</v>
      </c>
      <c r="D9" s="8">
        <v>43040.291666666664</v>
      </c>
      <c r="E9" s="196">
        <v>0.33</v>
      </c>
      <c r="F9" s="196" t="s">
        <v>558</v>
      </c>
      <c r="G9" s="196">
        <v>273.51</v>
      </c>
      <c r="H9" s="196">
        <v>0</v>
      </c>
      <c r="I9" s="196">
        <v>0</v>
      </c>
      <c r="J9" s="196"/>
      <c r="K9" s="196">
        <v>999.2</v>
      </c>
      <c r="L9" s="196" t="s">
        <v>557</v>
      </c>
      <c r="M9" s="196">
        <v>49.13</v>
      </c>
      <c r="N9" s="196">
        <v>1509541200</v>
      </c>
      <c r="O9" s="196">
        <v>0</v>
      </c>
      <c r="P9" s="196">
        <v>3.76</v>
      </c>
      <c r="Q9" s="196">
        <v>184</v>
      </c>
      <c r="R9" s="196">
        <v>9.61</v>
      </c>
      <c r="S9" s="196">
        <v>1.59</v>
      </c>
      <c r="T9"/>
    </row>
    <row r="10" spans="1:20" x14ac:dyDescent="0.25">
      <c r="A10" s="196">
        <v>51.84</v>
      </c>
      <c r="B10" s="196">
        <v>7.0000000000000007E-2</v>
      </c>
      <c r="C10" s="196">
        <v>21.67</v>
      </c>
      <c r="D10" s="8">
        <v>43040.333333333336</v>
      </c>
      <c r="E10" s="196">
        <v>0.3</v>
      </c>
      <c r="F10" s="196" t="s">
        <v>555</v>
      </c>
      <c r="G10" s="196">
        <v>273.63</v>
      </c>
      <c r="H10" s="196">
        <v>0</v>
      </c>
      <c r="I10" s="196">
        <v>0</v>
      </c>
      <c r="J10" s="196"/>
      <c r="K10" s="196">
        <v>1000.96</v>
      </c>
      <c r="L10" s="196" t="s">
        <v>557</v>
      </c>
      <c r="M10" s="196">
        <v>51.84</v>
      </c>
      <c r="N10" s="196">
        <v>1509544800</v>
      </c>
      <c r="O10" s="196">
        <v>0</v>
      </c>
      <c r="P10" s="196">
        <v>4.3099999999999996</v>
      </c>
      <c r="Q10" s="196">
        <v>221</v>
      </c>
      <c r="R10" s="196">
        <v>8.66</v>
      </c>
      <c r="S10" s="196">
        <v>1.83</v>
      </c>
      <c r="T10"/>
    </row>
    <row r="11" spans="1:20" x14ac:dyDescent="0.25">
      <c r="A11" s="196">
        <v>54.28</v>
      </c>
      <c r="B11" s="196">
        <v>7.0000000000000007E-2</v>
      </c>
      <c r="C11" s="196">
        <v>23.5</v>
      </c>
      <c r="D11" s="8">
        <v>43040.375</v>
      </c>
      <c r="E11" s="196">
        <v>0.3</v>
      </c>
      <c r="F11" s="196" t="s">
        <v>555</v>
      </c>
      <c r="G11" s="196">
        <v>273.51</v>
      </c>
      <c r="H11" s="196">
        <v>0</v>
      </c>
      <c r="I11" s="196">
        <v>0</v>
      </c>
      <c r="J11" s="196"/>
      <c r="K11" s="196">
        <v>998.93</v>
      </c>
      <c r="L11" s="196" t="s">
        <v>557</v>
      </c>
      <c r="M11" s="196">
        <v>54.28</v>
      </c>
      <c r="N11" s="196">
        <v>1509548400</v>
      </c>
      <c r="O11" s="196">
        <v>1</v>
      </c>
      <c r="P11" s="196">
        <v>4.55</v>
      </c>
      <c r="Q11" s="196">
        <v>261</v>
      </c>
      <c r="R11" s="196">
        <v>10.25</v>
      </c>
      <c r="S11" s="196">
        <v>2.3199999999999998</v>
      </c>
      <c r="T11"/>
    </row>
    <row r="12" spans="1:20" x14ac:dyDescent="0.25">
      <c r="A12" s="196">
        <v>56.47</v>
      </c>
      <c r="B12" s="196">
        <v>0.05</v>
      </c>
      <c r="C12" s="196">
        <v>25.02</v>
      </c>
      <c r="D12" s="8">
        <v>43040.416666666664</v>
      </c>
      <c r="E12" s="196">
        <v>0.3</v>
      </c>
      <c r="F12" s="196" t="s">
        <v>555</v>
      </c>
      <c r="G12" s="196">
        <v>273.26</v>
      </c>
      <c r="H12" s="196">
        <v>0</v>
      </c>
      <c r="I12" s="196">
        <v>0</v>
      </c>
      <c r="J12" s="196"/>
      <c r="K12" s="196">
        <v>998.64</v>
      </c>
      <c r="L12" s="196" t="s">
        <v>557</v>
      </c>
      <c r="M12" s="196">
        <v>56.47</v>
      </c>
      <c r="N12" s="196">
        <v>1509552000</v>
      </c>
      <c r="O12" s="196">
        <v>2</v>
      </c>
      <c r="P12" s="196">
        <v>4.79</v>
      </c>
      <c r="Q12" s="196">
        <v>262</v>
      </c>
      <c r="R12" s="196">
        <v>10.48</v>
      </c>
      <c r="S12" s="196">
        <v>2.25</v>
      </c>
      <c r="T12"/>
    </row>
    <row r="13" spans="1:20" x14ac:dyDescent="0.25">
      <c r="A13" s="196">
        <v>59.41</v>
      </c>
      <c r="B13" s="196">
        <v>0.08</v>
      </c>
      <c r="C13" s="196">
        <v>25.61</v>
      </c>
      <c r="D13" s="8">
        <v>43040.458333333336</v>
      </c>
      <c r="E13" s="196">
        <v>0.27</v>
      </c>
      <c r="F13" s="196" t="s">
        <v>555</v>
      </c>
      <c r="G13" s="196">
        <v>272.66000000000003</v>
      </c>
      <c r="H13" s="196">
        <v>0</v>
      </c>
      <c r="I13" s="196">
        <v>0</v>
      </c>
      <c r="J13" s="196"/>
      <c r="K13" s="196">
        <v>998.17</v>
      </c>
      <c r="L13" s="196" t="s">
        <v>557</v>
      </c>
      <c r="M13" s="196">
        <v>59.41</v>
      </c>
      <c r="N13" s="196">
        <v>1509555600</v>
      </c>
      <c r="O13" s="196">
        <v>3</v>
      </c>
      <c r="P13" s="196">
        <v>4.79</v>
      </c>
      <c r="Q13" s="196">
        <v>254</v>
      </c>
      <c r="R13" s="196">
        <v>8.77</v>
      </c>
      <c r="S13" s="196">
        <v>2.1</v>
      </c>
      <c r="T13"/>
    </row>
    <row r="14" spans="1:20" x14ac:dyDescent="0.25">
      <c r="A14" s="196">
        <v>63.01</v>
      </c>
      <c r="B14" s="196">
        <v>0.08</v>
      </c>
      <c r="C14" s="196">
        <v>26.41</v>
      </c>
      <c r="D14" s="8">
        <v>43040.5</v>
      </c>
      <c r="E14" s="196">
        <v>0.25</v>
      </c>
      <c r="F14" s="196" t="s">
        <v>555</v>
      </c>
      <c r="G14" s="196">
        <v>273.51</v>
      </c>
      <c r="H14" s="196">
        <v>0</v>
      </c>
      <c r="I14" s="196">
        <v>0</v>
      </c>
      <c r="J14" s="196"/>
      <c r="K14" s="196">
        <v>997.22</v>
      </c>
      <c r="L14" s="196" t="s">
        <v>557</v>
      </c>
      <c r="M14" s="196">
        <v>63.01</v>
      </c>
      <c r="N14" s="196">
        <v>1509559200</v>
      </c>
      <c r="O14" s="196">
        <v>3</v>
      </c>
      <c r="P14" s="196">
        <v>4.79</v>
      </c>
      <c r="Q14" s="196">
        <v>269</v>
      </c>
      <c r="R14" s="196">
        <v>9.27</v>
      </c>
      <c r="S14" s="196">
        <v>1.23</v>
      </c>
      <c r="T14"/>
    </row>
    <row r="15" spans="1:20" x14ac:dyDescent="0.25">
      <c r="A15" s="196">
        <v>65.12</v>
      </c>
      <c r="B15" s="196">
        <v>0.08</v>
      </c>
      <c r="C15" s="196">
        <v>26.33</v>
      </c>
      <c r="D15" s="8">
        <v>43040.541666666664</v>
      </c>
      <c r="E15" s="196">
        <v>0.23</v>
      </c>
      <c r="F15" s="196" t="s">
        <v>555</v>
      </c>
      <c r="G15" s="196">
        <v>272.66000000000003</v>
      </c>
      <c r="H15" s="196">
        <v>0</v>
      </c>
      <c r="I15" s="196">
        <v>0</v>
      </c>
      <c r="J15" s="196"/>
      <c r="K15" s="196">
        <v>996.7</v>
      </c>
      <c r="L15" s="196" t="s">
        <v>557</v>
      </c>
      <c r="M15" s="196">
        <v>65.12</v>
      </c>
      <c r="N15" s="196">
        <v>1509562800</v>
      </c>
      <c r="O15" s="196">
        <v>3</v>
      </c>
      <c r="P15" s="196">
        <v>4.6900000000000004</v>
      </c>
      <c r="Q15" s="196">
        <v>246</v>
      </c>
      <c r="R15" s="196">
        <v>8.85</v>
      </c>
      <c r="S15" s="196">
        <v>1.63</v>
      </c>
      <c r="T15"/>
    </row>
    <row r="16" spans="1:20" x14ac:dyDescent="0.25">
      <c r="A16" s="196">
        <v>66.569999999999993</v>
      </c>
      <c r="B16" s="196">
        <v>7.0000000000000007E-2</v>
      </c>
      <c r="C16" s="196">
        <v>26.56</v>
      </c>
      <c r="D16" s="8">
        <v>43040.583333333336</v>
      </c>
      <c r="E16" s="196">
        <v>0.22</v>
      </c>
      <c r="F16" s="196" t="s">
        <v>555</v>
      </c>
      <c r="G16" s="196">
        <v>271.44</v>
      </c>
      <c r="H16" s="196">
        <v>1.0699999999999999E-2</v>
      </c>
      <c r="I16" s="196">
        <v>0.02</v>
      </c>
      <c r="J16" s="196" t="s">
        <v>556</v>
      </c>
      <c r="K16" s="196">
        <v>995.51</v>
      </c>
      <c r="L16" s="196" t="s">
        <v>557</v>
      </c>
      <c r="M16" s="196">
        <v>66.569999999999993</v>
      </c>
      <c r="N16" s="196">
        <v>1509566400</v>
      </c>
      <c r="O16" s="196">
        <v>3</v>
      </c>
      <c r="P16" s="196">
        <v>4.79</v>
      </c>
      <c r="Q16" s="196">
        <v>224</v>
      </c>
      <c r="R16" s="196">
        <v>9.44</v>
      </c>
      <c r="S16" s="196">
        <v>0.2</v>
      </c>
      <c r="T16"/>
    </row>
    <row r="17" spans="1:20" x14ac:dyDescent="0.25">
      <c r="A17" s="196">
        <v>67.66</v>
      </c>
      <c r="B17" s="196">
        <v>0.13</v>
      </c>
      <c r="C17" s="196">
        <v>26.06</v>
      </c>
      <c r="D17" s="8">
        <v>43040.625</v>
      </c>
      <c r="E17" s="196">
        <v>0.21</v>
      </c>
      <c r="F17" s="196" t="s">
        <v>555</v>
      </c>
      <c r="G17" s="196">
        <v>270.08999999999997</v>
      </c>
      <c r="H17" s="196">
        <v>0</v>
      </c>
      <c r="I17" s="196">
        <v>0</v>
      </c>
      <c r="J17" s="196"/>
      <c r="K17" s="196">
        <v>995.06</v>
      </c>
      <c r="L17" s="196" t="s">
        <v>557</v>
      </c>
      <c r="M17" s="196">
        <v>67.66</v>
      </c>
      <c r="N17" s="196">
        <v>1509570000</v>
      </c>
      <c r="O17" s="196">
        <v>2</v>
      </c>
      <c r="P17" s="196">
        <v>4.16</v>
      </c>
      <c r="Q17" s="196">
        <v>146</v>
      </c>
      <c r="R17" s="196">
        <v>9.23</v>
      </c>
      <c r="S17" s="196">
        <v>1.17</v>
      </c>
      <c r="T17"/>
    </row>
    <row r="18" spans="1:20" x14ac:dyDescent="0.25">
      <c r="A18" s="196">
        <v>68.97</v>
      </c>
      <c r="B18" s="196">
        <v>0.08</v>
      </c>
      <c r="C18" s="196">
        <v>25.35</v>
      </c>
      <c r="D18" s="8">
        <v>43040.666666666664</v>
      </c>
      <c r="E18" s="196">
        <v>0.19</v>
      </c>
      <c r="F18" s="196" t="s">
        <v>555</v>
      </c>
      <c r="G18" s="196">
        <v>268.86</v>
      </c>
      <c r="H18" s="196">
        <v>0</v>
      </c>
      <c r="I18" s="196">
        <v>0</v>
      </c>
      <c r="J18" s="196"/>
      <c r="K18" s="196">
        <v>994.99</v>
      </c>
      <c r="L18" s="196" t="s">
        <v>557</v>
      </c>
      <c r="M18" s="196">
        <v>68.97</v>
      </c>
      <c r="N18" s="196">
        <v>1509573600</v>
      </c>
      <c r="O18" s="196">
        <v>1</v>
      </c>
      <c r="P18" s="196">
        <v>3.89</v>
      </c>
      <c r="Q18" s="196">
        <v>165</v>
      </c>
      <c r="R18" s="196">
        <v>10.86</v>
      </c>
      <c r="S18" s="196">
        <v>0.69</v>
      </c>
      <c r="T18"/>
    </row>
    <row r="19" spans="1:20" x14ac:dyDescent="0.25">
      <c r="A19" s="196">
        <v>68.069999999999993</v>
      </c>
      <c r="B19" s="196">
        <v>0.09</v>
      </c>
      <c r="C19" s="196">
        <v>24.43</v>
      </c>
      <c r="D19" s="8">
        <v>43040.708333333336</v>
      </c>
      <c r="E19" s="196">
        <v>0.19</v>
      </c>
      <c r="F19" s="196" t="s">
        <v>555</v>
      </c>
      <c r="G19" s="196">
        <v>267.38</v>
      </c>
      <c r="H19" s="196">
        <v>0</v>
      </c>
      <c r="I19" s="196">
        <v>0</v>
      </c>
      <c r="J19" s="196"/>
      <c r="K19" s="196">
        <v>995.85</v>
      </c>
      <c r="L19" s="196" t="s">
        <v>557</v>
      </c>
      <c r="M19" s="196">
        <v>68.069999999999993</v>
      </c>
      <c r="N19" s="196">
        <v>1509577200</v>
      </c>
      <c r="O19" s="196">
        <v>1</v>
      </c>
      <c r="P19" s="196">
        <v>6.08</v>
      </c>
      <c r="Q19" s="196">
        <v>272</v>
      </c>
      <c r="R19" s="196">
        <v>10.23</v>
      </c>
      <c r="S19" s="196">
        <v>1.75</v>
      </c>
      <c r="T19"/>
    </row>
    <row r="20" spans="1:20" x14ac:dyDescent="0.25">
      <c r="A20" s="196">
        <v>66.040000000000006</v>
      </c>
      <c r="B20" s="196">
        <v>0.08</v>
      </c>
      <c r="C20" s="196">
        <v>22.78</v>
      </c>
      <c r="D20" s="8">
        <v>43040.75</v>
      </c>
      <c r="E20" s="196">
        <v>0.19</v>
      </c>
      <c r="F20" s="196" t="s">
        <v>558</v>
      </c>
      <c r="G20" s="196">
        <v>264.62</v>
      </c>
      <c r="H20" s="196">
        <v>0</v>
      </c>
      <c r="I20" s="196">
        <v>0</v>
      </c>
      <c r="J20" s="196"/>
      <c r="K20" s="196">
        <v>996.48</v>
      </c>
      <c r="L20" s="196" t="s">
        <v>557</v>
      </c>
      <c r="M20" s="196">
        <v>66.040000000000006</v>
      </c>
      <c r="N20" s="196">
        <v>1509580800</v>
      </c>
      <c r="O20" s="196">
        <v>0</v>
      </c>
      <c r="P20" s="196">
        <v>3.97</v>
      </c>
      <c r="Q20" s="196">
        <v>293</v>
      </c>
      <c r="R20" s="196">
        <v>11.56</v>
      </c>
      <c r="S20" s="196">
        <v>2.2000000000000002</v>
      </c>
      <c r="T20"/>
    </row>
    <row r="21" spans="1:20" x14ac:dyDescent="0.25">
      <c r="A21" s="196">
        <v>63.74</v>
      </c>
      <c r="B21" s="196">
        <v>0.11</v>
      </c>
      <c r="C21" s="196">
        <v>22.91</v>
      </c>
      <c r="D21" s="8">
        <v>43040.791666666664</v>
      </c>
      <c r="E21" s="196">
        <v>0.21</v>
      </c>
      <c r="F21" s="196" t="s">
        <v>558</v>
      </c>
      <c r="G21" s="196">
        <v>263.99</v>
      </c>
      <c r="H21" s="196">
        <v>0</v>
      </c>
      <c r="I21" s="196">
        <v>0</v>
      </c>
      <c r="J21" s="196"/>
      <c r="K21" s="196">
        <v>997.88</v>
      </c>
      <c r="L21" s="196" t="s">
        <v>557</v>
      </c>
      <c r="M21" s="196">
        <v>63.74</v>
      </c>
      <c r="N21" s="196">
        <v>1509584400</v>
      </c>
      <c r="O21" s="196">
        <v>0</v>
      </c>
      <c r="P21" s="196">
        <v>4.82</v>
      </c>
      <c r="Q21" s="196">
        <v>281</v>
      </c>
      <c r="R21" s="196">
        <v>10.54</v>
      </c>
      <c r="S21" s="196">
        <v>2.38</v>
      </c>
      <c r="T21"/>
    </row>
    <row r="22" spans="1:20" x14ac:dyDescent="0.25">
      <c r="A22" s="196">
        <v>62.4</v>
      </c>
      <c r="B22" s="196">
        <v>0.11</v>
      </c>
      <c r="C22" s="196">
        <v>22.72</v>
      </c>
      <c r="D22" s="8">
        <v>43040.833333333336</v>
      </c>
      <c r="E22" s="196">
        <v>0.22</v>
      </c>
      <c r="F22" s="196" t="s">
        <v>558</v>
      </c>
      <c r="G22" s="196">
        <v>263.99</v>
      </c>
      <c r="H22" s="196">
        <v>0</v>
      </c>
      <c r="I22" s="196">
        <v>0</v>
      </c>
      <c r="J22" s="196"/>
      <c r="K22" s="196">
        <v>998.45</v>
      </c>
      <c r="L22" s="196" t="s">
        <v>557</v>
      </c>
      <c r="M22" s="196">
        <v>62.4</v>
      </c>
      <c r="N22" s="196">
        <v>1509588000</v>
      </c>
      <c r="O22" s="196">
        <v>0</v>
      </c>
      <c r="P22" s="196">
        <v>4.5599999999999996</v>
      </c>
      <c r="Q22" s="196">
        <v>279</v>
      </c>
      <c r="R22" s="196">
        <v>9.25</v>
      </c>
      <c r="S22" s="196">
        <v>1.31</v>
      </c>
      <c r="T22"/>
    </row>
    <row r="23" spans="1:20" x14ac:dyDescent="0.25">
      <c r="A23" s="196">
        <v>61.83</v>
      </c>
      <c r="B23" s="196">
        <v>0.1</v>
      </c>
      <c r="C23" s="196">
        <v>23.12</v>
      </c>
      <c r="D23" s="8">
        <v>43040.875</v>
      </c>
      <c r="E23" s="196">
        <v>0.23</v>
      </c>
      <c r="F23" s="196" t="s">
        <v>558</v>
      </c>
      <c r="G23" s="196">
        <v>263.87</v>
      </c>
      <c r="H23" s="196">
        <v>0</v>
      </c>
      <c r="I23" s="196">
        <v>0</v>
      </c>
      <c r="J23" s="196"/>
      <c r="K23" s="196">
        <v>1000.14</v>
      </c>
      <c r="L23" s="196" t="s">
        <v>557</v>
      </c>
      <c r="M23" s="196">
        <v>61.83</v>
      </c>
      <c r="N23" s="196">
        <v>1509591600</v>
      </c>
      <c r="O23" s="196">
        <v>0</v>
      </c>
      <c r="P23" s="196">
        <v>3.86</v>
      </c>
      <c r="Q23" s="196">
        <v>289</v>
      </c>
      <c r="R23" s="196">
        <v>10.43</v>
      </c>
      <c r="S23" s="196">
        <v>2.4500000000000002</v>
      </c>
      <c r="T23"/>
    </row>
    <row r="24" spans="1:20" x14ac:dyDescent="0.25">
      <c r="A24" s="196">
        <v>59.46</v>
      </c>
      <c r="B24" s="196">
        <v>0.08</v>
      </c>
      <c r="C24" s="196">
        <v>24</v>
      </c>
      <c r="D24" s="8">
        <v>43040.916666666664</v>
      </c>
      <c r="E24" s="196">
        <v>0.25</v>
      </c>
      <c r="F24" s="196" t="s">
        <v>558</v>
      </c>
      <c r="G24" s="196">
        <v>263.74</v>
      </c>
      <c r="H24" s="196">
        <v>0</v>
      </c>
      <c r="I24" s="196">
        <v>0</v>
      </c>
      <c r="J24" s="196"/>
      <c r="K24" s="196">
        <v>999.35</v>
      </c>
      <c r="L24" s="196" t="s">
        <v>557</v>
      </c>
      <c r="M24" s="196">
        <v>59.46</v>
      </c>
      <c r="N24" s="196">
        <v>1509595200</v>
      </c>
      <c r="O24" s="196">
        <v>0</v>
      </c>
      <c r="P24" s="196">
        <v>8.77</v>
      </c>
      <c r="Q24" s="196">
        <v>277</v>
      </c>
      <c r="R24" s="196">
        <v>8.4499999999999993</v>
      </c>
      <c r="S24" s="196">
        <v>1.71</v>
      </c>
      <c r="T24"/>
    </row>
    <row r="25" spans="1:20" x14ac:dyDescent="0.25">
      <c r="A25" s="196">
        <v>57.43</v>
      </c>
      <c r="B25" s="196">
        <v>7.0000000000000007E-2</v>
      </c>
      <c r="C25" s="196">
        <v>24.67</v>
      </c>
      <c r="D25" s="8">
        <v>43040.958333333336</v>
      </c>
      <c r="E25" s="196">
        <v>0.28000000000000003</v>
      </c>
      <c r="F25" s="196" t="s">
        <v>558</v>
      </c>
      <c r="G25" s="196">
        <v>263.37</v>
      </c>
      <c r="H25" s="196">
        <v>0</v>
      </c>
      <c r="I25" s="196">
        <v>0</v>
      </c>
      <c r="J25" s="196"/>
      <c r="K25" s="196">
        <v>1001.11</v>
      </c>
      <c r="L25" s="196" t="s">
        <v>557</v>
      </c>
      <c r="M25" s="196">
        <v>57.43</v>
      </c>
      <c r="N25" s="196">
        <v>1509598800</v>
      </c>
      <c r="O25" s="196">
        <v>0</v>
      </c>
      <c r="P25" s="196">
        <v>3.53</v>
      </c>
      <c r="Q25" s="196">
        <v>271</v>
      </c>
      <c r="R25" s="196">
        <v>6.42</v>
      </c>
      <c r="S25" s="196">
        <v>0.82</v>
      </c>
      <c r="T25"/>
    </row>
    <row r="26" spans="1:20" x14ac:dyDescent="0.25">
      <c r="A26" s="196">
        <v>54.33</v>
      </c>
      <c r="B26" s="196">
        <v>0.05</v>
      </c>
      <c r="C26" s="196">
        <v>25.18</v>
      </c>
      <c r="D26" s="8">
        <v>43041</v>
      </c>
      <c r="E26" s="196">
        <v>0.32</v>
      </c>
      <c r="F26" s="196" t="s">
        <v>558</v>
      </c>
      <c r="G26" s="196">
        <v>262.86</v>
      </c>
      <c r="H26" s="196">
        <v>0</v>
      </c>
      <c r="I26" s="196">
        <v>0</v>
      </c>
      <c r="J26" s="196"/>
      <c r="K26" s="196">
        <v>1000.84</v>
      </c>
      <c r="L26" s="196" t="s">
        <v>557</v>
      </c>
      <c r="M26" s="196">
        <v>54.33</v>
      </c>
      <c r="N26" s="196">
        <v>1509602400</v>
      </c>
      <c r="O26" s="196">
        <v>0</v>
      </c>
      <c r="P26" s="196">
        <v>3.42</v>
      </c>
      <c r="Q26" s="196">
        <v>327</v>
      </c>
      <c r="R26" s="196">
        <v>4.72</v>
      </c>
      <c r="S26" s="196">
        <v>0.16</v>
      </c>
      <c r="T26"/>
    </row>
    <row r="27" spans="1:20" x14ac:dyDescent="0.25">
      <c r="A27" s="196">
        <v>51.02</v>
      </c>
      <c r="B27" s="196">
        <v>0.1</v>
      </c>
      <c r="C27" s="196">
        <v>25.01</v>
      </c>
      <c r="D27" s="8">
        <v>43041.041666666664</v>
      </c>
      <c r="E27" s="196">
        <v>0.36</v>
      </c>
      <c r="F27" s="196" t="s">
        <v>558</v>
      </c>
      <c r="G27" s="196">
        <v>261.72000000000003</v>
      </c>
      <c r="H27" s="196">
        <v>0</v>
      </c>
      <c r="I27" s="196">
        <v>0</v>
      </c>
      <c r="J27" s="196"/>
      <c r="K27" s="196">
        <v>1001.49</v>
      </c>
      <c r="L27" s="196" t="s">
        <v>557</v>
      </c>
      <c r="M27" s="196">
        <v>51.02</v>
      </c>
      <c r="N27" s="196">
        <v>1509606000</v>
      </c>
      <c r="O27" s="196">
        <v>0</v>
      </c>
      <c r="P27" s="196">
        <v>3.16</v>
      </c>
      <c r="Q27" s="196">
        <v>113</v>
      </c>
      <c r="R27" s="196">
        <v>4.6100000000000003</v>
      </c>
      <c r="S27" s="196">
        <v>0.86</v>
      </c>
      <c r="T27"/>
    </row>
    <row r="28" spans="1:20" x14ac:dyDescent="0.25">
      <c r="A28" s="196">
        <v>46.82</v>
      </c>
      <c r="B28" s="196">
        <v>0.11</v>
      </c>
      <c r="C28" s="196">
        <v>25.87</v>
      </c>
      <c r="D28" s="8">
        <v>43041.083333333336</v>
      </c>
      <c r="E28" s="196">
        <v>0.44</v>
      </c>
      <c r="F28" s="196" t="s">
        <v>558</v>
      </c>
      <c r="G28" s="196">
        <v>260.31</v>
      </c>
      <c r="H28" s="196">
        <v>0</v>
      </c>
      <c r="I28" s="196">
        <v>0</v>
      </c>
      <c r="J28" s="196"/>
      <c r="K28" s="196">
        <v>1003.09</v>
      </c>
      <c r="L28" s="196" t="s">
        <v>557</v>
      </c>
      <c r="M28" s="196">
        <v>46.82</v>
      </c>
      <c r="N28" s="196">
        <v>1509609600</v>
      </c>
      <c r="O28" s="196">
        <v>0</v>
      </c>
      <c r="P28" s="196">
        <v>2.9</v>
      </c>
      <c r="Q28" s="196">
        <v>85</v>
      </c>
      <c r="R28" s="196">
        <v>6.1</v>
      </c>
      <c r="S28" s="196">
        <v>1.54</v>
      </c>
      <c r="T28"/>
    </row>
    <row r="29" spans="1:20" x14ac:dyDescent="0.25">
      <c r="A29" s="196">
        <v>42.92</v>
      </c>
      <c r="B29" s="196">
        <v>0.03</v>
      </c>
      <c r="C29" s="196">
        <v>26.42</v>
      </c>
      <c r="D29" s="8">
        <v>43041.125</v>
      </c>
      <c r="E29" s="196">
        <v>0.52</v>
      </c>
      <c r="F29" s="196" t="s">
        <v>558</v>
      </c>
      <c r="G29" s="196">
        <v>259.02999999999997</v>
      </c>
      <c r="H29" s="196">
        <v>0</v>
      </c>
      <c r="I29" s="196">
        <v>0</v>
      </c>
      <c r="J29" s="196"/>
      <c r="K29" s="196">
        <v>1004.61</v>
      </c>
      <c r="L29" s="196" t="s">
        <v>557</v>
      </c>
      <c r="M29" s="196">
        <v>42.92</v>
      </c>
      <c r="N29" s="196">
        <v>1509613200</v>
      </c>
      <c r="O29" s="196">
        <v>0</v>
      </c>
      <c r="P29" s="196">
        <v>2.94</v>
      </c>
      <c r="Q29" s="196">
        <v>351</v>
      </c>
      <c r="R29" s="196">
        <v>6.75</v>
      </c>
      <c r="S29" s="196">
        <v>1.67</v>
      </c>
      <c r="T29"/>
    </row>
    <row r="30" spans="1:20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20" x14ac:dyDescent="0.25">
      <c r="A31" s="141" t="s">
        <v>181</v>
      </c>
    </row>
    <row r="33" spans="1:1" x14ac:dyDescent="0.25">
      <c r="A33" s="141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5"/>
  <sheetViews>
    <sheetView workbookViewId="0">
      <selection activeCell="A4" sqref="A4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8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326</v>
      </c>
      <c r="U1" s="156"/>
      <c r="V1" s="156"/>
      <c r="W1" s="156"/>
      <c r="X1" s="156"/>
    </row>
    <row r="2" spans="1:32" ht="15.75" thickBot="1" x14ac:dyDescent="0.3">
      <c r="A2" s="12">
        <v>43040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327</v>
      </c>
      <c r="U2" s="155">
        <v>167</v>
      </c>
      <c r="V2" s="155">
        <v>168</v>
      </c>
      <c r="W2" s="155">
        <v>199</v>
      </c>
      <c r="X2" s="155">
        <v>200</v>
      </c>
      <c r="AD2" t="s">
        <v>340</v>
      </c>
      <c r="AE2" s="56" t="s">
        <v>343</v>
      </c>
      <c r="AF2" s="56" t="s">
        <v>344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328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329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330</v>
      </c>
      <c r="U5" s="155">
        <v>187</v>
      </c>
      <c r="V5" s="155">
        <v>188</v>
      </c>
      <c r="W5" s="155">
        <v>223</v>
      </c>
      <c r="X5" s="155">
        <v>224</v>
      </c>
      <c r="AC5" s="30" t="s">
        <v>341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25">
      <c r="C7" s="56"/>
      <c r="F7" t="s">
        <v>336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342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357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345</v>
      </c>
      <c r="AD8" s="174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182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1081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1082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25">
      <c r="C20" t="s">
        <v>1083</v>
      </c>
      <c r="J20" s="140" t="s">
        <v>87</v>
      </c>
      <c r="M20" s="154" t="s">
        <v>335</v>
      </c>
      <c r="N20" s="154" t="s">
        <v>325</v>
      </c>
      <c r="T20" s="155"/>
      <c r="U20" s="155"/>
      <c r="V20" s="155"/>
      <c r="W20" s="155"/>
      <c r="X20" s="155"/>
    </row>
    <row r="21" spans="3:24" x14ac:dyDescent="0.25">
      <c r="C21" t="s">
        <v>1084</v>
      </c>
      <c r="J21" s="140" t="s">
        <v>90</v>
      </c>
      <c r="K21" s="140" t="s">
        <v>91</v>
      </c>
      <c r="M21" s="154" t="s">
        <v>172</v>
      </c>
      <c r="T21" s="155"/>
      <c r="U21" s="155"/>
      <c r="V21" s="155"/>
      <c r="W21" s="155"/>
      <c r="X21" s="155"/>
    </row>
    <row r="22" spans="3:24" x14ac:dyDescent="0.25">
      <c r="C22" t="s">
        <v>1085</v>
      </c>
      <c r="J22" s="140" t="s">
        <v>92</v>
      </c>
      <c r="K22" s="140" t="s">
        <v>108</v>
      </c>
      <c r="M22" s="154" t="s">
        <v>108</v>
      </c>
      <c r="T22" s="155"/>
      <c r="U22" s="155"/>
      <c r="V22" s="155"/>
      <c r="W22" s="155"/>
      <c r="X22" s="155"/>
    </row>
    <row r="23" spans="3:24" x14ac:dyDescent="0.25">
      <c r="C23" t="s">
        <v>1086</v>
      </c>
      <c r="J23" s="150" t="s">
        <v>94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1087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25">
      <c r="C25" t="s">
        <v>1088</v>
      </c>
      <c r="J25" s="140" t="s">
        <v>144</v>
      </c>
      <c r="M25" s="154" t="b">
        <v>1</v>
      </c>
    </row>
    <row r="26" spans="3:24" x14ac:dyDescent="0.25">
      <c r="C26" t="s">
        <v>1089</v>
      </c>
      <c r="J26" s="140" t="s">
        <v>145</v>
      </c>
      <c r="M26" s="154" t="str">
        <f>"%USERPROFILE%\Documents\GitHub\eaglep3-reporting\EC\"&amp;TEXT(A2,"yyyy-mm-dd")&amp;"-refined-times.txt"</f>
        <v>%USERPROFILE%\Documents\GitHub\eaglep3-reporting\EC\2017-11-01-refined-times.txt</v>
      </c>
    </row>
    <row r="27" spans="3:24" x14ac:dyDescent="0.25">
      <c r="C27" t="s">
        <v>1090</v>
      </c>
      <c r="J27" s="140" t="s">
        <v>174</v>
      </c>
      <c r="M27" s="154" t="str">
        <f>"%USERPROFILE%\Documents\GitHub\eaglep3-reporting\EC\"&amp;TEXT(A2,"YYYY-MM-DD")&amp;"-Enforcements.txt"</f>
        <v>%USERPROFILE%\Documents\GitHub\eaglep3-reporting\EC\2017-11-01-Enforcements.txt</v>
      </c>
    </row>
    <row r="28" spans="3:24" x14ac:dyDescent="0.25">
      <c r="C28" t="s">
        <v>1091</v>
      </c>
      <c r="J28" s="140" t="s">
        <v>175</v>
      </c>
      <c r="M28" s="154" t="str">
        <f>"%USERPROFILE%\Documents\GitHub\eaglep3-reporting\EC\"&amp;TEXT(A2,"YYYY-MM-DD")&amp;"-Runs-refined.txt"</f>
        <v>%USERPROFILE%\Documents\GitHub\eaglep3-reporting\EC\2017-11-01-Runs-refined.txt</v>
      </c>
    </row>
    <row r="29" spans="3:24" x14ac:dyDescent="0.25">
      <c r="C29" t="s">
        <v>1092</v>
      </c>
      <c r="J29" s="140" t="s">
        <v>176</v>
      </c>
      <c r="M29" s="154" t="str">
        <f>"%USERPROFILE%\Documents\GitHub\eaglep3-reporting\EC\"&amp;TEXT(A2,"YYYY-MM-DD")&amp;"-Trips.txt"</f>
        <v>%USERPROFILE%\Documents\GitHub\eaglep3-reporting\EC\2017-11-01-Trips.txt</v>
      </c>
    </row>
    <row r="30" spans="3:24" x14ac:dyDescent="0.25">
      <c r="C30" t="s">
        <v>1093</v>
      </c>
      <c r="J30" s="140" t="s">
        <v>177</v>
      </c>
      <c r="M30" s="154" t="str">
        <f>"%USERPROFILE%\Documents\GitHub\eaglep3-reporting\EC\"&amp;TEXT(A2,"YYYY-MM-DD")&amp;"-Weather.txt"</f>
        <v>%USERPROFILE%\Documents\GitHub\eaglep3-reporting\EC\2017-11-01-Weather.txt</v>
      </c>
    </row>
    <row r="31" spans="3:24" x14ac:dyDescent="0.25">
      <c r="C31" t="s">
        <v>1094</v>
      </c>
      <c r="J31" s="140" t="s">
        <v>190</v>
      </c>
      <c r="M31" s="154" t="s">
        <v>191</v>
      </c>
    </row>
    <row r="32" spans="3:24" x14ac:dyDescent="0.25">
      <c r="C32" t="s">
        <v>1095</v>
      </c>
    </row>
    <row r="33" spans="3:3" x14ac:dyDescent="0.25">
      <c r="C33" t="s">
        <v>1096</v>
      </c>
    </row>
    <row r="34" spans="3:3" x14ac:dyDescent="0.25">
      <c r="C34" t="s">
        <v>1097</v>
      </c>
    </row>
    <row r="35" spans="3:3" x14ac:dyDescent="0.25">
      <c r="C35" t="s">
        <v>1098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8" bestFit="1" customWidth="1"/>
    <col min="9" max="10" width="9.140625" style="188"/>
    <col min="11" max="16384" width="9.140625" style="93"/>
  </cols>
  <sheetData>
    <row r="1" spans="1:11" x14ac:dyDescent="0.25">
      <c r="A1" s="92" t="s">
        <v>115</v>
      </c>
      <c r="B1" s="92" t="s">
        <v>116</v>
      </c>
      <c r="C1" s="93" t="s">
        <v>117</v>
      </c>
      <c r="H1" s="168" t="s">
        <v>112</v>
      </c>
      <c r="I1" s="186" t="s">
        <v>361</v>
      </c>
      <c r="J1" s="168" t="s">
        <v>332</v>
      </c>
    </row>
    <row r="2" spans="1:11" x14ac:dyDescent="0.25">
      <c r="A2" s="93" t="s">
        <v>118</v>
      </c>
      <c r="B2" s="93" t="s">
        <v>119</v>
      </c>
      <c r="C2" s="93" t="s">
        <v>120</v>
      </c>
      <c r="H2" s="168" t="s">
        <v>113</v>
      </c>
      <c r="I2" s="168" t="s">
        <v>114</v>
      </c>
      <c r="J2" s="168" t="s">
        <v>333</v>
      </c>
    </row>
    <row r="3" spans="1:11" x14ac:dyDescent="0.25">
      <c r="A3" s="93" t="s">
        <v>121</v>
      </c>
      <c r="B3" s="93" t="s">
        <v>122</v>
      </c>
      <c r="C3" s="93" t="s">
        <v>123</v>
      </c>
      <c r="H3" s="168" t="s">
        <v>137</v>
      </c>
      <c r="I3" s="168">
        <v>1</v>
      </c>
      <c r="J3" s="168">
        <v>1</v>
      </c>
      <c r="K3" s="55"/>
    </row>
    <row r="4" spans="1:11" x14ac:dyDescent="0.25">
      <c r="A4" s="93" t="s">
        <v>124</v>
      </c>
      <c r="C4" s="93" t="s">
        <v>125</v>
      </c>
      <c r="H4" s="168" t="s">
        <v>138</v>
      </c>
      <c r="I4" s="168">
        <v>2</v>
      </c>
      <c r="J4" s="168">
        <v>1</v>
      </c>
      <c r="K4" s="55"/>
    </row>
    <row r="5" spans="1:11" x14ac:dyDescent="0.25">
      <c r="A5" s="93" t="s">
        <v>126</v>
      </c>
      <c r="C5" s="93" t="s">
        <v>127</v>
      </c>
      <c r="H5" s="168" t="s">
        <v>139</v>
      </c>
      <c r="I5" s="168">
        <v>338</v>
      </c>
      <c r="J5" s="168">
        <v>10</v>
      </c>
      <c r="K5" s="55"/>
    </row>
    <row r="6" spans="1:11" x14ac:dyDescent="0.25">
      <c r="A6" s="93" t="s">
        <v>128</v>
      </c>
      <c r="C6" s="93" t="s">
        <v>129</v>
      </c>
      <c r="H6" s="187" t="s">
        <v>140</v>
      </c>
      <c r="I6" s="187" t="s">
        <v>119</v>
      </c>
    </row>
    <row r="7" spans="1:11" x14ac:dyDescent="0.25">
      <c r="A7" s="93" t="s">
        <v>130</v>
      </c>
      <c r="C7" s="93" t="s">
        <v>131</v>
      </c>
    </row>
    <row r="8" spans="1:11" x14ac:dyDescent="0.25">
      <c r="C8" s="93" t="s">
        <v>132</v>
      </c>
    </row>
    <row r="9" spans="1:11" x14ac:dyDescent="0.25">
      <c r="C9" s="94" t="s">
        <v>165</v>
      </c>
    </row>
    <row r="10" spans="1:11" x14ac:dyDescent="0.25">
      <c r="C10" s="93" t="s">
        <v>133</v>
      </c>
    </row>
    <row r="11" spans="1:11" x14ac:dyDescent="0.25">
      <c r="C11" s="93" t="s">
        <v>134</v>
      </c>
    </row>
    <row r="12" spans="1:11" x14ac:dyDescent="0.25">
      <c r="C12" s="93" t="s">
        <v>135</v>
      </c>
    </row>
    <row r="13" spans="1:11" x14ac:dyDescent="0.25">
      <c r="C13" s="93" t="s">
        <v>136</v>
      </c>
    </row>
    <row r="14" spans="1:11" x14ac:dyDescent="0.25">
      <c r="C14" s="94" t="s">
        <v>166</v>
      </c>
    </row>
    <row r="15" spans="1:11" x14ac:dyDescent="0.25">
      <c r="C15" s="94" t="s">
        <v>183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196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227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228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229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237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238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239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247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248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249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257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258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259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267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268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269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277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278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279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287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288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289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297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298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299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307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308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309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317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318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319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2017-11-15T16:54:41Z</dcterms:modified>
</cp:coreProperties>
</file>